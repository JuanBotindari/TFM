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Unidades compartidas\Compras - Ventas Clientes\CORITEC S.R.L\COPIATIVOS\"/>
    </mc:Choice>
  </mc:AlternateContent>
  <xr:revisionPtr revIDLastSave="0" documentId="13_ncr:1_{2405EF66-A0B7-432C-BA96-4775DE1958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PRAS" sheetId="1" r:id="rId1"/>
    <sheet name="VENTAS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14" i="2" l="1"/>
  <c r="I214" i="2"/>
  <c r="H214" i="2"/>
  <c r="L213" i="2"/>
  <c r="L212" i="2"/>
  <c r="L211" i="2"/>
  <c r="L210" i="2"/>
  <c r="L209" i="2"/>
  <c r="L208" i="2"/>
  <c r="J202" i="2"/>
  <c r="I202" i="2"/>
  <c r="H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H177" i="2"/>
  <c r="G177" i="2"/>
  <c r="J170" i="2"/>
  <c r="I170" i="2"/>
  <c r="H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H147" i="2"/>
  <c r="G147" i="2"/>
  <c r="J141" i="2"/>
  <c r="I141" i="2"/>
  <c r="H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J116" i="2"/>
  <c r="I116" i="2"/>
  <c r="I117" i="2" s="1"/>
  <c r="H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H90" i="2"/>
  <c r="G90" i="2"/>
  <c r="J85" i="2"/>
  <c r="I85" i="2"/>
  <c r="H85" i="2"/>
  <c r="L84" i="2"/>
  <c r="L83" i="2"/>
  <c r="L82" i="2"/>
  <c r="L81" i="2"/>
  <c r="K76" i="2"/>
  <c r="J76" i="2"/>
  <c r="I76" i="2"/>
  <c r="H76" i="2"/>
  <c r="L75" i="2"/>
  <c r="L74" i="2"/>
  <c r="L73" i="2"/>
  <c r="L72" i="2"/>
  <c r="L71" i="2"/>
  <c r="K63" i="2"/>
  <c r="J63" i="2"/>
  <c r="I63" i="2"/>
  <c r="H63" i="2"/>
  <c r="L62" i="2"/>
  <c r="L61" i="2"/>
  <c r="L60" i="2"/>
  <c r="L59" i="2"/>
  <c r="L58" i="2"/>
  <c r="L57" i="2"/>
  <c r="L56" i="2"/>
  <c r="L55" i="2"/>
  <c r="L54" i="2"/>
  <c r="J49" i="2"/>
  <c r="I49" i="2"/>
  <c r="H49" i="2"/>
  <c r="L48" i="2"/>
  <c r="L47" i="2"/>
  <c r="L46" i="2"/>
  <c r="L45" i="2"/>
  <c r="L44" i="2"/>
  <c r="L43" i="2"/>
  <c r="L42" i="2"/>
  <c r="L41" i="2"/>
  <c r="L40" i="2"/>
  <c r="L39" i="2"/>
  <c r="L38" i="2"/>
  <c r="J33" i="2"/>
  <c r="I33" i="2"/>
  <c r="H33" i="2"/>
  <c r="L32" i="2"/>
  <c r="L31" i="2"/>
  <c r="L30" i="2"/>
  <c r="L29" i="2"/>
  <c r="K20" i="2"/>
  <c r="J20" i="2"/>
  <c r="I20" i="2"/>
  <c r="H20" i="2"/>
  <c r="L19" i="2"/>
  <c r="L18" i="2"/>
  <c r="L17" i="2"/>
  <c r="L16" i="2"/>
  <c r="K10" i="2"/>
  <c r="J10" i="2"/>
  <c r="I10" i="2"/>
  <c r="I11" i="2" s="1"/>
  <c r="H10" i="2"/>
  <c r="L9" i="2"/>
  <c r="L8" i="2"/>
  <c r="L7" i="2"/>
  <c r="L6" i="2"/>
  <c r="L5" i="2"/>
  <c r="O559" i="1"/>
  <c r="N559" i="1"/>
  <c r="M559" i="1"/>
  <c r="L559" i="1"/>
  <c r="K559" i="1"/>
  <c r="J559" i="1"/>
  <c r="I559" i="1"/>
  <c r="H559" i="1"/>
  <c r="G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O521" i="1"/>
  <c r="N521" i="1"/>
  <c r="M521" i="1"/>
  <c r="L521" i="1"/>
  <c r="K521" i="1"/>
  <c r="J521" i="1"/>
  <c r="I521" i="1"/>
  <c r="H521" i="1"/>
  <c r="G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O482" i="1"/>
  <c r="N482" i="1"/>
  <c r="M482" i="1"/>
  <c r="L482" i="1"/>
  <c r="K482" i="1"/>
  <c r="J482" i="1"/>
  <c r="I482" i="1"/>
  <c r="H482" i="1"/>
  <c r="G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O401" i="1"/>
  <c r="N401" i="1"/>
  <c r="M401" i="1"/>
  <c r="L401" i="1"/>
  <c r="K401" i="1"/>
  <c r="J401" i="1"/>
  <c r="I401" i="1"/>
  <c r="H401" i="1"/>
  <c r="G401" i="1"/>
  <c r="P400" i="1"/>
  <c r="P399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O345" i="1"/>
  <c r="N345" i="1"/>
  <c r="M345" i="1"/>
  <c r="L345" i="1"/>
  <c r="K345" i="1"/>
  <c r="J345" i="1"/>
  <c r="I345" i="1"/>
  <c r="H345" i="1"/>
  <c r="G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O289" i="1"/>
  <c r="N289" i="1"/>
  <c r="M289" i="1"/>
  <c r="L289" i="1"/>
  <c r="K289" i="1"/>
  <c r="J289" i="1"/>
  <c r="I289" i="1"/>
  <c r="H289" i="1"/>
  <c r="G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O242" i="1"/>
  <c r="N242" i="1"/>
  <c r="M242" i="1"/>
  <c r="L242" i="1"/>
  <c r="K242" i="1"/>
  <c r="J242" i="1"/>
  <c r="I242" i="1"/>
  <c r="H242" i="1"/>
  <c r="G242" i="1"/>
  <c r="P241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O208" i="1"/>
  <c r="N208" i="1"/>
  <c r="M208" i="1"/>
  <c r="L208" i="1"/>
  <c r="K208" i="1"/>
  <c r="J208" i="1"/>
  <c r="I208" i="1"/>
  <c r="H208" i="1"/>
  <c r="G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O177" i="1"/>
  <c r="N177" i="1"/>
  <c r="M177" i="1"/>
  <c r="L177" i="1"/>
  <c r="K177" i="1"/>
  <c r="J177" i="1"/>
  <c r="I177" i="1"/>
  <c r="H177" i="1"/>
  <c r="G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O142" i="1"/>
  <c r="N142" i="1"/>
  <c r="M142" i="1"/>
  <c r="L142" i="1"/>
  <c r="K142" i="1"/>
  <c r="J142" i="1"/>
  <c r="I142" i="1"/>
  <c r="H142" i="1"/>
  <c r="G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O106" i="1"/>
  <c r="N106" i="1"/>
  <c r="M106" i="1"/>
  <c r="L106" i="1"/>
  <c r="K106" i="1"/>
  <c r="J106" i="1"/>
  <c r="I106" i="1"/>
  <c r="H106" i="1"/>
  <c r="G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O51" i="1"/>
  <c r="N51" i="1"/>
  <c r="M51" i="1"/>
  <c r="L51" i="1"/>
  <c r="K51" i="1"/>
  <c r="J51" i="1"/>
  <c r="I51" i="1"/>
  <c r="H51" i="1"/>
  <c r="G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I203" i="2" l="1"/>
  <c r="I21" i="2"/>
  <c r="L20" i="2"/>
  <c r="I34" i="2"/>
  <c r="I64" i="2"/>
  <c r="L202" i="2"/>
  <c r="I86" i="2"/>
  <c r="I50" i="2"/>
  <c r="L76" i="2"/>
  <c r="L116" i="2"/>
  <c r="L170" i="2"/>
  <c r="I171" i="2"/>
  <c r="L49" i="2"/>
  <c r="L85" i="2"/>
  <c r="I215" i="2"/>
  <c r="L10" i="2"/>
  <c r="L33" i="2"/>
  <c r="L63" i="2"/>
  <c r="I77" i="2"/>
  <c r="L141" i="2"/>
  <c r="I142" i="2"/>
  <c r="L214" i="2"/>
  <c r="H52" i="1"/>
  <c r="P142" i="1"/>
  <c r="P208" i="1"/>
  <c r="H290" i="1"/>
  <c r="H402" i="1"/>
  <c r="P521" i="1"/>
  <c r="H522" i="1"/>
  <c r="P559" i="1"/>
  <c r="P51" i="1"/>
  <c r="H143" i="1"/>
  <c r="H209" i="1"/>
  <c r="H560" i="1"/>
  <c r="P242" i="1"/>
  <c r="P289" i="1"/>
  <c r="P106" i="1"/>
  <c r="H107" i="1"/>
  <c r="P177" i="1"/>
  <c r="H243" i="1"/>
  <c r="P345" i="1"/>
  <c r="H346" i="1"/>
  <c r="P482" i="1"/>
  <c r="H483" i="1"/>
  <c r="H178" i="1"/>
  <c r="P401" i="1"/>
</calcChain>
</file>

<file path=xl/sharedStrings.xml><?xml version="1.0" encoding="utf-8"?>
<sst xmlns="http://schemas.openxmlformats.org/spreadsheetml/2006/main" count="1074" uniqueCount="198">
  <si>
    <t>Libro Iva Compras</t>
  </si>
  <si>
    <t>FECHA</t>
  </si>
  <si>
    <t>TIPO</t>
  </si>
  <si>
    <t>PTO VTA</t>
  </si>
  <si>
    <t>FC NRO</t>
  </si>
  <si>
    <t>CUIT</t>
  </si>
  <si>
    <t>RAZON SOCIAL</t>
  </si>
  <si>
    <t>NETO</t>
  </si>
  <si>
    <t xml:space="preserve">IVA 21 </t>
  </si>
  <si>
    <t>IVA 27%</t>
  </si>
  <si>
    <t>IVA 10,5%</t>
  </si>
  <si>
    <t>No Gravado</t>
  </si>
  <si>
    <t>Exento</t>
  </si>
  <si>
    <t>PERC. IVA</t>
  </si>
  <si>
    <t>PERC. IIBB</t>
  </si>
  <si>
    <t>Otros</t>
  </si>
  <si>
    <t>TOTAL</t>
  </si>
  <si>
    <t>CITILAN ARGENTINA SA</t>
  </si>
  <si>
    <t>COTO CICSA</t>
  </si>
  <si>
    <t>DE LUCA SUSANA MARGARITA</t>
  </si>
  <si>
    <t xml:space="preserve">OUTDOOR EXTREMO </t>
  </si>
  <si>
    <t>ABAKSHA SRL</t>
  </si>
  <si>
    <t>BANCO CREDICOOP</t>
  </si>
  <si>
    <t>DONATO ALFREDO ENRIQUE Y PENSEL FRANCISCO JAVIER SH</t>
  </si>
  <si>
    <t>LBM HOME &amp; HOTEL S.A.</t>
  </si>
  <si>
    <t>21001IC04002647J</t>
  </si>
  <si>
    <t>AFIP</t>
  </si>
  <si>
    <t>FEDERICI NICOLAS JOSE</t>
  </si>
  <si>
    <t>NICKNAT SRL</t>
  </si>
  <si>
    <t>RIO 265 SRL</t>
  </si>
  <si>
    <t>DHL EXPRESS ARG SA</t>
  </si>
  <si>
    <t>LAKAUT SA</t>
  </si>
  <si>
    <t>MISTER KOOK ONLINE</t>
  </si>
  <si>
    <t>IGNACIO JOSE SAUER</t>
  </si>
  <si>
    <t>KURIABE S. A.</t>
  </si>
  <si>
    <t>HALUZA ANDRES</t>
  </si>
  <si>
    <t>LUQUE ADRIAN ULISES</t>
  </si>
  <si>
    <t>EVA MAGIC SA</t>
  </si>
  <si>
    <t>FEOLI MARCELO OMAR</t>
  </si>
  <si>
    <t>FIVELEV S.R.L.</t>
  </si>
  <si>
    <t>INTERCONTINENTAL CARGAS SRL</t>
  </si>
  <si>
    <t>DISTRIBUIDORA BIG BANG VIP SRL</t>
  </si>
  <si>
    <t>BAGUI S.A.</t>
  </si>
  <si>
    <t xml:space="preserve">FUNK HNOS DE FRANCISCO G </t>
  </si>
  <si>
    <t>COSTA DIEGO ALEJANDRO</t>
  </si>
  <si>
    <t>PAN AMERICAN  ENERGY LLC. SUC.</t>
  </si>
  <si>
    <t>ABADI SEBASTIAN</t>
  </si>
  <si>
    <t xml:space="preserve">CASA MENENDEZ </t>
  </si>
  <si>
    <t>SEMICONDUC. Y COMPON. SRL</t>
  </si>
  <si>
    <t>FCG ENERGIA SRL</t>
  </si>
  <si>
    <t xml:space="preserve">MULTIPOINT </t>
  </si>
  <si>
    <t>T    O    T    A    L</t>
  </si>
  <si>
    <t>Telefonica Moviles Argentina SA</t>
  </si>
  <si>
    <t>FEDERAL EXPRESS CORPORATION</t>
  </si>
  <si>
    <t>BULONERA VIETRI SRL</t>
  </si>
  <si>
    <t>MAQUINAS Y CONSUMIBLES S.A.</t>
  </si>
  <si>
    <t>LA JUNIOR SRL</t>
  </si>
  <si>
    <t>HUMANA ROSANA LORENA</t>
  </si>
  <si>
    <t>ITPROUSER S.A.</t>
  </si>
  <si>
    <t xml:space="preserve">ABELEDO HORACIO </t>
  </si>
  <si>
    <t>MICROELECTRONICA COMP. SRL</t>
  </si>
  <si>
    <t>Los Tres Reyes SAS</t>
  </si>
  <si>
    <t>YEL S.R.L.</t>
  </si>
  <si>
    <t>KINKA SA</t>
  </si>
  <si>
    <t>ROLLS Y EMPANADAS SA</t>
  </si>
  <si>
    <t>JORVICAL ACEROS SA</t>
  </si>
  <si>
    <t>KAVCIC SRL</t>
  </si>
  <si>
    <t>MULTIPLES SRL</t>
  </si>
  <si>
    <t>RIOS GOMEZ ANTONIO</t>
  </si>
  <si>
    <t>MEDRANO CONSTRUCCIONES SA</t>
  </si>
  <si>
    <t>30-57142135-2</t>
  </si>
  <si>
    <t>LEONARDO ANDRES TOBIO Y CAROLINA ALJANDRA TOBIO SH</t>
  </si>
  <si>
    <t>MASTER LEADER MUNDIAL S.A.</t>
  </si>
  <si>
    <t>SIDERPLAST SA</t>
  </si>
  <si>
    <t>DOUBLE G</t>
  </si>
  <si>
    <t>LINKEDSTORE ARGENTINA S.R.L.</t>
  </si>
  <si>
    <t>GATES ARGENTINA SA</t>
  </si>
  <si>
    <t>COMPAÑÍA MARTEC SA</t>
  </si>
  <si>
    <t>ALVAREZ SERGIO DANIEL</t>
  </si>
  <si>
    <t>BUREAU VERITAS ARGENTINA SA</t>
  </si>
  <si>
    <t>RIOS GOMEZ JOSE ANTONIO</t>
  </si>
  <si>
    <t> 30574816870</t>
  </si>
  <si>
    <t>AMERICAN EXPRESS ARGENTINA SA</t>
  </si>
  <si>
    <t>NEOTRENDS</t>
  </si>
  <si>
    <t>VENTISERVICE SRL</t>
  </si>
  <si>
    <t>UPS de ARGENTINA SA</t>
  </si>
  <si>
    <t>NUBBEO SRL</t>
  </si>
  <si>
    <t>DHARMA DE SANTOS Y VACCARO</t>
  </si>
  <si>
    <t xml:space="preserve">SZYRMAN ROMINA </t>
  </si>
  <si>
    <t>COLUS FERNANDO CARLOS</t>
  </si>
  <si>
    <t>FERRETERIA DEL PARQUE</t>
  </si>
  <si>
    <t>CARLOS ANDRETICH SA</t>
  </si>
  <si>
    <t xml:space="preserve">SILICONBAIRES SRL </t>
  </si>
  <si>
    <t>ADATTO MARCELO ADRIAN</t>
  </si>
  <si>
    <t>ELECTRONICA ELEMON SA</t>
  </si>
  <si>
    <t>E-LABSHOP</t>
  </si>
  <si>
    <t>FEMEN SA</t>
  </si>
  <si>
    <t>TOTAL HOME SA</t>
  </si>
  <si>
    <t>LOPEZ PAOLO ANTONIO</t>
  </si>
  <si>
    <t>DISTRIBUIDOR TOTAL MAYORISTA Y ASOCIADOS S.R.L.</t>
  </si>
  <si>
    <t>INSTRUMENTAL PASTEUR S R L</t>
  </si>
  <si>
    <t>DISTRIBUIDORA SANITARIA JACOBO</t>
  </si>
  <si>
    <t>COMPONENTES ELECTRICOS SA</t>
  </si>
  <si>
    <t>LASERTEC INGENIERIA S.R.L.</t>
  </si>
  <si>
    <t>CENCOSUD S.A.</t>
  </si>
  <si>
    <t>AEROPUERTOS ARGENTINA 2000 SA</t>
  </si>
  <si>
    <t>INDUSTRIA BAHIA S.A.</t>
  </si>
  <si>
    <t>ACPLIND - FELDMAN SH</t>
  </si>
  <si>
    <t>SHOPNOW SRL</t>
  </si>
  <si>
    <t>DULBECO INYECCION</t>
  </si>
  <si>
    <t xml:space="preserve">TIENDA SUR </t>
  </si>
  <si>
    <t>MUEBLES LA JUANA SA</t>
  </si>
  <si>
    <t>GONZALEZ MATIAS LIONEL</t>
  </si>
  <si>
    <t>CIKA ELECTRONICA SRL</t>
  </si>
  <si>
    <t>INDUSTRIAS FEMAN SRL</t>
  </si>
  <si>
    <t>NEUMATICOS CORRAL SA</t>
  </si>
  <si>
    <t>VAZQUEZ DANIEL OSCAR</t>
  </si>
  <si>
    <t>DAMARFU SA</t>
  </si>
  <si>
    <t>Roberto A Caffaro</t>
  </si>
  <si>
    <t>PASION DISTRIBUCIONES SRL</t>
  </si>
  <si>
    <t> 30-57142135-2</t>
  </si>
  <si>
    <t>VISA SA</t>
  </si>
  <si>
    <t>OCE INTERNACIONAL SA</t>
  </si>
  <si>
    <t>TRIANDA SA</t>
  </si>
  <si>
    <t>CREMONTE GUSTAVO RICARDO</t>
  </si>
  <si>
    <t>MARTIN LUNGARZO</t>
  </si>
  <si>
    <t>ITUARTE ANA DANIELA VANESA</t>
  </si>
  <si>
    <t>FIGARO CARLA SILVINA</t>
  </si>
  <si>
    <t>MITE DECO</t>
  </si>
  <si>
    <t>FAVARA SA</t>
  </si>
  <si>
    <t>SUMINISTROS WHITE SA</t>
  </si>
  <si>
    <t>CARRASCO GUSTAVO ALBERTO</t>
  </si>
  <si>
    <t>ACOSTA MARIA EUGENIA</t>
  </si>
  <si>
    <t>DITECAR SA</t>
  </si>
  <si>
    <t>MOPAS Y PRODUCTOS SRL</t>
  </si>
  <si>
    <t>GARCIA SOLCA GASTON ALEXIS</t>
  </si>
  <si>
    <t>MENEHEM MOHAMED ARIEL</t>
  </si>
  <si>
    <t>D WINSTOCK SRL</t>
  </si>
  <si>
    <t>SUPERFOTO SRL</t>
  </si>
  <si>
    <t>ELECTROCOMPONENTES SA</t>
  </si>
  <si>
    <t>LIAO YU TING</t>
  </si>
  <si>
    <t>MITSUKO ARGENTINA SRL</t>
  </si>
  <si>
    <t>FLORES  VIDARTE DIANA ESMERALD</t>
  </si>
  <si>
    <t>LO PRIMO SA</t>
  </si>
  <si>
    <t>LOGISTICA SAONA SRL</t>
  </si>
  <si>
    <t>ARTURI RAUL</t>
  </si>
  <si>
    <t>TUTTO CERAMICAS SRL</t>
  </si>
  <si>
    <t>LONGO CLAUDIO OSCAR</t>
  </si>
  <si>
    <t xml:space="preserve">ALISSING </t>
  </si>
  <si>
    <t>TYDAL SRL</t>
  </si>
  <si>
    <t>THE GLIMMER TWINS S.R.L.</t>
  </si>
  <si>
    <t>FRANKFULL S.R.L</t>
  </si>
  <si>
    <t>CARRERAS FERNANDO GABRIEL</t>
  </si>
  <si>
    <t>MF GROUP CONSULTORES ESPECIALIZADOS S.R.L</t>
  </si>
  <si>
    <t>Libro Iva Ventas</t>
  </si>
  <si>
    <t>N° FACTURA</t>
  </si>
  <si>
    <t>Codigo de Documento</t>
  </si>
  <si>
    <t>IMPORTE NETO</t>
  </si>
  <si>
    <t>IVA 21%</t>
  </si>
  <si>
    <t>DELTA COMPRESION S.R.L</t>
  </si>
  <si>
    <t>MORALES LUCAS HERNANDO</t>
  </si>
  <si>
    <t>INGENIERIA GAMAR SA</t>
  </si>
  <si>
    <t>AGIRA S.A.</t>
  </si>
  <si>
    <t xml:space="preserve">T O T A L </t>
  </si>
  <si>
    <t>CAPRI SA</t>
  </si>
  <si>
    <t>Facturas Exportancion</t>
  </si>
  <si>
    <t>F "E" Nº</t>
  </si>
  <si>
    <t>CUIT/ID IMPO</t>
  </si>
  <si>
    <t>PAIS</t>
  </si>
  <si>
    <t>USD</t>
  </si>
  <si>
    <t>EUR</t>
  </si>
  <si>
    <t>00610-00008822</t>
  </si>
  <si>
    <t>RODONES SERGIO RAMON</t>
  </si>
  <si>
    <t>EXA COMPRESION SRL</t>
  </si>
  <si>
    <t>00610-00004477</t>
  </si>
  <si>
    <t>COMPRESURT S.A.</t>
  </si>
  <si>
    <t>SOLUCIONES MRO S A I C</t>
  </si>
  <si>
    <t>RAZON SOCIAL2</t>
  </si>
  <si>
    <t>RAZON SOCIAL3</t>
  </si>
  <si>
    <t>00610-0010149</t>
  </si>
  <si>
    <t>FALTA CUIT</t>
  </si>
  <si>
    <t>PIETRANTUONO SALVADOR</t>
  </si>
  <si>
    <t>OLEOHIDRAULICA CAMINO S.A.</t>
  </si>
  <si>
    <t>INDUSTRIAL LIZONDO SAS</t>
  </si>
  <si>
    <t>VERZINO GUSTAVO ARIEL</t>
  </si>
  <si>
    <t>PAHR GUSTAVO ORLANDO</t>
  </si>
  <si>
    <t>DOMINGUEZ LAGANA GONZALO FABIAN</t>
  </si>
  <si>
    <t>HIDRAULICA FENIX S.A.</t>
  </si>
  <si>
    <t>SERVIGAS SA</t>
  </si>
  <si>
    <t>25-3656</t>
  </si>
  <si>
    <t>BRASIL</t>
  </si>
  <si>
    <t>FLUODINAMICA S A</t>
  </si>
  <si>
    <t>SUELOCOR S.R.L.</t>
  </si>
  <si>
    <t>CABRERA SERGIO GABRIEL</t>
  </si>
  <si>
    <t>0025-00003685</t>
  </si>
  <si>
    <t>00025-00000265</t>
  </si>
  <si>
    <t>NATURAL GAS SERVICE SRL</t>
  </si>
  <si>
    <t>WELCOMETANO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</si>
</sst>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dd\-mm\-yy;@"/>
    <numFmt numFmtId="165" formatCode="000"/>
    <numFmt numFmtId="166" formatCode="0000"/>
    <numFmt numFmtId="167" formatCode="00000000"/>
    <numFmt numFmtId="168" formatCode="##\-########\-#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sz val="10"/>
      <name val="Arial"/>
      <family val="2"/>
    </font>
    <font>
      <b/>
      <sz val="14"/>
      <name val="Arial Black"/>
      <family val="2"/>
    </font>
    <font>
      <b/>
      <sz val="9"/>
      <name val="Times New Roman"/>
      <family val="1"/>
    </font>
    <font>
      <sz val="10"/>
      <name val="Calibri"/>
      <family val="2"/>
    </font>
    <font>
      <b/>
      <sz val="10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sz val="11"/>
      <color theme="1"/>
      <name val="Arial Black"/>
      <family val="2"/>
    </font>
    <font>
      <sz val="12"/>
      <color theme="1"/>
      <name val="Arial Black"/>
      <family val="2"/>
    </font>
    <font>
      <sz val="10"/>
      <color theme="1"/>
      <name val="Calibri"/>
      <family val="2"/>
      <scheme val="minor"/>
    </font>
    <font>
      <sz val="9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3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164" fontId="6" fillId="0" borderId="4" xfId="1" applyNumberFormat="1" applyFont="1" applyBorder="1" applyAlignment="1" applyProtection="1">
      <alignment horizontal="center" vertical="center"/>
      <protection locked="0"/>
    </xf>
    <xf numFmtId="165" fontId="6" fillId="0" borderId="5" xfId="1" applyNumberFormat="1" applyFont="1" applyBorder="1" applyAlignment="1" applyProtection="1">
      <alignment horizontal="center" vertical="center"/>
      <protection locked="0"/>
    </xf>
    <xf numFmtId="166" fontId="6" fillId="0" borderId="5" xfId="1" applyNumberFormat="1" applyFont="1" applyBorder="1" applyAlignment="1" applyProtection="1">
      <alignment horizontal="center" vertical="center"/>
      <protection locked="0"/>
    </xf>
    <xf numFmtId="167" fontId="6" fillId="0" borderId="5" xfId="1" applyNumberFormat="1" applyFont="1" applyBorder="1" applyAlignment="1" applyProtection="1">
      <alignment horizontal="center" vertical="center"/>
      <protection locked="0"/>
    </xf>
    <xf numFmtId="168" fontId="6" fillId="0" borderId="5" xfId="1" applyNumberFormat="1" applyFont="1" applyBorder="1" applyAlignment="1" applyProtection="1">
      <alignment horizontal="center" vertical="center"/>
      <protection locked="0"/>
    </xf>
    <xf numFmtId="0" fontId="6" fillId="0" borderId="5" xfId="1" applyFont="1" applyBorder="1" applyAlignment="1">
      <alignment horizontal="left" vertical="center"/>
    </xf>
    <xf numFmtId="40" fontId="7" fillId="0" borderId="5" xfId="1" applyNumberFormat="1" applyFont="1" applyBorder="1" applyAlignment="1">
      <alignment horizontal="center" vertical="center"/>
    </xf>
    <xf numFmtId="40" fontId="6" fillId="0" borderId="5" xfId="1" applyNumberFormat="1" applyFont="1" applyBorder="1" applyAlignment="1">
      <alignment horizontal="center" vertical="center"/>
    </xf>
    <xf numFmtId="40" fontId="6" fillId="0" borderId="5" xfId="1" applyNumberFormat="1" applyFont="1" applyBorder="1" applyAlignment="1" applyProtection="1">
      <alignment horizontal="center" vertical="center"/>
      <protection locked="0"/>
    </xf>
    <xf numFmtId="40" fontId="7" fillId="0" borderId="6" xfId="1" applyNumberFormat="1" applyFont="1" applyBorder="1" applyAlignment="1">
      <alignment horizontal="center" vertical="center"/>
    </xf>
    <xf numFmtId="164" fontId="6" fillId="0" borderId="7" xfId="1" applyNumberFormat="1" applyFont="1" applyBorder="1" applyAlignment="1" applyProtection="1">
      <alignment horizontal="center" vertical="center"/>
      <protection locked="0"/>
    </xf>
    <xf numFmtId="165" fontId="6" fillId="0" borderId="8" xfId="1" applyNumberFormat="1" applyFont="1" applyBorder="1" applyAlignment="1" applyProtection="1">
      <alignment horizontal="center" vertical="center"/>
      <protection locked="0"/>
    </xf>
    <xf numFmtId="166" fontId="6" fillId="0" borderId="8" xfId="1" applyNumberFormat="1" applyFont="1" applyBorder="1" applyAlignment="1" applyProtection="1">
      <alignment horizontal="center" vertical="center"/>
      <protection locked="0"/>
    </xf>
    <xf numFmtId="167" fontId="6" fillId="0" borderId="8" xfId="1" applyNumberFormat="1" applyFont="1" applyBorder="1" applyAlignment="1" applyProtection="1">
      <alignment horizontal="center" vertical="center"/>
      <protection locked="0"/>
    </xf>
    <xf numFmtId="168" fontId="6" fillId="0" borderId="8" xfId="1" applyNumberFormat="1" applyFont="1" applyBorder="1" applyAlignment="1" applyProtection="1">
      <alignment horizontal="center" vertical="center"/>
      <protection locked="0"/>
    </xf>
    <xf numFmtId="0" fontId="6" fillId="0" borderId="8" xfId="1" applyFont="1" applyBorder="1" applyAlignment="1">
      <alignment horizontal="left" vertical="center"/>
    </xf>
    <xf numFmtId="40" fontId="7" fillId="0" borderId="8" xfId="1" applyNumberFormat="1" applyFont="1" applyBorder="1" applyAlignment="1">
      <alignment horizontal="center" vertical="center"/>
    </xf>
    <xf numFmtId="40" fontId="6" fillId="0" borderId="8" xfId="1" applyNumberFormat="1" applyFont="1" applyBorder="1" applyAlignment="1">
      <alignment horizontal="center" vertical="center"/>
    </xf>
    <xf numFmtId="40" fontId="6" fillId="0" borderId="8" xfId="1" applyNumberFormat="1" applyFont="1" applyBorder="1" applyAlignment="1" applyProtection="1">
      <alignment horizontal="center" vertical="center"/>
      <protection locked="0"/>
    </xf>
    <xf numFmtId="4" fontId="9" fillId="2" borderId="1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40" fontId="6" fillId="3" borderId="8" xfId="1" applyNumberFormat="1" applyFont="1" applyFill="1" applyBorder="1" applyAlignment="1">
      <alignment horizontal="center" vertical="center"/>
    </xf>
    <xf numFmtId="164" fontId="6" fillId="0" borderId="5" xfId="1" applyNumberFormat="1" applyFont="1" applyBorder="1" applyAlignment="1" applyProtection="1">
      <alignment horizontal="center" vertical="center"/>
      <protection locked="0"/>
    </xf>
    <xf numFmtId="40" fontId="6" fillId="3" borderId="5" xfId="1" applyNumberFormat="1" applyFont="1" applyFill="1" applyBorder="1" applyAlignment="1">
      <alignment horizontal="center" vertical="center"/>
    </xf>
    <xf numFmtId="4" fontId="9" fillId="2" borderId="17" xfId="0" applyNumberFormat="1" applyFont="1" applyFill="1" applyBorder="1" applyAlignment="1">
      <alignment horizontal="center"/>
    </xf>
    <xf numFmtId="0" fontId="5" fillId="2" borderId="18" xfId="1" applyFont="1" applyFill="1" applyBorder="1" applyAlignment="1">
      <alignment horizontal="center" vertical="center" wrapText="1"/>
    </xf>
    <xf numFmtId="0" fontId="5" fillId="2" borderId="19" xfId="1" applyFont="1" applyFill="1" applyBorder="1" applyAlignment="1">
      <alignment horizontal="center" vertical="center" wrapText="1"/>
    </xf>
    <xf numFmtId="0" fontId="5" fillId="2" borderId="20" xfId="1" applyFont="1" applyFill="1" applyBorder="1" applyAlignment="1">
      <alignment horizontal="center" vertical="center" wrapText="1"/>
    </xf>
    <xf numFmtId="40" fontId="7" fillId="0" borderId="5" xfId="1" applyNumberFormat="1" applyFont="1" applyBorder="1" applyAlignment="1" applyProtection="1">
      <alignment horizontal="center" vertical="center"/>
      <protection locked="0"/>
    </xf>
    <xf numFmtId="164" fontId="6" fillId="3" borderId="4" xfId="1" applyNumberFormat="1" applyFont="1" applyFill="1" applyBorder="1" applyAlignment="1" applyProtection="1">
      <alignment horizontal="center" vertical="center"/>
      <protection locked="0"/>
    </xf>
    <xf numFmtId="165" fontId="6" fillId="3" borderId="5" xfId="1" applyNumberFormat="1" applyFont="1" applyFill="1" applyBorder="1" applyAlignment="1" applyProtection="1">
      <alignment horizontal="center" vertical="center"/>
      <protection locked="0"/>
    </xf>
    <xf numFmtId="166" fontId="6" fillId="3" borderId="5" xfId="1" applyNumberFormat="1" applyFont="1" applyFill="1" applyBorder="1" applyAlignment="1" applyProtection="1">
      <alignment horizontal="center" vertical="center"/>
      <protection locked="0"/>
    </xf>
    <xf numFmtId="167" fontId="6" fillId="3" borderId="5" xfId="1" applyNumberFormat="1" applyFont="1" applyFill="1" applyBorder="1" applyAlignment="1" applyProtection="1">
      <alignment horizontal="center" vertical="center"/>
      <protection locked="0"/>
    </xf>
    <xf numFmtId="168" fontId="6" fillId="3" borderId="5" xfId="1" applyNumberFormat="1" applyFont="1" applyFill="1" applyBorder="1" applyAlignment="1" applyProtection="1">
      <alignment horizontal="center" vertical="center"/>
      <protection locked="0"/>
    </xf>
    <xf numFmtId="0" fontId="6" fillId="3" borderId="5" xfId="1" applyFont="1" applyFill="1" applyBorder="1" applyAlignment="1">
      <alignment horizontal="left" vertical="center"/>
    </xf>
    <xf numFmtId="40" fontId="7" fillId="3" borderId="5" xfId="1" applyNumberFormat="1" applyFont="1" applyFill="1" applyBorder="1" applyAlignment="1">
      <alignment horizontal="center" vertical="center"/>
    </xf>
    <xf numFmtId="40" fontId="6" fillId="3" borderId="5" xfId="1" applyNumberFormat="1" applyFont="1" applyFill="1" applyBorder="1" applyAlignment="1" applyProtection="1">
      <alignment horizontal="center" vertical="center"/>
      <protection locked="0"/>
    </xf>
    <xf numFmtId="4" fontId="9" fillId="2" borderId="15" xfId="0" applyNumberFormat="1" applyFont="1" applyFill="1" applyBorder="1" applyAlignment="1">
      <alignment horizontal="center"/>
    </xf>
    <xf numFmtId="166" fontId="6" fillId="0" borderId="21" xfId="1" applyNumberFormat="1" applyFont="1" applyBorder="1" applyAlignment="1" applyProtection="1">
      <alignment horizontal="center" vertical="center"/>
      <protection locked="0"/>
    </xf>
    <xf numFmtId="164" fontId="6" fillId="3" borderId="22" xfId="1" applyNumberFormat="1" applyFont="1" applyFill="1" applyBorder="1" applyAlignment="1" applyProtection="1">
      <alignment horizontal="center" vertical="center"/>
      <protection locked="0"/>
    </xf>
    <xf numFmtId="165" fontId="6" fillId="3" borderId="23" xfId="1" applyNumberFormat="1" applyFont="1" applyFill="1" applyBorder="1" applyAlignment="1" applyProtection="1">
      <alignment horizontal="center" vertical="center"/>
      <protection locked="0"/>
    </xf>
    <xf numFmtId="166" fontId="6" fillId="3" borderId="23" xfId="1" applyNumberFormat="1" applyFont="1" applyFill="1" applyBorder="1" applyAlignment="1" applyProtection="1">
      <alignment horizontal="center" vertical="center"/>
      <protection locked="0"/>
    </xf>
    <xf numFmtId="167" fontId="6" fillId="3" borderId="23" xfId="1" applyNumberFormat="1" applyFont="1" applyFill="1" applyBorder="1" applyAlignment="1" applyProtection="1">
      <alignment horizontal="center" vertical="center"/>
      <protection locked="0"/>
    </xf>
    <xf numFmtId="168" fontId="6" fillId="3" borderId="23" xfId="1" applyNumberFormat="1" applyFont="1" applyFill="1" applyBorder="1" applyAlignment="1" applyProtection="1">
      <alignment horizontal="center" vertical="center"/>
      <protection locked="0"/>
    </xf>
    <xf numFmtId="0" fontId="6" fillId="3" borderId="23" xfId="1" applyFont="1" applyFill="1" applyBorder="1" applyAlignment="1">
      <alignment horizontal="left" vertical="center"/>
    </xf>
    <xf numFmtId="0" fontId="7" fillId="3" borderId="23" xfId="1" applyFont="1" applyFill="1" applyBorder="1" applyAlignment="1">
      <alignment horizontal="center" vertical="center"/>
    </xf>
    <xf numFmtId="0" fontId="6" fillId="3" borderId="23" xfId="1" applyFont="1" applyFill="1" applyBorder="1" applyAlignment="1">
      <alignment horizontal="center" vertical="center"/>
    </xf>
    <xf numFmtId="40" fontId="6" fillId="3" borderId="23" xfId="1" applyNumberFormat="1" applyFont="1" applyFill="1" applyBorder="1" applyAlignment="1">
      <alignment horizontal="center" vertical="center"/>
    </xf>
    <xf numFmtId="40" fontId="6" fillId="3" borderId="23" xfId="1" applyNumberFormat="1" applyFont="1" applyFill="1" applyBorder="1" applyAlignment="1" applyProtection="1">
      <alignment horizontal="center" vertical="center"/>
      <protection locked="0"/>
    </xf>
    <xf numFmtId="40" fontId="7" fillId="3" borderId="24" xfId="1" applyNumberFormat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horizontal="center"/>
    </xf>
    <xf numFmtId="4" fontId="9" fillId="2" borderId="25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64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7" fontId="11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/>
    <xf numFmtId="164" fontId="12" fillId="4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64" fontId="13" fillId="0" borderId="0" xfId="2" applyNumberFormat="1" applyFont="1" applyAlignment="1">
      <alignment horizontal="center"/>
    </xf>
    <xf numFmtId="165" fontId="13" fillId="0" borderId="0" xfId="2" applyNumberFormat="1" applyFont="1" applyAlignment="1">
      <alignment horizontal="center"/>
    </xf>
    <xf numFmtId="166" fontId="13" fillId="0" borderId="0" xfId="2" applyNumberFormat="1" applyFont="1" applyAlignment="1">
      <alignment horizontal="center"/>
    </xf>
    <xf numFmtId="167" fontId="13" fillId="0" borderId="0" xfId="2" applyNumberFormat="1" applyFont="1" applyAlignment="1">
      <alignment horizontal="center"/>
    </xf>
    <xf numFmtId="0" fontId="13" fillId="0" borderId="0" xfId="2" applyFont="1" applyAlignment="1">
      <alignment horizontal="center"/>
    </xf>
    <xf numFmtId="168" fontId="13" fillId="0" borderId="0" xfId="2" applyNumberFormat="1" applyFont="1" applyAlignment="1">
      <alignment horizontal="center"/>
    </xf>
    <xf numFmtId="0" fontId="13" fillId="0" borderId="0" xfId="2" applyFont="1"/>
    <xf numFmtId="40" fontId="14" fillId="0" borderId="0" xfId="2" applyNumberFormat="1" applyFont="1" applyAlignment="1">
      <alignment horizontal="right"/>
    </xf>
    <xf numFmtId="40" fontId="3" fillId="0" borderId="0" xfId="2" applyNumberFormat="1" applyAlignment="1">
      <alignment horizontal="right"/>
    </xf>
    <xf numFmtId="40" fontId="6" fillId="0" borderId="0" xfId="2" applyNumberFormat="1" applyFont="1" applyAlignment="1">
      <alignment horizontal="right" vertical="center"/>
    </xf>
    <xf numFmtId="40" fontId="15" fillId="0" borderId="0" xfId="2" applyNumberFormat="1" applyFont="1" applyAlignment="1">
      <alignment horizontal="right"/>
    </xf>
    <xf numFmtId="164" fontId="13" fillId="0" borderId="0" xfId="1" applyNumberFormat="1" applyFont="1" applyAlignment="1">
      <alignment horizontal="center"/>
    </xf>
    <xf numFmtId="165" fontId="13" fillId="0" borderId="0" xfId="1" applyNumberFormat="1" applyFont="1" applyAlignment="1">
      <alignment horizontal="center"/>
    </xf>
    <xf numFmtId="166" fontId="13" fillId="0" borderId="0" xfId="1" applyNumberFormat="1" applyFont="1" applyAlignment="1">
      <alignment horizontal="center"/>
    </xf>
    <xf numFmtId="167" fontId="13" fillId="0" borderId="0" xfId="1" applyNumberFormat="1" applyFont="1" applyAlignment="1">
      <alignment horizontal="center"/>
    </xf>
    <xf numFmtId="0" fontId="13" fillId="0" borderId="0" xfId="1" applyFont="1" applyAlignment="1">
      <alignment horizontal="center"/>
    </xf>
    <xf numFmtId="168" fontId="13" fillId="0" borderId="0" xfId="1" applyNumberFormat="1" applyFont="1" applyAlignment="1">
      <alignment horizontal="center"/>
    </xf>
    <xf numFmtId="0" fontId="13" fillId="0" borderId="0" xfId="1" applyFont="1"/>
    <xf numFmtId="40" fontId="14" fillId="0" borderId="0" xfId="1" applyNumberFormat="1" applyFont="1" applyAlignment="1">
      <alignment horizontal="right"/>
    </xf>
    <xf numFmtId="40" fontId="6" fillId="0" borderId="0" xfId="1" applyNumberFormat="1" applyFont="1" applyAlignment="1">
      <alignment horizontal="right" vertical="center"/>
    </xf>
    <xf numFmtId="40" fontId="15" fillId="0" borderId="0" xfId="1" applyNumberFormat="1" applyFont="1" applyAlignment="1">
      <alignment horizontal="right" vertical="center"/>
    </xf>
    <xf numFmtId="164" fontId="16" fillId="4" borderId="0" xfId="0" applyNumberFormat="1" applyFont="1" applyFill="1"/>
    <xf numFmtId="0" fontId="16" fillId="4" borderId="0" xfId="0" applyFont="1" applyFill="1"/>
    <xf numFmtId="0" fontId="9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4" fontId="9" fillId="4" borderId="0" xfId="0" applyNumberFormat="1" applyFont="1" applyFill="1" applyAlignment="1">
      <alignment horizontal="center" vertical="center"/>
    </xf>
    <xf numFmtId="164" fontId="18" fillId="0" borderId="0" xfId="0" applyNumberFormat="1" applyFont="1"/>
    <xf numFmtId="0" fontId="1" fillId="0" borderId="0" xfId="0" applyFont="1" applyAlignment="1">
      <alignment horizontal="center"/>
    </xf>
    <xf numFmtId="164" fontId="19" fillId="4" borderId="1" xfId="0" applyNumberFormat="1" applyFont="1" applyFill="1" applyBorder="1" applyAlignment="1">
      <alignment horizontal="center"/>
    </xf>
    <xf numFmtId="0" fontId="19" fillId="4" borderId="2" xfId="0" applyFont="1" applyFill="1" applyBorder="1" applyAlignment="1">
      <alignment horizontal="center"/>
    </xf>
    <xf numFmtId="0" fontId="19" fillId="4" borderId="3" xfId="0" applyFont="1" applyFill="1" applyBorder="1" applyAlignment="1">
      <alignment horizontal="center"/>
    </xf>
    <xf numFmtId="164" fontId="20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4" fontId="19" fillId="0" borderId="5" xfId="0" applyNumberFormat="1" applyFont="1" applyBorder="1" applyAlignment="1">
      <alignment horizontal="left"/>
    </xf>
    <xf numFmtId="4" fontId="21" fillId="0" borderId="5" xfId="0" applyNumberFormat="1" applyFont="1" applyBorder="1" applyAlignment="1">
      <alignment horizontal="center"/>
    </xf>
    <xf numFmtId="4" fontId="20" fillId="0" borderId="6" xfId="0" applyNumberFormat="1" applyFont="1" applyBorder="1"/>
    <xf numFmtId="0" fontId="0" fillId="0" borderId="0" xfId="0" applyAlignment="1" applyProtection="1">
      <alignment vertical="center"/>
      <protection locked="0"/>
    </xf>
    <xf numFmtId="4" fontId="1" fillId="0" borderId="0" xfId="0" applyNumberFormat="1" applyFont="1" applyAlignment="1">
      <alignment horizontal="center"/>
    </xf>
    <xf numFmtId="0" fontId="20" fillId="0" borderId="5" xfId="0" applyFont="1" applyBorder="1" applyAlignment="1">
      <alignment horizontal="center"/>
    </xf>
    <xf numFmtId="164" fontId="16" fillId="0" borderId="0" xfId="0" applyNumberFormat="1" applyFont="1"/>
    <xf numFmtId="0" fontId="16" fillId="0" borderId="0" xfId="0" applyFont="1"/>
    <xf numFmtId="0" fontId="9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17" fontId="10" fillId="0" borderId="0" xfId="0" applyNumberFormat="1" applyFont="1" applyAlignment="1">
      <alignment horizontal="center" vertical="center"/>
    </xf>
    <xf numFmtId="164" fontId="20" fillId="0" borderId="4" xfId="2" applyNumberFormat="1" applyFont="1" applyBorder="1" applyAlignment="1">
      <alignment horizontal="center"/>
    </xf>
    <xf numFmtId="165" fontId="20" fillId="0" borderId="5" xfId="2" applyNumberFormat="1" applyFont="1" applyBorder="1" applyAlignment="1">
      <alignment horizontal="center"/>
    </xf>
    <xf numFmtId="167" fontId="5" fillId="0" borderId="5" xfId="2" applyNumberFormat="1" applyFont="1" applyBorder="1" applyAlignment="1">
      <alignment horizontal="center"/>
    </xf>
    <xf numFmtId="4" fontId="19" fillId="0" borderId="5" xfId="2" applyNumberFormat="1" applyFont="1" applyBorder="1" applyAlignment="1">
      <alignment horizontal="left"/>
    </xf>
    <xf numFmtId="4" fontId="21" fillId="0" borderId="5" xfId="2" applyNumberFormat="1" applyFont="1" applyBorder="1" applyAlignment="1">
      <alignment horizontal="center"/>
    </xf>
    <xf numFmtId="4" fontId="22" fillId="0" borderId="6" xfId="2" applyNumberFormat="1" applyFont="1" applyBorder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4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4" fontId="1" fillId="2" borderId="11" xfId="0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4" fontId="1" fillId="2" borderId="26" xfId="0" applyNumberFormat="1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9" fillId="4" borderId="2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</cellXfs>
  <cellStyles count="3">
    <cellStyle name="Normal" xfId="0" builtinId="0"/>
    <cellStyle name="Normal 2 2" xfId="2" xr:uid="{67ADD12A-5071-439E-86B2-1E2B7E70584B}"/>
    <cellStyle name="Normal 3" xfId="1" xr:uid="{0452CFFE-372B-4177-AE10-22660F84CE3D}"/>
  </cellStyles>
  <dxfs count="38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indexed="8"/>
      </font>
      <numFmt numFmtId="4" formatCode="#,##0.00"/>
      <alignment horizontal="right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indexed="8"/>
        <name val="Calibri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4" formatCode="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4" formatCode="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numFmt numFmtId="167" formatCode="0000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numFmt numFmtId="165" formatCode="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dd\-mm\-yy;@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numFmt numFmtId="164" formatCode="dd\-mm\-yy;@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right style="thin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indexed="8"/>
      </font>
      <numFmt numFmtId="4" formatCode="#,##0.00"/>
      <alignment horizontal="right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indexed="8"/>
        <name val="Calibri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4" formatCode="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4" formatCode="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numFmt numFmtId="167" formatCode="0000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numFmt numFmtId="165" formatCode="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dd\-mm\-yy;@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numFmt numFmtId="164" formatCode="dd\-mm\-yy;@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right style="thin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indexed="8"/>
      </font>
      <numFmt numFmtId="4" formatCode="#,##0.00"/>
      <alignment horizontal="right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9"/>
        <color indexed="8"/>
        <name val="Calibri"/>
        <scheme val="none"/>
      </font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4" formatCode="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4" formatCode="#,##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numFmt numFmtId="167" formatCode="0000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numFmt numFmtId="165" formatCode="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dd\-mm\-yy;@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numFmt numFmtId="164" formatCode="dd\-mm\-yy;@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right style="thin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##\-########\-#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7" formatCode="00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6" formatCode="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5" formatCode="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dd\-mm\-yy;@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4" formatCode="dd\-mm\-yy;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right style="thin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##\-########\-#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7" formatCode="00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6" formatCode="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5" formatCode="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dd\-mm\-yy;@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4" formatCode="dd\-mm\-yy;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right style="thin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##\-########\-#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7" formatCode="00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6" formatCode="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5" formatCode="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dd\-mm\-yy;@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4" formatCode="dd\-mm\-yy;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right style="thin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##\-########\-#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7" formatCode="00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6" formatCode="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5" formatCode="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dd\-mm\-yy;@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4" formatCode="dd\-mm\-yy;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right style="thin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##\-########\-#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7" formatCode="00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6" formatCode="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5" formatCode="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dd\-mm\-yy;@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64" formatCode="dd\-mm\-yy;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right style="thin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##\-########\-#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7" formatCode="00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6" formatCode="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5" formatCode="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dd\-mm\-yy;@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4" formatCode="dd\-mm\-yy;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right style="thin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##\-########\-#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7" formatCode="00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6" formatCode="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5" formatCode="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dd\-mm\-yy;@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4" formatCode="dd\-mm\-yy;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right style="thin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##\-########\-#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7" formatCode="00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6" formatCode="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5" formatCode="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dd\-mm\-yy;@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4" formatCode="dd\-mm\-yy;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right style="thin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##\-########\-#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7" formatCode="00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6" formatCode="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5" formatCode="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dd\-mm\-yy;@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4" formatCode="dd\-mm\-yy;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right style="thin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##\-########\-#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7" formatCode="00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6" formatCode="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5" formatCode="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dd\-mm\-yy;@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4" formatCode="dd\-mm\-yy;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right style="thin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##\-########\-#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7" formatCode="00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6" formatCode="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5" formatCode="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dd\-mm\-yy;@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4" formatCode="dd\-mm\-yy;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right style="thin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</font>
      <numFmt numFmtId="8" formatCode="#,##0.00;[Red]\-#,##0.00"/>
      <alignment horizontal="right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8" formatCode="##\-########\-#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7" formatCode="000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6" formatCode="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5" formatCode="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dd\-mm\-yy;@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64" formatCode="dd\-mm\-yy;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right style="thin">
          <color rgb="FF000000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font>
        <b/>
        <i val="0"/>
        <color auto="1"/>
      </font>
      <fill>
        <patternFill>
          <bgColor theme="0" tint="-0.24994659260841701"/>
        </patternFill>
      </fill>
      <border>
        <top style="thick">
          <color auto="1"/>
        </top>
      </border>
    </dxf>
    <dxf>
      <font>
        <b/>
        <i val="0"/>
      </font>
      <fill>
        <patternFill>
          <bgColor theme="0" tint="-0.14996795556505021"/>
        </patternFill>
      </fill>
      <border>
        <bottom style="thick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Estilo de tabla 1" pivot="0" count="3" xr9:uid="{336B9085-BF6B-44EB-9A89-C8C9F7B56194}">
      <tableStyleElement type="wholeTable" dxfId="383"/>
      <tableStyleElement type="headerRow" dxfId="382"/>
      <tableStyleElement type="totalRow" dxfId="38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IATIVO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RAS"/>
      <sheetName val="VENTAS"/>
    </sheetNames>
    <sheetDataSet>
      <sheetData sheetId="0"/>
      <sheetData sheetId="1">
        <row r="5">
          <cell r="H5">
            <v>57746.25</v>
          </cell>
          <cell r="I5">
            <v>12126.7125</v>
          </cell>
        </row>
        <row r="6">
          <cell r="H6">
            <v>65793.2</v>
          </cell>
          <cell r="I6">
            <v>13816.571999999998</v>
          </cell>
        </row>
        <row r="7">
          <cell r="H7">
            <v>1109799.9000000001</v>
          </cell>
          <cell r="J7">
            <v>116529.42400000001</v>
          </cell>
        </row>
        <row r="8">
          <cell r="H8">
            <v>2012241</v>
          </cell>
          <cell r="J8">
            <v>211285.30499999999</v>
          </cell>
        </row>
        <row r="9">
          <cell r="H9">
            <v>6522700.3500000006</v>
          </cell>
          <cell r="I9">
            <v>25943.284499999998</v>
          </cell>
          <cell r="J9">
            <v>671912.32899999991</v>
          </cell>
          <cell r="K9">
            <v>0</v>
          </cell>
        </row>
        <row r="16">
          <cell r="H16">
            <v>4833752</v>
          </cell>
          <cell r="J16">
            <v>507543.96</v>
          </cell>
        </row>
        <row r="17">
          <cell r="H17">
            <v>88961.72</v>
          </cell>
          <cell r="I17">
            <v>18681.961199999998</v>
          </cell>
        </row>
        <row r="18">
          <cell r="H18">
            <v>794855.92500000005</v>
          </cell>
          <cell r="I18">
            <v>166919.30200000003</v>
          </cell>
        </row>
        <row r="19">
          <cell r="H19">
            <v>4607769.6450000005</v>
          </cell>
          <cell r="I19">
            <v>185601.26320000002</v>
          </cell>
          <cell r="J19">
            <v>391014.96</v>
          </cell>
          <cell r="K19">
            <v>0</v>
          </cell>
        </row>
        <row r="29">
          <cell r="H29">
            <v>2798180</v>
          </cell>
          <cell r="J29">
            <v>293808.90000000002</v>
          </cell>
        </row>
        <row r="30">
          <cell r="H30">
            <v>526930</v>
          </cell>
          <cell r="I30">
            <v>110655.3</v>
          </cell>
        </row>
        <row r="31">
          <cell r="H31">
            <v>95686.5</v>
          </cell>
          <cell r="I31">
            <v>20094.165000000001</v>
          </cell>
        </row>
        <row r="32">
          <cell r="H32">
            <v>4193697.42</v>
          </cell>
          <cell r="I32">
            <v>130749.465</v>
          </cell>
          <cell r="J32">
            <v>374963.49660000001</v>
          </cell>
        </row>
        <row r="39">
          <cell r="H39">
            <v>4958800</v>
          </cell>
          <cell r="J39">
            <v>520674</v>
          </cell>
        </row>
        <row r="40">
          <cell r="H40">
            <v>82412.679999999993</v>
          </cell>
          <cell r="I40">
            <v>17305.2</v>
          </cell>
        </row>
        <row r="41">
          <cell r="H41">
            <v>68558.400000000009</v>
          </cell>
          <cell r="I41">
            <v>14397.08</v>
          </cell>
        </row>
        <row r="42">
          <cell r="H42">
            <v>496054.8</v>
          </cell>
          <cell r="I42">
            <v>104171.6</v>
          </cell>
        </row>
        <row r="43">
          <cell r="H43">
            <v>41400</v>
          </cell>
          <cell r="I43">
            <v>8694</v>
          </cell>
        </row>
        <row r="44">
          <cell r="H44">
            <v>276000</v>
          </cell>
          <cell r="I44">
            <v>57960</v>
          </cell>
        </row>
        <row r="45">
          <cell r="H45">
            <v>664167.31999999995</v>
          </cell>
          <cell r="I45">
            <v>139474.76</v>
          </cell>
        </row>
        <row r="46">
          <cell r="H46">
            <v>1972480.95</v>
          </cell>
          <cell r="J46">
            <v>207110.04</v>
          </cell>
        </row>
        <row r="47">
          <cell r="H47">
            <v>25000</v>
          </cell>
          <cell r="I47">
            <v>5250</v>
          </cell>
        </row>
        <row r="48">
          <cell r="H48">
            <v>3569720</v>
          </cell>
          <cell r="J48">
            <v>374820.6</v>
          </cell>
        </row>
        <row r="49">
          <cell r="H49">
            <v>13571394.15</v>
          </cell>
          <cell r="I49">
            <v>347252.64</v>
          </cell>
          <cell r="J49">
            <v>1251368.6400000001</v>
          </cell>
        </row>
        <row r="56">
          <cell r="H56">
            <v>37424</v>
          </cell>
          <cell r="I56">
            <v>7859.04</v>
          </cell>
        </row>
        <row r="57">
          <cell r="H57">
            <v>1440824</v>
          </cell>
          <cell r="J57">
            <v>151286.51999999999</v>
          </cell>
        </row>
        <row r="58">
          <cell r="H58">
            <v>1440824</v>
          </cell>
          <cell r="J58">
            <v>151286.51999999999</v>
          </cell>
        </row>
        <row r="59">
          <cell r="H59">
            <v>474772.45</v>
          </cell>
          <cell r="I59">
            <v>99702.214500000002</v>
          </cell>
        </row>
        <row r="60">
          <cell r="H60">
            <v>389583.84</v>
          </cell>
          <cell r="I60">
            <v>81812.606400000004</v>
          </cell>
        </row>
        <row r="61">
          <cell r="H61">
            <v>281250</v>
          </cell>
          <cell r="I61">
            <v>59062.5</v>
          </cell>
        </row>
        <row r="62">
          <cell r="H62">
            <v>1270709.5250000001</v>
          </cell>
          <cell r="J62">
            <v>133424.50012500002</v>
          </cell>
        </row>
        <row r="63">
          <cell r="H63">
            <v>25000</v>
          </cell>
          <cell r="I63">
            <v>5250</v>
          </cell>
        </row>
        <row r="64">
          <cell r="H64">
            <v>6035815.2314000009</v>
          </cell>
          <cell r="I64">
            <v>395526.11834400002</v>
          </cell>
          <cell r="J64">
            <v>435997.540125</v>
          </cell>
          <cell r="K64">
            <v>0</v>
          </cell>
        </row>
        <row r="74">
          <cell r="H74">
            <v>2918916</v>
          </cell>
          <cell r="J74">
            <v>306486.18</v>
          </cell>
        </row>
        <row r="75">
          <cell r="H75">
            <v>80013.09</v>
          </cell>
          <cell r="I75">
            <v>16802.938999999998</v>
          </cell>
        </row>
        <row r="76">
          <cell r="H76">
            <v>3799644.5</v>
          </cell>
          <cell r="I76">
            <v>28960.994999999999</v>
          </cell>
          <cell r="J76">
            <v>384482.17499999999</v>
          </cell>
        </row>
        <row r="77">
          <cell r="H77">
            <v>2139142.5</v>
          </cell>
          <cell r="J77">
            <v>224609.96249999999</v>
          </cell>
        </row>
        <row r="78">
          <cell r="H78">
            <v>9621880.620000001</v>
          </cell>
          <cell r="I78">
            <v>189438.4853</v>
          </cell>
          <cell r="J78">
            <v>915578.3175</v>
          </cell>
          <cell r="K78">
            <v>0</v>
          </cell>
        </row>
        <row r="85">
          <cell r="H85">
            <v>3686760</v>
          </cell>
          <cell r="J85">
            <v>387109.80000000005</v>
          </cell>
        </row>
        <row r="86">
          <cell r="H86">
            <v>-57432</v>
          </cell>
          <cell r="I86">
            <v>-12060.72</v>
          </cell>
        </row>
        <row r="87">
          <cell r="H87">
            <v>221850.38</v>
          </cell>
          <cell r="I87">
            <v>46588.5798</v>
          </cell>
        </row>
        <row r="88">
          <cell r="H88">
            <v>4358494.38</v>
          </cell>
          <cell r="I88">
            <v>46588.5798</v>
          </cell>
          <cell r="J88">
            <v>434347.62000000005</v>
          </cell>
        </row>
        <row r="89">
          <cell r="I89">
            <v>480936.19980000006</v>
          </cell>
        </row>
        <row r="110">
          <cell r="H110">
            <v>-35677.56</v>
          </cell>
          <cell r="I110">
            <v>-7491.9</v>
          </cell>
        </row>
        <row r="111">
          <cell r="H111">
            <v>-61518.67</v>
          </cell>
          <cell r="I111">
            <v>-12918.92</v>
          </cell>
        </row>
        <row r="112">
          <cell r="H112">
            <v>107836.685</v>
          </cell>
          <cell r="I112">
            <v>22645.48</v>
          </cell>
        </row>
        <row r="113">
          <cell r="H113">
            <v>33162.36</v>
          </cell>
          <cell r="I113">
            <v>6963.77</v>
          </cell>
        </row>
        <row r="114">
          <cell r="H114">
            <v>3730650</v>
          </cell>
          <cell r="J114">
            <v>391718.25</v>
          </cell>
        </row>
        <row r="115">
          <cell r="H115">
            <v>71298</v>
          </cell>
          <cell r="I115">
            <v>14972.58</v>
          </cell>
        </row>
        <row r="116">
          <cell r="H116">
            <v>151912.68</v>
          </cell>
          <cell r="I116">
            <v>31901.52</v>
          </cell>
        </row>
        <row r="117">
          <cell r="H117">
            <v>35677.56</v>
          </cell>
          <cell r="I117">
            <v>7491.9</v>
          </cell>
        </row>
        <row r="118">
          <cell r="H118">
            <v>29137.32</v>
          </cell>
          <cell r="I118">
            <v>6118.98</v>
          </cell>
        </row>
        <row r="119">
          <cell r="H119">
            <v>128983.08</v>
          </cell>
          <cell r="I119">
            <v>27086.1</v>
          </cell>
        </row>
        <row r="120">
          <cell r="H120">
            <v>37969.5</v>
          </cell>
          <cell r="I120">
            <v>7973.34</v>
          </cell>
        </row>
        <row r="121">
          <cell r="H121">
            <v>59033.1</v>
          </cell>
          <cell r="I121">
            <v>12396.950999999999</v>
          </cell>
        </row>
        <row r="122">
          <cell r="H122">
            <v>61518.67</v>
          </cell>
          <cell r="I122">
            <v>12918.920700000001</v>
          </cell>
        </row>
        <row r="123">
          <cell r="H123">
            <v>104519.95</v>
          </cell>
          <cell r="I123">
            <v>21948.99</v>
          </cell>
        </row>
        <row r="124">
          <cell r="H124">
            <v>194560</v>
          </cell>
          <cell r="I124">
            <v>40858</v>
          </cell>
        </row>
        <row r="125">
          <cell r="H125">
            <v>209521.63500000001</v>
          </cell>
          <cell r="I125">
            <v>43998.58</v>
          </cell>
        </row>
        <row r="126">
          <cell r="H126">
            <v>30039.99</v>
          </cell>
          <cell r="I126">
            <v>6308.85</v>
          </cell>
        </row>
        <row r="127">
          <cell r="H127">
            <v>75356.850000000006</v>
          </cell>
          <cell r="I127">
            <v>15824.53</v>
          </cell>
        </row>
        <row r="128">
          <cell r="H128">
            <v>25072.0275</v>
          </cell>
          <cell r="I128">
            <v>5264.91</v>
          </cell>
        </row>
        <row r="129">
          <cell r="H129">
            <v>4988223.915</v>
          </cell>
          <cell r="I129">
            <v>264088.59169999999</v>
          </cell>
          <cell r="J129">
            <v>391718.25</v>
          </cell>
        </row>
        <row r="136">
          <cell r="H136">
            <v>3018708</v>
          </cell>
          <cell r="J136">
            <v>316964.34000000003</v>
          </cell>
          <cell r="K136">
            <v>316964.34000000003</v>
          </cell>
        </row>
        <row r="137">
          <cell r="H137">
            <v>279328.5</v>
          </cell>
          <cell r="I137">
            <v>58682.924999999996</v>
          </cell>
        </row>
        <row r="138">
          <cell r="H138">
            <v>34692</v>
          </cell>
          <cell r="I138">
            <v>7285.32</v>
          </cell>
        </row>
        <row r="139">
          <cell r="H139">
            <v>1474181.75</v>
          </cell>
          <cell r="J139">
            <v>154789.57399999999</v>
          </cell>
          <cell r="K139">
            <v>154789.57399999999</v>
          </cell>
        </row>
        <row r="140">
          <cell r="H140">
            <v>190315.5625</v>
          </cell>
          <cell r="I140">
            <v>39966.009999999995</v>
          </cell>
        </row>
        <row r="141">
          <cell r="H141">
            <v>1008509.49</v>
          </cell>
          <cell r="J141">
            <v>105893.49644999999</v>
          </cell>
          <cell r="K141">
            <v>105893.49644999999</v>
          </cell>
        </row>
        <row r="142">
          <cell r="H142">
            <v>67835.25</v>
          </cell>
          <cell r="I142">
            <v>14245.4025</v>
          </cell>
        </row>
        <row r="143">
          <cell r="H143">
            <v>854253</v>
          </cell>
          <cell r="I143">
            <v>179393.13</v>
          </cell>
        </row>
        <row r="144">
          <cell r="H144">
            <v>41938.199999999997</v>
          </cell>
          <cell r="I144">
            <v>8806.8150000000005</v>
          </cell>
        </row>
        <row r="145">
          <cell r="H145">
            <v>194373</v>
          </cell>
          <cell r="I145">
            <v>40818.33</v>
          </cell>
        </row>
        <row r="146">
          <cell r="H146">
            <v>29342.25</v>
          </cell>
          <cell r="I146">
            <v>6162.39</v>
          </cell>
        </row>
        <row r="147">
          <cell r="H147">
            <v>149483</v>
          </cell>
          <cell r="I147">
            <v>31391.637500000001</v>
          </cell>
        </row>
        <row r="148">
          <cell r="H148">
            <v>1993814.9999999998</v>
          </cell>
          <cell r="I148">
            <v>20676.599999999999</v>
          </cell>
          <cell r="J148">
            <v>199012.27499999999</v>
          </cell>
          <cell r="K148">
            <v>199012.27499999999</v>
          </cell>
        </row>
        <row r="149">
          <cell r="H149">
            <v>901086.54400000011</v>
          </cell>
          <cell r="I149">
            <v>189228.47039999999</v>
          </cell>
        </row>
        <row r="150">
          <cell r="H150">
            <v>70977.45</v>
          </cell>
          <cell r="I150">
            <v>14905.762499999999</v>
          </cell>
        </row>
        <row r="151">
          <cell r="H151">
            <v>98720</v>
          </cell>
          <cell r="I151">
            <v>20731.2</v>
          </cell>
        </row>
        <row r="152">
          <cell r="H152">
            <v>-3018708</v>
          </cell>
          <cell r="J152">
            <v>-316964.34000000003</v>
          </cell>
          <cell r="K152">
            <v>-316964.34000000003</v>
          </cell>
        </row>
        <row r="153">
          <cell r="H153">
            <v>-1474181.75</v>
          </cell>
          <cell r="J153">
            <v>-154789.57</v>
          </cell>
          <cell r="K153">
            <v>-154789.57</v>
          </cell>
        </row>
        <row r="154">
          <cell r="H154">
            <v>8934609.2464999985</v>
          </cell>
          <cell r="I154">
            <v>632293.99289999995</v>
          </cell>
          <cell r="J154">
            <v>621999.47544999979</v>
          </cell>
        </row>
        <row r="168">
          <cell r="H168">
            <v>161939.44</v>
          </cell>
          <cell r="I168">
            <v>34007.282400000004</v>
          </cell>
        </row>
        <row r="169">
          <cell r="H169">
            <v>543070</v>
          </cell>
          <cell r="J169">
            <v>57022.35</v>
          </cell>
        </row>
        <row r="170">
          <cell r="H170">
            <v>3807265</v>
          </cell>
          <cell r="J170">
            <v>399762.82500000001</v>
          </cell>
        </row>
        <row r="171">
          <cell r="H171">
            <v>1262924.19</v>
          </cell>
          <cell r="J171">
            <v>132607.03994999998</v>
          </cell>
        </row>
        <row r="172">
          <cell r="H172">
            <v>137979.04499999998</v>
          </cell>
          <cell r="I172">
            <v>28975.599449999998</v>
          </cell>
        </row>
        <row r="173">
          <cell r="H173">
            <v>68234.100000000006</v>
          </cell>
          <cell r="I173">
            <v>14329.161</v>
          </cell>
        </row>
        <row r="174">
          <cell r="H174">
            <v>67989.789999999994</v>
          </cell>
          <cell r="I174">
            <v>14277.855899999999</v>
          </cell>
        </row>
        <row r="175">
          <cell r="H175">
            <v>114573.8</v>
          </cell>
          <cell r="I175">
            <v>24060.498000000003</v>
          </cell>
        </row>
        <row r="176">
          <cell r="H176">
            <v>62166.004999999997</v>
          </cell>
          <cell r="I176">
            <v>13054.86105</v>
          </cell>
        </row>
        <row r="177">
          <cell r="H177">
            <v>191407.58</v>
          </cell>
          <cell r="I177">
            <v>40195.591799999995</v>
          </cell>
        </row>
        <row r="178">
          <cell r="H178">
            <v>76048.5</v>
          </cell>
          <cell r="I178">
            <v>15970.184999999999</v>
          </cell>
        </row>
        <row r="179">
          <cell r="H179">
            <v>74135.764999999999</v>
          </cell>
          <cell r="I179">
            <v>15568.51065</v>
          </cell>
        </row>
        <row r="180">
          <cell r="H180">
            <v>847653.84</v>
          </cell>
          <cell r="J180">
            <v>89003.653199999986</v>
          </cell>
        </row>
        <row r="181">
          <cell r="H181">
            <v>80640</v>
          </cell>
          <cell r="I181">
            <v>16934.400000000001</v>
          </cell>
        </row>
        <row r="182">
          <cell r="H182">
            <v>98061.599999999991</v>
          </cell>
          <cell r="I182">
            <v>20592.935999999998</v>
          </cell>
        </row>
        <row r="183">
          <cell r="H183">
            <v>7432149.214999998</v>
          </cell>
          <cell r="I183">
            <v>203959.59884999998</v>
          </cell>
          <cell r="J183">
            <v>678395.86814999988</v>
          </cell>
        </row>
        <row r="198">
          <cell r="H198">
            <v>284829</v>
          </cell>
          <cell r="I198">
            <v>59814.09</v>
          </cell>
        </row>
        <row r="199">
          <cell r="H199">
            <v>52625</v>
          </cell>
          <cell r="I199">
            <v>11051.25</v>
          </cell>
        </row>
        <row r="200">
          <cell r="H200">
            <v>17529.75</v>
          </cell>
          <cell r="I200">
            <v>3681.2474999999999</v>
          </cell>
        </row>
        <row r="201">
          <cell r="H201">
            <v>17529.75</v>
          </cell>
          <cell r="I201">
            <v>3681.2474999999999</v>
          </cell>
        </row>
        <row r="202">
          <cell r="H202">
            <v>502703.52</v>
          </cell>
          <cell r="I202">
            <v>105567.7392</v>
          </cell>
        </row>
        <row r="203">
          <cell r="H203">
            <v>1142386.9256</v>
          </cell>
          <cell r="I203">
            <v>239901.25437599997</v>
          </cell>
        </row>
        <row r="204">
          <cell r="H204">
            <v>60398.799999999996</v>
          </cell>
          <cell r="J204">
            <v>6341.8739999999989</v>
          </cell>
        </row>
        <row r="205">
          <cell r="H205">
            <v>-60398.8</v>
          </cell>
          <cell r="J205">
            <v>-6341.8739999999998</v>
          </cell>
        </row>
        <row r="206">
          <cell r="H206">
            <v>-39876.300000000003</v>
          </cell>
          <cell r="I206">
            <v>-413.53</v>
          </cell>
          <cell r="J206">
            <v>-3980.25</v>
          </cell>
        </row>
        <row r="207">
          <cell r="H207">
            <v>-18021.335999999999</v>
          </cell>
          <cell r="I207">
            <v>-3784.4805599999995</v>
          </cell>
        </row>
        <row r="208">
          <cell r="H208">
            <v>-76145.3</v>
          </cell>
          <cell r="J208">
            <v>-7995.2565000000004</v>
          </cell>
        </row>
        <row r="209">
          <cell r="H209">
            <v>-60398.8</v>
          </cell>
          <cell r="J209">
            <v>-6341.8739999999998</v>
          </cell>
        </row>
        <row r="210">
          <cell r="H210">
            <v>-17085.060000000001</v>
          </cell>
          <cell r="I210">
            <v>-3587.8625999999999</v>
          </cell>
        </row>
        <row r="211">
          <cell r="H211">
            <v>-847653.84</v>
          </cell>
          <cell r="J211">
            <v>-89003.653200000001</v>
          </cell>
        </row>
        <row r="212">
          <cell r="H212">
            <v>1243252.3096000007</v>
          </cell>
          <cell r="I212">
            <v>475725.04541599995</v>
          </cell>
          <cell r="J212">
            <v>-107321.0337</v>
          </cell>
        </row>
        <row r="219">
          <cell r="H219">
            <v>933779.03999999992</v>
          </cell>
          <cell r="I219">
            <v>196093.59839999999</v>
          </cell>
        </row>
        <row r="220">
          <cell r="H220">
            <v>1159463.0047999998</v>
          </cell>
          <cell r="I220">
            <v>243487.25119999997</v>
          </cell>
        </row>
        <row r="221">
          <cell r="H221">
            <v>432298.35</v>
          </cell>
          <cell r="J221">
            <v>45390.82</v>
          </cell>
        </row>
        <row r="222">
          <cell r="H222">
            <v>393782.4</v>
          </cell>
          <cell r="I222">
            <v>82694.304000000004</v>
          </cell>
        </row>
        <row r="223">
          <cell r="H223">
            <v>5905515</v>
          </cell>
          <cell r="J223">
            <v>620079.07499999995</v>
          </cell>
        </row>
        <row r="224">
          <cell r="H224">
            <v>16598757.794799998</v>
          </cell>
          <cell r="I224">
            <v>522275.15359999996</v>
          </cell>
          <cell r="J224">
            <v>1481731.4949999996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1C870F-FD78-410F-9374-02CBA529C53A}" name="VentasAOct" displayName="VentasAOct" ref="A4:L10" totalsRowCount="1" headerRowDxfId="380" dataDxfId="379" totalsRowDxfId="378" dataCellStyle="Normal 3">
  <tableColumns count="12">
    <tableColumn id="1" xr3:uid="{A1ED1632-84C1-4608-8BA8-71486A74BB61}" name="FECHA" dataDxfId="377" totalsRowDxfId="376" dataCellStyle="Normal 2 2"/>
    <tableColumn id="10" xr3:uid="{553AAF6D-D4C6-4134-A941-5EF548F57851}" name="TIPO" dataDxfId="375" totalsRowDxfId="374" dataCellStyle="Normal 2 2"/>
    <tableColumn id="2" xr3:uid="{1C25E3A9-F194-425E-819D-BEED1C2D34B6}" name="PTO VTA" dataDxfId="373" totalsRowDxfId="372" dataCellStyle="Normal 2 2"/>
    <tableColumn id="3" xr3:uid="{5DAE74C9-C5BE-475F-81F1-FA14D430AF23}" name="N° FACTURA" totalsRowLabel="T O T A L " dataDxfId="371" totalsRowDxfId="370" dataCellStyle="Normal 2 2"/>
    <tableColumn id="11" xr3:uid="{544B51EF-17C1-48BD-B98A-7F85C163C425}" name="Codigo de Documento" dataDxfId="369" totalsRowDxfId="368" dataCellStyle="Normal 2 2"/>
    <tableColumn id="4" xr3:uid="{DEC8F744-A9C4-4F7C-8898-7EB0AF22E9C6}" name="CUIT" dataDxfId="367" totalsRowDxfId="366" dataCellStyle="Normal 2 2"/>
    <tableColumn id="5" xr3:uid="{8579EDB1-D56F-4249-BED9-1A3238257DD3}" name="RAZON SOCIAL" dataDxfId="365" totalsRowDxfId="364" dataCellStyle="Normal 2 2"/>
    <tableColumn id="8" xr3:uid="{C24F94B6-94A3-4A12-8E6D-98C16C70CD13}" name="IMPORTE NETO" totalsRowFunction="sum" dataDxfId="363" totalsRowDxfId="362" dataCellStyle="Normal 2 2"/>
    <tableColumn id="9" xr3:uid="{81F883BE-5E5E-4900-BCAD-115653C066D8}" name="IVA 21%" totalsRowFunction="sum" dataDxfId="361" totalsRowDxfId="360" dataCellStyle="Normal 2 2"/>
    <tableColumn id="6" xr3:uid="{D6FD9B08-35E5-4DB4-BDDC-CB8E123361FA}" name="IVA 10,5%" totalsRowFunction="sum" dataDxfId="359" totalsRowDxfId="358" dataCellStyle="Normal 2 2"/>
    <tableColumn id="7" xr3:uid="{C21FC342-06D6-4659-A56F-EA7080D8F0D8}" name="Exento" totalsRowFunction="sum" dataDxfId="357" totalsRowDxfId="356" dataCellStyle="Normal 2 2"/>
    <tableColumn id="32" xr3:uid="{4CD36B24-0518-413B-84C6-D4F49A8610D6}" name="TOTAL" totalsRowFunction="sum" dataDxfId="355" totalsRowDxfId="354" dataCellStyle="Normal 2 2"/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1C2937-5F9E-48C4-A44D-EC2B90DDD350}" name="VentasANov" displayName="VentasANov" ref="A15:L20" totalsRowCount="1" headerRowDxfId="353" dataDxfId="352" totalsRowDxfId="351" dataCellStyle="Normal 3">
  <tableColumns count="12">
    <tableColumn id="1" xr3:uid="{DF4DB18C-8899-4ABE-A3EF-6C386BBC26BE}" name="FECHA" dataDxfId="350" totalsRowDxfId="349" dataCellStyle="Normal 2 2"/>
    <tableColumn id="10" xr3:uid="{8FDE0BB9-33C4-476A-94BE-28CCCE713EFE}" name="TIPO" dataDxfId="348" totalsRowDxfId="347" dataCellStyle="Normal 2 2"/>
    <tableColumn id="2" xr3:uid="{77EE9023-70DA-4291-9BC1-2D594332B9DE}" name="PTO VTA" dataDxfId="346" totalsRowDxfId="345" dataCellStyle="Normal 2 2"/>
    <tableColumn id="3" xr3:uid="{BD0DED26-FB45-400D-9C8F-058547DDAE62}" name="N° FACTURA" totalsRowLabel="T O T A L " dataDxfId="344" totalsRowDxfId="343" dataCellStyle="Normal 2 2"/>
    <tableColumn id="11" xr3:uid="{261A6D90-48B3-4BC5-B36A-E1A0B98AE389}" name="Codigo de Documento" dataDxfId="342" totalsRowDxfId="341" dataCellStyle="Normal 2 2"/>
    <tableColumn id="4" xr3:uid="{64C5B54F-F894-434C-B89F-A8EF22AC5461}" name="CUIT" dataDxfId="340" totalsRowDxfId="339" dataCellStyle="Normal 2 2"/>
    <tableColumn id="5" xr3:uid="{D3B3A9CD-4679-4AA1-9515-B68545EC09C9}" name="RAZON SOCIAL" dataDxfId="338" totalsRowDxfId="337" dataCellStyle="Normal 2 2"/>
    <tableColumn id="8" xr3:uid="{6A40BFA7-6934-4FAE-B0F6-C67DBD5FBB8E}" name="IMPORTE NETO" totalsRowFunction="sum" dataDxfId="336" totalsRowDxfId="335" dataCellStyle="Normal 2 2"/>
    <tableColumn id="9" xr3:uid="{DA627308-40A3-4739-BE72-370DF0535503}" name="IVA 21%" totalsRowFunction="sum" dataDxfId="334" totalsRowDxfId="333" dataCellStyle="Normal 2 2"/>
    <tableColumn id="6" xr3:uid="{C2D67255-8FB1-4598-986B-17B2471E144F}" name="IVA 10,5%" totalsRowFunction="sum" dataDxfId="332" totalsRowDxfId="331" dataCellStyle="Normal 2 2"/>
    <tableColumn id="7" xr3:uid="{8AD25FE5-0AAA-4C94-92E8-C2AFC7CDC974}" name="Exento" totalsRowFunction="sum" dataDxfId="330" totalsRowDxfId="329" dataCellStyle="Normal 2 2"/>
    <tableColumn id="32" xr3:uid="{AFE5E4F5-A61A-4A3D-9CCA-1B3C702A98DB}" name="TOTAL" totalsRowFunction="sum" dataDxfId="328" totalsRowDxfId="327" dataCellStyle="Normal 2 2">
      <calculatedColumnFormula>SUM([1]VENTAS!$H16:$K16)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EED6E4-5973-4F34-B486-1A164EB1C130}" name="VentasADic" displayName="VentasADic" ref="A28:L33" totalsRowCount="1" headerRowDxfId="326" dataDxfId="325" totalsRowDxfId="324" dataCellStyle="Normal 3">
  <tableColumns count="12">
    <tableColumn id="1" xr3:uid="{2B162F40-1D13-4975-B34D-8FEBF1703E7B}" name="FECHA" dataDxfId="323" totalsRowDxfId="322" dataCellStyle="Normal 2 2"/>
    <tableColumn id="10" xr3:uid="{2A9ACFFE-B896-42E2-AF1B-D48A6DA1F51F}" name="TIPO" dataDxfId="321" totalsRowDxfId="320" dataCellStyle="Normal 2 2"/>
    <tableColumn id="2" xr3:uid="{05A64952-FE50-48E9-B2C7-41B825FBF190}" name="PTO VTA" dataDxfId="319" totalsRowDxfId="318" dataCellStyle="Normal 2 2"/>
    <tableColumn id="3" xr3:uid="{483D9AB0-A205-47C0-8B4C-036A7F147827}" name="N° FACTURA" totalsRowLabel="T O T A L " dataDxfId="317" totalsRowDxfId="316" dataCellStyle="Normal 2 2"/>
    <tableColumn id="11" xr3:uid="{52185DBF-6D2C-4A08-A248-BB9904476347}" name="Codigo de Documento" dataDxfId="315" totalsRowDxfId="314" dataCellStyle="Normal 2 2"/>
    <tableColumn id="4" xr3:uid="{0868E227-97E8-4008-8ECD-78ABAAFBBDC8}" name="CUIT" dataDxfId="313" totalsRowDxfId="312" dataCellStyle="Normal 2 2"/>
    <tableColumn id="5" xr3:uid="{4B14FC9E-FD9E-4830-AF8E-4A7EFFACBC28}" name="RAZON SOCIAL" dataDxfId="311" totalsRowDxfId="310" dataCellStyle="Normal 2 2"/>
    <tableColumn id="8" xr3:uid="{B8751A34-5CF3-4024-940A-EC9E0CA932B1}" name="IMPORTE NETO" totalsRowFunction="sum" dataDxfId="309" totalsRowDxfId="308" dataCellStyle="Normal 2 2"/>
    <tableColumn id="9" xr3:uid="{2D9BF051-D24C-4A05-944E-9C5AF822477E}" name="IVA 21%" totalsRowFunction="sum" dataDxfId="307" totalsRowDxfId="306" dataCellStyle="Normal 2 2"/>
    <tableColumn id="6" xr3:uid="{1BCDD1DA-9DD9-4B1E-B75B-B18378529CA0}" name="IVA 10,5%" totalsRowFunction="sum" dataDxfId="305" totalsRowDxfId="304" dataCellStyle="Normal 2 2"/>
    <tableColumn id="7" xr3:uid="{3E554D75-A159-4826-A6B0-AF0D60B99BE0}" name="Exento" dataDxfId="303" totalsRowDxfId="302" dataCellStyle="Normal 2 2"/>
    <tableColumn id="32" xr3:uid="{F1E069B8-59E6-4808-82BD-F0489FD7FDF1}" name="TOTAL" totalsRowFunction="sum" dataDxfId="301" totalsRowDxfId="300" dataCellStyle="Normal 2 2">
      <calculatedColumnFormula>SUM([1]VENTAS!$H29:$K29)</calculatedColumnFormula>
    </tableColumn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69360E-7D4D-4216-8C1C-DC151CF33D3B}" name="VentasAEnero" displayName="VentasAEnero" ref="A37:L49" totalsRowCount="1" headerRowDxfId="299" dataDxfId="298" totalsRowDxfId="297" dataCellStyle="Normal">
  <tableColumns count="12">
    <tableColumn id="1" xr3:uid="{CD6A330E-A3B9-4F71-BE18-BA9044530FAE}" name="FECHA" dataDxfId="296" totalsRowDxfId="295" dataCellStyle="Normal 2 2"/>
    <tableColumn id="10" xr3:uid="{0EED6DD9-5CD4-432B-BE1E-148B2DA1A061}" name="TIPO" dataDxfId="294" totalsRowDxfId="293" dataCellStyle="Normal 2 2"/>
    <tableColumn id="2" xr3:uid="{76AD2644-8FF7-4E07-ABAE-E4DDAC0BC20A}" name="PTO VTA" dataDxfId="292" totalsRowDxfId="291" dataCellStyle="Normal 2 2"/>
    <tableColumn id="3" xr3:uid="{02AF49AC-B59C-45BC-BFBE-B2E0E518D7F6}" name="N° FACTURA" totalsRowLabel="T O T A L " dataDxfId="290" totalsRowDxfId="289" dataCellStyle="Normal 2 2"/>
    <tableColumn id="11" xr3:uid="{53E9ECBC-6BC6-41A3-9D90-68592D83B17E}" name="Codigo de Documento" dataDxfId="288" totalsRowDxfId="287" dataCellStyle="Normal 2 2"/>
    <tableColumn id="4" xr3:uid="{8BBB763A-4BCB-4BF4-9D9F-9C116D92D034}" name="CUIT" dataDxfId="286" totalsRowDxfId="285" dataCellStyle="Normal 2 2"/>
    <tableColumn id="5" xr3:uid="{463D6060-8275-4565-8DA9-5A9E76F8464A}" name="RAZON SOCIAL" dataDxfId="284" totalsRowDxfId="283" dataCellStyle="Normal 2 2"/>
    <tableColumn id="8" xr3:uid="{BC9CF97D-3778-4094-88BB-967736438594}" name="IMPORTE NETO" totalsRowFunction="sum" dataDxfId="282" totalsRowDxfId="281" dataCellStyle="Normal 2 2"/>
    <tableColumn id="9" xr3:uid="{9AD96638-BCBF-45B7-9FA5-8A16004580B1}" name="IVA 21%" totalsRowFunction="sum" dataDxfId="280" totalsRowDxfId="279" dataCellStyle="Normal 2 2"/>
    <tableColumn id="6" xr3:uid="{FF95E67C-24B4-4231-B2BB-7DC538EBB303}" name="IVA 10,5%" totalsRowFunction="custom" dataDxfId="278" totalsRowDxfId="277" dataCellStyle="Normal 2 2">
      <totalsRowFormula>SUM(J38:J48)</totalsRowFormula>
    </tableColumn>
    <tableColumn id="7" xr3:uid="{C03A290F-A64C-403D-973A-5C40F418D6E5}" name="Exento" dataDxfId="276" totalsRowDxfId="275" dataCellStyle="Normal 2 2"/>
    <tableColumn id="32" xr3:uid="{74FB3DA4-6DFA-4B2F-99EC-B9CADB14D90E}" name="TOTAL" totalsRowFunction="sum" dataDxfId="274" totalsRowDxfId="273" dataCellStyle="Normal 2 2">
      <calculatedColumnFormula>SUM([1]VENTAS!$H39:$K39)</calculatedColumnFormula>
    </tableColumn>
  </tableColumns>
  <tableStyleInfo name="Estilo de tabla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AE69A8-1734-451D-90EF-28C0885A0794}" name="VentasAFebrero" displayName="VentasAFebrero" ref="A53:L63" totalsRowCount="1" headerRowDxfId="272" dataDxfId="271" totalsRowDxfId="270" dataCellStyle="Normal">
  <tableColumns count="12">
    <tableColumn id="1" xr3:uid="{50342B20-E356-4D3D-B682-34EC2660A13C}" name="FECHA" dataDxfId="269" totalsRowDxfId="268" dataCellStyle="Normal 2 2"/>
    <tableColumn id="10" xr3:uid="{5C4D4791-9F93-4A52-9398-F59212B902C7}" name="TIPO" dataDxfId="267" totalsRowDxfId="266" dataCellStyle="Normal 2 2"/>
    <tableColumn id="2" xr3:uid="{FC169FAF-00C1-460F-A97D-D4FD57E9B488}" name="PTO VTA" dataDxfId="265" totalsRowDxfId="264" dataCellStyle="Normal 2 2"/>
    <tableColumn id="3" xr3:uid="{0C7730D3-2A25-4FD3-9850-A2D20A33070F}" name="N° FACTURA" totalsRowLabel="T O T A L " dataDxfId="263" totalsRowDxfId="262" dataCellStyle="Normal 2 2"/>
    <tableColumn id="11" xr3:uid="{430BED80-801F-4AFC-B55B-BF62D7631885}" name="Codigo de Documento" dataDxfId="261" totalsRowDxfId="260" dataCellStyle="Normal 2 2"/>
    <tableColumn id="4" xr3:uid="{9344B29D-E6CB-4469-B83E-C6EA22283A65}" name="CUIT" dataDxfId="259" totalsRowDxfId="258" dataCellStyle="Normal 2 2"/>
    <tableColumn id="5" xr3:uid="{C82D1475-A6B2-45F6-BE18-0090516D691A}" name="RAZON SOCIAL" dataDxfId="257" totalsRowDxfId="256" dataCellStyle="Normal 2 2"/>
    <tableColumn id="8" xr3:uid="{092C34D8-AEC3-4587-B18F-A56F1E274296}" name="IMPORTE NETO" totalsRowFunction="sum" dataDxfId="255" totalsRowDxfId="254" dataCellStyle="Normal 2 2"/>
    <tableColumn id="9" xr3:uid="{EC34E607-53C7-446D-855D-BF5FC441F8EC}" name="IVA 21%" totalsRowFunction="sum" dataDxfId="253" totalsRowDxfId="252" dataCellStyle="Normal 2 2"/>
    <tableColumn id="6" xr3:uid="{0F913D80-3625-482D-8B6C-A03AEA7EE60C}" name="IVA 10,5%" totalsRowFunction="custom" dataDxfId="251" totalsRowDxfId="250" dataCellStyle="Normal 2 2">
      <totalsRowFormula>SUM(J54:J62)</totalsRowFormula>
    </tableColumn>
    <tableColumn id="7" xr3:uid="{E582E8B1-7247-4433-B4BB-E0434BE83464}" name="Exento" totalsRowFunction="custom" dataDxfId="249" totalsRowDxfId="248" dataCellStyle="Normal 2 2">
      <totalsRowFormula>SUM(K54:K62)</totalsRowFormula>
    </tableColumn>
    <tableColumn id="32" xr3:uid="{4EA0B3D3-827A-4956-845E-CA4D86ED2A39}" name="TOTAL" totalsRowFunction="sum" dataDxfId="247" totalsRowDxfId="246" dataCellStyle="Normal 2 2"/>
  </tableColumns>
  <tableStyleInfo name="Estilo de tabla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A5F286-8A12-42DE-A7FD-EE7858731694}" name="VentasAMarzo" displayName="VentasAMarzo" ref="A70:L76" totalsRowCount="1" headerRowDxfId="245" dataDxfId="244" totalsRowDxfId="243" dataCellStyle="Normal">
  <tableColumns count="12">
    <tableColumn id="1" xr3:uid="{315203CB-CD72-4EB9-A436-9D45A49FB4DE}" name="FECHA" dataDxfId="242" totalsRowDxfId="241" dataCellStyle="Normal 2 2"/>
    <tableColumn id="10" xr3:uid="{E8717C2E-76B7-44AF-8652-C829A7CFFD06}" name="TIPO" dataDxfId="240" totalsRowDxfId="239" dataCellStyle="Normal 2 2"/>
    <tableColumn id="2" xr3:uid="{13F2DD08-B4AF-41E5-A87D-F5881163F496}" name="PTO VTA" dataDxfId="238" totalsRowDxfId="237" dataCellStyle="Normal 2 2"/>
    <tableColumn id="3" xr3:uid="{BDC26210-E358-4DE8-BD61-039BC55932CC}" name="N° FACTURA" totalsRowLabel="T O T A L " dataDxfId="236" totalsRowDxfId="235" dataCellStyle="Normal 2 2"/>
    <tableColumn id="11" xr3:uid="{9ADBEBB0-2AE3-4BDB-9EC6-65A48892727B}" name="Codigo de Documento" dataDxfId="234" totalsRowDxfId="233" dataCellStyle="Normal 2 2"/>
    <tableColumn id="4" xr3:uid="{1F6D421C-ABBA-4764-B1E4-583A4569A38A}" name="CUIT" dataDxfId="232" totalsRowDxfId="231" dataCellStyle="Normal 2 2"/>
    <tableColumn id="5" xr3:uid="{3DBCA616-EA8A-4110-87BA-89E82CC7972E}" name="RAZON SOCIAL" dataDxfId="230" totalsRowDxfId="229" dataCellStyle="Normal 2 2"/>
    <tableColumn id="8" xr3:uid="{24702525-0D6D-4357-9FCD-1B1060084BAA}" name="IMPORTE NETO" totalsRowFunction="sum" dataDxfId="228" totalsRowDxfId="227" dataCellStyle="Normal 2 2"/>
    <tableColumn id="9" xr3:uid="{E556FF8F-EB8B-45AB-90FD-1C33CFA59599}" name="IVA 21%" totalsRowFunction="sum" dataDxfId="226" totalsRowDxfId="225" dataCellStyle="Normal 2 2"/>
    <tableColumn id="6" xr3:uid="{C0A8698D-9FAE-4DE0-A985-1F0E8DDB663F}" name="IVA 10,5%" totalsRowFunction="custom" dataDxfId="224" totalsRowDxfId="223" dataCellStyle="Normal 2 2">
      <totalsRowFormula>SUM(J71:J75)</totalsRowFormula>
    </tableColumn>
    <tableColumn id="7" xr3:uid="{CF29D0F9-8551-4416-A24C-028775124E70}" name="Exento" totalsRowFunction="custom" dataDxfId="222" totalsRowDxfId="221" dataCellStyle="Normal 2 2">
      <totalsRowFormula>SUM(K71:K75)</totalsRowFormula>
    </tableColumn>
    <tableColumn id="32" xr3:uid="{3156711B-44CB-4D67-9AFE-4FFF918659EA}" name="TOTAL" totalsRowFunction="sum" dataDxfId="220" totalsRowDxfId="219" dataCellStyle="Normal 2 2">
      <calculatedColumnFormula>SUM([1]VENTAS!$H74:$K74)</calculatedColumnFormula>
    </tableColumn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595903-F721-4CFE-B5C1-E7D64FB50081}" name="VentasAAbril" displayName="VentasAAbril" ref="A80:L85" totalsRowCount="1" headerRowDxfId="218" dataDxfId="217" totalsRowDxfId="216" dataCellStyle="Normal">
  <tableColumns count="12">
    <tableColumn id="1" xr3:uid="{287FA724-16CB-43A1-BE7C-C92F5122B2DE}" name="FECHA" dataDxfId="215" totalsRowDxfId="214" dataCellStyle="Normal 2 2"/>
    <tableColumn id="10" xr3:uid="{783010B5-9A6B-423B-B808-84596ED84D62}" name="TIPO" dataDxfId="213" totalsRowDxfId="212" dataCellStyle="Normal 2 2"/>
    <tableColumn id="2" xr3:uid="{C8DC7B9C-2FD4-4311-A29B-53B38A849ED8}" name="PTO VTA" dataDxfId="211" totalsRowDxfId="210" dataCellStyle="Normal 2 2"/>
    <tableColumn id="3" xr3:uid="{CA2190CF-A4C0-477A-936F-8DD0F398BCC7}" name="N° FACTURA" totalsRowLabel="T O T A L " dataDxfId="209" totalsRowDxfId="208" dataCellStyle="Normal 2 2"/>
    <tableColumn id="11" xr3:uid="{F82A3168-6C01-4062-91DC-90062CD04B67}" name="Codigo de Documento" dataDxfId="207" totalsRowDxfId="206" dataCellStyle="Normal 2 2"/>
    <tableColumn id="4" xr3:uid="{FE552C03-B252-442D-8DD9-D1E21C3A5004}" name="CUIT" dataDxfId="205" totalsRowDxfId="204" dataCellStyle="Normal 2 2"/>
    <tableColumn id="5" xr3:uid="{85B598BA-212F-4E60-89A6-8DC80F143A53}" name="RAZON SOCIAL" dataDxfId="203" totalsRowDxfId="202" dataCellStyle="Normal 2 2"/>
    <tableColumn id="8" xr3:uid="{14F409B4-62A9-4001-BFFB-8CCB67873AC5}" name="IMPORTE NETO" totalsRowFunction="sum" dataDxfId="201" totalsRowDxfId="200" dataCellStyle="Normal 2 2"/>
    <tableColumn id="9" xr3:uid="{2AAF0C8B-214A-469B-86A9-F7DD2946C981}" name="IVA 21%" totalsRowFunction="sum" dataDxfId="199" totalsRowDxfId="198" dataCellStyle="Normal 2 2"/>
    <tableColumn id="6" xr3:uid="{5108FBAD-6D2E-4225-8F99-9898F6EFE3DC}" name="IVA 10,5%" totalsRowFunction="custom" dataDxfId="197" totalsRowDxfId="196" dataCellStyle="Normal 2 2">
      <totalsRowFormula>SUM(J81:J84)</totalsRowFormula>
    </tableColumn>
    <tableColumn id="7" xr3:uid="{6925F541-4441-4CA3-A758-CA73D1022903}" name="Exento" dataDxfId="195" totalsRowDxfId="194" dataCellStyle="Normal 2 2"/>
    <tableColumn id="32" xr3:uid="{C24EE757-2773-4A65-BD85-645FE3F2EAF9}" name="TOTAL" totalsRowFunction="sum" dataDxfId="193" totalsRowDxfId="192" dataCellStyle="Normal 2 2"/>
  </tableColumns>
  <tableStyleInfo name="Estilo de tabla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BE65A8C-EA44-46B7-95EF-E72BC9F7E96D}" name="VentasAMayo" displayName="VentasAMayo" ref="A95:L116" totalsRowCount="1" headerRowDxfId="191" dataDxfId="190" totalsRowDxfId="189" dataCellStyle="Normal">
  <tableColumns count="12">
    <tableColumn id="1" xr3:uid="{56A2541E-B7DB-4930-B9E0-88133ED2B94C}" name="FECHA" dataDxfId="188" totalsRowDxfId="187" dataCellStyle="Normal 3"/>
    <tableColumn id="10" xr3:uid="{F9C6419D-5AFE-4505-AEAE-9FBA1EB62531}" name="TIPO" dataDxfId="186" totalsRowDxfId="185" dataCellStyle="Normal 2 2"/>
    <tableColumn id="2" xr3:uid="{F4E50B25-C737-4B5F-9CDE-5CC6D4C913A7}" name="PTO VTA" dataDxfId="184" totalsRowDxfId="183" dataCellStyle="Normal 2 2"/>
    <tableColumn id="3" xr3:uid="{2886864E-4159-4E27-A70E-2F3BCACD2A63}" name="N° FACTURA" totalsRowLabel="T O T A L " dataDxfId="182" totalsRowDxfId="181" dataCellStyle="Normal 2 2"/>
    <tableColumn id="11" xr3:uid="{809176C9-F011-4DDF-8603-E91CB0E76F87}" name="Codigo de Documento" dataDxfId="180" totalsRowDxfId="179" dataCellStyle="Normal 2 2"/>
    <tableColumn id="4" xr3:uid="{7654966D-FD63-403F-BBFA-31A64D3D519D}" name="CUIT" dataDxfId="178" totalsRowDxfId="177" dataCellStyle="Normal 2 2"/>
    <tableColumn id="5" xr3:uid="{2E022FA6-C6A8-43EE-BF4C-C45D8CEFA1E8}" name="RAZON SOCIAL" dataDxfId="176" totalsRowDxfId="175" dataCellStyle="Normal 2 2"/>
    <tableColumn id="8" xr3:uid="{9836E070-F146-45D5-9C9D-EBF7310A851D}" name="IMPORTE NETO" totalsRowFunction="sum" dataDxfId="174" totalsRowDxfId="173" dataCellStyle="Normal 2 2"/>
    <tableColumn id="9" xr3:uid="{DA27C1F2-1BA5-4B4F-980F-E685D61B9EE1}" name="IVA 21%" totalsRowFunction="sum" dataDxfId="172" totalsRowDxfId="171" dataCellStyle="Normal 2 2"/>
    <tableColumn id="6" xr3:uid="{9198A1DE-2777-489A-9CDC-4C1A8009578E}" name="IVA 10,5%" totalsRowFunction="custom" dataDxfId="170" totalsRowDxfId="169" dataCellStyle="Normal 2 2">
      <totalsRowFormula>SUM(J96:J115)</totalsRowFormula>
    </tableColumn>
    <tableColumn id="7" xr3:uid="{AAC0F774-2703-4A1C-BF90-B25B18BEB7D7}" name="Exento" dataDxfId="168" totalsRowDxfId="167" dataCellStyle="Normal 2 2"/>
    <tableColumn id="32" xr3:uid="{2D4C3263-64E1-475A-9F66-6D4B89F781C9}" name="TOTAL" totalsRowFunction="sum" dataDxfId="166" totalsRowDxfId="165" dataCellStyle="Normal 2 2">
      <calculatedColumnFormula>SUM([1]VENTAS!$H110:$K110)</calculatedColumnFormula>
    </tableColumn>
  </tableColumns>
  <tableStyleInfo name="Estilo de tabla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EE30E49-FB7B-420A-A355-B714C87041A5}" name="VentasAJunio" displayName="VentasAJunio" ref="A121:L141" totalsRowCount="1" headerRowDxfId="164" dataDxfId="163" totalsRowDxfId="162" dataCellStyle="Normal">
  <tableColumns count="12">
    <tableColumn id="1" xr3:uid="{D980D55B-D163-4D4B-9526-BB881CF006D4}" name="FECHA" dataDxfId="161" totalsRowDxfId="160" dataCellStyle="Normal 2 2"/>
    <tableColumn id="10" xr3:uid="{EA69FDEC-EDA0-4EC9-9642-CE9B9D7BFE04}" name="TIPO" dataDxfId="159" totalsRowDxfId="158" dataCellStyle="Normal 2 2"/>
    <tableColumn id="2" xr3:uid="{078BB9DB-47A8-4237-BDAE-DBCA6B2FD2C9}" name="PTO VTA" dataDxfId="157" totalsRowDxfId="156" dataCellStyle="Normal 2 2"/>
    <tableColumn id="3" xr3:uid="{0E3818AC-D0C3-4302-90FD-9D0A5389FBA6}" name="N° FACTURA" totalsRowLabel="T O T A L " dataDxfId="155" totalsRowDxfId="154" dataCellStyle="Normal 2 2"/>
    <tableColumn id="11" xr3:uid="{6A83E006-933A-41A1-9F5B-A28071D27094}" name="Codigo de Documento" dataDxfId="153" totalsRowDxfId="152" dataCellStyle="Normal 2 2"/>
    <tableColumn id="4" xr3:uid="{A44418F2-57B4-4735-A72D-8F46BA18BB6C}" name="CUIT" dataDxfId="151" totalsRowDxfId="150" dataCellStyle="Normal 2 2"/>
    <tableColumn id="5" xr3:uid="{016F1095-8A60-4ABD-AF5A-89E242DD0668}" name="RAZON SOCIAL" dataDxfId="149" totalsRowDxfId="148" dataCellStyle="Normal 2 2"/>
    <tableColumn id="8" xr3:uid="{7EA76333-AD6E-4A49-BE2D-CF867630F310}" name="IMPORTE NETO" totalsRowFunction="sum" dataDxfId="147" totalsRowDxfId="146" dataCellStyle="Normal 2 2"/>
    <tableColumn id="9" xr3:uid="{09576758-5636-42B9-96EC-7D12ED8595F8}" name="IVA 21%" totalsRowFunction="sum" dataDxfId="145" totalsRowDxfId="144" dataCellStyle="Normal 2 2"/>
    <tableColumn id="6" xr3:uid="{0CB60E89-9A20-46F1-B572-FC6454021F54}" name="IVA 10,5%" totalsRowFunction="custom" dataDxfId="143" totalsRowDxfId="142" dataCellStyle="Normal 2 2">
      <totalsRowFormula>SUM(J122:J140)</totalsRowFormula>
    </tableColumn>
    <tableColumn id="7" xr3:uid="{1C375CBA-D3D7-4F81-A30A-31F721CFDEA6}" name="Exento" dataDxfId="141" totalsRowDxfId="140" dataCellStyle="Normal 2 2"/>
    <tableColumn id="32" xr3:uid="{57E467F1-32D5-4F65-BA82-53754359FE01}" name="TOTAL" totalsRowFunction="sum" dataDxfId="139" totalsRowDxfId="138" dataCellStyle="Normal 2 2">
      <calculatedColumnFormula>SUM([1]VENTAS!$H136:$K136)</calculatedColumnFormula>
    </tableColumn>
  </tableColumns>
  <tableStyleInfo name="Estilo de tabla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4889B84-3ABC-42EF-A6E1-6E909D7CB314}" name="VentasAJunio82" displayName="VentasAJunio82" ref="A153:L170" totalsRowCount="1" headerRowDxfId="137" dataDxfId="136" totalsRowDxfId="135" dataCellStyle="Normal">
  <tableColumns count="12">
    <tableColumn id="1" xr3:uid="{E3AC1285-0AB6-4488-A70F-85616610EEC3}" name="FECHA" dataDxfId="134" totalsRowDxfId="133" dataCellStyle="Normal 2 2"/>
    <tableColumn id="10" xr3:uid="{89259140-48B8-43E6-9410-0DDF39ED8CCF}" name="TIPO" dataDxfId="132" totalsRowDxfId="131" dataCellStyle="Normal 2 2"/>
    <tableColumn id="2" xr3:uid="{EE0B24B7-D003-4635-A1A2-37650F5D5F89}" name="PTO VTA" dataDxfId="130" totalsRowDxfId="129" dataCellStyle="Normal 2 2"/>
    <tableColumn id="3" xr3:uid="{E5E9F76D-016F-4BCE-AB41-8A3B4EDF4FDB}" name="N° FACTURA" totalsRowLabel="T O T A L " dataDxfId="128" totalsRowDxfId="127" dataCellStyle="Normal 2 2"/>
    <tableColumn id="11" xr3:uid="{21212D4C-C1A3-4536-953C-825844B6BC42}" name="Codigo de Documento" dataDxfId="126" totalsRowDxfId="125" dataCellStyle="Normal 2 2"/>
    <tableColumn id="4" xr3:uid="{1AF3FDBF-9CB5-454F-BA23-317D1775D8B7}" name="CUIT" dataDxfId="124" totalsRowDxfId="123" dataCellStyle="Normal 2 2"/>
    <tableColumn id="5" xr3:uid="{F262247B-2840-477C-8363-2501C9C14F6D}" name="RAZON SOCIAL" dataDxfId="122" totalsRowDxfId="121" dataCellStyle="Normal 2 2"/>
    <tableColumn id="8" xr3:uid="{CE2A78AB-74B3-4597-ADFB-938B02DD4B4F}" name="IMPORTE NETO" totalsRowFunction="sum" dataDxfId="120" totalsRowDxfId="119" dataCellStyle="Normal 2 2"/>
    <tableColumn id="9" xr3:uid="{947CAE44-E698-4A25-B940-079ADD396E6C}" name="IVA 21%" totalsRowFunction="sum" dataDxfId="118" totalsRowDxfId="117" dataCellStyle="Normal 2 2"/>
    <tableColumn id="6" xr3:uid="{901DAFB6-28AB-4E49-8DCE-1A800B979D29}" name="IVA 10,5%" totalsRowFunction="custom" dataDxfId="116" totalsRowDxfId="115" dataCellStyle="Normal 2 2">
      <totalsRowFormula>SUM(J154:J169)</totalsRowFormula>
    </tableColumn>
    <tableColumn id="7" xr3:uid="{14CB9D02-9F0F-4F77-9102-98CC21139F7E}" name="Exento" dataDxfId="114" totalsRowDxfId="113" dataCellStyle="Normal 2 2"/>
    <tableColumn id="32" xr3:uid="{5A9B0B32-D1E7-4B56-A4B5-882D359E5046}" name="TOTAL" totalsRowFunction="sum" dataDxfId="112" totalsRowDxfId="111" dataCellStyle="Normal 2 2">
      <calculatedColumnFormula>SUM([1]VENTAS!$H168:$K168)</calculatedColumnFormula>
    </tableColumn>
  </tableColumns>
  <tableStyleInfo name="Estilo de tabla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174350-6D2A-44B2-9350-724A6436CC22}" name="VentasAJunio8283" displayName="VentasAJunio8283" ref="A186:L202" totalsRowCount="1" headerRowDxfId="110" dataDxfId="109" totalsRowDxfId="108" dataCellStyle="Normal">
  <tableColumns count="12">
    <tableColumn id="1" xr3:uid="{F1F46027-F97E-4057-8ACD-6425E48EBFC9}" name="FECHA" dataDxfId="107" totalsRowDxfId="106" dataCellStyle="Normal 2 2"/>
    <tableColumn id="10" xr3:uid="{BB3B9A6C-8AE4-4142-BD9B-F4C0185BF641}" name="TIPO" dataDxfId="105" totalsRowDxfId="104" dataCellStyle="Normal 2 2"/>
    <tableColumn id="2" xr3:uid="{99F3A9D2-C32B-4134-8AA7-CC0E6CE9156B}" name="PTO VTA" dataDxfId="103" totalsRowDxfId="102" dataCellStyle="Normal 2 2"/>
    <tableColumn id="3" xr3:uid="{F964D346-41BE-4A0B-A428-5ADF9144C0E8}" name="N° FACTURA" totalsRowLabel="T O T A L " dataDxfId="101" totalsRowDxfId="100" dataCellStyle="Normal 2 2"/>
    <tableColumn id="11" xr3:uid="{09739D1F-2CE5-4C47-9658-0009281047EC}" name="Codigo de Documento" dataDxfId="99" totalsRowDxfId="98" dataCellStyle="Normal 2 2"/>
    <tableColumn id="4" xr3:uid="{F4285263-EFD0-4576-9105-CA24088528BB}" name="CUIT" dataDxfId="97" totalsRowDxfId="96" dataCellStyle="Normal 2 2"/>
    <tableColumn id="5" xr3:uid="{91C05F84-0C83-4F4F-9527-DE9102F6F8BD}" name="RAZON SOCIAL" dataDxfId="95" totalsRowDxfId="94" dataCellStyle="Normal 2 2"/>
    <tableColumn id="8" xr3:uid="{4E147F08-EEA9-4726-BF0C-8CBA2C8FF9C5}" name="IMPORTE NETO" totalsRowFunction="sum" dataDxfId="93" totalsRowDxfId="92" dataCellStyle="Normal 2 2"/>
    <tableColumn id="9" xr3:uid="{B88491A1-07E8-450A-9928-1706446412A4}" name="IVA 21%" totalsRowFunction="sum" dataDxfId="91" totalsRowDxfId="90" dataCellStyle="Normal 2 2"/>
    <tableColumn id="6" xr3:uid="{B0EACED5-F610-4775-8D50-9873D94230C5}" name="IVA 10,5%" totalsRowFunction="custom" dataDxfId="89" totalsRowDxfId="88" dataCellStyle="Normal 2 2">
      <totalsRowFormula>SUM(J187:J201)</totalsRowFormula>
    </tableColumn>
    <tableColumn id="7" xr3:uid="{78B91EE3-F5E9-4EE0-AC41-4B77F28A1BDB}" name="Exento" dataDxfId="87" totalsRowDxfId="86" dataCellStyle="Normal 2 2"/>
    <tableColumn id="32" xr3:uid="{445E9507-7A13-4165-AB48-618E10CF7A56}" name="TOTAL" totalsRowFunction="sum" dataDxfId="85" totalsRowDxfId="84" dataCellStyle="Normal 2 2">
      <calculatedColumnFormula>SUM([1]VENTAS!$H198:$K198)</calculatedColumnFormula>
    </tableColumn>
  </tableColumns>
  <tableStyleInfo name="Estilo de tabla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A4190B2-740C-4525-B8B3-A6517BB52A95}" name="VentasAJunio828384" displayName="VentasAJunio828384" ref="A207:L214" totalsRowCount="1" headerRowDxfId="83" dataDxfId="82" totalsRowDxfId="81" dataCellStyle="Normal">
  <tableColumns count="12">
    <tableColumn id="1" xr3:uid="{F8A29803-E632-4FE6-A4BF-8C9A8547272B}" name="FECHA" dataDxfId="80" totalsRowDxfId="79" dataCellStyle="Normal 2 2"/>
    <tableColumn id="10" xr3:uid="{5A76CA61-D5D3-48C7-8088-6A530CDF881A}" name="TIPO" dataDxfId="78" totalsRowDxfId="77" dataCellStyle="Normal 2 2"/>
    <tableColumn id="2" xr3:uid="{8469116F-4B22-46E7-9894-C9A4E237107A}" name="PTO VTA" dataDxfId="76" totalsRowDxfId="75" dataCellStyle="Normal 2 2"/>
    <tableColumn id="3" xr3:uid="{E2DE94C8-ED60-4FA5-B1A3-A7F63394008B}" name="N° FACTURA" totalsRowLabel="T O T A L " dataDxfId="74" totalsRowDxfId="73" dataCellStyle="Normal 2 2"/>
    <tableColumn id="11" xr3:uid="{B9B7D409-74EC-4D4B-BBF2-A001E6FA30A9}" name="Codigo de Documento" dataDxfId="72" totalsRowDxfId="71" dataCellStyle="Normal 2 2"/>
    <tableColumn id="4" xr3:uid="{3D75FF06-3A0D-4779-B637-42B77B0BB238}" name="CUIT" dataDxfId="70" totalsRowDxfId="69" dataCellStyle="Normal 2 2"/>
    <tableColumn id="5" xr3:uid="{C1B13A1C-915F-4986-880A-F6D2CD983A19}" name="RAZON SOCIAL" dataDxfId="68" totalsRowDxfId="67" dataCellStyle="Normal 2 2"/>
    <tableColumn id="8" xr3:uid="{83690AED-8ADC-4ADD-A21B-B6C4A087FA8A}" name="IMPORTE NETO" totalsRowFunction="sum" dataDxfId="66" totalsRowDxfId="65" dataCellStyle="Normal 2 2"/>
    <tableColumn id="9" xr3:uid="{B83CD938-4BB2-4163-9253-1F2FD44D8EFD}" name="IVA 21%" totalsRowFunction="sum" dataDxfId="64" totalsRowDxfId="63" dataCellStyle="Normal 2 2"/>
    <tableColumn id="6" xr3:uid="{128EFE57-8F41-42EC-BB58-ECB5126B47D1}" name="IVA 10,5%" totalsRowFunction="custom" dataDxfId="62" totalsRowDxfId="61" dataCellStyle="Normal 2 2">
      <totalsRowFormula>SUM(J208:J213)</totalsRowFormula>
    </tableColumn>
    <tableColumn id="7" xr3:uid="{6A83D8E4-214E-493E-A522-566975A0DD9C}" name="Exento" dataDxfId="60" totalsRowDxfId="59" dataCellStyle="Normal 2 2"/>
    <tableColumn id="32" xr3:uid="{B7AFE618-5343-4349-A4A2-6907FC71B1FA}" name="TOTAL" totalsRowFunction="sum" dataDxfId="58" totalsRowDxfId="57" dataCellStyle="Normal 2 2">
      <calculatedColumnFormula>SUM([1]VENTAS!$H219:$K219)</calculatedColumnFormula>
    </tableColumn>
  </tableColumns>
  <tableStyleInfo name="Estilo de tabla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FB42E78-8C70-46A1-9DD6-65865D6B46EC}" name="VentasAAbril101" displayName="VentasAAbril101" ref="A88:H90" totalsRowCount="1" headerRowDxfId="56" dataDxfId="55" totalsRowDxfId="54" dataCellStyle="Normal">
  <tableColumns count="8">
    <tableColumn id="1" xr3:uid="{0FD6373C-F08B-4564-B1E1-9324851B78E7}" name="FECHA" dataDxfId="53" totalsRowDxfId="52" dataCellStyle="Normal 2 2"/>
    <tableColumn id="10" xr3:uid="{5D511208-6CDE-4EF4-87E0-53BF43566959}" name="F &quot;E&quot; Nº" dataDxfId="51" totalsRowDxfId="50" dataCellStyle="Normal 2 2"/>
    <tableColumn id="3" xr3:uid="{858A339A-5CD7-47FB-B5DD-CB77F00DC917}" name="CUIT/ID IMPO" totalsRowLabel="T O T A L " dataDxfId="49" totalsRowDxfId="48" dataCellStyle="Normal 2 2"/>
    <tableColumn id="11" xr3:uid="{78736F70-AC56-400F-ABE6-EF7F892EFE62}" name="PAIS" dataDxfId="47" totalsRowDxfId="46" dataCellStyle="Normal 2 2"/>
    <tableColumn id="4" xr3:uid="{759202C9-E54B-460D-B537-B4DD5B5E9D6C}" name="RAZON SOCIAL2" dataDxfId="45" totalsRowDxfId="44" dataCellStyle="Normal 2 2"/>
    <tableColumn id="5" xr3:uid="{E2D6A843-7121-4422-86FB-74BA03EA83B1}" name="RAZON SOCIAL3" dataDxfId="43" totalsRowDxfId="42" dataCellStyle="Normal 2 2"/>
    <tableColumn id="8" xr3:uid="{EC80D1FB-928F-4496-88E6-AF330C76AEA8}" name="USD" totalsRowFunction="sum" dataDxfId="41" totalsRowDxfId="40" dataCellStyle="Normal 2 2"/>
    <tableColumn id="9" xr3:uid="{D3B6603E-F0A5-482A-BF28-896BCD225BE9}" name="EUR" totalsRowFunction="sum" dataDxfId="39" totalsRowDxfId="38" dataCellStyle="Normal 2 2"/>
  </tableColumns>
  <tableStyleInfo name="Estilo de tabla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E3CD86D-DCE9-4828-A771-5FBF9A99D1B0}" name="VentasAAbril101128" displayName="VentasAAbril101128" ref="A145:H147" totalsRowCount="1" headerRowDxfId="37" dataDxfId="36" totalsRowDxfId="35" dataCellStyle="Normal">
  <tableColumns count="8">
    <tableColumn id="1" xr3:uid="{D0514F5C-3BCA-4C39-85B7-D24AE7413D80}" name="FECHA" dataDxfId="34" totalsRowDxfId="33" dataCellStyle="Normal 2 2"/>
    <tableColumn id="10" xr3:uid="{EB124D84-1AFA-4667-AED8-4D9F13B89785}" name="F &quot;E&quot; Nº" dataDxfId="32" totalsRowDxfId="31" dataCellStyle="Normal 2 2"/>
    <tableColumn id="3" xr3:uid="{85C46DE7-6432-468A-B7F0-55AFCB95CFA8}" name="CUIT/ID IMPO" totalsRowLabel="T O T A L " dataDxfId="30" totalsRowDxfId="29" dataCellStyle="Normal 2 2"/>
    <tableColumn id="11" xr3:uid="{7C482F44-779C-409D-8B04-88C513AB9517}" name="PAIS" dataDxfId="28" totalsRowDxfId="27" dataCellStyle="Normal 2 2"/>
    <tableColumn id="4" xr3:uid="{D25E5D40-B154-44B6-B1A4-A583A6F123ED}" name="RAZON SOCIAL2" dataDxfId="26" totalsRowDxfId="25" dataCellStyle="Normal 2 2"/>
    <tableColumn id="5" xr3:uid="{00A7BA41-791F-48E4-A300-A979F88AAAE6}" name="RAZON SOCIAL3" dataDxfId="24" totalsRowDxfId="23" dataCellStyle="Normal 2 2"/>
    <tableColumn id="8" xr3:uid="{47469146-05E6-42D8-9EE4-D7D8A362D62F}" name="USD" totalsRowFunction="sum" dataDxfId="22" totalsRowDxfId="21" dataCellStyle="Normal 2 2"/>
    <tableColumn id="9" xr3:uid="{B865D24D-ADD0-486B-ADE2-E136541F899B}" name="EUR" totalsRowFunction="sum" dataDxfId="20" totalsRowDxfId="19" dataCellStyle="Normal 2 2"/>
  </tableColumns>
  <tableStyleInfo name="Estilo de tabla 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BE94436-ED91-4279-82AC-289219E8054D}" name="VentasAAbril101128129" displayName="VentasAAbril101128129" ref="A174:H177" totalsRowCount="1" headerRowDxfId="18" dataDxfId="17" totalsRowDxfId="16" dataCellStyle="Normal">
  <tableColumns count="8">
    <tableColumn id="1" xr3:uid="{B3C94D22-86F4-404F-A05E-2EBC00A9154A}" name="FECHA" dataDxfId="15" totalsRowDxfId="14" dataCellStyle="Normal 2 2"/>
    <tableColumn id="10" xr3:uid="{62CE0586-3D79-4D87-9683-5457B7D90A3F}" name="F &quot;E&quot; Nº" dataDxfId="13" totalsRowDxfId="12" dataCellStyle="Normal 2 2"/>
    <tableColumn id="3" xr3:uid="{B7B6E5D0-9334-4FD6-9B80-AEA4F4E72BAB}" name="CUIT/ID IMPO" totalsRowLabel="T O T A L " dataDxfId="11" totalsRowDxfId="10" dataCellStyle="Normal 2 2"/>
    <tableColumn id="11" xr3:uid="{48C7C92F-53D6-4A75-93AC-5A8C10BEF59A}" name="PAIS" dataDxfId="9" totalsRowDxfId="8" dataCellStyle="Normal 2 2"/>
    <tableColumn id="4" xr3:uid="{05A228D0-F52B-4030-87D9-6B04474AA30F}" name="RAZON SOCIAL2" dataDxfId="7" totalsRowDxfId="6" dataCellStyle="Normal 2 2"/>
    <tableColumn id="5" xr3:uid="{091ABF2A-829F-4220-A321-9AC3E7CF3386}" name="RAZON SOCIAL3" dataDxfId="5" totalsRowDxfId="4" dataCellStyle="Normal 2 2"/>
    <tableColumn id="8" xr3:uid="{0DB843A5-D414-4E14-B6F7-E2A848CD15D8}" name="USD" totalsRowFunction="sum" dataDxfId="3" totalsRowDxfId="2" dataCellStyle="Normal 2 2"/>
    <tableColumn id="9" xr3:uid="{A6EE7105-3A52-450F-B9D4-0106271ED09A}" name="EUR" totalsRowFunction="sum" dataDxfId="1" totalsRowDxfId="0" dataCellStyle="Normal 2 2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61"/>
  <sheetViews>
    <sheetView tabSelected="1" workbookViewId="0">
      <selection activeCell="K14" sqref="K14"/>
    </sheetView>
  </sheetViews>
  <sheetFormatPr baseColWidth="10" defaultColWidth="9.140625" defaultRowHeight="15" x14ac:dyDescent="0.25"/>
  <cols>
    <col min="5" max="5" width="13.5703125" bestFit="1" customWidth="1"/>
    <col min="6" max="6" width="47.5703125" bestFit="1" customWidth="1"/>
    <col min="7" max="8" width="13" bestFit="1" customWidth="1"/>
    <col min="9" max="9" width="10.140625" bestFit="1" customWidth="1"/>
    <col min="10" max="10" width="12" bestFit="1" customWidth="1"/>
    <col min="11" max="13" width="11.28515625" bestFit="1" customWidth="1"/>
    <col min="14" max="14" width="12.42578125" bestFit="1" customWidth="1"/>
    <col min="15" max="15" width="13.7109375" bestFit="1" customWidth="1"/>
    <col min="16" max="16" width="13" bestFit="1" customWidth="1"/>
  </cols>
  <sheetData>
    <row r="1" spans="1:16" ht="18" customHeight="1" x14ac:dyDescent="0.45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3"/>
      <c r="N1" s="4">
        <v>44197</v>
      </c>
      <c r="O1" s="3"/>
      <c r="P1" s="3"/>
    </row>
    <row r="2" spans="1:16" ht="12.75" customHeight="1" thickBot="1" x14ac:dyDescent="0.5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2"/>
      <c r="M2" s="3"/>
      <c r="N2" s="3"/>
      <c r="O2" s="3"/>
      <c r="P2" s="3"/>
    </row>
    <row r="3" spans="1:16" ht="13.5" customHeight="1" x14ac:dyDescent="0.25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7" t="s">
        <v>16</v>
      </c>
    </row>
    <row r="4" spans="1:16" x14ac:dyDescent="0.25">
      <c r="A4" s="8">
        <v>44197</v>
      </c>
      <c r="B4" s="9">
        <v>1</v>
      </c>
      <c r="C4" s="10">
        <v>3</v>
      </c>
      <c r="D4" s="11">
        <v>113170</v>
      </c>
      <c r="E4" s="12">
        <v>30707135596</v>
      </c>
      <c r="F4" s="13" t="s">
        <v>17</v>
      </c>
      <c r="G4" s="14">
        <v>1580.4</v>
      </c>
      <c r="H4" s="15">
        <v>331.88400000000001</v>
      </c>
      <c r="I4" s="15"/>
      <c r="J4" s="15"/>
      <c r="K4" s="15"/>
      <c r="L4" s="15"/>
      <c r="M4" s="15"/>
      <c r="N4" s="15"/>
      <c r="O4" s="16"/>
      <c r="P4" s="17">
        <f>SUM(G4:O4)</f>
        <v>1912.2840000000001</v>
      </c>
    </row>
    <row r="5" spans="1:16" x14ac:dyDescent="0.25">
      <c r="A5" s="8">
        <v>44200</v>
      </c>
      <c r="B5" s="9">
        <v>1</v>
      </c>
      <c r="C5" s="10">
        <v>2078</v>
      </c>
      <c r="D5" s="11">
        <v>22094</v>
      </c>
      <c r="E5" s="12">
        <v>30548083156</v>
      </c>
      <c r="F5" s="13" t="s">
        <v>18</v>
      </c>
      <c r="G5" s="14">
        <v>4613.72</v>
      </c>
      <c r="H5" s="15">
        <v>747.33</v>
      </c>
      <c r="I5" s="15"/>
      <c r="J5" s="15">
        <v>110.77</v>
      </c>
      <c r="K5" s="15"/>
      <c r="L5" s="15"/>
      <c r="M5" s="15">
        <v>106.76</v>
      </c>
      <c r="N5" s="15"/>
      <c r="O5" s="16"/>
      <c r="P5" s="17">
        <f t="shared" ref="P5:P50" si="0">SUM(G5:O5)</f>
        <v>5578.5800000000008</v>
      </c>
    </row>
    <row r="6" spans="1:16" x14ac:dyDescent="0.25">
      <c r="A6" s="8">
        <v>44200</v>
      </c>
      <c r="B6" s="9">
        <v>1</v>
      </c>
      <c r="C6" s="10">
        <v>4</v>
      </c>
      <c r="D6" s="11">
        <v>1055</v>
      </c>
      <c r="E6" s="12">
        <v>27061892171</v>
      </c>
      <c r="F6" s="13" t="s">
        <v>19</v>
      </c>
      <c r="G6" s="14">
        <v>2644.63</v>
      </c>
      <c r="H6" s="15">
        <v>555.3723</v>
      </c>
      <c r="I6" s="15"/>
      <c r="J6" s="15"/>
      <c r="K6" s="15"/>
      <c r="L6" s="15"/>
      <c r="M6" s="15"/>
      <c r="N6" s="15"/>
      <c r="O6" s="16"/>
      <c r="P6" s="17">
        <f t="shared" si="0"/>
        <v>3200.0023000000001</v>
      </c>
    </row>
    <row r="7" spans="1:16" x14ac:dyDescent="0.25">
      <c r="A7" s="8">
        <v>44200</v>
      </c>
      <c r="B7" s="9">
        <v>1</v>
      </c>
      <c r="C7" s="10">
        <v>3</v>
      </c>
      <c r="D7" s="11">
        <v>236</v>
      </c>
      <c r="E7" s="12">
        <v>20307790344</v>
      </c>
      <c r="F7" s="13" t="s">
        <v>20</v>
      </c>
      <c r="G7" s="14">
        <v>2471.27</v>
      </c>
      <c r="H7" s="15">
        <v>518.96669999999995</v>
      </c>
      <c r="I7" s="15"/>
      <c r="J7" s="15"/>
      <c r="K7" s="15"/>
      <c r="L7" s="15"/>
      <c r="M7" s="15"/>
      <c r="N7" s="15"/>
      <c r="O7" s="16"/>
      <c r="P7" s="17">
        <f t="shared" si="0"/>
        <v>2990.2366999999999</v>
      </c>
    </row>
    <row r="8" spans="1:16" x14ac:dyDescent="0.25">
      <c r="A8" s="8">
        <v>44201</v>
      </c>
      <c r="B8" s="9">
        <v>1</v>
      </c>
      <c r="C8" s="10">
        <v>2</v>
      </c>
      <c r="D8" s="11">
        <v>608</v>
      </c>
      <c r="E8" s="12">
        <v>30714020222</v>
      </c>
      <c r="F8" s="13" t="s">
        <v>21</v>
      </c>
      <c r="G8" s="14">
        <v>1485.95</v>
      </c>
      <c r="H8" s="15">
        <v>312.04950000000002</v>
      </c>
      <c r="I8" s="15"/>
      <c r="J8" s="15"/>
      <c r="K8" s="15"/>
      <c r="L8" s="15"/>
      <c r="M8" s="15"/>
      <c r="N8" s="15"/>
      <c r="O8" s="16"/>
      <c r="P8" s="17">
        <f t="shared" si="0"/>
        <v>1797.9995000000001</v>
      </c>
    </row>
    <row r="9" spans="1:16" x14ac:dyDescent="0.25">
      <c r="A9" s="8">
        <v>44201</v>
      </c>
      <c r="B9" s="9">
        <v>99</v>
      </c>
      <c r="C9" s="10">
        <v>825</v>
      </c>
      <c r="D9" s="11">
        <v>76817500</v>
      </c>
      <c r="E9" s="12">
        <v>30571421352</v>
      </c>
      <c r="F9" s="13" t="s">
        <v>22</v>
      </c>
      <c r="G9" s="14">
        <v>6352.5</v>
      </c>
      <c r="H9" s="15">
        <v>1334.0249999999999</v>
      </c>
      <c r="I9" s="15"/>
      <c r="J9" s="15"/>
      <c r="K9" s="15"/>
      <c r="L9" s="15"/>
      <c r="M9" s="15">
        <v>190.58</v>
      </c>
      <c r="N9" s="15"/>
      <c r="O9" s="16"/>
      <c r="P9" s="17">
        <f t="shared" si="0"/>
        <v>7877.1049999999996</v>
      </c>
    </row>
    <row r="10" spans="1:16" x14ac:dyDescent="0.25">
      <c r="A10" s="8">
        <v>44201</v>
      </c>
      <c r="B10" s="9">
        <v>1</v>
      </c>
      <c r="C10" s="10">
        <v>4</v>
      </c>
      <c r="D10" s="11">
        <v>4612</v>
      </c>
      <c r="E10" s="12">
        <v>30714712604</v>
      </c>
      <c r="F10" s="13" t="s">
        <v>23</v>
      </c>
      <c r="G10" s="14">
        <v>2030.2</v>
      </c>
      <c r="H10" s="15">
        <v>426.34199999999998</v>
      </c>
      <c r="I10" s="15"/>
      <c r="J10" s="15"/>
      <c r="K10" s="15"/>
      <c r="L10" s="15"/>
      <c r="M10" s="15"/>
      <c r="N10" s="15"/>
      <c r="O10" s="16"/>
      <c r="P10" s="17">
        <f t="shared" si="0"/>
        <v>2456.5419999999999</v>
      </c>
    </row>
    <row r="11" spans="1:16" x14ac:dyDescent="0.25">
      <c r="A11" s="8">
        <v>44201</v>
      </c>
      <c r="B11" s="9">
        <v>1</v>
      </c>
      <c r="C11" s="10">
        <v>23</v>
      </c>
      <c r="D11" s="11">
        <v>2121</v>
      </c>
      <c r="E11" s="12">
        <v>30711493596</v>
      </c>
      <c r="F11" s="13" t="s">
        <v>24</v>
      </c>
      <c r="G11" s="14">
        <v>1256.2</v>
      </c>
      <c r="H11" s="15">
        <v>263.80200000000002</v>
      </c>
      <c r="I11" s="15"/>
      <c r="J11" s="15"/>
      <c r="K11" s="15"/>
      <c r="L11" s="15"/>
      <c r="M11" s="15"/>
      <c r="N11" s="15"/>
      <c r="O11" s="16"/>
      <c r="P11" s="17">
        <f t="shared" si="0"/>
        <v>1520.002</v>
      </c>
    </row>
    <row r="12" spans="1:16" x14ac:dyDescent="0.25">
      <c r="A12" s="8">
        <v>44202</v>
      </c>
      <c r="B12" s="9">
        <v>66</v>
      </c>
      <c r="C12" s="10">
        <v>0</v>
      </c>
      <c r="D12" s="11" t="s">
        <v>25</v>
      </c>
      <c r="E12" s="12">
        <v>33693450239</v>
      </c>
      <c r="F12" s="13" t="s">
        <v>26</v>
      </c>
      <c r="G12" s="14">
        <v>235403.90476190476</v>
      </c>
      <c r="H12" s="15">
        <v>49434.82</v>
      </c>
      <c r="I12" s="15"/>
      <c r="J12" s="15"/>
      <c r="K12" s="15"/>
      <c r="L12" s="15"/>
      <c r="M12" s="15">
        <v>47477.48</v>
      </c>
      <c r="N12" s="15"/>
      <c r="O12" s="16"/>
      <c r="P12" s="17">
        <f t="shared" si="0"/>
        <v>332316.20476190472</v>
      </c>
    </row>
    <row r="13" spans="1:16" x14ac:dyDescent="0.25">
      <c r="A13" s="8">
        <v>44202</v>
      </c>
      <c r="B13" s="9">
        <v>99</v>
      </c>
      <c r="C13" s="10">
        <v>818</v>
      </c>
      <c r="D13" s="11">
        <v>64721200</v>
      </c>
      <c r="E13" s="12">
        <v>30571421352</v>
      </c>
      <c r="F13" s="13" t="s">
        <v>22</v>
      </c>
      <c r="G13" s="14">
        <v>9753.15</v>
      </c>
      <c r="H13" s="15">
        <v>2048.1614999999997</v>
      </c>
      <c r="I13" s="15"/>
      <c r="J13" s="15"/>
      <c r="K13" s="15"/>
      <c r="L13" s="15"/>
      <c r="M13" s="15">
        <v>292.58999999999997</v>
      </c>
      <c r="N13" s="15"/>
      <c r="O13" s="16"/>
      <c r="P13" s="17">
        <f t="shared" si="0"/>
        <v>12093.9015</v>
      </c>
    </row>
    <row r="14" spans="1:16" x14ac:dyDescent="0.25">
      <c r="A14" s="8">
        <v>44202</v>
      </c>
      <c r="B14" s="9">
        <v>1</v>
      </c>
      <c r="C14" s="10">
        <v>2</v>
      </c>
      <c r="D14" s="11">
        <v>90</v>
      </c>
      <c r="E14" s="12">
        <v>20125142851</v>
      </c>
      <c r="F14" s="13" t="s">
        <v>27</v>
      </c>
      <c r="G14" s="14">
        <v>27808.05</v>
      </c>
      <c r="H14" s="15">
        <v>5839.6904999999997</v>
      </c>
      <c r="I14" s="15"/>
      <c r="J14" s="15"/>
      <c r="K14" s="15"/>
      <c r="L14" s="15"/>
      <c r="M14" s="15"/>
      <c r="N14" s="15"/>
      <c r="O14" s="16"/>
      <c r="P14" s="17">
        <f t="shared" si="0"/>
        <v>33647.7405</v>
      </c>
    </row>
    <row r="15" spans="1:16" x14ac:dyDescent="0.25">
      <c r="A15" s="8">
        <v>44202</v>
      </c>
      <c r="B15" s="9">
        <v>1</v>
      </c>
      <c r="C15" s="10">
        <v>2</v>
      </c>
      <c r="D15" s="11">
        <v>91</v>
      </c>
      <c r="E15" s="12">
        <v>20125142851</v>
      </c>
      <c r="F15" s="13" t="s">
        <v>27</v>
      </c>
      <c r="G15" s="14">
        <v>32649.599999999999</v>
      </c>
      <c r="H15" s="15">
        <v>6856.4159999999993</v>
      </c>
      <c r="I15" s="15"/>
      <c r="J15" s="15"/>
      <c r="K15" s="15"/>
      <c r="L15" s="15"/>
      <c r="M15" s="15"/>
      <c r="N15" s="15"/>
      <c r="O15" s="16"/>
      <c r="P15" s="17">
        <f t="shared" si="0"/>
        <v>39506.015999999996</v>
      </c>
    </row>
    <row r="16" spans="1:16" x14ac:dyDescent="0.25">
      <c r="A16" s="8">
        <v>44202</v>
      </c>
      <c r="B16" s="9">
        <v>1</v>
      </c>
      <c r="C16" s="10">
        <v>4</v>
      </c>
      <c r="D16" s="11">
        <v>1714</v>
      </c>
      <c r="E16" s="12">
        <v>30715577956</v>
      </c>
      <c r="F16" s="13" t="s">
        <v>28</v>
      </c>
      <c r="G16" s="14">
        <v>8925.6200000000008</v>
      </c>
      <c r="H16" s="15">
        <v>1874.3802000000001</v>
      </c>
      <c r="I16" s="15"/>
      <c r="J16" s="15"/>
      <c r="K16" s="15"/>
      <c r="L16" s="15"/>
      <c r="M16" s="15"/>
      <c r="N16" s="15"/>
      <c r="O16" s="16"/>
      <c r="P16" s="17">
        <f t="shared" si="0"/>
        <v>10800.0002</v>
      </c>
    </row>
    <row r="17" spans="1:16" x14ac:dyDescent="0.25">
      <c r="A17" s="8">
        <v>44202</v>
      </c>
      <c r="B17" s="9">
        <v>1</v>
      </c>
      <c r="C17" s="10">
        <v>3</v>
      </c>
      <c r="D17" s="11">
        <v>365</v>
      </c>
      <c r="E17" s="12">
        <v>30715402765</v>
      </c>
      <c r="F17" s="13" t="s">
        <v>29</v>
      </c>
      <c r="G17" s="14">
        <v>4545.46</v>
      </c>
      <c r="H17" s="15">
        <v>954.54660000000001</v>
      </c>
      <c r="I17" s="15"/>
      <c r="J17" s="15"/>
      <c r="K17" s="15"/>
      <c r="L17" s="15"/>
      <c r="M17" s="15"/>
      <c r="N17" s="15"/>
      <c r="O17" s="16"/>
      <c r="P17" s="17">
        <f>SUM(G17:O17)</f>
        <v>5500.0065999999997</v>
      </c>
    </row>
    <row r="18" spans="1:16" x14ac:dyDescent="0.25">
      <c r="A18" s="8">
        <v>44203</v>
      </c>
      <c r="B18" s="9">
        <v>99</v>
      </c>
      <c r="C18" s="10">
        <v>1</v>
      </c>
      <c r="D18" s="11">
        <v>49448300</v>
      </c>
      <c r="E18" s="12">
        <v>30571421352</v>
      </c>
      <c r="F18" s="13" t="s">
        <v>22</v>
      </c>
      <c r="G18" s="14">
        <v>2125</v>
      </c>
      <c r="H18" s="15">
        <v>446.25</v>
      </c>
      <c r="I18" s="15"/>
      <c r="J18" s="15"/>
      <c r="K18" s="15"/>
      <c r="L18" s="15"/>
      <c r="M18" s="15">
        <v>63.75</v>
      </c>
      <c r="N18" s="15"/>
      <c r="O18" s="16"/>
      <c r="P18" s="17">
        <f t="shared" si="0"/>
        <v>2635</v>
      </c>
    </row>
    <row r="19" spans="1:16" x14ac:dyDescent="0.25">
      <c r="A19" s="8">
        <v>44203</v>
      </c>
      <c r="B19" s="9">
        <v>99</v>
      </c>
      <c r="C19" s="10">
        <v>1</v>
      </c>
      <c r="D19" s="11">
        <v>93577700</v>
      </c>
      <c r="E19" s="12">
        <v>30571421352</v>
      </c>
      <c r="F19" s="13" t="s">
        <v>22</v>
      </c>
      <c r="G19" s="14">
        <v>2136.75</v>
      </c>
      <c r="H19" s="15">
        <v>448.71749999999997</v>
      </c>
      <c r="I19" s="15"/>
      <c r="J19" s="15"/>
      <c r="K19" s="15"/>
      <c r="L19" s="15"/>
      <c r="M19" s="15">
        <v>64.099999999999994</v>
      </c>
      <c r="N19" s="15"/>
      <c r="O19" s="16"/>
      <c r="P19" s="17">
        <f t="shared" si="0"/>
        <v>2649.5674999999997</v>
      </c>
    </row>
    <row r="20" spans="1:16" x14ac:dyDescent="0.25">
      <c r="A20" s="8">
        <v>44203</v>
      </c>
      <c r="B20" s="9">
        <v>1</v>
      </c>
      <c r="C20" s="10">
        <v>778</v>
      </c>
      <c r="D20" s="11">
        <v>17527</v>
      </c>
      <c r="E20" s="12">
        <v>30580111315</v>
      </c>
      <c r="F20" s="13" t="s">
        <v>30</v>
      </c>
      <c r="G20" s="14">
        <v>24501.75</v>
      </c>
      <c r="H20" s="15">
        <v>5145.3674999999994</v>
      </c>
      <c r="I20" s="15"/>
      <c r="J20" s="15"/>
      <c r="K20" s="15"/>
      <c r="L20" s="15"/>
      <c r="M20" s="15"/>
      <c r="N20" s="15"/>
      <c r="O20" s="16"/>
      <c r="P20" s="17">
        <f t="shared" si="0"/>
        <v>29647.1175</v>
      </c>
    </row>
    <row r="21" spans="1:16" x14ac:dyDescent="0.25">
      <c r="A21" s="8">
        <v>44203</v>
      </c>
      <c r="B21" s="9">
        <v>1</v>
      </c>
      <c r="C21" s="10">
        <v>40</v>
      </c>
      <c r="D21" s="11">
        <v>1508736</v>
      </c>
      <c r="E21" s="12">
        <v>30710964277</v>
      </c>
      <c r="F21" s="13" t="s">
        <v>31</v>
      </c>
      <c r="G21" s="14">
        <v>1963.35</v>
      </c>
      <c r="H21" s="15">
        <v>412.30349999999999</v>
      </c>
      <c r="I21" s="15"/>
      <c r="J21" s="15"/>
      <c r="K21" s="15"/>
      <c r="L21" s="15"/>
      <c r="M21" s="15"/>
      <c r="N21" s="15"/>
      <c r="O21" s="16"/>
      <c r="P21" s="17">
        <f t="shared" si="0"/>
        <v>2375.6534999999999</v>
      </c>
    </row>
    <row r="22" spans="1:16" x14ac:dyDescent="0.25">
      <c r="A22" s="8">
        <v>44203</v>
      </c>
      <c r="B22" s="9">
        <v>1</v>
      </c>
      <c r="C22" s="10">
        <v>9</v>
      </c>
      <c r="D22" s="11">
        <v>913</v>
      </c>
      <c r="E22" s="12">
        <v>33710186079</v>
      </c>
      <c r="F22" s="13" t="s">
        <v>32</v>
      </c>
      <c r="G22" s="14">
        <v>2326.46</v>
      </c>
      <c r="H22" s="15">
        <v>488.5566</v>
      </c>
      <c r="I22" s="15"/>
      <c r="J22" s="15"/>
      <c r="K22" s="15"/>
      <c r="L22" s="15"/>
      <c r="M22" s="15"/>
      <c r="N22" s="15"/>
      <c r="O22" s="16"/>
      <c r="P22" s="17">
        <f t="shared" si="0"/>
        <v>2815.0165999999999</v>
      </c>
    </row>
    <row r="23" spans="1:16" x14ac:dyDescent="0.25">
      <c r="A23" s="8">
        <v>44204</v>
      </c>
      <c r="B23" s="9">
        <v>1</v>
      </c>
      <c r="C23" s="10">
        <v>5</v>
      </c>
      <c r="D23" s="11">
        <v>5600</v>
      </c>
      <c r="E23" s="12">
        <v>20119169306</v>
      </c>
      <c r="F23" s="13" t="s">
        <v>33</v>
      </c>
      <c r="G23" s="14">
        <v>7117.36</v>
      </c>
      <c r="H23" s="15">
        <v>1494.6455999999998</v>
      </c>
      <c r="I23" s="15"/>
      <c r="J23" s="15"/>
      <c r="K23" s="15"/>
      <c r="L23" s="15"/>
      <c r="M23" s="15"/>
      <c r="N23" s="15"/>
      <c r="O23" s="16"/>
      <c r="P23" s="17">
        <f t="shared" si="0"/>
        <v>8612.0056000000004</v>
      </c>
    </row>
    <row r="24" spans="1:16" x14ac:dyDescent="0.25">
      <c r="A24" s="8">
        <v>44204</v>
      </c>
      <c r="B24" s="9">
        <v>1</v>
      </c>
      <c r="C24" s="10">
        <v>3</v>
      </c>
      <c r="D24" s="11">
        <v>9768</v>
      </c>
      <c r="E24" s="12">
        <v>30709511846</v>
      </c>
      <c r="F24" s="13" t="s">
        <v>34</v>
      </c>
      <c r="G24" s="14">
        <v>3510.41</v>
      </c>
      <c r="H24" s="15"/>
      <c r="I24" s="15"/>
      <c r="J24" s="15">
        <v>368.59305000000001</v>
      </c>
      <c r="K24" s="15"/>
      <c r="L24" s="15"/>
      <c r="M24" s="15"/>
      <c r="N24" s="15"/>
      <c r="O24" s="16"/>
      <c r="P24" s="17">
        <f t="shared" si="0"/>
        <v>3879.0030499999998</v>
      </c>
    </row>
    <row r="25" spans="1:16" x14ac:dyDescent="0.25">
      <c r="A25" s="8">
        <v>44205</v>
      </c>
      <c r="B25" s="9">
        <v>1</v>
      </c>
      <c r="C25" s="10">
        <v>2078</v>
      </c>
      <c r="D25" s="11">
        <v>22253</v>
      </c>
      <c r="E25" s="12">
        <v>30548083156</v>
      </c>
      <c r="F25" s="13" t="s">
        <v>18</v>
      </c>
      <c r="G25" s="14">
        <v>15500.76</v>
      </c>
      <c r="H25" s="15">
        <v>2880.71</v>
      </c>
      <c r="I25" s="15"/>
      <c r="J25" s="15">
        <v>187.22</v>
      </c>
      <c r="K25" s="15"/>
      <c r="L25" s="15"/>
      <c r="M25" s="15">
        <v>411.53</v>
      </c>
      <c r="N25" s="15"/>
      <c r="O25" s="16"/>
      <c r="P25" s="17">
        <f t="shared" si="0"/>
        <v>18980.22</v>
      </c>
    </row>
    <row r="26" spans="1:16" x14ac:dyDescent="0.25">
      <c r="A26" s="8">
        <v>44208</v>
      </c>
      <c r="B26" s="9">
        <v>1</v>
      </c>
      <c r="C26" s="10">
        <v>5</v>
      </c>
      <c r="D26" s="11">
        <v>1946</v>
      </c>
      <c r="E26" s="12">
        <v>20045305482</v>
      </c>
      <c r="F26" s="13" t="s">
        <v>35</v>
      </c>
      <c r="G26" s="14">
        <v>2752.07</v>
      </c>
      <c r="H26" s="15">
        <v>577.93470000000002</v>
      </c>
      <c r="I26" s="15"/>
      <c r="J26" s="15"/>
      <c r="K26" s="15"/>
      <c r="L26" s="15"/>
      <c r="M26" s="15"/>
      <c r="N26" s="15"/>
      <c r="O26" s="16"/>
      <c r="P26" s="17">
        <f t="shared" si="0"/>
        <v>3330.0047000000004</v>
      </c>
    </row>
    <row r="27" spans="1:16" x14ac:dyDescent="0.25">
      <c r="A27" s="8">
        <v>44209</v>
      </c>
      <c r="B27" s="9">
        <v>1</v>
      </c>
      <c r="C27" s="10">
        <v>5</v>
      </c>
      <c r="D27" s="11">
        <v>1726</v>
      </c>
      <c r="E27" s="12">
        <v>20170366205</v>
      </c>
      <c r="F27" s="13" t="s">
        <v>36</v>
      </c>
      <c r="G27" s="14">
        <v>1127.27</v>
      </c>
      <c r="H27" s="15">
        <v>236.72669999999999</v>
      </c>
      <c r="I27" s="15"/>
      <c r="J27" s="15"/>
      <c r="K27" s="15"/>
      <c r="L27" s="15"/>
      <c r="M27" s="15"/>
      <c r="N27" s="15"/>
      <c r="O27" s="16"/>
      <c r="P27" s="17">
        <f t="shared" si="0"/>
        <v>1363.9966999999999</v>
      </c>
    </row>
    <row r="28" spans="1:16" x14ac:dyDescent="0.25">
      <c r="A28" s="8">
        <v>44210</v>
      </c>
      <c r="B28" s="9">
        <v>1</v>
      </c>
      <c r="C28" s="10">
        <v>23</v>
      </c>
      <c r="D28" s="11">
        <v>1690</v>
      </c>
      <c r="E28" s="12">
        <v>30710007949</v>
      </c>
      <c r="F28" s="13" t="s">
        <v>37</v>
      </c>
      <c r="G28" s="14">
        <v>1482.64</v>
      </c>
      <c r="H28" s="15">
        <v>311.3544</v>
      </c>
      <c r="I28" s="15"/>
      <c r="J28" s="15"/>
      <c r="K28" s="15"/>
      <c r="L28" s="15"/>
      <c r="M28" s="15"/>
      <c r="N28" s="15"/>
      <c r="O28" s="16"/>
      <c r="P28" s="17">
        <f t="shared" si="0"/>
        <v>1793.9944</v>
      </c>
    </row>
    <row r="29" spans="1:16" x14ac:dyDescent="0.25">
      <c r="A29" s="18">
        <v>44211</v>
      </c>
      <c r="B29" s="19">
        <v>1</v>
      </c>
      <c r="C29" s="20">
        <v>2</v>
      </c>
      <c r="D29" s="21">
        <v>4881</v>
      </c>
      <c r="E29" s="22">
        <v>20184146801</v>
      </c>
      <c r="F29" s="23" t="s">
        <v>38</v>
      </c>
      <c r="G29" s="24">
        <v>1000</v>
      </c>
      <c r="H29" s="25">
        <v>210</v>
      </c>
      <c r="I29" s="25"/>
      <c r="J29" s="25"/>
      <c r="K29" s="25"/>
      <c r="L29" s="25"/>
      <c r="M29" s="25"/>
      <c r="N29" s="25"/>
      <c r="O29" s="26"/>
      <c r="P29" s="17">
        <f t="shared" si="0"/>
        <v>1210</v>
      </c>
    </row>
    <row r="30" spans="1:16" x14ac:dyDescent="0.25">
      <c r="A30" s="18">
        <v>44211</v>
      </c>
      <c r="B30" s="19">
        <v>1</v>
      </c>
      <c r="C30" s="20">
        <v>4</v>
      </c>
      <c r="D30" s="21">
        <v>8134</v>
      </c>
      <c r="E30" s="22">
        <v>33710719549</v>
      </c>
      <c r="F30" s="23" t="s">
        <v>39</v>
      </c>
      <c r="G30" s="24">
        <v>2629.75</v>
      </c>
      <c r="H30" s="25">
        <v>552.24749999999995</v>
      </c>
      <c r="I30" s="25"/>
      <c r="J30" s="25"/>
      <c r="K30" s="25"/>
      <c r="L30" s="25"/>
      <c r="M30" s="25"/>
      <c r="N30" s="25"/>
      <c r="O30" s="26"/>
      <c r="P30" s="17">
        <f t="shared" si="0"/>
        <v>3181.9974999999999</v>
      </c>
    </row>
    <row r="31" spans="1:16" x14ac:dyDescent="0.25">
      <c r="A31" s="18">
        <v>44211</v>
      </c>
      <c r="B31" s="19">
        <v>1</v>
      </c>
      <c r="C31" s="20">
        <v>4</v>
      </c>
      <c r="D31" s="21">
        <v>6331</v>
      </c>
      <c r="E31" s="22">
        <v>30620415606</v>
      </c>
      <c r="F31" s="23" t="s">
        <v>40</v>
      </c>
      <c r="G31" s="24">
        <v>61769.09</v>
      </c>
      <c r="H31" s="25">
        <v>12971.508899999999</v>
      </c>
      <c r="I31" s="25"/>
      <c r="J31" s="25"/>
      <c r="K31" s="25">
        <v>32022.77</v>
      </c>
      <c r="L31" s="25"/>
      <c r="M31" s="25"/>
      <c r="N31" s="25"/>
      <c r="O31" s="26"/>
      <c r="P31" s="17">
        <f t="shared" si="0"/>
        <v>106763.3689</v>
      </c>
    </row>
    <row r="32" spans="1:16" x14ac:dyDescent="0.25">
      <c r="A32" s="18">
        <v>44214</v>
      </c>
      <c r="B32" s="19">
        <v>1</v>
      </c>
      <c r="C32" s="20">
        <v>700</v>
      </c>
      <c r="D32" s="21">
        <v>180870</v>
      </c>
      <c r="E32" s="22">
        <v>30580111315</v>
      </c>
      <c r="F32" s="23" t="s">
        <v>30</v>
      </c>
      <c r="G32" s="24"/>
      <c r="H32" s="25">
        <v>0</v>
      </c>
      <c r="I32" s="25"/>
      <c r="J32" s="25"/>
      <c r="K32" s="25"/>
      <c r="L32" s="25">
        <v>8580.4125000000004</v>
      </c>
      <c r="M32" s="25"/>
      <c r="N32" s="25"/>
      <c r="O32" s="26"/>
      <c r="P32" s="17">
        <f t="shared" si="0"/>
        <v>8580.4125000000004</v>
      </c>
    </row>
    <row r="33" spans="1:16" x14ac:dyDescent="0.25">
      <c r="A33" s="18">
        <v>44214</v>
      </c>
      <c r="B33" s="19">
        <v>1</v>
      </c>
      <c r="C33" s="20">
        <v>3</v>
      </c>
      <c r="D33" s="21">
        <v>3336</v>
      </c>
      <c r="E33" s="22">
        <v>30715768921</v>
      </c>
      <c r="F33" s="23" t="s">
        <v>41</v>
      </c>
      <c r="G33" s="24">
        <v>2912.98</v>
      </c>
      <c r="H33" s="25">
        <v>611.72579999999994</v>
      </c>
      <c r="I33" s="25"/>
      <c r="J33" s="25"/>
      <c r="K33" s="25"/>
      <c r="L33" s="25"/>
      <c r="M33" s="25"/>
      <c r="N33" s="25"/>
      <c r="O33" s="26"/>
      <c r="P33" s="17">
        <f t="shared" si="0"/>
        <v>3524.7057999999997</v>
      </c>
    </row>
    <row r="34" spans="1:16" x14ac:dyDescent="0.25">
      <c r="A34" s="18">
        <v>44215</v>
      </c>
      <c r="B34" s="19">
        <v>1</v>
      </c>
      <c r="C34" s="20">
        <v>5</v>
      </c>
      <c r="D34" s="21">
        <v>36772</v>
      </c>
      <c r="E34" s="22">
        <v>30692857611</v>
      </c>
      <c r="F34" s="23" t="s">
        <v>42</v>
      </c>
      <c r="G34" s="24">
        <v>22968.400000000001</v>
      </c>
      <c r="H34" s="25">
        <v>4823.3640000000005</v>
      </c>
      <c r="I34" s="25"/>
      <c r="J34" s="25"/>
      <c r="K34" s="25"/>
      <c r="L34" s="25"/>
      <c r="M34" s="25"/>
      <c r="N34" s="25"/>
      <c r="O34" s="26"/>
      <c r="P34" s="17">
        <f t="shared" si="0"/>
        <v>27791.764000000003</v>
      </c>
    </row>
    <row r="35" spans="1:16" x14ac:dyDescent="0.25">
      <c r="A35" s="18">
        <v>44215</v>
      </c>
      <c r="B35" s="19">
        <v>1</v>
      </c>
      <c r="C35" s="20">
        <v>2</v>
      </c>
      <c r="D35" s="21">
        <v>819</v>
      </c>
      <c r="E35" s="22">
        <v>30573843440</v>
      </c>
      <c r="F35" s="23" t="s">
        <v>43</v>
      </c>
      <c r="G35" s="24">
        <v>73537</v>
      </c>
      <c r="H35" s="25">
        <v>15442.769999999999</v>
      </c>
      <c r="I35" s="25"/>
      <c r="J35" s="25"/>
      <c r="K35" s="25"/>
      <c r="L35" s="25"/>
      <c r="M35" s="25"/>
      <c r="N35" s="25"/>
      <c r="O35" s="26"/>
      <c r="P35" s="17">
        <f t="shared" si="0"/>
        <v>88979.77</v>
      </c>
    </row>
    <row r="36" spans="1:16" x14ac:dyDescent="0.25">
      <c r="A36" s="18">
        <v>44218</v>
      </c>
      <c r="B36" s="19">
        <v>1</v>
      </c>
      <c r="C36" s="20">
        <v>2</v>
      </c>
      <c r="D36" s="21">
        <v>357</v>
      </c>
      <c r="E36" s="22">
        <v>20296550184</v>
      </c>
      <c r="F36" s="23" t="s">
        <v>44</v>
      </c>
      <c r="G36" s="24">
        <v>42854</v>
      </c>
      <c r="H36" s="25">
        <v>8999.34</v>
      </c>
      <c r="I36" s="25"/>
      <c r="J36" s="25"/>
      <c r="K36" s="25"/>
      <c r="L36" s="25"/>
      <c r="M36" s="25"/>
      <c r="N36" s="25"/>
      <c r="O36" s="26"/>
      <c r="P36" s="17">
        <f t="shared" si="0"/>
        <v>51853.34</v>
      </c>
    </row>
    <row r="37" spans="1:16" x14ac:dyDescent="0.25">
      <c r="A37" s="18">
        <v>44218</v>
      </c>
      <c r="B37" s="19">
        <v>1</v>
      </c>
      <c r="C37" s="20">
        <v>280</v>
      </c>
      <c r="D37" s="21">
        <v>1277721</v>
      </c>
      <c r="E37" s="22">
        <v>30580111315</v>
      </c>
      <c r="F37" s="23" t="s">
        <v>30</v>
      </c>
      <c r="G37" s="24">
        <v>210909.94320000001</v>
      </c>
      <c r="H37" s="25">
        <v>816.76350000000002</v>
      </c>
      <c r="I37" s="25"/>
      <c r="J37" s="25">
        <v>21737.145</v>
      </c>
      <c r="K37" s="25"/>
      <c r="L37" s="25"/>
      <c r="M37" s="25"/>
      <c r="N37" s="25"/>
      <c r="O37" s="26">
        <v>-188200.46</v>
      </c>
      <c r="P37" s="17">
        <f t="shared" si="0"/>
        <v>45263.391700000007</v>
      </c>
    </row>
    <row r="38" spans="1:16" x14ac:dyDescent="0.25">
      <c r="A38" s="18">
        <v>44218</v>
      </c>
      <c r="B38" s="19">
        <v>1</v>
      </c>
      <c r="C38" s="20">
        <v>4571</v>
      </c>
      <c r="D38" s="21">
        <v>32509</v>
      </c>
      <c r="E38" s="22">
        <v>30695542476</v>
      </c>
      <c r="F38" s="23" t="s">
        <v>45</v>
      </c>
      <c r="G38" s="24">
        <v>2169.09</v>
      </c>
      <c r="H38" s="25">
        <v>455.50890000000004</v>
      </c>
      <c r="I38" s="25"/>
      <c r="J38" s="25"/>
      <c r="K38" s="25">
        <v>805.58</v>
      </c>
      <c r="L38" s="25"/>
      <c r="M38" s="25">
        <v>65.069999999999993</v>
      </c>
      <c r="N38" s="25"/>
      <c r="O38" s="26">
        <v>0.01</v>
      </c>
      <c r="P38" s="17">
        <f t="shared" si="0"/>
        <v>3495.2589000000003</v>
      </c>
    </row>
    <row r="39" spans="1:16" x14ac:dyDescent="0.25">
      <c r="A39" s="18">
        <v>44222</v>
      </c>
      <c r="B39" s="19">
        <v>1</v>
      </c>
      <c r="C39" s="20">
        <v>4</v>
      </c>
      <c r="D39" s="21">
        <v>2769</v>
      </c>
      <c r="E39" s="22">
        <v>20348009622</v>
      </c>
      <c r="F39" s="23" t="s">
        <v>46</v>
      </c>
      <c r="G39" s="24">
        <v>752.07</v>
      </c>
      <c r="H39" s="25">
        <v>157.93469999999999</v>
      </c>
      <c r="I39" s="25"/>
      <c r="J39" s="25"/>
      <c r="K39" s="25"/>
      <c r="L39" s="25"/>
      <c r="M39" s="25"/>
      <c r="N39" s="25"/>
      <c r="O39" s="26"/>
      <c r="P39" s="17">
        <f t="shared" si="0"/>
        <v>910.00470000000007</v>
      </c>
    </row>
    <row r="40" spans="1:16" x14ac:dyDescent="0.25">
      <c r="A40" s="18">
        <v>44222</v>
      </c>
      <c r="B40" s="19">
        <v>1</v>
      </c>
      <c r="C40" s="20">
        <v>3</v>
      </c>
      <c r="D40" s="21">
        <v>5764</v>
      </c>
      <c r="E40" s="22">
        <v>27126668150</v>
      </c>
      <c r="F40" s="23" t="s">
        <v>47</v>
      </c>
      <c r="G40" s="24">
        <v>826.45</v>
      </c>
      <c r="H40" s="25">
        <v>173.55449999999999</v>
      </c>
      <c r="I40" s="25"/>
      <c r="J40" s="25"/>
      <c r="K40" s="25"/>
      <c r="L40" s="25"/>
      <c r="M40" s="25"/>
      <c r="N40" s="25"/>
      <c r="O40" s="26"/>
      <c r="P40" s="17">
        <f t="shared" si="0"/>
        <v>1000.0045</v>
      </c>
    </row>
    <row r="41" spans="1:16" x14ac:dyDescent="0.25">
      <c r="A41" s="18">
        <v>44222</v>
      </c>
      <c r="B41" s="19">
        <v>1</v>
      </c>
      <c r="C41" s="20">
        <v>2</v>
      </c>
      <c r="D41" s="21">
        <v>92</v>
      </c>
      <c r="E41" s="22">
        <v>20125142851</v>
      </c>
      <c r="F41" s="23" t="s">
        <v>27</v>
      </c>
      <c r="G41" s="24">
        <v>33369.660000000003</v>
      </c>
      <c r="H41" s="25">
        <v>7007.6286000000009</v>
      </c>
      <c r="I41" s="25"/>
      <c r="J41" s="25"/>
      <c r="K41" s="25"/>
      <c r="L41" s="25"/>
      <c r="M41" s="25"/>
      <c r="N41" s="25"/>
      <c r="O41" s="26"/>
      <c r="P41" s="17">
        <f t="shared" si="0"/>
        <v>40377.288600000007</v>
      </c>
    </row>
    <row r="42" spans="1:16" x14ac:dyDescent="0.25">
      <c r="A42" s="18">
        <v>44222</v>
      </c>
      <c r="B42" s="19">
        <v>1</v>
      </c>
      <c r="C42" s="20">
        <v>2</v>
      </c>
      <c r="D42" s="21">
        <v>93</v>
      </c>
      <c r="E42" s="22">
        <v>20125142851</v>
      </c>
      <c r="F42" s="23" t="s">
        <v>27</v>
      </c>
      <c r="G42" s="24">
        <v>37387.440000000002</v>
      </c>
      <c r="H42" s="25">
        <v>7851.3624</v>
      </c>
      <c r="I42" s="25"/>
      <c r="J42" s="25"/>
      <c r="K42" s="25"/>
      <c r="L42" s="25"/>
      <c r="M42" s="25"/>
      <c r="N42" s="25"/>
      <c r="O42" s="26"/>
      <c r="P42" s="17">
        <f t="shared" si="0"/>
        <v>45238.8024</v>
      </c>
    </row>
    <row r="43" spans="1:16" x14ac:dyDescent="0.25">
      <c r="A43" s="18">
        <v>44223</v>
      </c>
      <c r="B43" s="19">
        <v>99</v>
      </c>
      <c r="C43" s="20">
        <v>1</v>
      </c>
      <c r="D43" s="21">
        <v>6943200</v>
      </c>
      <c r="E43" s="22">
        <v>30571421352</v>
      </c>
      <c r="F43" s="23" t="s">
        <v>22</v>
      </c>
      <c r="G43" s="24">
        <v>2177.75</v>
      </c>
      <c r="H43" s="25">
        <v>457.32749999999999</v>
      </c>
      <c r="I43" s="25"/>
      <c r="J43" s="25"/>
      <c r="K43" s="25"/>
      <c r="L43" s="25"/>
      <c r="M43" s="25">
        <v>65.33</v>
      </c>
      <c r="N43" s="25"/>
      <c r="O43" s="26"/>
      <c r="P43" s="17">
        <f t="shared" si="0"/>
        <v>2700.4074999999998</v>
      </c>
    </row>
    <row r="44" spans="1:16" x14ac:dyDescent="0.25">
      <c r="A44" s="18">
        <v>44223</v>
      </c>
      <c r="B44" s="19">
        <v>1</v>
      </c>
      <c r="C44" s="20">
        <v>2078</v>
      </c>
      <c r="D44" s="21">
        <v>22675</v>
      </c>
      <c r="E44" s="22">
        <v>30548083156</v>
      </c>
      <c r="F44" s="23" t="s">
        <v>18</v>
      </c>
      <c r="G44" s="24">
        <v>4110.05</v>
      </c>
      <c r="H44" s="25">
        <v>722.5</v>
      </c>
      <c r="I44" s="25"/>
      <c r="J44" s="25">
        <v>70.31</v>
      </c>
      <c r="K44" s="25"/>
      <c r="L44" s="25"/>
      <c r="M44" s="25">
        <v>99.67</v>
      </c>
      <c r="N44" s="25"/>
      <c r="O44" s="26"/>
      <c r="P44" s="17">
        <f t="shared" si="0"/>
        <v>5002.5300000000007</v>
      </c>
    </row>
    <row r="45" spans="1:16" x14ac:dyDescent="0.25">
      <c r="A45" s="18">
        <v>44223</v>
      </c>
      <c r="B45" s="19">
        <v>1</v>
      </c>
      <c r="C45" s="20">
        <v>9</v>
      </c>
      <c r="D45" s="21">
        <v>528</v>
      </c>
      <c r="E45" s="22">
        <v>30631047145</v>
      </c>
      <c r="F45" s="23" t="s">
        <v>48</v>
      </c>
      <c r="G45" s="24">
        <v>138212.51999999999</v>
      </c>
      <c r="H45" s="25">
        <v>17611.150000000001</v>
      </c>
      <c r="I45" s="25"/>
      <c r="J45" s="25">
        <v>5706.74</v>
      </c>
      <c r="K45" s="25"/>
      <c r="L45" s="25"/>
      <c r="M45" s="25"/>
      <c r="N45" s="25"/>
      <c r="O45" s="26"/>
      <c r="P45" s="17">
        <f t="shared" si="0"/>
        <v>161530.40999999997</v>
      </c>
    </row>
    <row r="46" spans="1:16" x14ac:dyDescent="0.25">
      <c r="A46" s="18">
        <v>44224</v>
      </c>
      <c r="B46" s="19">
        <v>1</v>
      </c>
      <c r="C46" s="20">
        <v>1</v>
      </c>
      <c r="D46" s="21">
        <v>5959</v>
      </c>
      <c r="E46" s="22">
        <v>30716370727</v>
      </c>
      <c r="F46" s="23" t="s">
        <v>49</v>
      </c>
      <c r="G46" s="24">
        <v>3024.8</v>
      </c>
      <c r="H46" s="25">
        <v>635.20799999999997</v>
      </c>
      <c r="I46" s="25"/>
      <c r="J46" s="25"/>
      <c r="K46" s="25"/>
      <c r="L46" s="25"/>
      <c r="M46" s="25"/>
      <c r="N46" s="25"/>
      <c r="O46" s="26"/>
      <c r="P46" s="17">
        <f t="shared" si="0"/>
        <v>3660.0080000000003</v>
      </c>
    </row>
    <row r="47" spans="1:16" x14ac:dyDescent="0.25">
      <c r="A47" s="18">
        <v>44224</v>
      </c>
      <c r="B47" s="19">
        <v>1</v>
      </c>
      <c r="C47" s="20">
        <v>36</v>
      </c>
      <c r="D47" s="21">
        <v>62758</v>
      </c>
      <c r="E47" s="22">
        <v>33677414419</v>
      </c>
      <c r="F47" s="23" t="s">
        <v>50</v>
      </c>
      <c r="G47" s="24">
        <v>44957.85</v>
      </c>
      <c r="H47" s="25">
        <v>9441.1484999999993</v>
      </c>
      <c r="I47" s="25"/>
      <c r="J47" s="25"/>
      <c r="K47" s="25"/>
      <c r="L47" s="25"/>
      <c r="M47" s="25"/>
      <c r="N47" s="25"/>
      <c r="O47" s="26"/>
      <c r="P47" s="17">
        <f t="shared" si="0"/>
        <v>54398.998500000002</v>
      </c>
    </row>
    <row r="48" spans="1:16" x14ac:dyDescent="0.25">
      <c r="A48" s="18">
        <v>44225</v>
      </c>
      <c r="B48" s="19">
        <v>99</v>
      </c>
      <c r="C48" s="20">
        <v>818</v>
      </c>
      <c r="D48" s="21">
        <v>64915200</v>
      </c>
      <c r="E48" s="22">
        <v>30571421352</v>
      </c>
      <c r="F48" s="23" t="s">
        <v>22</v>
      </c>
      <c r="G48" s="24">
        <v>10028</v>
      </c>
      <c r="H48" s="25">
        <v>2105.88</v>
      </c>
      <c r="I48" s="25"/>
      <c r="J48" s="25"/>
      <c r="K48" s="25"/>
      <c r="L48" s="25"/>
      <c r="M48" s="25">
        <v>300.83999999999997</v>
      </c>
      <c r="N48" s="25"/>
      <c r="O48" s="26"/>
      <c r="P48" s="17">
        <f t="shared" si="0"/>
        <v>12434.720000000001</v>
      </c>
    </row>
    <row r="49" spans="1:16" x14ac:dyDescent="0.25">
      <c r="A49" s="18">
        <v>44227</v>
      </c>
      <c r="B49" s="19">
        <v>99</v>
      </c>
      <c r="C49" s="20">
        <v>1</v>
      </c>
      <c r="D49" s="21">
        <v>3101</v>
      </c>
      <c r="E49" s="22">
        <v>30571421352</v>
      </c>
      <c r="F49" s="23" t="s">
        <v>22</v>
      </c>
      <c r="G49" s="24">
        <v>1230</v>
      </c>
      <c r="H49" s="25">
        <v>258.3</v>
      </c>
      <c r="I49" s="25"/>
      <c r="J49" s="25"/>
      <c r="K49" s="25"/>
      <c r="L49" s="25"/>
      <c r="M49" s="25"/>
      <c r="N49" s="25"/>
      <c r="O49" s="26"/>
      <c r="P49" s="17">
        <f t="shared" si="0"/>
        <v>1488.3</v>
      </c>
    </row>
    <row r="50" spans="1:16" x14ac:dyDescent="0.25">
      <c r="A50" s="18">
        <v>44227</v>
      </c>
      <c r="B50" s="19">
        <v>99</v>
      </c>
      <c r="C50" s="20">
        <v>1</v>
      </c>
      <c r="D50" s="21">
        <v>310121</v>
      </c>
      <c r="E50" s="22">
        <v>30571421352</v>
      </c>
      <c r="F50" s="23" t="s">
        <v>22</v>
      </c>
      <c r="G50" s="24">
        <v>92</v>
      </c>
      <c r="H50" s="25">
        <v>19.32</v>
      </c>
      <c r="I50" s="25"/>
      <c r="J50" s="25"/>
      <c r="K50" s="25"/>
      <c r="L50" s="25"/>
      <c r="M50" s="25"/>
      <c r="N50" s="25"/>
      <c r="O50" s="26"/>
      <c r="P50" s="17">
        <f t="shared" si="0"/>
        <v>111.32</v>
      </c>
    </row>
    <row r="51" spans="1:16" ht="13.5" customHeight="1" thickBot="1" x14ac:dyDescent="0.3">
      <c r="A51" s="131" t="s">
        <v>51</v>
      </c>
      <c r="B51" s="132"/>
      <c r="C51" s="132"/>
      <c r="D51" s="132"/>
      <c r="E51" s="132"/>
      <c r="F51" s="132"/>
      <c r="G51" s="27">
        <f>SUM(G4:G50)</f>
        <v>1102983.3179619049</v>
      </c>
      <c r="H51" s="27">
        <f t="shared" ref="H51:P51" si="1">SUM(H4:H50)</f>
        <v>175264.89560000002</v>
      </c>
      <c r="I51" s="27">
        <f t="shared" si="1"/>
        <v>0</v>
      </c>
      <c r="J51" s="27">
        <f t="shared" si="1"/>
        <v>28180.778050000001</v>
      </c>
      <c r="K51" s="27">
        <f t="shared" si="1"/>
        <v>32828.35</v>
      </c>
      <c r="L51" s="27">
        <f t="shared" si="1"/>
        <v>8580.4125000000004</v>
      </c>
      <c r="M51" s="27">
        <f t="shared" si="1"/>
        <v>49137.69999999999</v>
      </c>
      <c r="N51" s="27">
        <f t="shared" si="1"/>
        <v>0</v>
      </c>
      <c r="O51" s="27">
        <f t="shared" si="1"/>
        <v>-188200.44999999998</v>
      </c>
      <c r="P51" s="27">
        <f t="shared" si="1"/>
        <v>1208775.0041119049</v>
      </c>
    </row>
    <row r="52" spans="1:16" ht="13.5" customHeight="1" thickBot="1" x14ac:dyDescent="0.3">
      <c r="G52" s="28"/>
      <c r="H52" s="126">
        <f>SUM(H51:J51)</f>
        <v>203445.67365000001</v>
      </c>
      <c r="I52" s="127"/>
      <c r="J52" s="128"/>
      <c r="K52" s="28"/>
      <c r="L52" s="28"/>
      <c r="M52" s="28"/>
      <c r="N52" s="28"/>
      <c r="O52" s="28"/>
      <c r="P52" s="28"/>
    </row>
    <row r="53" spans="1:16" ht="9" customHeight="1" thickTop="1" x14ac:dyDescent="0.25">
      <c r="G53" s="28"/>
      <c r="H53" s="28"/>
      <c r="I53" s="28"/>
      <c r="J53" s="28"/>
      <c r="K53" s="28"/>
      <c r="L53" s="28"/>
      <c r="M53" s="28"/>
      <c r="N53" s="28"/>
      <c r="O53" s="28"/>
      <c r="P53" s="28"/>
    </row>
    <row r="54" spans="1:16" ht="18" customHeight="1" x14ac:dyDescent="0.45">
      <c r="A54" s="1" t="s">
        <v>0</v>
      </c>
      <c r="B54" s="1"/>
      <c r="C54" s="1"/>
      <c r="D54" s="1"/>
      <c r="E54" s="1"/>
      <c r="F54" s="1"/>
      <c r="G54" s="2"/>
      <c r="H54" s="2"/>
      <c r="I54" s="2"/>
      <c r="J54" s="2"/>
      <c r="K54" s="2"/>
      <c r="L54" s="2"/>
      <c r="M54" s="3"/>
      <c r="N54" s="4">
        <v>44228</v>
      </c>
      <c r="O54" s="3"/>
      <c r="P54" s="3"/>
    </row>
    <row r="55" spans="1:16" ht="11.25" customHeight="1" thickBot="1" x14ac:dyDescent="0.5">
      <c r="A55" s="1"/>
      <c r="B55" s="1"/>
      <c r="C55" s="1"/>
      <c r="D55" s="1"/>
      <c r="E55" s="1"/>
      <c r="F55" s="1"/>
      <c r="G55" s="2"/>
      <c r="H55" s="2"/>
      <c r="I55" s="2"/>
      <c r="J55" s="2"/>
      <c r="K55" s="2"/>
      <c r="L55" s="2"/>
      <c r="M55" s="3"/>
      <c r="N55" s="3"/>
      <c r="O55" s="3"/>
      <c r="P55" s="3"/>
    </row>
    <row r="56" spans="1:16" ht="12" customHeight="1" x14ac:dyDescent="0.25">
      <c r="A56" s="5" t="s">
        <v>1</v>
      </c>
      <c r="B56" s="6" t="s">
        <v>2</v>
      </c>
      <c r="C56" s="6" t="s">
        <v>3</v>
      </c>
      <c r="D56" s="6" t="s">
        <v>4</v>
      </c>
      <c r="E56" s="6" t="s">
        <v>5</v>
      </c>
      <c r="F56" s="6" t="s">
        <v>6</v>
      </c>
      <c r="G56" s="6" t="s">
        <v>7</v>
      </c>
      <c r="H56" s="6" t="s">
        <v>8</v>
      </c>
      <c r="I56" s="6" t="s">
        <v>9</v>
      </c>
      <c r="J56" s="6" t="s">
        <v>10</v>
      </c>
      <c r="K56" s="6" t="s">
        <v>11</v>
      </c>
      <c r="L56" s="6" t="s">
        <v>12</v>
      </c>
      <c r="M56" s="6" t="s">
        <v>13</v>
      </c>
      <c r="N56" s="6" t="s">
        <v>14</v>
      </c>
      <c r="O56" s="6" t="s">
        <v>15</v>
      </c>
      <c r="P56" s="7" t="s">
        <v>16</v>
      </c>
    </row>
    <row r="57" spans="1:16" x14ac:dyDescent="0.25">
      <c r="A57" s="8">
        <v>44207</v>
      </c>
      <c r="B57" s="9">
        <v>1</v>
      </c>
      <c r="C57" s="10">
        <v>2466</v>
      </c>
      <c r="D57" s="11">
        <v>182931</v>
      </c>
      <c r="E57" s="12">
        <v>30678814357</v>
      </c>
      <c r="F57" s="13" t="s">
        <v>52</v>
      </c>
      <c r="G57" s="14">
        <v>1105</v>
      </c>
      <c r="H57" s="15"/>
      <c r="I57" s="15">
        <v>298.35000000000002</v>
      </c>
      <c r="J57" s="15"/>
      <c r="K57" s="15"/>
      <c r="L57" s="15"/>
      <c r="M57" s="15"/>
      <c r="N57" s="15"/>
      <c r="O57" s="16">
        <v>58.16</v>
      </c>
      <c r="P57" s="17">
        <f>SUM(G57:O57)</f>
        <v>1461.51</v>
      </c>
    </row>
    <row r="58" spans="1:16" x14ac:dyDescent="0.25">
      <c r="A58" s="8">
        <v>44228</v>
      </c>
      <c r="B58" s="9">
        <v>1</v>
      </c>
      <c r="C58" s="10">
        <v>3</v>
      </c>
      <c r="D58" s="11">
        <v>115602</v>
      </c>
      <c r="E58" s="12">
        <v>30707135596</v>
      </c>
      <c r="F58" s="13" t="s">
        <v>17</v>
      </c>
      <c r="G58" s="14">
        <v>1526.8</v>
      </c>
      <c r="H58" s="15">
        <v>320.62799999999999</v>
      </c>
      <c r="I58" s="15"/>
      <c r="J58" s="15"/>
      <c r="K58" s="15"/>
      <c r="L58" s="15"/>
      <c r="M58" s="15"/>
      <c r="N58" s="15"/>
      <c r="O58" s="16"/>
      <c r="P58" s="17">
        <f t="shared" ref="P58:P105" si="2">SUM(G58:O58)</f>
        <v>1847.4279999999999</v>
      </c>
    </row>
    <row r="59" spans="1:16" x14ac:dyDescent="0.25">
      <c r="A59" s="8">
        <v>44228</v>
      </c>
      <c r="B59" s="9">
        <v>99</v>
      </c>
      <c r="C59" s="10">
        <v>818</v>
      </c>
      <c r="D59" s="11">
        <v>6492280</v>
      </c>
      <c r="E59" s="12">
        <v>30571421352</v>
      </c>
      <c r="F59" s="13" t="s">
        <v>22</v>
      </c>
      <c r="G59" s="14">
        <v>10042.950000000001</v>
      </c>
      <c r="H59" s="15">
        <v>2109.0194999999999</v>
      </c>
      <c r="I59" s="15"/>
      <c r="J59" s="15"/>
      <c r="K59" s="15"/>
      <c r="L59" s="15"/>
      <c r="M59" s="15">
        <v>301.29000000000002</v>
      </c>
      <c r="N59" s="15"/>
      <c r="O59" s="16"/>
      <c r="P59" s="17">
        <f t="shared" si="2"/>
        <v>12453.259500000002</v>
      </c>
    </row>
    <row r="60" spans="1:16" x14ac:dyDescent="0.25">
      <c r="A60" s="8">
        <v>44229</v>
      </c>
      <c r="B60" s="9">
        <v>1</v>
      </c>
      <c r="C60" s="10">
        <v>122</v>
      </c>
      <c r="D60" s="11">
        <v>193929</v>
      </c>
      <c r="E60" s="12">
        <v>30594494187</v>
      </c>
      <c r="F60" s="13" t="s">
        <v>53</v>
      </c>
      <c r="G60" s="14">
        <v>5256</v>
      </c>
      <c r="H60" s="15">
        <v>1103.76</v>
      </c>
      <c r="I60" s="15"/>
      <c r="J60" s="15"/>
      <c r="K60" s="15">
        <v>27136.73</v>
      </c>
      <c r="L60" s="15"/>
      <c r="M60" s="15"/>
      <c r="N60" s="15"/>
      <c r="O60" s="16"/>
      <c r="P60" s="17">
        <f t="shared" si="2"/>
        <v>33496.49</v>
      </c>
    </row>
    <row r="61" spans="1:16" x14ac:dyDescent="0.25">
      <c r="A61" s="8">
        <v>44229</v>
      </c>
      <c r="B61" s="9">
        <v>1</v>
      </c>
      <c r="C61" s="10">
        <v>280</v>
      </c>
      <c r="D61" s="11">
        <v>1279386</v>
      </c>
      <c r="E61" s="12">
        <v>30580111315</v>
      </c>
      <c r="F61" s="13" t="s">
        <v>30</v>
      </c>
      <c r="G61" s="14">
        <v>222026.58</v>
      </c>
      <c r="H61" s="15">
        <v>46625.5818</v>
      </c>
      <c r="I61" s="15"/>
      <c r="J61" s="15"/>
      <c r="K61" s="15"/>
      <c r="L61" s="15"/>
      <c r="M61" s="15"/>
      <c r="N61" s="15"/>
      <c r="O61" s="16">
        <v>-183264.45</v>
      </c>
      <c r="P61" s="17">
        <f t="shared" si="2"/>
        <v>85387.71179999999</v>
      </c>
    </row>
    <row r="62" spans="1:16" x14ac:dyDescent="0.25">
      <c r="A62" s="8">
        <v>44231</v>
      </c>
      <c r="B62" s="9">
        <v>1</v>
      </c>
      <c r="C62" s="10">
        <v>2078</v>
      </c>
      <c r="D62" s="11">
        <v>22892</v>
      </c>
      <c r="E62" s="12">
        <v>30548083156</v>
      </c>
      <c r="F62" s="13" t="s">
        <v>18</v>
      </c>
      <c r="G62" s="14">
        <v>4478.18</v>
      </c>
      <c r="H62" s="15">
        <v>740.72</v>
      </c>
      <c r="I62" s="15"/>
      <c r="J62" s="15">
        <v>99.85</v>
      </c>
      <c r="K62" s="15"/>
      <c r="L62" s="15"/>
      <c r="M62" s="15">
        <v>105.82</v>
      </c>
      <c r="N62" s="15"/>
      <c r="O62" s="16"/>
      <c r="P62" s="17">
        <f t="shared" si="2"/>
        <v>5424.5700000000006</v>
      </c>
    </row>
    <row r="63" spans="1:16" x14ac:dyDescent="0.25">
      <c r="A63" s="8">
        <v>44231</v>
      </c>
      <c r="B63" s="9">
        <v>3</v>
      </c>
      <c r="C63" s="10">
        <v>122</v>
      </c>
      <c r="D63" s="11">
        <v>28599</v>
      </c>
      <c r="E63" s="12">
        <v>30594494187</v>
      </c>
      <c r="F63" s="13" t="s">
        <v>53</v>
      </c>
      <c r="G63" s="14">
        <v>-5256</v>
      </c>
      <c r="H63" s="15">
        <v>-1103.76</v>
      </c>
      <c r="I63" s="15"/>
      <c r="J63" s="15"/>
      <c r="K63" s="15">
        <v>-27136.73</v>
      </c>
      <c r="L63" s="15"/>
      <c r="M63" s="15"/>
      <c r="N63" s="15"/>
      <c r="O63" s="16"/>
      <c r="P63" s="17">
        <f t="shared" si="2"/>
        <v>-33496.49</v>
      </c>
    </row>
    <row r="64" spans="1:16" x14ac:dyDescent="0.25">
      <c r="A64" s="8">
        <v>44232</v>
      </c>
      <c r="B64" s="9">
        <v>1</v>
      </c>
      <c r="C64" s="10">
        <v>4</v>
      </c>
      <c r="D64" s="11">
        <v>13498</v>
      </c>
      <c r="E64" s="12">
        <v>30604413482</v>
      </c>
      <c r="F64" s="13" t="s">
        <v>54</v>
      </c>
      <c r="G64" s="14">
        <v>2513.9</v>
      </c>
      <c r="H64" s="15">
        <v>527.91899999999998</v>
      </c>
      <c r="I64" s="15"/>
      <c r="J64" s="15"/>
      <c r="K64" s="15"/>
      <c r="L64" s="15"/>
      <c r="M64" s="15"/>
      <c r="N64" s="15"/>
      <c r="O64" s="16"/>
      <c r="P64" s="17">
        <f t="shared" si="2"/>
        <v>3041.819</v>
      </c>
    </row>
    <row r="65" spans="1:16" x14ac:dyDescent="0.25">
      <c r="A65" s="8">
        <v>44232</v>
      </c>
      <c r="B65" s="9">
        <v>99</v>
      </c>
      <c r="C65" s="10">
        <v>818</v>
      </c>
      <c r="D65" s="11">
        <v>64963800</v>
      </c>
      <c r="E65" s="12">
        <v>30571421352</v>
      </c>
      <c r="F65" s="13" t="s">
        <v>22</v>
      </c>
      <c r="G65" s="14">
        <v>10109.65</v>
      </c>
      <c r="H65" s="15">
        <v>2123.0264999999999</v>
      </c>
      <c r="I65" s="15"/>
      <c r="J65" s="15"/>
      <c r="K65" s="15"/>
      <c r="L65" s="15"/>
      <c r="M65" s="15">
        <v>303.29000000000002</v>
      </c>
      <c r="N65" s="15"/>
      <c r="O65" s="16"/>
      <c r="P65" s="17">
        <f t="shared" si="2"/>
        <v>12535.9665</v>
      </c>
    </row>
    <row r="66" spans="1:16" x14ac:dyDescent="0.25">
      <c r="A66" s="8">
        <v>44232</v>
      </c>
      <c r="B66" s="9">
        <v>99</v>
      </c>
      <c r="C66" s="10">
        <v>818</v>
      </c>
      <c r="D66" s="11">
        <v>64968700</v>
      </c>
      <c r="E66" s="12">
        <v>30571421352</v>
      </c>
      <c r="F66" s="13" t="s">
        <v>22</v>
      </c>
      <c r="G66" s="14">
        <v>10109.65</v>
      </c>
      <c r="H66" s="15">
        <v>2123.0264999999999</v>
      </c>
      <c r="I66" s="15"/>
      <c r="J66" s="15"/>
      <c r="K66" s="15"/>
      <c r="L66" s="15"/>
      <c r="M66" s="15">
        <v>303.29000000000002</v>
      </c>
      <c r="N66" s="15"/>
      <c r="O66" s="16"/>
      <c r="P66" s="17">
        <f t="shared" si="2"/>
        <v>12535.9665</v>
      </c>
    </row>
    <row r="67" spans="1:16" x14ac:dyDescent="0.25">
      <c r="A67" s="8">
        <v>44233</v>
      </c>
      <c r="B67" s="9">
        <v>1</v>
      </c>
      <c r="C67" s="10">
        <v>280</v>
      </c>
      <c r="D67" s="11">
        <v>1280188</v>
      </c>
      <c r="E67" s="12">
        <v>30580111315</v>
      </c>
      <c r="F67" s="13" t="s">
        <v>30</v>
      </c>
      <c r="G67" s="14">
        <v>270622.88</v>
      </c>
      <c r="H67" s="15">
        <v>20307.760000000002</v>
      </c>
      <c r="I67" s="15"/>
      <c r="J67" s="15">
        <v>18261.760000000002</v>
      </c>
      <c r="K67" s="15"/>
      <c r="L67" s="15"/>
      <c r="M67" s="15"/>
      <c r="N67" s="15"/>
      <c r="O67" s="16">
        <v>-259495.28</v>
      </c>
      <c r="P67" s="17">
        <f t="shared" si="2"/>
        <v>49697.120000000024</v>
      </c>
    </row>
    <row r="68" spans="1:16" x14ac:dyDescent="0.25">
      <c r="A68" s="8">
        <v>44233</v>
      </c>
      <c r="B68" s="9">
        <v>1</v>
      </c>
      <c r="C68" s="10">
        <v>122</v>
      </c>
      <c r="D68" s="11">
        <v>194499</v>
      </c>
      <c r="E68" s="12">
        <v>30594494187</v>
      </c>
      <c r="F68" s="13" t="s">
        <v>53</v>
      </c>
      <c r="G68" s="14">
        <v>8800</v>
      </c>
      <c r="H68" s="15">
        <v>1848</v>
      </c>
      <c r="I68" s="15"/>
      <c r="J68" s="15"/>
      <c r="K68" s="15">
        <v>91056.24</v>
      </c>
      <c r="L68" s="15"/>
      <c r="M68" s="15"/>
      <c r="N68" s="15"/>
      <c r="O68" s="16"/>
      <c r="P68" s="17">
        <f t="shared" si="2"/>
        <v>101704.24</v>
      </c>
    </row>
    <row r="69" spans="1:16" x14ac:dyDescent="0.25">
      <c r="A69" s="8">
        <v>44235</v>
      </c>
      <c r="B69" s="9">
        <v>1</v>
      </c>
      <c r="C69" s="10">
        <v>3</v>
      </c>
      <c r="D69" s="11">
        <v>372</v>
      </c>
      <c r="E69" s="12">
        <v>30715402765</v>
      </c>
      <c r="F69" s="13" t="s">
        <v>29</v>
      </c>
      <c r="G69" s="14">
        <v>4545.46</v>
      </c>
      <c r="H69" s="15">
        <v>954.54660000000001</v>
      </c>
      <c r="I69" s="15"/>
      <c r="J69" s="15"/>
      <c r="K69" s="15"/>
      <c r="L69" s="15"/>
      <c r="M69" s="15"/>
      <c r="N69" s="15"/>
      <c r="O69" s="16"/>
      <c r="P69" s="17">
        <f t="shared" si="2"/>
        <v>5500.0065999999997</v>
      </c>
    </row>
    <row r="70" spans="1:16" x14ac:dyDescent="0.25">
      <c r="A70" s="8">
        <v>44235</v>
      </c>
      <c r="B70" s="9">
        <v>1</v>
      </c>
      <c r="C70" s="10">
        <v>9</v>
      </c>
      <c r="D70" s="11">
        <v>11818</v>
      </c>
      <c r="E70" s="12">
        <v>30708600187</v>
      </c>
      <c r="F70" s="13" t="s">
        <v>55</v>
      </c>
      <c r="G70" s="14">
        <v>22180.5</v>
      </c>
      <c r="H70" s="15">
        <v>4657.9049999999997</v>
      </c>
      <c r="I70" s="15"/>
      <c r="J70" s="15"/>
      <c r="K70" s="15"/>
      <c r="L70" s="15"/>
      <c r="M70" s="15"/>
      <c r="N70" s="15"/>
      <c r="O70" s="16"/>
      <c r="P70" s="17">
        <f t="shared" si="2"/>
        <v>26838.404999999999</v>
      </c>
    </row>
    <row r="71" spans="1:16" x14ac:dyDescent="0.25">
      <c r="A71" s="8">
        <v>44235</v>
      </c>
      <c r="B71" s="9">
        <v>1</v>
      </c>
      <c r="C71" s="10">
        <v>106</v>
      </c>
      <c r="D71" s="11">
        <v>398524</v>
      </c>
      <c r="E71" s="12">
        <v>30594494187</v>
      </c>
      <c r="F71" s="13" t="s">
        <v>53</v>
      </c>
      <c r="G71" s="14">
        <v>5550</v>
      </c>
      <c r="H71" s="15">
        <v>1165.5</v>
      </c>
      <c r="I71" s="15"/>
      <c r="J71" s="15"/>
      <c r="K71" s="15">
        <v>27136.73</v>
      </c>
      <c r="L71" s="15"/>
      <c r="M71" s="15"/>
      <c r="N71" s="15"/>
      <c r="O71" s="16"/>
      <c r="P71" s="17">
        <f t="shared" si="2"/>
        <v>33852.229999999996</v>
      </c>
    </row>
    <row r="72" spans="1:16" x14ac:dyDescent="0.25">
      <c r="A72" s="8">
        <v>44235</v>
      </c>
      <c r="B72" s="9">
        <v>1</v>
      </c>
      <c r="C72" s="10">
        <v>280</v>
      </c>
      <c r="D72" s="11">
        <v>1280467</v>
      </c>
      <c r="E72" s="12">
        <v>30580111315</v>
      </c>
      <c r="F72" s="13" t="s">
        <v>30</v>
      </c>
      <c r="G72" s="14">
        <v>127629.92</v>
      </c>
      <c r="H72" s="15">
        <v>831.59999999999991</v>
      </c>
      <c r="I72" s="15"/>
      <c r="J72" s="15">
        <v>12985.28</v>
      </c>
      <c r="K72" s="15"/>
      <c r="L72" s="15"/>
      <c r="M72" s="15"/>
      <c r="N72" s="15"/>
      <c r="O72" s="16">
        <v>-112427.04</v>
      </c>
      <c r="P72" s="17">
        <f t="shared" si="2"/>
        <v>29019.760000000024</v>
      </c>
    </row>
    <row r="73" spans="1:16" x14ac:dyDescent="0.25">
      <c r="A73" s="8">
        <v>44236</v>
      </c>
      <c r="B73" s="9">
        <v>99</v>
      </c>
      <c r="C73" s="10">
        <v>825</v>
      </c>
      <c r="D73" s="11">
        <v>77219700</v>
      </c>
      <c r="E73" s="12">
        <v>30571421352</v>
      </c>
      <c r="F73" s="13" t="s">
        <v>22</v>
      </c>
      <c r="G73" s="14">
        <v>6612.75</v>
      </c>
      <c r="H73" s="15">
        <v>1388.6775</v>
      </c>
      <c r="I73" s="15"/>
      <c r="J73" s="15"/>
      <c r="K73" s="15"/>
      <c r="L73" s="15"/>
      <c r="M73" s="15">
        <v>198.38</v>
      </c>
      <c r="N73" s="15"/>
      <c r="O73" s="16"/>
      <c r="P73" s="17">
        <f t="shared" si="2"/>
        <v>8199.807499999999</v>
      </c>
    </row>
    <row r="74" spans="1:16" x14ac:dyDescent="0.25">
      <c r="A74" s="8">
        <v>44236</v>
      </c>
      <c r="B74" s="9">
        <v>3</v>
      </c>
      <c r="C74" s="10">
        <v>122</v>
      </c>
      <c r="D74" s="11">
        <v>28646</v>
      </c>
      <c r="E74" s="12">
        <v>30594494187</v>
      </c>
      <c r="F74" s="13" t="s">
        <v>53</v>
      </c>
      <c r="G74" s="14">
        <v>-8800</v>
      </c>
      <c r="H74" s="15">
        <v>-1848</v>
      </c>
      <c r="I74" s="15"/>
      <c r="J74" s="15"/>
      <c r="K74" s="15">
        <v>-91056.24</v>
      </c>
      <c r="L74" s="15"/>
      <c r="M74" s="15"/>
      <c r="N74" s="15"/>
      <c r="O74" s="16"/>
      <c r="P74" s="17">
        <f t="shared" si="2"/>
        <v>-101704.24</v>
      </c>
    </row>
    <row r="75" spans="1:16" x14ac:dyDescent="0.25">
      <c r="A75" s="18">
        <v>44237</v>
      </c>
      <c r="B75" s="19">
        <v>1</v>
      </c>
      <c r="C75" s="20">
        <v>2</v>
      </c>
      <c r="D75" s="21">
        <v>94</v>
      </c>
      <c r="E75" s="22">
        <v>20125142851</v>
      </c>
      <c r="F75" s="23" t="s">
        <v>27</v>
      </c>
      <c r="G75" s="24">
        <v>18538.7</v>
      </c>
      <c r="H75" s="25">
        <v>3893.127</v>
      </c>
      <c r="I75" s="25"/>
      <c r="J75" s="29"/>
      <c r="K75" s="25"/>
      <c r="L75" s="25"/>
      <c r="M75" s="25"/>
      <c r="N75" s="25"/>
      <c r="O75" s="26"/>
      <c r="P75" s="17">
        <f t="shared" si="2"/>
        <v>22431.827000000001</v>
      </c>
    </row>
    <row r="76" spans="1:16" x14ac:dyDescent="0.25">
      <c r="A76" s="30">
        <v>44237</v>
      </c>
      <c r="B76" s="9">
        <v>1</v>
      </c>
      <c r="C76" s="10">
        <v>2</v>
      </c>
      <c r="D76" s="11">
        <v>95</v>
      </c>
      <c r="E76" s="12">
        <v>20125142851</v>
      </c>
      <c r="F76" s="13" t="s">
        <v>27</v>
      </c>
      <c r="G76" s="14">
        <v>21204</v>
      </c>
      <c r="H76" s="15">
        <v>4452.84</v>
      </c>
      <c r="I76" s="15"/>
      <c r="J76" s="31"/>
      <c r="K76" s="15"/>
      <c r="L76" s="15"/>
      <c r="M76" s="15"/>
      <c r="N76" s="15"/>
      <c r="O76" s="16"/>
      <c r="P76" s="17">
        <f t="shared" si="2"/>
        <v>25656.84</v>
      </c>
    </row>
    <row r="77" spans="1:16" x14ac:dyDescent="0.25">
      <c r="A77" s="30">
        <v>44237</v>
      </c>
      <c r="B77" s="9">
        <v>1</v>
      </c>
      <c r="C77" s="10">
        <v>3</v>
      </c>
      <c r="D77" s="11">
        <v>10365</v>
      </c>
      <c r="E77" s="12">
        <v>30709511846</v>
      </c>
      <c r="F77" s="13" t="s">
        <v>34</v>
      </c>
      <c r="G77" s="14">
        <v>3474.21</v>
      </c>
      <c r="H77" s="15"/>
      <c r="I77" s="15"/>
      <c r="J77" s="31">
        <v>364.79205000000002</v>
      </c>
      <c r="K77" s="15"/>
      <c r="L77" s="15"/>
      <c r="M77" s="15"/>
      <c r="N77" s="15"/>
      <c r="O77" s="16"/>
      <c r="P77" s="17">
        <f t="shared" si="2"/>
        <v>3839.0020500000001</v>
      </c>
    </row>
    <row r="78" spans="1:16" x14ac:dyDescent="0.25">
      <c r="A78" s="30">
        <v>44237</v>
      </c>
      <c r="B78" s="9">
        <v>1</v>
      </c>
      <c r="C78" s="10">
        <v>4</v>
      </c>
      <c r="D78" s="11">
        <v>13422</v>
      </c>
      <c r="E78" s="12">
        <v>30709459399</v>
      </c>
      <c r="F78" s="13" t="s">
        <v>56</v>
      </c>
      <c r="G78" s="14">
        <v>3166.52</v>
      </c>
      <c r="H78" s="15"/>
      <c r="I78" s="15"/>
      <c r="J78" s="31">
        <v>332.4846</v>
      </c>
      <c r="K78" s="15"/>
      <c r="L78" s="15"/>
      <c r="M78" s="15"/>
      <c r="N78" s="15"/>
      <c r="O78" s="16"/>
      <c r="P78" s="17">
        <f t="shared" si="2"/>
        <v>3499.0046000000002</v>
      </c>
    </row>
    <row r="79" spans="1:16" x14ac:dyDescent="0.25">
      <c r="A79" s="30">
        <v>44237</v>
      </c>
      <c r="B79" s="9">
        <v>1</v>
      </c>
      <c r="C79" s="10">
        <v>2078</v>
      </c>
      <c r="D79" s="11">
        <v>22994</v>
      </c>
      <c r="E79" s="12">
        <v>30548083156</v>
      </c>
      <c r="F79" s="13" t="s">
        <v>18</v>
      </c>
      <c r="G79" s="14">
        <v>5138.25</v>
      </c>
      <c r="H79" s="15">
        <v>885.03</v>
      </c>
      <c r="I79" s="15"/>
      <c r="J79" s="31">
        <v>97</v>
      </c>
      <c r="K79" s="15"/>
      <c r="L79" s="15"/>
      <c r="M79" s="15">
        <v>126.43</v>
      </c>
      <c r="N79" s="15"/>
      <c r="O79" s="16"/>
      <c r="P79" s="17">
        <f t="shared" si="2"/>
        <v>6246.71</v>
      </c>
    </row>
    <row r="80" spans="1:16" x14ac:dyDescent="0.25">
      <c r="A80" s="30">
        <v>44237</v>
      </c>
      <c r="B80" s="9">
        <v>99</v>
      </c>
      <c r="C80" s="10">
        <v>825</v>
      </c>
      <c r="D80" s="11">
        <v>77228300</v>
      </c>
      <c r="E80" s="12">
        <v>30571421352</v>
      </c>
      <c r="F80" s="13" t="s">
        <v>22</v>
      </c>
      <c r="G80" s="14">
        <v>6619.5</v>
      </c>
      <c r="H80" s="15">
        <v>1390.095</v>
      </c>
      <c r="I80" s="15"/>
      <c r="J80" s="31"/>
      <c r="K80" s="15"/>
      <c r="L80" s="15"/>
      <c r="M80" s="15">
        <v>198.589</v>
      </c>
      <c r="N80" s="15"/>
      <c r="O80" s="16"/>
      <c r="P80" s="17">
        <f t="shared" si="2"/>
        <v>8208.1840000000011</v>
      </c>
    </row>
    <row r="81" spans="1:16" x14ac:dyDescent="0.25">
      <c r="A81" s="30">
        <v>44238</v>
      </c>
      <c r="B81" s="9">
        <v>99</v>
      </c>
      <c r="C81" s="10">
        <v>818</v>
      </c>
      <c r="D81" s="11">
        <v>65000080</v>
      </c>
      <c r="E81" s="12">
        <v>30571421352</v>
      </c>
      <c r="F81" s="13" t="s">
        <v>22</v>
      </c>
      <c r="G81" s="14">
        <v>10161.4</v>
      </c>
      <c r="H81" s="15">
        <v>2133.8939999999998</v>
      </c>
      <c r="I81" s="15"/>
      <c r="J81" s="31"/>
      <c r="K81" s="15"/>
      <c r="L81" s="15"/>
      <c r="M81" s="15">
        <v>304.83999999999997</v>
      </c>
      <c r="N81" s="15"/>
      <c r="O81" s="16"/>
      <c r="P81" s="17">
        <f t="shared" si="2"/>
        <v>12600.134</v>
      </c>
    </row>
    <row r="82" spans="1:16" x14ac:dyDescent="0.25">
      <c r="A82" s="30">
        <v>44238</v>
      </c>
      <c r="B82" s="9">
        <v>99</v>
      </c>
      <c r="C82" s="10">
        <v>818</v>
      </c>
      <c r="D82" s="11">
        <v>65011200</v>
      </c>
      <c r="E82" s="12">
        <v>30571421352</v>
      </c>
      <c r="F82" s="13" t="s">
        <v>22</v>
      </c>
      <c r="G82" s="14">
        <v>10161.4</v>
      </c>
      <c r="H82" s="15">
        <v>2133.8939999999998</v>
      </c>
      <c r="I82" s="15"/>
      <c r="J82" s="31"/>
      <c r="K82" s="15"/>
      <c r="L82" s="15"/>
      <c r="M82" s="15">
        <v>304.83999999999997</v>
      </c>
      <c r="N82" s="15"/>
      <c r="O82" s="16"/>
      <c r="P82" s="17">
        <f t="shared" si="2"/>
        <v>12600.134</v>
      </c>
    </row>
    <row r="83" spans="1:16" x14ac:dyDescent="0.25">
      <c r="A83" s="30">
        <v>44239</v>
      </c>
      <c r="B83" s="9">
        <v>1</v>
      </c>
      <c r="C83" s="10">
        <v>1</v>
      </c>
      <c r="D83" s="11">
        <v>177</v>
      </c>
      <c r="E83" s="12">
        <v>27248877095</v>
      </c>
      <c r="F83" s="13" t="s">
        <v>57</v>
      </c>
      <c r="G83" s="14">
        <v>6000</v>
      </c>
      <c r="H83" s="15">
        <v>1260</v>
      </c>
      <c r="I83" s="15"/>
      <c r="J83" s="31"/>
      <c r="K83" s="15"/>
      <c r="L83" s="15"/>
      <c r="M83" s="15"/>
      <c r="N83" s="15"/>
      <c r="O83" s="16"/>
      <c r="P83" s="17">
        <f t="shared" si="2"/>
        <v>7260</v>
      </c>
    </row>
    <row r="84" spans="1:16" x14ac:dyDescent="0.25">
      <c r="A84" s="30">
        <v>44239</v>
      </c>
      <c r="B84" s="9">
        <v>1</v>
      </c>
      <c r="C84" s="10">
        <v>106</v>
      </c>
      <c r="D84" s="11">
        <v>399458</v>
      </c>
      <c r="E84" s="12">
        <v>30594494187</v>
      </c>
      <c r="F84" s="13" t="s">
        <v>53</v>
      </c>
      <c r="G84" s="14">
        <v>7460</v>
      </c>
      <c r="H84" s="15">
        <v>1566.6</v>
      </c>
      <c r="I84" s="15"/>
      <c r="J84" s="31"/>
      <c r="K84" s="15"/>
      <c r="L84" s="15"/>
      <c r="M84" s="15"/>
      <c r="N84" s="15"/>
      <c r="O84" s="16">
        <v>91056.24</v>
      </c>
      <c r="P84" s="17">
        <f t="shared" si="2"/>
        <v>100082.84000000001</v>
      </c>
    </row>
    <row r="85" spans="1:16" x14ac:dyDescent="0.25">
      <c r="A85" s="30">
        <v>44240</v>
      </c>
      <c r="B85" s="9">
        <v>1</v>
      </c>
      <c r="C85" s="10">
        <v>280</v>
      </c>
      <c r="D85" s="11">
        <v>1281303</v>
      </c>
      <c r="E85" s="12">
        <v>30580111315</v>
      </c>
      <c r="F85" s="13" t="s">
        <v>30</v>
      </c>
      <c r="G85" s="14">
        <v>270082.41600000003</v>
      </c>
      <c r="H85" s="15">
        <v>22348.381400000002</v>
      </c>
      <c r="I85" s="15"/>
      <c r="J85" s="31">
        <v>17183.843200000003</v>
      </c>
      <c r="K85" s="15"/>
      <c r="L85" s="15"/>
      <c r="M85" s="15"/>
      <c r="N85" s="15"/>
      <c r="O85" s="16">
        <v>-248898.33</v>
      </c>
      <c r="P85" s="17">
        <f t="shared" si="2"/>
        <v>60716.310600000055</v>
      </c>
    </row>
    <row r="86" spans="1:16" x14ac:dyDescent="0.25">
      <c r="A86" s="30">
        <v>44243</v>
      </c>
      <c r="B86" s="9">
        <v>1</v>
      </c>
      <c r="C86" s="10">
        <v>1000</v>
      </c>
      <c r="D86" s="11">
        <v>33841</v>
      </c>
      <c r="E86" s="12">
        <v>30715123483</v>
      </c>
      <c r="F86" s="13" t="s">
        <v>58</v>
      </c>
      <c r="G86" s="14">
        <v>710.74</v>
      </c>
      <c r="H86" s="15">
        <v>149.25540000000001</v>
      </c>
      <c r="I86" s="15"/>
      <c r="J86" s="31"/>
      <c r="K86" s="15"/>
      <c r="L86" s="15"/>
      <c r="M86" s="15"/>
      <c r="N86" s="15"/>
      <c r="O86" s="16"/>
      <c r="P86" s="17">
        <f t="shared" si="2"/>
        <v>859.99540000000002</v>
      </c>
    </row>
    <row r="87" spans="1:16" x14ac:dyDescent="0.25">
      <c r="A87" s="30">
        <v>44244</v>
      </c>
      <c r="B87" s="9">
        <v>1</v>
      </c>
      <c r="C87" s="10">
        <v>2</v>
      </c>
      <c r="D87" s="11">
        <v>96</v>
      </c>
      <c r="E87" s="12">
        <v>20125142851</v>
      </c>
      <c r="F87" s="13" t="s">
        <v>27</v>
      </c>
      <c r="G87" s="14">
        <v>12977.09</v>
      </c>
      <c r="H87" s="15">
        <v>2725.1889000000001</v>
      </c>
      <c r="I87" s="15"/>
      <c r="J87" s="31"/>
      <c r="K87" s="15"/>
      <c r="L87" s="15"/>
      <c r="M87" s="15"/>
      <c r="N87" s="15"/>
      <c r="O87" s="16"/>
      <c r="P87" s="17">
        <f t="shared" si="2"/>
        <v>15702.278900000001</v>
      </c>
    </row>
    <row r="88" spans="1:16" x14ac:dyDescent="0.25">
      <c r="A88" s="30">
        <v>44244</v>
      </c>
      <c r="B88" s="9">
        <v>1</v>
      </c>
      <c r="C88" s="10">
        <v>2</v>
      </c>
      <c r="D88" s="11">
        <v>97</v>
      </c>
      <c r="E88" s="12">
        <v>20125142851</v>
      </c>
      <c r="F88" s="13" t="s">
        <v>27</v>
      </c>
      <c r="G88" s="14">
        <v>19483.599999999999</v>
      </c>
      <c r="H88" s="15">
        <v>4091.5559999999996</v>
      </c>
      <c r="I88" s="15"/>
      <c r="J88" s="31"/>
      <c r="K88" s="15"/>
      <c r="L88" s="15"/>
      <c r="M88" s="15"/>
      <c r="N88" s="15"/>
      <c r="O88" s="16"/>
      <c r="P88" s="17">
        <f t="shared" si="2"/>
        <v>23575.155999999999</v>
      </c>
    </row>
    <row r="89" spans="1:16" x14ac:dyDescent="0.25">
      <c r="A89" s="30">
        <v>44244</v>
      </c>
      <c r="B89" s="9">
        <v>1</v>
      </c>
      <c r="C89" s="10">
        <v>106</v>
      </c>
      <c r="D89" s="11">
        <v>401318</v>
      </c>
      <c r="E89" s="12">
        <v>30594494187</v>
      </c>
      <c r="F89" s="13" t="s">
        <v>53</v>
      </c>
      <c r="G89" s="14">
        <v>9350</v>
      </c>
      <c r="H89" s="15">
        <v>1963.5</v>
      </c>
      <c r="I89" s="15"/>
      <c r="J89" s="31"/>
      <c r="K89" s="15">
        <v>99569.43</v>
      </c>
      <c r="L89" s="15"/>
      <c r="M89" s="15"/>
      <c r="N89" s="15"/>
      <c r="O89" s="16"/>
      <c r="P89" s="17">
        <f t="shared" si="2"/>
        <v>110882.93</v>
      </c>
    </row>
    <row r="90" spans="1:16" x14ac:dyDescent="0.25">
      <c r="A90" s="30">
        <v>44244</v>
      </c>
      <c r="B90" s="9">
        <v>99</v>
      </c>
      <c r="C90" s="10">
        <v>1</v>
      </c>
      <c r="D90" s="11">
        <v>9386790</v>
      </c>
      <c r="E90" s="12">
        <v>30571421352</v>
      </c>
      <c r="F90" s="13" t="s">
        <v>22</v>
      </c>
      <c r="G90" s="14">
        <v>2223.5</v>
      </c>
      <c r="H90" s="15">
        <v>466.935</v>
      </c>
      <c r="I90" s="15"/>
      <c r="J90" s="31"/>
      <c r="K90" s="15"/>
      <c r="L90" s="15"/>
      <c r="M90" s="15">
        <v>66.709999999999994</v>
      </c>
      <c r="N90" s="15"/>
      <c r="O90" s="16"/>
      <c r="P90" s="17">
        <f t="shared" si="2"/>
        <v>2757.145</v>
      </c>
    </row>
    <row r="91" spans="1:16" x14ac:dyDescent="0.25">
      <c r="A91" s="30">
        <v>44245</v>
      </c>
      <c r="B91" s="9">
        <v>99</v>
      </c>
      <c r="C91" s="10">
        <v>818</v>
      </c>
      <c r="D91" s="11">
        <v>6503400</v>
      </c>
      <c r="E91" s="12">
        <v>30571421352</v>
      </c>
      <c r="F91" s="13" t="s">
        <v>22</v>
      </c>
      <c r="G91" s="14">
        <v>10228.1</v>
      </c>
      <c r="H91" s="15">
        <v>2147.9009999999998</v>
      </c>
      <c r="I91" s="15"/>
      <c r="J91" s="31"/>
      <c r="K91" s="15"/>
      <c r="L91" s="15"/>
      <c r="M91" s="15">
        <v>306.83999999999997</v>
      </c>
      <c r="N91" s="15"/>
      <c r="O91" s="16"/>
      <c r="P91" s="17">
        <f t="shared" si="2"/>
        <v>12682.841</v>
      </c>
    </row>
    <row r="92" spans="1:16" x14ac:dyDescent="0.25">
      <c r="A92" s="30">
        <v>44246</v>
      </c>
      <c r="B92" s="9">
        <v>1</v>
      </c>
      <c r="C92" s="10">
        <v>2</v>
      </c>
      <c r="D92" s="11">
        <v>68</v>
      </c>
      <c r="E92" s="12">
        <v>20941496963</v>
      </c>
      <c r="F92" s="13" t="s">
        <v>59</v>
      </c>
      <c r="G92" s="14">
        <v>65000</v>
      </c>
      <c r="H92" s="15">
        <v>13650</v>
      </c>
      <c r="I92" s="15"/>
      <c r="J92" s="31"/>
      <c r="K92" s="15"/>
      <c r="L92" s="15"/>
      <c r="M92" s="15"/>
      <c r="N92" s="15"/>
      <c r="O92" s="16"/>
      <c r="P92" s="17">
        <f t="shared" si="2"/>
        <v>78650</v>
      </c>
    </row>
    <row r="93" spans="1:16" x14ac:dyDescent="0.25">
      <c r="A93" s="30">
        <v>44247</v>
      </c>
      <c r="B93" s="9">
        <v>1</v>
      </c>
      <c r="C93" s="10">
        <v>280</v>
      </c>
      <c r="D93" s="11">
        <v>1282036</v>
      </c>
      <c r="E93" s="12">
        <v>30580111315</v>
      </c>
      <c r="F93" s="13" t="s">
        <v>30</v>
      </c>
      <c r="G93" s="14">
        <v>252807.27980000002</v>
      </c>
      <c r="H93" s="15"/>
      <c r="I93" s="15"/>
      <c r="J93" s="31">
        <v>26544.764379000004</v>
      </c>
      <c r="K93" s="15"/>
      <c r="L93" s="15"/>
      <c r="M93" s="15"/>
      <c r="N93" s="15"/>
      <c r="O93" s="16">
        <v>-252807.28</v>
      </c>
      <c r="P93" s="17">
        <f t="shared" si="2"/>
        <v>26544.76417900002</v>
      </c>
    </row>
    <row r="94" spans="1:16" x14ac:dyDescent="0.25">
      <c r="A94" s="30">
        <v>44249</v>
      </c>
      <c r="B94" s="9">
        <v>99</v>
      </c>
      <c r="C94" s="10">
        <v>909</v>
      </c>
      <c r="D94" s="11">
        <v>73844600</v>
      </c>
      <c r="E94" s="12">
        <v>30571421352</v>
      </c>
      <c r="F94" s="13" t="s">
        <v>22</v>
      </c>
      <c r="G94" s="14">
        <v>4457</v>
      </c>
      <c r="H94" s="15">
        <v>935.96999999999991</v>
      </c>
      <c r="I94" s="15"/>
      <c r="J94" s="31"/>
      <c r="K94" s="15"/>
      <c r="L94" s="15"/>
      <c r="M94" s="15">
        <v>133.71</v>
      </c>
      <c r="N94" s="15"/>
      <c r="O94" s="16"/>
      <c r="P94" s="17">
        <f t="shared" si="2"/>
        <v>5526.68</v>
      </c>
    </row>
    <row r="95" spans="1:16" x14ac:dyDescent="0.25">
      <c r="A95" s="30">
        <v>44250</v>
      </c>
      <c r="B95" s="9">
        <v>1</v>
      </c>
      <c r="C95" s="10">
        <v>2</v>
      </c>
      <c r="D95" s="11">
        <v>359</v>
      </c>
      <c r="E95" s="12">
        <v>20296550184</v>
      </c>
      <c r="F95" s="13" t="s">
        <v>44</v>
      </c>
      <c r="G95" s="14">
        <v>10150</v>
      </c>
      <c r="H95" s="15">
        <v>2131.5</v>
      </c>
      <c r="I95" s="15"/>
      <c r="J95" s="31"/>
      <c r="K95" s="15"/>
      <c r="L95" s="15"/>
      <c r="M95" s="15"/>
      <c r="N95" s="15"/>
      <c r="O95" s="16"/>
      <c r="P95" s="17">
        <f t="shared" si="2"/>
        <v>12281.5</v>
      </c>
    </row>
    <row r="96" spans="1:16" x14ac:dyDescent="0.25">
      <c r="A96" s="30">
        <v>44250</v>
      </c>
      <c r="B96" s="9">
        <v>1</v>
      </c>
      <c r="C96" s="10">
        <v>6</v>
      </c>
      <c r="D96" s="11">
        <v>25880</v>
      </c>
      <c r="E96" s="12">
        <v>30702073657</v>
      </c>
      <c r="F96" s="13" t="s">
        <v>60</v>
      </c>
      <c r="G96" s="14">
        <v>77010.759999999995</v>
      </c>
      <c r="H96" s="15">
        <v>16172.26</v>
      </c>
      <c r="I96" s="15"/>
      <c r="J96" s="31"/>
      <c r="K96" s="15"/>
      <c r="L96" s="15"/>
      <c r="M96" s="15"/>
      <c r="N96" s="15"/>
      <c r="O96" s="16"/>
      <c r="P96" s="17">
        <f t="shared" si="2"/>
        <v>93183.01999999999</v>
      </c>
    </row>
    <row r="97" spans="1:16" x14ac:dyDescent="0.25">
      <c r="A97" s="30">
        <v>44251</v>
      </c>
      <c r="B97" s="9">
        <v>1</v>
      </c>
      <c r="C97" s="10">
        <v>2</v>
      </c>
      <c r="D97" s="11">
        <v>69</v>
      </c>
      <c r="E97" s="12">
        <v>20941496963</v>
      </c>
      <c r="F97" s="13" t="s">
        <v>59</v>
      </c>
      <c r="G97" s="14">
        <v>450000</v>
      </c>
      <c r="H97" s="15">
        <v>94500</v>
      </c>
      <c r="I97" s="15"/>
      <c r="J97" s="31"/>
      <c r="K97" s="15"/>
      <c r="L97" s="15"/>
      <c r="M97" s="15"/>
      <c r="N97" s="15"/>
      <c r="O97" s="16"/>
      <c r="P97" s="17">
        <f t="shared" si="2"/>
        <v>544500</v>
      </c>
    </row>
    <row r="98" spans="1:16" x14ac:dyDescent="0.25">
      <c r="A98" s="30">
        <v>44251</v>
      </c>
      <c r="B98" s="9">
        <v>1</v>
      </c>
      <c r="C98" s="10">
        <v>3</v>
      </c>
      <c r="D98" s="11">
        <v>4386</v>
      </c>
      <c r="E98" s="12">
        <v>30715964895</v>
      </c>
      <c r="F98" s="13" t="s">
        <v>61</v>
      </c>
      <c r="G98" s="14">
        <v>2890.91</v>
      </c>
      <c r="H98" s="15">
        <v>607.09109999999998</v>
      </c>
      <c r="I98" s="15"/>
      <c r="J98" s="31"/>
      <c r="K98" s="15"/>
      <c r="L98" s="15"/>
      <c r="M98" s="15"/>
      <c r="N98" s="15"/>
      <c r="O98" s="16"/>
      <c r="P98" s="17">
        <f t="shared" si="2"/>
        <v>3498.0011</v>
      </c>
    </row>
    <row r="99" spans="1:16" x14ac:dyDescent="0.25">
      <c r="A99" s="30">
        <v>44251</v>
      </c>
      <c r="B99" s="9">
        <v>99</v>
      </c>
      <c r="C99" s="10">
        <v>818</v>
      </c>
      <c r="D99" s="11">
        <v>65070400</v>
      </c>
      <c r="E99" s="12">
        <v>30571421352</v>
      </c>
      <c r="F99" s="13" t="s">
        <v>22</v>
      </c>
      <c r="G99" s="14">
        <v>10295.950000000001</v>
      </c>
      <c r="H99" s="15">
        <v>2162.1495</v>
      </c>
      <c r="I99" s="15"/>
      <c r="J99" s="31"/>
      <c r="K99" s="15"/>
      <c r="L99" s="15"/>
      <c r="M99" s="15">
        <v>308.88</v>
      </c>
      <c r="N99" s="15"/>
      <c r="O99" s="16"/>
      <c r="P99" s="17">
        <f t="shared" si="2"/>
        <v>12766.979499999999</v>
      </c>
    </row>
    <row r="100" spans="1:16" x14ac:dyDescent="0.25">
      <c r="A100" s="30">
        <v>44252</v>
      </c>
      <c r="B100" s="9">
        <v>1</v>
      </c>
      <c r="C100" s="10">
        <v>5</v>
      </c>
      <c r="D100" s="11">
        <v>13223</v>
      </c>
      <c r="E100" s="12">
        <v>30578341397</v>
      </c>
      <c r="F100" s="13" t="s">
        <v>62</v>
      </c>
      <c r="G100" s="14">
        <v>24000.61</v>
      </c>
      <c r="H100" s="15">
        <v>5040.1280999999999</v>
      </c>
      <c r="I100" s="15"/>
      <c r="J100" s="31"/>
      <c r="K100" s="15"/>
      <c r="L100" s="15"/>
      <c r="M100" s="15"/>
      <c r="N100" s="15"/>
      <c r="O100" s="16"/>
      <c r="P100" s="17">
        <f t="shared" si="2"/>
        <v>29040.738100000002</v>
      </c>
    </row>
    <row r="101" spans="1:16" x14ac:dyDescent="0.25">
      <c r="A101" s="30">
        <v>44252</v>
      </c>
      <c r="B101" s="9">
        <v>1</v>
      </c>
      <c r="C101" s="10">
        <v>280</v>
      </c>
      <c r="D101" s="11">
        <v>1282549</v>
      </c>
      <c r="E101" s="12">
        <v>30580111315</v>
      </c>
      <c r="F101" s="13" t="s">
        <v>30</v>
      </c>
      <c r="G101" s="14">
        <v>256160.15840000001</v>
      </c>
      <c r="H101" s="15">
        <v>386.52080000000001</v>
      </c>
      <c r="I101" s="15">
        <v>26703.1168</v>
      </c>
      <c r="J101" s="31"/>
      <c r="K101" s="15"/>
      <c r="L101" s="15"/>
      <c r="M101" s="15"/>
      <c r="N101" s="15"/>
      <c r="O101" s="16">
        <v>-255892.01</v>
      </c>
      <c r="P101" s="17">
        <f t="shared" si="2"/>
        <v>27357.786000000022</v>
      </c>
    </row>
    <row r="102" spans="1:16" x14ac:dyDescent="0.25">
      <c r="A102" s="30">
        <v>44253</v>
      </c>
      <c r="B102" s="9">
        <v>1</v>
      </c>
      <c r="C102" s="10">
        <v>15</v>
      </c>
      <c r="D102" s="11">
        <v>49130</v>
      </c>
      <c r="E102" s="12">
        <v>30615530065</v>
      </c>
      <c r="F102" s="13" t="s">
        <v>63</v>
      </c>
      <c r="G102" s="14">
        <v>2609.0500000000002</v>
      </c>
      <c r="H102" s="15">
        <v>547.90049999999997</v>
      </c>
      <c r="I102" s="15"/>
      <c r="J102" s="31"/>
      <c r="K102" s="15">
        <v>943.83</v>
      </c>
      <c r="L102" s="15"/>
      <c r="M102" s="15"/>
      <c r="N102" s="15"/>
      <c r="O102" s="16"/>
      <c r="P102" s="17">
        <f t="shared" si="2"/>
        <v>4100.7804999999998</v>
      </c>
    </row>
    <row r="103" spans="1:16" x14ac:dyDescent="0.25">
      <c r="A103" s="30">
        <v>44253</v>
      </c>
      <c r="B103" s="9">
        <v>99</v>
      </c>
      <c r="C103" s="10">
        <v>1</v>
      </c>
      <c r="D103" s="11">
        <v>9398330</v>
      </c>
      <c r="E103" s="12">
        <v>30571421352</v>
      </c>
      <c r="F103" s="13" t="s">
        <v>22</v>
      </c>
      <c r="G103" s="14">
        <v>2245.5</v>
      </c>
      <c r="H103" s="15">
        <v>471.55500000000001</v>
      </c>
      <c r="I103" s="15"/>
      <c r="J103" s="31"/>
      <c r="K103" s="15"/>
      <c r="L103" s="15"/>
      <c r="M103" s="15">
        <v>67.37</v>
      </c>
      <c r="N103" s="15"/>
      <c r="O103" s="16"/>
      <c r="P103" s="17">
        <f t="shared" si="2"/>
        <v>2784.4249999999997</v>
      </c>
    </row>
    <row r="104" spans="1:16" x14ac:dyDescent="0.25">
      <c r="A104" s="30">
        <v>44255</v>
      </c>
      <c r="B104" s="9">
        <v>99</v>
      </c>
      <c r="C104" s="10">
        <v>1</v>
      </c>
      <c r="D104" s="11">
        <v>2802</v>
      </c>
      <c r="E104" s="12">
        <v>30571421352</v>
      </c>
      <c r="F104" s="13" t="s">
        <v>22</v>
      </c>
      <c r="G104" s="14">
        <v>1384</v>
      </c>
      <c r="H104" s="15">
        <v>290.64</v>
      </c>
      <c r="I104" s="15"/>
      <c r="J104" s="31"/>
      <c r="K104" s="15"/>
      <c r="L104" s="15"/>
      <c r="M104" s="15"/>
      <c r="N104" s="15"/>
      <c r="O104" s="16"/>
      <c r="P104" s="17">
        <f t="shared" si="2"/>
        <v>1674.6399999999999</v>
      </c>
    </row>
    <row r="105" spans="1:16" x14ac:dyDescent="0.25">
      <c r="A105" s="30">
        <v>44255</v>
      </c>
      <c r="B105" s="9">
        <v>99</v>
      </c>
      <c r="C105" s="10">
        <v>1</v>
      </c>
      <c r="D105" s="11">
        <v>280221</v>
      </c>
      <c r="E105" s="12">
        <v>30571421352</v>
      </c>
      <c r="F105" s="13" t="s">
        <v>22</v>
      </c>
      <c r="G105" s="14">
        <v>55</v>
      </c>
      <c r="H105" s="15">
        <v>11.549999999999999</v>
      </c>
      <c r="I105" s="15"/>
      <c r="J105" s="31"/>
      <c r="K105" s="15"/>
      <c r="L105" s="15"/>
      <c r="M105" s="15"/>
      <c r="N105" s="15"/>
      <c r="O105" s="16"/>
      <c r="P105" s="17">
        <f t="shared" si="2"/>
        <v>66.55</v>
      </c>
    </row>
    <row r="106" spans="1:16" ht="15.75" customHeight="1" thickBot="1" x14ac:dyDescent="0.3">
      <c r="A106" s="129" t="s">
        <v>51</v>
      </c>
      <c r="B106" s="130"/>
      <c r="C106" s="130"/>
      <c r="D106" s="130"/>
      <c r="E106" s="130"/>
      <c r="F106" s="133"/>
      <c r="G106" s="32">
        <f>SUM(G57:G105)</f>
        <v>2275099.8642000002</v>
      </c>
      <c r="H106" s="32">
        <f t="shared" ref="H106:P106" si="3">SUM(H57:H105)</f>
        <v>272391.37310000003</v>
      </c>
      <c r="I106" s="32">
        <f t="shared" si="3"/>
        <v>27001.466799999998</v>
      </c>
      <c r="J106" s="32">
        <f t="shared" si="3"/>
        <v>75869.774229000002</v>
      </c>
      <c r="K106" s="32">
        <f t="shared" si="3"/>
        <v>127649.98999999999</v>
      </c>
      <c r="L106" s="32">
        <f t="shared" si="3"/>
        <v>0</v>
      </c>
      <c r="M106" s="32">
        <f t="shared" si="3"/>
        <v>3030.2790000000005</v>
      </c>
      <c r="N106" s="32">
        <f t="shared" si="3"/>
        <v>0</v>
      </c>
      <c r="O106" s="32">
        <f t="shared" si="3"/>
        <v>-1221669.99</v>
      </c>
      <c r="P106" s="32">
        <f t="shared" si="3"/>
        <v>1559372.7573290004</v>
      </c>
    </row>
    <row r="107" spans="1:16" ht="12.75" customHeight="1" thickBot="1" x14ac:dyDescent="0.3">
      <c r="G107" s="28"/>
      <c r="H107" s="126">
        <f>SUM(H106:J106)</f>
        <v>375262.61412899999</v>
      </c>
      <c r="I107" s="127"/>
      <c r="J107" s="128"/>
      <c r="K107" s="28"/>
      <c r="L107" s="28"/>
      <c r="M107" s="28"/>
      <c r="N107" s="28"/>
      <c r="O107" s="28"/>
      <c r="P107" s="28"/>
    </row>
    <row r="108" spans="1:16" ht="9.75" customHeight="1" thickTop="1" x14ac:dyDescent="0.25">
      <c r="G108" s="28"/>
      <c r="H108" s="28"/>
      <c r="I108" s="28"/>
      <c r="J108" s="28"/>
      <c r="K108" s="28"/>
      <c r="L108" s="28"/>
      <c r="M108" s="28"/>
      <c r="N108" s="28"/>
      <c r="O108" s="28"/>
      <c r="P108" s="28"/>
    </row>
    <row r="109" spans="1:16" ht="19.5" customHeight="1" x14ac:dyDescent="0.45">
      <c r="A109" s="1" t="s">
        <v>0</v>
      </c>
      <c r="B109" s="1"/>
      <c r="C109" s="1"/>
      <c r="D109" s="1"/>
      <c r="E109" s="1"/>
      <c r="F109" s="1"/>
      <c r="G109" s="2"/>
      <c r="H109" s="2"/>
      <c r="I109" s="2"/>
      <c r="J109" s="2"/>
      <c r="K109" s="2"/>
      <c r="L109" s="2"/>
      <c r="M109" s="3"/>
      <c r="N109" s="4">
        <v>44256</v>
      </c>
      <c r="O109" s="3"/>
      <c r="P109" s="3"/>
    </row>
    <row r="110" spans="1:16" ht="12" customHeight="1" thickBot="1" x14ac:dyDescent="0.5">
      <c r="A110" s="1"/>
      <c r="B110" s="1"/>
      <c r="C110" s="1"/>
      <c r="D110" s="1"/>
      <c r="E110" s="1"/>
      <c r="F110" s="1"/>
      <c r="G110" s="2"/>
      <c r="H110" s="2"/>
      <c r="I110" s="2"/>
      <c r="J110" s="2"/>
      <c r="K110" s="2"/>
      <c r="L110" s="2"/>
      <c r="M110" s="3"/>
      <c r="N110" s="3"/>
      <c r="O110" s="3"/>
      <c r="P110" s="3"/>
    </row>
    <row r="111" spans="1:16" ht="11.25" customHeight="1" x14ac:dyDescent="0.25">
      <c r="A111" s="5" t="s">
        <v>1</v>
      </c>
      <c r="B111" s="6" t="s">
        <v>2</v>
      </c>
      <c r="C111" s="6" t="s">
        <v>3</v>
      </c>
      <c r="D111" s="6" t="s">
        <v>4</v>
      </c>
      <c r="E111" s="6" t="s">
        <v>5</v>
      </c>
      <c r="F111" s="6" t="s">
        <v>6</v>
      </c>
      <c r="G111" s="6" t="s">
        <v>7</v>
      </c>
      <c r="H111" s="6" t="s">
        <v>8</v>
      </c>
      <c r="I111" s="6" t="s">
        <v>9</v>
      </c>
      <c r="J111" s="6" t="s">
        <v>10</v>
      </c>
      <c r="K111" s="6" t="s">
        <v>11</v>
      </c>
      <c r="L111" s="6" t="s">
        <v>12</v>
      </c>
      <c r="M111" s="6" t="s">
        <v>13</v>
      </c>
      <c r="N111" s="6" t="s">
        <v>14</v>
      </c>
      <c r="O111" s="6" t="s">
        <v>15</v>
      </c>
      <c r="P111" s="7" t="s">
        <v>16</v>
      </c>
    </row>
    <row r="112" spans="1:16" x14ac:dyDescent="0.25">
      <c r="A112" s="8">
        <v>44268</v>
      </c>
      <c r="B112" s="9">
        <v>1</v>
      </c>
      <c r="C112" s="10">
        <v>2</v>
      </c>
      <c r="D112" s="11">
        <v>71</v>
      </c>
      <c r="E112" s="12">
        <v>20941496963</v>
      </c>
      <c r="F112" s="13" t="s">
        <v>59</v>
      </c>
      <c r="G112" s="14">
        <v>85000</v>
      </c>
      <c r="H112" s="15">
        <v>17850</v>
      </c>
      <c r="I112" s="15"/>
      <c r="J112" s="15"/>
      <c r="K112" s="15"/>
      <c r="L112" s="15"/>
      <c r="M112" s="15"/>
      <c r="N112" s="15"/>
      <c r="O112" s="16"/>
      <c r="P112" s="17">
        <f>SUM(G112:O112)</f>
        <v>102850</v>
      </c>
    </row>
    <row r="113" spans="1:16" x14ac:dyDescent="0.25">
      <c r="A113" s="8">
        <v>44256</v>
      </c>
      <c r="B113" s="9">
        <v>1</v>
      </c>
      <c r="C113" s="10">
        <v>2</v>
      </c>
      <c r="D113" s="11">
        <v>70</v>
      </c>
      <c r="E113" s="12">
        <v>20941496963</v>
      </c>
      <c r="F113" s="13" t="s">
        <v>59</v>
      </c>
      <c r="G113" s="14">
        <v>85000</v>
      </c>
      <c r="H113" s="15">
        <v>17850</v>
      </c>
      <c r="I113" s="15"/>
      <c r="J113" s="15"/>
      <c r="K113" s="15"/>
      <c r="L113" s="15"/>
      <c r="M113" s="15"/>
      <c r="N113" s="15"/>
      <c r="O113" s="16"/>
      <c r="P113" s="17">
        <f t="shared" ref="P113:P141" si="4">SUM(G113:O113)</f>
        <v>102850</v>
      </c>
    </row>
    <row r="114" spans="1:16" x14ac:dyDescent="0.25">
      <c r="A114" s="8">
        <v>44256</v>
      </c>
      <c r="B114" s="9">
        <v>1</v>
      </c>
      <c r="C114" s="10">
        <v>3</v>
      </c>
      <c r="D114" s="11">
        <v>118017</v>
      </c>
      <c r="E114" s="12">
        <v>30707135596</v>
      </c>
      <c r="F114" s="13" t="s">
        <v>17</v>
      </c>
      <c r="G114" s="14">
        <v>1523.87</v>
      </c>
      <c r="H114" s="15">
        <v>320.01269999999994</v>
      </c>
      <c r="I114" s="15"/>
      <c r="J114" s="15"/>
      <c r="K114" s="15"/>
      <c r="L114" s="15"/>
      <c r="M114" s="15"/>
      <c r="N114" s="15"/>
      <c r="O114" s="16"/>
      <c r="P114" s="17">
        <f t="shared" si="4"/>
        <v>1843.8826999999999</v>
      </c>
    </row>
    <row r="115" spans="1:16" x14ac:dyDescent="0.25">
      <c r="A115" s="8">
        <v>44258</v>
      </c>
      <c r="B115" s="9">
        <v>1</v>
      </c>
      <c r="C115" s="10">
        <v>280</v>
      </c>
      <c r="D115" s="11">
        <v>1283500</v>
      </c>
      <c r="E115" s="12">
        <v>30580111315</v>
      </c>
      <c r="F115" s="13" t="s">
        <v>30</v>
      </c>
      <c r="G115" s="14">
        <v>133724</v>
      </c>
      <c r="H115" s="15">
        <v>851.91750000000002</v>
      </c>
      <c r="I115" s="15"/>
      <c r="J115" s="15">
        <v>13615.354500000001</v>
      </c>
      <c r="K115" s="15"/>
      <c r="L115" s="15"/>
      <c r="M115" s="15"/>
      <c r="N115" s="15"/>
      <c r="O115" s="16">
        <v>-117879.24</v>
      </c>
      <c r="P115" s="17">
        <f t="shared" si="4"/>
        <v>30312.031999999992</v>
      </c>
    </row>
    <row r="116" spans="1:16" x14ac:dyDescent="0.25">
      <c r="A116" s="8">
        <v>44266</v>
      </c>
      <c r="B116" s="9">
        <v>1</v>
      </c>
      <c r="C116" s="10">
        <v>280</v>
      </c>
      <c r="D116" s="11">
        <v>1284773</v>
      </c>
      <c r="E116" s="12">
        <v>30580111315</v>
      </c>
      <c r="F116" s="13" t="s">
        <v>30</v>
      </c>
      <c r="G116" s="14">
        <v>266604.30720000004</v>
      </c>
      <c r="H116" s="15"/>
      <c r="I116" s="15"/>
      <c r="J116" s="15">
        <v>27993.470399999998</v>
      </c>
      <c r="K116" s="15"/>
      <c r="L116" s="15"/>
      <c r="M116" s="15"/>
      <c r="N116" s="15"/>
      <c r="O116" s="16">
        <v>-266604.30719999998</v>
      </c>
      <c r="P116" s="17">
        <f t="shared" si="4"/>
        <v>27993.470400000049</v>
      </c>
    </row>
    <row r="117" spans="1:16" x14ac:dyDescent="0.25">
      <c r="A117" s="8">
        <v>44261</v>
      </c>
      <c r="B117" s="9">
        <v>1</v>
      </c>
      <c r="C117" s="10">
        <v>280</v>
      </c>
      <c r="D117" s="11">
        <v>1283970</v>
      </c>
      <c r="E117" s="12">
        <v>30580111315</v>
      </c>
      <c r="F117" s="13" t="s">
        <v>30</v>
      </c>
      <c r="G117" s="14">
        <v>282158.63620000001</v>
      </c>
      <c r="H117" s="15">
        <v>22344.886200000001</v>
      </c>
      <c r="I117" s="15"/>
      <c r="J117" s="15">
        <v>18453.554</v>
      </c>
      <c r="K117" s="15"/>
      <c r="L117" s="15"/>
      <c r="M117" s="15"/>
      <c r="N117" s="15"/>
      <c r="O117" s="16">
        <v>-262550.15000000002</v>
      </c>
      <c r="P117" s="17">
        <f t="shared" si="4"/>
        <v>60406.926399999997</v>
      </c>
    </row>
    <row r="118" spans="1:16" x14ac:dyDescent="0.25">
      <c r="A118" s="8">
        <v>44277</v>
      </c>
      <c r="B118" s="9">
        <v>1</v>
      </c>
      <c r="C118" s="10">
        <v>280</v>
      </c>
      <c r="D118" s="11">
        <v>1286674</v>
      </c>
      <c r="E118" s="12">
        <v>30580111315</v>
      </c>
      <c r="F118" s="13" t="s">
        <v>30</v>
      </c>
      <c r="G118" s="14">
        <v>103314.45599999999</v>
      </c>
      <c r="H118" s="15">
        <v>575.56799999999998</v>
      </c>
      <c r="I118" s="15"/>
      <c r="J118" s="15">
        <v>10560.3024</v>
      </c>
      <c r="K118" s="15"/>
      <c r="L118" s="15"/>
      <c r="M118" s="15"/>
      <c r="N118" s="15"/>
      <c r="O118" s="16">
        <v>-91430.35</v>
      </c>
      <c r="P118" s="17">
        <f t="shared" si="4"/>
        <v>23019.976399999985</v>
      </c>
    </row>
    <row r="119" spans="1:16" x14ac:dyDescent="0.25">
      <c r="A119" s="8">
        <v>44281</v>
      </c>
      <c r="B119" s="9">
        <v>1</v>
      </c>
      <c r="C119" s="10">
        <v>280</v>
      </c>
      <c r="D119" s="11">
        <v>1287320</v>
      </c>
      <c r="E119" s="12">
        <v>30580111315</v>
      </c>
      <c r="F119" s="13" t="s">
        <v>30</v>
      </c>
      <c r="G119" s="14">
        <v>301182.71609999996</v>
      </c>
      <c r="H119" s="15">
        <v>32529.711900000002</v>
      </c>
      <c r="I119" s="15"/>
      <c r="J119" s="15">
        <v>15359.544899999999</v>
      </c>
      <c r="K119" s="15"/>
      <c r="L119" s="15"/>
      <c r="M119" s="15"/>
      <c r="N119" s="15"/>
      <c r="O119" s="16">
        <v>-272594.53000000003</v>
      </c>
      <c r="P119" s="17">
        <f t="shared" si="4"/>
        <v>76477.442899999907</v>
      </c>
    </row>
    <row r="120" spans="1:16" x14ac:dyDescent="0.25">
      <c r="A120" s="8">
        <v>44285</v>
      </c>
      <c r="B120" s="9">
        <v>1</v>
      </c>
      <c r="C120" s="10">
        <v>1</v>
      </c>
      <c r="D120" s="11">
        <v>352</v>
      </c>
      <c r="E120" s="12">
        <v>30715048066</v>
      </c>
      <c r="F120" s="13" t="s">
        <v>64</v>
      </c>
      <c r="G120" s="14">
        <v>68550</v>
      </c>
      <c r="H120" s="15">
        <v>14395.5</v>
      </c>
      <c r="I120" s="15"/>
      <c r="J120" s="15"/>
      <c r="K120" s="15"/>
      <c r="L120" s="15"/>
      <c r="M120" s="15"/>
      <c r="N120" s="15"/>
      <c r="O120" s="16"/>
      <c r="P120" s="17">
        <f t="shared" si="4"/>
        <v>82945.5</v>
      </c>
    </row>
    <row r="121" spans="1:16" x14ac:dyDescent="0.25">
      <c r="A121" s="8">
        <v>44280</v>
      </c>
      <c r="B121" s="9">
        <v>1</v>
      </c>
      <c r="C121" s="10">
        <v>8</v>
      </c>
      <c r="D121" s="11">
        <v>139792</v>
      </c>
      <c r="E121" s="12">
        <v>33606484599</v>
      </c>
      <c r="F121" s="13" t="s">
        <v>65</v>
      </c>
      <c r="G121" s="14">
        <v>537426.31000000006</v>
      </c>
      <c r="H121" s="15">
        <v>112859.52510000001</v>
      </c>
      <c r="I121" s="15"/>
      <c r="J121" s="15"/>
      <c r="K121" s="15"/>
      <c r="L121" s="15"/>
      <c r="M121" s="15"/>
      <c r="N121" s="15"/>
      <c r="O121" s="16"/>
      <c r="P121" s="17">
        <f t="shared" si="4"/>
        <v>650285.83510000003</v>
      </c>
    </row>
    <row r="122" spans="1:16" x14ac:dyDescent="0.25">
      <c r="A122" s="8">
        <v>44286</v>
      </c>
      <c r="B122" s="9">
        <v>1</v>
      </c>
      <c r="C122" s="10">
        <v>2</v>
      </c>
      <c r="D122" s="11">
        <v>652</v>
      </c>
      <c r="E122" s="12">
        <v>30500805222</v>
      </c>
      <c r="F122" s="13" t="s">
        <v>66</v>
      </c>
      <c r="G122" s="14">
        <v>181500</v>
      </c>
      <c r="H122" s="15">
        <v>38115</v>
      </c>
      <c r="I122" s="15"/>
      <c r="J122" s="15"/>
      <c r="K122" s="15"/>
      <c r="L122" s="15"/>
      <c r="M122" s="15"/>
      <c r="N122" s="15"/>
      <c r="O122" s="16"/>
      <c r="P122" s="17">
        <f t="shared" si="4"/>
        <v>219615</v>
      </c>
    </row>
    <row r="123" spans="1:16" x14ac:dyDescent="0.25">
      <c r="A123" s="8">
        <v>44256</v>
      </c>
      <c r="B123" s="9">
        <v>1</v>
      </c>
      <c r="C123" s="10">
        <v>106</v>
      </c>
      <c r="D123" s="11">
        <v>403602</v>
      </c>
      <c r="E123" s="12">
        <v>30594494187</v>
      </c>
      <c r="F123" s="13" t="s">
        <v>53</v>
      </c>
      <c r="G123" s="14"/>
      <c r="H123" s="15">
        <v>0</v>
      </c>
      <c r="I123" s="15"/>
      <c r="J123" s="15"/>
      <c r="K123" s="15"/>
      <c r="L123" s="15">
        <v>17577</v>
      </c>
      <c r="M123" s="15"/>
      <c r="N123" s="15"/>
      <c r="O123" s="16"/>
      <c r="P123" s="17">
        <f t="shared" si="4"/>
        <v>17577</v>
      </c>
    </row>
    <row r="124" spans="1:16" x14ac:dyDescent="0.25">
      <c r="A124" s="8">
        <v>44274</v>
      </c>
      <c r="B124" s="9">
        <v>1</v>
      </c>
      <c r="C124" s="10">
        <v>2</v>
      </c>
      <c r="D124" s="11">
        <v>99</v>
      </c>
      <c r="E124" s="12">
        <v>20125142851</v>
      </c>
      <c r="F124" s="13" t="s">
        <v>27</v>
      </c>
      <c r="G124" s="14">
        <v>16330.5</v>
      </c>
      <c r="H124" s="15">
        <v>3429.4049999999997</v>
      </c>
      <c r="I124" s="15"/>
      <c r="J124" s="15"/>
      <c r="K124" s="15"/>
      <c r="L124" s="15"/>
      <c r="M124" s="15"/>
      <c r="N124" s="15"/>
      <c r="O124" s="16"/>
      <c r="P124" s="17">
        <f t="shared" si="4"/>
        <v>19759.904999999999</v>
      </c>
    </row>
    <row r="125" spans="1:16" x14ac:dyDescent="0.25">
      <c r="A125" s="18">
        <v>44257</v>
      </c>
      <c r="B125" s="19">
        <v>1</v>
      </c>
      <c r="C125" s="20">
        <v>2</v>
      </c>
      <c r="D125" s="21">
        <v>98</v>
      </c>
      <c r="E125" s="22">
        <v>20125142851</v>
      </c>
      <c r="F125" s="23" t="s">
        <v>27</v>
      </c>
      <c r="G125" s="24">
        <v>9832.5</v>
      </c>
      <c r="H125" s="25">
        <v>2064.8249999999998</v>
      </c>
      <c r="I125" s="25"/>
      <c r="J125" s="25"/>
      <c r="K125" s="25"/>
      <c r="L125" s="25"/>
      <c r="M125" s="25"/>
      <c r="N125" s="25"/>
      <c r="O125" s="26"/>
      <c r="P125" s="17">
        <f t="shared" si="4"/>
        <v>11897.325000000001</v>
      </c>
    </row>
    <row r="126" spans="1:16" x14ac:dyDescent="0.25">
      <c r="A126" s="18">
        <v>44264</v>
      </c>
      <c r="B126" s="19">
        <v>1</v>
      </c>
      <c r="C126" s="20">
        <v>2</v>
      </c>
      <c r="D126" s="21">
        <v>835</v>
      </c>
      <c r="E126" s="22">
        <v>30573843440</v>
      </c>
      <c r="F126" s="23" t="s">
        <v>43</v>
      </c>
      <c r="G126" s="24">
        <v>71753</v>
      </c>
      <c r="H126" s="25">
        <v>15068.13</v>
      </c>
      <c r="I126" s="25"/>
      <c r="J126" s="25"/>
      <c r="K126" s="25"/>
      <c r="L126" s="25"/>
      <c r="M126" s="25"/>
      <c r="N126" s="25"/>
      <c r="O126" s="26"/>
      <c r="P126" s="17">
        <f t="shared" si="4"/>
        <v>86821.13</v>
      </c>
    </row>
    <row r="127" spans="1:16" x14ac:dyDescent="0.25">
      <c r="A127" s="18">
        <v>44256</v>
      </c>
      <c r="B127" s="19">
        <v>1</v>
      </c>
      <c r="C127" s="20">
        <v>23</v>
      </c>
      <c r="D127" s="21">
        <v>2604</v>
      </c>
      <c r="E127" s="22">
        <v>30711493596</v>
      </c>
      <c r="F127" s="23" t="s">
        <v>24</v>
      </c>
      <c r="G127" s="24">
        <v>1367.77</v>
      </c>
      <c r="H127" s="25">
        <v>287.23169999999999</v>
      </c>
      <c r="I127" s="25"/>
      <c r="J127" s="25"/>
      <c r="K127" s="25"/>
      <c r="L127" s="25"/>
      <c r="M127" s="25"/>
      <c r="N127" s="25"/>
      <c r="O127" s="26"/>
      <c r="P127" s="17">
        <f t="shared" si="4"/>
        <v>1655.0017</v>
      </c>
    </row>
    <row r="128" spans="1:16" x14ac:dyDescent="0.25">
      <c r="A128" s="18">
        <v>44258</v>
      </c>
      <c r="B128" s="19">
        <v>1</v>
      </c>
      <c r="C128" s="20">
        <v>9</v>
      </c>
      <c r="D128" s="21">
        <v>11884</v>
      </c>
      <c r="E128" s="22">
        <v>30708600187</v>
      </c>
      <c r="F128" s="23" t="s">
        <v>55</v>
      </c>
      <c r="G128" s="24">
        <v>41686</v>
      </c>
      <c r="H128" s="25">
        <v>8754.06</v>
      </c>
      <c r="I128" s="25"/>
      <c r="J128" s="25"/>
      <c r="K128" s="25"/>
      <c r="L128" s="25"/>
      <c r="M128" s="25"/>
      <c r="N128" s="25"/>
      <c r="O128" s="26"/>
      <c r="P128" s="17">
        <f t="shared" si="4"/>
        <v>50440.06</v>
      </c>
    </row>
    <row r="129" spans="1:16" x14ac:dyDescent="0.25">
      <c r="A129" s="18">
        <v>44258</v>
      </c>
      <c r="B129" s="19">
        <v>1</v>
      </c>
      <c r="C129" s="20">
        <v>9</v>
      </c>
      <c r="D129" s="21">
        <v>11885</v>
      </c>
      <c r="E129" s="22">
        <v>30708600187</v>
      </c>
      <c r="F129" s="23" t="s">
        <v>55</v>
      </c>
      <c r="G129" s="24">
        <v>3610</v>
      </c>
      <c r="H129" s="25">
        <v>758.1</v>
      </c>
      <c r="I129" s="25"/>
      <c r="J129" s="25"/>
      <c r="K129" s="25"/>
      <c r="L129" s="25"/>
      <c r="M129" s="25"/>
      <c r="N129" s="25"/>
      <c r="O129" s="26"/>
      <c r="P129" s="17">
        <f t="shared" si="4"/>
        <v>4368.1000000000004</v>
      </c>
    </row>
    <row r="130" spans="1:16" x14ac:dyDescent="0.25">
      <c r="A130" s="18">
        <v>44278</v>
      </c>
      <c r="B130" s="19">
        <v>1</v>
      </c>
      <c r="C130" s="20">
        <v>5</v>
      </c>
      <c r="D130" s="21">
        <v>21665</v>
      </c>
      <c r="E130" s="22">
        <v>30708261110</v>
      </c>
      <c r="F130" s="23" t="s">
        <v>67</v>
      </c>
      <c r="G130" s="24">
        <v>65542.399999999994</v>
      </c>
      <c r="H130" s="25">
        <v>13763.903999999999</v>
      </c>
      <c r="I130" s="25"/>
      <c r="J130" s="25"/>
      <c r="K130" s="25"/>
      <c r="L130" s="25"/>
      <c r="M130" s="25"/>
      <c r="N130" s="25"/>
      <c r="O130" s="26"/>
      <c r="P130" s="17">
        <f t="shared" si="4"/>
        <v>79306.303999999989</v>
      </c>
    </row>
    <row r="131" spans="1:16" x14ac:dyDescent="0.25">
      <c r="A131" s="18">
        <v>44256</v>
      </c>
      <c r="B131" s="19">
        <v>1</v>
      </c>
      <c r="C131" s="20">
        <v>3</v>
      </c>
      <c r="D131" s="21">
        <v>379</v>
      </c>
      <c r="E131" s="22">
        <v>30715402765</v>
      </c>
      <c r="F131" s="23" t="s">
        <v>29</v>
      </c>
      <c r="G131" s="24">
        <v>4545.46</v>
      </c>
      <c r="H131" s="25">
        <v>954.54660000000001</v>
      </c>
      <c r="I131" s="25"/>
      <c r="J131" s="25"/>
      <c r="K131" s="25"/>
      <c r="L131" s="25"/>
      <c r="M131" s="25"/>
      <c r="N131" s="25"/>
      <c r="O131" s="26"/>
      <c r="P131" s="17">
        <f t="shared" si="4"/>
        <v>5500.0065999999997</v>
      </c>
    </row>
    <row r="132" spans="1:16" x14ac:dyDescent="0.25">
      <c r="A132" s="18">
        <v>44263</v>
      </c>
      <c r="B132" s="19">
        <v>1</v>
      </c>
      <c r="C132" s="20">
        <v>3</v>
      </c>
      <c r="D132" s="21">
        <v>223</v>
      </c>
      <c r="E132" s="22">
        <v>20921575743</v>
      </c>
      <c r="F132" s="23" t="s">
        <v>68</v>
      </c>
      <c r="G132" s="24">
        <v>82500</v>
      </c>
      <c r="H132" s="25">
        <v>17325</v>
      </c>
      <c r="I132" s="25"/>
      <c r="J132" s="25"/>
      <c r="K132" s="25"/>
      <c r="L132" s="25"/>
      <c r="M132" s="25"/>
      <c r="N132" s="25"/>
      <c r="O132" s="26"/>
      <c r="P132" s="17">
        <f t="shared" si="4"/>
        <v>99825</v>
      </c>
    </row>
    <row r="133" spans="1:16" x14ac:dyDescent="0.25">
      <c r="A133" s="18">
        <v>44273</v>
      </c>
      <c r="B133" s="19">
        <v>1</v>
      </c>
      <c r="C133" s="20">
        <v>9</v>
      </c>
      <c r="D133" s="21">
        <v>575</v>
      </c>
      <c r="E133" s="22">
        <v>30631047145</v>
      </c>
      <c r="F133" s="23" t="s">
        <v>48</v>
      </c>
      <c r="G133" s="24">
        <v>1447.5</v>
      </c>
      <c r="H133" s="25">
        <v>303.97499999999997</v>
      </c>
      <c r="I133" s="25"/>
      <c r="J133" s="25"/>
      <c r="K133" s="25"/>
      <c r="L133" s="25"/>
      <c r="M133" s="25"/>
      <c r="N133" s="25"/>
      <c r="O133" s="26"/>
      <c r="P133" s="17">
        <f t="shared" si="4"/>
        <v>1751.4749999999999</v>
      </c>
    </row>
    <row r="134" spans="1:16" x14ac:dyDescent="0.25">
      <c r="A134" s="18">
        <v>44280</v>
      </c>
      <c r="B134" s="19">
        <v>1</v>
      </c>
      <c r="C134" s="20">
        <v>5</v>
      </c>
      <c r="D134" s="21">
        <v>38809</v>
      </c>
      <c r="E134" s="22">
        <v>30692857611</v>
      </c>
      <c r="F134" s="23" t="s">
        <v>42</v>
      </c>
      <c r="G134" s="24">
        <v>47801.599999999999</v>
      </c>
      <c r="H134" s="25">
        <v>10038.335999999999</v>
      </c>
      <c r="I134" s="25"/>
      <c r="J134" s="25"/>
      <c r="K134" s="25"/>
      <c r="L134" s="25"/>
      <c r="M134" s="25"/>
      <c r="N134" s="25"/>
      <c r="O134" s="26"/>
      <c r="P134" s="17">
        <f t="shared" si="4"/>
        <v>57839.936000000002</v>
      </c>
    </row>
    <row r="135" spans="1:16" x14ac:dyDescent="0.25">
      <c r="A135" s="18">
        <v>44279</v>
      </c>
      <c r="B135" s="19">
        <v>1</v>
      </c>
      <c r="C135" s="20">
        <v>18</v>
      </c>
      <c r="D135" s="21">
        <v>31656</v>
      </c>
      <c r="E135" s="22">
        <v>30708405228</v>
      </c>
      <c r="F135" s="23" t="s">
        <v>69</v>
      </c>
      <c r="G135" s="24">
        <v>3164.46</v>
      </c>
      <c r="H135" s="25">
        <v>664.53660000000002</v>
      </c>
      <c r="I135" s="25"/>
      <c r="J135" s="25"/>
      <c r="K135" s="25"/>
      <c r="L135" s="25"/>
      <c r="M135" s="25"/>
      <c r="N135" s="25"/>
      <c r="O135" s="26"/>
      <c r="P135" s="17">
        <f t="shared" si="4"/>
        <v>3828.9965999999999</v>
      </c>
    </row>
    <row r="136" spans="1:16" x14ac:dyDescent="0.25">
      <c r="A136" s="18">
        <v>44266</v>
      </c>
      <c r="B136" s="19">
        <v>1</v>
      </c>
      <c r="C136" s="20">
        <v>2466</v>
      </c>
      <c r="D136" s="21">
        <v>205938</v>
      </c>
      <c r="E136" s="22">
        <v>30678814357</v>
      </c>
      <c r="F136" s="23" t="s">
        <v>52</v>
      </c>
      <c r="G136" s="24">
        <v>1119.45</v>
      </c>
      <c r="H136" s="25"/>
      <c r="I136" s="25">
        <v>302.25</v>
      </c>
      <c r="J136" s="25"/>
      <c r="K136" s="25"/>
      <c r="L136" s="25"/>
      <c r="M136" s="25"/>
      <c r="N136" s="25"/>
      <c r="O136" s="26"/>
      <c r="P136" s="17">
        <f t="shared" si="4"/>
        <v>1421.7</v>
      </c>
    </row>
    <row r="137" spans="1:16" x14ac:dyDescent="0.25">
      <c r="A137" s="18">
        <v>44259</v>
      </c>
      <c r="B137" s="19">
        <v>3</v>
      </c>
      <c r="C137" s="20">
        <v>2524</v>
      </c>
      <c r="D137" s="21">
        <v>304169</v>
      </c>
      <c r="E137" s="22">
        <v>30678814357</v>
      </c>
      <c r="F137" s="23" t="s">
        <v>52</v>
      </c>
      <c r="G137" s="24">
        <v>-16</v>
      </c>
      <c r="H137" s="25"/>
      <c r="I137" s="25">
        <v>-4.32</v>
      </c>
      <c r="J137" s="25"/>
      <c r="K137" s="25"/>
      <c r="L137" s="25"/>
      <c r="M137" s="25"/>
      <c r="N137" s="25"/>
      <c r="O137" s="26"/>
      <c r="P137" s="17">
        <f t="shared" si="4"/>
        <v>-20.32</v>
      </c>
    </row>
    <row r="138" spans="1:16" x14ac:dyDescent="0.25">
      <c r="A138" s="18">
        <v>44259</v>
      </c>
      <c r="B138" s="19">
        <v>99</v>
      </c>
      <c r="C138" s="20">
        <v>818</v>
      </c>
      <c r="D138" s="21">
        <v>651365</v>
      </c>
      <c r="E138" s="22" t="s">
        <v>70</v>
      </c>
      <c r="F138" s="23" t="s">
        <v>22</v>
      </c>
      <c r="G138" s="24">
        <v>10376.450000000001</v>
      </c>
      <c r="H138" s="25">
        <v>2179.0545000000002</v>
      </c>
      <c r="I138" s="25"/>
      <c r="J138" s="25"/>
      <c r="K138" s="25"/>
      <c r="L138" s="25"/>
      <c r="M138" s="25">
        <v>311.29000000000002</v>
      </c>
      <c r="N138" s="25"/>
      <c r="O138" s="26"/>
      <c r="P138" s="17">
        <f t="shared" si="4"/>
        <v>12866.794500000002</v>
      </c>
    </row>
    <row r="139" spans="1:16" x14ac:dyDescent="0.25">
      <c r="A139" s="18">
        <v>44257</v>
      </c>
      <c r="B139" s="19">
        <v>99</v>
      </c>
      <c r="C139" s="20">
        <v>818</v>
      </c>
      <c r="D139" s="21">
        <v>651144</v>
      </c>
      <c r="E139" s="22" t="s">
        <v>70</v>
      </c>
      <c r="F139" s="23" t="s">
        <v>22</v>
      </c>
      <c r="G139" s="24">
        <v>10360.35</v>
      </c>
      <c r="H139" s="25">
        <v>2175.6734999999999</v>
      </c>
      <c r="I139" s="25"/>
      <c r="J139" s="25"/>
      <c r="K139" s="25"/>
      <c r="L139" s="25"/>
      <c r="M139" s="25">
        <v>310.81</v>
      </c>
      <c r="N139" s="25"/>
      <c r="O139" s="26"/>
      <c r="P139" s="17">
        <f t="shared" si="4"/>
        <v>12846.833499999999</v>
      </c>
    </row>
    <row r="140" spans="1:16" x14ac:dyDescent="0.25">
      <c r="A140" s="18">
        <v>44256</v>
      </c>
      <c r="B140" s="19">
        <v>99</v>
      </c>
      <c r="C140" s="20">
        <v>818</v>
      </c>
      <c r="D140" s="21">
        <v>651008</v>
      </c>
      <c r="E140" s="22" t="s">
        <v>70</v>
      </c>
      <c r="F140" s="23" t="s">
        <v>22</v>
      </c>
      <c r="G140" s="24">
        <v>10329.299999999999</v>
      </c>
      <c r="H140" s="25">
        <v>2169.1529999999998</v>
      </c>
      <c r="I140" s="25"/>
      <c r="J140" s="25"/>
      <c r="K140" s="25"/>
      <c r="L140" s="25"/>
      <c r="M140" s="25">
        <v>309.88</v>
      </c>
      <c r="N140" s="25"/>
      <c r="O140" s="26"/>
      <c r="P140" s="17">
        <f t="shared" si="4"/>
        <v>12808.332999999999</v>
      </c>
    </row>
    <row r="141" spans="1:16" x14ac:dyDescent="0.25">
      <c r="A141" s="18">
        <v>44264</v>
      </c>
      <c r="B141" s="19">
        <v>99</v>
      </c>
      <c r="C141" s="20">
        <v>818</v>
      </c>
      <c r="D141" s="21">
        <v>651758</v>
      </c>
      <c r="E141" s="22" t="s">
        <v>70</v>
      </c>
      <c r="F141" s="23" t="s">
        <v>22</v>
      </c>
      <c r="G141" s="24">
        <v>15426.34</v>
      </c>
      <c r="H141" s="25">
        <v>3239.5313999999998</v>
      </c>
      <c r="I141" s="25"/>
      <c r="J141" s="25"/>
      <c r="K141" s="25"/>
      <c r="L141" s="25"/>
      <c r="M141" s="25">
        <v>462.79</v>
      </c>
      <c r="N141" s="25"/>
      <c r="O141" s="26"/>
      <c r="P141" s="17">
        <f t="shared" si="4"/>
        <v>19128.661400000001</v>
      </c>
    </row>
    <row r="142" spans="1:16" ht="22.5" customHeight="1" thickBot="1" x14ac:dyDescent="0.3">
      <c r="A142" s="131" t="s">
        <v>51</v>
      </c>
      <c r="B142" s="132"/>
      <c r="C142" s="132"/>
      <c r="D142" s="132"/>
      <c r="E142" s="132"/>
      <c r="F142" s="132"/>
      <c r="G142" s="27">
        <f>SUM(G112:G141)</f>
        <v>2443161.3755000001</v>
      </c>
      <c r="H142" s="27">
        <f t="shared" ref="H142:P142" si="5">SUM(H112:H141)</f>
        <v>340867.5836999999</v>
      </c>
      <c r="I142" s="27">
        <f t="shared" si="5"/>
        <v>297.93</v>
      </c>
      <c r="J142" s="27">
        <f t="shared" si="5"/>
        <v>85982.22619999999</v>
      </c>
      <c r="K142" s="27">
        <f t="shared" si="5"/>
        <v>0</v>
      </c>
      <c r="L142" s="27">
        <f t="shared" si="5"/>
        <v>17577</v>
      </c>
      <c r="M142" s="27">
        <f t="shared" si="5"/>
        <v>1394.77</v>
      </c>
      <c r="N142" s="27">
        <f t="shared" si="5"/>
        <v>0</v>
      </c>
      <c r="O142" s="27">
        <f t="shared" si="5"/>
        <v>-1011058.5772000001</v>
      </c>
      <c r="P142" s="27">
        <f t="shared" si="5"/>
        <v>1878222.3081999999</v>
      </c>
    </row>
    <row r="143" spans="1:16" ht="15" customHeight="1" thickBot="1" x14ac:dyDescent="0.3">
      <c r="G143" s="28"/>
      <c r="H143" s="126">
        <f>SUM(H142:J142)</f>
        <v>427147.73989999987</v>
      </c>
      <c r="I143" s="127"/>
      <c r="J143" s="128"/>
      <c r="K143" s="28"/>
      <c r="L143" s="28"/>
      <c r="M143" s="28"/>
      <c r="N143" s="28"/>
      <c r="O143" s="28"/>
      <c r="P143" s="28"/>
    </row>
    <row r="144" spans="1:16" ht="10.5" customHeight="1" thickTop="1" x14ac:dyDescent="0.25">
      <c r="G144" s="28"/>
      <c r="H144" s="28"/>
      <c r="I144" s="28"/>
      <c r="J144" s="28"/>
      <c r="K144" s="28"/>
      <c r="L144" s="28"/>
      <c r="M144" s="28"/>
      <c r="N144" s="28"/>
      <c r="O144" s="28"/>
      <c r="P144" s="28"/>
    </row>
    <row r="145" spans="1:16" ht="19.5" customHeight="1" x14ac:dyDescent="0.45">
      <c r="A145" s="1" t="s">
        <v>0</v>
      </c>
      <c r="B145" s="1"/>
      <c r="C145" s="1"/>
      <c r="D145" s="1"/>
      <c r="E145" s="1"/>
      <c r="F145" s="1"/>
      <c r="G145" s="2"/>
      <c r="H145" s="2"/>
      <c r="I145" s="2"/>
      <c r="J145" s="2"/>
      <c r="K145" s="2"/>
      <c r="L145" s="2"/>
      <c r="M145" s="3"/>
      <c r="N145" s="4">
        <v>44287</v>
      </c>
      <c r="O145" s="3"/>
      <c r="P145" s="3"/>
    </row>
    <row r="146" spans="1:16" ht="9" customHeight="1" thickBot="1" x14ac:dyDescent="0.5">
      <c r="A146" s="1"/>
      <c r="B146" s="1"/>
      <c r="C146" s="1"/>
      <c r="D146" s="1"/>
      <c r="E146" s="1"/>
      <c r="F146" s="1"/>
      <c r="G146" s="2"/>
      <c r="H146" s="2"/>
      <c r="I146" s="2"/>
      <c r="J146" s="2"/>
      <c r="K146" s="2"/>
      <c r="L146" s="2"/>
      <c r="M146" s="3"/>
      <c r="N146" s="3"/>
      <c r="O146" s="3"/>
      <c r="P146" s="3"/>
    </row>
    <row r="147" spans="1:16" ht="13.5" customHeight="1" x14ac:dyDescent="0.25">
      <c r="A147" s="5" t="s">
        <v>1</v>
      </c>
      <c r="B147" s="6" t="s">
        <v>2</v>
      </c>
      <c r="C147" s="6" t="s">
        <v>3</v>
      </c>
      <c r="D147" s="6" t="s">
        <v>4</v>
      </c>
      <c r="E147" s="6" t="s">
        <v>5</v>
      </c>
      <c r="F147" s="6" t="s">
        <v>6</v>
      </c>
      <c r="G147" s="6" t="s">
        <v>7</v>
      </c>
      <c r="H147" s="6" t="s">
        <v>8</v>
      </c>
      <c r="I147" s="6" t="s">
        <v>9</v>
      </c>
      <c r="J147" s="6" t="s">
        <v>10</v>
      </c>
      <c r="K147" s="6" t="s">
        <v>11</v>
      </c>
      <c r="L147" s="6" t="s">
        <v>12</v>
      </c>
      <c r="M147" s="6" t="s">
        <v>13</v>
      </c>
      <c r="N147" s="6" t="s">
        <v>14</v>
      </c>
      <c r="O147" s="6" t="s">
        <v>15</v>
      </c>
      <c r="P147" s="7" t="s">
        <v>16</v>
      </c>
    </row>
    <row r="148" spans="1:16" x14ac:dyDescent="0.25">
      <c r="A148" s="8">
        <v>44314</v>
      </c>
      <c r="B148" s="9">
        <v>1</v>
      </c>
      <c r="C148" s="10">
        <v>1</v>
      </c>
      <c r="D148" s="11">
        <v>359</v>
      </c>
      <c r="E148" s="12">
        <v>30715048066</v>
      </c>
      <c r="F148" s="13" t="s">
        <v>64</v>
      </c>
      <c r="G148" s="14">
        <v>78150</v>
      </c>
      <c r="H148" s="15">
        <v>16411.5</v>
      </c>
      <c r="I148" s="15"/>
      <c r="J148" s="15"/>
      <c r="K148" s="15"/>
      <c r="L148" s="15"/>
      <c r="M148" s="15"/>
      <c r="N148" s="15"/>
      <c r="O148" s="16"/>
      <c r="P148" s="17">
        <f>SUM(G148:O148)</f>
        <v>94561.5</v>
      </c>
    </row>
    <row r="149" spans="1:16" x14ac:dyDescent="0.25">
      <c r="A149" s="8">
        <v>44311</v>
      </c>
      <c r="B149" s="9">
        <v>1</v>
      </c>
      <c r="C149" s="10">
        <v>4571</v>
      </c>
      <c r="D149" s="11">
        <v>36855</v>
      </c>
      <c r="E149" s="12">
        <v>30695542476</v>
      </c>
      <c r="F149" s="13" t="s">
        <v>45</v>
      </c>
      <c r="G149" s="14">
        <v>2802.45</v>
      </c>
      <c r="H149" s="15">
        <v>588.51449999999988</v>
      </c>
      <c r="I149" s="15"/>
      <c r="J149" s="15"/>
      <c r="K149" s="15">
        <v>900.83</v>
      </c>
      <c r="L149" s="15"/>
      <c r="M149" s="15"/>
      <c r="N149" s="15"/>
      <c r="O149" s="16">
        <v>0.01</v>
      </c>
      <c r="P149" s="17">
        <f t="shared" ref="P149:P176" si="6">SUM(G149:O149)</f>
        <v>4291.8045000000002</v>
      </c>
    </row>
    <row r="150" spans="1:16" x14ac:dyDescent="0.25">
      <c r="A150" s="8">
        <v>44291</v>
      </c>
      <c r="B150" s="9">
        <v>1</v>
      </c>
      <c r="C150" s="10">
        <v>3</v>
      </c>
      <c r="D150" s="11">
        <v>594</v>
      </c>
      <c r="E150" s="12">
        <v>30714471429</v>
      </c>
      <c r="F150" s="13" t="s">
        <v>71</v>
      </c>
      <c r="G150" s="14">
        <v>496.83</v>
      </c>
      <c r="H150" s="15"/>
      <c r="I150" s="15"/>
      <c r="J150" s="15">
        <v>52.17</v>
      </c>
      <c r="K150" s="15"/>
      <c r="L150" s="15"/>
      <c r="M150" s="15"/>
      <c r="N150" s="15"/>
      <c r="O150" s="16"/>
      <c r="P150" s="17">
        <f t="shared" si="6"/>
        <v>549</v>
      </c>
    </row>
    <row r="151" spans="1:16" x14ac:dyDescent="0.25">
      <c r="A151" s="8">
        <v>44302</v>
      </c>
      <c r="B151" s="9">
        <v>1</v>
      </c>
      <c r="C151" s="10">
        <v>3</v>
      </c>
      <c r="D151" s="11">
        <v>11855</v>
      </c>
      <c r="E151" s="12">
        <v>30715002848</v>
      </c>
      <c r="F151" s="13" t="s">
        <v>72</v>
      </c>
      <c r="G151" s="14">
        <v>6410.54</v>
      </c>
      <c r="H151" s="15">
        <v>1346.2133999999999</v>
      </c>
      <c r="I151" s="15"/>
      <c r="J151" s="15"/>
      <c r="K151" s="15"/>
      <c r="L151" s="15"/>
      <c r="M151" s="15"/>
      <c r="N151" s="15"/>
      <c r="O151" s="16"/>
      <c r="P151" s="17">
        <f t="shared" si="6"/>
        <v>7756.7533999999996</v>
      </c>
    </row>
    <row r="152" spans="1:16" x14ac:dyDescent="0.25">
      <c r="A152" s="8">
        <v>44299</v>
      </c>
      <c r="B152" s="9">
        <v>1</v>
      </c>
      <c r="C152" s="10">
        <v>7</v>
      </c>
      <c r="D152" s="11">
        <v>2943</v>
      </c>
      <c r="E152" s="12">
        <v>30715280333</v>
      </c>
      <c r="F152" s="13" t="s">
        <v>73</v>
      </c>
      <c r="G152" s="14">
        <v>57178.5</v>
      </c>
      <c r="H152" s="15">
        <v>12007.484999999999</v>
      </c>
      <c r="I152" s="15"/>
      <c r="J152" s="15"/>
      <c r="K152" s="15"/>
      <c r="L152" s="15"/>
      <c r="M152" s="15"/>
      <c r="N152" s="15"/>
      <c r="O152" s="16"/>
      <c r="P152" s="17">
        <f t="shared" si="6"/>
        <v>69185.985000000001</v>
      </c>
    </row>
    <row r="153" spans="1:16" x14ac:dyDescent="0.25">
      <c r="A153" s="8">
        <v>44291</v>
      </c>
      <c r="B153" s="9">
        <v>1</v>
      </c>
      <c r="C153" s="10">
        <v>4494</v>
      </c>
      <c r="D153" s="11">
        <v>93</v>
      </c>
      <c r="E153" s="12">
        <v>30548083156</v>
      </c>
      <c r="F153" s="13" t="s">
        <v>18</v>
      </c>
      <c r="G153" s="14">
        <v>4671.32</v>
      </c>
      <c r="H153" s="15">
        <v>878.6</v>
      </c>
      <c r="I153" s="15"/>
      <c r="J153" s="15">
        <v>51.19</v>
      </c>
      <c r="K153" s="15"/>
      <c r="L153" s="15"/>
      <c r="M153" s="15"/>
      <c r="N153" s="15"/>
      <c r="O153" s="16"/>
      <c r="P153" s="17">
        <f t="shared" si="6"/>
        <v>5601.11</v>
      </c>
    </row>
    <row r="154" spans="1:16" x14ac:dyDescent="0.25">
      <c r="A154" s="8">
        <v>44301</v>
      </c>
      <c r="B154" s="9">
        <v>1</v>
      </c>
      <c r="C154" s="10">
        <v>2</v>
      </c>
      <c r="D154" s="11">
        <v>357</v>
      </c>
      <c r="E154" s="12">
        <v>30716831066</v>
      </c>
      <c r="F154" s="13" t="s">
        <v>74</v>
      </c>
      <c r="G154" s="14">
        <v>1785.53</v>
      </c>
      <c r="H154" s="15">
        <v>374.96129999999999</v>
      </c>
      <c r="I154" s="15"/>
      <c r="J154" s="15"/>
      <c r="K154" s="15"/>
      <c r="L154" s="15"/>
      <c r="M154" s="15"/>
      <c r="N154" s="15"/>
      <c r="O154" s="16"/>
      <c r="P154" s="17">
        <f t="shared" si="6"/>
        <v>2160.4913000000001</v>
      </c>
    </row>
    <row r="155" spans="1:16" x14ac:dyDescent="0.25">
      <c r="A155" s="8">
        <v>44305</v>
      </c>
      <c r="B155" s="9">
        <v>1</v>
      </c>
      <c r="C155" s="10">
        <v>2078</v>
      </c>
      <c r="D155" s="11">
        <v>24964</v>
      </c>
      <c r="E155" s="12">
        <v>30548083156</v>
      </c>
      <c r="F155" s="13" t="s">
        <v>18</v>
      </c>
      <c r="G155" s="14">
        <v>4076.47</v>
      </c>
      <c r="H155" s="15">
        <v>653.58000000000004</v>
      </c>
      <c r="I155" s="15"/>
      <c r="J155" s="15">
        <v>101.24</v>
      </c>
      <c r="K155" s="15"/>
      <c r="L155" s="15"/>
      <c r="M155" s="15"/>
      <c r="N155" s="15"/>
      <c r="O155" s="16">
        <v>93.37</v>
      </c>
      <c r="P155" s="17">
        <f t="shared" si="6"/>
        <v>4924.66</v>
      </c>
    </row>
    <row r="156" spans="1:16" x14ac:dyDescent="0.25">
      <c r="A156" s="8">
        <v>44306</v>
      </c>
      <c r="B156" s="9">
        <v>1</v>
      </c>
      <c r="C156" s="10">
        <v>3</v>
      </c>
      <c r="D156" s="11">
        <v>339110</v>
      </c>
      <c r="E156" s="12">
        <v>30712019359</v>
      </c>
      <c r="F156" s="13" t="s">
        <v>75</v>
      </c>
      <c r="G156" s="14">
        <v>2147.9299999999998</v>
      </c>
      <c r="H156" s="15">
        <v>451.06529999999992</v>
      </c>
      <c r="I156" s="15"/>
      <c r="J156" s="15"/>
      <c r="K156" s="15"/>
      <c r="L156" s="15"/>
      <c r="M156" s="15"/>
      <c r="N156" s="15"/>
      <c r="O156" s="16"/>
      <c r="P156" s="17">
        <f t="shared" si="6"/>
        <v>2598.9952999999996</v>
      </c>
    </row>
    <row r="157" spans="1:16" x14ac:dyDescent="0.25">
      <c r="A157" s="8">
        <v>44287</v>
      </c>
      <c r="B157" s="9">
        <v>1</v>
      </c>
      <c r="C157" s="10">
        <v>3</v>
      </c>
      <c r="D157" s="11">
        <v>391</v>
      </c>
      <c r="E157" s="12">
        <v>30715402765</v>
      </c>
      <c r="F157" s="13" t="s">
        <v>29</v>
      </c>
      <c r="G157" s="14">
        <v>5371.9</v>
      </c>
      <c r="H157" s="15">
        <v>1128.0989999999999</v>
      </c>
      <c r="I157" s="15"/>
      <c r="J157" s="15"/>
      <c r="K157" s="15"/>
      <c r="L157" s="15"/>
      <c r="M157" s="15"/>
      <c r="N157" s="15"/>
      <c r="O157" s="16"/>
      <c r="P157" s="17">
        <f t="shared" si="6"/>
        <v>6499.9989999999998</v>
      </c>
    </row>
    <row r="158" spans="1:16" x14ac:dyDescent="0.25">
      <c r="A158" s="8">
        <v>44297</v>
      </c>
      <c r="B158" s="9">
        <v>1</v>
      </c>
      <c r="C158" s="10">
        <v>280</v>
      </c>
      <c r="D158" s="11">
        <v>1289824</v>
      </c>
      <c r="E158" s="12">
        <v>30580111315</v>
      </c>
      <c r="F158" s="13" t="s">
        <v>30</v>
      </c>
      <c r="G158" s="14">
        <v>215950.00839999999</v>
      </c>
      <c r="H158" s="15">
        <v>582.37199999999996</v>
      </c>
      <c r="I158" s="15"/>
      <c r="J158" s="15">
        <v>22383.421599999998</v>
      </c>
      <c r="K158" s="15"/>
      <c r="L158" s="15"/>
      <c r="M158" s="15"/>
      <c r="N158" s="15"/>
      <c r="O158" s="16">
        <v>-193796.76240000001</v>
      </c>
      <c r="P158" s="17">
        <f t="shared" si="6"/>
        <v>45119.039599999989</v>
      </c>
    </row>
    <row r="159" spans="1:16" x14ac:dyDescent="0.25">
      <c r="A159" s="18">
        <v>44299</v>
      </c>
      <c r="B159" s="19">
        <v>1</v>
      </c>
      <c r="C159" s="20">
        <v>280</v>
      </c>
      <c r="D159" s="21">
        <v>1290097</v>
      </c>
      <c r="E159" s="22">
        <v>30580111315</v>
      </c>
      <c r="F159" s="23" t="s">
        <v>30</v>
      </c>
      <c r="G159" s="24">
        <v>64696.755599999997</v>
      </c>
      <c r="H159" s="25">
        <v>583.25400000000002</v>
      </c>
      <c r="I159" s="25"/>
      <c r="J159" s="25">
        <v>6501.8933999999999</v>
      </c>
      <c r="K159" s="25"/>
      <c r="L159" s="25"/>
      <c r="M159" s="25"/>
      <c r="N159" s="25"/>
      <c r="O159" s="26">
        <v>-56290.491600000001</v>
      </c>
      <c r="P159" s="17">
        <f t="shared" si="6"/>
        <v>15491.41139999999</v>
      </c>
    </row>
    <row r="160" spans="1:16" x14ac:dyDescent="0.25">
      <c r="A160" s="18">
        <v>44305</v>
      </c>
      <c r="B160" s="19">
        <v>1</v>
      </c>
      <c r="C160" s="20">
        <v>700</v>
      </c>
      <c r="D160" s="21">
        <v>213146</v>
      </c>
      <c r="E160" s="22">
        <v>30580111315</v>
      </c>
      <c r="F160" s="23" t="s">
        <v>30</v>
      </c>
      <c r="G160" s="24">
        <v>1326.375</v>
      </c>
      <c r="H160" s="25">
        <v>279.02999999999997</v>
      </c>
      <c r="I160" s="25"/>
      <c r="J160" s="25"/>
      <c r="K160" s="25"/>
      <c r="L160" s="25"/>
      <c r="M160" s="25"/>
      <c r="N160" s="25"/>
      <c r="O160" s="26"/>
      <c r="P160" s="17">
        <f t="shared" si="6"/>
        <v>1605.405</v>
      </c>
    </row>
    <row r="161" spans="1:16" x14ac:dyDescent="0.25">
      <c r="A161" s="18">
        <v>44307</v>
      </c>
      <c r="B161" s="19">
        <v>1</v>
      </c>
      <c r="C161" s="20">
        <v>8</v>
      </c>
      <c r="D161" s="21">
        <v>4392</v>
      </c>
      <c r="E161" s="22">
        <v>30677784144</v>
      </c>
      <c r="F161" s="23" t="s">
        <v>76</v>
      </c>
      <c r="G161" s="24">
        <v>105788.21</v>
      </c>
      <c r="H161" s="25">
        <v>22215.524099999999</v>
      </c>
      <c r="I161" s="25"/>
      <c r="J161" s="25"/>
      <c r="K161" s="25"/>
      <c r="L161" s="25"/>
      <c r="M161" s="25"/>
      <c r="N161" s="25">
        <v>3173.65</v>
      </c>
      <c r="O161" s="26"/>
      <c r="P161" s="17">
        <f t="shared" si="6"/>
        <v>131177.3841</v>
      </c>
    </row>
    <row r="162" spans="1:16" x14ac:dyDescent="0.25">
      <c r="A162" s="18">
        <v>44292</v>
      </c>
      <c r="B162" s="19">
        <v>1</v>
      </c>
      <c r="C162" s="20">
        <v>3</v>
      </c>
      <c r="D162" s="21">
        <v>69</v>
      </c>
      <c r="E162" s="22">
        <v>30715058479</v>
      </c>
      <c r="F162" s="23" t="s">
        <v>77</v>
      </c>
      <c r="G162" s="24">
        <v>29000</v>
      </c>
      <c r="H162" s="25">
        <v>6090</v>
      </c>
      <c r="I162" s="25"/>
      <c r="J162" s="25"/>
      <c r="K162" s="25"/>
      <c r="L162" s="25"/>
      <c r="M162" s="25"/>
      <c r="N162" s="25"/>
      <c r="O162" s="26"/>
      <c r="P162" s="17">
        <f t="shared" si="6"/>
        <v>35090</v>
      </c>
    </row>
    <row r="163" spans="1:16" x14ac:dyDescent="0.25">
      <c r="A163" s="18">
        <v>44295</v>
      </c>
      <c r="B163" s="19">
        <v>1</v>
      </c>
      <c r="C163" s="20">
        <v>4</v>
      </c>
      <c r="D163" s="21">
        <v>6335</v>
      </c>
      <c r="E163" s="22">
        <v>20272726915</v>
      </c>
      <c r="F163" s="23" t="s">
        <v>78</v>
      </c>
      <c r="G163" s="24">
        <v>1254.3800000000001</v>
      </c>
      <c r="H163" s="25">
        <v>263.41980000000001</v>
      </c>
      <c r="I163" s="25"/>
      <c r="J163" s="25"/>
      <c r="K163" s="25"/>
      <c r="L163" s="25"/>
      <c r="M163" s="25"/>
      <c r="N163" s="25"/>
      <c r="O163" s="26"/>
      <c r="P163" s="17">
        <f t="shared" si="6"/>
        <v>1517.7998000000002</v>
      </c>
    </row>
    <row r="164" spans="1:16" x14ac:dyDescent="0.25">
      <c r="A164" s="18">
        <v>44316</v>
      </c>
      <c r="B164" s="19">
        <v>1</v>
      </c>
      <c r="C164" s="20">
        <v>9</v>
      </c>
      <c r="D164" s="21">
        <v>650</v>
      </c>
      <c r="E164" s="22">
        <v>30631047145</v>
      </c>
      <c r="F164" s="23" t="s">
        <v>48</v>
      </c>
      <c r="G164" s="24">
        <v>55627.11</v>
      </c>
      <c r="H164" s="25">
        <v>6619.54</v>
      </c>
      <c r="I164" s="25"/>
      <c r="J164" s="25">
        <v>2531.08</v>
      </c>
      <c r="K164" s="25"/>
      <c r="L164" s="25"/>
      <c r="M164" s="25"/>
      <c r="N164" s="25"/>
      <c r="O164" s="26"/>
      <c r="P164" s="17">
        <f t="shared" si="6"/>
        <v>64777.73</v>
      </c>
    </row>
    <row r="165" spans="1:16" x14ac:dyDescent="0.25">
      <c r="A165" s="18">
        <v>44294</v>
      </c>
      <c r="B165" s="19">
        <v>1</v>
      </c>
      <c r="C165" s="20">
        <v>2</v>
      </c>
      <c r="D165" s="21">
        <v>101</v>
      </c>
      <c r="E165" s="22">
        <v>20125142851</v>
      </c>
      <c r="F165" s="23" t="s">
        <v>27</v>
      </c>
      <c r="G165" s="24">
        <v>58094.400000000001</v>
      </c>
      <c r="H165" s="25">
        <v>12199.824000000001</v>
      </c>
      <c r="I165" s="25"/>
      <c r="J165" s="25"/>
      <c r="K165" s="25"/>
      <c r="L165" s="25"/>
      <c r="M165" s="25"/>
      <c r="N165" s="25"/>
      <c r="O165" s="26"/>
      <c r="P165" s="17">
        <f t="shared" si="6"/>
        <v>70294.224000000002</v>
      </c>
    </row>
    <row r="166" spans="1:16" x14ac:dyDescent="0.25">
      <c r="A166" s="18">
        <v>44294</v>
      </c>
      <c r="B166" s="19">
        <v>1</v>
      </c>
      <c r="C166" s="20">
        <v>2</v>
      </c>
      <c r="D166" s="21">
        <v>100</v>
      </c>
      <c r="E166" s="22">
        <v>20125142851</v>
      </c>
      <c r="F166" s="23" t="s">
        <v>27</v>
      </c>
      <c r="G166" s="24">
        <v>52842.400000000001</v>
      </c>
      <c r="H166" s="25">
        <v>11096.904</v>
      </c>
      <c r="I166" s="25"/>
      <c r="J166" s="25"/>
      <c r="K166" s="25"/>
      <c r="L166" s="25"/>
      <c r="M166" s="25"/>
      <c r="N166" s="25"/>
      <c r="O166" s="26"/>
      <c r="P166" s="17">
        <f t="shared" si="6"/>
        <v>63939.304000000004</v>
      </c>
    </row>
    <row r="167" spans="1:16" x14ac:dyDescent="0.25">
      <c r="A167" s="18">
        <v>44302</v>
      </c>
      <c r="B167" s="19">
        <v>1</v>
      </c>
      <c r="C167" s="20">
        <v>3</v>
      </c>
      <c r="D167" s="21">
        <v>186073</v>
      </c>
      <c r="E167" s="22">
        <v>33658043779</v>
      </c>
      <c r="F167" s="23" t="s">
        <v>79</v>
      </c>
      <c r="G167" s="24">
        <v>96000</v>
      </c>
      <c r="H167" s="25">
        <v>20160</v>
      </c>
      <c r="I167" s="25"/>
      <c r="J167" s="25"/>
      <c r="K167" s="25"/>
      <c r="L167" s="25"/>
      <c r="M167" s="25"/>
      <c r="N167" s="25"/>
      <c r="O167" s="26"/>
      <c r="P167" s="17">
        <f t="shared" si="6"/>
        <v>116160</v>
      </c>
    </row>
    <row r="168" spans="1:16" x14ac:dyDescent="0.25">
      <c r="A168" s="18">
        <v>44302</v>
      </c>
      <c r="B168" s="19">
        <v>1</v>
      </c>
      <c r="C168" s="20">
        <v>3</v>
      </c>
      <c r="D168" s="21">
        <v>186084</v>
      </c>
      <c r="E168" s="22">
        <v>33658043779</v>
      </c>
      <c r="F168" s="23" t="s">
        <v>79</v>
      </c>
      <c r="G168" s="24">
        <v>57400</v>
      </c>
      <c r="H168" s="25">
        <v>12054</v>
      </c>
      <c r="I168" s="25"/>
      <c r="J168" s="25"/>
      <c r="K168" s="25"/>
      <c r="L168" s="25"/>
      <c r="M168" s="25"/>
      <c r="N168" s="25"/>
      <c r="O168" s="26"/>
      <c r="P168" s="17">
        <f t="shared" si="6"/>
        <v>69454</v>
      </c>
    </row>
    <row r="169" spans="1:16" x14ac:dyDescent="0.25">
      <c r="A169" s="18">
        <v>44294</v>
      </c>
      <c r="B169" s="19">
        <v>1</v>
      </c>
      <c r="C169" s="20">
        <v>3</v>
      </c>
      <c r="D169" s="21">
        <v>232</v>
      </c>
      <c r="E169" s="22">
        <v>20921575743</v>
      </c>
      <c r="F169" s="23" t="s">
        <v>80</v>
      </c>
      <c r="G169" s="24">
        <v>9075</v>
      </c>
      <c r="H169" s="25">
        <v>1905.75</v>
      </c>
      <c r="I169" s="25"/>
      <c r="J169" s="25"/>
      <c r="K169" s="25"/>
      <c r="L169" s="25"/>
      <c r="M169" s="25"/>
      <c r="N169" s="25"/>
      <c r="O169" s="26"/>
      <c r="P169" s="17">
        <f t="shared" si="6"/>
        <v>10980.75</v>
      </c>
    </row>
    <row r="170" spans="1:16" x14ac:dyDescent="0.25">
      <c r="A170" s="18">
        <v>44297</v>
      </c>
      <c r="B170" s="19">
        <v>1</v>
      </c>
      <c r="C170" s="20">
        <v>2466</v>
      </c>
      <c r="D170" s="21">
        <v>212450</v>
      </c>
      <c r="E170" s="22">
        <v>30678814357</v>
      </c>
      <c r="F170" s="23" t="s">
        <v>52</v>
      </c>
      <c r="G170" s="24">
        <v>1116</v>
      </c>
      <c r="H170" s="25"/>
      <c r="I170" s="25">
        <v>301.32</v>
      </c>
      <c r="J170" s="25"/>
      <c r="K170" s="25"/>
      <c r="L170" s="25"/>
      <c r="M170" s="25"/>
      <c r="N170" s="25"/>
      <c r="O170" s="26">
        <v>58.74</v>
      </c>
      <c r="P170" s="17">
        <f t="shared" si="6"/>
        <v>1476.06</v>
      </c>
    </row>
    <row r="171" spans="1:16" x14ac:dyDescent="0.25">
      <c r="A171" s="18">
        <v>44287</v>
      </c>
      <c r="B171" s="19">
        <v>1</v>
      </c>
      <c r="C171" s="20">
        <v>3</v>
      </c>
      <c r="D171" s="21">
        <v>120526</v>
      </c>
      <c r="E171" s="22">
        <v>30707135596</v>
      </c>
      <c r="F171" s="23" t="s">
        <v>17</v>
      </c>
      <c r="G171" s="24">
        <v>1515.18</v>
      </c>
      <c r="H171" s="25">
        <v>318.18779999999998</v>
      </c>
      <c r="I171" s="25"/>
      <c r="J171" s="25"/>
      <c r="K171" s="25"/>
      <c r="L171" s="25"/>
      <c r="M171" s="25"/>
      <c r="N171" s="25"/>
      <c r="O171" s="26"/>
      <c r="P171" s="17">
        <f t="shared" si="6"/>
        <v>1833.3678</v>
      </c>
    </row>
    <row r="172" spans="1:16" x14ac:dyDescent="0.25">
      <c r="A172" s="18">
        <v>44316</v>
      </c>
      <c r="B172" s="19">
        <v>99</v>
      </c>
      <c r="C172" s="20">
        <v>1</v>
      </c>
      <c r="D172" s="21">
        <v>30042021</v>
      </c>
      <c r="E172" s="22" t="s">
        <v>70</v>
      </c>
      <c r="F172" s="23" t="s">
        <v>22</v>
      </c>
      <c r="G172" s="24">
        <v>1492.9999999999998</v>
      </c>
      <c r="H172" s="25">
        <v>313.52999999999997</v>
      </c>
      <c r="I172" s="25"/>
      <c r="J172" s="25"/>
      <c r="K172" s="25"/>
      <c r="L172" s="25"/>
      <c r="M172" s="25"/>
      <c r="N172" s="25"/>
      <c r="O172" s="26"/>
      <c r="P172" s="17">
        <f t="shared" si="6"/>
        <v>1806.5299999999997</v>
      </c>
    </row>
    <row r="173" spans="1:16" x14ac:dyDescent="0.25">
      <c r="A173" s="18">
        <v>44316</v>
      </c>
      <c r="B173" s="19">
        <v>99</v>
      </c>
      <c r="C173" s="20">
        <v>1</v>
      </c>
      <c r="D173" s="21">
        <v>30202104</v>
      </c>
      <c r="E173" s="22" t="s">
        <v>70</v>
      </c>
      <c r="F173" s="23" t="s">
        <v>22</v>
      </c>
      <c r="G173" s="24">
        <v>10662.8</v>
      </c>
      <c r="H173" s="25">
        <v>2239.19</v>
      </c>
      <c r="I173" s="25"/>
      <c r="J173" s="25"/>
      <c r="K173" s="25"/>
      <c r="L173" s="25"/>
      <c r="M173" s="25"/>
      <c r="N173" s="25"/>
      <c r="O173" s="26"/>
      <c r="P173" s="17">
        <f t="shared" si="6"/>
        <v>12901.99</v>
      </c>
    </row>
    <row r="174" spans="1:16" x14ac:dyDescent="0.25">
      <c r="A174" s="18">
        <v>44316</v>
      </c>
      <c r="B174" s="19">
        <v>99</v>
      </c>
      <c r="C174" s="20">
        <v>1</v>
      </c>
      <c r="D174" s="21">
        <v>2302021</v>
      </c>
      <c r="E174" s="22" t="s">
        <v>70</v>
      </c>
      <c r="F174" s="23" t="s">
        <v>22</v>
      </c>
      <c r="G174" s="24">
        <v>6900</v>
      </c>
      <c r="H174" s="25">
        <v>1449</v>
      </c>
      <c r="I174" s="25"/>
      <c r="J174" s="25"/>
      <c r="K174" s="25"/>
      <c r="L174" s="25"/>
      <c r="M174" s="25"/>
      <c r="N174" s="25"/>
      <c r="O174" s="26"/>
      <c r="P174" s="17">
        <f t="shared" si="6"/>
        <v>8349</v>
      </c>
    </row>
    <row r="175" spans="1:16" x14ac:dyDescent="0.25">
      <c r="A175" s="18">
        <v>44316</v>
      </c>
      <c r="B175" s="19">
        <v>99</v>
      </c>
      <c r="C175" s="20">
        <v>1</v>
      </c>
      <c r="D175" s="21">
        <v>2202130</v>
      </c>
      <c r="E175" s="22" t="s">
        <v>70</v>
      </c>
      <c r="F175" s="23" t="s">
        <v>22</v>
      </c>
      <c r="G175" s="24">
        <v>55</v>
      </c>
      <c r="H175" s="25">
        <v>11.55</v>
      </c>
      <c r="I175" s="25"/>
      <c r="J175" s="25"/>
      <c r="K175" s="25"/>
      <c r="L175" s="25"/>
      <c r="M175" s="25"/>
      <c r="N175" s="25"/>
      <c r="O175" s="26"/>
      <c r="P175" s="17">
        <f t="shared" si="6"/>
        <v>66.55</v>
      </c>
    </row>
    <row r="176" spans="1:16" x14ac:dyDescent="0.25">
      <c r="A176" s="18">
        <v>44316</v>
      </c>
      <c r="B176" s="19">
        <v>99</v>
      </c>
      <c r="C176" s="20">
        <v>1</v>
      </c>
      <c r="D176" s="21">
        <v>20213002</v>
      </c>
      <c r="E176" s="22" t="s">
        <v>81</v>
      </c>
      <c r="F176" s="23" t="s">
        <v>82</v>
      </c>
      <c r="G176" s="24">
        <v>327.95238095238096</v>
      </c>
      <c r="H176" s="25">
        <v>68.87</v>
      </c>
      <c r="I176" s="25"/>
      <c r="J176" s="25"/>
      <c r="K176" s="25"/>
      <c r="L176" s="25"/>
      <c r="M176" s="25"/>
      <c r="N176" s="25"/>
      <c r="O176" s="26"/>
      <c r="P176" s="17">
        <f t="shared" si="6"/>
        <v>396.82238095238097</v>
      </c>
    </row>
    <row r="177" spans="1:16" ht="15" customHeight="1" thickBot="1" x14ac:dyDescent="0.3">
      <c r="A177" s="131" t="s">
        <v>51</v>
      </c>
      <c r="B177" s="132"/>
      <c r="C177" s="132"/>
      <c r="D177" s="132"/>
      <c r="E177" s="132"/>
      <c r="F177" s="132"/>
      <c r="G177" s="27">
        <f>SUM(G148:G176)</f>
        <v>932216.04138095258</v>
      </c>
      <c r="H177" s="27">
        <f t="shared" ref="H177:P177" si="7">SUM(H148:H176)</f>
        <v>132289.96419999999</v>
      </c>
      <c r="I177" s="27">
        <f t="shared" si="7"/>
        <v>301.32</v>
      </c>
      <c r="J177" s="27">
        <f t="shared" si="7"/>
        <v>31620.994999999995</v>
      </c>
      <c r="K177" s="27">
        <f t="shared" si="7"/>
        <v>900.83</v>
      </c>
      <c r="L177" s="27">
        <f t="shared" si="7"/>
        <v>0</v>
      </c>
      <c r="M177" s="27">
        <f t="shared" si="7"/>
        <v>0</v>
      </c>
      <c r="N177" s="27">
        <f t="shared" si="7"/>
        <v>3173.65</v>
      </c>
      <c r="O177" s="27">
        <f t="shared" si="7"/>
        <v>-249935.13400000002</v>
      </c>
      <c r="P177" s="27">
        <f t="shared" si="7"/>
        <v>850567.66658095247</v>
      </c>
    </row>
    <row r="178" spans="1:16" ht="12.75" customHeight="1" thickBot="1" x14ac:dyDescent="0.3">
      <c r="G178" s="28"/>
      <c r="H178" s="126">
        <f>SUM(H177:J177)</f>
        <v>164212.27919999999</v>
      </c>
      <c r="I178" s="127"/>
      <c r="J178" s="128"/>
      <c r="K178" s="28"/>
      <c r="L178" s="28"/>
      <c r="M178" s="28"/>
      <c r="N178" s="28"/>
      <c r="O178" s="28"/>
      <c r="P178" s="28"/>
    </row>
    <row r="179" spans="1:16" ht="9.75" customHeight="1" thickTop="1" x14ac:dyDescent="0.25">
      <c r="G179" s="28"/>
      <c r="H179" s="28"/>
      <c r="I179" s="28"/>
      <c r="J179" s="28"/>
      <c r="K179" s="28"/>
      <c r="L179" s="28"/>
      <c r="M179" s="28"/>
      <c r="N179" s="28"/>
      <c r="O179" s="28"/>
      <c r="P179" s="28"/>
    </row>
    <row r="180" spans="1:16" ht="18" customHeight="1" x14ac:dyDescent="0.45">
      <c r="A180" s="1" t="s">
        <v>0</v>
      </c>
      <c r="B180" s="1"/>
      <c r="C180" s="1"/>
      <c r="D180" s="1"/>
      <c r="E180" s="1"/>
      <c r="F180" s="1"/>
      <c r="G180" s="2"/>
      <c r="H180" s="2"/>
      <c r="I180" s="2"/>
      <c r="J180" s="2"/>
      <c r="K180" s="2"/>
      <c r="L180" s="2"/>
      <c r="M180" s="3"/>
      <c r="N180" s="4">
        <v>44317</v>
      </c>
      <c r="O180" s="3"/>
      <c r="P180" s="3"/>
    </row>
    <row r="181" spans="1:16" ht="11.25" customHeight="1" thickBot="1" x14ac:dyDescent="0.5">
      <c r="A181" s="1"/>
      <c r="B181" s="1"/>
      <c r="C181" s="1"/>
      <c r="D181" s="1"/>
      <c r="E181" s="1"/>
      <c r="F181" s="1"/>
      <c r="G181" s="2"/>
      <c r="H181" s="2"/>
      <c r="I181" s="2"/>
      <c r="J181" s="2"/>
      <c r="K181" s="2"/>
      <c r="L181" s="2"/>
      <c r="M181" s="3"/>
      <c r="N181" s="3"/>
      <c r="O181" s="3"/>
      <c r="P181" s="3"/>
    </row>
    <row r="182" spans="1:16" ht="12.75" customHeight="1" x14ac:dyDescent="0.25">
      <c r="A182" s="5" t="s">
        <v>1</v>
      </c>
      <c r="B182" s="6" t="s">
        <v>2</v>
      </c>
      <c r="C182" s="6" t="s">
        <v>3</v>
      </c>
      <c r="D182" s="6" t="s">
        <v>4</v>
      </c>
      <c r="E182" s="6" t="s">
        <v>5</v>
      </c>
      <c r="F182" s="6" t="s">
        <v>6</v>
      </c>
      <c r="G182" s="6" t="s">
        <v>7</v>
      </c>
      <c r="H182" s="6" t="s">
        <v>8</v>
      </c>
      <c r="I182" s="6" t="s">
        <v>9</v>
      </c>
      <c r="J182" s="6" t="s">
        <v>10</v>
      </c>
      <c r="K182" s="6" t="s">
        <v>11</v>
      </c>
      <c r="L182" s="6" t="s">
        <v>12</v>
      </c>
      <c r="M182" s="6" t="s">
        <v>13</v>
      </c>
      <c r="N182" s="6" t="s">
        <v>14</v>
      </c>
      <c r="O182" s="6" t="s">
        <v>15</v>
      </c>
      <c r="P182" s="7" t="s">
        <v>16</v>
      </c>
    </row>
    <row r="183" spans="1:16" x14ac:dyDescent="0.25">
      <c r="A183" s="8">
        <v>44312</v>
      </c>
      <c r="B183" s="9">
        <v>1</v>
      </c>
      <c r="C183" s="10">
        <v>280</v>
      </c>
      <c r="D183" s="11">
        <v>1292501</v>
      </c>
      <c r="E183" s="12">
        <v>30580111315</v>
      </c>
      <c r="F183" s="13" t="s">
        <v>30</v>
      </c>
      <c r="G183" s="14">
        <v>276631.58399999997</v>
      </c>
      <c r="H183" s="15">
        <v>45370.857600000003</v>
      </c>
      <c r="I183" s="15"/>
      <c r="J183" s="15">
        <v>6361.0272000000004</v>
      </c>
      <c r="K183" s="15"/>
      <c r="L183" s="15"/>
      <c r="M183" s="15"/>
      <c r="N183" s="15"/>
      <c r="O183" s="16"/>
      <c r="P183" s="17">
        <f>SUM(G183:O183)</f>
        <v>328363.46879999997</v>
      </c>
    </row>
    <row r="184" spans="1:16" x14ac:dyDescent="0.25">
      <c r="A184" s="8">
        <v>44317</v>
      </c>
      <c r="B184" s="9">
        <v>1</v>
      </c>
      <c r="C184" s="10">
        <v>3</v>
      </c>
      <c r="D184" s="11">
        <v>123000</v>
      </c>
      <c r="E184" s="12">
        <v>30707135596</v>
      </c>
      <c r="F184" s="13" t="s">
        <v>17</v>
      </c>
      <c r="G184" s="14">
        <v>1858.84</v>
      </c>
      <c r="H184" s="15">
        <v>390.35639999999995</v>
      </c>
      <c r="I184" s="15"/>
      <c r="J184" s="15"/>
      <c r="K184" s="15"/>
      <c r="L184" s="15"/>
      <c r="M184" s="15"/>
      <c r="N184" s="15"/>
      <c r="O184" s="16"/>
      <c r="P184" s="17">
        <f t="shared" ref="P184:P207" si="8">SUM(G184:O184)</f>
        <v>2249.1963999999998</v>
      </c>
    </row>
    <row r="185" spans="1:16" x14ac:dyDescent="0.25">
      <c r="A185" s="8">
        <v>44317</v>
      </c>
      <c r="B185" s="9">
        <v>1</v>
      </c>
      <c r="C185" s="10">
        <v>3</v>
      </c>
      <c r="D185" s="11">
        <v>402</v>
      </c>
      <c r="E185" s="12">
        <v>30715402765</v>
      </c>
      <c r="F185" s="13" t="s">
        <v>29</v>
      </c>
      <c r="G185" s="14">
        <v>5371.9</v>
      </c>
      <c r="H185" s="15">
        <v>1128.0989999999999</v>
      </c>
      <c r="I185" s="15"/>
      <c r="J185" s="15"/>
      <c r="K185" s="15"/>
      <c r="L185" s="15"/>
      <c r="M185" s="15"/>
      <c r="N185" s="15"/>
      <c r="O185" s="16"/>
      <c r="P185" s="17">
        <f t="shared" si="8"/>
        <v>6499.9989999999998</v>
      </c>
    </row>
    <row r="186" spans="1:16" x14ac:dyDescent="0.25">
      <c r="A186" s="8">
        <v>44317</v>
      </c>
      <c r="B186" s="9">
        <v>1</v>
      </c>
      <c r="C186" s="10">
        <v>2</v>
      </c>
      <c r="D186" s="11">
        <v>843</v>
      </c>
      <c r="E186" s="12">
        <v>30573843440</v>
      </c>
      <c r="F186" s="13" t="s">
        <v>43</v>
      </c>
      <c r="G186" s="14">
        <v>172096.14420000001</v>
      </c>
      <c r="H186" s="15">
        <v>36139.759400000003</v>
      </c>
      <c r="I186" s="15"/>
      <c r="J186" s="15"/>
      <c r="K186" s="15"/>
      <c r="L186" s="15"/>
      <c r="M186" s="15"/>
      <c r="N186" s="15"/>
      <c r="O186" s="16"/>
      <c r="P186" s="17">
        <f t="shared" si="8"/>
        <v>208235.90360000002</v>
      </c>
    </row>
    <row r="187" spans="1:16" x14ac:dyDescent="0.25">
      <c r="A187" s="8">
        <v>44319</v>
      </c>
      <c r="B187" s="9">
        <v>1</v>
      </c>
      <c r="C187" s="10">
        <v>2</v>
      </c>
      <c r="D187" s="11">
        <v>248</v>
      </c>
      <c r="E187" s="12">
        <v>30717054691</v>
      </c>
      <c r="F187" s="13" t="s">
        <v>83</v>
      </c>
      <c r="G187" s="14">
        <v>1950.86</v>
      </c>
      <c r="H187" s="15">
        <v>29.58</v>
      </c>
      <c r="I187" s="15"/>
      <c r="J187" s="15">
        <v>190.05</v>
      </c>
      <c r="K187" s="15"/>
      <c r="L187" s="15"/>
      <c r="M187" s="15"/>
      <c r="N187" s="15"/>
      <c r="O187" s="16"/>
      <c r="P187" s="17">
        <f t="shared" si="8"/>
        <v>2170.4899999999998</v>
      </c>
    </row>
    <row r="188" spans="1:16" x14ac:dyDescent="0.25">
      <c r="A188" s="8">
        <v>44322</v>
      </c>
      <c r="B188" s="9">
        <v>1</v>
      </c>
      <c r="C188" s="10">
        <v>4</v>
      </c>
      <c r="D188" s="11">
        <v>2918</v>
      </c>
      <c r="E188" s="12">
        <v>30715835335</v>
      </c>
      <c r="F188" s="13" t="s">
        <v>84</v>
      </c>
      <c r="G188" s="14">
        <v>19586.78</v>
      </c>
      <c r="H188" s="15">
        <v>4113.2237999999998</v>
      </c>
      <c r="I188" s="15"/>
      <c r="J188" s="15"/>
      <c r="K188" s="15"/>
      <c r="L188" s="15"/>
      <c r="M188" s="15"/>
      <c r="N188" s="15"/>
      <c r="O188" s="16"/>
      <c r="P188" s="17">
        <f t="shared" si="8"/>
        <v>23700.003799999999</v>
      </c>
    </row>
    <row r="189" spans="1:16" x14ac:dyDescent="0.25">
      <c r="A189" s="8">
        <v>44327</v>
      </c>
      <c r="B189" s="9">
        <v>1</v>
      </c>
      <c r="C189" s="10">
        <v>2466</v>
      </c>
      <c r="D189" s="11">
        <v>226937</v>
      </c>
      <c r="E189" s="12">
        <v>30678814357</v>
      </c>
      <c r="F189" s="13" t="s">
        <v>52</v>
      </c>
      <c r="G189" s="14">
        <v>1220.72</v>
      </c>
      <c r="H189" s="15"/>
      <c r="I189" s="15">
        <v>329.59440000000001</v>
      </c>
      <c r="J189" s="15"/>
      <c r="K189" s="15"/>
      <c r="L189" s="15"/>
      <c r="M189" s="15"/>
      <c r="N189" s="15"/>
      <c r="O189" s="16"/>
      <c r="P189" s="17">
        <f t="shared" si="8"/>
        <v>1550.3144</v>
      </c>
    </row>
    <row r="190" spans="1:16" x14ac:dyDescent="0.25">
      <c r="A190" s="8">
        <v>44333</v>
      </c>
      <c r="B190" s="9">
        <v>1</v>
      </c>
      <c r="C190" s="10">
        <v>2</v>
      </c>
      <c r="D190" s="11">
        <v>102</v>
      </c>
      <c r="E190" s="12">
        <v>20125142851</v>
      </c>
      <c r="F190" s="13" t="s">
        <v>27</v>
      </c>
      <c r="G190" s="14">
        <v>32518.400000000001</v>
      </c>
      <c r="H190" s="15">
        <v>6828.8640000000005</v>
      </c>
      <c r="I190" s="15"/>
      <c r="J190" s="15"/>
      <c r="K190" s="15"/>
      <c r="L190" s="15"/>
      <c r="M190" s="15"/>
      <c r="N190" s="15"/>
      <c r="O190" s="16"/>
      <c r="P190" s="17">
        <f t="shared" si="8"/>
        <v>39347.264000000003</v>
      </c>
    </row>
    <row r="191" spans="1:16" x14ac:dyDescent="0.25">
      <c r="A191" s="8">
        <v>44333</v>
      </c>
      <c r="B191" s="9">
        <v>1</v>
      </c>
      <c r="C191" s="10">
        <v>2</v>
      </c>
      <c r="D191" s="11">
        <v>103</v>
      </c>
      <c r="E191" s="12">
        <v>20125142851</v>
      </c>
      <c r="F191" s="13" t="s">
        <v>27</v>
      </c>
      <c r="G191" s="14">
        <v>36297.599999999999</v>
      </c>
      <c r="H191" s="15">
        <v>7622.4959999999992</v>
      </c>
      <c r="I191" s="15"/>
      <c r="J191" s="15"/>
      <c r="K191" s="15"/>
      <c r="L191" s="15"/>
      <c r="M191" s="15"/>
      <c r="N191" s="15"/>
      <c r="O191" s="16"/>
      <c r="P191" s="17">
        <f t="shared" si="8"/>
        <v>43920.095999999998</v>
      </c>
    </row>
    <row r="192" spans="1:16" x14ac:dyDescent="0.25">
      <c r="A192" s="18">
        <v>44333</v>
      </c>
      <c r="B192" s="19">
        <v>1</v>
      </c>
      <c r="C192" s="20">
        <v>2</v>
      </c>
      <c r="D192" s="21">
        <v>375</v>
      </c>
      <c r="E192" s="22">
        <v>20296550184</v>
      </c>
      <c r="F192" s="23" t="s">
        <v>44</v>
      </c>
      <c r="G192" s="24">
        <v>82243</v>
      </c>
      <c r="H192" s="25">
        <v>17271.03</v>
      </c>
      <c r="I192" s="25"/>
      <c r="J192" s="25"/>
      <c r="K192" s="25"/>
      <c r="L192" s="25"/>
      <c r="M192" s="25"/>
      <c r="N192" s="25"/>
      <c r="O192" s="26"/>
      <c r="P192" s="17">
        <f t="shared" si="8"/>
        <v>99514.03</v>
      </c>
    </row>
    <row r="193" spans="1:16" x14ac:dyDescent="0.25">
      <c r="A193" s="18">
        <v>44336</v>
      </c>
      <c r="B193" s="19">
        <v>1</v>
      </c>
      <c r="C193" s="20">
        <v>13</v>
      </c>
      <c r="D193" s="21">
        <v>703818</v>
      </c>
      <c r="E193" s="22">
        <v>30700940957</v>
      </c>
      <c r="F193" s="23" t="s">
        <v>85</v>
      </c>
      <c r="G193" s="24">
        <v>118904.89</v>
      </c>
      <c r="H193" s="25">
        <v>2166.36</v>
      </c>
      <c r="I193" s="25"/>
      <c r="J193" s="25">
        <v>11401.83</v>
      </c>
      <c r="K193" s="25"/>
      <c r="L193" s="25"/>
      <c r="M193" s="25"/>
      <c r="N193" s="25"/>
      <c r="O193" s="26"/>
      <c r="P193" s="17">
        <f t="shared" si="8"/>
        <v>132473.07999999999</v>
      </c>
    </row>
    <row r="194" spans="1:16" x14ac:dyDescent="0.25">
      <c r="A194" s="18">
        <v>44336</v>
      </c>
      <c r="B194" s="19">
        <v>1</v>
      </c>
      <c r="C194" s="20">
        <v>8</v>
      </c>
      <c r="D194" s="21">
        <v>4982</v>
      </c>
      <c r="E194" s="22">
        <v>30677784144</v>
      </c>
      <c r="F194" s="23" t="s">
        <v>76</v>
      </c>
      <c r="G194" s="24">
        <v>89065.919999999998</v>
      </c>
      <c r="H194" s="25">
        <v>18703.843199999999</v>
      </c>
      <c r="I194" s="25"/>
      <c r="J194" s="25"/>
      <c r="K194" s="25"/>
      <c r="L194" s="25"/>
      <c r="M194" s="25"/>
      <c r="N194" s="25"/>
      <c r="O194" s="26"/>
      <c r="P194" s="17">
        <f t="shared" si="8"/>
        <v>107769.7632</v>
      </c>
    </row>
    <row r="195" spans="1:16" x14ac:dyDescent="0.25">
      <c r="A195" s="18">
        <v>44339</v>
      </c>
      <c r="B195" s="19">
        <v>1</v>
      </c>
      <c r="C195" s="20">
        <v>4369</v>
      </c>
      <c r="D195" s="21">
        <v>35160</v>
      </c>
      <c r="E195" s="22">
        <v>30695542476</v>
      </c>
      <c r="F195" s="23" t="s">
        <v>45</v>
      </c>
      <c r="G195" s="24">
        <v>2642.04</v>
      </c>
      <c r="H195" s="25">
        <v>554.82839999999999</v>
      </c>
      <c r="I195" s="25"/>
      <c r="J195" s="25"/>
      <c r="K195" s="25">
        <v>803.52</v>
      </c>
      <c r="L195" s="25"/>
      <c r="M195" s="25">
        <v>79.260000000000005</v>
      </c>
      <c r="N195" s="25"/>
      <c r="O195" s="26"/>
      <c r="P195" s="17">
        <f t="shared" si="8"/>
        <v>4079.6484</v>
      </c>
    </row>
    <row r="196" spans="1:16" x14ac:dyDescent="0.25">
      <c r="A196" s="18">
        <v>44341</v>
      </c>
      <c r="B196" s="19">
        <v>1</v>
      </c>
      <c r="C196" s="20">
        <v>2</v>
      </c>
      <c r="D196" s="21">
        <v>8489</v>
      </c>
      <c r="E196" s="22">
        <v>30714481513</v>
      </c>
      <c r="F196" s="23" t="s">
        <v>86</v>
      </c>
      <c r="G196" s="24">
        <v>3027.12</v>
      </c>
      <c r="H196" s="25">
        <v>635.6952</v>
      </c>
      <c r="I196" s="25"/>
      <c r="J196" s="25"/>
      <c r="K196" s="25"/>
      <c r="L196" s="25"/>
      <c r="M196" s="25"/>
      <c r="N196" s="25"/>
      <c r="O196" s="26"/>
      <c r="P196" s="17">
        <f t="shared" si="8"/>
        <v>3662.8152</v>
      </c>
    </row>
    <row r="197" spans="1:16" x14ac:dyDescent="0.25">
      <c r="A197" s="18">
        <v>44341</v>
      </c>
      <c r="B197" s="19">
        <v>1</v>
      </c>
      <c r="C197" s="20">
        <v>3</v>
      </c>
      <c r="D197" s="21">
        <v>357870</v>
      </c>
      <c r="E197" s="22">
        <v>30712019359</v>
      </c>
      <c r="F197" s="23" t="s">
        <v>75</v>
      </c>
      <c r="G197" s="24">
        <v>2147.9299999999998</v>
      </c>
      <c r="H197" s="25">
        <v>451.06529999999992</v>
      </c>
      <c r="I197" s="25"/>
      <c r="J197" s="25"/>
      <c r="K197" s="25"/>
      <c r="L197" s="25"/>
      <c r="M197" s="25"/>
      <c r="N197" s="25"/>
      <c r="O197" s="26"/>
      <c r="P197" s="17">
        <f t="shared" si="8"/>
        <v>2598.9952999999996</v>
      </c>
    </row>
    <row r="198" spans="1:16" x14ac:dyDescent="0.25">
      <c r="A198" s="18">
        <v>44343</v>
      </c>
      <c r="B198" s="19">
        <v>1</v>
      </c>
      <c r="C198" s="20">
        <v>13</v>
      </c>
      <c r="D198" s="21">
        <v>152810</v>
      </c>
      <c r="E198" s="22">
        <v>30700940957</v>
      </c>
      <c r="F198" s="23" t="s">
        <v>85</v>
      </c>
      <c r="G198" s="24">
        <v>20763.240000000002</v>
      </c>
      <c r="H198" s="25"/>
      <c r="I198" s="25"/>
      <c r="J198" s="25">
        <v>2180.1402000000003</v>
      </c>
      <c r="K198" s="25"/>
      <c r="L198" s="25">
        <v>4878.72</v>
      </c>
      <c r="M198" s="25"/>
      <c r="N198" s="25"/>
      <c r="O198" s="26"/>
      <c r="P198" s="17">
        <f t="shared" si="8"/>
        <v>27822.100200000004</v>
      </c>
    </row>
    <row r="199" spans="1:16" x14ac:dyDescent="0.25">
      <c r="A199" s="18">
        <v>44344</v>
      </c>
      <c r="B199" s="19">
        <v>1</v>
      </c>
      <c r="C199" s="20">
        <v>3</v>
      </c>
      <c r="D199" s="21">
        <v>377</v>
      </c>
      <c r="E199" s="22">
        <v>30715535471</v>
      </c>
      <c r="F199" s="23" t="s">
        <v>87</v>
      </c>
      <c r="G199" s="24">
        <v>3264.46</v>
      </c>
      <c r="H199" s="25">
        <v>685.53660000000002</v>
      </c>
      <c r="I199" s="25"/>
      <c r="J199" s="25"/>
      <c r="K199" s="25"/>
      <c r="L199" s="25"/>
      <c r="M199" s="25"/>
      <c r="N199" s="25"/>
      <c r="O199" s="26"/>
      <c r="P199" s="17">
        <f t="shared" si="8"/>
        <v>3949.9965999999999</v>
      </c>
    </row>
    <row r="200" spans="1:16" x14ac:dyDescent="0.25">
      <c r="A200" s="18">
        <v>44344</v>
      </c>
      <c r="B200" s="19">
        <v>1</v>
      </c>
      <c r="C200" s="20">
        <v>3</v>
      </c>
      <c r="D200" s="21">
        <v>5329</v>
      </c>
      <c r="E200" s="22">
        <v>27261572775</v>
      </c>
      <c r="F200" s="23" t="s">
        <v>88</v>
      </c>
      <c r="G200" s="24">
        <v>4369.75</v>
      </c>
      <c r="H200" s="25">
        <v>917.64749999999992</v>
      </c>
      <c r="I200" s="25"/>
      <c r="J200" s="25"/>
      <c r="K200" s="25"/>
      <c r="L200" s="25"/>
      <c r="M200" s="25"/>
      <c r="N200" s="25"/>
      <c r="O200" s="26"/>
      <c r="P200" s="17">
        <f t="shared" si="8"/>
        <v>5287.3975</v>
      </c>
    </row>
    <row r="201" spans="1:16" x14ac:dyDescent="0.25">
      <c r="A201" s="18">
        <v>44344</v>
      </c>
      <c r="B201" s="19">
        <v>1</v>
      </c>
      <c r="C201" s="20">
        <v>3</v>
      </c>
      <c r="D201" s="21">
        <v>6149</v>
      </c>
      <c r="E201" s="22">
        <v>20203177187</v>
      </c>
      <c r="F201" s="23" t="s">
        <v>89</v>
      </c>
      <c r="G201" s="24">
        <v>35643.910000000003</v>
      </c>
      <c r="H201" s="25">
        <v>7485.2211000000007</v>
      </c>
      <c r="I201" s="25"/>
      <c r="J201" s="25"/>
      <c r="K201" s="25"/>
      <c r="L201" s="25"/>
      <c r="M201" s="25"/>
      <c r="N201" s="25"/>
      <c r="O201" s="26"/>
      <c r="P201" s="17">
        <f t="shared" si="8"/>
        <v>43129.131100000006</v>
      </c>
    </row>
    <row r="202" spans="1:16" x14ac:dyDescent="0.25">
      <c r="A202" s="18">
        <v>44345</v>
      </c>
      <c r="B202" s="19">
        <v>1</v>
      </c>
      <c r="C202" s="20">
        <v>3</v>
      </c>
      <c r="D202" s="21">
        <v>9675</v>
      </c>
      <c r="E202" s="22">
        <v>27066610018</v>
      </c>
      <c r="F202" s="23" t="s">
        <v>90</v>
      </c>
      <c r="G202" s="24">
        <v>6741.32</v>
      </c>
      <c r="H202" s="25">
        <v>1415.6771999999999</v>
      </c>
      <c r="I202" s="25"/>
      <c r="J202" s="25"/>
      <c r="K202" s="25"/>
      <c r="L202" s="25"/>
      <c r="M202" s="25"/>
      <c r="N202" s="25"/>
      <c r="O202" s="26"/>
      <c r="P202" s="17">
        <f t="shared" si="8"/>
        <v>8156.9971999999998</v>
      </c>
    </row>
    <row r="203" spans="1:16" x14ac:dyDescent="0.25">
      <c r="A203" s="18">
        <v>44347</v>
      </c>
      <c r="B203" s="19">
        <v>1</v>
      </c>
      <c r="C203" s="20">
        <v>5</v>
      </c>
      <c r="D203" s="21">
        <v>41259</v>
      </c>
      <c r="E203" s="22">
        <v>30692857611</v>
      </c>
      <c r="F203" s="23" t="s">
        <v>42</v>
      </c>
      <c r="G203" s="24">
        <v>4448.95</v>
      </c>
      <c r="H203" s="25">
        <v>934.27949999999987</v>
      </c>
      <c r="I203" s="25"/>
      <c r="J203" s="25"/>
      <c r="K203" s="25"/>
      <c r="L203" s="25"/>
      <c r="M203" s="25"/>
      <c r="N203" s="25"/>
      <c r="O203" s="26"/>
      <c r="P203" s="17">
        <f t="shared" si="8"/>
        <v>5383.2294999999995</v>
      </c>
    </row>
    <row r="204" spans="1:16" x14ac:dyDescent="0.25">
      <c r="A204" s="18">
        <v>44347</v>
      </c>
      <c r="B204" s="19">
        <v>1</v>
      </c>
      <c r="C204" s="20">
        <v>1</v>
      </c>
      <c r="D204" s="21">
        <v>367</v>
      </c>
      <c r="E204" s="22">
        <v>30715048066</v>
      </c>
      <c r="F204" s="23" t="s">
        <v>64</v>
      </c>
      <c r="G204" s="24">
        <v>108317.6</v>
      </c>
      <c r="H204" s="25">
        <v>22746.696</v>
      </c>
      <c r="I204" s="25"/>
      <c r="J204" s="25"/>
      <c r="K204" s="25"/>
      <c r="L204" s="25"/>
      <c r="M204" s="25"/>
      <c r="N204" s="25"/>
      <c r="O204" s="26"/>
      <c r="P204" s="17">
        <f t="shared" si="8"/>
        <v>131064.296</v>
      </c>
    </row>
    <row r="205" spans="1:16" x14ac:dyDescent="0.25">
      <c r="A205" s="18">
        <v>44347</v>
      </c>
      <c r="B205" s="19">
        <v>99</v>
      </c>
      <c r="C205" s="20">
        <v>1</v>
      </c>
      <c r="D205" s="21">
        <v>31052021</v>
      </c>
      <c r="E205" s="22" t="s">
        <v>70</v>
      </c>
      <c r="F205" s="23" t="s">
        <v>22</v>
      </c>
      <c r="G205" s="24">
        <v>1346.0000000000002</v>
      </c>
      <c r="H205" s="25">
        <v>282.66000000000003</v>
      </c>
      <c r="I205" s="25"/>
      <c r="J205" s="25"/>
      <c r="K205" s="25"/>
      <c r="L205" s="25"/>
      <c r="M205" s="25"/>
      <c r="N205" s="25"/>
      <c r="O205" s="26"/>
      <c r="P205" s="17">
        <f t="shared" si="8"/>
        <v>1628.6600000000003</v>
      </c>
    </row>
    <row r="206" spans="1:16" x14ac:dyDescent="0.25">
      <c r="A206" s="18">
        <v>44347</v>
      </c>
      <c r="B206" s="19">
        <v>99</v>
      </c>
      <c r="C206" s="20">
        <v>1</v>
      </c>
      <c r="D206" s="21">
        <v>31202105</v>
      </c>
      <c r="E206" s="22" t="s">
        <v>70</v>
      </c>
      <c r="F206" s="23" t="s">
        <v>22</v>
      </c>
      <c r="G206" s="24">
        <v>2348.75</v>
      </c>
      <c r="H206" s="25">
        <v>493.24</v>
      </c>
      <c r="I206" s="25"/>
      <c r="J206" s="25"/>
      <c r="K206" s="25"/>
      <c r="L206" s="25"/>
      <c r="M206" s="25">
        <v>70.400000000000006</v>
      </c>
      <c r="N206" s="25"/>
      <c r="O206" s="26"/>
      <c r="P206" s="17">
        <f t="shared" si="8"/>
        <v>2912.39</v>
      </c>
    </row>
    <row r="207" spans="1:16" x14ac:dyDescent="0.25">
      <c r="A207" s="18">
        <v>44347</v>
      </c>
      <c r="B207" s="19">
        <v>99</v>
      </c>
      <c r="C207" s="20">
        <v>1</v>
      </c>
      <c r="D207" s="21">
        <v>5312021</v>
      </c>
      <c r="E207" s="22" t="s">
        <v>70</v>
      </c>
      <c r="F207" s="23" t="s">
        <v>22</v>
      </c>
      <c r="G207" s="24">
        <v>55</v>
      </c>
      <c r="H207" s="25">
        <v>11.55</v>
      </c>
      <c r="I207" s="25"/>
      <c r="J207" s="25"/>
      <c r="K207" s="25"/>
      <c r="L207" s="25"/>
      <c r="M207" s="25"/>
      <c r="N207" s="25"/>
      <c r="O207" s="26"/>
      <c r="P207" s="17">
        <f t="shared" si="8"/>
        <v>66.55</v>
      </c>
    </row>
    <row r="208" spans="1:16" ht="15" customHeight="1" thickBot="1" x14ac:dyDescent="0.3">
      <c r="A208" s="131" t="s">
        <v>51</v>
      </c>
      <c r="B208" s="132"/>
      <c r="C208" s="132"/>
      <c r="D208" s="132"/>
      <c r="E208" s="132"/>
      <c r="F208" s="132"/>
      <c r="G208" s="27">
        <f t="shared" ref="G208:P208" si="9">SUM(G183:G207)</f>
        <v>1032862.7082</v>
      </c>
      <c r="H208" s="27">
        <f t="shared" si="9"/>
        <v>176378.56619999994</v>
      </c>
      <c r="I208" s="27">
        <f t="shared" si="9"/>
        <v>329.59440000000001</v>
      </c>
      <c r="J208" s="27">
        <f t="shared" si="9"/>
        <v>20133.047400000003</v>
      </c>
      <c r="K208" s="27">
        <f t="shared" si="9"/>
        <v>803.52</v>
      </c>
      <c r="L208" s="27">
        <f t="shared" si="9"/>
        <v>4878.72</v>
      </c>
      <c r="M208" s="27">
        <f t="shared" si="9"/>
        <v>149.66000000000003</v>
      </c>
      <c r="N208" s="27">
        <f t="shared" si="9"/>
        <v>0</v>
      </c>
      <c r="O208" s="27">
        <f t="shared" si="9"/>
        <v>0</v>
      </c>
      <c r="P208" s="27">
        <f t="shared" si="9"/>
        <v>1235535.8161999998</v>
      </c>
    </row>
    <row r="209" spans="1:16" ht="14.25" customHeight="1" thickBot="1" x14ac:dyDescent="0.3">
      <c r="G209" s="28"/>
      <c r="H209" s="126">
        <f>SUM(H208:J208)</f>
        <v>196841.20799999996</v>
      </c>
      <c r="I209" s="127"/>
      <c r="J209" s="128"/>
      <c r="K209" s="28"/>
      <c r="L209" s="28"/>
      <c r="M209" s="28"/>
      <c r="N209" s="28"/>
      <c r="O209" s="28"/>
      <c r="P209" s="28"/>
    </row>
    <row r="210" spans="1:16" ht="9.75" customHeight="1" thickTop="1" x14ac:dyDescent="0.25">
      <c r="G210" s="28"/>
      <c r="H210" s="28"/>
      <c r="I210" s="28"/>
      <c r="J210" s="28"/>
      <c r="K210" s="28"/>
      <c r="L210" s="28"/>
      <c r="M210" s="28"/>
      <c r="N210" s="28"/>
      <c r="O210" s="28"/>
      <c r="P210" s="28"/>
    </row>
    <row r="211" spans="1:16" ht="22.5" x14ac:dyDescent="0.45">
      <c r="A211" s="1" t="s">
        <v>0</v>
      </c>
      <c r="B211" s="1"/>
      <c r="C211" s="1"/>
      <c r="D211" s="1"/>
      <c r="E211" s="1"/>
      <c r="F211" s="1"/>
      <c r="G211" s="2"/>
      <c r="H211" s="2"/>
      <c r="I211" s="2"/>
      <c r="J211" s="2"/>
      <c r="K211" s="2"/>
      <c r="L211" s="2"/>
      <c r="M211" s="3"/>
      <c r="N211" s="4">
        <v>44348</v>
      </c>
      <c r="O211" s="3"/>
      <c r="P211" s="3"/>
    </row>
    <row r="212" spans="1:16" ht="11.25" customHeight="1" thickBot="1" x14ac:dyDescent="0.5">
      <c r="A212" s="1"/>
      <c r="B212" s="1"/>
      <c r="C212" s="1"/>
      <c r="D212" s="1"/>
      <c r="E212" s="1"/>
      <c r="F212" s="1"/>
      <c r="G212" s="2"/>
      <c r="H212" s="2"/>
      <c r="I212" s="2"/>
      <c r="J212" s="2"/>
      <c r="K212" s="2"/>
      <c r="L212" s="2"/>
      <c r="M212" s="3"/>
      <c r="N212" s="3"/>
      <c r="O212" s="3"/>
      <c r="P212" s="3"/>
    </row>
    <row r="213" spans="1:16" ht="12" customHeight="1" x14ac:dyDescent="0.25">
      <c r="A213" s="5" t="s">
        <v>1</v>
      </c>
      <c r="B213" s="6" t="s">
        <v>2</v>
      </c>
      <c r="C213" s="6" t="s">
        <v>3</v>
      </c>
      <c r="D213" s="6" t="s">
        <v>4</v>
      </c>
      <c r="E213" s="6" t="s">
        <v>5</v>
      </c>
      <c r="F213" s="6" t="s">
        <v>6</v>
      </c>
      <c r="G213" s="6" t="s">
        <v>7</v>
      </c>
      <c r="H213" s="6" t="s">
        <v>8</v>
      </c>
      <c r="I213" s="6" t="s">
        <v>9</v>
      </c>
      <c r="J213" s="6" t="s">
        <v>10</v>
      </c>
      <c r="K213" s="6" t="s">
        <v>11</v>
      </c>
      <c r="L213" s="6" t="s">
        <v>12</v>
      </c>
      <c r="M213" s="6" t="s">
        <v>13</v>
      </c>
      <c r="N213" s="6" t="s">
        <v>14</v>
      </c>
      <c r="O213" s="6" t="s">
        <v>15</v>
      </c>
      <c r="P213" s="7" t="s">
        <v>16</v>
      </c>
    </row>
    <row r="214" spans="1:16" x14ac:dyDescent="0.25">
      <c r="A214" s="8">
        <v>44348</v>
      </c>
      <c r="B214" s="9">
        <v>1</v>
      </c>
      <c r="C214" s="10">
        <v>2</v>
      </c>
      <c r="D214" s="11">
        <v>105</v>
      </c>
      <c r="E214" s="12">
        <v>20125142851</v>
      </c>
      <c r="F214" s="13" t="s">
        <v>27</v>
      </c>
      <c r="G214" s="14">
        <v>27360</v>
      </c>
      <c r="H214" s="15">
        <v>5745.5999999999995</v>
      </c>
      <c r="I214" s="15"/>
      <c r="J214" s="15"/>
      <c r="K214" s="15"/>
      <c r="L214" s="15"/>
      <c r="M214" s="15"/>
      <c r="N214" s="15"/>
      <c r="O214" s="16"/>
      <c r="P214" s="17">
        <f>SUM(G214:O214)</f>
        <v>33105.599999999999</v>
      </c>
    </row>
    <row r="215" spans="1:16" x14ac:dyDescent="0.25">
      <c r="A215" s="8">
        <v>44348</v>
      </c>
      <c r="B215" s="9">
        <v>1</v>
      </c>
      <c r="C215" s="10">
        <v>2</v>
      </c>
      <c r="D215" s="11">
        <v>104</v>
      </c>
      <c r="E215" s="12">
        <v>20125142851</v>
      </c>
      <c r="F215" s="13" t="s">
        <v>27</v>
      </c>
      <c r="G215" s="14">
        <v>16259.2</v>
      </c>
      <c r="H215" s="15">
        <v>3414.4320000000002</v>
      </c>
      <c r="I215" s="15"/>
      <c r="J215" s="15"/>
      <c r="K215" s="15"/>
      <c r="L215" s="15"/>
      <c r="M215" s="15"/>
      <c r="N215" s="15"/>
      <c r="O215" s="16"/>
      <c r="P215" s="17">
        <f t="shared" ref="P215:P241" si="10">SUM(G215:O215)</f>
        <v>19673.632000000001</v>
      </c>
    </row>
    <row r="216" spans="1:16" x14ac:dyDescent="0.25">
      <c r="A216" s="8">
        <v>44348</v>
      </c>
      <c r="B216" s="9">
        <v>1</v>
      </c>
      <c r="C216" s="10">
        <v>2</v>
      </c>
      <c r="D216" s="11">
        <v>106</v>
      </c>
      <c r="E216" s="12">
        <v>20125142851</v>
      </c>
      <c r="F216" s="13" t="s">
        <v>27</v>
      </c>
      <c r="G216" s="14">
        <v>10150.700000000001</v>
      </c>
      <c r="H216" s="15">
        <v>2131.6469999999999</v>
      </c>
      <c r="I216" s="15"/>
      <c r="J216" s="15"/>
      <c r="K216" s="15"/>
      <c r="L216" s="15"/>
      <c r="M216" s="15"/>
      <c r="N216" s="15"/>
      <c r="O216" s="16"/>
      <c r="P216" s="17">
        <f t="shared" si="10"/>
        <v>12282.347000000002</v>
      </c>
    </row>
    <row r="217" spans="1:16" x14ac:dyDescent="0.25">
      <c r="A217" s="8">
        <v>44348</v>
      </c>
      <c r="B217" s="9">
        <v>1</v>
      </c>
      <c r="C217" s="10">
        <v>3</v>
      </c>
      <c r="D217" s="11">
        <v>125518</v>
      </c>
      <c r="E217" s="12">
        <v>30707135596</v>
      </c>
      <c r="F217" s="13" t="s">
        <v>17</v>
      </c>
      <c r="G217" s="14">
        <v>1858.53</v>
      </c>
      <c r="H217" s="15">
        <v>390.29129999999998</v>
      </c>
      <c r="I217" s="15"/>
      <c r="J217" s="15"/>
      <c r="K217" s="15"/>
      <c r="L217" s="15"/>
      <c r="M217" s="15"/>
      <c r="N217" s="15"/>
      <c r="O217" s="16"/>
      <c r="P217" s="17">
        <f t="shared" si="10"/>
        <v>2248.8213000000001</v>
      </c>
    </row>
    <row r="218" spans="1:16" x14ac:dyDescent="0.25">
      <c r="A218" s="8">
        <v>44348</v>
      </c>
      <c r="B218" s="9">
        <v>1</v>
      </c>
      <c r="C218" s="10">
        <v>2</v>
      </c>
      <c r="D218" s="11">
        <v>850</v>
      </c>
      <c r="E218" s="12">
        <v>30573843440</v>
      </c>
      <c r="F218" s="13" t="s">
        <v>43</v>
      </c>
      <c r="G218" s="14">
        <v>138644.93340000001</v>
      </c>
      <c r="H218" s="15">
        <v>29115.436014000003</v>
      </c>
      <c r="I218" s="15"/>
      <c r="J218" s="15"/>
      <c r="K218" s="15"/>
      <c r="L218" s="15"/>
      <c r="M218" s="15"/>
      <c r="N218" s="15"/>
      <c r="O218" s="16"/>
      <c r="P218" s="17">
        <f t="shared" si="10"/>
        <v>167760.36941400002</v>
      </c>
    </row>
    <row r="219" spans="1:16" x14ac:dyDescent="0.25">
      <c r="A219" s="8">
        <v>44348</v>
      </c>
      <c r="B219" s="9">
        <v>1</v>
      </c>
      <c r="C219" s="10">
        <v>7</v>
      </c>
      <c r="D219" s="11">
        <v>3868</v>
      </c>
      <c r="E219" s="12">
        <v>30604413482</v>
      </c>
      <c r="F219" s="13" t="s">
        <v>54</v>
      </c>
      <c r="G219" s="14">
        <v>58840</v>
      </c>
      <c r="H219" s="15">
        <v>12356.4</v>
      </c>
      <c r="I219" s="15"/>
      <c r="J219" s="15"/>
      <c r="K219" s="15"/>
      <c r="L219" s="15"/>
      <c r="M219" s="15"/>
      <c r="N219" s="15"/>
      <c r="O219" s="16"/>
      <c r="P219" s="17">
        <f t="shared" si="10"/>
        <v>71196.399999999994</v>
      </c>
    </row>
    <row r="220" spans="1:16" x14ac:dyDescent="0.25">
      <c r="A220" s="8">
        <v>44348</v>
      </c>
      <c r="B220" s="9">
        <v>1</v>
      </c>
      <c r="C220" s="10">
        <v>3</v>
      </c>
      <c r="D220" s="11">
        <v>419</v>
      </c>
      <c r="E220" s="12">
        <v>30715402765</v>
      </c>
      <c r="F220" s="13" t="s">
        <v>29</v>
      </c>
      <c r="G220" s="14">
        <v>5371.9</v>
      </c>
      <c r="H220" s="15">
        <v>1128.0989999999999</v>
      </c>
      <c r="I220" s="15"/>
      <c r="J220" s="15"/>
      <c r="K220" s="15"/>
      <c r="L220" s="15"/>
      <c r="M220" s="15"/>
      <c r="N220" s="15"/>
      <c r="O220" s="16"/>
      <c r="P220" s="17">
        <f t="shared" si="10"/>
        <v>6499.9989999999998</v>
      </c>
    </row>
    <row r="221" spans="1:16" x14ac:dyDescent="0.25">
      <c r="A221" s="8">
        <v>44354</v>
      </c>
      <c r="B221" s="9">
        <v>1</v>
      </c>
      <c r="C221" s="10">
        <v>26</v>
      </c>
      <c r="D221" s="11">
        <v>6528</v>
      </c>
      <c r="E221" s="12">
        <v>30684416096</v>
      </c>
      <c r="F221" s="13" t="s">
        <v>91</v>
      </c>
      <c r="G221" s="14">
        <v>1661.36</v>
      </c>
      <c r="H221" s="15">
        <v>348.88559999999995</v>
      </c>
      <c r="I221" s="15"/>
      <c r="J221" s="15"/>
      <c r="K221" s="15"/>
      <c r="L221" s="15"/>
      <c r="M221" s="15"/>
      <c r="N221" s="15"/>
      <c r="O221" s="16"/>
      <c r="P221" s="17">
        <f t="shared" si="10"/>
        <v>2010.2455999999997</v>
      </c>
    </row>
    <row r="222" spans="1:16" x14ac:dyDescent="0.25">
      <c r="A222" s="8">
        <v>44354</v>
      </c>
      <c r="B222" s="9">
        <v>1</v>
      </c>
      <c r="C222" s="10">
        <v>2</v>
      </c>
      <c r="D222" s="11">
        <v>107</v>
      </c>
      <c r="E222" s="12">
        <v>20125142851</v>
      </c>
      <c r="F222" s="13" t="s">
        <v>27</v>
      </c>
      <c r="G222" s="14">
        <v>10916.62</v>
      </c>
      <c r="H222" s="15">
        <v>2292.4902000000002</v>
      </c>
      <c r="I222" s="15"/>
      <c r="J222" s="15"/>
      <c r="K222" s="15"/>
      <c r="L222" s="15"/>
      <c r="M222" s="15"/>
      <c r="N222" s="15"/>
      <c r="O222" s="16"/>
      <c r="P222" s="17">
        <f t="shared" si="10"/>
        <v>13209.110200000001</v>
      </c>
    </row>
    <row r="223" spans="1:16" x14ac:dyDescent="0.25">
      <c r="A223" s="8">
        <v>44355</v>
      </c>
      <c r="B223" s="9">
        <v>1</v>
      </c>
      <c r="C223" s="10">
        <v>3</v>
      </c>
      <c r="D223" s="11">
        <v>12080</v>
      </c>
      <c r="E223" s="12">
        <v>30709511846</v>
      </c>
      <c r="F223" s="13" t="s">
        <v>34</v>
      </c>
      <c r="G223" s="14">
        <v>1012.67</v>
      </c>
      <c r="H223" s="15"/>
      <c r="I223" s="15"/>
      <c r="J223" s="15">
        <v>106.33035</v>
      </c>
      <c r="K223" s="15"/>
      <c r="L223" s="15"/>
      <c r="M223" s="15"/>
      <c r="N223" s="15"/>
      <c r="O223" s="16"/>
      <c r="P223" s="17">
        <f t="shared" si="10"/>
        <v>1119.00035</v>
      </c>
    </row>
    <row r="224" spans="1:16" x14ac:dyDescent="0.25">
      <c r="A224" s="8">
        <v>44357</v>
      </c>
      <c r="B224" s="9">
        <v>1</v>
      </c>
      <c r="C224" s="10">
        <v>2</v>
      </c>
      <c r="D224" s="11">
        <v>108</v>
      </c>
      <c r="E224" s="12">
        <v>20125142851</v>
      </c>
      <c r="F224" s="13" t="s">
        <v>27</v>
      </c>
      <c r="G224" s="14">
        <v>11999.26</v>
      </c>
      <c r="H224" s="15">
        <v>2519.8445999999999</v>
      </c>
      <c r="I224" s="15"/>
      <c r="J224" s="15"/>
      <c r="K224" s="15"/>
      <c r="L224" s="15"/>
      <c r="M224" s="15"/>
      <c r="N224" s="15"/>
      <c r="O224" s="16"/>
      <c r="P224" s="17">
        <f t="shared" si="10"/>
        <v>14519.104600000001</v>
      </c>
    </row>
    <row r="225" spans="1:16" x14ac:dyDescent="0.25">
      <c r="A225" s="8">
        <v>44358</v>
      </c>
      <c r="B225" s="9">
        <v>1</v>
      </c>
      <c r="C225" s="10">
        <v>2466</v>
      </c>
      <c r="D225" s="11">
        <v>233395</v>
      </c>
      <c r="E225" s="12">
        <v>30678814357</v>
      </c>
      <c r="F225" s="13" t="s">
        <v>52</v>
      </c>
      <c r="G225" s="14">
        <v>1289</v>
      </c>
      <c r="H225" s="15"/>
      <c r="I225" s="15"/>
      <c r="J225" s="15">
        <v>348.03000000000003</v>
      </c>
      <c r="K225" s="15"/>
      <c r="L225" s="15"/>
      <c r="M225" s="15"/>
      <c r="N225" s="15"/>
      <c r="O225" s="16"/>
      <c r="P225" s="17">
        <f t="shared" si="10"/>
        <v>1637.03</v>
      </c>
    </row>
    <row r="226" spans="1:16" x14ac:dyDescent="0.25">
      <c r="A226" s="8">
        <v>44361</v>
      </c>
      <c r="B226" s="9">
        <v>1</v>
      </c>
      <c r="C226" s="10">
        <v>3</v>
      </c>
      <c r="D226" s="11">
        <v>5918</v>
      </c>
      <c r="E226" s="12">
        <v>30715078100</v>
      </c>
      <c r="F226" s="13" t="s">
        <v>92</v>
      </c>
      <c r="G226" s="14">
        <v>17768.599999999999</v>
      </c>
      <c r="H226" s="15">
        <v>3731.4059999999995</v>
      </c>
      <c r="I226" s="15"/>
      <c r="J226" s="15"/>
      <c r="K226" s="15"/>
      <c r="L226" s="15"/>
      <c r="M226" s="15"/>
      <c r="N226" s="15"/>
      <c r="O226" s="16"/>
      <c r="P226" s="17">
        <f t="shared" si="10"/>
        <v>21500.005999999998</v>
      </c>
    </row>
    <row r="227" spans="1:16" x14ac:dyDescent="0.25">
      <c r="A227" s="8">
        <v>44361</v>
      </c>
      <c r="B227" s="9">
        <v>1</v>
      </c>
      <c r="C227" s="10">
        <v>3</v>
      </c>
      <c r="D227" s="11">
        <v>5919</v>
      </c>
      <c r="E227" s="12">
        <v>30715078100</v>
      </c>
      <c r="F227" s="13" t="s">
        <v>92</v>
      </c>
      <c r="G227" s="14">
        <v>3795.56</v>
      </c>
      <c r="H227" s="15"/>
      <c r="I227" s="15"/>
      <c r="J227" s="15">
        <v>398.53379999999999</v>
      </c>
      <c r="K227" s="15"/>
      <c r="L227" s="15"/>
      <c r="M227" s="15"/>
      <c r="N227" s="15"/>
      <c r="O227" s="16"/>
      <c r="P227" s="17">
        <f t="shared" si="10"/>
        <v>4194.0937999999996</v>
      </c>
    </row>
    <row r="228" spans="1:16" x14ac:dyDescent="0.25">
      <c r="A228" s="8">
        <v>44362</v>
      </c>
      <c r="B228" s="9">
        <v>1</v>
      </c>
      <c r="C228" s="10">
        <v>7</v>
      </c>
      <c r="D228" s="11">
        <v>4681</v>
      </c>
      <c r="E228" s="12">
        <v>20261680298</v>
      </c>
      <c r="F228" s="13" t="s">
        <v>93</v>
      </c>
      <c r="G228" s="14">
        <v>2734.01</v>
      </c>
      <c r="H228" s="15">
        <v>45.82</v>
      </c>
      <c r="I228" s="15"/>
      <c r="J228" s="15">
        <v>264.16000000000003</v>
      </c>
      <c r="K228" s="15"/>
      <c r="L228" s="15"/>
      <c r="M228" s="15"/>
      <c r="N228" s="15"/>
      <c r="O228" s="16"/>
      <c r="P228" s="17">
        <f t="shared" si="10"/>
        <v>3043.9900000000002</v>
      </c>
    </row>
    <row r="229" spans="1:16" x14ac:dyDescent="0.25">
      <c r="A229" s="8">
        <v>44369</v>
      </c>
      <c r="B229" s="9">
        <v>1</v>
      </c>
      <c r="C229" s="10">
        <v>4</v>
      </c>
      <c r="D229" s="11">
        <v>75686</v>
      </c>
      <c r="E229" s="12">
        <v>30559932236</v>
      </c>
      <c r="F229" s="13" t="s">
        <v>94</v>
      </c>
      <c r="G229" s="14">
        <v>49965.25</v>
      </c>
      <c r="H229" s="15">
        <v>8028.93</v>
      </c>
      <c r="I229" s="15"/>
      <c r="J229" s="15">
        <v>1231.8900000000001</v>
      </c>
      <c r="K229" s="15"/>
      <c r="L229" s="15"/>
      <c r="M229" s="15"/>
      <c r="N229" s="15"/>
      <c r="O229" s="16"/>
      <c r="P229" s="17">
        <f t="shared" si="10"/>
        <v>59226.07</v>
      </c>
    </row>
    <row r="230" spans="1:16" x14ac:dyDescent="0.25">
      <c r="A230" s="8">
        <v>44369</v>
      </c>
      <c r="B230" s="9">
        <v>2</v>
      </c>
      <c r="C230" s="10">
        <v>8</v>
      </c>
      <c r="D230" s="11">
        <v>520</v>
      </c>
      <c r="E230" s="12">
        <v>30677784144</v>
      </c>
      <c r="F230" s="13" t="s">
        <v>76</v>
      </c>
      <c r="G230" s="14">
        <v>1133.8499999999999</v>
      </c>
      <c r="H230" s="15">
        <v>238.10849999999996</v>
      </c>
      <c r="I230" s="15"/>
      <c r="J230" s="15"/>
      <c r="K230" s="15"/>
      <c r="L230" s="15"/>
      <c r="M230" s="15"/>
      <c r="N230" s="15">
        <v>34.020000000000003</v>
      </c>
      <c r="O230" s="16"/>
      <c r="P230" s="17">
        <f t="shared" si="10"/>
        <v>1405.9784999999999</v>
      </c>
    </row>
    <row r="231" spans="1:16" x14ac:dyDescent="0.25">
      <c r="A231" s="8">
        <v>44369</v>
      </c>
      <c r="B231" s="9">
        <v>1</v>
      </c>
      <c r="C231" s="10">
        <v>3</v>
      </c>
      <c r="D231" s="11">
        <v>70</v>
      </c>
      <c r="E231" s="12">
        <v>30715058479</v>
      </c>
      <c r="F231" s="13" t="s">
        <v>77</v>
      </c>
      <c r="G231" s="14">
        <v>17320</v>
      </c>
      <c r="H231" s="15">
        <v>3637.2</v>
      </c>
      <c r="I231" s="15"/>
      <c r="J231" s="15"/>
      <c r="K231" s="15"/>
      <c r="L231" s="15"/>
      <c r="M231" s="15"/>
      <c r="N231" s="15"/>
      <c r="O231" s="16"/>
      <c r="P231" s="17">
        <f t="shared" si="10"/>
        <v>20957.2</v>
      </c>
    </row>
    <row r="232" spans="1:16" x14ac:dyDescent="0.25">
      <c r="A232" s="8">
        <v>44370</v>
      </c>
      <c r="B232" s="9">
        <v>1</v>
      </c>
      <c r="C232" s="10">
        <v>2</v>
      </c>
      <c r="D232" s="11">
        <v>385</v>
      </c>
      <c r="E232" s="12">
        <v>20296550184</v>
      </c>
      <c r="F232" s="13" t="s">
        <v>44</v>
      </c>
      <c r="G232" s="14">
        <v>41924</v>
      </c>
      <c r="H232" s="15">
        <v>8804.0399999999991</v>
      </c>
      <c r="I232" s="15"/>
      <c r="J232" s="15"/>
      <c r="K232" s="15"/>
      <c r="L232" s="15"/>
      <c r="M232" s="15"/>
      <c r="N232" s="15"/>
      <c r="O232" s="16"/>
      <c r="P232" s="17">
        <f t="shared" si="10"/>
        <v>50728.04</v>
      </c>
    </row>
    <row r="233" spans="1:16" x14ac:dyDescent="0.25">
      <c r="A233" s="18">
        <v>44370</v>
      </c>
      <c r="B233" s="19">
        <v>1</v>
      </c>
      <c r="C233" s="20">
        <v>10</v>
      </c>
      <c r="D233" s="21">
        <v>3720</v>
      </c>
      <c r="E233" s="22">
        <v>30702073657</v>
      </c>
      <c r="F233" s="23" t="s">
        <v>60</v>
      </c>
      <c r="G233" s="24">
        <v>7738.37</v>
      </c>
      <c r="H233" s="25">
        <v>1625.0576999999998</v>
      </c>
      <c r="I233" s="25"/>
      <c r="J233" s="25"/>
      <c r="K233" s="25"/>
      <c r="L233" s="25"/>
      <c r="M233" s="25"/>
      <c r="N233" s="25"/>
      <c r="O233" s="26"/>
      <c r="P233" s="17">
        <f t="shared" si="10"/>
        <v>9363.4277000000002</v>
      </c>
    </row>
    <row r="234" spans="1:16" x14ac:dyDescent="0.25">
      <c r="A234" s="18">
        <v>44375</v>
      </c>
      <c r="B234" s="19">
        <v>1</v>
      </c>
      <c r="C234" s="20">
        <v>2</v>
      </c>
      <c r="D234" s="21">
        <v>3408</v>
      </c>
      <c r="E234" s="22">
        <v>20305255190</v>
      </c>
      <c r="F234" s="23" t="s">
        <v>95</v>
      </c>
      <c r="G234" s="24">
        <v>1467.31</v>
      </c>
      <c r="H234" s="25">
        <v>308.13509999999997</v>
      </c>
      <c r="I234" s="25"/>
      <c r="J234" s="25"/>
      <c r="K234" s="25"/>
      <c r="L234" s="25"/>
      <c r="M234" s="25"/>
      <c r="N234" s="25"/>
      <c r="O234" s="26"/>
      <c r="P234" s="17">
        <f t="shared" si="10"/>
        <v>1775.4450999999999</v>
      </c>
    </row>
    <row r="235" spans="1:16" x14ac:dyDescent="0.25">
      <c r="A235" s="18">
        <v>44375</v>
      </c>
      <c r="B235" s="19">
        <v>1</v>
      </c>
      <c r="C235" s="20">
        <v>6</v>
      </c>
      <c r="D235" s="21">
        <v>6722</v>
      </c>
      <c r="E235" s="22">
        <v>30715053744</v>
      </c>
      <c r="F235" s="23" t="s">
        <v>96</v>
      </c>
      <c r="G235" s="24">
        <v>6894.16</v>
      </c>
      <c r="H235" s="25"/>
      <c r="I235" s="25"/>
      <c r="J235" s="25">
        <v>723.89</v>
      </c>
      <c r="K235" s="25"/>
      <c r="L235" s="25"/>
      <c r="M235" s="25"/>
      <c r="N235" s="25"/>
      <c r="O235" s="26"/>
      <c r="P235" s="17">
        <f t="shared" si="10"/>
        <v>7618.05</v>
      </c>
    </row>
    <row r="236" spans="1:16" x14ac:dyDescent="0.25">
      <c r="A236" s="18">
        <v>44375</v>
      </c>
      <c r="B236" s="19">
        <v>1</v>
      </c>
      <c r="C236" s="20">
        <v>8</v>
      </c>
      <c r="D236" s="21">
        <v>965</v>
      </c>
      <c r="E236" s="22">
        <v>30711790426</v>
      </c>
      <c r="F236" s="23" t="s">
        <v>97</v>
      </c>
      <c r="G236" s="24">
        <v>3304.13</v>
      </c>
      <c r="H236" s="25">
        <v>693.8673</v>
      </c>
      <c r="I236" s="25"/>
      <c r="J236" s="25"/>
      <c r="K236" s="25"/>
      <c r="L236" s="25"/>
      <c r="M236" s="25"/>
      <c r="N236" s="25"/>
      <c r="O236" s="26"/>
      <c r="P236" s="17">
        <f t="shared" si="10"/>
        <v>3997.9973</v>
      </c>
    </row>
    <row r="237" spans="1:16" x14ac:dyDescent="0.25">
      <c r="A237" s="18">
        <v>44376</v>
      </c>
      <c r="B237" s="19">
        <v>1</v>
      </c>
      <c r="C237" s="20">
        <v>3</v>
      </c>
      <c r="D237" s="21">
        <v>377516</v>
      </c>
      <c r="E237" s="22">
        <v>30712019359</v>
      </c>
      <c r="F237" s="23" t="s">
        <v>75</v>
      </c>
      <c r="G237" s="24">
        <v>2147.9299999999998</v>
      </c>
      <c r="H237" s="25">
        <v>451.06529999999992</v>
      </c>
      <c r="I237" s="25"/>
      <c r="J237" s="25"/>
      <c r="K237" s="25"/>
      <c r="L237" s="25"/>
      <c r="M237" s="25"/>
      <c r="N237" s="25"/>
      <c r="O237" s="26"/>
      <c r="P237" s="17">
        <f t="shared" si="10"/>
        <v>2598.9952999999996</v>
      </c>
    </row>
    <row r="238" spans="1:16" x14ac:dyDescent="0.25">
      <c r="A238" s="18">
        <v>44377</v>
      </c>
      <c r="B238" s="19">
        <v>1</v>
      </c>
      <c r="C238" s="20">
        <v>700</v>
      </c>
      <c r="D238" s="21">
        <v>243370</v>
      </c>
      <c r="E238" s="22">
        <v>30580111315</v>
      </c>
      <c r="F238" s="23" t="s">
        <v>30</v>
      </c>
      <c r="G238" s="24"/>
      <c r="H238" s="25">
        <v>0</v>
      </c>
      <c r="I238" s="25"/>
      <c r="J238" s="25"/>
      <c r="K238" s="25"/>
      <c r="L238" s="25">
        <v>18122.91</v>
      </c>
      <c r="M238" s="25"/>
      <c r="N238" s="25"/>
      <c r="O238" s="26"/>
      <c r="P238" s="17">
        <f t="shared" si="10"/>
        <v>18122.91</v>
      </c>
    </row>
    <row r="239" spans="1:16" x14ac:dyDescent="0.25">
      <c r="A239" s="18">
        <v>44377</v>
      </c>
      <c r="B239" s="19">
        <v>99</v>
      </c>
      <c r="C239" s="20">
        <v>1</v>
      </c>
      <c r="D239" s="21">
        <v>30062021</v>
      </c>
      <c r="E239" s="22" t="s">
        <v>70</v>
      </c>
      <c r="F239" s="23" t="s">
        <v>22</v>
      </c>
      <c r="G239" s="24">
        <v>1733</v>
      </c>
      <c r="H239" s="25">
        <v>363.93</v>
      </c>
      <c r="I239" s="25"/>
      <c r="J239" s="25"/>
      <c r="K239" s="25"/>
      <c r="L239" s="25"/>
      <c r="M239" s="25"/>
      <c r="N239" s="25"/>
      <c r="O239" s="26"/>
      <c r="P239" s="17">
        <f t="shared" si="10"/>
        <v>2096.9299999999998</v>
      </c>
    </row>
    <row r="240" spans="1:16" x14ac:dyDescent="0.25">
      <c r="A240" s="18">
        <v>44377</v>
      </c>
      <c r="B240" s="19">
        <v>99</v>
      </c>
      <c r="C240" s="20">
        <v>1</v>
      </c>
      <c r="D240" s="21">
        <v>30202106</v>
      </c>
      <c r="E240" s="22" t="s">
        <v>70</v>
      </c>
      <c r="F240" s="23" t="s">
        <v>22</v>
      </c>
      <c r="G240" s="24">
        <v>952.5</v>
      </c>
      <c r="H240" s="25">
        <v>200.02500000000001</v>
      </c>
      <c r="I240" s="25"/>
      <c r="J240" s="25"/>
      <c r="K240" s="25"/>
      <c r="L240" s="25"/>
      <c r="M240" s="25"/>
      <c r="N240" s="25"/>
      <c r="O240" s="26"/>
      <c r="P240" s="17"/>
    </row>
    <row r="241" spans="1:16" x14ac:dyDescent="0.25">
      <c r="A241" s="18">
        <v>44377</v>
      </c>
      <c r="B241" s="19">
        <v>99</v>
      </c>
      <c r="C241" s="20">
        <v>1</v>
      </c>
      <c r="D241" s="21">
        <v>20213006</v>
      </c>
      <c r="E241" s="22" t="s">
        <v>70</v>
      </c>
      <c r="F241" s="23" t="s">
        <v>22</v>
      </c>
      <c r="G241" s="24">
        <v>80</v>
      </c>
      <c r="H241" s="25">
        <v>16.8</v>
      </c>
      <c r="I241" s="25"/>
      <c r="J241" s="25"/>
      <c r="K241" s="25"/>
      <c r="L241" s="25"/>
      <c r="M241" s="25"/>
      <c r="N241" s="25"/>
      <c r="O241" s="26"/>
      <c r="P241" s="17">
        <f t="shared" si="10"/>
        <v>96.8</v>
      </c>
    </row>
    <row r="242" spans="1:16" ht="14.25" customHeight="1" thickBot="1" x14ac:dyDescent="0.3">
      <c r="A242" s="131" t="s">
        <v>51</v>
      </c>
      <c r="B242" s="132"/>
      <c r="C242" s="132"/>
      <c r="D242" s="132"/>
      <c r="E242" s="132"/>
      <c r="F242" s="132"/>
      <c r="G242" s="27">
        <f t="shared" ref="G242:N242" si="11">SUM(G214:G241)</f>
        <v>444322.8433999999</v>
      </c>
      <c r="H242" s="27">
        <f t="shared" si="11"/>
        <v>87587.510613999999</v>
      </c>
      <c r="I242" s="27">
        <f t="shared" si="11"/>
        <v>0</v>
      </c>
      <c r="J242" s="27">
        <f t="shared" si="11"/>
        <v>3072.8341500000001</v>
      </c>
      <c r="K242" s="27">
        <f t="shared" si="11"/>
        <v>0</v>
      </c>
      <c r="L242" s="27">
        <f t="shared" si="11"/>
        <v>18122.91</v>
      </c>
      <c r="M242" s="27">
        <f t="shared" si="11"/>
        <v>0</v>
      </c>
      <c r="N242" s="27">
        <f t="shared" si="11"/>
        <v>34.020000000000003</v>
      </c>
      <c r="O242" s="27">
        <f>SUM(O214:O241)</f>
        <v>0</v>
      </c>
      <c r="P242" s="27">
        <f>SUM(P214:P241)</f>
        <v>551987.59316400019</v>
      </c>
    </row>
    <row r="243" spans="1:16" ht="12.75" customHeight="1" thickBot="1" x14ac:dyDescent="0.3">
      <c r="G243" s="28"/>
      <c r="H243" s="126">
        <f>SUM(H242:J242)</f>
        <v>90660.344763999994</v>
      </c>
      <c r="I243" s="127"/>
      <c r="J243" s="128"/>
      <c r="K243" s="28"/>
      <c r="L243" s="28"/>
      <c r="M243" s="28"/>
      <c r="N243" s="28"/>
      <c r="O243" s="28"/>
      <c r="P243" s="28"/>
    </row>
    <row r="244" spans="1:16" ht="8.25" customHeight="1" thickTop="1" x14ac:dyDescent="0.25">
      <c r="G244" s="28"/>
      <c r="H244" s="28"/>
      <c r="I244" s="28"/>
      <c r="J244" s="28"/>
      <c r="K244" s="28"/>
      <c r="L244" s="28"/>
      <c r="M244" s="28"/>
      <c r="N244" s="28"/>
      <c r="O244" s="28"/>
      <c r="P244" s="28"/>
    </row>
    <row r="245" spans="1:16" ht="18" customHeight="1" x14ac:dyDescent="0.45">
      <c r="A245" s="1" t="s">
        <v>0</v>
      </c>
      <c r="B245" s="1"/>
      <c r="C245" s="1"/>
      <c r="D245" s="1"/>
      <c r="E245" s="1"/>
      <c r="F245" s="1"/>
      <c r="G245" s="2"/>
      <c r="H245" s="2"/>
      <c r="I245" s="2"/>
      <c r="J245" s="2"/>
      <c r="K245" s="2"/>
      <c r="L245" s="2"/>
      <c r="M245" s="3"/>
      <c r="N245" s="4">
        <v>44378</v>
      </c>
      <c r="O245" s="3"/>
      <c r="P245" s="3"/>
    </row>
    <row r="246" spans="1:16" ht="9.75" customHeight="1" thickBot="1" x14ac:dyDescent="0.5">
      <c r="A246" s="1"/>
      <c r="B246" s="1"/>
      <c r="C246" s="1"/>
      <c r="D246" s="1"/>
      <c r="E246" s="1"/>
      <c r="F246" s="1"/>
      <c r="G246" s="2"/>
      <c r="H246" s="2"/>
      <c r="I246" s="2"/>
      <c r="J246" s="2"/>
      <c r="K246" s="2"/>
      <c r="L246" s="2"/>
      <c r="M246" s="3"/>
      <c r="N246" s="3"/>
      <c r="O246" s="3"/>
      <c r="P246" s="3"/>
    </row>
    <row r="247" spans="1:16" ht="12.75" customHeight="1" x14ac:dyDescent="0.25">
      <c r="A247" s="33" t="s">
        <v>1</v>
      </c>
      <c r="B247" s="34" t="s">
        <v>2</v>
      </c>
      <c r="C247" s="34" t="s">
        <v>3</v>
      </c>
      <c r="D247" s="34" t="s">
        <v>4</v>
      </c>
      <c r="E247" s="34" t="s">
        <v>5</v>
      </c>
      <c r="F247" s="34" t="s">
        <v>6</v>
      </c>
      <c r="G247" s="34" t="s">
        <v>7</v>
      </c>
      <c r="H247" s="34" t="s">
        <v>8</v>
      </c>
      <c r="I247" s="34" t="s">
        <v>9</v>
      </c>
      <c r="J247" s="34" t="s">
        <v>10</v>
      </c>
      <c r="K247" s="34" t="s">
        <v>11</v>
      </c>
      <c r="L247" s="34" t="s">
        <v>12</v>
      </c>
      <c r="M247" s="34" t="s">
        <v>13</v>
      </c>
      <c r="N247" s="34" t="s">
        <v>14</v>
      </c>
      <c r="O247" s="34" t="s">
        <v>15</v>
      </c>
      <c r="P247" s="35" t="s">
        <v>16</v>
      </c>
    </row>
    <row r="248" spans="1:16" x14ac:dyDescent="0.25">
      <c r="A248" s="8">
        <v>44378</v>
      </c>
      <c r="B248" s="9">
        <v>1</v>
      </c>
      <c r="C248" s="10">
        <v>5</v>
      </c>
      <c r="D248" s="11">
        <v>42443</v>
      </c>
      <c r="E248" s="12">
        <v>30692857611</v>
      </c>
      <c r="F248" s="13" t="s">
        <v>42</v>
      </c>
      <c r="G248" s="14">
        <v>54324.4</v>
      </c>
      <c r="H248" s="15">
        <v>11408.124</v>
      </c>
      <c r="I248" s="15"/>
      <c r="J248" s="15"/>
      <c r="K248" s="15"/>
      <c r="L248" s="15"/>
      <c r="M248" s="15"/>
      <c r="N248" s="15"/>
      <c r="O248" s="16">
        <v>50.79</v>
      </c>
      <c r="P248" s="17">
        <f>SUM(G248:O248)</f>
        <v>65783.313999999998</v>
      </c>
    </row>
    <row r="249" spans="1:16" x14ac:dyDescent="0.25">
      <c r="A249" s="8">
        <v>44378</v>
      </c>
      <c r="B249" s="9">
        <v>1</v>
      </c>
      <c r="C249" s="10">
        <v>4</v>
      </c>
      <c r="D249" s="11">
        <v>76062</v>
      </c>
      <c r="E249" s="12">
        <v>30559932236</v>
      </c>
      <c r="F249" s="13" t="s">
        <v>94</v>
      </c>
      <c r="G249" s="14">
        <v>66112.77</v>
      </c>
      <c r="H249" s="15">
        <v>13869.57</v>
      </c>
      <c r="I249" s="15"/>
      <c r="J249" s="15">
        <v>7.05</v>
      </c>
      <c r="K249" s="15"/>
      <c r="L249" s="15"/>
      <c r="M249" s="15"/>
      <c r="N249" s="15"/>
      <c r="O249" s="16"/>
      <c r="P249" s="17">
        <f t="shared" ref="P249:P288" si="12">SUM(G249:O249)</f>
        <v>79989.39</v>
      </c>
    </row>
    <row r="250" spans="1:16" x14ac:dyDescent="0.25">
      <c r="A250" s="8">
        <v>44378</v>
      </c>
      <c r="B250" s="9">
        <v>1</v>
      </c>
      <c r="C250" s="10">
        <v>2</v>
      </c>
      <c r="D250" s="11">
        <v>109</v>
      </c>
      <c r="E250" s="12">
        <v>20125142851</v>
      </c>
      <c r="F250" s="13" t="s">
        <v>27</v>
      </c>
      <c r="G250" s="14">
        <v>16600.48</v>
      </c>
      <c r="H250" s="15">
        <v>3486.1007999999997</v>
      </c>
      <c r="I250" s="15"/>
      <c r="J250" s="15"/>
      <c r="K250" s="15"/>
      <c r="L250" s="15"/>
      <c r="M250" s="15"/>
      <c r="N250" s="15"/>
      <c r="O250" s="16"/>
      <c r="P250" s="17">
        <f t="shared" si="12"/>
        <v>20086.5808</v>
      </c>
    </row>
    <row r="251" spans="1:16" x14ac:dyDescent="0.25">
      <c r="A251" s="8">
        <v>44378</v>
      </c>
      <c r="B251" s="9">
        <v>1</v>
      </c>
      <c r="C251" s="10">
        <v>3</v>
      </c>
      <c r="D251" s="11">
        <v>128013</v>
      </c>
      <c r="E251" s="12">
        <v>30707135596</v>
      </c>
      <c r="F251" s="13" t="s">
        <v>17</v>
      </c>
      <c r="G251" s="14">
        <v>1857.51</v>
      </c>
      <c r="H251" s="15">
        <v>390.07709999999997</v>
      </c>
      <c r="I251" s="15"/>
      <c r="J251" s="15"/>
      <c r="K251" s="15"/>
      <c r="L251" s="15"/>
      <c r="M251" s="15"/>
      <c r="N251" s="15"/>
      <c r="O251" s="16"/>
      <c r="P251" s="17">
        <f t="shared" si="12"/>
        <v>2247.5870999999997</v>
      </c>
    </row>
    <row r="252" spans="1:16" x14ac:dyDescent="0.25">
      <c r="A252" s="8">
        <v>44378</v>
      </c>
      <c r="B252" s="9">
        <v>1</v>
      </c>
      <c r="C252" s="10">
        <v>3</v>
      </c>
      <c r="D252" s="11">
        <v>430</v>
      </c>
      <c r="E252" s="12">
        <v>30715402765</v>
      </c>
      <c r="F252" s="13" t="s">
        <v>29</v>
      </c>
      <c r="G252" s="14">
        <v>5371.9</v>
      </c>
      <c r="H252" s="15">
        <v>1128.0989999999999</v>
      </c>
      <c r="I252" s="14"/>
      <c r="J252" s="14"/>
      <c r="K252" s="14"/>
      <c r="L252" s="14"/>
      <c r="M252" s="14"/>
      <c r="N252" s="14"/>
      <c r="O252" s="36"/>
      <c r="P252" s="17">
        <f t="shared" si="12"/>
        <v>6499.9989999999998</v>
      </c>
    </row>
    <row r="253" spans="1:16" x14ac:dyDescent="0.25">
      <c r="A253" s="8">
        <v>44381</v>
      </c>
      <c r="B253" s="9">
        <v>1</v>
      </c>
      <c r="C253" s="10">
        <v>8</v>
      </c>
      <c r="D253" s="11">
        <v>646</v>
      </c>
      <c r="E253" s="12">
        <v>20296324206</v>
      </c>
      <c r="F253" s="13" t="s">
        <v>98</v>
      </c>
      <c r="G253" s="14">
        <v>825.62</v>
      </c>
      <c r="H253" s="15">
        <v>173.3802</v>
      </c>
      <c r="I253" s="15"/>
      <c r="J253" s="15"/>
      <c r="K253" s="15"/>
      <c r="L253" s="15"/>
      <c r="M253" s="15"/>
      <c r="N253" s="15"/>
      <c r="O253" s="16"/>
      <c r="P253" s="17">
        <f t="shared" si="12"/>
        <v>999.00019999999995</v>
      </c>
    </row>
    <row r="254" spans="1:16" x14ac:dyDescent="0.25">
      <c r="A254" s="8">
        <v>44382</v>
      </c>
      <c r="B254" s="9">
        <v>1</v>
      </c>
      <c r="C254" s="10">
        <v>8</v>
      </c>
      <c r="D254" s="11">
        <v>8230</v>
      </c>
      <c r="E254" s="12">
        <v>30708138165</v>
      </c>
      <c r="F254" s="13" t="s">
        <v>99</v>
      </c>
      <c r="G254" s="14">
        <v>4545.45</v>
      </c>
      <c r="H254" s="15">
        <v>954.54449999999997</v>
      </c>
      <c r="I254" s="15"/>
      <c r="J254" s="15"/>
      <c r="K254" s="15"/>
      <c r="L254" s="15"/>
      <c r="M254" s="15"/>
      <c r="N254" s="15"/>
      <c r="O254" s="16"/>
      <c r="P254" s="17">
        <f t="shared" si="12"/>
        <v>5499.9944999999998</v>
      </c>
    </row>
    <row r="255" spans="1:16" x14ac:dyDescent="0.25">
      <c r="A255" s="37">
        <v>44383</v>
      </c>
      <c r="B255" s="38">
        <v>1</v>
      </c>
      <c r="C255" s="39">
        <v>2</v>
      </c>
      <c r="D255" s="40">
        <v>110</v>
      </c>
      <c r="E255" s="41">
        <v>20125142851</v>
      </c>
      <c r="F255" s="42" t="s">
        <v>27</v>
      </c>
      <c r="G255" s="43">
        <v>16780.900000000001</v>
      </c>
      <c r="H255" s="31">
        <v>3523.989</v>
      </c>
      <c r="I255" s="31"/>
      <c r="J255" s="31"/>
      <c r="K255" s="31"/>
      <c r="L255" s="31"/>
      <c r="M255" s="31"/>
      <c r="N255" s="31"/>
      <c r="O255" s="44">
        <v>-17894.68</v>
      </c>
      <c r="P255" s="17">
        <f t="shared" si="12"/>
        <v>2410.2090000000026</v>
      </c>
    </row>
    <row r="256" spans="1:16" x14ac:dyDescent="0.25">
      <c r="A256" s="8">
        <v>44383</v>
      </c>
      <c r="B256" s="9">
        <v>1</v>
      </c>
      <c r="C256" s="10">
        <v>106</v>
      </c>
      <c r="D256" s="11">
        <v>437573</v>
      </c>
      <c r="E256" s="12">
        <v>30594494187</v>
      </c>
      <c r="F256" s="13" t="s">
        <v>53</v>
      </c>
      <c r="G256" s="14">
        <v>4836</v>
      </c>
      <c r="H256" s="15">
        <v>1015.56</v>
      </c>
      <c r="I256" s="15"/>
      <c r="J256" s="15"/>
      <c r="K256" s="15">
        <v>3217.59</v>
      </c>
      <c r="L256" s="15"/>
      <c r="M256" s="15"/>
      <c r="N256" s="15"/>
      <c r="O256" s="16">
        <v>-8888.0740000000005</v>
      </c>
      <c r="P256" s="17">
        <f t="shared" si="12"/>
        <v>181.07599999999911</v>
      </c>
    </row>
    <row r="257" spans="1:16" x14ac:dyDescent="0.25">
      <c r="A257" s="8">
        <v>44384</v>
      </c>
      <c r="B257" s="9">
        <v>1</v>
      </c>
      <c r="C257" s="10">
        <v>280</v>
      </c>
      <c r="D257" s="11">
        <v>1304600</v>
      </c>
      <c r="E257" s="12">
        <v>30580111315</v>
      </c>
      <c r="F257" s="13" t="s">
        <v>30</v>
      </c>
      <c r="G257" s="14">
        <v>61090.833599999998</v>
      </c>
      <c r="H257" s="15">
        <v>12829.075056</v>
      </c>
      <c r="I257" s="15"/>
      <c r="J257" s="15"/>
      <c r="K257" s="15"/>
      <c r="L257" s="15"/>
      <c r="M257" s="15"/>
      <c r="N257" s="15"/>
      <c r="O257" s="16"/>
      <c r="P257" s="17">
        <f t="shared" si="12"/>
        <v>73919.908656</v>
      </c>
    </row>
    <row r="258" spans="1:16" x14ac:dyDescent="0.25">
      <c r="A258" s="8">
        <v>44384</v>
      </c>
      <c r="B258" s="9">
        <v>1</v>
      </c>
      <c r="C258" s="10">
        <v>13</v>
      </c>
      <c r="D258" s="11">
        <v>711674</v>
      </c>
      <c r="E258" s="12">
        <v>30700940957</v>
      </c>
      <c r="F258" s="13" t="s">
        <v>85</v>
      </c>
      <c r="G258" s="14">
        <v>4208.32</v>
      </c>
      <c r="H258" s="15">
        <v>883.74719999999991</v>
      </c>
      <c r="I258" s="15"/>
      <c r="J258" s="15"/>
      <c r="K258" s="15"/>
      <c r="L258" s="15"/>
      <c r="M258" s="15"/>
      <c r="N258" s="15"/>
      <c r="O258" s="16">
        <v>50.79</v>
      </c>
      <c r="P258" s="17">
        <f t="shared" si="12"/>
        <v>5142.8571999999995</v>
      </c>
    </row>
    <row r="259" spans="1:16" x14ac:dyDescent="0.25">
      <c r="A259" s="8">
        <v>44388</v>
      </c>
      <c r="B259" s="9">
        <v>1</v>
      </c>
      <c r="C259" s="10">
        <v>2466</v>
      </c>
      <c r="D259" s="11">
        <v>247813</v>
      </c>
      <c r="E259" s="12">
        <v>30678814357</v>
      </c>
      <c r="F259" s="13" t="s">
        <v>52</v>
      </c>
      <c r="G259" s="14">
        <v>1289</v>
      </c>
      <c r="H259" s="15"/>
      <c r="I259" s="15">
        <v>348.03000000000003</v>
      </c>
      <c r="J259" s="15"/>
      <c r="K259" s="15"/>
      <c r="L259" s="15"/>
      <c r="M259" s="15"/>
      <c r="N259" s="15"/>
      <c r="O259" s="16">
        <v>-22538.01</v>
      </c>
      <c r="P259" s="17">
        <f t="shared" si="12"/>
        <v>-20900.98</v>
      </c>
    </row>
    <row r="260" spans="1:16" x14ac:dyDescent="0.25">
      <c r="A260" s="8">
        <v>44389</v>
      </c>
      <c r="B260" s="9">
        <v>1</v>
      </c>
      <c r="C260" s="10">
        <v>122</v>
      </c>
      <c r="D260" s="11">
        <v>207148</v>
      </c>
      <c r="E260" s="12">
        <v>30594494187</v>
      </c>
      <c r="F260" s="13" t="s">
        <v>53</v>
      </c>
      <c r="G260" s="14">
        <v>5759.4</v>
      </c>
      <c r="H260" s="15">
        <v>1209.4739999999999</v>
      </c>
      <c r="I260" s="15"/>
      <c r="J260" s="15"/>
      <c r="K260" s="15"/>
      <c r="L260" s="15">
        <v>20841.349999999999</v>
      </c>
      <c r="M260" s="15"/>
      <c r="N260" s="15"/>
      <c r="O260" s="16"/>
      <c r="P260" s="17">
        <f t="shared" si="12"/>
        <v>27810.223999999998</v>
      </c>
    </row>
    <row r="261" spans="1:16" x14ac:dyDescent="0.25">
      <c r="A261" s="8">
        <v>44389</v>
      </c>
      <c r="B261" s="9">
        <v>1</v>
      </c>
      <c r="C261" s="10">
        <v>700</v>
      </c>
      <c r="D261" s="11">
        <v>247145</v>
      </c>
      <c r="E261" s="12">
        <v>30580111315</v>
      </c>
      <c r="F261" s="13" t="s">
        <v>30</v>
      </c>
      <c r="G261" s="14">
        <v>1363.5</v>
      </c>
      <c r="H261" s="15">
        <v>286.33499999999998</v>
      </c>
      <c r="I261" s="15"/>
      <c r="J261" s="15"/>
      <c r="K261" s="15"/>
      <c r="L261" s="15"/>
      <c r="M261" s="15"/>
      <c r="N261" s="15"/>
      <c r="O261" s="16"/>
      <c r="P261" s="17">
        <f t="shared" si="12"/>
        <v>1649.835</v>
      </c>
    </row>
    <row r="262" spans="1:16" x14ac:dyDescent="0.25">
      <c r="A262" s="8">
        <v>44389</v>
      </c>
      <c r="B262" s="9">
        <v>1</v>
      </c>
      <c r="C262" s="10">
        <v>4</v>
      </c>
      <c r="D262" s="11">
        <v>76327</v>
      </c>
      <c r="E262" s="12">
        <v>30559932236</v>
      </c>
      <c r="F262" s="13" t="s">
        <v>94</v>
      </c>
      <c r="G262" s="14">
        <v>851.21</v>
      </c>
      <c r="H262" s="15"/>
      <c r="I262" s="15"/>
      <c r="J262" s="15">
        <v>89.377049999999997</v>
      </c>
      <c r="K262" s="15"/>
      <c r="L262" s="15"/>
      <c r="M262" s="15"/>
      <c r="N262" s="15"/>
      <c r="O262" s="16"/>
      <c r="P262" s="17">
        <f t="shared" si="12"/>
        <v>940.58705000000009</v>
      </c>
    </row>
    <row r="263" spans="1:16" x14ac:dyDescent="0.25">
      <c r="A263" s="8">
        <v>44390</v>
      </c>
      <c r="B263" s="9">
        <v>1</v>
      </c>
      <c r="C263" s="10">
        <v>8</v>
      </c>
      <c r="D263" s="11">
        <v>5461</v>
      </c>
      <c r="E263" s="12">
        <v>30677784144</v>
      </c>
      <c r="F263" s="13" t="s">
        <v>76</v>
      </c>
      <c r="G263" s="14">
        <v>200568.8</v>
      </c>
      <c r="H263" s="15">
        <v>42119.447999999997</v>
      </c>
      <c r="I263" s="15"/>
      <c r="J263" s="15"/>
      <c r="K263" s="15"/>
      <c r="L263" s="15"/>
      <c r="M263" s="15"/>
      <c r="N263" s="15"/>
      <c r="O263" s="16"/>
      <c r="P263" s="17">
        <f t="shared" si="12"/>
        <v>242688.24799999999</v>
      </c>
    </row>
    <row r="264" spans="1:16" x14ac:dyDescent="0.25">
      <c r="A264" s="8">
        <v>44390</v>
      </c>
      <c r="B264" s="9">
        <v>1</v>
      </c>
      <c r="C264" s="10">
        <v>2</v>
      </c>
      <c r="D264" s="11">
        <v>111</v>
      </c>
      <c r="E264" s="12">
        <v>20125142851</v>
      </c>
      <c r="F264" s="13" t="s">
        <v>27</v>
      </c>
      <c r="G264" s="14">
        <v>16871.14</v>
      </c>
      <c r="H264" s="15">
        <v>3542.9393999999998</v>
      </c>
      <c r="I264" s="15"/>
      <c r="J264" s="15"/>
      <c r="K264" s="15"/>
      <c r="L264" s="15"/>
      <c r="M264" s="15"/>
      <c r="N264" s="15"/>
      <c r="O264" s="16"/>
      <c r="P264" s="17">
        <f t="shared" si="12"/>
        <v>20414.079399999999</v>
      </c>
    </row>
    <row r="265" spans="1:16" x14ac:dyDescent="0.25">
      <c r="A265" s="8">
        <v>44393</v>
      </c>
      <c r="B265" s="9">
        <v>1</v>
      </c>
      <c r="C265" s="10">
        <v>7</v>
      </c>
      <c r="D265" s="11">
        <v>49336</v>
      </c>
      <c r="E265" s="12">
        <v>30626629942</v>
      </c>
      <c r="F265" s="13" t="s">
        <v>100</v>
      </c>
      <c r="G265" s="14">
        <v>4335.46</v>
      </c>
      <c r="H265" s="15">
        <v>910.44659999999999</v>
      </c>
      <c r="I265" s="15"/>
      <c r="J265" s="15"/>
      <c r="K265" s="15"/>
      <c r="L265" s="15"/>
      <c r="M265" s="15"/>
      <c r="N265" s="15"/>
      <c r="O265" s="16"/>
      <c r="P265" s="17">
        <f t="shared" si="12"/>
        <v>5245.9066000000003</v>
      </c>
    </row>
    <row r="266" spans="1:16" x14ac:dyDescent="0.25">
      <c r="A266" s="8">
        <v>44394</v>
      </c>
      <c r="B266" s="9">
        <v>1</v>
      </c>
      <c r="C266" s="10">
        <v>122</v>
      </c>
      <c r="D266" s="11">
        <v>207912</v>
      </c>
      <c r="E266" s="12">
        <v>30594494187</v>
      </c>
      <c r="F266" s="13" t="s">
        <v>53</v>
      </c>
      <c r="G266" s="14">
        <v>4616.6400000000003</v>
      </c>
      <c r="H266" s="15">
        <v>969.49440000000004</v>
      </c>
      <c r="I266" s="15"/>
      <c r="J266" s="15"/>
      <c r="K266" s="15"/>
      <c r="L266" s="15">
        <v>3244.54</v>
      </c>
      <c r="M266" s="15"/>
      <c r="N266" s="15"/>
      <c r="O266" s="16"/>
      <c r="P266" s="17">
        <f t="shared" si="12"/>
        <v>8830.6743999999999</v>
      </c>
    </row>
    <row r="267" spans="1:16" x14ac:dyDescent="0.25">
      <c r="A267" s="8">
        <v>44396</v>
      </c>
      <c r="B267" s="9">
        <v>1</v>
      </c>
      <c r="C267" s="10">
        <v>4</v>
      </c>
      <c r="D267" s="11">
        <v>1321</v>
      </c>
      <c r="E267" s="12">
        <v>20068864934</v>
      </c>
      <c r="F267" s="13" t="s">
        <v>101</v>
      </c>
      <c r="G267" s="14">
        <v>881.62</v>
      </c>
      <c r="H267" s="15">
        <v>185.14019999999999</v>
      </c>
      <c r="I267" s="15"/>
      <c r="J267" s="15"/>
      <c r="K267" s="15"/>
      <c r="L267" s="15"/>
      <c r="M267" s="15"/>
      <c r="N267" s="15"/>
      <c r="O267" s="16">
        <v>-84419.912800000006</v>
      </c>
      <c r="P267" s="17">
        <f t="shared" si="12"/>
        <v>-83353.152600000001</v>
      </c>
    </row>
    <row r="268" spans="1:16" x14ac:dyDescent="0.25">
      <c r="A268" s="8">
        <v>44398</v>
      </c>
      <c r="B268" s="9">
        <v>1</v>
      </c>
      <c r="C268" s="10">
        <v>1</v>
      </c>
      <c r="D268" s="11">
        <v>376</v>
      </c>
      <c r="E268" s="12">
        <v>30715048066</v>
      </c>
      <c r="F268" s="13" t="s">
        <v>64</v>
      </c>
      <c r="G268" s="14">
        <v>108557.6</v>
      </c>
      <c r="H268" s="15">
        <v>22797.096000000001</v>
      </c>
      <c r="I268" s="15"/>
      <c r="J268" s="15"/>
      <c r="K268" s="15"/>
      <c r="L268" s="15"/>
      <c r="M268" s="15"/>
      <c r="N268" s="15"/>
      <c r="O268" s="16"/>
      <c r="P268" s="17">
        <f t="shared" si="12"/>
        <v>131354.696</v>
      </c>
    </row>
    <row r="269" spans="1:16" x14ac:dyDescent="0.25">
      <c r="A269" s="8">
        <v>44400</v>
      </c>
      <c r="B269" s="9">
        <v>1</v>
      </c>
      <c r="C269" s="10">
        <v>122</v>
      </c>
      <c r="D269" s="11">
        <v>208540</v>
      </c>
      <c r="E269" s="12">
        <v>30594494187</v>
      </c>
      <c r="F269" s="13" t="s">
        <v>53</v>
      </c>
      <c r="G269" s="14">
        <v>5784.6</v>
      </c>
      <c r="H269" s="15">
        <v>1214.7660000000001</v>
      </c>
      <c r="I269" s="15"/>
      <c r="J269" s="15"/>
      <c r="K269" s="15"/>
      <c r="L269" s="15">
        <v>20937.36</v>
      </c>
      <c r="M269" s="15"/>
      <c r="N269" s="15"/>
      <c r="O269" s="16"/>
      <c r="P269" s="17">
        <f t="shared" si="12"/>
        <v>27936.726000000002</v>
      </c>
    </row>
    <row r="270" spans="1:16" x14ac:dyDescent="0.25">
      <c r="A270" s="8">
        <v>44403</v>
      </c>
      <c r="B270" s="9">
        <v>1</v>
      </c>
      <c r="C270" s="10">
        <v>2</v>
      </c>
      <c r="D270" s="11">
        <v>112</v>
      </c>
      <c r="E270" s="12">
        <v>20125142851</v>
      </c>
      <c r="F270" s="13" t="s">
        <v>27</v>
      </c>
      <c r="G270" s="14">
        <v>16961.38</v>
      </c>
      <c r="H270" s="15">
        <v>3561.8897999999999</v>
      </c>
      <c r="I270" s="15"/>
      <c r="J270" s="15"/>
      <c r="K270" s="15"/>
      <c r="L270" s="15"/>
      <c r="M270" s="15"/>
      <c r="N270" s="15"/>
      <c r="O270" s="16"/>
      <c r="P270" s="17">
        <f t="shared" si="12"/>
        <v>20523.269800000002</v>
      </c>
    </row>
    <row r="271" spans="1:16" x14ac:dyDescent="0.25">
      <c r="A271" s="30">
        <v>44403</v>
      </c>
      <c r="B271" s="9">
        <v>1</v>
      </c>
      <c r="C271" s="10">
        <v>2078</v>
      </c>
      <c r="D271" s="11">
        <v>27949</v>
      </c>
      <c r="E271" s="12">
        <v>30548083156</v>
      </c>
      <c r="F271" s="13" t="s">
        <v>18</v>
      </c>
      <c r="G271" s="14">
        <v>18858.22</v>
      </c>
      <c r="H271" s="15">
        <v>3685.63</v>
      </c>
      <c r="I271" s="15"/>
      <c r="J271" s="15">
        <v>137.30000000000001</v>
      </c>
      <c r="K271" s="15"/>
      <c r="L271" s="15"/>
      <c r="M271" s="15"/>
      <c r="N271" s="15"/>
      <c r="O271" s="16"/>
      <c r="P271" s="17">
        <f t="shared" si="12"/>
        <v>22681.15</v>
      </c>
    </row>
    <row r="272" spans="1:16" x14ac:dyDescent="0.25">
      <c r="A272" s="30">
        <v>44403</v>
      </c>
      <c r="B272" s="9">
        <v>1</v>
      </c>
      <c r="C272" s="10">
        <v>4</v>
      </c>
      <c r="D272" s="11">
        <v>76806</v>
      </c>
      <c r="E272" s="12">
        <v>30559932236</v>
      </c>
      <c r="F272" s="13" t="s">
        <v>94</v>
      </c>
      <c r="G272" s="14">
        <v>41749.35</v>
      </c>
      <c r="H272" s="15">
        <v>5925.75</v>
      </c>
      <c r="I272" s="15"/>
      <c r="J272" s="15">
        <v>1420.81</v>
      </c>
      <c r="K272" s="15"/>
      <c r="L272" s="15"/>
      <c r="M272" s="15"/>
      <c r="N272" s="15"/>
      <c r="O272" s="16"/>
      <c r="P272" s="17">
        <f t="shared" si="12"/>
        <v>49095.909999999996</v>
      </c>
    </row>
    <row r="273" spans="1:16" x14ac:dyDescent="0.25">
      <c r="A273" s="30">
        <v>44403</v>
      </c>
      <c r="B273" s="9">
        <v>3</v>
      </c>
      <c r="C273" s="10">
        <v>122</v>
      </c>
      <c r="D273" s="11">
        <v>31187</v>
      </c>
      <c r="E273" s="12">
        <v>30594494187</v>
      </c>
      <c r="F273" s="13" t="s">
        <v>53</v>
      </c>
      <c r="G273" s="14">
        <v>-5784.6</v>
      </c>
      <c r="H273" s="15">
        <v>-1214.7660000000001</v>
      </c>
      <c r="I273" s="15"/>
      <c r="J273" s="15"/>
      <c r="K273" s="15"/>
      <c r="L273" s="15">
        <v>-20937.36</v>
      </c>
      <c r="M273" s="15"/>
      <c r="N273" s="15"/>
      <c r="O273" s="16"/>
      <c r="P273" s="17">
        <f t="shared" si="12"/>
        <v>-27936.726000000002</v>
      </c>
    </row>
    <row r="274" spans="1:16" x14ac:dyDescent="0.25">
      <c r="A274" s="30">
        <v>44405</v>
      </c>
      <c r="B274" s="9">
        <v>1</v>
      </c>
      <c r="C274" s="10">
        <v>106</v>
      </c>
      <c r="D274" s="11">
        <v>443188</v>
      </c>
      <c r="E274" s="12">
        <v>30594494187</v>
      </c>
      <c r="F274" s="13" t="s">
        <v>53</v>
      </c>
      <c r="G274" s="14">
        <v>6090</v>
      </c>
      <c r="H274" s="15">
        <v>1278.8999999999999</v>
      </c>
      <c r="I274" s="15"/>
      <c r="J274" s="15"/>
      <c r="K274" s="15">
        <v>20937.36</v>
      </c>
      <c r="L274" s="15"/>
      <c r="M274" s="15"/>
      <c r="N274" s="15"/>
      <c r="O274" s="16"/>
      <c r="P274" s="17">
        <f t="shared" si="12"/>
        <v>28306.260000000002</v>
      </c>
    </row>
    <row r="275" spans="1:16" x14ac:dyDescent="0.25">
      <c r="A275" s="30">
        <v>44405</v>
      </c>
      <c r="B275" s="9">
        <v>1</v>
      </c>
      <c r="C275" s="10">
        <v>8</v>
      </c>
      <c r="D275" s="11">
        <v>5768</v>
      </c>
      <c r="E275" s="12">
        <v>30677784144</v>
      </c>
      <c r="F275" s="13" t="s">
        <v>76</v>
      </c>
      <c r="G275" s="14">
        <v>128545.31</v>
      </c>
      <c r="H275" s="15">
        <v>26994.515099999997</v>
      </c>
      <c r="I275" s="15"/>
      <c r="J275" s="15"/>
      <c r="K275" s="15"/>
      <c r="L275" s="15"/>
      <c r="M275" s="15"/>
      <c r="N275" s="15"/>
      <c r="O275" s="16"/>
      <c r="P275" s="17">
        <f t="shared" si="12"/>
        <v>155539.82509999999</v>
      </c>
    </row>
    <row r="276" spans="1:16" x14ac:dyDescent="0.25">
      <c r="A276" s="30">
        <v>44406</v>
      </c>
      <c r="B276" s="9">
        <v>1</v>
      </c>
      <c r="C276" s="10">
        <v>2</v>
      </c>
      <c r="D276" s="11">
        <v>113</v>
      </c>
      <c r="E276" s="12">
        <v>20125142851</v>
      </c>
      <c r="F276" s="13" t="s">
        <v>27</v>
      </c>
      <c r="G276" s="14">
        <v>14976.52</v>
      </c>
      <c r="H276" s="15">
        <v>3145.0691999999999</v>
      </c>
      <c r="I276" s="15"/>
      <c r="J276" s="15"/>
      <c r="K276" s="15"/>
      <c r="L276" s="15"/>
      <c r="M276" s="15"/>
      <c r="N276" s="15"/>
      <c r="O276" s="16"/>
      <c r="P276" s="17">
        <f t="shared" si="12"/>
        <v>18121.589200000002</v>
      </c>
    </row>
    <row r="277" spans="1:16" x14ac:dyDescent="0.25">
      <c r="A277" s="30">
        <v>44406</v>
      </c>
      <c r="B277" s="9">
        <v>1</v>
      </c>
      <c r="C277" s="10">
        <v>8</v>
      </c>
      <c r="D277" s="11">
        <v>5785</v>
      </c>
      <c r="E277" s="12">
        <v>30677784144</v>
      </c>
      <c r="F277" s="13" t="s">
        <v>76</v>
      </c>
      <c r="G277" s="14">
        <v>386037.4</v>
      </c>
      <c r="H277" s="15">
        <v>81067.854000000007</v>
      </c>
      <c r="I277" s="15"/>
      <c r="J277" s="15"/>
      <c r="K277" s="15"/>
      <c r="L277" s="15"/>
      <c r="M277" s="15"/>
      <c r="N277" s="15"/>
      <c r="O277" s="16"/>
      <c r="P277" s="17">
        <f t="shared" si="12"/>
        <v>467105.25400000002</v>
      </c>
    </row>
    <row r="278" spans="1:16" x14ac:dyDescent="0.25">
      <c r="A278" s="30">
        <v>44407</v>
      </c>
      <c r="B278" s="9">
        <v>1</v>
      </c>
      <c r="C278" s="10">
        <v>8</v>
      </c>
      <c r="D278" s="11">
        <v>8460</v>
      </c>
      <c r="E278" s="12">
        <v>30708138165</v>
      </c>
      <c r="F278" s="13" t="s">
        <v>99</v>
      </c>
      <c r="G278" s="14">
        <v>4685.95</v>
      </c>
      <c r="H278" s="15">
        <v>984.04949999999997</v>
      </c>
      <c r="I278" s="15"/>
      <c r="J278" s="15"/>
      <c r="K278" s="15"/>
      <c r="L278" s="15"/>
      <c r="M278" s="15"/>
      <c r="N278" s="15"/>
      <c r="O278" s="16"/>
      <c r="P278" s="17">
        <f t="shared" si="12"/>
        <v>5669.9994999999999</v>
      </c>
    </row>
    <row r="279" spans="1:16" x14ac:dyDescent="0.25">
      <c r="A279" s="30">
        <v>44407</v>
      </c>
      <c r="B279" s="9">
        <v>3</v>
      </c>
      <c r="C279" s="10">
        <v>8</v>
      </c>
      <c r="D279" s="11">
        <v>770</v>
      </c>
      <c r="E279" s="12">
        <v>30677784144</v>
      </c>
      <c r="F279" s="13" t="s">
        <v>76</v>
      </c>
      <c r="G279" s="14">
        <v>-128545.31</v>
      </c>
      <c r="H279" s="15">
        <v>-26994.515099999997</v>
      </c>
      <c r="I279" s="15"/>
      <c r="J279" s="15"/>
      <c r="K279" s="15"/>
      <c r="L279" s="15"/>
      <c r="M279" s="15"/>
      <c r="N279" s="15"/>
      <c r="O279" s="16"/>
      <c r="P279" s="17">
        <f t="shared" si="12"/>
        <v>-155539.82509999999</v>
      </c>
    </row>
    <row r="280" spans="1:16" x14ac:dyDescent="0.25">
      <c r="A280" s="30">
        <v>44407</v>
      </c>
      <c r="B280" s="9">
        <v>3</v>
      </c>
      <c r="C280" s="10">
        <v>8</v>
      </c>
      <c r="D280" s="11">
        <v>771</v>
      </c>
      <c r="E280" s="12">
        <v>30677784144</v>
      </c>
      <c r="F280" s="13" t="s">
        <v>76</v>
      </c>
      <c r="G280" s="14">
        <v>-386037.4</v>
      </c>
      <c r="H280" s="15">
        <v>-81067.854000000007</v>
      </c>
      <c r="I280" s="15"/>
      <c r="J280" s="15"/>
      <c r="K280" s="15"/>
      <c r="L280" s="15"/>
      <c r="M280" s="15"/>
      <c r="N280" s="15"/>
      <c r="O280" s="16"/>
      <c r="P280" s="17">
        <f t="shared" si="12"/>
        <v>-467105.25400000002</v>
      </c>
    </row>
    <row r="281" spans="1:16" x14ac:dyDescent="0.25">
      <c r="A281" s="30">
        <v>44408</v>
      </c>
      <c r="B281" s="9">
        <v>99</v>
      </c>
      <c r="C281" s="10">
        <v>1</v>
      </c>
      <c r="D281" s="11">
        <v>31072021</v>
      </c>
      <c r="E281" s="12" t="s">
        <v>70</v>
      </c>
      <c r="F281" s="13" t="s">
        <v>22</v>
      </c>
      <c r="G281" s="14">
        <v>2529.5238095238101</v>
      </c>
      <c r="H281" s="15">
        <v>531.20000000000005</v>
      </c>
      <c r="I281" s="15"/>
      <c r="J281" s="15"/>
      <c r="K281" s="15"/>
      <c r="L281" s="15"/>
      <c r="M281" s="15"/>
      <c r="N281" s="15"/>
      <c r="O281" s="16"/>
      <c r="P281" s="17">
        <f t="shared" si="12"/>
        <v>3060.7238095238099</v>
      </c>
    </row>
    <row r="282" spans="1:16" x14ac:dyDescent="0.25">
      <c r="A282" s="30">
        <v>44408</v>
      </c>
      <c r="B282" s="9">
        <v>99</v>
      </c>
      <c r="C282" s="10">
        <v>1</v>
      </c>
      <c r="D282" s="11">
        <v>31202107</v>
      </c>
      <c r="E282" s="12" t="s">
        <v>70</v>
      </c>
      <c r="F282" s="13" t="s">
        <v>22</v>
      </c>
      <c r="G282" s="14">
        <v>11026.2</v>
      </c>
      <c r="H282" s="15">
        <v>2315.502</v>
      </c>
      <c r="I282" s="15"/>
      <c r="J282" s="15"/>
      <c r="K282" s="15"/>
      <c r="L282" s="15"/>
      <c r="M282" s="15">
        <v>330.79</v>
      </c>
      <c r="N282" s="15"/>
      <c r="O282" s="16"/>
      <c r="P282" s="17">
        <f t="shared" si="12"/>
        <v>13672.492000000002</v>
      </c>
    </row>
    <row r="283" spans="1:16" x14ac:dyDescent="0.25">
      <c r="A283" s="30">
        <v>44408</v>
      </c>
      <c r="B283" s="9">
        <v>99</v>
      </c>
      <c r="C283" s="10">
        <v>1</v>
      </c>
      <c r="D283" s="11">
        <v>20210731</v>
      </c>
      <c r="E283" s="12" t="s">
        <v>70</v>
      </c>
      <c r="F283" s="13" t="s">
        <v>22</v>
      </c>
      <c r="G283" s="14">
        <v>4799.5</v>
      </c>
      <c r="H283" s="15">
        <v>1007.895</v>
      </c>
      <c r="I283" s="15"/>
      <c r="J283" s="15"/>
      <c r="K283" s="15"/>
      <c r="L283" s="15"/>
      <c r="M283" s="15">
        <v>143.99</v>
      </c>
      <c r="N283" s="15"/>
      <c r="O283" s="16"/>
      <c r="P283" s="17">
        <f t="shared" si="12"/>
        <v>5951.3850000000002</v>
      </c>
    </row>
    <row r="284" spans="1:16" x14ac:dyDescent="0.25">
      <c r="A284" s="30">
        <v>44408</v>
      </c>
      <c r="B284" s="9">
        <v>99</v>
      </c>
      <c r="C284" s="10">
        <v>1</v>
      </c>
      <c r="D284" s="11">
        <v>20213107</v>
      </c>
      <c r="E284" s="12" t="s">
        <v>70</v>
      </c>
      <c r="F284" s="13" t="s">
        <v>22</v>
      </c>
      <c r="G284" s="14">
        <v>14350.67</v>
      </c>
      <c r="H284" s="15">
        <v>3013.6406999999999</v>
      </c>
      <c r="I284" s="15"/>
      <c r="J284" s="15"/>
      <c r="K284" s="15"/>
      <c r="L284" s="15"/>
      <c r="M284" s="15">
        <v>430.52</v>
      </c>
      <c r="N284" s="15"/>
      <c r="O284" s="16"/>
      <c r="P284" s="17">
        <f t="shared" si="12"/>
        <v>17794.830700000002</v>
      </c>
    </row>
    <row r="285" spans="1:16" x14ac:dyDescent="0.25">
      <c r="A285" s="30">
        <v>44408</v>
      </c>
      <c r="B285" s="9">
        <v>99</v>
      </c>
      <c r="C285" s="10">
        <v>1</v>
      </c>
      <c r="D285" s="11">
        <v>7312021</v>
      </c>
      <c r="E285" s="12" t="s">
        <v>70</v>
      </c>
      <c r="F285" s="13" t="s">
        <v>22</v>
      </c>
      <c r="G285" s="14">
        <v>2403</v>
      </c>
      <c r="H285" s="15">
        <v>504.63</v>
      </c>
      <c r="I285" s="15"/>
      <c r="J285" s="15"/>
      <c r="K285" s="15"/>
      <c r="L285" s="15"/>
      <c r="M285" s="15">
        <v>72.09</v>
      </c>
      <c r="N285" s="15"/>
      <c r="O285" s="16"/>
      <c r="P285" s="17">
        <f t="shared" si="12"/>
        <v>2979.7200000000003</v>
      </c>
    </row>
    <row r="286" spans="1:16" x14ac:dyDescent="0.25">
      <c r="A286" s="30">
        <v>44408</v>
      </c>
      <c r="B286" s="9">
        <v>99</v>
      </c>
      <c r="C286" s="10">
        <v>1</v>
      </c>
      <c r="D286" s="11">
        <v>7202131</v>
      </c>
      <c r="E286" s="12" t="s">
        <v>70</v>
      </c>
      <c r="F286" s="13" t="s">
        <v>22</v>
      </c>
      <c r="G286" s="14">
        <v>7227</v>
      </c>
      <c r="H286" s="15">
        <v>1517.67</v>
      </c>
      <c r="I286" s="15"/>
      <c r="J286" s="15"/>
      <c r="K286" s="15"/>
      <c r="L286" s="15"/>
      <c r="M286" s="15">
        <v>216.81</v>
      </c>
      <c r="N286" s="15"/>
      <c r="O286" s="16"/>
      <c r="P286" s="17">
        <f t="shared" si="12"/>
        <v>8961.48</v>
      </c>
    </row>
    <row r="287" spans="1:16" x14ac:dyDescent="0.25">
      <c r="A287" s="30">
        <v>44408</v>
      </c>
      <c r="B287" s="9">
        <v>99</v>
      </c>
      <c r="C287" s="10">
        <v>1</v>
      </c>
      <c r="D287" s="11">
        <v>310721</v>
      </c>
      <c r="E287" s="12" t="s">
        <v>70</v>
      </c>
      <c r="F287" s="13" t="s">
        <v>22</v>
      </c>
      <c r="G287" s="14">
        <v>11113.6</v>
      </c>
      <c r="H287" s="15">
        <v>2333.8560000000002</v>
      </c>
      <c r="I287" s="15"/>
      <c r="J287" s="15"/>
      <c r="K287" s="15"/>
      <c r="L287" s="15"/>
      <c r="M287" s="15">
        <v>333.41</v>
      </c>
      <c r="N287" s="15"/>
      <c r="O287" s="16"/>
      <c r="P287" s="17">
        <f t="shared" si="12"/>
        <v>13780.866</v>
      </c>
    </row>
    <row r="288" spans="1:16" x14ac:dyDescent="0.25">
      <c r="A288" s="30">
        <v>44408</v>
      </c>
      <c r="B288" s="9">
        <v>99</v>
      </c>
      <c r="C288" s="10">
        <v>1</v>
      </c>
      <c r="D288" s="11">
        <v>312107</v>
      </c>
      <c r="E288" s="12" t="s">
        <v>70</v>
      </c>
      <c r="F288" s="13" t="s">
        <v>22</v>
      </c>
      <c r="G288" s="14">
        <v>80</v>
      </c>
      <c r="H288" s="15">
        <v>16.8</v>
      </c>
      <c r="I288" s="15"/>
      <c r="J288" s="15"/>
      <c r="K288" s="15"/>
      <c r="L288" s="15"/>
      <c r="M288" s="15"/>
      <c r="N288" s="15"/>
      <c r="O288" s="16"/>
      <c r="P288" s="17">
        <f t="shared" si="12"/>
        <v>96.8</v>
      </c>
    </row>
    <row r="289" spans="1:16" ht="15" customHeight="1" thickBot="1" x14ac:dyDescent="0.3">
      <c r="A289" s="129" t="s">
        <v>51</v>
      </c>
      <c r="B289" s="130"/>
      <c r="C289" s="130"/>
      <c r="D289" s="130"/>
      <c r="E289" s="130"/>
      <c r="F289" s="130"/>
      <c r="G289" s="45">
        <f>SUM(G248:G288)</f>
        <v>738499.46740952355</v>
      </c>
      <c r="H289" s="45">
        <f t="shared" ref="H289:P289" si="13">SUM(H248:H288)</f>
        <v>151505.12265600002</v>
      </c>
      <c r="I289" s="45">
        <f t="shared" si="13"/>
        <v>348.03000000000003</v>
      </c>
      <c r="J289" s="45">
        <f t="shared" si="13"/>
        <v>1654.5370499999999</v>
      </c>
      <c r="K289" s="45">
        <f t="shared" si="13"/>
        <v>24154.95</v>
      </c>
      <c r="L289" s="45">
        <f t="shared" si="13"/>
        <v>24085.89</v>
      </c>
      <c r="M289" s="45">
        <f t="shared" si="13"/>
        <v>1527.6100000000001</v>
      </c>
      <c r="N289" s="45">
        <f t="shared" si="13"/>
        <v>0</v>
      </c>
      <c r="O289" s="45">
        <f t="shared" si="13"/>
        <v>-133639.0968</v>
      </c>
      <c r="P289" s="45">
        <f t="shared" si="13"/>
        <v>808136.51031552406</v>
      </c>
    </row>
    <row r="290" spans="1:16" ht="13.5" customHeight="1" thickBot="1" x14ac:dyDescent="0.3">
      <c r="G290" s="28"/>
      <c r="H290" s="126">
        <f>SUM(H289:J289)</f>
        <v>153507.68970600003</v>
      </c>
      <c r="I290" s="127"/>
      <c r="J290" s="128"/>
      <c r="K290" s="28"/>
      <c r="L290" s="28"/>
      <c r="M290" s="28"/>
      <c r="N290" s="28"/>
      <c r="O290" s="28"/>
      <c r="P290" s="28"/>
    </row>
    <row r="291" spans="1:16" ht="15.75" thickTop="1" x14ac:dyDescent="0.25">
      <c r="G291" s="28"/>
      <c r="H291" s="28"/>
      <c r="I291" s="28"/>
      <c r="J291" s="28"/>
      <c r="K291" s="28"/>
      <c r="L291" s="28"/>
      <c r="M291" s="28"/>
      <c r="N291" s="28"/>
      <c r="O291" s="28"/>
      <c r="P291" s="28"/>
    </row>
    <row r="292" spans="1:16" ht="18.75" customHeight="1" x14ac:dyDescent="0.45">
      <c r="A292" s="1" t="s">
        <v>0</v>
      </c>
      <c r="B292" s="1"/>
      <c r="C292" s="1"/>
      <c r="D292" s="1"/>
      <c r="E292" s="1"/>
      <c r="F292" s="1"/>
      <c r="G292" s="2"/>
      <c r="H292" s="2"/>
      <c r="I292" s="2"/>
      <c r="J292" s="2"/>
      <c r="K292" s="2"/>
      <c r="L292" s="2"/>
      <c r="M292" s="3"/>
      <c r="N292" s="4">
        <v>44409</v>
      </c>
      <c r="O292" s="3"/>
      <c r="P292" s="3"/>
    </row>
    <row r="293" spans="1:16" ht="9.75" customHeight="1" thickBot="1" x14ac:dyDescent="0.5">
      <c r="A293" s="1"/>
      <c r="B293" s="1"/>
      <c r="C293" s="1"/>
      <c r="D293" s="1"/>
      <c r="E293" s="1"/>
      <c r="F293" s="1"/>
      <c r="G293" s="2"/>
      <c r="H293" s="2"/>
      <c r="I293" s="2"/>
      <c r="J293" s="2"/>
      <c r="K293" s="2"/>
      <c r="L293" s="2"/>
      <c r="M293" s="3"/>
      <c r="N293" s="3"/>
      <c r="O293" s="3"/>
      <c r="P293" s="3"/>
    </row>
    <row r="294" spans="1:16" ht="11.25" customHeight="1" x14ac:dyDescent="0.25">
      <c r="A294" s="33" t="s">
        <v>1</v>
      </c>
      <c r="B294" s="34" t="s">
        <v>2</v>
      </c>
      <c r="C294" s="34" t="s">
        <v>3</v>
      </c>
      <c r="D294" s="34" t="s">
        <v>4</v>
      </c>
      <c r="E294" s="34" t="s">
        <v>5</v>
      </c>
      <c r="F294" s="34" t="s">
        <v>6</v>
      </c>
      <c r="G294" s="34" t="s">
        <v>7</v>
      </c>
      <c r="H294" s="34" t="s">
        <v>8</v>
      </c>
      <c r="I294" s="34" t="s">
        <v>9</v>
      </c>
      <c r="J294" s="34" t="s">
        <v>10</v>
      </c>
      <c r="K294" s="34" t="s">
        <v>11</v>
      </c>
      <c r="L294" s="34" t="s">
        <v>12</v>
      </c>
      <c r="M294" s="34" t="s">
        <v>13</v>
      </c>
      <c r="N294" s="34" t="s">
        <v>14</v>
      </c>
      <c r="O294" s="34" t="s">
        <v>15</v>
      </c>
      <c r="P294" s="35" t="s">
        <v>16</v>
      </c>
    </row>
    <row r="295" spans="1:16" x14ac:dyDescent="0.25">
      <c r="A295" s="8">
        <v>44409</v>
      </c>
      <c r="B295" s="9">
        <v>1</v>
      </c>
      <c r="C295" s="10">
        <v>3</v>
      </c>
      <c r="D295" s="11">
        <v>131145</v>
      </c>
      <c r="E295" s="12">
        <v>30707135596</v>
      </c>
      <c r="F295" s="13" t="s">
        <v>17</v>
      </c>
      <c r="G295" s="14">
        <v>1845.97</v>
      </c>
      <c r="H295" s="15">
        <v>387.65370000000001</v>
      </c>
      <c r="I295" s="15"/>
      <c r="J295" s="15"/>
      <c r="K295" s="15"/>
      <c r="L295" s="15"/>
      <c r="M295" s="15"/>
      <c r="N295" s="15"/>
      <c r="O295" s="16"/>
      <c r="P295" s="17">
        <f>SUM(G295:O295)</f>
        <v>2233.6237000000001</v>
      </c>
    </row>
    <row r="296" spans="1:16" x14ac:dyDescent="0.25">
      <c r="A296" s="8">
        <v>44409</v>
      </c>
      <c r="B296" s="9">
        <v>1</v>
      </c>
      <c r="C296" s="10">
        <v>3</v>
      </c>
      <c r="D296" s="11">
        <v>434</v>
      </c>
      <c r="E296" s="12">
        <v>30715402765</v>
      </c>
      <c r="F296" s="13" t="s">
        <v>29</v>
      </c>
      <c r="G296" s="14">
        <v>5371.9</v>
      </c>
      <c r="H296" s="15">
        <v>1128.0989999999999</v>
      </c>
      <c r="I296" s="15"/>
      <c r="J296" s="15"/>
      <c r="K296" s="15"/>
      <c r="L296" s="15"/>
      <c r="M296" s="15"/>
      <c r="N296" s="15"/>
      <c r="O296" s="16"/>
      <c r="P296" s="17">
        <f t="shared" ref="P296:P344" si="14">SUM(G296:O296)</f>
        <v>6499.9989999999998</v>
      </c>
    </row>
    <row r="297" spans="1:16" x14ac:dyDescent="0.25">
      <c r="A297" s="8">
        <v>44410</v>
      </c>
      <c r="B297" s="9">
        <v>1</v>
      </c>
      <c r="C297" s="10">
        <v>2</v>
      </c>
      <c r="D297" s="11">
        <v>871</v>
      </c>
      <c r="E297" s="12">
        <v>30573843440</v>
      </c>
      <c r="F297" s="13" t="s">
        <v>43</v>
      </c>
      <c r="G297" s="14">
        <v>96690</v>
      </c>
      <c r="H297" s="15">
        <v>20304.899999999998</v>
      </c>
      <c r="I297" s="15"/>
      <c r="J297" s="15"/>
      <c r="K297" s="15"/>
      <c r="L297" s="15"/>
      <c r="M297" s="15"/>
      <c r="N297" s="15"/>
      <c r="O297" s="16"/>
      <c r="P297" s="17">
        <f t="shared" si="14"/>
        <v>116994.9</v>
      </c>
    </row>
    <row r="298" spans="1:16" x14ac:dyDescent="0.25">
      <c r="A298" s="8">
        <v>44410</v>
      </c>
      <c r="B298" s="9">
        <v>1</v>
      </c>
      <c r="C298" s="10">
        <v>3</v>
      </c>
      <c r="D298" s="11">
        <v>6188</v>
      </c>
      <c r="E298" s="12">
        <v>30710212127</v>
      </c>
      <c r="F298" s="13" t="s">
        <v>102</v>
      </c>
      <c r="G298" s="14">
        <v>1351748.7</v>
      </c>
      <c r="H298" s="15">
        <v>283867.22699999996</v>
      </c>
      <c r="I298" s="15"/>
      <c r="J298" s="15"/>
      <c r="K298" s="15"/>
      <c r="L298" s="15"/>
      <c r="M298" s="15"/>
      <c r="N298" s="15"/>
      <c r="O298" s="16"/>
      <c r="P298" s="17">
        <f t="shared" si="14"/>
        <v>1635615.9269999999</v>
      </c>
    </row>
    <row r="299" spans="1:16" x14ac:dyDescent="0.25">
      <c r="A299" s="8">
        <v>44411</v>
      </c>
      <c r="B299" s="9">
        <v>1</v>
      </c>
      <c r="C299" s="10">
        <v>3</v>
      </c>
      <c r="D299" s="11">
        <v>428631</v>
      </c>
      <c r="E299" s="12">
        <v>30712019359</v>
      </c>
      <c r="F299" s="13" t="s">
        <v>75</v>
      </c>
      <c r="G299" s="14">
        <v>2147.9299999999998</v>
      </c>
      <c r="H299" s="15">
        <v>451.06529999999992</v>
      </c>
      <c r="I299" s="15"/>
      <c r="J299" s="15"/>
      <c r="K299" s="15"/>
      <c r="L299" s="15"/>
      <c r="M299" s="15"/>
      <c r="N299" s="15"/>
      <c r="O299" s="16"/>
      <c r="P299" s="17">
        <f t="shared" si="14"/>
        <v>2598.9952999999996</v>
      </c>
    </row>
    <row r="300" spans="1:16" x14ac:dyDescent="0.25">
      <c r="A300" s="8">
        <v>44412</v>
      </c>
      <c r="B300" s="9">
        <v>1</v>
      </c>
      <c r="C300" s="10">
        <v>122</v>
      </c>
      <c r="D300" s="11">
        <v>209767</v>
      </c>
      <c r="E300" s="12">
        <v>30594494187</v>
      </c>
      <c r="F300" s="13" t="s">
        <v>53</v>
      </c>
      <c r="G300" s="14">
        <v>5227.74</v>
      </c>
      <c r="H300" s="15">
        <v>1097.8253999999999</v>
      </c>
      <c r="I300" s="15"/>
      <c r="J300" s="15"/>
      <c r="K300" s="15"/>
      <c r="L300" s="15">
        <v>8895.8700000000008</v>
      </c>
      <c r="M300" s="15"/>
      <c r="N300" s="15"/>
      <c r="O300" s="16"/>
      <c r="P300" s="17">
        <f t="shared" si="14"/>
        <v>15221.4354</v>
      </c>
    </row>
    <row r="301" spans="1:16" x14ac:dyDescent="0.25">
      <c r="A301" s="8">
        <v>44412</v>
      </c>
      <c r="B301" s="9">
        <v>1</v>
      </c>
      <c r="C301" s="10">
        <v>4</v>
      </c>
      <c r="D301" s="11">
        <v>77127</v>
      </c>
      <c r="E301" s="12">
        <v>30559932236</v>
      </c>
      <c r="F301" s="13" t="s">
        <v>94</v>
      </c>
      <c r="G301" s="14">
        <v>13603.01</v>
      </c>
      <c r="H301" s="15"/>
      <c r="I301" s="15"/>
      <c r="J301" s="15">
        <v>1428.3160500000001</v>
      </c>
      <c r="K301" s="15"/>
      <c r="L301" s="15"/>
      <c r="M301" s="15"/>
      <c r="N301" s="15"/>
      <c r="O301" s="16"/>
      <c r="P301" s="17">
        <f t="shared" si="14"/>
        <v>15031.32605</v>
      </c>
    </row>
    <row r="302" spans="1:16" x14ac:dyDescent="0.25">
      <c r="A302" s="8">
        <v>44413</v>
      </c>
      <c r="B302" s="9">
        <v>1</v>
      </c>
      <c r="C302" s="10">
        <v>3</v>
      </c>
      <c r="D302" s="11">
        <v>14830</v>
      </c>
      <c r="E302" s="12">
        <v>30707468161</v>
      </c>
      <c r="F302" s="13" t="s">
        <v>103</v>
      </c>
      <c r="G302" s="14">
        <v>25500</v>
      </c>
      <c r="H302" s="15">
        <v>5355</v>
      </c>
      <c r="I302" s="15"/>
      <c r="J302" s="15"/>
      <c r="K302" s="15"/>
      <c r="L302" s="15"/>
      <c r="M302" s="15"/>
      <c r="N302" s="15">
        <v>15984.34</v>
      </c>
      <c r="O302" s="16"/>
      <c r="P302" s="17">
        <f t="shared" si="14"/>
        <v>46839.34</v>
      </c>
    </row>
    <row r="303" spans="1:16" x14ac:dyDescent="0.25">
      <c r="A303" s="8">
        <v>44413</v>
      </c>
      <c r="B303" s="9">
        <v>1</v>
      </c>
      <c r="C303" s="10">
        <v>8</v>
      </c>
      <c r="D303" s="11">
        <v>5787</v>
      </c>
      <c r="E303" s="12">
        <v>30677784144</v>
      </c>
      <c r="F303" s="13" t="s">
        <v>76</v>
      </c>
      <c r="G303" s="14">
        <v>532811.49</v>
      </c>
      <c r="H303" s="15">
        <v>111890.4129</v>
      </c>
      <c r="I303" s="15"/>
      <c r="J303" s="15"/>
      <c r="K303" s="15"/>
      <c r="L303" s="15"/>
      <c r="M303" s="15"/>
      <c r="N303" s="15"/>
      <c r="O303" s="16"/>
      <c r="P303" s="17">
        <f t="shared" si="14"/>
        <v>644701.90289999999</v>
      </c>
    </row>
    <row r="304" spans="1:16" x14ac:dyDescent="0.25">
      <c r="A304" s="8">
        <v>44415</v>
      </c>
      <c r="B304" s="9">
        <v>3</v>
      </c>
      <c r="C304" s="10">
        <v>122</v>
      </c>
      <c r="D304" s="11">
        <v>31369</v>
      </c>
      <c r="E304" s="12">
        <v>30594494187</v>
      </c>
      <c r="F304" s="13" t="s">
        <v>53</v>
      </c>
      <c r="G304" s="14">
        <v>-5227.74</v>
      </c>
      <c r="H304" s="15">
        <v>-1097.8253999999999</v>
      </c>
      <c r="I304" s="15"/>
      <c r="J304" s="15"/>
      <c r="K304" s="15"/>
      <c r="L304" s="15">
        <v>-8895.8700000000008</v>
      </c>
      <c r="M304" s="15"/>
      <c r="N304" s="15"/>
      <c r="O304" s="16"/>
      <c r="P304" s="17">
        <f t="shared" si="14"/>
        <v>-15221.4354</v>
      </c>
    </row>
    <row r="305" spans="1:16" x14ac:dyDescent="0.25">
      <c r="A305" s="8">
        <v>44415</v>
      </c>
      <c r="B305" s="9">
        <v>1</v>
      </c>
      <c r="C305" s="10">
        <v>280</v>
      </c>
      <c r="D305" s="11">
        <v>1311076</v>
      </c>
      <c r="E305" s="12">
        <v>30580111315</v>
      </c>
      <c r="F305" s="13" t="s">
        <v>30</v>
      </c>
      <c r="G305" s="14">
        <v>17980.764000000003</v>
      </c>
      <c r="H305" s="15">
        <v>3775.96</v>
      </c>
      <c r="I305" s="15"/>
      <c r="J305" s="15"/>
      <c r="K305" s="15"/>
      <c r="L305" s="15"/>
      <c r="M305" s="15">
        <v>726.57</v>
      </c>
      <c r="N305" s="15"/>
      <c r="O305" s="16">
        <v>-12666.78</v>
      </c>
      <c r="P305" s="17">
        <f t="shared" si="14"/>
        <v>9816.514000000001</v>
      </c>
    </row>
    <row r="306" spans="1:16" x14ac:dyDescent="0.25">
      <c r="A306" s="8">
        <v>44417</v>
      </c>
      <c r="B306" s="9">
        <v>1</v>
      </c>
      <c r="C306" s="10">
        <v>2118</v>
      </c>
      <c r="D306" s="11">
        <v>26225</v>
      </c>
      <c r="E306" s="12">
        <v>30590360763</v>
      </c>
      <c r="F306" s="13" t="s">
        <v>104</v>
      </c>
      <c r="G306" s="14">
        <v>24219.01</v>
      </c>
      <c r="H306" s="15">
        <v>5085.9920999999995</v>
      </c>
      <c r="I306" s="15"/>
      <c r="J306" s="15"/>
      <c r="K306" s="15"/>
      <c r="L306" s="15"/>
      <c r="M306" s="15"/>
      <c r="N306" s="15"/>
      <c r="O306" s="16"/>
      <c r="P306" s="17">
        <f t="shared" si="14"/>
        <v>29305.002099999998</v>
      </c>
    </row>
    <row r="307" spans="1:16" x14ac:dyDescent="0.25">
      <c r="A307" s="8">
        <v>44419</v>
      </c>
      <c r="B307" s="9">
        <v>1</v>
      </c>
      <c r="C307" s="10">
        <v>2466</v>
      </c>
      <c r="D307" s="11">
        <v>258218</v>
      </c>
      <c r="E307" s="12">
        <v>30678814357</v>
      </c>
      <c r="F307" s="13" t="s">
        <v>52</v>
      </c>
      <c r="G307" s="14">
        <v>1538.58</v>
      </c>
      <c r="H307" s="15"/>
      <c r="I307" s="15">
        <v>415.41659999999996</v>
      </c>
      <c r="J307" s="15"/>
      <c r="K307" s="15"/>
      <c r="L307" s="15"/>
      <c r="M307" s="15"/>
      <c r="N307" s="15"/>
      <c r="O307" s="16"/>
      <c r="P307" s="17">
        <f t="shared" si="14"/>
        <v>1953.9965999999999</v>
      </c>
    </row>
    <row r="308" spans="1:16" x14ac:dyDescent="0.25">
      <c r="A308" s="8">
        <v>44420</v>
      </c>
      <c r="B308" s="9">
        <v>3</v>
      </c>
      <c r="C308" s="10">
        <v>4</v>
      </c>
      <c r="D308" s="11">
        <v>6726</v>
      </c>
      <c r="E308" s="12">
        <v>30559932236</v>
      </c>
      <c r="F308" s="13" t="s">
        <v>94</v>
      </c>
      <c r="G308" s="14">
        <v>-24349.599999999999</v>
      </c>
      <c r="H308" s="15">
        <v>-5113.4159999999993</v>
      </c>
      <c r="I308" s="15"/>
      <c r="J308" s="15"/>
      <c r="K308" s="15"/>
      <c r="L308" s="15"/>
      <c r="M308" s="15"/>
      <c r="N308" s="15"/>
      <c r="O308" s="16"/>
      <c r="P308" s="17">
        <f t="shared" si="14"/>
        <v>-29463.015999999996</v>
      </c>
    </row>
    <row r="309" spans="1:16" x14ac:dyDescent="0.25">
      <c r="A309" s="8">
        <v>44420</v>
      </c>
      <c r="B309" s="9">
        <v>1</v>
      </c>
      <c r="C309" s="10">
        <v>106</v>
      </c>
      <c r="D309" s="11">
        <v>447727</v>
      </c>
      <c r="E309" s="12">
        <v>30594494187</v>
      </c>
      <c r="F309" s="13" t="s">
        <v>53</v>
      </c>
      <c r="G309" s="14">
        <v>14703.3</v>
      </c>
      <c r="H309" s="15">
        <v>3087.6929999999998</v>
      </c>
      <c r="I309" s="15"/>
      <c r="J309" s="15"/>
      <c r="K309" s="15">
        <v>552</v>
      </c>
      <c r="L309" s="15"/>
      <c r="M309" s="15"/>
      <c r="N309" s="15">
        <v>6014.28</v>
      </c>
      <c r="O309" s="16"/>
      <c r="P309" s="17">
        <f t="shared" si="14"/>
        <v>24357.272999999997</v>
      </c>
    </row>
    <row r="310" spans="1:16" x14ac:dyDescent="0.25">
      <c r="A310" s="8">
        <v>44420</v>
      </c>
      <c r="B310" s="9">
        <v>1</v>
      </c>
      <c r="C310" s="10">
        <v>8</v>
      </c>
      <c r="D310" s="11">
        <v>5792</v>
      </c>
      <c r="E310" s="12">
        <v>30677784144</v>
      </c>
      <c r="F310" s="13" t="s">
        <v>76</v>
      </c>
      <c r="G310" s="14">
        <v>200476.06</v>
      </c>
      <c r="H310" s="15">
        <v>42099.972600000001</v>
      </c>
      <c r="I310" s="15"/>
      <c r="J310" s="15"/>
      <c r="K310" s="15"/>
      <c r="L310" s="15"/>
      <c r="M310" s="15"/>
      <c r="N310" s="15"/>
      <c r="O310" s="16"/>
      <c r="P310" s="17">
        <f t="shared" si="14"/>
        <v>242576.03260000001</v>
      </c>
    </row>
    <row r="311" spans="1:16" x14ac:dyDescent="0.25">
      <c r="A311" s="8">
        <v>44421</v>
      </c>
      <c r="B311" s="9">
        <v>1</v>
      </c>
      <c r="C311" s="10">
        <v>122</v>
      </c>
      <c r="D311" s="11">
        <v>210855</v>
      </c>
      <c r="E311" s="12">
        <v>30594494187</v>
      </c>
      <c r="F311" s="13" t="s">
        <v>53</v>
      </c>
      <c r="G311" s="14">
        <v>5824.2</v>
      </c>
      <c r="H311" s="15">
        <v>1223.0819999999999</v>
      </c>
      <c r="I311" s="15"/>
      <c r="J311" s="15"/>
      <c r="K311" s="15"/>
      <c r="L311" s="15">
        <v>24796.53</v>
      </c>
      <c r="M311" s="15"/>
      <c r="N311" s="15"/>
      <c r="O311" s="16"/>
      <c r="P311" s="17">
        <f t="shared" si="14"/>
        <v>31843.811999999998</v>
      </c>
    </row>
    <row r="312" spans="1:16" x14ac:dyDescent="0.25">
      <c r="A312" s="8">
        <v>44421</v>
      </c>
      <c r="B312" s="9">
        <v>1</v>
      </c>
      <c r="C312" s="10">
        <v>2</v>
      </c>
      <c r="D312" s="11">
        <v>396</v>
      </c>
      <c r="E312" s="12">
        <v>20296550184</v>
      </c>
      <c r="F312" s="13" t="s">
        <v>44</v>
      </c>
      <c r="G312" s="14">
        <v>10500</v>
      </c>
      <c r="H312" s="15">
        <v>2205</v>
      </c>
      <c r="I312" s="15"/>
      <c r="J312" s="15"/>
      <c r="K312" s="15"/>
      <c r="L312" s="15"/>
      <c r="M312" s="15"/>
      <c r="N312" s="15"/>
      <c r="O312" s="16"/>
      <c r="P312" s="17">
        <f t="shared" si="14"/>
        <v>12705</v>
      </c>
    </row>
    <row r="313" spans="1:16" x14ac:dyDescent="0.25">
      <c r="A313" s="8">
        <v>44427</v>
      </c>
      <c r="B313" s="9">
        <v>3</v>
      </c>
      <c r="C313" s="10">
        <v>122</v>
      </c>
      <c r="D313" s="11">
        <v>31668</v>
      </c>
      <c r="E313" s="12">
        <v>30594494187</v>
      </c>
      <c r="F313" s="13" t="s">
        <v>53</v>
      </c>
      <c r="G313" s="14">
        <v>-5824.2</v>
      </c>
      <c r="H313" s="15">
        <v>-1223.0819999999999</v>
      </c>
      <c r="I313" s="15"/>
      <c r="J313" s="15"/>
      <c r="K313" s="15"/>
      <c r="L313" s="15">
        <v>-24796.53</v>
      </c>
      <c r="M313" s="15"/>
      <c r="N313" s="15"/>
      <c r="O313" s="16"/>
      <c r="P313" s="17">
        <f t="shared" si="14"/>
        <v>-31843.811999999998</v>
      </c>
    </row>
    <row r="314" spans="1:16" x14ac:dyDescent="0.25">
      <c r="A314" s="8">
        <v>44428</v>
      </c>
      <c r="B314" s="9">
        <v>1</v>
      </c>
      <c r="C314" s="10">
        <v>122</v>
      </c>
      <c r="D314" s="11">
        <v>211657</v>
      </c>
      <c r="E314" s="12">
        <v>30594494187</v>
      </c>
      <c r="F314" s="13" t="s">
        <v>53</v>
      </c>
      <c r="G314" s="14">
        <v>5836.8</v>
      </c>
      <c r="H314" s="15">
        <v>1225.7280000000001</v>
      </c>
      <c r="I314" s="15"/>
      <c r="J314" s="15"/>
      <c r="K314" s="15"/>
      <c r="L314" s="15">
        <v>38342.910000000003</v>
      </c>
      <c r="M314" s="15"/>
      <c r="N314" s="15"/>
      <c r="O314" s="16"/>
      <c r="P314" s="17">
        <f t="shared" si="14"/>
        <v>45405.438000000002</v>
      </c>
    </row>
    <row r="315" spans="1:16" x14ac:dyDescent="0.25">
      <c r="A315" s="8">
        <v>44428</v>
      </c>
      <c r="B315" s="9">
        <v>1</v>
      </c>
      <c r="C315" s="10">
        <v>106</v>
      </c>
      <c r="D315" s="11">
        <v>450573</v>
      </c>
      <c r="E315" s="12">
        <v>30594494187</v>
      </c>
      <c r="F315" s="13" t="s">
        <v>53</v>
      </c>
      <c r="G315" s="14">
        <v>6135</v>
      </c>
      <c r="H315" s="15">
        <v>1288.3499999999999</v>
      </c>
      <c r="I315" s="15"/>
      <c r="J315" s="15"/>
      <c r="K315" s="15">
        <v>24796.53</v>
      </c>
      <c r="L315" s="15"/>
      <c r="M315" s="15"/>
      <c r="N315" s="15">
        <v>5283.51</v>
      </c>
      <c r="O315" s="16"/>
      <c r="P315" s="17">
        <f t="shared" si="14"/>
        <v>37503.39</v>
      </c>
    </row>
    <row r="316" spans="1:16" x14ac:dyDescent="0.25">
      <c r="A316" s="8">
        <v>44428</v>
      </c>
      <c r="B316" s="9">
        <v>1</v>
      </c>
      <c r="C316" s="10">
        <v>440</v>
      </c>
      <c r="D316" s="11">
        <v>1476563</v>
      </c>
      <c r="E316" s="12">
        <v>30696170580</v>
      </c>
      <c r="F316" s="13" t="s">
        <v>105</v>
      </c>
      <c r="G316" s="14">
        <v>66043.83</v>
      </c>
      <c r="H316" s="15">
        <v>13869.204299999999</v>
      </c>
      <c r="I316" s="15"/>
      <c r="J316" s="15"/>
      <c r="K316" s="15"/>
      <c r="L316" s="15"/>
      <c r="M316" s="15"/>
      <c r="N316" s="15"/>
      <c r="O316" s="16"/>
      <c r="P316" s="17">
        <f t="shared" si="14"/>
        <v>79913.034299999999</v>
      </c>
    </row>
    <row r="317" spans="1:16" x14ac:dyDescent="0.25">
      <c r="A317" s="8">
        <v>44431</v>
      </c>
      <c r="B317" s="9">
        <v>3</v>
      </c>
      <c r="C317" s="10">
        <v>122</v>
      </c>
      <c r="D317" s="11">
        <v>31747</v>
      </c>
      <c r="E317" s="12">
        <v>30594494187</v>
      </c>
      <c r="F317" s="13" t="s">
        <v>53</v>
      </c>
      <c r="G317" s="14">
        <v>-5836.8</v>
      </c>
      <c r="H317" s="15">
        <v>-1225.7280000000001</v>
      </c>
      <c r="I317" s="15"/>
      <c r="J317" s="15"/>
      <c r="K317" s="15"/>
      <c r="L317" s="15">
        <v>-38342.910000000003</v>
      </c>
      <c r="M317" s="15"/>
      <c r="N317" s="15"/>
      <c r="O317" s="16"/>
      <c r="P317" s="17">
        <f t="shared" si="14"/>
        <v>-45405.438000000002</v>
      </c>
    </row>
    <row r="318" spans="1:16" x14ac:dyDescent="0.25">
      <c r="A318" s="8">
        <v>44431</v>
      </c>
      <c r="B318" s="9">
        <v>1</v>
      </c>
      <c r="C318" s="10">
        <v>40</v>
      </c>
      <c r="D318" s="11">
        <v>1728350</v>
      </c>
      <c r="E318" s="12">
        <v>30710964277</v>
      </c>
      <c r="F318" s="13" t="s">
        <v>31</v>
      </c>
      <c r="G318" s="14">
        <v>2246.48</v>
      </c>
      <c r="H318" s="15">
        <v>471.76079999999996</v>
      </c>
      <c r="I318" s="15"/>
      <c r="J318" s="15"/>
      <c r="K318" s="15"/>
      <c r="L318" s="15"/>
      <c r="M318" s="15"/>
      <c r="N318" s="15">
        <v>8895.8700000000008</v>
      </c>
      <c r="O318" s="16"/>
      <c r="P318" s="17">
        <f t="shared" si="14"/>
        <v>11614.1108</v>
      </c>
    </row>
    <row r="319" spans="1:16" x14ac:dyDescent="0.25">
      <c r="A319" s="8">
        <v>44431</v>
      </c>
      <c r="B319" s="9">
        <v>1</v>
      </c>
      <c r="C319" s="10">
        <v>106</v>
      </c>
      <c r="D319" s="11">
        <v>450835</v>
      </c>
      <c r="E319" s="12">
        <v>30594494187</v>
      </c>
      <c r="F319" s="13" t="s">
        <v>53</v>
      </c>
      <c r="G319" s="14">
        <v>5521.5</v>
      </c>
      <c r="H319" s="15">
        <v>1159.5149999999999</v>
      </c>
      <c r="I319" s="15"/>
      <c r="J319" s="15"/>
      <c r="K319" s="15"/>
      <c r="L319" s="15"/>
      <c r="M319" s="15"/>
      <c r="N319" s="15"/>
      <c r="O319" s="16"/>
      <c r="P319" s="17">
        <f t="shared" si="14"/>
        <v>6681.0149999999994</v>
      </c>
    </row>
    <row r="320" spans="1:16" x14ac:dyDescent="0.25">
      <c r="A320" s="8">
        <v>44431</v>
      </c>
      <c r="B320" s="9">
        <v>1</v>
      </c>
      <c r="C320" s="10">
        <v>3</v>
      </c>
      <c r="D320" s="11">
        <v>14954</v>
      </c>
      <c r="E320" s="12">
        <v>30707468161</v>
      </c>
      <c r="F320" s="13" t="s">
        <v>103</v>
      </c>
      <c r="G320" s="14">
        <v>25625</v>
      </c>
      <c r="H320" s="15">
        <v>5381.25</v>
      </c>
      <c r="I320" s="15"/>
      <c r="J320" s="15"/>
      <c r="K320" s="15"/>
      <c r="L320" s="15"/>
      <c r="M320" s="15"/>
      <c r="N320" s="15"/>
      <c r="O320" s="16"/>
      <c r="P320" s="17">
        <f t="shared" si="14"/>
        <v>31006.25</v>
      </c>
    </row>
    <row r="321" spans="1:16" x14ac:dyDescent="0.25">
      <c r="A321" s="8">
        <v>44431</v>
      </c>
      <c r="B321" s="9">
        <v>1</v>
      </c>
      <c r="C321" s="10">
        <v>2</v>
      </c>
      <c r="D321" s="11">
        <v>114</v>
      </c>
      <c r="E321" s="12">
        <v>20125142851</v>
      </c>
      <c r="F321" s="13" t="s">
        <v>27</v>
      </c>
      <c r="G321" s="14">
        <v>54560.5</v>
      </c>
      <c r="H321" s="15">
        <v>11457.705</v>
      </c>
      <c r="I321" s="15"/>
      <c r="J321" s="15"/>
      <c r="K321" s="15"/>
      <c r="L321" s="15"/>
      <c r="M321" s="15"/>
      <c r="N321" s="15"/>
      <c r="O321" s="16"/>
      <c r="P321" s="17">
        <f t="shared" si="14"/>
        <v>66018.205000000002</v>
      </c>
    </row>
    <row r="322" spans="1:16" x14ac:dyDescent="0.25">
      <c r="A322" s="8">
        <v>44431</v>
      </c>
      <c r="B322" s="9">
        <v>1</v>
      </c>
      <c r="C322" s="10">
        <v>2</v>
      </c>
      <c r="D322" s="11">
        <v>115</v>
      </c>
      <c r="E322" s="12">
        <v>20125142851</v>
      </c>
      <c r="F322" s="13" t="s">
        <v>27</v>
      </c>
      <c r="G322" s="14">
        <v>58427.5</v>
      </c>
      <c r="H322" s="15">
        <v>12269.775</v>
      </c>
      <c r="I322" s="15"/>
      <c r="J322" s="15"/>
      <c r="K322" s="15"/>
      <c r="L322" s="15"/>
      <c r="M322" s="15"/>
      <c r="N322" s="15">
        <v>14629.8</v>
      </c>
      <c r="O322" s="16"/>
      <c r="P322" s="17">
        <f t="shared" si="14"/>
        <v>85327.074999999997</v>
      </c>
    </row>
    <row r="323" spans="1:16" x14ac:dyDescent="0.25">
      <c r="A323" s="8">
        <v>44431</v>
      </c>
      <c r="B323" s="9">
        <v>1</v>
      </c>
      <c r="C323" s="10">
        <v>8</v>
      </c>
      <c r="D323" s="11">
        <v>6054</v>
      </c>
      <c r="E323" s="12">
        <v>30677784144</v>
      </c>
      <c r="F323" s="13" t="s">
        <v>76</v>
      </c>
      <c r="G323" s="14">
        <v>487660</v>
      </c>
      <c r="H323" s="15">
        <v>102408.59999999999</v>
      </c>
      <c r="I323" s="15"/>
      <c r="J323" s="15"/>
      <c r="K323" s="15"/>
      <c r="L323" s="15"/>
      <c r="M323" s="15"/>
      <c r="N323" s="15"/>
      <c r="O323" s="16"/>
      <c r="P323" s="17">
        <f t="shared" si="14"/>
        <v>590068.6</v>
      </c>
    </row>
    <row r="324" spans="1:16" x14ac:dyDescent="0.25">
      <c r="A324" s="8">
        <v>44432</v>
      </c>
      <c r="B324" s="9">
        <v>1</v>
      </c>
      <c r="C324" s="10">
        <v>7</v>
      </c>
      <c r="D324" s="11">
        <v>1190</v>
      </c>
      <c r="E324" s="12">
        <v>30709775762</v>
      </c>
      <c r="F324" s="13" t="s">
        <v>106</v>
      </c>
      <c r="G324" s="14">
        <v>496155.60000000003</v>
      </c>
      <c r="H324" s="15">
        <v>104192.67600000001</v>
      </c>
      <c r="I324" s="15"/>
      <c r="J324" s="15"/>
      <c r="K324" s="15"/>
      <c r="L324" s="15"/>
      <c r="M324" s="15"/>
      <c r="N324" s="15">
        <v>38342.910000000003</v>
      </c>
      <c r="O324" s="16"/>
      <c r="P324" s="17">
        <f t="shared" si="14"/>
        <v>638691.1860000001</v>
      </c>
    </row>
    <row r="325" spans="1:16" x14ac:dyDescent="0.25">
      <c r="A325" s="8">
        <v>44433</v>
      </c>
      <c r="B325" s="9">
        <v>1</v>
      </c>
      <c r="C325" s="10">
        <v>106</v>
      </c>
      <c r="D325" s="11">
        <v>451345</v>
      </c>
      <c r="E325" s="12">
        <v>30594494187</v>
      </c>
      <c r="F325" s="13" t="s">
        <v>53</v>
      </c>
      <c r="G325" s="14">
        <v>6150</v>
      </c>
      <c r="H325" s="15">
        <v>1291.5</v>
      </c>
      <c r="I325" s="15"/>
      <c r="J325" s="15"/>
      <c r="K325" s="15"/>
      <c r="L325" s="15"/>
      <c r="M325" s="15"/>
      <c r="N325" s="15"/>
      <c r="O325" s="16"/>
      <c r="P325" s="17">
        <f t="shared" si="14"/>
        <v>7441.5</v>
      </c>
    </row>
    <row r="326" spans="1:16" x14ac:dyDescent="0.25">
      <c r="A326" s="8">
        <v>44433</v>
      </c>
      <c r="B326" s="9">
        <v>1</v>
      </c>
      <c r="C326" s="10">
        <v>8</v>
      </c>
      <c r="D326" s="11">
        <v>146171</v>
      </c>
      <c r="E326" s="12">
        <v>33606484599</v>
      </c>
      <c r="F326" s="13" t="s">
        <v>65</v>
      </c>
      <c r="G326" s="14">
        <v>649713.16</v>
      </c>
      <c r="H326" s="15">
        <v>136439.76360000001</v>
      </c>
      <c r="I326" s="15"/>
      <c r="J326" s="15"/>
      <c r="K326" s="15"/>
      <c r="L326" s="15"/>
      <c r="M326" s="15"/>
      <c r="N326" s="15"/>
      <c r="O326" s="16"/>
      <c r="P326" s="17">
        <f t="shared" si="14"/>
        <v>786152.9236000001</v>
      </c>
    </row>
    <row r="327" spans="1:16" x14ac:dyDescent="0.25">
      <c r="A327" s="8">
        <v>44434</v>
      </c>
      <c r="B327" s="9">
        <v>1</v>
      </c>
      <c r="C327" s="10">
        <v>3</v>
      </c>
      <c r="D327" s="11">
        <v>6005</v>
      </c>
      <c r="E327" s="12">
        <v>30715864262</v>
      </c>
      <c r="F327" s="13" t="s">
        <v>107</v>
      </c>
      <c r="G327" s="14">
        <v>2519</v>
      </c>
      <c r="H327" s="15">
        <v>528.99</v>
      </c>
      <c r="I327" s="15"/>
      <c r="J327" s="15"/>
      <c r="K327" s="15"/>
      <c r="L327" s="15"/>
      <c r="M327" s="15"/>
      <c r="N327" s="15"/>
      <c r="O327" s="16"/>
      <c r="P327" s="17">
        <f t="shared" si="14"/>
        <v>3047.99</v>
      </c>
    </row>
    <row r="328" spans="1:16" x14ac:dyDescent="0.25">
      <c r="A328" s="8">
        <v>44434</v>
      </c>
      <c r="B328" s="9">
        <v>1</v>
      </c>
      <c r="C328" s="10">
        <v>4</v>
      </c>
      <c r="D328" s="11">
        <v>6655</v>
      </c>
      <c r="E328" s="12">
        <v>30620415606</v>
      </c>
      <c r="F328" s="13" t="s">
        <v>40</v>
      </c>
      <c r="G328" s="14">
        <v>75369.789999999994</v>
      </c>
      <c r="H328" s="15">
        <v>15827.655899999998</v>
      </c>
      <c r="I328" s="15"/>
      <c r="J328" s="15"/>
      <c r="K328" s="15">
        <v>87914.78</v>
      </c>
      <c r="L328" s="15"/>
      <c r="M328" s="15"/>
      <c r="N328" s="15"/>
      <c r="O328" s="16"/>
      <c r="P328" s="17">
        <f t="shared" si="14"/>
        <v>179112.22589999999</v>
      </c>
    </row>
    <row r="329" spans="1:16" x14ac:dyDescent="0.25">
      <c r="A329" s="8">
        <v>44438</v>
      </c>
      <c r="B329" s="9">
        <v>1</v>
      </c>
      <c r="C329" s="10">
        <v>106</v>
      </c>
      <c r="D329" s="11">
        <v>453729</v>
      </c>
      <c r="E329" s="12">
        <v>30594494187</v>
      </c>
      <c r="F329" s="13" t="s">
        <v>53</v>
      </c>
      <c r="G329" s="14">
        <v>8200</v>
      </c>
      <c r="H329" s="15">
        <v>1722</v>
      </c>
      <c r="I329" s="15"/>
      <c r="J329" s="15"/>
      <c r="K329" s="15">
        <v>100400.3</v>
      </c>
      <c r="L329" s="15"/>
      <c r="M329" s="15"/>
      <c r="N329" s="15"/>
      <c r="O329" s="16"/>
      <c r="P329" s="17">
        <f t="shared" si="14"/>
        <v>110322.3</v>
      </c>
    </row>
    <row r="330" spans="1:16" x14ac:dyDescent="0.25">
      <c r="A330" s="8">
        <v>44438</v>
      </c>
      <c r="B330" s="9">
        <v>1</v>
      </c>
      <c r="C330" s="10">
        <v>3</v>
      </c>
      <c r="D330" s="11">
        <v>6461</v>
      </c>
      <c r="E330" s="12">
        <v>30715078100</v>
      </c>
      <c r="F330" s="13" t="s">
        <v>92</v>
      </c>
      <c r="G330" s="14">
        <v>45438.000999999997</v>
      </c>
      <c r="H330" s="15">
        <v>9541.9802099999997</v>
      </c>
      <c r="I330" s="15"/>
      <c r="J330" s="15"/>
      <c r="K330" s="15"/>
      <c r="L330" s="15"/>
      <c r="M330" s="15"/>
      <c r="N330" s="15"/>
      <c r="O330" s="16"/>
      <c r="P330" s="17">
        <f t="shared" si="14"/>
        <v>54979.981209999998</v>
      </c>
    </row>
    <row r="331" spans="1:16" x14ac:dyDescent="0.25">
      <c r="A331" s="8">
        <v>44439</v>
      </c>
      <c r="B331" s="9">
        <v>1</v>
      </c>
      <c r="C331" s="10">
        <v>3</v>
      </c>
      <c r="D331" s="11">
        <v>474461</v>
      </c>
      <c r="E331" s="12">
        <v>30712019359</v>
      </c>
      <c r="F331" s="13" t="s">
        <v>75</v>
      </c>
      <c r="G331" s="14">
        <v>2147.9299999999998</v>
      </c>
      <c r="H331" s="15">
        <v>451.06529999999992</v>
      </c>
      <c r="I331" s="15"/>
      <c r="J331" s="15"/>
      <c r="K331" s="15"/>
      <c r="L331" s="15"/>
      <c r="M331" s="15"/>
      <c r="N331" s="15"/>
      <c r="O331" s="16"/>
      <c r="P331" s="17">
        <f t="shared" si="14"/>
        <v>2598.9952999999996</v>
      </c>
    </row>
    <row r="332" spans="1:16" x14ac:dyDescent="0.25">
      <c r="A332" s="8">
        <v>44439</v>
      </c>
      <c r="B332" s="9">
        <v>1</v>
      </c>
      <c r="C332" s="10">
        <v>3</v>
      </c>
      <c r="D332" s="11">
        <v>473350</v>
      </c>
      <c r="E332" s="12">
        <v>30712019359</v>
      </c>
      <c r="F332" s="13" t="s">
        <v>75</v>
      </c>
      <c r="G332" s="14">
        <v>2147.9299999999998</v>
      </c>
      <c r="H332" s="15">
        <v>451.06529999999992</v>
      </c>
      <c r="I332" s="15"/>
      <c r="J332" s="15"/>
      <c r="K332" s="15"/>
      <c r="L332" s="15"/>
      <c r="M332" s="15"/>
      <c r="N332" s="15"/>
      <c r="O332" s="16"/>
      <c r="P332" s="17">
        <f t="shared" si="14"/>
        <v>2598.9952999999996</v>
      </c>
    </row>
    <row r="333" spans="1:16" x14ac:dyDescent="0.25">
      <c r="A333" s="8">
        <v>44439</v>
      </c>
      <c r="B333" s="9">
        <v>1</v>
      </c>
      <c r="C333" s="10">
        <v>3</v>
      </c>
      <c r="D333" s="11">
        <v>471901</v>
      </c>
      <c r="E333" s="12">
        <v>30712019359</v>
      </c>
      <c r="F333" s="13" t="s">
        <v>75</v>
      </c>
      <c r="G333" s="14">
        <v>2147.9299999999998</v>
      </c>
      <c r="H333" s="15">
        <v>451.06529999999992</v>
      </c>
      <c r="I333" s="15"/>
      <c r="J333" s="15"/>
      <c r="K333" s="15"/>
      <c r="L333" s="15"/>
      <c r="M333" s="15"/>
      <c r="N333" s="15"/>
      <c r="O333" s="16"/>
      <c r="P333" s="17">
        <f t="shared" si="14"/>
        <v>2598.9952999999996</v>
      </c>
    </row>
    <row r="334" spans="1:16" x14ac:dyDescent="0.25">
      <c r="A334" s="8">
        <v>44439</v>
      </c>
      <c r="B334" s="9">
        <v>1</v>
      </c>
      <c r="C334" s="46">
        <v>4</v>
      </c>
      <c r="D334" s="11">
        <v>5206</v>
      </c>
      <c r="E334" s="12">
        <v>33711386179</v>
      </c>
      <c r="F334" s="13" t="s">
        <v>108</v>
      </c>
      <c r="G334" s="14">
        <v>127271.9</v>
      </c>
      <c r="H334" s="15">
        <v>26727.098999999998</v>
      </c>
      <c r="I334" s="15"/>
      <c r="J334" s="15"/>
      <c r="K334" s="15"/>
      <c r="L334" s="15"/>
      <c r="M334" s="15"/>
      <c r="N334" s="15"/>
      <c r="O334" s="16"/>
      <c r="P334" s="17">
        <f t="shared" si="14"/>
        <v>153998.99899999998</v>
      </c>
    </row>
    <row r="335" spans="1:16" x14ac:dyDescent="0.25">
      <c r="A335" s="8">
        <v>44439</v>
      </c>
      <c r="B335" s="9">
        <v>99</v>
      </c>
      <c r="C335" s="46">
        <v>1</v>
      </c>
      <c r="D335" s="11">
        <v>31082021</v>
      </c>
      <c r="E335" s="12" t="s">
        <v>70</v>
      </c>
      <c r="F335" s="13" t="s">
        <v>22</v>
      </c>
      <c r="G335" s="14">
        <v>3320.8571428571427</v>
      </c>
      <c r="H335" s="15">
        <v>697.38</v>
      </c>
      <c r="I335" s="15"/>
      <c r="J335" s="15"/>
      <c r="K335" s="15"/>
      <c r="L335" s="15"/>
      <c r="M335" s="15"/>
      <c r="N335" s="15"/>
      <c r="O335" s="16"/>
      <c r="P335" s="17">
        <f t="shared" si="14"/>
        <v>4018.2371428571428</v>
      </c>
    </row>
    <row r="336" spans="1:16" x14ac:dyDescent="0.25">
      <c r="A336" s="8">
        <v>44439</v>
      </c>
      <c r="B336" s="9">
        <v>99</v>
      </c>
      <c r="C336" s="10">
        <v>818</v>
      </c>
      <c r="D336" s="11">
        <v>66849</v>
      </c>
      <c r="E336" s="12" t="s">
        <v>70</v>
      </c>
      <c r="F336" s="13" t="s">
        <v>22</v>
      </c>
      <c r="G336" s="14">
        <v>11201</v>
      </c>
      <c r="H336" s="15">
        <v>2352.21</v>
      </c>
      <c r="I336" s="15"/>
      <c r="J336" s="15"/>
      <c r="K336" s="15"/>
      <c r="L336" s="15"/>
      <c r="M336" s="15">
        <v>336.03</v>
      </c>
      <c r="N336" s="15"/>
      <c r="O336" s="16"/>
      <c r="P336" s="17">
        <f t="shared" si="14"/>
        <v>13889.24</v>
      </c>
    </row>
    <row r="337" spans="1:16" x14ac:dyDescent="0.25">
      <c r="A337" s="8">
        <v>44439</v>
      </c>
      <c r="B337" s="9">
        <v>99</v>
      </c>
      <c r="C337" s="10">
        <v>818</v>
      </c>
      <c r="D337" s="11">
        <v>668487</v>
      </c>
      <c r="E337" s="12" t="s">
        <v>70</v>
      </c>
      <c r="F337" s="13" t="s">
        <v>22</v>
      </c>
      <c r="G337" s="14">
        <v>11201</v>
      </c>
      <c r="H337" s="15">
        <v>2352.21</v>
      </c>
      <c r="I337" s="15"/>
      <c r="J337" s="15"/>
      <c r="K337" s="15"/>
      <c r="L337" s="15"/>
      <c r="M337" s="15">
        <v>336.03</v>
      </c>
      <c r="N337" s="15"/>
      <c r="O337" s="16"/>
      <c r="P337" s="17">
        <f t="shared" si="14"/>
        <v>13889.24</v>
      </c>
    </row>
    <row r="338" spans="1:16" x14ac:dyDescent="0.25">
      <c r="A338" s="8">
        <v>44439</v>
      </c>
      <c r="B338" s="9">
        <v>99</v>
      </c>
      <c r="C338" s="10">
        <v>818</v>
      </c>
      <c r="D338" s="11">
        <v>66723</v>
      </c>
      <c r="E338" s="12" t="s">
        <v>70</v>
      </c>
      <c r="F338" s="13" t="s">
        <v>22</v>
      </c>
      <c r="G338" s="14">
        <v>11159.6</v>
      </c>
      <c r="H338" s="15">
        <v>2343.5160000000001</v>
      </c>
      <c r="I338" s="15"/>
      <c r="J338" s="15"/>
      <c r="K338" s="15"/>
      <c r="L338" s="15"/>
      <c r="M338" s="15">
        <v>334.79</v>
      </c>
      <c r="N338" s="15"/>
      <c r="O338" s="16"/>
      <c r="P338" s="17">
        <f t="shared" si="14"/>
        <v>13837.906000000001</v>
      </c>
    </row>
    <row r="339" spans="1:16" x14ac:dyDescent="0.25">
      <c r="A339" s="8">
        <v>44439</v>
      </c>
      <c r="B339" s="9">
        <v>99</v>
      </c>
      <c r="C339" s="10">
        <v>954</v>
      </c>
      <c r="D339" s="11">
        <v>991</v>
      </c>
      <c r="E339" s="12" t="s">
        <v>70</v>
      </c>
      <c r="F339" s="13" t="s">
        <v>22</v>
      </c>
      <c r="G339" s="14">
        <v>2422.4499999999998</v>
      </c>
      <c r="H339" s="15">
        <v>508.67</v>
      </c>
      <c r="I339" s="15"/>
      <c r="J339" s="15"/>
      <c r="K339" s="15"/>
      <c r="L339" s="15"/>
      <c r="M339" s="15">
        <v>72.67</v>
      </c>
      <c r="N339" s="15"/>
      <c r="O339" s="16"/>
      <c r="P339" s="17">
        <f t="shared" si="14"/>
        <v>3003.79</v>
      </c>
    </row>
    <row r="340" spans="1:16" x14ac:dyDescent="0.25">
      <c r="A340" s="8">
        <v>44439</v>
      </c>
      <c r="B340" s="9">
        <v>99</v>
      </c>
      <c r="C340" s="10">
        <v>818</v>
      </c>
      <c r="D340" s="11">
        <v>667882</v>
      </c>
      <c r="E340" s="12" t="s">
        <v>70</v>
      </c>
      <c r="F340" s="13" t="s">
        <v>22</v>
      </c>
      <c r="G340" s="14">
        <v>11183.75</v>
      </c>
      <c r="H340" s="15">
        <v>2348.5875000000001</v>
      </c>
      <c r="I340" s="15"/>
      <c r="J340" s="15"/>
      <c r="K340" s="15"/>
      <c r="L340" s="15"/>
      <c r="M340" s="15">
        <v>335.51</v>
      </c>
      <c r="N340" s="15"/>
      <c r="O340" s="16"/>
      <c r="P340" s="17">
        <f t="shared" si="14"/>
        <v>13867.8475</v>
      </c>
    </row>
    <row r="341" spans="1:16" x14ac:dyDescent="0.25">
      <c r="A341" s="8">
        <v>44439</v>
      </c>
      <c r="B341" s="9">
        <v>99</v>
      </c>
      <c r="C341" s="10">
        <v>818</v>
      </c>
      <c r="D341" s="11">
        <v>667849</v>
      </c>
      <c r="E341" s="12" t="s">
        <v>70</v>
      </c>
      <c r="F341" s="13" t="s">
        <v>22</v>
      </c>
      <c r="G341" s="14">
        <v>11183.75</v>
      </c>
      <c r="H341" s="15">
        <v>2348.5875000000001</v>
      </c>
      <c r="I341" s="15"/>
      <c r="J341" s="15"/>
      <c r="K341" s="15"/>
      <c r="L341" s="15"/>
      <c r="M341" s="15">
        <v>335.51</v>
      </c>
      <c r="N341" s="15"/>
      <c r="O341" s="16"/>
      <c r="P341" s="17">
        <f t="shared" si="14"/>
        <v>13867.8475</v>
      </c>
    </row>
    <row r="342" spans="1:16" x14ac:dyDescent="0.25">
      <c r="A342" s="8">
        <v>44439</v>
      </c>
      <c r="B342" s="9">
        <v>99</v>
      </c>
      <c r="C342" s="10">
        <v>818</v>
      </c>
      <c r="D342" s="11">
        <v>667804</v>
      </c>
      <c r="E342" s="12" t="s">
        <v>70</v>
      </c>
      <c r="F342" s="13" t="s">
        <v>22</v>
      </c>
      <c r="G342" s="14">
        <v>11183.75</v>
      </c>
      <c r="H342" s="15">
        <v>2348.5875000000001</v>
      </c>
      <c r="I342" s="15"/>
      <c r="J342" s="15"/>
      <c r="K342" s="15"/>
      <c r="L342" s="15"/>
      <c r="M342" s="15">
        <v>335.51</v>
      </c>
      <c r="N342" s="15"/>
      <c r="O342" s="16"/>
      <c r="P342" s="17">
        <f t="shared" si="14"/>
        <v>13867.8475</v>
      </c>
    </row>
    <row r="343" spans="1:16" x14ac:dyDescent="0.25">
      <c r="A343" s="8">
        <v>44439</v>
      </c>
      <c r="B343" s="9">
        <v>99</v>
      </c>
      <c r="C343" s="10">
        <v>5279</v>
      </c>
      <c r="D343" s="11">
        <v>11</v>
      </c>
      <c r="E343" s="12" t="s">
        <v>70</v>
      </c>
      <c r="F343" s="13" t="s">
        <v>22</v>
      </c>
      <c r="G343" s="14">
        <v>2427.75</v>
      </c>
      <c r="H343" s="15">
        <v>509.82749999999999</v>
      </c>
      <c r="I343" s="15"/>
      <c r="J343" s="15"/>
      <c r="K343" s="15"/>
      <c r="L343" s="15"/>
      <c r="M343" s="15">
        <v>72.83</v>
      </c>
      <c r="N343" s="15"/>
      <c r="O343" s="16"/>
      <c r="P343" s="17">
        <f t="shared" si="14"/>
        <v>3010.4074999999998</v>
      </c>
    </row>
    <row r="344" spans="1:16" x14ac:dyDescent="0.25">
      <c r="A344" s="8">
        <v>44439</v>
      </c>
      <c r="B344" s="9">
        <v>99</v>
      </c>
      <c r="C344" s="10">
        <v>1</v>
      </c>
      <c r="D344" s="11">
        <v>20213108</v>
      </c>
      <c r="E344" s="12" t="s">
        <v>70</v>
      </c>
      <c r="F344" s="13" t="s">
        <v>22</v>
      </c>
      <c r="G344" s="14">
        <v>80</v>
      </c>
      <c r="H344" s="15">
        <v>16.8</v>
      </c>
      <c r="I344" s="15"/>
      <c r="J344" s="15"/>
      <c r="K344" s="15"/>
      <c r="L344" s="15"/>
      <c r="M344" s="15"/>
      <c r="N344" s="15"/>
      <c r="O344" s="16"/>
      <c r="P344" s="17">
        <f t="shared" si="14"/>
        <v>96.8</v>
      </c>
    </row>
    <row r="345" spans="1:16" ht="12.75" customHeight="1" thickBot="1" x14ac:dyDescent="0.3">
      <c r="A345" s="129" t="s">
        <v>51</v>
      </c>
      <c r="B345" s="130"/>
      <c r="C345" s="130"/>
      <c r="D345" s="130"/>
      <c r="E345" s="130"/>
      <c r="F345" s="130"/>
      <c r="G345" s="45">
        <f>SUM(G295:G344)</f>
        <v>4473632.0721428562</v>
      </c>
      <c r="H345" s="45">
        <f t="shared" ref="H345:P345" si="15">SUM(H295:H344)</f>
        <v>936282.95631000004</v>
      </c>
      <c r="I345" s="45">
        <f t="shared" si="15"/>
        <v>415.41659999999996</v>
      </c>
      <c r="J345" s="45">
        <f t="shared" si="15"/>
        <v>1428.3160500000001</v>
      </c>
      <c r="K345" s="45">
        <f t="shared" si="15"/>
        <v>213663.61</v>
      </c>
      <c r="L345" s="45">
        <f t="shared" si="15"/>
        <v>0</v>
      </c>
      <c r="M345" s="45">
        <f t="shared" si="15"/>
        <v>2885.45</v>
      </c>
      <c r="N345" s="45">
        <f t="shared" si="15"/>
        <v>89150.71</v>
      </c>
      <c r="O345" s="45">
        <f t="shared" si="15"/>
        <v>-12666.78</v>
      </c>
      <c r="P345" s="45">
        <f t="shared" si="15"/>
        <v>5704791.7511028582</v>
      </c>
    </row>
    <row r="346" spans="1:16" ht="12.75" customHeight="1" thickBot="1" x14ac:dyDescent="0.3">
      <c r="G346" s="28"/>
      <c r="H346" s="126">
        <f>SUM(H345:J345)</f>
        <v>938126.68896000006</v>
      </c>
      <c r="I346" s="127"/>
      <c r="J346" s="128"/>
      <c r="K346" s="28"/>
      <c r="L346" s="28"/>
      <c r="M346" s="28"/>
      <c r="N346" s="28"/>
      <c r="O346" s="28"/>
      <c r="P346" s="28"/>
    </row>
    <row r="347" spans="1:16" ht="15.75" thickTop="1" x14ac:dyDescent="0.25">
      <c r="G347" s="28"/>
      <c r="H347" s="28"/>
      <c r="I347" s="28"/>
      <c r="J347" s="28"/>
      <c r="K347" s="28"/>
      <c r="L347" s="28"/>
      <c r="M347" s="28"/>
      <c r="N347" s="28"/>
      <c r="O347" s="28"/>
      <c r="P347" s="28"/>
    </row>
    <row r="348" spans="1:16" ht="20.25" customHeight="1" x14ac:dyDescent="0.45">
      <c r="A348" s="1" t="s">
        <v>0</v>
      </c>
      <c r="B348" s="1"/>
      <c r="C348" s="1"/>
      <c r="D348" s="1"/>
      <c r="E348" s="1"/>
      <c r="F348" s="1"/>
      <c r="G348" s="2"/>
      <c r="H348" s="2"/>
      <c r="I348" s="2"/>
      <c r="J348" s="2"/>
      <c r="K348" s="2"/>
      <c r="L348" s="2"/>
      <c r="M348" s="3"/>
      <c r="N348" s="4">
        <v>44440</v>
      </c>
      <c r="O348" s="3"/>
      <c r="P348" s="3"/>
    </row>
    <row r="349" spans="1:16" ht="9.75" customHeight="1" thickBot="1" x14ac:dyDescent="0.5">
      <c r="A349" s="1"/>
      <c r="B349" s="1"/>
      <c r="C349" s="1"/>
      <c r="D349" s="1"/>
      <c r="E349" s="1"/>
      <c r="F349" s="1"/>
      <c r="G349" s="2"/>
      <c r="H349" s="2"/>
      <c r="I349" s="2"/>
      <c r="J349" s="2"/>
      <c r="K349" s="2"/>
      <c r="L349" s="2"/>
      <c r="M349" s="3"/>
      <c r="N349" s="3"/>
      <c r="O349" s="3"/>
      <c r="P349" s="3"/>
    </row>
    <row r="350" spans="1:16" ht="13.5" customHeight="1" x14ac:dyDescent="0.25">
      <c r="A350" s="33" t="s">
        <v>1</v>
      </c>
      <c r="B350" s="34" t="s">
        <v>2</v>
      </c>
      <c r="C350" s="34" t="s">
        <v>3</v>
      </c>
      <c r="D350" s="34" t="s">
        <v>4</v>
      </c>
      <c r="E350" s="34" t="s">
        <v>5</v>
      </c>
      <c r="F350" s="34" t="s">
        <v>6</v>
      </c>
      <c r="G350" s="34" t="s">
        <v>7</v>
      </c>
      <c r="H350" s="34" t="s">
        <v>8</v>
      </c>
      <c r="I350" s="34" t="s">
        <v>9</v>
      </c>
      <c r="J350" s="34" t="s">
        <v>10</v>
      </c>
      <c r="K350" s="34" t="s">
        <v>11</v>
      </c>
      <c r="L350" s="34" t="s">
        <v>12</v>
      </c>
      <c r="M350" s="34" t="s">
        <v>13</v>
      </c>
      <c r="N350" s="34" t="s">
        <v>14</v>
      </c>
      <c r="O350" s="34" t="s">
        <v>15</v>
      </c>
      <c r="P350" s="35" t="s">
        <v>16</v>
      </c>
    </row>
    <row r="351" spans="1:16" x14ac:dyDescent="0.25">
      <c r="A351" s="47">
        <v>44395</v>
      </c>
      <c r="B351" s="48">
        <v>1</v>
      </c>
      <c r="C351" s="49">
        <v>280</v>
      </c>
      <c r="D351" s="50">
        <v>1306661</v>
      </c>
      <c r="E351" s="51">
        <v>30580111315</v>
      </c>
      <c r="F351" s="52" t="s">
        <v>30</v>
      </c>
      <c r="G351" s="53">
        <v>308420.7</v>
      </c>
      <c r="H351" s="54">
        <v>56192.480000000003</v>
      </c>
      <c r="I351" s="54"/>
      <c r="J351" s="54">
        <v>4287.5600000000004</v>
      </c>
      <c r="K351" s="54"/>
      <c r="L351" s="55"/>
      <c r="M351" s="55"/>
      <c r="N351" s="55"/>
      <c r="O351" s="56">
        <v>-259559.22</v>
      </c>
      <c r="P351" s="57">
        <f>SUM(G351:O351)</f>
        <v>109341.51999999999</v>
      </c>
    </row>
    <row r="352" spans="1:16" x14ac:dyDescent="0.25">
      <c r="A352" s="8">
        <v>44420</v>
      </c>
      <c r="B352" s="9">
        <v>1</v>
      </c>
      <c r="C352" s="10">
        <v>280</v>
      </c>
      <c r="D352" s="11">
        <v>1312127</v>
      </c>
      <c r="E352" s="12">
        <v>30580111315</v>
      </c>
      <c r="F352" s="13" t="s">
        <v>30</v>
      </c>
      <c r="G352" s="58">
        <v>288104.96000000002</v>
      </c>
      <c r="H352" s="59"/>
      <c r="I352" s="59"/>
      <c r="J352" s="59">
        <v>30251.020800000002</v>
      </c>
      <c r="K352" s="60"/>
      <c r="L352" s="15"/>
      <c r="M352" s="15"/>
      <c r="N352" s="15"/>
      <c r="O352" s="16">
        <v>-288104.96000000002</v>
      </c>
      <c r="P352" s="57">
        <f t="shared" ref="P352:P400" si="16">SUM(G352:O352)</f>
        <v>30251.020799999998</v>
      </c>
    </row>
    <row r="353" spans="1:16" x14ac:dyDescent="0.25">
      <c r="A353" s="8">
        <v>44424</v>
      </c>
      <c r="B353" s="9">
        <v>1</v>
      </c>
      <c r="C353" s="10">
        <v>700</v>
      </c>
      <c r="D353" s="11">
        <v>263223</v>
      </c>
      <c r="E353" s="12">
        <v>30580111315</v>
      </c>
      <c r="F353" s="13" t="s">
        <v>30</v>
      </c>
      <c r="G353" s="58"/>
      <c r="H353" s="59">
        <v>0</v>
      </c>
      <c r="I353" s="59"/>
      <c r="J353" s="59"/>
      <c r="K353" s="60"/>
      <c r="L353" s="15">
        <v>47378.560000000005</v>
      </c>
      <c r="M353" s="15"/>
      <c r="N353" s="15"/>
      <c r="O353" s="16"/>
      <c r="P353" s="57">
        <f t="shared" si="16"/>
        <v>47378.560000000005</v>
      </c>
    </row>
    <row r="354" spans="1:16" x14ac:dyDescent="0.25">
      <c r="A354" s="8">
        <v>44425</v>
      </c>
      <c r="B354" s="9">
        <v>1</v>
      </c>
      <c r="C354" s="10">
        <v>280</v>
      </c>
      <c r="D354" s="11">
        <v>1312815</v>
      </c>
      <c r="E354" s="12">
        <v>30580111315</v>
      </c>
      <c r="F354" s="13" t="s">
        <v>30</v>
      </c>
      <c r="G354" s="58">
        <v>248310.27</v>
      </c>
      <c r="H354" s="59">
        <v>52145.156699999992</v>
      </c>
      <c r="I354" s="59"/>
      <c r="J354" s="59"/>
      <c r="K354" s="60"/>
      <c r="L354" s="15"/>
      <c r="M354" s="15"/>
      <c r="N354" s="15"/>
      <c r="O354" s="16">
        <v>-206215.99</v>
      </c>
      <c r="P354" s="57">
        <f t="shared" si="16"/>
        <v>94239.436699999962</v>
      </c>
    </row>
    <row r="355" spans="1:16" x14ac:dyDescent="0.25">
      <c r="A355" s="37">
        <v>44434</v>
      </c>
      <c r="B355" s="38">
        <v>1</v>
      </c>
      <c r="C355" s="39">
        <v>280</v>
      </c>
      <c r="D355" s="40">
        <v>1314805</v>
      </c>
      <c r="E355" s="41">
        <v>30580111315</v>
      </c>
      <c r="F355" s="42" t="s">
        <v>30</v>
      </c>
      <c r="G355" s="58">
        <v>304530.44</v>
      </c>
      <c r="H355" s="59">
        <v>10314.35</v>
      </c>
      <c r="I355" s="59"/>
      <c r="J355" s="59">
        <v>26818.69</v>
      </c>
      <c r="K355" s="59"/>
      <c r="L355" s="31"/>
      <c r="M355" s="31"/>
      <c r="N355" s="31"/>
      <c r="O355" s="44">
        <v>-292593.03999999998</v>
      </c>
      <c r="P355" s="57">
        <f t="shared" si="16"/>
        <v>49070.44</v>
      </c>
    </row>
    <row r="356" spans="1:16" x14ac:dyDescent="0.25">
      <c r="A356" s="37">
        <v>44439</v>
      </c>
      <c r="B356" s="38">
        <v>1</v>
      </c>
      <c r="C356" s="39">
        <v>280</v>
      </c>
      <c r="D356" s="40">
        <v>1315707</v>
      </c>
      <c r="E356" s="41">
        <v>30580111315</v>
      </c>
      <c r="F356" s="42" t="s">
        <v>30</v>
      </c>
      <c r="G356" s="58">
        <v>277027.39</v>
      </c>
      <c r="H356" s="59">
        <v>615.57000000000005</v>
      </c>
      <c r="I356" s="59"/>
      <c r="J356" s="59">
        <v>28780.48</v>
      </c>
      <c r="K356" s="59"/>
      <c r="L356" s="31"/>
      <c r="M356" s="31"/>
      <c r="N356" s="31"/>
      <c r="O356" s="44">
        <v>-271194.09999999998</v>
      </c>
      <c r="P356" s="57">
        <f t="shared" si="16"/>
        <v>35229.340000000026</v>
      </c>
    </row>
    <row r="357" spans="1:16" x14ac:dyDescent="0.25">
      <c r="A357" s="8">
        <v>44440</v>
      </c>
      <c r="B357" s="9">
        <v>1</v>
      </c>
      <c r="C357" s="10">
        <v>3</v>
      </c>
      <c r="D357" s="11">
        <v>133445</v>
      </c>
      <c r="E357" s="12">
        <v>30707135596</v>
      </c>
      <c r="F357" s="13" t="s">
        <v>17</v>
      </c>
      <c r="G357" s="58">
        <v>1833.86</v>
      </c>
      <c r="H357" s="59">
        <v>385.11059999999998</v>
      </c>
      <c r="I357" s="59"/>
      <c r="J357" s="59"/>
      <c r="K357" s="60"/>
      <c r="L357" s="15"/>
      <c r="M357" s="15"/>
      <c r="N357" s="15"/>
      <c r="O357" s="16"/>
      <c r="P357" s="57">
        <f t="shared" si="16"/>
        <v>2218.9705999999996</v>
      </c>
    </row>
    <row r="358" spans="1:16" x14ac:dyDescent="0.25">
      <c r="A358" s="37">
        <v>44440</v>
      </c>
      <c r="B358" s="38">
        <v>1</v>
      </c>
      <c r="C358" s="39">
        <v>4</v>
      </c>
      <c r="D358" s="40">
        <v>854</v>
      </c>
      <c r="E358" s="41">
        <v>20292655186</v>
      </c>
      <c r="F358" s="42" t="s">
        <v>109</v>
      </c>
      <c r="G358" s="58">
        <v>3871.07</v>
      </c>
      <c r="H358" s="59">
        <v>812.92470000000003</v>
      </c>
      <c r="I358" s="59"/>
      <c r="J358" s="59"/>
      <c r="K358" s="59"/>
      <c r="L358" s="31"/>
      <c r="M358" s="31"/>
      <c r="N358" s="31"/>
      <c r="O358" s="44"/>
      <c r="P358" s="57">
        <f t="shared" si="16"/>
        <v>4683.9947000000002</v>
      </c>
    </row>
    <row r="359" spans="1:16" x14ac:dyDescent="0.25">
      <c r="A359" s="8">
        <v>44440</v>
      </c>
      <c r="B359" s="9">
        <v>1</v>
      </c>
      <c r="C359" s="10">
        <v>3</v>
      </c>
      <c r="D359" s="11">
        <v>445</v>
      </c>
      <c r="E359" s="12">
        <v>30715402765</v>
      </c>
      <c r="F359" s="13" t="s">
        <v>29</v>
      </c>
      <c r="G359" s="58">
        <v>5702.48</v>
      </c>
      <c r="H359" s="59">
        <v>1197.5207999999998</v>
      </c>
      <c r="I359" s="59"/>
      <c r="J359" s="59"/>
      <c r="K359" s="60"/>
      <c r="L359" s="15"/>
      <c r="M359" s="15"/>
      <c r="N359" s="15"/>
      <c r="O359" s="16"/>
      <c r="P359" s="57">
        <f t="shared" si="16"/>
        <v>6900.0007999999998</v>
      </c>
    </row>
    <row r="360" spans="1:16" x14ac:dyDescent="0.25">
      <c r="A360" s="8">
        <v>44440</v>
      </c>
      <c r="B360" s="9">
        <v>1</v>
      </c>
      <c r="C360" s="10">
        <v>12</v>
      </c>
      <c r="D360" s="11">
        <v>17598</v>
      </c>
      <c r="E360" s="12">
        <v>30708247770</v>
      </c>
      <c r="F360" s="13" t="s">
        <v>110</v>
      </c>
      <c r="G360" s="58">
        <v>9205.7900000000009</v>
      </c>
      <c r="H360" s="59">
        <v>1933.2159000000001</v>
      </c>
      <c r="I360" s="59"/>
      <c r="J360" s="59"/>
      <c r="K360" s="60"/>
      <c r="L360" s="15"/>
      <c r="M360" s="15"/>
      <c r="N360" s="15"/>
      <c r="O360" s="16"/>
      <c r="P360" s="57">
        <f t="shared" si="16"/>
        <v>11139.0059</v>
      </c>
    </row>
    <row r="361" spans="1:16" x14ac:dyDescent="0.25">
      <c r="A361" s="8">
        <v>44440</v>
      </c>
      <c r="B361" s="9">
        <v>1</v>
      </c>
      <c r="C361" s="10">
        <v>5</v>
      </c>
      <c r="D361" s="11">
        <v>8887</v>
      </c>
      <c r="E361" s="12">
        <v>30710074611</v>
      </c>
      <c r="F361" s="13" t="s">
        <v>111</v>
      </c>
      <c r="G361" s="58">
        <v>19025.62</v>
      </c>
      <c r="H361" s="59">
        <v>3995.3801999999996</v>
      </c>
      <c r="I361" s="59"/>
      <c r="J361" s="59"/>
      <c r="K361" s="60"/>
      <c r="L361" s="15"/>
      <c r="M361" s="15"/>
      <c r="N361" s="15"/>
      <c r="O361" s="61"/>
      <c r="P361" s="57">
        <f t="shared" si="16"/>
        <v>23021.000199999999</v>
      </c>
    </row>
    <row r="362" spans="1:16" x14ac:dyDescent="0.25">
      <c r="A362" s="8">
        <v>44441</v>
      </c>
      <c r="B362" s="9">
        <v>1</v>
      </c>
      <c r="C362" s="10">
        <v>280</v>
      </c>
      <c r="D362" s="11">
        <v>1316000</v>
      </c>
      <c r="E362" s="12">
        <v>30580111315</v>
      </c>
      <c r="F362" s="13" t="s">
        <v>30</v>
      </c>
      <c r="G362" s="58">
        <v>171252.86</v>
      </c>
      <c r="H362" s="59">
        <v>19150.21</v>
      </c>
      <c r="I362" s="59"/>
      <c r="J362" s="59">
        <v>8406.14</v>
      </c>
      <c r="K362" s="60"/>
      <c r="L362" s="15"/>
      <c r="M362" s="15"/>
      <c r="N362" s="15"/>
      <c r="O362" s="61">
        <v>-152586.66</v>
      </c>
      <c r="P362" s="57">
        <f t="shared" si="16"/>
        <v>46222.549999999959</v>
      </c>
    </row>
    <row r="363" spans="1:16" x14ac:dyDescent="0.25">
      <c r="A363" s="8">
        <v>44442</v>
      </c>
      <c r="B363" s="9">
        <v>1</v>
      </c>
      <c r="C363" s="10">
        <v>1</v>
      </c>
      <c r="D363" s="11">
        <v>883</v>
      </c>
      <c r="E363" s="12">
        <v>30573843440</v>
      </c>
      <c r="F363" s="13" t="s">
        <v>43</v>
      </c>
      <c r="G363" s="58">
        <v>97830</v>
      </c>
      <c r="H363" s="59">
        <v>20544.3</v>
      </c>
      <c r="I363" s="59"/>
      <c r="J363" s="59"/>
      <c r="K363" s="60"/>
      <c r="L363" s="15"/>
      <c r="M363" s="15"/>
      <c r="N363" s="15"/>
      <c r="O363" s="61"/>
      <c r="P363" s="57">
        <f t="shared" si="16"/>
        <v>118374.3</v>
      </c>
    </row>
    <row r="364" spans="1:16" x14ac:dyDescent="0.25">
      <c r="A364" s="8">
        <v>44443</v>
      </c>
      <c r="B364" s="9">
        <v>1</v>
      </c>
      <c r="C364" s="10">
        <v>3</v>
      </c>
      <c r="D364" s="11">
        <v>491691</v>
      </c>
      <c r="E364" s="12">
        <v>30712019359</v>
      </c>
      <c r="F364" s="13" t="s">
        <v>75</v>
      </c>
      <c r="G364" s="58">
        <v>2147.9299999999998</v>
      </c>
      <c r="H364" s="59">
        <v>451.06529999999992</v>
      </c>
      <c r="I364" s="59"/>
      <c r="J364" s="59"/>
      <c r="K364" s="60"/>
      <c r="L364" s="15"/>
      <c r="M364" s="15"/>
      <c r="N364" s="15"/>
      <c r="O364" s="61"/>
      <c r="P364" s="57">
        <f t="shared" si="16"/>
        <v>2598.9952999999996</v>
      </c>
    </row>
    <row r="365" spans="1:16" x14ac:dyDescent="0.25">
      <c r="A365" s="8">
        <v>44443</v>
      </c>
      <c r="B365" s="9">
        <v>1</v>
      </c>
      <c r="C365" s="10">
        <v>3</v>
      </c>
      <c r="D365" s="11">
        <v>493155</v>
      </c>
      <c r="E365" s="12">
        <v>30712019359</v>
      </c>
      <c r="F365" s="13" t="s">
        <v>75</v>
      </c>
      <c r="G365" s="58">
        <v>2147.9299999999998</v>
      </c>
      <c r="H365" s="59">
        <v>451.06529999999992</v>
      </c>
      <c r="I365" s="59"/>
      <c r="J365" s="59"/>
      <c r="K365" s="60"/>
      <c r="L365" s="15"/>
      <c r="M365" s="15"/>
      <c r="N365" s="15"/>
      <c r="O365" s="61"/>
      <c r="P365" s="57">
        <f t="shared" si="16"/>
        <v>2598.9952999999996</v>
      </c>
    </row>
    <row r="366" spans="1:16" x14ac:dyDescent="0.25">
      <c r="A366" s="8">
        <v>44445</v>
      </c>
      <c r="B366" s="9">
        <v>1</v>
      </c>
      <c r="C366" s="10">
        <v>1</v>
      </c>
      <c r="D366" s="11">
        <v>554603</v>
      </c>
      <c r="E366" s="12">
        <v>30700940957</v>
      </c>
      <c r="F366" s="13" t="s">
        <v>85</v>
      </c>
      <c r="G366" s="58">
        <v>2652</v>
      </c>
      <c r="H366" s="59">
        <v>90.72</v>
      </c>
      <c r="I366" s="59"/>
      <c r="J366" s="59">
        <v>233.1</v>
      </c>
      <c r="K366" s="60"/>
      <c r="L366" s="15"/>
      <c r="M366" s="15"/>
      <c r="N366" s="15"/>
      <c r="O366" s="61">
        <v>-2155.34</v>
      </c>
      <c r="P366" s="57">
        <f t="shared" si="16"/>
        <v>820.47999999999956</v>
      </c>
    </row>
    <row r="367" spans="1:16" x14ac:dyDescent="0.25">
      <c r="A367" s="8">
        <v>44445</v>
      </c>
      <c r="B367" s="9">
        <v>1</v>
      </c>
      <c r="C367" s="10">
        <v>2</v>
      </c>
      <c r="D367" s="11">
        <v>116</v>
      </c>
      <c r="E367" s="12">
        <v>20125142851</v>
      </c>
      <c r="F367" s="13" t="s">
        <v>27</v>
      </c>
      <c r="G367" s="58">
        <v>30553.88</v>
      </c>
      <c r="H367" s="59">
        <v>6416.3148000000001</v>
      </c>
      <c r="I367" s="59"/>
      <c r="J367" s="59"/>
      <c r="K367" s="60"/>
      <c r="L367" s="15"/>
      <c r="M367" s="15"/>
      <c r="N367" s="15"/>
      <c r="O367" s="61"/>
      <c r="P367" s="57">
        <f t="shared" si="16"/>
        <v>36970.194799999997</v>
      </c>
    </row>
    <row r="368" spans="1:16" x14ac:dyDescent="0.25">
      <c r="A368" s="8">
        <v>44445</v>
      </c>
      <c r="B368" s="9">
        <v>1</v>
      </c>
      <c r="C368" s="10">
        <v>2</v>
      </c>
      <c r="D368" s="11">
        <v>117</v>
      </c>
      <c r="E368" s="12">
        <v>20125142851</v>
      </c>
      <c r="F368" s="13" t="s">
        <v>27</v>
      </c>
      <c r="G368" s="58">
        <v>32877.599999999999</v>
      </c>
      <c r="H368" s="59">
        <v>6904.2959999999994</v>
      </c>
      <c r="I368" s="59"/>
      <c r="J368" s="59"/>
      <c r="K368" s="60"/>
      <c r="L368" s="15"/>
      <c r="M368" s="15"/>
      <c r="N368" s="15"/>
      <c r="O368" s="61"/>
      <c r="P368" s="57">
        <f t="shared" si="16"/>
        <v>39781.896000000001</v>
      </c>
    </row>
    <row r="369" spans="1:16" x14ac:dyDescent="0.25">
      <c r="A369" s="8">
        <v>44445</v>
      </c>
      <c r="B369" s="9">
        <v>1</v>
      </c>
      <c r="C369" s="10">
        <v>4</v>
      </c>
      <c r="D369" s="11">
        <v>78136</v>
      </c>
      <c r="E369" s="12">
        <v>30559932236</v>
      </c>
      <c r="F369" s="13" t="s">
        <v>94</v>
      </c>
      <c r="G369" s="58">
        <v>3842.93</v>
      </c>
      <c r="H369" s="59"/>
      <c r="I369" s="59"/>
      <c r="J369" s="59">
        <v>403.50764999999996</v>
      </c>
      <c r="K369" s="60"/>
      <c r="L369" s="15"/>
      <c r="M369" s="15"/>
      <c r="N369" s="15"/>
      <c r="O369" s="61"/>
      <c r="P369" s="57">
        <f t="shared" si="16"/>
        <v>4246.4376499999998</v>
      </c>
    </row>
    <row r="370" spans="1:16" x14ac:dyDescent="0.25">
      <c r="A370" s="8">
        <v>44445</v>
      </c>
      <c r="B370" s="9">
        <v>1</v>
      </c>
      <c r="C370" s="10">
        <v>280</v>
      </c>
      <c r="D370" s="11">
        <v>1317119</v>
      </c>
      <c r="E370" s="12">
        <v>30580111315</v>
      </c>
      <c r="F370" s="13" t="s">
        <v>30</v>
      </c>
      <c r="G370" s="58">
        <v>69097.960000000006</v>
      </c>
      <c r="H370" s="59"/>
      <c r="I370" s="59"/>
      <c r="J370" s="59">
        <v>7255.2858000000006</v>
      </c>
      <c r="K370" s="60"/>
      <c r="L370" s="15"/>
      <c r="M370" s="15"/>
      <c r="N370" s="15"/>
      <c r="O370" s="61">
        <v>-69097.960000000006</v>
      </c>
      <c r="P370" s="57">
        <f t="shared" si="16"/>
        <v>7255.2857999999978</v>
      </c>
    </row>
    <row r="371" spans="1:16" x14ac:dyDescent="0.25">
      <c r="A371" s="8">
        <v>44446</v>
      </c>
      <c r="B371" s="9">
        <v>3</v>
      </c>
      <c r="C371" s="10">
        <v>3</v>
      </c>
      <c r="D371" s="11">
        <v>8419</v>
      </c>
      <c r="E371" s="12">
        <v>30712019359</v>
      </c>
      <c r="F371" s="13" t="s">
        <v>75</v>
      </c>
      <c r="G371" s="58">
        <v>-2147.9299999999998</v>
      </c>
      <c r="H371" s="59">
        <v>-451.06529999999992</v>
      </c>
      <c r="I371" s="59"/>
      <c r="J371" s="59"/>
      <c r="K371" s="60"/>
      <c r="L371" s="15"/>
      <c r="M371" s="15"/>
      <c r="N371" s="15"/>
      <c r="O371" s="61"/>
      <c r="P371" s="57">
        <f t="shared" si="16"/>
        <v>-2598.9952999999996</v>
      </c>
    </row>
    <row r="372" spans="1:16" x14ac:dyDescent="0.25">
      <c r="A372" s="8">
        <v>44446</v>
      </c>
      <c r="B372" s="9">
        <v>3</v>
      </c>
      <c r="C372" s="10">
        <v>3</v>
      </c>
      <c r="D372" s="11">
        <v>8482</v>
      </c>
      <c r="E372" s="12">
        <v>30712019359</v>
      </c>
      <c r="F372" s="13" t="s">
        <v>75</v>
      </c>
      <c r="G372" s="58">
        <v>-2147.9299999999998</v>
      </c>
      <c r="H372" s="59">
        <v>-451.06529999999992</v>
      </c>
      <c r="I372" s="59"/>
      <c r="J372" s="59"/>
      <c r="K372" s="60"/>
      <c r="L372" s="15"/>
      <c r="M372" s="15"/>
      <c r="N372" s="15"/>
      <c r="O372" s="61"/>
      <c r="P372" s="57">
        <f t="shared" si="16"/>
        <v>-2598.9952999999996</v>
      </c>
    </row>
    <row r="373" spans="1:16" x14ac:dyDescent="0.25">
      <c r="A373" s="8">
        <v>44446</v>
      </c>
      <c r="B373" s="9">
        <v>3</v>
      </c>
      <c r="C373" s="10">
        <v>3</v>
      </c>
      <c r="D373" s="11">
        <v>8833</v>
      </c>
      <c r="E373" s="12">
        <v>30712019359</v>
      </c>
      <c r="F373" s="13" t="s">
        <v>75</v>
      </c>
      <c r="G373" s="58">
        <v>-2147.9299999999998</v>
      </c>
      <c r="H373" s="59">
        <v>-451.06529999999992</v>
      </c>
      <c r="I373" s="59"/>
      <c r="J373" s="59"/>
      <c r="K373" s="60"/>
      <c r="L373" s="15"/>
      <c r="M373" s="15"/>
      <c r="N373" s="15"/>
      <c r="O373" s="61"/>
      <c r="P373" s="57">
        <f t="shared" si="16"/>
        <v>-2598.9952999999996</v>
      </c>
    </row>
    <row r="374" spans="1:16" x14ac:dyDescent="0.25">
      <c r="A374" s="8">
        <v>44446</v>
      </c>
      <c r="B374" s="9">
        <v>3</v>
      </c>
      <c r="C374" s="10">
        <v>3</v>
      </c>
      <c r="D374" s="11">
        <v>8652</v>
      </c>
      <c r="E374" s="12">
        <v>30712019359</v>
      </c>
      <c r="F374" s="13" t="s">
        <v>75</v>
      </c>
      <c r="G374" s="58">
        <v>-2147.9299999999998</v>
      </c>
      <c r="H374" s="59">
        <v>-451.06529999999992</v>
      </c>
      <c r="I374" s="59"/>
      <c r="J374" s="59"/>
      <c r="K374" s="60"/>
      <c r="L374" s="15"/>
      <c r="M374" s="15"/>
      <c r="N374" s="15"/>
      <c r="O374" s="61"/>
      <c r="P374" s="57">
        <f t="shared" si="16"/>
        <v>-2598.9952999999996</v>
      </c>
    </row>
    <row r="375" spans="1:16" x14ac:dyDescent="0.25">
      <c r="A375" s="8">
        <v>44446</v>
      </c>
      <c r="B375" s="9">
        <v>1</v>
      </c>
      <c r="C375" s="10">
        <v>5</v>
      </c>
      <c r="D375" s="11">
        <v>2235</v>
      </c>
      <c r="E375" s="12">
        <v>20282837472</v>
      </c>
      <c r="F375" s="13" t="s">
        <v>112</v>
      </c>
      <c r="G375" s="58">
        <v>1730.33</v>
      </c>
      <c r="H375" s="59">
        <v>363.36929999999995</v>
      </c>
      <c r="I375" s="59"/>
      <c r="J375" s="59"/>
      <c r="K375" s="60"/>
      <c r="L375" s="15"/>
      <c r="M375" s="15"/>
      <c r="N375" s="15"/>
      <c r="O375" s="61"/>
      <c r="P375" s="57">
        <f t="shared" si="16"/>
        <v>2093.6992999999998</v>
      </c>
    </row>
    <row r="376" spans="1:16" x14ac:dyDescent="0.25">
      <c r="A376" s="8">
        <v>44448</v>
      </c>
      <c r="B376" s="9">
        <v>1</v>
      </c>
      <c r="C376" s="10">
        <v>2</v>
      </c>
      <c r="D376" s="11">
        <v>55121</v>
      </c>
      <c r="E376" s="12">
        <v>30630984668</v>
      </c>
      <c r="F376" s="13" t="s">
        <v>113</v>
      </c>
      <c r="G376" s="58">
        <v>193763.08</v>
      </c>
      <c r="H376" s="59">
        <v>2907.52</v>
      </c>
      <c r="I376" s="59"/>
      <c r="J376" s="59">
        <v>18891.650000000001</v>
      </c>
      <c r="K376" s="60"/>
      <c r="L376" s="15"/>
      <c r="M376" s="15"/>
      <c r="N376" s="15"/>
      <c r="O376" s="61"/>
      <c r="P376" s="57">
        <f t="shared" si="16"/>
        <v>215562.24999999997</v>
      </c>
    </row>
    <row r="377" spans="1:16" x14ac:dyDescent="0.25">
      <c r="A377" s="8">
        <v>44448</v>
      </c>
      <c r="B377" s="9">
        <v>1</v>
      </c>
      <c r="C377" s="10">
        <v>3</v>
      </c>
      <c r="D377" s="11">
        <v>3781</v>
      </c>
      <c r="E377" s="12">
        <v>30709665967</v>
      </c>
      <c r="F377" s="13" t="s">
        <v>114</v>
      </c>
      <c r="G377" s="58">
        <v>560332</v>
      </c>
      <c r="H377" s="59">
        <v>117669.72</v>
      </c>
      <c r="I377" s="59"/>
      <c r="J377" s="59"/>
      <c r="K377" s="60"/>
      <c r="L377" s="15"/>
      <c r="M377" s="15"/>
      <c r="N377" s="15"/>
      <c r="O377" s="61"/>
      <c r="P377" s="57">
        <f t="shared" si="16"/>
        <v>678001.72</v>
      </c>
    </row>
    <row r="378" spans="1:16" x14ac:dyDescent="0.25">
      <c r="A378" s="8">
        <v>44449</v>
      </c>
      <c r="B378" s="9">
        <v>1</v>
      </c>
      <c r="C378" s="10">
        <v>3</v>
      </c>
      <c r="D378" s="11">
        <v>244</v>
      </c>
      <c r="E378" s="12">
        <v>20921575743</v>
      </c>
      <c r="F378" s="13" t="s">
        <v>80</v>
      </c>
      <c r="G378" s="58">
        <v>161750</v>
      </c>
      <c r="H378" s="59">
        <v>33967.5</v>
      </c>
      <c r="I378" s="59"/>
      <c r="J378" s="59"/>
      <c r="K378" s="60"/>
      <c r="L378" s="15"/>
      <c r="M378" s="15"/>
      <c r="N378" s="15"/>
      <c r="O378" s="61"/>
      <c r="P378" s="57">
        <f t="shared" si="16"/>
        <v>195717.5</v>
      </c>
    </row>
    <row r="379" spans="1:16" x14ac:dyDescent="0.25">
      <c r="A379" s="8">
        <v>44450</v>
      </c>
      <c r="B379" s="9">
        <v>1</v>
      </c>
      <c r="C379" s="10">
        <v>2466</v>
      </c>
      <c r="D379" s="11">
        <v>268452</v>
      </c>
      <c r="E379" s="12">
        <v>30678814357</v>
      </c>
      <c r="F379" s="13" t="s">
        <v>52</v>
      </c>
      <c r="G379" s="58">
        <v>1390</v>
      </c>
      <c r="H379" s="59"/>
      <c r="I379" s="59">
        <v>375.3</v>
      </c>
      <c r="J379" s="59"/>
      <c r="K379" s="60"/>
      <c r="L379" s="15"/>
      <c r="M379" s="15"/>
      <c r="N379" s="15"/>
      <c r="O379" s="61">
        <v>73.16</v>
      </c>
      <c r="P379" s="57">
        <f t="shared" si="16"/>
        <v>1838.46</v>
      </c>
    </row>
    <row r="380" spans="1:16" x14ac:dyDescent="0.25">
      <c r="A380" s="8">
        <v>44452</v>
      </c>
      <c r="B380" s="9">
        <v>1</v>
      </c>
      <c r="C380" s="10">
        <v>295</v>
      </c>
      <c r="D380" s="11">
        <v>265</v>
      </c>
      <c r="E380" s="12">
        <v>30709173401</v>
      </c>
      <c r="F380" s="13" t="s">
        <v>115</v>
      </c>
      <c r="G380" s="58">
        <v>11824.33</v>
      </c>
      <c r="H380" s="59">
        <v>2483.1093000000001</v>
      </c>
      <c r="I380" s="59"/>
      <c r="J380" s="59"/>
      <c r="K380" s="60"/>
      <c r="L380" s="15"/>
      <c r="M380" s="15"/>
      <c r="N380" s="15"/>
      <c r="O380" s="61"/>
      <c r="P380" s="57">
        <f t="shared" si="16"/>
        <v>14307.4393</v>
      </c>
    </row>
    <row r="381" spans="1:16" x14ac:dyDescent="0.25">
      <c r="A381" s="8">
        <v>44452</v>
      </c>
      <c r="B381" s="9">
        <v>1</v>
      </c>
      <c r="C381" s="10">
        <v>295</v>
      </c>
      <c r="D381" s="11">
        <v>264</v>
      </c>
      <c r="E381" s="12">
        <v>30709173401</v>
      </c>
      <c r="F381" s="13" t="s">
        <v>115</v>
      </c>
      <c r="G381" s="58">
        <v>76856.23</v>
      </c>
      <c r="H381" s="59">
        <v>16139.808299999999</v>
      </c>
      <c r="I381" s="59"/>
      <c r="J381" s="59"/>
      <c r="K381" s="60"/>
      <c r="L381" s="15"/>
      <c r="M381" s="15"/>
      <c r="N381" s="15"/>
      <c r="O381" s="61"/>
      <c r="P381" s="57">
        <f t="shared" si="16"/>
        <v>92996.0383</v>
      </c>
    </row>
    <row r="382" spans="1:16" x14ac:dyDescent="0.25">
      <c r="A382" s="8">
        <v>44455</v>
      </c>
      <c r="B382" s="9">
        <v>1</v>
      </c>
      <c r="C382" s="10">
        <v>106</v>
      </c>
      <c r="D382" s="11">
        <v>457983</v>
      </c>
      <c r="E382" s="12">
        <v>30594494187</v>
      </c>
      <c r="F382" s="13" t="s">
        <v>53</v>
      </c>
      <c r="G382" s="58"/>
      <c r="H382" s="59">
        <v>0</v>
      </c>
      <c r="I382" s="59"/>
      <c r="J382" s="59"/>
      <c r="K382" s="60"/>
      <c r="L382" s="15">
        <v>19482.25</v>
      </c>
      <c r="M382" s="15"/>
      <c r="N382" s="15"/>
      <c r="O382" s="61"/>
      <c r="P382" s="57">
        <f t="shared" si="16"/>
        <v>19482.25</v>
      </c>
    </row>
    <row r="383" spans="1:16" x14ac:dyDescent="0.25">
      <c r="A383" s="8">
        <v>44456</v>
      </c>
      <c r="B383" s="9">
        <v>1</v>
      </c>
      <c r="C383" s="10">
        <v>4</v>
      </c>
      <c r="D383" s="11">
        <v>10760</v>
      </c>
      <c r="E383" s="12">
        <v>23113854499</v>
      </c>
      <c r="F383" s="13" t="s">
        <v>116</v>
      </c>
      <c r="G383" s="58">
        <v>3545.46</v>
      </c>
      <c r="H383" s="59">
        <v>744.54660000000001</v>
      </c>
      <c r="I383" s="59"/>
      <c r="J383" s="59"/>
      <c r="K383" s="60"/>
      <c r="L383" s="15"/>
      <c r="M383" s="15"/>
      <c r="N383" s="15"/>
      <c r="O383" s="61"/>
      <c r="P383" s="57">
        <f t="shared" si="16"/>
        <v>4290.0065999999997</v>
      </c>
    </row>
    <row r="384" spans="1:16" x14ac:dyDescent="0.25">
      <c r="A384" s="8">
        <v>44456</v>
      </c>
      <c r="B384" s="9">
        <v>1</v>
      </c>
      <c r="C384" s="10">
        <v>14</v>
      </c>
      <c r="D384" s="11">
        <v>1607</v>
      </c>
      <c r="E384" s="12">
        <v>33708543409</v>
      </c>
      <c r="F384" s="13" t="s">
        <v>117</v>
      </c>
      <c r="G384" s="58">
        <v>17828.05</v>
      </c>
      <c r="H384" s="59"/>
      <c r="I384" s="59"/>
      <c r="J384" s="59">
        <v>1871.9452499999998</v>
      </c>
      <c r="K384" s="60"/>
      <c r="L384" s="15"/>
      <c r="M384" s="15"/>
      <c r="N384" s="15"/>
      <c r="O384" s="61"/>
      <c r="P384" s="57">
        <f t="shared" si="16"/>
        <v>19699.99525</v>
      </c>
    </row>
    <row r="385" spans="1:16" x14ac:dyDescent="0.25">
      <c r="A385" s="8">
        <v>44459</v>
      </c>
      <c r="B385" s="9">
        <v>1</v>
      </c>
      <c r="C385" s="10">
        <v>2</v>
      </c>
      <c r="D385" s="11">
        <v>118</v>
      </c>
      <c r="E385" s="12">
        <v>20125142851</v>
      </c>
      <c r="F385" s="13" t="s">
        <v>27</v>
      </c>
      <c r="G385" s="58">
        <v>24006.52</v>
      </c>
      <c r="H385" s="59">
        <v>5041.3692000000001</v>
      </c>
      <c r="I385" s="59"/>
      <c r="J385" s="59"/>
      <c r="K385" s="60"/>
      <c r="L385" s="15"/>
      <c r="M385" s="15"/>
      <c r="N385" s="15"/>
      <c r="O385" s="61"/>
      <c r="P385" s="57">
        <f t="shared" si="16"/>
        <v>29047.889200000001</v>
      </c>
    </row>
    <row r="386" spans="1:16" x14ac:dyDescent="0.25">
      <c r="A386" s="8">
        <v>44459</v>
      </c>
      <c r="B386" s="9">
        <v>1</v>
      </c>
      <c r="C386" s="10">
        <v>2</v>
      </c>
      <c r="D386" s="11">
        <v>119</v>
      </c>
      <c r="E386" s="12">
        <v>20125142851</v>
      </c>
      <c r="F386" s="13" t="s">
        <v>27</v>
      </c>
      <c r="G386" s="58">
        <v>35318.400000000001</v>
      </c>
      <c r="H386" s="59">
        <v>7416.8639999999996</v>
      </c>
      <c r="I386" s="59"/>
      <c r="J386" s="59"/>
      <c r="K386" s="60"/>
      <c r="L386" s="15"/>
      <c r="M386" s="15"/>
      <c r="N386" s="15"/>
      <c r="O386" s="61"/>
      <c r="P386" s="57">
        <f t="shared" si="16"/>
        <v>42735.264000000003</v>
      </c>
    </row>
    <row r="387" spans="1:16" x14ac:dyDescent="0.25">
      <c r="A387" s="8">
        <v>44460</v>
      </c>
      <c r="B387" s="9">
        <v>1</v>
      </c>
      <c r="C387" s="10">
        <v>280</v>
      </c>
      <c r="D387" s="11">
        <v>1320522</v>
      </c>
      <c r="E387" s="12">
        <v>30580111315</v>
      </c>
      <c r="F387" s="13" t="s">
        <v>30</v>
      </c>
      <c r="G387" s="58">
        <v>262822.23</v>
      </c>
      <c r="H387" s="59">
        <v>620.29</v>
      </c>
      <c r="I387" s="59"/>
      <c r="J387" s="59">
        <v>27286.21</v>
      </c>
      <c r="K387" s="60"/>
      <c r="L387" s="15"/>
      <c r="M387" s="15"/>
      <c r="N387" s="15"/>
      <c r="O387" s="61">
        <v>-255802.03</v>
      </c>
      <c r="P387" s="57">
        <f t="shared" si="16"/>
        <v>34926.699999999983</v>
      </c>
    </row>
    <row r="388" spans="1:16" x14ac:dyDescent="0.25">
      <c r="A388" s="8">
        <v>44464</v>
      </c>
      <c r="B388" s="9">
        <v>1</v>
      </c>
      <c r="C388" s="10">
        <v>280</v>
      </c>
      <c r="D388" s="11">
        <v>1321422</v>
      </c>
      <c r="E388" s="12">
        <v>30580111315</v>
      </c>
      <c r="F388" s="13" t="s">
        <v>30</v>
      </c>
      <c r="G388" s="58">
        <v>351900.59</v>
      </c>
      <c r="H388" s="59">
        <v>73899.123900000006</v>
      </c>
      <c r="I388" s="59"/>
      <c r="J388" s="59"/>
      <c r="K388" s="60"/>
      <c r="L388" s="15"/>
      <c r="M388" s="15"/>
      <c r="N388" s="15"/>
      <c r="O388" s="61">
        <v>-288383.59999999998</v>
      </c>
      <c r="P388" s="57">
        <f t="shared" si="16"/>
        <v>137416.11390000005</v>
      </c>
    </row>
    <row r="389" spans="1:16" x14ac:dyDescent="0.25">
      <c r="A389" s="8">
        <v>44467</v>
      </c>
      <c r="B389" s="9">
        <v>1</v>
      </c>
      <c r="C389" s="10">
        <v>3</v>
      </c>
      <c r="D389" s="11">
        <v>4573</v>
      </c>
      <c r="E389" s="12">
        <v>20141343700</v>
      </c>
      <c r="F389" s="13" t="s">
        <v>118</v>
      </c>
      <c r="G389" s="58">
        <v>3298.08</v>
      </c>
      <c r="H389" s="59">
        <v>65.95</v>
      </c>
      <c r="I389" s="59"/>
      <c r="J389" s="59">
        <v>313.32</v>
      </c>
      <c r="K389" s="60"/>
      <c r="L389" s="15"/>
      <c r="M389" s="15"/>
      <c r="N389" s="15"/>
      <c r="O389" s="61"/>
      <c r="P389" s="57">
        <f t="shared" si="16"/>
        <v>3677.35</v>
      </c>
    </row>
    <row r="390" spans="1:16" x14ac:dyDescent="0.25">
      <c r="A390" s="8">
        <v>44468</v>
      </c>
      <c r="B390" s="9">
        <v>1</v>
      </c>
      <c r="C390" s="10">
        <v>1</v>
      </c>
      <c r="D390" s="11">
        <v>352</v>
      </c>
      <c r="E390" s="12">
        <v>30715413678</v>
      </c>
      <c r="F390" s="13" t="s">
        <v>119</v>
      </c>
      <c r="G390" s="58">
        <v>108262</v>
      </c>
      <c r="H390" s="59">
        <v>22735.02</v>
      </c>
      <c r="I390" s="59"/>
      <c r="J390" s="59"/>
      <c r="K390" s="60"/>
      <c r="L390" s="15"/>
      <c r="M390" s="15"/>
      <c r="N390" s="15"/>
      <c r="O390" s="61"/>
      <c r="P390" s="57">
        <f t="shared" si="16"/>
        <v>130997.02</v>
      </c>
    </row>
    <row r="391" spans="1:16" x14ac:dyDescent="0.25">
      <c r="A391" s="8">
        <v>44468</v>
      </c>
      <c r="B391" s="9">
        <v>1</v>
      </c>
      <c r="C391" s="10">
        <v>7</v>
      </c>
      <c r="D391" s="11">
        <v>5512</v>
      </c>
      <c r="E391" s="12">
        <v>20261680298</v>
      </c>
      <c r="F391" s="13" t="s">
        <v>93</v>
      </c>
      <c r="G391" s="58">
        <v>3743.89</v>
      </c>
      <c r="H391" s="59"/>
      <c r="I391" s="59"/>
      <c r="J391" s="59">
        <v>393.10844999999995</v>
      </c>
      <c r="K391" s="60"/>
      <c r="L391" s="15"/>
      <c r="M391" s="15"/>
      <c r="N391" s="15"/>
      <c r="O391" s="61"/>
      <c r="P391" s="57">
        <f t="shared" si="16"/>
        <v>4136.99845</v>
      </c>
    </row>
    <row r="392" spans="1:16" x14ac:dyDescent="0.25">
      <c r="A392" s="8">
        <v>44469</v>
      </c>
      <c r="B392" s="9">
        <v>1</v>
      </c>
      <c r="C392" s="10">
        <v>1</v>
      </c>
      <c r="D392" s="11">
        <v>393</v>
      </c>
      <c r="E392" s="12">
        <v>30715048066</v>
      </c>
      <c r="F392" s="13" t="s">
        <v>64</v>
      </c>
      <c r="G392" s="58">
        <v>137996.5</v>
      </c>
      <c r="H392" s="59">
        <v>28979.264999999999</v>
      </c>
      <c r="I392" s="59"/>
      <c r="J392" s="59"/>
      <c r="K392" s="60"/>
      <c r="L392" s="15"/>
      <c r="M392" s="15"/>
      <c r="N392" s="15"/>
      <c r="O392" s="61"/>
      <c r="P392" s="57">
        <f t="shared" si="16"/>
        <v>166975.76500000001</v>
      </c>
    </row>
    <row r="393" spans="1:16" x14ac:dyDescent="0.25">
      <c r="A393" s="8">
        <v>44469</v>
      </c>
      <c r="B393" s="9">
        <v>1</v>
      </c>
      <c r="C393" s="10">
        <v>2</v>
      </c>
      <c r="D393" s="11">
        <v>55315</v>
      </c>
      <c r="E393" s="12">
        <v>30630984668</v>
      </c>
      <c r="F393" s="13" t="s">
        <v>113</v>
      </c>
      <c r="G393" s="58">
        <v>90825.86</v>
      </c>
      <c r="H393" s="59"/>
      <c r="I393" s="59"/>
      <c r="J393" s="59">
        <v>9536.7152999999998</v>
      </c>
      <c r="K393" s="60"/>
      <c r="L393" s="15"/>
      <c r="M393" s="15"/>
      <c r="N393" s="15"/>
      <c r="O393" s="61"/>
      <c r="P393" s="57">
        <f t="shared" si="16"/>
        <v>100362.5753</v>
      </c>
    </row>
    <row r="394" spans="1:16" x14ac:dyDescent="0.25">
      <c r="A394" s="8">
        <v>44448</v>
      </c>
      <c r="B394" s="9">
        <v>99</v>
      </c>
      <c r="C394" s="10">
        <v>825</v>
      </c>
      <c r="D394" s="11">
        <v>794252</v>
      </c>
      <c r="E394" s="12" t="s">
        <v>120</v>
      </c>
      <c r="F394" s="13" t="s">
        <v>22</v>
      </c>
      <c r="G394" s="58">
        <v>7350.7619047619046</v>
      </c>
      <c r="H394" s="59">
        <v>1543.66</v>
      </c>
      <c r="I394" s="59"/>
      <c r="J394" s="59"/>
      <c r="K394" s="60"/>
      <c r="L394" s="15"/>
      <c r="M394" s="15">
        <v>220.52</v>
      </c>
      <c r="N394" s="15"/>
      <c r="O394" s="61"/>
      <c r="P394" s="57">
        <f t="shared" si="16"/>
        <v>9114.9419047619049</v>
      </c>
    </row>
    <row r="395" spans="1:16" x14ac:dyDescent="0.25">
      <c r="A395" s="8">
        <v>44448</v>
      </c>
      <c r="B395" s="9">
        <v>99</v>
      </c>
      <c r="C395" s="10">
        <v>818</v>
      </c>
      <c r="D395" s="11">
        <v>670815</v>
      </c>
      <c r="E395" s="12" t="s">
        <v>120</v>
      </c>
      <c r="F395" s="13" t="s">
        <v>22</v>
      </c>
      <c r="G395" s="58">
        <v>11275.761904761905</v>
      </c>
      <c r="H395" s="59">
        <v>2367.91</v>
      </c>
      <c r="I395" s="59"/>
      <c r="J395" s="59"/>
      <c r="K395" s="60"/>
      <c r="L395" s="15"/>
      <c r="M395" s="15">
        <v>338.27</v>
      </c>
      <c r="N395" s="15"/>
      <c r="O395" s="61"/>
      <c r="P395" s="57">
        <f t="shared" si="16"/>
        <v>13981.941904761905</v>
      </c>
    </row>
    <row r="396" spans="1:16" x14ac:dyDescent="0.25">
      <c r="A396" s="8">
        <v>44448</v>
      </c>
      <c r="B396" s="9">
        <v>99</v>
      </c>
      <c r="C396" s="10">
        <v>818</v>
      </c>
      <c r="D396" s="11">
        <v>670875</v>
      </c>
      <c r="E396" s="12" t="s">
        <v>120</v>
      </c>
      <c r="F396" s="13" t="s">
        <v>22</v>
      </c>
      <c r="G396" s="58">
        <v>11271.142857142857</v>
      </c>
      <c r="H396" s="59">
        <v>2366.94</v>
      </c>
      <c r="I396" s="59"/>
      <c r="J396" s="59"/>
      <c r="K396" s="60"/>
      <c r="L396" s="15"/>
      <c r="M396" s="15">
        <v>338.13</v>
      </c>
      <c r="N396" s="15"/>
      <c r="O396" s="61"/>
      <c r="P396" s="57">
        <f t="shared" si="16"/>
        <v>13976.212857142857</v>
      </c>
    </row>
    <row r="397" spans="1:16" x14ac:dyDescent="0.25">
      <c r="A397" s="8">
        <v>44452</v>
      </c>
      <c r="B397" s="9">
        <v>99</v>
      </c>
      <c r="C397" s="10">
        <v>818</v>
      </c>
      <c r="D397" s="11">
        <v>671172</v>
      </c>
      <c r="E397" s="12" t="s">
        <v>120</v>
      </c>
      <c r="F397" s="13" t="s">
        <v>22</v>
      </c>
      <c r="G397" s="58">
        <v>11280.333333333334</v>
      </c>
      <c r="H397" s="59">
        <v>2368.87</v>
      </c>
      <c r="I397" s="59"/>
      <c r="J397" s="59"/>
      <c r="K397" s="60"/>
      <c r="L397" s="15"/>
      <c r="M397" s="15">
        <v>338.41</v>
      </c>
      <c r="N397" s="15"/>
      <c r="O397" s="61"/>
      <c r="P397" s="57"/>
    </row>
    <row r="398" spans="1:16" x14ac:dyDescent="0.25">
      <c r="A398" s="37">
        <v>44449</v>
      </c>
      <c r="B398" s="9">
        <v>99</v>
      </c>
      <c r="C398" s="10">
        <v>818</v>
      </c>
      <c r="D398" s="11">
        <v>671049</v>
      </c>
      <c r="E398" s="12" t="s">
        <v>120</v>
      </c>
      <c r="F398" s="13" t="s">
        <v>22</v>
      </c>
      <c r="G398" s="58">
        <v>11280.333333333334</v>
      </c>
      <c r="H398" s="59">
        <v>2368.87</v>
      </c>
      <c r="I398" s="59"/>
      <c r="J398" s="59"/>
      <c r="K398" s="60"/>
      <c r="L398" s="15"/>
      <c r="M398" s="15">
        <v>338.41</v>
      </c>
      <c r="N398" s="15"/>
      <c r="O398" s="61"/>
      <c r="P398" s="57"/>
    </row>
    <row r="399" spans="1:16" x14ac:dyDescent="0.25">
      <c r="A399" s="37">
        <v>44450</v>
      </c>
      <c r="B399" s="9">
        <v>99</v>
      </c>
      <c r="C399" s="10">
        <v>1</v>
      </c>
      <c r="D399" s="11">
        <v>11921</v>
      </c>
      <c r="E399" s="12" t="s">
        <v>120</v>
      </c>
      <c r="F399" s="13" t="s">
        <v>22</v>
      </c>
      <c r="G399" s="58">
        <v>2522.1904761904761</v>
      </c>
      <c r="H399" s="59">
        <v>529.66</v>
      </c>
      <c r="I399" s="59"/>
      <c r="J399" s="59"/>
      <c r="K399" s="60"/>
      <c r="L399" s="15"/>
      <c r="M399" s="15"/>
      <c r="N399" s="15"/>
      <c r="O399" s="61"/>
      <c r="P399" s="57">
        <f t="shared" si="16"/>
        <v>3051.850476190476</v>
      </c>
    </row>
    <row r="400" spans="1:16" x14ac:dyDescent="0.25">
      <c r="A400" s="37">
        <v>44451</v>
      </c>
      <c r="B400" s="9">
        <v>99</v>
      </c>
      <c r="C400" s="39">
        <v>1</v>
      </c>
      <c r="D400" s="40">
        <v>12921</v>
      </c>
      <c r="E400" s="41">
        <v>30583887039</v>
      </c>
      <c r="F400" s="42" t="s">
        <v>121</v>
      </c>
      <c r="G400" s="58">
        <v>80</v>
      </c>
      <c r="H400" s="59">
        <v>16.8</v>
      </c>
      <c r="I400" s="59"/>
      <c r="J400" s="59"/>
      <c r="K400" s="59"/>
      <c r="L400" s="31"/>
      <c r="M400" s="31"/>
      <c r="N400" s="31"/>
      <c r="O400" s="44"/>
      <c r="P400" s="57">
        <f t="shared" si="16"/>
        <v>96.8</v>
      </c>
    </row>
    <row r="401" spans="1:16" ht="16.5" customHeight="1" thickBot="1" x14ac:dyDescent="0.3">
      <c r="A401" s="129" t="s">
        <v>51</v>
      </c>
      <c r="B401" s="130"/>
      <c r="C401" s="130"/>
      <c r="D401" s="130"/>
      <c r="E401" s="130"/>
      <c r="F401" s="130"/>
      <c r="G401" s="62">
        <f t="shared" ref="G401:O401" si="17">SUM(G351:G400)</f>
        <v>3972098.0238095243</v>
      </c>
      <c r="H401" s="62">
        <f t="shared" si="17"/>
        <v>504391.58469999995</v>
      </c>
      <c r="I401" s="62">
        <f t="shared" si="17"/>
        <v>375.3</v>
      </c>
      <c r="J401" s="62">
        <f t="shared" si="17"/>
        <v>164728.73325000002</v>
      </c>
      <c r="K401" s="62">
        <f t="shared" si="17"/>
        <v>0</v>
      </c>
      <c r="L401" s="62">
        <f t="shared" si="17"/>
        <v>66860.81</v>
      </c>
      <c r="M401" s="62">
        <f t="shared" si="17"/>
        <v>1573.74</v>
      </c>
      <c r="N401" s="62">
        <f t="shared" si="17"/>
        <v>0</v>
      </c>
      <c r="O401" s="62">
        <f t="shared" si="17"/>
        <v>-2085619.7400000002</v>
      </c>
      <c r="P401" s="62">
        <f>SUM(P351:P400)</f>
        <v>2596433.2250928567</v>
      </c>
    </row>
    <row r="402" spans="1:16" ht="14.25" customHeight="1" thickBot="1" x14ac:dyDescent="0.3">
      <c r="G402" s="28"/>
      <c r="H402" s="126">
        <f>SUM(H401:J401)</f>
        <v>669495.61794999999</v>
      </c>
      <c r="I402" s="127"/>
      <c r="J402" s="128"/>
      <c r="K402" s="28"/>
      <c r="L402" s="28"/>
      <c r="M402" s="28"/>
      <c r="N402" s="28"/>
      <c r="O402" s="28"/>
      <c r="P402" s="28"/>
    </row>
    <row r="403" spans="1:16" s="122" customFormat="1" ht="14.25" customHeight="1" thickTop="1" x14ac:dyDescent="0.25">
      <c r="G403" s="123"/>
      <c r="H403" s="124"/>
      <c r="I403" s="125"/>
      <c r="J403" s="125"/>
      <c r="K403" s="123"/>
      <c r="L403" s="123"/>
      <c r="M403" s="123"/>
      <c r="N403" s="123"/>
      <c r="O403" s="123"/>
      <c r="P403" s="123"/>
    </row>
    <row r="404" spans="1:16" s="122" customFormat="1" ht="14.25" customHeight="1" x14ac:dyDescent="0.25">
      <c r="G404" s="123"/>
      <c r="H404" s="124"/>
      <c r="I404" s="125"/>
      <c r="J404" s="125"/>
      <c r="K404" s="123"/>
      <c r="L404" s="123"/>
      <c r="M404" s="123"/>
      <c r="N404" s="123"/>
      <c r="O404" s="123"/>
      <c r="P404" s="123"/>
    </row>
    <row r="405" spans="1:16" s="122" customFormat="1" ht="14.25" customHeight="1" x14ac:dyDescent="0.25">
      <c r="G405" s="123"/>
      <c r="H405" s="124"/>
      <c r="I405" s="125"/>
      <c r="J405" s="125"/>
      <c r="K405" s="123"/>
      <c r="L405" s="123"/>
      <c r="M405" s="123"/>
      <c r="N405" s="123"/>
      <c r="O405" s="123"/>
      <c r="P405" s="123"/>
    </row>
    <row r="406" spans="1:16" s="122" customFormat="1" ht="14.25" customHeight="1" x14ac:dyDescent="0.25">
      <c r="G406" s="123"/>
      <c r="H406" s="124"/>
      <c r="I406" s="125"/>
      <c r="J406" s="125"/>
      <c r="K406" s="123"/>
      <c r="L406" s="123"/>
      <c r="M406" s="123"/>
      <c r="N406" s="123"/>
      <c r="O406" s="123"/>
      <c r="P406" s="123"/>
    </row>
    <row r="407" spans="1:16" s="122" customFormat="1" ht="14.25" customHeight="1" x14ac:dyDescent="0.25">
      <c r="G407" s="123"/>
      <c r="H407" s="124"/>
      <c r="I407" s="125"/>
      <c r="J407" s="125"/>
      <c r="K407" s="123"/>
      <c r="L407" s="123"/>
      <c r="M407" s="123"/>
      <c r="N407" s="123"/>
      <c r="O407" s="123"/>
      <c r="P407" s="123"/>
    </row>
    <row r="408" spans="1:16" s="122" customFormat="1" ht="14.25" customHeight="1" x14ac:dyDescent="0.25">
      <c r="G408" s="123"/>
      <c r="H408" s="124"/>
      <c r="I408" s="125"/>
      <c r="J408" s="125"/>
      <c r="K408" s="123"/>
      <c r="L408" s="123"/>
      <c r="M408" s="123"/>
      <c r="N408" s="123"/>
      <c r="O408" s="123"/>
      <c r="P408" s="123"/>
    </row>
    <row r="409" spans="1:16" s="122" customFormat="1" ht="14.25" customHeight="1" x14ac:dyDescent="0.25">
      <c r="G409" s="123"/>
      <c r="H409" s="124"/>
      <c r="I409" s="125"/>
      <c r="J409" s="125"/>
      <c r="K409" s="123"/>
      <c r="L409" s="123"/>
      <c r="M409" s="123"/>
      <c r="N409" s="123"/>
      <c r="O409" s="123"/>
      <c r="P409" s="123"/>
    </row>
    <row r="410" spans="1:16" s="122" customFormat="1" ht="14.25" customHeight="1" x14ac:dyDescent="0.25">
      <c r="G410" s="123"/>
      <c r="H410" s="124"/>
      <c r="I410" s="125"/>
      <c r="J410" s="125"/>
      <c r="K410" s="123"/>
      <c r="L410" s="123"/>
      <c r="M410" s="123"/>
      <c r="N410" s="123"/>
      <c r="O410" s="123"/>
      <c r="P410" s="123"/>
    </row>
    <row r="411" spans="1:16" s="122" customFormat="1" ht="14.25" customHeight="1" x14ac:dyDescent="0.25">
      <c r="G411" s="123"/>
      <c r="H411" s="124"/>
      <c r="I411" s="125"/>
      <c r="J411" s="125"/>
      <c r="K411" s="123"/>
      <c r="L411" s="123"/>
      <c r="M411" s="123"/>
      <c r="N411" s="123"/>
      <c r="O411" s="123"/>
      <c r="P411" s="123"/>
    </row>
    <row r="412" spans="1:16" s="122" customFormat="1" ht="14.25" customHeight="1" x14ac:dyDescent="0.25">
      <c r="G412" s="123"/>
      <c r="H412" s="124"/>
      <c r="I412" s="125"/>
      <c r="J412" s="125"/>
      <c r="K412" s="123"/>
      <c r="L412" s="123"/>
      <c r="M412" s="123"/>
      <c r="N412" s="123"/>
      <c r="O412" s="123"/>
      <c r="P412" s="123"/>
    </row>
    <row r="413" spans="1:16" s="122" customFormat="1" ht="14.25" customHeight="1" x14ac:dyDescent="0.25">
      <c r="G413" s="123"/>
      <c r="H413" s="124"/>
      <c r="I413" s="125"/>
      <c r="J413" s="125"/>
      <c r="K413" s="123"/>
      <c r="L413" s="123"/>
      <c r="M413" s="123"/>
      <c r="N413" s="123"/>
      <c r="O413" s="123"/>
      <c r="P413" s="123"/>
    </row>
    <row r="414" spans="1:16" s="122" customFormat="1" ht="14.25" customHeight="1" x14ac:dyDescent="0.25">
      <c r="G414" s="123"/>
      <c r="H414" s="124"/>
      <c r="I414" s="125"/>
      <c r="J414" s="125"/>
      <c r="K414" s="123"/>
      <c r="L414" s="123"/>
      <c r="M414" s="123"/>
      <c r="N414" s="123"/>
      <c r="O414" s="123"/>
      <c r="P414" s="123"/>
    </row>
    <row r="415" spans="1:16" s="122" customFormat="1" ht="14.25" customHeight="1" x14ac:dyDescent="0.25">
      <c r="G415" s="123"/>
      <c r="H415" s="124"/>
      <c r="I415" s="125"/>
      <c r="J415" s="125"/>
      <c r="K415" s="123"/>
      <c r="L415" s="123"/>
      <c r="M415" s="123"/>
      <c r="N415" s="123"/>
      <c r="O415" s="123"/>
      <c r="P415" s="123"/>
    </row>
    <row r="416" spans="1:16" s="122" customFormat="1" ht="14.25" customHeight="1" x14ac:dyDescent="0.25">
      <c r="G416" s="123"/>
      <c r="H416" s="124"/>
      <c r="I416" s="125"/>
      <c r="J416" s="125"/>
      <c r="K416" s="123"/>
      <c r="L416" s="123"/>
      <c r="M416" s="123"/>
      <c r="N416" s="123"/>
      <c r="O416" s="123"/>
      <c r="P416" s="123"/>
    </row>
    <row r="417" spans="7:16" s="122" customFormat="1" ht="14.25" customHeight="1" x14ac:dyDescent="0.25">
      <c r="G417" s="123"/>
      <c r="H417" s="124"/>
      <c r="I417" s="125"/>
      <c r="J417" s="125"/>
      <c r="K417" s="123"/>
      <c r="L417" s="123"/>
      <c r="M417" s="123"/>
      <c r="N417" s="123"/>
      <c r="O417" s="123"/>
      <c r="P417" s="123"/>
    </row>
    <row r="418" spans="7:16" s="122" customFormat="1" ht="14.25" customHeight="1" x14ac:dyDescent="0.25">
      <c r="G418" s="123"/>
      <c r="H418" s="124"/>
      <c r="I418" s="125"/>
      <c r="J418" s="125"/>
      <c r="K418" s="123"/>
      <c r="L418" s="123"/>
      <c r="M418" s="123"/>
      <c r="N418" s="123"/>
      <c r="O418" s="123"/>
      <c r="P418" s="123"/>
    </row>
    <row r="419" spans="7:16" s="122" customFormat="1" ht="14.25" customHeight="1" x14ac:dyDescent="0.25">
      <c r="G419" s="123"/>
      <c r="H419" s="124"/>
      <c r="I419" s="125"/>
      <c r="J419" s="125"/>
      <c r="K419" s="123"/>
      <c r="L419" s="123"/>
      <c r="M419" s="123"/>
      <c r="N419" s="123"/>
      <c r="O419" s="123"/>
      <c r="P419" s="123"/>
    </row>
    <row r="420" spans="7:16" s="122" customFormat="1" ht="14.25" customHeight="1" x14ac:dyDescent="0.25">
      <c r="G420" s="123"/>
      <c r="H420" s="124"/>
      <c r="I420" s="125"/>
      <c r="J420" s="125"/>
      <c r="K420" s="123"/>
      <c r="L420" s="123"/>
      <c r="M420" s="123"/>
      <c r="N420" s="123"/>
      <c r="O420" s="123"/>
      <c r="P420" s="123"/>
    </row>
    <row r="421" spans="7:16" s="122" customFormat="1" ht="14.25" customHeight="1" x14ac:dyDescent="0.25">
      <c r="G421" s="123"/>
      <c r="H421" s="124"/>
      <c r="I421" s="125"/>
      <c r="J421" s="125"/>
      <c r="K421" s="123"/>
      <c r="L421" s="123"/>
      <c r="M421" s="123"/>
      <c r="N421" s="123"/>
      <c r="O421" s="123"/>
      <c r="P421" s="123"/>
    </row>
    <row r="422" spans="7:16" s="122" customFormat="1" ht="14.25" customHeight="1" x14ac:dyDescent="0.25">
      <c r="G422" s="123"/>
      <c r="H422" s="124"/>
      <c r="I422" s="125"/>
      <c r="J422" s="125"/>
      <c r="K422" s="123"/>
      <c r="L422" s="123"/>
      <c r="M422" s="123"/>
      <c r="N422" s="123"/>
      <c r="O422" s="123"/>
      <c r="P422" s="123"/>
    </row>
    <row r="423" spans="7:16" s="122" customFormat="1" ht="14.25" customHeight="1" x14ac:dyDescent="0.25">
      <c r="G423" s="123"/>
      <c r="H423" s="124"/>
      <c r="I423" s="125"/>
      <c r="J423" s="125"/>
      <c r="K423" s="123"/>
      <c r="L423" s="123"/>
      <c r="M423" s="123"/>
      <c r="N423" s="123"/>
      <c r="O423" s="123"/>
      <c r="P423" s="123"/>
    </row>
    <row r="424" spans="7:16" s="122" customFormat="1" ht="14.25" customHeight="1" x14ac:dyDescent="0.25">
      <c r="G424" s="123"/>
      <c r="H424" s="124"/>
      <c r="I424" s="125"/>
      <c r="J424" s="125"/>
      <c r="K424" s="123"/>
      <c r="L424" s="123"/>
      <c r="M424" s="123"/>
      <c r="N424" s="123"/>
      <c r="O424" s="123"/>
      <c r="P424" s="123"/>
    </row>
    <row r="425" spans="7:16" s="122" customFormat="1" ht="14.25" customHeight="1" x14ac:dyDescent="0.25">
      <c r="G425" s="123"/>
      <c r="H425" s="124"/>
      <c r="I425" s="125"/>
      <c r="J425" s="125"/>
      <c r="K425" s="123"/>
      <c r="L425" s="123"/>
      <c r="M425" s="123"/>
      <c r="N425" s="123"/>
      <c r="O425" s="123"/>
      <c r="P425" s="123"/>
    </row>
    <row r="426" spans="7:16" s="122" customFormat="1" ht="14.25" customHeight="1" x14ac:dyDescent="0.25">
      <c r="G426" s="123"/>
      <c r="H426" s="124"/>
      <c r="I426" s="125"/>
      <c r="J426" s="125"/>
      <c r="K426" s="123"/>
      <c r="L426" s="123"/>
      <c r="M426" s="123"/>
      <c r="N426" s="123"/>
      <c r="O426" s="123"/>
      <c r="P426" s="123"/>
    </row>
    <row r="427" spans="7:16" s="122" customFormat="1" ht="14.25" customHeight="1" x14ac:dyDescent="0.25">
      <c r="G427" s="123"/>
      <c r="H427" s="124"/>
      <c r="I427" s="125"/>
      <c r="J427" s="125"/>
      <c r="K427" s="123"/>
      <c r="L427" s="123"/>
      <c r="M427" s="123"/>
      <c r="N427" s="123"/>
      <c r="O427" s="123"/>
      <c r="P427" s="123"/>
    </row>
    <row r="428" spans="7:16" s="122" customFormat="1" ht="14.25" customHeight="1" x14ac:dyDescent="0.25">
      <c r="G428" s="123"/>
      <c r="H428" s="124"/>
      <c r="I428" s="125"/>
      <c r="J428" s="125"/>
      <c r="K428" s="123"/>
      <c r="L428" s="123"/>
      <c r="M428" s="123"/>
      <c r="N428" s="123"/>
      <c r="O428" s="123"/>
      <c r="P428" s="123"/>
    </row>
    <row r="429" spans="7:16" s="122" customFormat="1" ht="14.25" customHeight="1" x14ac:dyDescent="0.25">
      <c r="G429" s="123"/>
      <c r="H429" s="124"/>
      <c r="I429" s="125"/>
      <c r="J429" s="125"/>
      <c r="K429" s="123"/>
      <c r="L429" s="123"/>
      <c r="M429" s="123"/>
      <c r="N429" s="123"/>
      <c r="O429" s="123"/>
      <c r="P429" s="123"/>
    </row>
    <row r="430" spans="7:16" s="122" customFormat="1" ht="14.25" customHeight="1" x14ac:dyDescent="0.25">
      <c r="G430" s="123"/>
      <c r="H430" s="124"/>
      <c r="I430" s="125"/>
      <c r="J430" s="125"/>
      <c r="K430" s="123"/>
      <c r="L430" s="123"/>
      <c r="M430" s="123"/>
      <c r="N430" s="123"/>
      <c r="O430" s="123"/>
      <c r="P430" s="123"/>
    </row>
    <row r="431" spans="7:16" s="122" customFormat="1" ht="14.25" customHeight="1" x14ac:dyDescent="0.25">
      <c r="G431" s="123"/>
      <c r="H431" s="124"/>
      <c r="I431" s="125"/>
      <c r="J431" s="125"/>
      <c r="K431" s="123"/>
      <c r="L431" s="123"/>
      <c r="M431" s="123"/>
      <c r="N431" s="123"/>
      <c r="O431" s="123"/>
      <c r="P431" s="123"/>
    </row>
    <row r="432" spans="7:16" s="122" customFormat="1" ht="14.25" customHeight="1" x14ac:dyDescent="0.25">
      <c r="G432" s="123"/>
      <c r="H432" s="124"/>
      <c r="I432" s="125"/>
      <c r="J432" s="125"/>
      <c r="K432" s="123"/>
      <c r="L432" s="123"/>
      <c r="M432" s="123"/>
      <c r="N432" s="123"/>
      <c r="O432" s="123"/>
      <c r="P432" s="123"/>
    </row>
    <row r="433" spans="1:16" s="122" customFormat="1" ht="14.25" customHeight="1" x14ac:dyDescent="0.25">
      <c r="G433" s="123"/>
      <c r="H433" s="124"/>
      <c r="I433" s="125"/>
      <c r="J433" s="125"/>
      <c r="K433" s="123"/>
      <c r="L433" s="123"/>
      <c r="M433" s="123"/>
      <c r="N433" s="123"/>
      <c r="O433" s="123"/>
      <c r="P433" s="123"/>
    </row>
    <row r="434" spans="1:16" s="122" customFormat="1" ht="14.25" customHeight="1" x14ac:dyDescent="0.25">
      <c r="G434" s="123"/>
      <c r="H434" s="124"/>
      <c r="I434" s="125"/>
      <c r="J434" s="125"/>
      <c r="K434" s="123"/>
      <c r="L434" s="123"/>
      <c r="M434" s="123"/>
      <c r="N434" s="123"/>
      <c r="O434" s="123"/>
      <c r="P434" s="123"/>
    </row>
    <row r="435" spans="1:16" s="122" customFormat="1" ht="14.25" customHeight="1" x14ac:dyDescent="0.25">
      <c r="G435" s="123"/>
      <c r="H435" s="124"/>
      <c r="I435" s="125"/>
      <c r="J435" s="125"/>
      <c r="K435" s="123"/>
      <c r="L435" s="123"/>
      <c r="M435" s="123"/>
      <c r="N435" s="123"/>
      <c r="O435" s="123"/>
      <c r="P435" s="123"/>
    </row>
    <row r="436" spans="1:16" x14ac:dyDescent="0.25">
      <c r="G436" s="28"/>
      <c r="H436" s="28"/>
      <c r="I436" s="28"/>
      <c r="J436" s="28"/>
      <c r="K436" s="28"/>
      <c r="L436" s="28"/>
      <c r="M436" s="28"/>
      <c r="N436" s="28"/>
      <c r="O436" s="28"/>
      <c r="P436" s="28"/>
    </row>
    <row r="437" spans="1:16" ht="18" customHeight="1" x14ac:dyDescent="0.45">
      <c r="A437" s="1" t="s">
        <v>0</v>
      </c>
      <c r="B437" s="1"/>
      <c r="C437" s="1"/>
      <c r="D437" s="1"/>
      <c r="E437" s="1"/>
      <c r="F437" s="1"/>
      <c r="G437" s="2"/>
      <c r="H437" s="2"/>
      <c r="I437" s="2"/>
      <c r="J437" s="2"/>
      <c r="K437" s="2"/>
      <c r="L437" s="2"/>
      <c r="M437" s="3"/>
      <c r="N437" s="4">
        <v>44470</v>
      </c>
      <c r="O437" s="3"/>
      <c r="P437" s="3"/>
    </row>
    <row r="438" spans="1:16" ht="11.25" customHeight="1" thickBot="1" x14ac:dyDescent="0.5">
      <c r="A438" s="1"/>
      <c r="B438" s="1"/>
      <c r="C438" s="1"/>
      <c r="D438" s="1"/>
      <c r="E438" s="1"/>
      <c r="F438" s="1"/>
      <c r="G438" s="2"/>
      <c r="H438" s="2"/>
      <c r="I438" s="2"/>
      <c r="J438" s="2"/>
      <c r="K438" s="2"/>
      <c r="L438" s="2"/>
      <c r="M438" s="3"/>
      <c r="N438" s="3"/>
      <c r="O438" s="3"/>
      <c r="P438" s="3"/>
    </row>
    <row r="439" spans="1:16" ht="15" customHeight="1" x14ac:dyDescent="0.25">
      <c r="A439" s="33" t="s">
        <v>1</v>
      </c>
      <c r="B439" s="34" t="s">
        <v>2</v>
      </c>
      <c r="C439" s="34" t="s">
        <v>3</v>
      </c>
      <c r="D439" s="34" t="s">
        <v>4</v>
      </c>
      <c r="E439" s="34" t="s">
        <v>5</v>
      </c>
      <c r="F439" s="34" t="s">
        <v>6</v>
      </c>
      <c r="G439" s="34" t="s">
        <v>7</v>
      </c>
      <c r="H439" s="34" t="s">
        <v>8</v>
      </c>
      <c r="I439" s="34" t="s">
        <v>9</v>
      </c>
      <c r="J439" s="34" t="s">
        <v>10</v>
      </c>
      <c r="K439" s="34" t="s">
        <v>11</v>
      </c>
      <c r="L439" s="34" t="s">
        <v>12</v>
      </c>
      <c r="M439" s="34" t="s">
        <v>13</v>
      </c>
      <c r="N439" s="34" t="s">
        <v>14</v>
      </c>
      <c r="O439" s="34" t="s">
        <v>15</v>
      </c>
      <c r="P439" s="35" t="s">
        <v>16</v>
      </c>
    </row>
    <row r="440" spans="1:16" x14ac:dyDescent="0.25">
      <c r="A440" s="47">
        <v>44455</v>
      </c>
      <c r="B440" s="48">
        <v>1</v>
      </c>
      <c r="C440" s="49">
        <v>8</v>
      </c>
      <c r="D440" s="50">
        <v>6425</v>
      </c>
      <c r="E440" s="51">
        <v>30677784144</v>
      </c>
      <c r="F440" s="52" t="s">
        <v>76</v>
      </c>
      <c r="G440" s="53">
        <v>274020.8</v>
      </c>
      <c r="H440" s="54">
        <v>57544.367999999995</v>
      </c>
      <c r="I440" s="54"/>
      <c r="J440" s="54"/>
      <c r="K440" s="54"/>
      <c r="L440" s="55"/>
      <c r="M440" s="55"/>
      <c r="N440" s="55"/>
      <c r="O440" s="56"/>
      <c r="P440" s="57">
        <f>SUM(G440:O440)</f>
        <v>331565.16800000001</v>
      </c>
    </row>
    <row r="441" spans="1:16" x14ac:dyDescent="0.25">
      <c r="A441" s="8">
        <v>44467</v>
      </c>
      <c r="B441" s="9">
        <v>1</v>
      </c>
      <c r="C441" s="10">
        <v>8</v>
      </c>
      <c r="D441" s="11">
        <v>6794</v>
      </c>
      <c r="E441" s="12">
        <v>30677784144</v>
      </c>
      <c r="F441" s="13" t="s">
        <v>76</v>
      </c>
      <c r="G441" s="58">
        <v>387218.8</v>
      </c>
      <c r="H441" s="59">
        <v>81315.948000000004</v>
      </c>
      <c r="I441" s="59"/>
      <c r="J441" s="59"/>
      <c r="K441" s="60"/>
      <c r="L441" s="15"/>
      <c r="M441" s="15"/>
      <c r="N441" s="15"/>
      <c r="O441" s="16"/>
      <c r="P441" s="57">
        <f t="shared" ref="P441:P481" si="18">SUM(G441:O441)</f>
        <v>468534.74800000002</v>
      </c>
    </row>
    <row r="442" spans="1:16" x14ac:dyDescent="0.25">
      <c r="A442" s="8">
        <v>44470</v>
      </c>
      <c r="B442" s="9">
        <v>1</v>
      </c>
      <c r="C442" s="10">
        <v>3</v>
      </c>
      <c r="D442" s="11">
        <v>136267</v>
      </c>
      <c r="E442" s="12">
        <v>30707135596</v>
      </c>
      <c r="F442" s="13" t="s">
        <v>17</v>
      </c>
      <c r="G442" s="58">
        <v>1846.07</v>
      </c>
      <c r="H442" s="59">
        <v>387.67470000000003</v>
      </c>
      <c r="I442" s="59"/>
      <c r="J442" s="59"/>
      <c r="K442" s="60"/>
      <c r="L442" s="15"/>
      <c r="M442" s="15"/>
      <c r="N442" s="15"/>
      <c r="O442" s="16"/>
      <c r="P442" s="57">
        <f t="shared" si="18"/>
        <v>2233.7447000000002</v>
      </c>
    </row>
    <row r="443" spans="1:16" x14ac:dyDescent="0.25">
      <c r="A443" s="8">
        <v>44470</v>
      </c>
      <c r="B443" s="9">
        <v>1</v>
      </c>
      <c r="C443" s="10">
        <v>3</v>
      </c>
      <c r="D443" s="11">
        <v>456</v>
      </c>
      <c r="E443" s="12">
        <v>30715402765</v>
      </c>
      <c r="F443" s="13" t="s">
        <v>29</v>
      </c>
      <c r="G443" s="58">
        <v>5702.48</v>
      </c>
      <c r="H443" s="59">
        <v>1197.5207999999998</v>
      </c>
      <c r="I443" s="59"/>
      <c r="J443" s="59"/>
      <c r="K443" s="60"/>
      <c r="L443" s="15"/>
      <c r="M443" s="15"/>
      <c r="N443" s="15"/>
      <c r="O443" s="16"/>
      <c r="P443" s="57">
        <f t="shared" si="18"/>
        <v>6900.0007999999998</v>
      </c>
    </row>
    <row r="444" spans="1:16" x14ac:dyDescent="0.25">
      <c r="A444" s="37">
        <v>44470</v>
      </c>
      <c r="B444" s="38">
        <v>1</v>
      </c>
      <c r="C444" s="39">
        <v>2</v>
      </c>
      <c r="D444" s="40">
        <v>13849</v>
      </c>
      <c r="E444" s="41">
        <v>30713967005</v>
      </c>
      <c r="F444" s="42" t="s">
        <v>122</v>
      </c>
      <c r="G444" s="58">
        <v>16509.560000000001</v>
      </c>
      <c r="H444" s="59">
        <v>3467.32</v>
      </c>
      <c r="I444" s="59"/>
      <c r="J444" s="59"/>
      <c r="K444" s="59"/>
      <c r="L444" s="31">
        <v>76609.77</v>
      </c>
      <c r="M444" s="31"/>
      <c r="N444" s="31"/>
      <c r="O444" s="44"/>
      <c r="P444" s="57">
        <f t="shared" si="18"/>
        <v>96586.650000000009</v>
      </c>
    </row>
    <row r="445" spans="1:16" x14ac:dyDescent="0.25">
      <c r="A445" s="37">
        <v>44472</v>
      </c>
      <c r="B445" s="38">
        <v>1</v>
      </c>
      <c r="C445" s="39">
        <v>8</v>
      </c>
      <c r="D445" s="40">
        <v>1301</v>
      </c>
      <c r="E445" s="41">
        <v>30646717619</v>
      </c>
      <c r="F445" s="42" t="s">
        <v>123</v>
      </c>
      <c r="G445" s="58">
        <v>3727.27</v>
      </c>
      <c r="H445" s="59">
        <v>782.72669999999994</v>
      </c>
      <c r="I445" s="59"/>
      <c r="J445" s="59"/>
      <c r="K445" s="59"/>
      <c r="L445" s="31"/>
      <c r="M445" s="31"/>
      <c r="N445" s="31"/>
      <c r="O445" s="44"/>
      <c r="P445" s="57">
        <f t="shared" si="18"/>
        <v>4509.9966999999997</v>
      </c>
    </row>
    <row r="446" spans="1:16" x14ac:dyDescent="0.25">
      <c r="A446" s="8">
        <v>44472</v>
      </c>
      <c r="B446" s="9">
        <v>1</v>
      </c>
      <c r="C446" s="10">
        <v>3</v>
      </c>
      <c r="D446" s="11">
        <v>566</v>
      </c>
      <c r="E446" s="12">
        <v>20227683350</v>
      </c>
      <c r="F446" s="13" t="s">
        <v>124</v>
      </c>
      <c r="G446" s="58">
        <v>16388</v>
      </c>
      <c r="H446" s="59">
        <v>3441.48</v>
      </c>
      <c r="I446" s="59"/>
      <c r="J446" s="59"/>
      <c r="K446" s="60"/>
      <c r="L446" s="15"/>
      <c r="M446" s="15"/>
      <c r="N446" s="15"/>
      <c r="O446" s="16"/>
      <c r="P446" s="57">
        <f t="shared" si="18"/>
        <v>19829.48</v>
      </c>
    </row>
    <row r="447" spans="1:16" x14ac:dyDescent="0.25">
      <c r="A447" s="37">
        <v>44473</v>
      </c>
      <c r="B447" s="38">
        <v>1</v>
      </c>
      <c r="C447" s="39">
        <v>13</v>
      </c>
      <c r="D447" s="40">
        <v>727854</v>
      </c>
      <c r="E447" s="41">
        <v>30700940957</v>
      </c>
      <c r="F447" s="42" t="s">
        <v>85</v>
      </c>
      <c r="G447" s="58">
        <v>293742.64</v>
      </c>
      <c r="H447" s="59">
        <v>61685.954400000002</v>
      </c>
      <c r="I447" s="59"/>
      <c r="J447" s="59"/>
      <c r="K447" s="59"/>
      <c r="L447" s="31">
        <v>7884.16</v>
      </c>
      <c r="M447" s="31"/>
      <c r="N447" s="31"/>
      <c r="O447" s="44"/>
      <c r="P447" s="57">
        <f t="shared" si="18"/>
        <v>363312.75439999998</v>
      </c>
    </row>
    <row r="448" spans="1:16" x14ac:dyDescent="0.25">
      <c r="A448" s="8">
        <v>44473</v>
      </c>
      <c r="B448" s="9">
        <v>66</v>
      </c>
      <c r="C448" s="10">
        <v>1</v>
      </c>
      <c r="D448" s="11">
        <v>113337</v>
      </c>
      <c r="E448" s="12">
        <v>33693450239</v>
      </c>
      <c r="F448" s="13" t="s">
        <v>26</v>
      </c>
      <c r="G448" s="58">
        <v>1567477.3809523811</v>
      </c>
      <c r="H448" s="59">
        <v>329170.25</v>
      </c>
      <c r="I448" s="59"/>
      <c r="J448" s="59"/>
      <c r="K448" s="60"/>
      <c r="L448" s="15">
        <v>345306.6</v>
      </c>
      <c r="M448" s="15">
        <v>313496.23</v>
      </c>
      <c r="N448" s="15">
        <v>2931.09</v>
      </c>
      <c r="O448" s="16"/>
      <c r="P448" s="57">
        <f t="shared" si="18"/>
        <v>2558381.550952381</v>
      </c>
    </row>
    <row r="449" spans="1:16" x14ac:dyDescent="0.25">
      <c r="A449" s="8">
        <v>44474</v>
      </c>
      <c r="B449" s="9">
        <v>1</v>
      </c>
      <c r="C449" s="10">
        <v>6</v>
      </c>
      <c r="D449" s="11">
        <v>12042</v>
      </c>
      <c r="E449" s="12">
        <v>23310108359</v>
      </c>
      <c r="F449" s="13" t="s">
        <v>125</v>
      </c>
      <c r="G449" s="58">
        <v>2440.85</v>
      </c>
      <c r="H449" s="59">
        <v>275.24</v>
      </c>
      <c r="I449" s="59"/>
      <c r="J449" s="59">
        <v>118.67</v>
      </c>
      <c r="K449" s="60"/>
      <c r="L449" s="15"/>
      <c r="M449" s="15"/>
      <c r="N449" s="15"/>
      <c r="O449" s="16"/>
      <c r="P449" s="57">
        <f t="shared" si="18"/>
        <v>2834.76</v>
      </c>
    </row>
    <row r="450" spans="1:16" x14ac:dyDescent="0.25">
      <c r="A450" s="8">
        <v>44474</v>
      </c>
      <c r="B450" s="9">
        <v>1</v>
      </c>
      <c r="C450" s="10">
        <v>15</v>
      </c>
      <c r="D450" s="11">
        <v>530</v>
      </c>
      <c r="E450" s="12">
        <v>27325554121</v>
      </c>
      <c r="F450" s="13" t="s">
        <v>126</v>
      </c>
      <c r="G450" s="58">
        <v>8645.41</v>
      </c>
      <c r="H450" s="59">
        <v>1815.5360999999998</v>
      </c>
      <c r="I450" s="59"/>
      <c r="J450" s="59"/>
      <c r="K450" s="60"/>
      <c r="L450" s="15"/>
      <c r="M450" s="15"/>
      <c r="N450" s="15"/>
      <c r="O450" s="61"/>
      <c r="P450" s="57">
        <f t="shared" si="18"/>
        <v>10460.946099999999</v>
      </c>
    </row>
    <row r="451" spans="1:16" x14ac:dyDescent="0.25">
      <c r="A451" s="8">
        <v>44474</v>
      </c>
      <c r="B451" s="9">
        <v>1</v>
      </c>
      <c r="C451" s="10">
        <v>440</v>
      </c>
      <c r="D451" s="11">
        <v>1504222</v>
      </c>
      <c r="E451" s="12">
        <v>30696170580</v>
      </c>
      <c r="F451" s="13" t="s">
        <v>105</v>
      </c>
      <c r="G451" s="58">
        <v>26678.080000000002</v>
      </c>
      <c r="H451" s="59">
        <v>5602.3968000000004</v>
      </c>
      <c r="I451" s="59"/>
      <c r="J451" s="59"/>
      <c r="K451" s="60"/>
      <c r="L451" s="15"/>
      <c r="M451" s="15"/>
      <c r="N451" s="15"/>
      <c r="O451" s="61"/>
      <c r="P451" s="57">
        <f t="shared" si="18"/>
        <v>32280.476800000004</v>
      </c>
    </row>
    <row r="452" spans="1:16" x14ac:dyDescent="0.25">
      <c r="A452" s="8">
        <v>44475</v>
      </c>
      <c r="B452" s="9">
        <v>1</v>
      </c>
      <c r="C452" s="10">
        <v>40</v>
      </c>
      <c r="D452" s="11">
        <v>1774810</v>
      </c>
      <c r="E452" s="12">
        <v>30710964277</v>
      </c>
      <c r="F452" s="13" t="s">
        <v>31</v>
      </c>
      <c r="G452" s="58">
        <v>2286.9899999999998</v>
      </c>
      <c r="H452" s="59">
        <v>480.26789999999994</v>
      </c>
      <c r="I452" s="59"/>
      <c r="J452" s="59"/>
      <c r="K452" s="60"/>
      <c r="L452" s="15"/>
      <c r="M452" s="15"/>
      <c r="N452" s="15"/>
      <c r="O452" s="61"/>
      <c r="P452" s="57">
        <f t="shared" si="18"/>
        <v>2767.2578999999996</v>
      </c>
    </row>
    <row r="453" spans="1:16" x14ac:dyDescent="0.25">
      <c r="A453" s="8">
        <v>44475</v>
      </c>
      <c r="B453" s="9">
        <v>1</v>
      </c>
      <c r="C453" s="10">
        <v>440</v>
      </c>
      <c r="D453" s="11">
        <v>1505156</v>
      </c>
      <c r="E453" s="12">
        <v>30696170580</v>
      </c>
      <c r="F453" s="13" t="s">
        <v>105</v>
      </c>
      <c r="G453" s="58">
        <v>12260.85</v>
      </c>
      <c r="H453" s="59">
        <v>2574.7784999999999</v>
      </c>
      <c r="I453" s="59"/>
      <c r="J453" s="59"/>
      <c r="K453" s="60"/>
      <c r="L453" s="15"/>
      <c r="M453" s="15"/>
      <c r="N453" s="15"/>
      <c r="O453" s="61"/>
      <c r="P453" s="57">
        <f t="shared" si="18"/>
        <v>14835.628500000001</v>
      </c>
    </row>
    <row r="454" spans="1:16" x14ac:dyDescent="0.25">
      <c r="A454" s="8">
        <v>44477</v>
      </c>
      <c r="B454" s="9">
        <v>1</v>
      </c>
      <c r="C454" s="10">
        <v>3</v>
      </c>
      <c r="D454" s="11">
        <v>546107</v>
      </c>
      <c r="E454" s="12">
        <v>30712019359</v>
      </c>
      <c r="F454" s="13" t="s">
        <v>75</v>
      </c>
      <c r="G454" s="58">
        <v>2147.9299999999998</v>
      </c>
      <c r="H454" s="59">
        <v>451.06529999999998</v>
      </c>
      <c r="I454" s="59"/>
      <c r="J454" s="59"/>
      <c r="K454" s="60"/>
      <c r="L454" s="15"/>
      <c r="M454" s="15"/>
      <c r="N454" s="15"/>
      <c r="O454" s="61"/>
      <c r="P454" s="57">
        <f t="shared" si="18"/>
        <v>2598.9952999999996</v>
      </c>
    </row>
    <row r="455" spans="1:16" x14ac:dyDescent="0.25">
      <c r="A455" s="8">
        <v>44477</v>
      </c>
      <c r="B455" s="9">
        <v>1</v>
      </c>
      <c r="C455" s="10">
        <v>10</v>
      </c>
      <c r="D455" s="11">
        <v>5703</v>
      </c>
      <c r="E455" s="12">
        <v>27208929416</v>
      </c>
      <c r="F455" s="13" t="s">
        <v>127</v>
      </c>
      <c r="G455" s="58">
        <v>5016.54</v>
      </c>
      <c r="H455" s="59">
        <v>1053.4733999999999</v>
      </c>
      <c r="I455" s="59"/>
      <c r="J455" s="59"/>
      <c r="K455" s="60"/>
      <c r="L455" s="15"/>
      <c r="M455" s="15"/>
      <c r="N455" s="15"/>
      <c r="O455" s="61"/>
      <c r="P455" s="57">
        <f t="shared" si="18"/>
        <v>6070.0133999999998</v>
      </c>
    </row>
    <row r="456" spans="1:16" x14ac:dyDescent="0.25">
      <c r="A456" s="8">
        <v>44480</v>
      </c>
      <c r="B456" s="9">
        <v>1</v>
      </c>
      <c r="C456" s="10">
        <v>2</v>
      </c>
      <c r="D456" s="11">
        <v>1504</v>
      </c>
      <c r="E456" s="12">
        <v>30716784254</v>
      </c>
      <c r="F456" s="13" t="s">
        <v>128</v>
      </c>
      <c r="G456" s="58">
        <v>13128.1</v>
      </c>
      <c r="H456" s="59">
        <v>2756.9010000000003</v>
      </c>
      <c r="I456" s="59"/>
      <c r="J456" s="59"/>
      <c r="K456" s="60"/>
      <c r="L456" s="15"/>
      <c r="M456" s="15"/>
      <c r="N456" s="15"/>
      <c r="O456" s="61"/>
      <c r="P456" s="57">
        <f t="shared" si="18"/>
        <v>15885.001</v>
      </c>
    </row>
    <row r="457" spans="1:16" x14ac:dyDescent="0.25">
      <c r="A457" s="8">
        <v>44480</v>
      </c>
      <c r="B457" s="9">
        <v>1</v>
      </c>
      <c r="C457" s="10">
        <v>2466</v>
      </c>
      <c r="D457" s="11">
        <v>278946</v>
      </c>
      <c r="E457" s="12">
        <v>30678814357</v>
      </c>
      <c r="F457" s="13" t="s">
        <v>52</v>
      </c>
      <c r="G457" s="58">
        <v>1390</v>
      </c>
      <c r="H457" s="59"/>
      <c r="I457" s="59">
        <v>375.3</v>
      </c>
      <c r="J457" s="59"/>
      <c r="K457" s="60"/>
      <c r="L457" s="15"/>
      <c r="M457" s="15"/>
      <c r="N457" s="15"/>
      <c r="O457" s="61">
        <v>73.16</v>
      </c>
      <c r="P457" s="57">
        <f t="shared" si="18"/>
        <v>1838.46</v>
      </c>
    </row>
    <row r="458" spans="1:16" x14ac:dyDescent="0.25">
      <c r="A458" s="37">
        <v>44481</v>
      </c>
      <c r="B458" s="38">
        <v>1</v>
      </c>
      <c r="C458" s="39">
        <v>3</v>
      </c>
      <c r="D458" s="40">
        <v>1092</v>
      </c>
      <c r="E458" s="41">
        <v>30714576247</v>
      </c>
      <c r="F458" s="42" t="s">
        <v>129</v>
      </c>
      <c r="G458" s="58">
        <v>2793.51</v>
      </c>
      <c r="H458" s="59">
        <v>160.36000000000001</v>
      </c>
      <c r="I458" s="59"/>
      <c r="J458" s="59">
        <v>213.13</v>
      </c>
      <c r="K458" s="59"/>
      <c r="L458" s="31"/>
      <c r="M458" s="31"/>
      <c r="N458" s="31"/>
      <c r="O458" s="44"/>
      <c r="P458" s="57">
        <f t="shared" si="18"/>
        <v>3167.0000000000005</v>
      </c>
    </row>
    <row r="459" spans="1:16" x14ac:dyDescent="0.25">
      <c r="A459" s="8">
        <v>44481</v>
      </c>
      <c r="B459" s="9">
        <v>1</v>
      </c>
      <c r="C459" s="10">
        <v>3</v>
      </c>
      <c r="D459" s="11">
        <v>6308</v>
      </c>
      <c r="E459" s="12">
        <v>30710212127</v>
      </c>
      <c r="F459" s="13" t="s">
        <v>102</v>
      </c>
      <c r="G459" s="58">
        <v>3886.85</v>
      </c>
      <c r="H459" s="59">
        <v>816.23849999999993</v>
      </c>
      <c r="I459" s="59"/>
      <c r="J459" s="59"/>
      <c r="K459" s="60"/>
      <c r="L459" s="15"/>
      <c r="M459" s="15"/>
      <c r="N459" s="15"/>
      <c r="O459" s="61"/>
      <c r="P459" s="57">
        <f t="shared" si="18"/>
        <v>4703.0884999999998</v>
      </c>
    </row>
    <row r="460" spans="1:16" x14ac:dyDescent="0.25">
      <c r="A460" s="8">
        <v>44483</v>
      </c>
      <c r="B460" s="9">
        <v>1</v>
      </c>
      <c r="C460" s="10">
        <v>5</v>
      </c>
      <c r="D460" s="11">
        <v>8222</v>
      </c>
      <c r="E460" s="12">
        <v>30708166673</v>
      </c>
      <c r="F460" s="13" t="s">
        <v>130</v>
      </c>
      <c r="G460" s="58">
        <v>1309.08</v>
      </c>
      <c r="H460" s="59">
        <v>274.90679999999998</v>
      </c>
      <c r="I460" s="59"/>
      <c r="J460" s="59"/>
      <c r="K460" s="60"/>
      <c r="L460" s="15"/>
      <c r="M460" s="15"/>
      <c r="N460" s="15"/>
      <c r="O460" s="16"/>
      <c r="P460" s="57">
        <f t="shared" si="18"/>
        <v>1583.9867999999999</v>
      </c>
    </row>
    <row r="461" spans="1:16" x14ac:dyDescent="0.25">
      <c r="A461" s="8">
        <v>44484</v>
      </c>
      <c r="B461" s="9">
        <v>1</v>
      </c>
      <c r="C461" s="10">
        <v>3</v>
      </c>
      <c r="D461" s="11">
        <v>3071</v>
      </c>
      <c r="E461" s="12">
        <v>20161125017</v>
      </c>
      <c r="F461" s="13" t="s">
        <v>131</v>
      </c>
      <c r="G461" s="58">
        <v>4903.29</v>
      </c>
      <c r="H461" s="59">
        <v>1029.6909000000001</v>
      </c>
      <c r="I461" s="59"/>
      <c r="J461" s="59"/>
      <c r="K461" s="60"/>
      <c r="L461" s="15"/>
      <c r="M461" s="15"/>
      <c r="N461" s="15"/>
      <c r="O461" s="16"/>
      <c r="P461" s="57">
        <f t="shared" si="18"/>
        <v>5932.9809000000005</v>
      </c>
    </row>
    <row r="462" spans="1:16" x14ac:dyDescent="0.25">
      <c r="A462" s="8">
        <v>44488</v>
      </c>
      <c r="B462" s="9">
        <v>1</v>
      </c>
      <c r="C462" s="10">
        <v>5</v>
      </c>
      <c r="D462" s="11">
        <v>46367</v>
      </c>
      <c r="E462" s="12">
        <v>30692857611</v>
      </c>
      <c r="F462" s="13" t="s">
        <v>42</v>
      </c>
      <c r="G462" s="58">
        <v>9091.5</v>
      </c>
      <c r="H462" s="59">
        <v>1909.2149999999999</v>
      </c>
      <c r="I462" s="59"/>
      <c r="J462" s="59"/>
      <c r="K462" s="60"/>
      <c r="L462" s="15"/>
      <c r="M462" s="15"/>
      <c r="N462" s="15"/>
      <c r="O462" s="16"/>
      <c r="P462" s="57">
        <f t="shared" si="18"/>
        <v>11000.715</v>
      </c>
    </row>
    <row r="463" spans="1:16" x14ac:dyDescent="0.25">
      <c r="A463" s="8">
        <v>44488</v>
      </c>
      <c r="B463" s="9">
        <v>1</v>
      </c>
      <c r="C463" s="10">
        <v>5</v>
      </c>
      <c r="D463" s="11">
        <v>46353</v>
      </c>
      <c r="E463" s="12">
        <v>30692857611</v>
      </c>
      <c r="F463" s="13" t="s">
        <v>42</v>
      </c>
      <c r="G463" s="58">
        <v>140866</v>
      </c>
      <c r="H463" s="59">
        <v>29581.86</v>
      </c>
      <c r="I463" s="59"/>
      <c r="J463" s="59"/>
      <c r="K463" s="60"/>
      <c r="L463" s="15"/>
      <c r="M463" s="15"/>
      <c r="N463" s="15"/>
      <c r="O463" s="16"/>
      <c r="P463" s="57">
        <f t="shared" si="18"/>
        <v>170447.86</v>
      </c>
    </row>
    <row r="464" spans="1:16" x14ac:dyDescent="0.25">
      <c r="A464" s="8">
        <v>44491</v>
      </c>
      <c r="B464" s="9">
        <v>1</v>
      </c>
      <c r="C464" s="10">
        <v>6</v>
      </c>
      <c r="D464" s="11">
        <v>210</v>
      </c>
      <c r="E464" s="12">
        <v>27325155804</v>
      </c>
      <c r="F464" s="13" t="s">
        <v>132</v>
      </c>
      <c r="G464" s="58">
        <v>2215.38</v>
      </c>
      <c r="H464" s="59"/>
      <c r="I464" s="59"/>
      <c r="J464" s="59">
        <v>232.61490000000001</v>
      </c>
      <c r="K464" s="60"/>
      <c r="L464" s="15"/>
      <c r="M464" s="15"/>
      <c r="N464" s="15"/>
      <c r="O464" s="16"/>
      <c r="P464" s="57">
        <f t="shared" si="18"/>
        <v>2447.9949000000001</v>
      </c>
    </row>
    <row r="465" spans="1:16" x14ac:dyDescent="0.25">
      <c r="A465" s="8">
        <v>44495</v>
      </c>
      <c r="B465" s="9">
        <v>1</v>
      </c>
      <c r="C465" s="10">
        <v>5</v>
      </c>
      <c r="D465" s="11">
        <v>13800</v>
      </c>
      <c r="E465" s="12">
        <v>30578341397</v>
      </c>
      <c r="F465" s="13" t="s">
        <v>62</v>
      </c>
      <c r="G465" s="58">
        <v>56149.5</v>
      </c>
      <c r="H465" s="59">
        <v>11791.395</v>
      </c>
      <c r="I465" s="59"/>
      <c r="J465" s="59"/>
      <c r="K465" s="60"/>
      <c r="L465" s="15"/>
      <c r="M465" s="15"/>
      <c r="N465" s="15"/>
      <c r="O465" s="16"/>
      <c r="P465" s="57">
        <f t="shared" si="18"/>
        <v>67940.895000000004</v>
      </c>
    </row>
    <row r="466" spans="1:16" x14ac:dyDescent="0.25">
      <c r="A466" s="8">
        <v>44495</v>
      </c>
      <c r="B466" s="9">
        <v>1</v>
      </c>
      <c r="C466" s="10">
        <v>1</v>
      </c>
      <c r="D466" s="11">
        <v>355</v>
      </c>
      <c r="E466" s="12">
        <v>30715413678</v>
      </c>
      <c r="F466" s="13" t="s">
        <v>119</v>
      </c>
      <c r="G466" s="58">
        <v>136748</v>
      </c>
      <c r="H466" s="59">
        <v>28717.08</v>
      </c>
      <c r="I466" s="59"/>
      <c r="J466" s="59"/>
      <c r="K466" s="60"/>
      <c r="L466" s="15"/>
      <c r="M466" s="15"/>
      <c r="N466" s="15"/>
      <c r="O466" s="16"/>
      <c r="P466" s="57">
        <f t="shared" si="18"/>
        <v>165465.08000000002</v>
      </c>
    </row>
    <row r="467" spans="1:16" x14ac:dyDescent="0.25">
      <c r="A467" s="8">
        <v>44496</v>
      </c>
      <c r="B467" s="9">
        <v>1</v>
      </c>
      <c r="C467" s="10">
        <v>19</v>
      </c>
      <c r="D467" s="11">
        <v>5465</v>
      </c>
      <c r="E467" s="12">
        <v>30710793561</v>
      </c>
      <c r="F467" s="13" t="s">
        <v>133</v>
      </c>
      <c r="G467" s="58">
        <v>16390.7</v>
      </c>
      <c r="H467" s="59">
        <v>3442.047</v>
      </c>
      <c r="I467" s="59"/>
      <c r="J467" s="59"/>
      <c r="K467" s="60"/>
      <c r="L467" s="15"/>
      <c r="M467" s="15"/>
      <c r="N467" s="15"/>
      <c r="O467" s="16"/>
      <c r="P467" s="57">
        <f t="shared" si="18"/>
        <v>19832.746999999999</v>
      </c>
    </row>
    <row r="468" spans="1:16" x14ac:dyDescent="0.25">
      <c r="A468" s="37">
        <v>44496</v>
      </c>
      <c r="B468" s="38">
        <v>1</v>
      </c>
      <c r="C468" s="39">
        <v>4</v>
      </c>
      <c r="D468" s="40">
        <v>6734</v>
      </c>
      <c r="E468" s="41">
        <v>30620415606</v>
      </c>
      <c r="F468" s="42" t="s">
        <v>40</v>
      </c>
      <c r="G468" s="58">
        <v>74093.5</v>
      </c>
      <c r="H468" s="59">
        <v>15559.635</v>
      </c>
      <c r="I468" s="59"/>
      <c r="J468" s="59"/>
      <c r="K468" s="59">
        <v>49883.37</v>
      </c>
      <c r="L468" s="31"/>
      <c r="M468" s="31"/>
      <c r="N468" s="31"/>
      <c r="O468" s="44"/>
      <c r="P468" s="57">
        <f t="shared" si="18"/>
        <v>139536.505</v>
      </c>
    </row>
    <row r="469" spans="1:16" x14ac:dyDescent="0.25">
      <c r="A469" s="37">
        <v>44497</v>
      </c>
      <c r="B469" s="38">
        <v>1</v>
      </c>
      <c r="C469" s="39">
        <v>2</v>
      </c>
      <c r="D469" s="40">
        <v>4399</v>
      </c>
      <c r="E469" s="41">
        <v>30714808083</v>
      </c>
      <c r="F469" s="42" t="s">
        <v>134</v>
      </c>
      <c r="G469" s="58">
        <v>2294.64</v>
      </c>
      <c r="H469" s="59">
        <v>481.87439999999992</v>
      </c>
      <c r="I469" s="59"/>
      <c r="J469" s="59"/>
      <c r="K469" s="59"/>
      <c r="L469" s="31"/>
      <c r="M469" s="31"/>
      <c r="N469" s="31"/>
      <c r="O469" s="44"/>
      <c r="P469" s="57">
        <f t="shared" si="18"/>
        <v>2776.5144</v>
      </c>
    </row>
    <row r="470" spans="1:16" x14ac:dyDescent="0.25">
      <c r="A470" s="37">
        <v>44498</v>
      </c>
      <c r="B470" s="38">
        <v>1</v>
      </c>
      <c r="C470" s="39">
        <v>3</v>
      </c>
      <c r="D470" s="40">
        <v>564377</v>
      </c>
      <c r="E470" s="41">
        <v>30712019359</v>
      </c>
      <c r="F470" s="42" t="s">
        <v>75</v>
      </c>
      <c r="G470" s="58">
        <v>2147.9299999999998</v>
      </c>
      <c r="H470" s="59">
        <v>451.06529999999998</v>
      </c>
      <c r="I470" s="59"/>
      <c r="J470" s="59"/>
      <c r="K470" s="59"/>
      <c r="L470" s="31"/>
      <c r="M470" s="31"/>
      <c r="N470" s="31"/>
      <c r="O470" s="44"/>
      <c r="P470" s="57">
        <f t="shared" si="18"/>
        <v>2598.9952999999996</v>
      </c>
    </row>
    <row r="471" spans="1:16" x14ac:dyDescent="0.25">
      <c r="A471" s="37">
        <v>44499</v>
      </c>
      <c r="B471" s="38">
        <v>1</v>
      </c>
      <c r="C471" s="39">
        <v>1</v>
      </c>
      <c r="D471" s="40">
        <v>1219</v>
      </c>
      <c r="E471" s="41">
        <v>20316597239</v>
      </c>
      <c r="F471" s="42" t="s">
        <v>135</v>
      </c>
      <c r="G471" s="58">
        <v>4983.4799999999996</v>
      </c>
      <c r="H471" s="59">
        <v>1046.5307999999998</v>
      </c>
      <c r="I471" s="59"/>
      <c r="J471" s="59"/>
      <c r="K471" s="59"/>
      <c r="L471" s="31"/>
      <c r="M471" s="31"/>
      <c r="N471" s="31"/>
      <c r="O471" s="44"/>
      <c r="P471" s="57">
        <f t="shared" si="18"/>
        <v>6030.0107999999991</v>
      </c>
    </row>
    <row r="472" spans="1:16" x14ac:dyDescent="0.25">
      <c r="A472" s="37">
        <v>44500</v>
      </c>
      <c r="B472" s="38">
        <v>1</v>
      </c>
      <c r="C472" s="39">
        <v>3</v>
      </c>
      <c r="D472" s="40">
        <v>2434</v>
      </c>
      <c r="E472" s="41">
        <v>20238432724</v>
      </c>
      <c r="F472" s="42" t="s">
        <v>136</v>
      </c>
      <c r="G472" s="58">
        <v>3793.39</v>
      </c>
      <c r="H472" s="59">
        <v>796.61189999999999</v>
      </c>
      <c r="I472" s="59"/>
      <c r="J472" s="59"/>
      <c r="K472" s="59"/>
      <c r="L472" s="31"/>
      <c r="M472" s="31"/>
      <c r="N472" s="31"/>
      <c r="O472" s="44"/>
      <c r="P472" s="57">
        <f t="shared" si="18"/>
        <v>4590.0019000000002</v>
      </c>
    </row>
    <row r="473" spans="1:16" x14ac:dyDescent="0.25">
      <c r="A473" s="8">
        <v>44500</v>
      </c>
      <c r="B473" s="9">
        <v>1</v>
      </c>
      <c r="C473" s="10">
        <v>1</v>
      </c>
      <c r="D473" s="11">
        <v>399</v>
      </c>
      <c r="E473" s="12">
        <v>30715048066</v>
      </c>
      <c r="F473" s="13" t="s">
        <v>64</v>
      </c>
      <c r="G473" s="58">
        <v>147987</v>
      </c>
      <c r="H473" s="59">
        <v>31077.27</v>
      </c>
      <c r="I473" s="59"/>
      <c r="J473" s="59"/>
      <c r="K473" s="60"/>
      <c r="L473" s="15"/>
      <c r="M473" s="15"/>
      <c r="N473" s="15"/>
      <c r="O473" s="61"/>
      <c r="P473" s="57">
        <f t="shared" si="18"/>
        <v>179064.27</v>
      </c>
    </row>
    <row r="474" spans="1:16" x14ac:dyDescent="0.25">
      <c r="A474" s="8">
        <v>44474</v>
      </c>
      <c r="B474" s="9">
        <v>99</v>
      </c>
      <c r="C474" s="10">
        <v>536</v>
      </c>
      <c r="D474" s="11">
        <v>469</v>
      </c>
      <c r="E474" s="12" t="s">
        <v>120</v>
      </c>
      <c r="F474" s="13" t="s">
        <v>22</v>
      </c>
      <c r="G474" s="58">
        <v>2472.23</v>
      </c>
      <c r="H474" s="59">
        <v>519.16830000000004</v>
      </c>
      <c r="I474" s="59"/>
      <c r="J474" s="59"/>
      <c r="K474" s="60"/>
      <c r="L474" s="15"/>
      <c r="M474" s="15"/>
      <c r="N474" s="15">
        <v>74.17</v>
      </c>
      <c r="O474" s="61"/>
      <c r="P474" s="57">
        <f t="shared" si="18"/>
        <v>3065.5682999999999</v>
      </c>
    </row>
    <row r="475" spans="1:16" x14ac:dyDescent="0.25">
      <c r="A475" s="8">
        <v>44490</v>
      </c>
      <c r="B475" s="9">
        <v>99</v>
      </c>
      <c r="C475" s="10">
        <v>962</v>
      </c>
      <c r="D475" s="11">
        <v>248</v>
      </c>
      <c r="E475" s="12" t="s">
        <v>120</v>
      </c>
      <c r="F475" s="13" t="s">
        <v>22</v>
      </c>
      <c r="G475" s="58">
        <v>2484.23</v>
      </c>
      <c r="H475" s="59">
        <v>521.68830000000003</v>
      </c>
      <c r="I475" s="59"/>
      <c r="J475" s="59"/>
      <c r="K475" s="60"/>
      <c r="L475" s="15"/>
      <c r="M475" s="15"/>
      <c r="N475" s="15">
        <v>74.53</v>
      </c>
      <c r="O475" s="61"/>
      <c r="P475" s="57">
        <f t="shared" si="18"/>
        <v>3080.4483000000005</v>
      </c>
    </row>
    <row r="476" spans="1:16" x14ac:dyDescent="0.25">
      <c r="A476" s="8">
        <v>44490</v>
      </c>
      <c r="B476" s="9">
        <v>99</v>
      </c>
      <c r="C476" s="10">
        <v>2100</v>
      </c>
      <c r="D476" s="11">
        <v>20618</v>
      </c>
      <c r="E476" s="12" t="s">
        <v>120</v>
      </c>
      <c r="F476" s="13" t="s">
        <v>22</v>
      </c>
      <c r="G476" s="58">
        <v>177202.52</v>
      </c>
      <c r="H476" s="59">
        <v>37212.529199999997</v>
      </c>
      <c r="I476" s="59"/>
      <c r="J476" s="59"/>
      <c r="K476" s="60"/>
      <c r="L476" s="15"/>
      <c r="M476" s="15">
        <v>35440.129999999997</v>
      </c>
      <c r="N476" s="15">
        <v>165.91</v>
      </c>
      <c r="O476" s="61">
        <v>41406.080000000002</v>
      </c>
      <c r="P476" s="57">
        <f t="shared" si="18"/>
        <v>291427.1692</v>
      </c>
    </row>
    <row r="477" spans="1:16" x14ac:dyDescent="0.25">
      <c r="A477" s="8">
        <v>44490</v>
      </c>
      <c r="B477" s="9">
        <v>99</v>
      </c>
      <c r="C477" s="10">
        <v>832</v>
      </c>
      <c r="D477" s="11">
        <v>90</v>
      </c>
      <c r="E477" s="12" t="s">
        <v>120</v>
      </c>
      <c r="F477" s="13" t="s">
        <v>22</v>
      </c>
      <c r="G477" s="58">
        <v>2484.23</v>
      </c>
      <c r="H477" s="59">
        <v>521.68830000000003</v>
      </c>
      <c r="I477" s="59"/>
      <c r="J477" s="59"/>
      <c r="K477" s="60"/>
      <c r="L477" s="15"/>
      <c r="M477" s="15"/>
      <c r="N477" s="15">
        <v>74.53</v>
      </c>
      <c r="O477" s="61"/>
      <c r="P477" s="57">
        <f t="shared" si="18"/>
        <v>3080.4483000000005</v>
      </c>
    </row>
    <row r="478" spans="1:16" x14ac:dyDescent="0.25">
      <c r="A478" s="8">
        <v>44491</v>
      </c>
      <c r="B478" s="9">
        <v>99</v>
      </c>
      <c r="C478" s="10">
        <v>539</v>
      </c>
      <c r="D478" s="11">
        <v>445</v>
      </c>
      <c r="E478" s="12" t="s">
        <v>120</v>
      </c>
      <c r="F478" s="13" t="s">
        <v>22</v>
      </c>
      <c r="G478" s="58">
        <v>2484.7600000000002</v>
      </c>
      <c r="H478" s="59">
        <v>521.79960000000005</v>
      </c>
      <c r="I478" s="59"/>
      <c r="J478" s="59"/>
      <c r="K478" s="60"/>
      <c r="L478" s="15"/>
      <c r="M478" s="15"/>
      <c r="N478" s="15">
        <v>74.540000000000006</v>
      </c>
      <c r="O478" s="61"/>
      <c r="P478" s="57">
        <f t="shared" si="18"/>
        <v>3081.0996000000005</v>
      </c>
    </row>
    <row r="479" spans="1:16" x14ac:dyDescent="0.25">
      <c r="A479" s="8">
        <v>44495</v>
      </c>
      <c r="B479" s="9">
        <v>99</v>
      </c>
      <c r="C479" s="10">
        <v>835</v>
      </c>
      <c r="D479" s="11">
        <v>49</v>
      </c>
      <c r="E479" s="12" t="s">
        <v>120</v>
      </c>
      <c r="F479" s="13" t="s">
        <v>22</v>
      </c>
      <c r="G479" s="58">
        <v>995.61</v>
      </c>
      <c r="H479" s="59">
        <v>209.07810000000001</v>
      </c>
      <c r="I479" s="59"/>
      <c r="J479" s="59"/>
      <c r="K479" s="60"/>
      <c r="L479" s="15"/>
      <c r="M479" s="15"/>
      <c r="N479" s="15"/>
      <c r="O479" s="61"/>
      <c r="P479" s="57">
        <f t="shared" si="18"/>
        <v>1204.6881000000001</v>
      </c>
    </row>
    <row r="480" spans="1:16" x14ac:dyDescent="0.25">
      <c r="A480" s="8">
        <v>44500</v>
      </c>
      <c r="B480" s="9">
        <v>99</v>
      </c>
      <c r="C480" s="10">
        <v>1</v>
      </c>
      <c r="D480" s="11">
        <v>31102021</v>
      </c>
      <c r="E480" s="12">
        <v>30583887039</v>
      </c>
      <c r="F480" s="13" t="s">
        <v>121</v>
      </c>
      <c r="G480" s="58">
        <v>135</v>
      </c>
      <c r="H480" s="59">
        <v>28.35</v>
      </c>
      <c r="I480" s="59"/>
      <c r="J480" s="59"/>
      <c r="K480" s="60"/>
      <c r="L480" s="15"/>
      <c r="M480" s="15"/>
      <c r="N480" s="15"/>
      <c r="O480" s="16"/>
      <c r="P480" s="57">
        <f t="shared" si="18"/>
        <v>163.35</v>
      </c>
    </row>
    <row r="481" spans="1:16" x14ac:dyDescent="0.25">
      <c r="A481" s="8">
        <v>44500</v>
      </c>
      <c r="B481" s="9">
        <v>99</v>
      </c>
      <c r="C481" s="10">
        <v>1</v>
      </c>
      <c r="D481" s="11">
        <v>311021</v>
      </c>
      <c r="E481" s="12">
        <v>30583887039</v>
      </c>
      <c r="F481" s="13" t="s">
        <v>121</v>
      </c>
      <c r="G481" s="58">
        <v>6631.34</v>
      </c>
      <c r="H481" s="59">
        <v>1392.5814</v>
      </c>
      <c r="I481" s="59"/>
      <c r="J481" s="59"/>
      <c r="K481" s="60"/>
      <c r="L481" s="15"/>
      <c r="M481" s="15"/>
      <c r="N481" s="15"/>
      <c r="O481" s="16"/>
      <c r="P481" s="57">
        <f t="shared" si="18"/>
        <v>8023.9214000000002</v>
      </c>
    </row>
    <row r="482" spans="1:16" ht="17.25" customHeight="1" thickBot="1" x14ac:dyDescent="0.3">
      <c r="A482" s="129" t="s">
        <v>51</v>
      </c>
      <c r="B482" s="130"/>
      <c r="C482" s="130"/>
      <c r="D482" s="130"/>
      <c r="E482" s="130"/>
      <c r="F482" s="130"/>
      <c r="G482" s="45">
        <f t="shared" ref="G482:P482" si="19">SUM(G440:G481)</f>
        <v>3445171.420952382</v>
      </c>
      <c r="H482" s="45">
        <f t="shared" si="19"/>
        <v>722065.56540000008</v>
      </c>
      <c r="I482" s="45">
        <f t="shared" si="19"/>
        <v>375.3</v>
      </c>
      <c r="J482" s="45">
        <f t="shared" si="19"/>
        <v>564.41489999999999</v>
      </c>
      <c r="K482" s="45">
        <f t="shared" si="19"/>
        <v>49883.37</v>
      </c>
      <c r="L482" s="45">
        <f t="shared" si="19"/>
        <v>429800.52999999997</v>
      </c>
      <c r="M482" s="45">
        <f t="shared" si="19"/>
        <v>348936.36</v>
      </c>
      <c r="N482" s="45">
        <f t="shared" si="19"/>
        <v>3394.7700000000004</v>
      </c>
      <c r="O482" s="45">
        <f t="shared" si="19"/>
        <v>41479.240000000005</v>
      </c>
      <c r="P482" s="62">
        <f t="shared" si="19"/>
        <v>5041670.9712523809</v>
      </c>
    </row>
    <row r="483" spans="1:16" ht="12.75" customHeight="1" thickBot="1" x14ac:dyDescent="0.3">
      <c r="G483" s="28"/>
      <c r="H483" s="126">
        <f>SUM(H482:J482)</f>
        <v>723005.2803000001</v>
      </c>
      <c r="I483" s="127"/>
      <c r="J483" s="128"/>
      <c r="K483" s="28"/>
      <c r="L483" s="28"/>
      <c r="M483" s="28"/>
      <c r="N483" s="28"/>
      <c r="O483" s="28"/>
      <c r="P483" s="28"/>
    </row>
    <row r="484" spans="1:16" ht="15.75" thickTop="1" x14ac:dyDescent="0.25">
      <c r="G484" s="28"/>
      <c r="H484" s="28"/>
      <c r="I484" s="28"/>
      <c r="J484" s="28"/>
      <c r="K484" s="28"/>
      <c r="L484" s="28"/>
      <c r="M484" s="28"/>
      <c r="N484" s="28"/>
      <c r="O484" s="28"/>
      <c r="P484" s="28"/>
    </row>
    <row r="485" spans="1:16" ht="18.75" customHeight="1" x14ac:dyDescent="0.45">
      <c r="A485" s="1" t="s">
        <v>0</v>
      </c>
      <c r="B485" s="1"/>
      <c r="C485" s="1"/>
      <c r="D485" s="1"/>
      <c r="E485" s="1"/>
      <c r="F485" s="1"/>
      <c r="G485" s="2"/>
      <c r="H485" s="2"/>
      <c r="I485" s="2"/>
      <c r="J485" s="2"/>
      <c r="K485" s="2"/>
      <c r="L485" s="2"/>
      <c r="M485" s="3"/>
      <c r="N485" s="4">
        <v>44501</v>
      </c>
      <c r="O485" s="3"/>
      <c r="P485" s="3"/>
    </row>
    <row r="486" spans="1:16" ht="12" customHeight="1" thickBot="1" x14ac:dyDescent="0.5">
      <c r="A486" s="1"/>
      <c r="B486" s="1"/>
      <c r="C486" s="1"/>
      <c r="D486" s="1"/>
      <c r="E486" s="1"/>
      <c r="F486" s="1"/>
      <c r="G486" s="2"/>
      <c r="H486" s="2"/>
      <c r="I486" s="2"/>
      <c r="J486" s="2"/>
      <c r="K486" s="2"/>
      <c r="L486" s="2"/>
      <c r="M486" s="3"/>
      <c r="N486" s="3"/>
      <c r="O486" s="3"/>
      <c r="P486" s="3"/>
    </row>
    <row r="487" spans="1:16" ht="15.75" customHeight="1" x14ac:dyDescent="0.25">
      <c r="A487" s="33" t="s">
        <v>1</v>
      </c>
      <c r="B487" s="34" t="s">
        <v>2</v>
      </c>
      <c r="C487" s="34" t="s">
        <v>3</v>
      </c>
      <c r="D487" s="34" t="s">
        <v>4</v>
      </c>
      <c r="E487" s="34" t="s">
        <v>5</v>
      </c>
      <c r="F487" s="34" t="s">
        <v>6</v>
      </c>
      <c r="G487" s="34" t="s">
        <v>7</v>
      </c>
      <c r="H487" s="34" t="s">
        <v>8</v>
      </c>
      <c r="I487" s="34" t="s">
        <v>9</v>
      </c>
      <c r="J487" s="34" t="s">
        <v>10</v>
      </c>
      <c r="K487" s="34" t="s">
        <v>11</v>
      </c>
      <c r="L487" s="34" t="s">
        <v>12</v>
      </c>
      <c r="M487" s="34" t="s">
        <v>13</v>
      </c>
      <c r="N487" s="34" t="s">
        <v>14</v>
      </c>
      <c r="O487" s="34" t="s">
        <v>15</v>
      </c>
      <c r="P487" s="35" t="s">
        <v>16</v>
      </c>
    </row>
    <row r="488" spans="1:16" x14ac:dyDescent="0.25">
      <c r="A488" s="47">
        <v>44501</v>
      </c>
      <c r="B488" s="48">
        <v>1</v>
      </c>
      <c r="C488" s="49">
        <v>3</v>
      </c>
      <c r="D488" s="50">
        <v>466</v>
      </c>
      <c r="E488" s="51">
        <v>30715402765</v>
      </c>
      <c r="F488" s="52" t="s">
        <v>29</v>
      </c>
      <c r="G488" s="53">
        <v>5702.48</v>
      </c>
      <c r="H488" s="54">
        <v>1197.5207999999998</v>
      </c>
      <c r="I488" s="54"/>
      <c r="J488" s="54"/>
      <c r="K488" s="54"/>
      <c r="L488" s="55"/>
      <c r="M488" s="55"/>
      <c r="N488" s="55"/>
      <c r="O488" s="56"/>
      <c r="P488" s="57">
        <f>SUM(G488:O488)</f>
        <v>6900.0007999999998</v>
      </c>
    </row>
    <row r="489" spans="1:16" x14ac:dyDescent="0.25">
      <c r="A489" s="8">
        <v>44501</v>
      </c>
      <c r="B489" s="9">
        <v>1</v>
      </c>
      <c r="C489" s="10">
        <v>3</v>
      </c>
      <c r="D489" s="11">
        <v>139032</v>
      </c>
      <c r="E489" s="12">
        <v>30707135596</v>
      </c>
      <c r="F489" s="13" t="s">
        <v>17</v>
      </c>
      <c r="G489" s="58">
        <v>2209.33</v>
      </c>
      <c r="H489" s="59">
        <v>463.95929999999998</v>
      </c>
      <c r="I489" s="59"/>
      <c r="J489" s="59"/>
      <c r="K489" s="60"/>
      <c r="L489" s="15"/>
      <c r="M489" s="15"/>
      <c r="N489" s="15"/>
      <c r="O489" s="16"/>
      <c r="P489" s="57">
        <f t="shared" ref="P489:P520" si="20">SUM(G489:O489)</f>
        <v>2673.2892999999999</v>
      </c>
    </row>
    <row r="490" spans="1:16" x14ac:dyDescent="0.25">
      <c r="A490" s="8">
        <v>44504</v>
      </c>
      <c r="B490" s="9">
        <v>1</v>
      </c>
      <c r="C490" s="10">
        <v>721</v>
      </c>
      <c r="D490" s="11">
        <v>2011</v>
      </c>
      <c r="E490" s="12">
        <v>30580111315</v>
      </c>
      <c r="F490" s="13" t="s">
        <v>30</v>
      </c>
      <c r="G490" s="58">
        <v>30975</v>
      </c>
      <c r="H490" s="59">
        <v>6504.75</v>
      </c>
      <c r="I490" s="59"/>
      <c r="J490" s="59"/>
      <c r="K490" s="60"/>
      <c r="L490" s="15"/>
      <c r="M490" s="15"/>
      <c r="N490" s="15"/>
      <c r="O490" s="16"/>
      <c r="P490" s="57">
        <f t="shared" si="20"/>
        <v>37479.75</v>
      </c>
    </row>
    <row r="491" spans="1:16" x14ac:dyDescent="0.25">
      <c r="A491" s="8">
        <v>44505</v>
      </c>
      <c r="B491" s="9">
        <v>1</v>
      </c>
      <c r="C491" s="10">
        <v>3</v>
      </c>
      <c r="D491" s="11">
        <v>964</v>
      </c>
      <c r="E491" s="12">
        <v>30715535471</v>
      </c>
      <c r="F491" s="13" t="s">
        <v>87</v>
      </c>
      <c r="G491" s="58">
        <v>3107.44</v>
      </c>
      <c r="H491" s="59">
        <v>652.56240000000003</v>
      </c>
      <c r="I491" s="59"/>
      <c r="J491" s="59"/>
      <c r="K491" s="60"/>
      <c r="L491" s="15"/>
      <c r="M491" s="15"/>
      <c r="N491" s="15"/>
      <c r="O491" s="16"/>
      <c r="P491" s="57">
        <f t="shared" si="20"/>
        <v>3760.0024000000003</v>
      </c>
    </row>
    <row r="492" spans="1:16" x14ac:dyDescent="0.25">
      <c r="A492" s="37">
        <v>44505</v>
      </c>
      <c r="B492" s="38">
        <v>1</v>
      </c>
      <c r="C492" s="39">
        <v>7</v>
      </c>
      <c r="D492" s="40">
        <v>29896</v>
      </c>
      <c r="E492" s="41">
        <v>30528214483</v>
      </c>
      <c r="F492" s="42" t="s">
        <v>137</v>
      </c>
      <c r="G492" s="58">
        <v>602.48</v>
      </c>
      <c r="H492" s="59">
        <v>126.52079999999999</v>
      </c>
      <c r="I492" s="59"/>
      <c r="J492" s="59"/>
      <c r="K492" s="59"/>
      <c r="L492" s="31"/>
      <c r="M492" s="31"/>
      <c r="N492" s="31"/>
      <c r="O492" s="44"/>
      <c r="P492" s="57">
        <f t="shared" si="20"/>
        <v>729.00080000000003</v>
      </c>
    </row>
    <row r="493" spans="1:16" x14ac:dyDescent="0.25">
      <c r="A493" s="37">
        <v>44505</v>
      </c>
      <c r="B493" s="38">
        <v>1</v>
      </c>
      <c r="C493" s="39">
        <v>7</v>
      </c>
      <c r="D493" s="40">
        <v>29897</v>
      </c>
      <c r="E493" s="41">
        <v>30528214483</v>
      </c>
      <c r="F493" s="42" t="s">
        <v>137</v>
      </c>
      <c r="G493" s="58">
        <v>3652.07</v>
      </c>
      <c r="H493" s="59">
        <v>766.93470000000002</v>
      </c>
      <c r="I493" s="59"/>
      <c r="J493" s="59"/>
      <c r="K493" s="59"/>
      <c r="L493" s="31"/>
      <c r="M493" s="31"/>
      <c r="N493" s="31"/>
      <c r="O493" s="44"/>
      <c r="P493" s="57">
        <f t="shared" si="20"/>
        <v>4419.0047000000004</v>
      </c>
    </row>
    <row r="494" spans="1:16" x14ac:dyDescent="0.25">
      <c r="A494" s="8">
        <v>44508</v>
      </c>
      <c r="B494" s="9">
        <v>1</v>
      </c>
      <c r="C494" s="10">
        <v>3</v>
      </c>
      <c r="D494" s="11">
        <v>247</v>
      </c>
      <c r="E494" s="12">
        <v>20921575743</v>
      </c>
      <c r="F494" s="13" t="s">
        <v>80</v>
      </c>
      <c r="G494" s="58">
        <v>195599</v>
      </c>
      <c r="H494" s="59">
        <v>41075.79</v>
      </c>
      <c r="I494" s="59"/>
      <c r="J494" s="59"/>
      <c r="K494" s="60"/>
      <c r="L494" s="15"/>
      <c r="M494" s="15"/>
      <c r="N494" s="15"/>
      <c r="O494" s="16"/>
      <c r="P494" s="57">
        <f t="shared" si="20"/>
        <v>236674.79</v>
      </c>
    </row>
    <row r="495" spans="1:16" x14ac:dyDescent="0.25">
      <c r="A495" s="37">
        <v>44508</v>
      </c>
      <c r="B495" s="38">
        <v>1</v>
      </c>
      <c r="C495" s="39">
        <v>18</v>
      </c>
      <c r="D495" s="40">
        <v>41725</v>
      </c>
      <c r="E495" s="41">
        <v>30708405228</v>
      </c>
      <c r="F495" s="42" t="s">
        <v>69</v>
      </c>
      <c r="G495" s="58">
        <v>3991.74</v>
      </c>
      <c r="H495" s="59">
        <v>838.26539999999989</v>
      </c>
      <c r="I495" s="59"/>
      <c r="J495" s="59"/>
      <c r="K495" s="59"/>
      <c r="L495" s="31"/>
      <c r="M495" s="31"/>
      <c r="N495" s="31"/>
      <c r="O495" s="44"/>
      <c r="P495" s="57">
        <f t="shared" si="20"/>
        <v>4830.0054</v>
      </c>
    </row>
    <row r="496" spans="1:16" x14ac:dyDescent="0.25">
      <c r="A496" s="8">
        <v>44508</v>
      </c>
      <c r="B496" s="9">
        <v>1</v>
      </c>
      <c r="C496" s="10">
        <v>280</v>
      </c>
      <c r="D496" s="11">
        <v>1330452</v>
      </c>
      <c r="E496" s="12">
        <v>30580111315</v>
      </c>
      <c r="F496" s="13" t="s">
        <v>30</v>
      </c>
      <c r="G496" s="58">
        <v>130912.4</v>
      </c>
      <c r="H496" s="59">
        <v>629.62</v>
      </c>
      <c r="I496" s="59"/>
      <c r="J496" s="59">
        <v>13430.93</v>
      </c>
      <c r="K496" s="60"/>
      <c r="L496" s="15"/>
      <c r="M496" s="15"/>
      <c r="N496" s="15"/>
      <c r="O496" s="16">
        <v>-116285.18</v>
      </c>
      <c r="P496" s="57">
        <f t="shared" si="20"/>
        <v>28687.76999999999</v>
      </c>
    </row>
    <row r="497" spans="1:16" x14ac:dyDescent="0.25">
      <c r="A497" s="8">
        <v>44509</v>
      </c>
      <c r="B497" s="9">
        <v>1</v>
      </c>
      <c r="C497" s="10">
        <v>9</v>
      </c>
      <c r="D497" s="11">
        <v>12479</v>
      </c>
      <c r="E497" s="12">
        <v>30708600187</v>
      </c>
      <c r="F497" s="13" t="s">
        <v>55</v>
      </c>
      <c r="G497" s="58">
        <v>30469.88</v>
      </c>
      <c r="H497" s="59">
        <v>6398.6747999999998</v>
      </c>
      <c r="I497" s="59"/>
      <c r="J497" s="59"/>
      <c r="K497" s="60"/>
      <c r="L497" s="15"/>
      <c r="M497" s="15"/>
      <c r="N497" s="15"/>
      <c r="O497" s="16"/>
      <c r="P497" s="57">
        <f t="shared" si="20"/>
        <v>36868.554799999998</v>
      </c>
    </row>
    <row r="498" spans="1:16" x14ac:dyDescent="0.25">
      <c r="A498" s="8">
        <v>44511</v>
      </c>
      <c r="B498" s="9">
        <v>1</v>
      </c>
      <c r="C498" s="10">
        <v>2</v>
      </c>
      <c r="D498" s="11">
        <v>120</v>
      </c>
      <c r="E498" s="12">
        <v>20125142851</v>
      </c>
      <c r="F498" s="13" t="s">
        <v>27</v>
      </c>
      <c r="G498" s="58">
        <v>17805.68</v>
      </c>
      <c r="H498" s="59">
        <v>3739.1927999999998</v>
      </c>
      <c r="I498" s="59"/>
      <c r="J498" s="59"/>
      <c r="K498" s="60"/>
      <c r="L498" s="15"/>
      <c r="M498" s="15"/>
      <c r="N498" s="15"/>
      <c r="O498" s="61"/>
      <c r="P498" s="57">
        <f t="shared" si="20"/>
        <v>21544.872800000001</v>
      </c>
    </row>
    <row r="499" spans="1:16" x14ac:dyDescent="0.25">
      <c r="A499" s="37">
        <v>44511</v>
      </c>
      <c r="B499" s="38">
        <v>1</v>
      </c>
      <c r="C499" s="39">
        <v>2466</v>
      </c>
      <c r="D499" s="40">
        <v>289223</v>
      </c>
      <c r="E499" s="41">
        <v>30678814357</v>
      </c>
      <c r="F499" s="42" t="s">
        <v>52</v>
      </c>
      <c r="G499" s="58">
        <v>1403.91</v>
      </c>
      <c r="H499" s="59"/>
      <c r="I499" s="59">
        <v>379.0557</v>
      </c>
      <c r="J499" s="59"/>
      <c r="K499" s="59"/>
      <c r="L499" s="31"/>
      <c r="M499" s="31"/>
      <c r="N499" s="31"/>
      <c r="O499" s="44"/>
      <c r="P499" s="57">
        <f t="shared" si="20"/>
        <v>1782.9657000000002</v>
      </c>
    </row>
    <row r="500" spans="1:16" x14ac:dyDescent="0.25">
      <c r="A500" s="37">
        <v>44512</v>
      </c>
      <c r="B500" s="38">
        <v>1</v>
      </c>
      <c r="C500" s="39">
        <v>3</v>
      </c>
      <c r="D500" s="40">
        <v>5792</v>
      </c>
      <c r="E500" s="41">
        <v>27261572775</v>
      </c>
      <c r="F500" s="42" t="s">
        <v>88</v>
      </c>
      <c r="G500" s="58">
        <v>1404.96</v>
      </c>
      <c r="H500" s="59">
        <v>295.04160000000002</v>
      </c>
      <c r="I500" s="59"/>
      <c r="J500" s="59"/>
      <c r="K500" s="59"/>
      <c r="L500" s="31"/>
      <c r="M500" s="31"/>
      <c r="N500" s="31"/>
      <c r="O500" s="44"/>
      <c r="P500" s="57">
        <f t="shared" si="20"/>
        <v>1700.0016000000001</v>
      </c>
    </row>
    <row r="501" spans="1:16" x14ac:dyDescent="0.25">
      <c r="A501" s="37">
        <v>44512</v>
      </c>
      <c r="B501" s="38">
        <v>1</v>
      </c>
      <c r="C501" s="39">
        <v>7</v>
      </c>
      <c r="D501" s="40">
        <v>28870</v>
      </c>
      <c r="E501" s="41">
        <v>30708395443</v>
      </c>
      <c r="F501" s="42" t="s">
        <v>138</v>
      </c>
      <c r="G501" s="58">
        <v>15536.36</v>
      </c>
      <c r="H501" s="59">
        <v>3262.6356000000001</v>
      </c>
      <c r="I501" s="59"/>
      <c r="J501" s="59"/>
      <c r="K501" s="59"/>
      <c r="L501" s="31"/>
      <c r="M501" s="31"/>
      <c r="N501" s="31"/>
      <c r="O501" s="44"/>
      <c r="P501" s="57">
        <f t="shared" si="20"/>
        <v>18798.995600000002</v>
      </c>
    </row>
    <row r="502" spans="1:16" x14ac:dyDescent="0.25">
      <c r="A502" s="37">
        <v>44515</v>
      </c>
      <c r="B502" s="38">
        <v>1</v>
      </c>
      <c r="C502" s="39">
        <v>18</v>
      </c>
      <c r="D502" s="40">
        <v>4345</v>
      </c>
      <c r="E502" s="41">
        <v>30582605021</v>
      </c>
      <c r="F502" s="42" t="s">
        <v>139</v>
      </c>
      <c r="G502" s="58">
        <v>8154.12</v>
      </c>
      <c r="H502" s="59">
        <v>1712.3652</v>
      </c>
      <c r="I502" s="59"/>
      <c r="J502" s="59"/>
      <c r="K502" s="59"/>
      <c r="L502" s="31"/>
      <c r="M502" s="31"/>
      <c r="N502" s="31"/>
      <c r="O502" s="44"/>
      <c r="P502" s="57">
        <f t="shared" si="20"/>
        <v>9866.4851999999992</v>
      </c>
    </row>
    <row r="503" spans="1:16" x14ac:dyDescent="0.25">
      <c r="A503" s="37">
        <v>44517</v>
      </c>
      <c r="B503" s="38">
        <v>1</v>
      </c>
      <c r="C503" s="39">
        <v>5</v>
      </c>
      <c r="D503" s="40">
        <v>2211</v>
      </c>
      <c r="E503" s="41">
        <v>20926926846</v>
      </c>
      <c r="F503" s="42" t="s">
        <v>140</v>
      </c>
      <c r="G503" s="58">
        <v>4770.8</v>
      </c>
      <c r="H503" s="59">
        <v>1001.8680000000001</v>
      </c>
      <c r="I503" s="59"/>
      <c r="J503" s="59"/>
      <c r="K503" s="59"/>
      <c r="L503" s="31"/>
      <c r="M503" s="31"/>
      <c r="N503" s="31"/>
      <c r="O503" s="44"/>
      <c r="P503" s="57">
        <f t="shared" si="20"/>
        <v>5772.6680000000006</v>
      </c>
    </row>
    <row r="504" spans="1:16" x14ac:dyDescent="0.25">
      <c r="A504" s="37">
        <v>44518</v>
      </c>
      <c r="B504" s="38">
        <v>1</v>
      </c>
      <c r="C504" s="39">
        <v>4</v>
      </c>
      <c r="D504" s="40">
        <v>15784</v>
      </c>
      <c r="E504" s="41">
        <v>30604413482</v>
      </c>
      <c r="F504" s="42" t="s">
        <v>54</v>
      </c>
      <c r="G504" s="58">
        <v>28224</v>
      </c>
      <c r="H504" s="59">
        <v>5927.04</v>
      </c>
      <c r="I504" s="59"/>
      <c r="J504" s="59"/>
      <c r="K504" s="59"/>
      <c r="L504" s="31"/>
      <c r="M504" s="31"/>
      <c r="N504" s="31"/>
      <c r="O504" s="44"/>
      <c r="P504" s="57">
        <f t="shared" si="20"/>
        <v>34151.040000000001</v>
      </c>
    </row>
    <row r="505" spans="1:16" x14ac:dyDescent="0.25">
      <c r="A505" s="37">
        <v>44519</v>
      </c>
      <c r="B505" s="38">
        <v>1</v>
      </c>
      <c r="C505" s="39">
        <v>2</v>
      </c>
      <c r="D505" s="40">
        <v>720</v>
      </c>
      <c r="E505" s="41">
        <v>30500805222</v>
      </c>
      <c r="F505" s="42" t="s">
        <v>66</v>
      </c>
      <c r="G505" s="58">
        <v>231000</v>
      </c>
      <c r="H505" s="59">
        <v>48510</v>
      </c>
      <c r="I505" s="59"/>
      <c r="J505" s="59"/>
      <c r="K505" s="59"/>
      <c r="L505" s="31"/>
      <c r="M505" s="31"/>
      <c r="N505" s="31"/>
      <c r="O505" s="44"/>
      <c r="P505" s="57">
        <f t="shared" si="20"/>
        <v>279510</v>
      </c>
    </row>
    <row r="506" spans="1:16" x14ac:dyDescent="0.25">
      <c r="A506" s="37">
        <v>44523</v>
      </c>
      <c r="B506" s="38">
        <v>1</v>
      </c>
      <c r="C506" s="39">
        <v>7</v>
      </c>
      <c r="D506" s="40">
        <v>29572</v>
      </c>
      <c r="E506" s="41">
        <v>30708395443</v>
      </c>
      <c r="F506" s="42" t="s">
        <v>138</v>
      </c>
      <c r="G506" s="58">
        <v>15536.36</v>
      </c>
      <c r="H506" s="59">
        <v>3262.6356000000001</v>
      </c>
      <c r="I506" s="59"/>
      <c r="J506" s="59"/>
      <c r="K506" s="59"/>
      <c r="L506" s="31"/>
      <c r="M506" s="31"/>
      <c r="N506" s="31"/>
      <c r="O506" s="44"/>
      <c r="P506" s="57">
        <f t="shared" si="20"/>
        <v>18798.995600000002</v>
      </c>
    </row>
    <row r="507" spans="1:16" x14ac:dyDescent="0.25">
      <c r="A507" s="37">
        <v>44524</v>
      </c>
      <c r="B507" s="38">
        <v>1</v>
      </c>
      <c r="C507" s="39">
        <v>2</v>
      </c>
      <c r="D507" s="40">
        <v>121</v>
      </c>
      <c r="E507" s="41">
        <v>20125142851</v>
      </c>
      <c r="F507" s="42" t="s">
        <v>27</v>
      </c>
      <c r="G507" s="58">
        <v>27056.28</v>
      </c>
      <c r="H507" s="59">
        <v>5681.8187999999991</v>
      </c>
      <c r="I507" s="59"/>
      <c r="J507" s="59"/>
      <c r="K507" s="59"/>
      <c r="L507" s="31"/>
      <c r="M507" s="31"/>
      <c r="N507" s="31"/>
      <c r="O507" s="44"/>
      <c r="P507" s="57">
        <f t="shared" si="20"/>
        <v>32738.0988</v>
      </c>
    </row>
    <row r="508" spans="1:16" x14ac:dyDescent="0.25">
      <c r="A508" s="37">
        <v>44524</v>
      </c>
      <c r="B508" s="38">
        <v>1</v>
      </c>
      <c r="C508" s="39">
        <v>2</v>
      </c>
      <c r="D508" s="40">
        <v>122</v>
      </c>
      <c r="E508" s="41">
        <v>20125142851</v>
      </c>
      <c r="F508" s="42" t="s">
        <v>27</v>
      </c>
      <c r="G508" s="58">
        <v>29573.4</v>
      </c>
      <c r="H508" s="59">
        <v>6210.4139999999998</v>
      </c>
      <c r="I508" s="59"/>
      <c r="J508" s="59"/>
      <c r="K508" s="59"/>
      <c r="L508" s="31"/>
      <c r="M508" s="31"/>
      <c r="N508" s="31"/>
      <c r="O508" s="44"/>
      <c r="P508" s="57">
        <f t="shared" si="20"/>
        <v>35783.813999999998</v>
      </c>
    </row>
    <row r="509" spans="1:16" x14ac:dyDescent="0.25">
      <c r="A509" s="37">
        <v>44525</v>
      </c>
      <c r="B509" s="38">
        <v>1</v>
      </c>
      <c r="C509" s="39">
        <v>9</v>
      </c>
      <c r="D509" s="40">
        <v>928</v>
      </c>
      <c r="E509" s="41">
        <v>30631047145</v>
      </c>
      <c r="F509" s="42" t="s">
        <v>48</v>
      </c>
      <c r="G509" s="58">
        <v>160181.9</v>
      </c>
      <c r="H509" s="59">
        <v>32080</v>
      </c>
      <c r="I509" s="59"/>
      <c r="J509" s="59">
        <v>779.1</v>
      </c>
      <c r="K509" s="59"/>
      <c r="L509" s="31"/>
      <c r="M509" s="31"/>
      <c r="N509" s="31"/>
      <c r="O509" s="44"/>
      <c r="P509" s="57">
        <f t="shared" si="20"/>
        <v>193041</v>
      </c>
    </row>
    <row r="510" spans="1:16" x14ac:dyDescent="0.25">
      <c r="A510" s="37">
        <v>44526</v>
      </c>
      <c r="B510" s="38">
        <v>1</v>
      </c>
      <c r="C510" s="39">
        <v>2</v>
      </c>
      <c r="D510" s="40">
        <v>13179</v>
      </c>
      <c r="E510" s="41">
        <v>30624684628</v>
      </c>
      <c r="F510" s="42" t="s">
        <v>141</v>
      </c>
      <c r="G510" s="58">
        <v>71197</v>
      </c>
      <c r="H510" s="59">
        <v>14951.369999999999</v>
      </c>
      <c r="I510" s="59"/>
      <c r="J510" s="59"/>
      <c r="K510" s="59"/>
      <c r="L510" s="31"/>
      <c r="M510" s="31"/>
      <c r="N510" s="31"/>
      <c r="O510" s="44"/>
      <c r="P510" s="57">
        <f t="shared" si="20"/>
        <v>86148.37</v>
      </c>
    </row>
    <row r="511" spans="1:16" x14ac:dyDescent="0.25">
      <c r="A511" s="37">
        <v>44529</v>
      </c>
      <c r="B511" s="38">
        <v>1</v>
      </c>
      <c r="C511" s="39">
        <v>3</v>
      </c>
      <c r="D511" s="40">
        <v>610705</v>
      </c>
      <c r="E511" s="41">
        <v>30712019359</v>
      </c>
      <c r="F511" s="42" t="s">
        <v>75</v>
      </c>
      <c r="G511" s="58">
        <v>2147.9299999999998</v>
      </c>
      <c r="H511" s="59">
        <v>451.06529999999992</v>
      </c>
      <c r="I511" s="59"/>
      <c r="J511" s="59"/>
      <c r="K511" s="59"/>
      <c r="L511" s="31"/>
      <c r="M511" s="31"/>
      <c r="N511" s="31"/>
      <c r="O511" s="44"/>
      <c r="P511" s="57">
        <f t="shared" si="20"/>
        <v>2598.9952999999996</v>
      </c>
    </row>
    <row r="512" spans="1:16" x14ac:dyDescent="0.25">
      <c r="A512" s="37">
        <v>44530</v>
      </c>
      <c r="B512" s="38">
        <v>1</v>
      </c>
      <c r="C512" s="39">
        <v>7</v>
      </c>
      <c r="D512" s="40">
        <v>292</v>
      </c>
      <c r="E512" s="41">
        <v>27954094354</v>
      </c>
      <c r="F512" s="42" t="s">
        <v>142</v>
      </c>
      <c r="G512" s="58">
        <v>1297.52</v>
      </c>
      <c r="H512" s="59">
        <v>272.47919999999999</v>
      </c>
      <c r="I512" s="59"/>
      <c r="J512" s="59"/>
      <c r="K512" s="59"/>
      <c r="L512" s="31"/>
      <c r="M512" s="31"/>
      <c r="N512" s="31"/>
      <c r="O512" s="44"/>
      <c r="P512" s="57">
        <f t="shared" si="20"/>
        <v>1569.9992</v>
      </c>
    </row>
    <row r="513" spans="1:16" x14ac:dyDescent="0.25">
      <c r="A513" s="37">
        <v>44530</v>
      </c>
      <c r="B513" s="38">
        <v>1</v>
      </c>
      <c r="C513" s="39">
        <v>1</v>
      </c>
      <c r="D513" s="40">
        <v>407</v>
      </c>
      <c r="E513" s="41">
        <v>30715048066</v>
      </c>
      <c r="F513" s="42" t="s">
        <v>64</v>
      </c>
      <c r="G513" s="58">
        <v>160594.98000000001</v>
      </c>
      <c r="H513" s="59">
        <v>33724.945800000001</v>
      </c>
      <c r="I513" s="59"/>
      <c r="J513" s="59"/>
      <c r="K513" s="59"/>
      <c r="L513" s="31"/>
      <c r="M513" s="31"/>
      <c r="N513" s="31"/>
      <c r="O513" s="44"/>
      <c r="P513" s="57">
        <f t="shared" si="20"/>
        <v>194319.92580000003</v>
      </c>
    </row>
    <row r="514" spans="1:16" x14ac:dyDescent="0.25">
      <c r="A514" s="37">
        <v>44501</v>
      </c>
      <c r="B514" s="38">
        <v>99</v>
      </c>
      <c r="C514" s="39">
        <v>838</v>
      </c>
      <c r="D514" s="40">
        <v>61</v>
      </c>
      <c r="E514" s="41" t="s">
        <v>120</v>
      </c>
      <c r="F514" s="42" t="s">
        <v>22</v>
      </c>
      <c r="G514" s="58">
        <v>2495.25</v>
      </c>
      <c r="H514" s="59">
        <v>524.00250000000005</v>
      </c>
      <c r="I514" s="59"/>
      <c r="J514" s="59"/>
      <c r="K514" s="59"/>
      <c r="L514" s="31"/>
      <c r="M514" s="31">
        <v>74.86</v>
      </c>
      <c r="N514" s="31"/>
      <c r="O514" s="44"/>
      <c r="P514" s="57">
        <f t="shared" si="20"/>
        <v>3094.1125000000002</v>
      </c>
    </row>
    <row r="515" spans="1:16" x14ac:dyDescent="0.25">
      <c r="A515" s="37">
        <v>44512</v>
      </c>
      <c r="B515" s="38">
        <v>99</v>
      </c>
      <c r="C515" s="39">
        <v>818</v>
      </c>
      <c r="D515" s="40">
        <v>677919</v>
      </c>
      <c r="E515" s="41" t="s">
        <v>120</v>
      </c>
      <c r="F515" s="42" t="s">
        <v>22</v>
      </c>
      <c r="G515" s="58">
        <v>23354.39</v>
      </c>
      <c r="H515" s="59">
        <v>4904.4219000000003</v>
      </c>
      <c r="I515" s="59"/>
      <c r="J515" s="59"/>
      <c r="K515" s="59"/>
      <c r="L515" s="31"/>
      <c r="M515" s="31">
        <v>700.63</v>
      </c>
      <c r="N515" s="31"/>
      <c r="O515" s="44"/>
      <c r="P515" s="57">
        <f t="shared" si="20"/>
        <v>28959.441900000002</v>
      </c>
    </row>
    <row r="516" spans="1:16" x14ac:dyDescent="0.25">
      <c r="A516" s="37">
        <v>44510</v>
      </c>
      <c r="B516" s="38">
        <v>99</v>
      </c>
      <c r="C516" s="39">
        <v>846</v>
      </c>
      <c r="D516" s="40">
        <v>10</v>
      </c>
      <c r="E516" s="41" t="s">
        <v>120</v>
      </c>
      <c r="F516" s="42" t="s">
        <v>22</v>
      </c>
      <c r="G516" s="58">
        <v>2503.75</v>
      </c>
      <c r="H516" s="59">
        <v>525.78750000000002</v>
      </c>
      <c r="I516" s="59"/>
      <c r="J516" s="59"/>
      <c r="K516" s="59"/>
      <c r="L516" s="31"/>
      <c r="M516" s="31">
        <v>75.11</v>
      </c>
      <c r="N516" s="31"/>
      <c r="O516" s="44"/>
      <c r="P516" s="57">
        <f t="shared" si="20"/>
        <v>3104.6475</v>
      </c>
    </row>
    <row r="517" spans="1:16" x14ac:dyDescent="0.25">
      <c r="A517" s="37">
        <v>44530</v>
      </c>
      <c r="B517" s="38">
        <v>99</v>
      </c>
      <c r="C517" s="39">
        <v>1</v>
      </c>
      <c r="D517" s="40">
        <v>30112021</v>
      </c>
      <c r="E517" s="41">
        <v>30583887039</v>
      </c>
      <c r="F517" s="42" t="s">
        <v>121</v>
      </c>
      <c r="G517" s="58">
        <v>2046</v>
      </c>
      <c r="H517" s="59">
        <v>429.66</v>
      </c>
      <c r="I517" s="59"/>
      <c r="J517" s="59"/>
      <c r="K517" s="59"/>
      <c r="L517" s="31"/>
      <c r="M517" s="31"/>
      <c r="N517" s="31"/>
      <c r="O517" s="44"/>
      <c r="P517" s="57">
        <f t="shared" si="20"/>
        <v>2475.66</v>
      </c>
    </row>
    <row r="518" spans="1:16" x14ac:dyDescent="0.25">
      <c r="A518" s="8">
        <v>44530</v>
      </c>
      <c r="B518" s="38">
        <v>99</v>
      </c>
      <c r="C518" s="10">
        <v>1</v>
      </c>
      <c r="D518" s="11">
        <v>301121</v>
      </c>
      <c r="E518" s="12">
        <v>30583887039</v>
      </c>
      <c r="F518" s="13" t="s">
        <v>121</v>
      </c>
      <c r="G518" s="58">
        <v>80</v>
      </c>
      <c r="H518" s="59">
        <v>16.8</v>
      </c>
      <c r="I518" s="59"/>
      <c r="J518" s="59"/>
      <c r="K518" s="60"/>
      <c r="L518" s="15"/>
      <c r="M518" s="15"/>
      <c r="N518" s="15"/>
      <c r="O518" s="61"/>
      <c r="P518" s="57">
        <f t="shared" si="20"/>
        <v>96.8</v>
      </c>
    </row>
    <row r="519" spans="1:16" x14ac:dyDescent="0.25">
      <c r="A519" s="8">
        <v>44500</v>
      </c>
      <c r="B519" s="38">
        <v>99</v>
      </c>
      <c r="C519" s="10">
        <v>1</v>
      </c>
      <c r="D519" s="11">
        <v>31102021</v>
      </c>
      <c r="E519" s="12" t="s">
        <v>120</v>
      </c>
      <c r="F519" s="13" t="s">
        <v>22</v>
      </c>
      <c r="G519" s="58">
        <v>6631.4285714285716</v>
      </c>
      <c r="H519" s="59">
        <v>1392.6</v>
      </c>
      <c r="I519" s="59"/>
      <c r="J519" s="59"/>
      <c r="K519" s="60"/>
      <c r="L519" s="15"/>
      <c r="M519" s="15"/>
      <c r="N519" s="15"/>
      <c r="O519" s="16"/>
      <c r="P519" s="57">
        <f t="shared" si="20"/>
        <v>8024.028571428571</v>
      </c>
    </row>
    <row r="520" spans="1:16" x14ac:dyDescent="0.25">
      <c r="A520" s="8">
        <v>44530</v>
      </c>
      <c r="B520" s="38">
        <v>99</v>
      </c>
      <c r="C520" s="10">
        <v>1</v>
      </c>
      <c r="D520" s="11">
        <v>302111</v>
      </c>
      <c r="E520" s="12" t="s">
        <v>120</v>
      </c>
      <c r="F520" s="13" t="s">
        <v>22</v>
      </c>
      <c r="G520" s="58">
        <v>2046.047619047619</v>
      </c>
      <c r="H520" s="59">
        <v>429.67</v>
      </c>
      <c r="I520" s="59"/>
      <c r="J520" s="59"/>
      <c r="K520" s="60"/>
      <c r="L520" s="15"/>
      <c r="M520" s="15"/>
      <c r="N520" s="15"/>
      <c r="O520" s="16"/>
      <c r="P520" s="57">
        <f t="shared" si="20"/>
        <v>2475.7176190476189</v>
      </c>
    </row>
    <row r="521" spans="1:16" ht="15.75" customHeight="1" thickBot="1" x14ac:dyDescent="0.3">
      <c r="A521" s="129" t="s">
        <v>51</v>
      </c>
      <c r="B521" s="130"/>
      <c r="C521" s="130"/>
      <c r="D521" s="130"/>
      <c r="E521" s="130"/>
      <c r="F521" s="130"/>
      <c r="G521" s="45">
        <f t="shared" ref="G521:P521" si="21">SUM(G488:G520)</f>
        <v>1222263.8861904761</v>
      </c>
      <c r="H521" s="45">
        <f t="shared" si="21"/>
        <v>227960.41199999998</v>
      </c>
      <c r="I521" s="45">
        <f t="shared" si="21"/>
        <v>379.0557</v>
      </c>
      <c r="J521" s="45">
        <f t="shared" si="21"/>
        <v>14210.03</v>
      </c>
      <c r="K521" s="45">
        <f t="shared" si="21"/>
        <v>0</v>
      </c>
      <c r="L521" s="45">
        <f t="shared" si="21"/>
        <v>0</v>
      </c>
      <c r="M521" s="45">
        <f t="shared" si="21"/>
        <v>850.6</v>
      </c>
      <c r="N521" s="45">
        <f t="shared" si="21"/>
        <v>0</v>
      </c>
      <c r="O521" s="45">
        <f t="shared" si="21"/>
        <v>-116285.18</v>
      </c>
      <c r="P521" s="62">
        <f t="shared" si="21"/>
        <v>1349378.8038904765</v>
      </c>
    </row>
    <row r="522" spans="1:16" ht="12.75" customHeight="1" thickBot="1" x14ac:dyDescent="0.3">
      <c r="G522" s="28"/>
      <c r="H522" s="126">
        <f>SUM(H521:J521)</f>
        <v>242549.49769999998</v>
      </c>
      <c r="I522" s="127"/>
      <c r="J522" s="128"/>
      <c r="K522" s="28"/>
      <c r="L522" s="28"/>
      <c r="M522" s="28"/>
      <c r="N522" s="28"/>
      <c r="O522" s="28"/>
      <c r="P522" s="28"/>
    </row>
    <row r="523" spans="1:16" ht="15.75" thickTop="1" x14ac:dyDescent="0.25">
      <c r="G523" s="28"/>
      <c r="H523" s="28"/>
      <c r="I523" s="28"/>
      <c r="J523" s="28"/>
      <c r="K523" s="28"/>
      <c r="L523" s="28"/>
      <c r="M523" s="28"/>
      <c r="N523" s="28"/>
      <c r="O523" s="28"/>
      <c r="P523" s="28"/>
    </row>
    <row r="524" spans="1:16" ht="18.75" customHeight="1" x14ac:dyDescent="0.45">
      <c r="A524" s="1" t="s">
        <v>0</v>
      </c>
      <c r="B524" s="1"/>
      <c r="C524" s="1"/>
      <c r="D524" s="1"/>
      <c r="E524" s="1"/>
      <c r="F524" s="1"/>
      <c r="G524" s="2"/>
      <c r="H524" s="2"/>
      <c r="I524" s="2"/>
      <c r="J524" s="2"/>
      <c r="K524" s="2"/>
      <c r="L524" s="2"/>
      <c r="M524" s="3"/>
      <c r="N524" s="4">
        <v>44531</v>
      </c>
      <c r="O524" s="3"/>
      <c r="P524" s="3"/>
    </row>
    <row r="525" spans="1:16" ht="23.25" thickBot="1" x14ac:dyDescent="0.5">
      <c r="A525" s="1"/>
      <c r="B525" s="1"/>
      <c r="C525" s="1"/>
      <c r="D525" s="1"/>
      <c r="E525" s="1"/>
      <c r="F525" s="1"/>
      <c r="G525" s="2"/>
      <c r="H525" s="2"/>
      <c r="I525" s="2"/>
      <c r="J525" s="2"/>
      <c r="K525" s="2"/>
      <c r="L525" s="2"/>
      <c r="M525" s="3"/>
      <c r="N525" s="3"/>
      <c r="O525" s="3"/>
      <c r="P525" s="3"/>
    </row>
    <row r="526" spans="1:16" ht="14.25" customHeight="1" x14ac:dyDescent="0.25">
      <c r="A526" s="33" t="s">
        <v>1</v>
      </c>
      <c r="B526" s="34" t="s">
        <v>2</v>
      </c>
      <c r="C526" s="34" t="s">
        <v>3</v>
      </c>
      <c r="D526" s="34" t="s">
        <v>4</v>
      </c>
      <c r="E526" s="34" t="s">
        <v>5</v>
      </c>
      <c r="F526" s="34" t="s">
        <v>6</v>
      </c>
      <c r="G526" s="34" t="s">
        <v>7</v>
      </c>
      <c r="H526" s="34" t="s">
        <v>8</v>
      </c>
      <c r="I526" s="34" t="s">
        <v>9</v>
      </c>
      <c r="J526" s="34" t="s">
        <v>10</v>
      </c>
      <c r="K526" s="34" t="s">
        <v>11</v>
      </c>
      <c r="L526" s="34" t="s">
        <v>12</v>
      </c>
      <c r="M526" s="34" t="s">
        <v>13</v>
      </c>
      <c r="N526" s="34" t="s">
        <v>14</v>
      </c>
      <c r="O526" s="34" t="s">
        <v>15</v>
      </c>
      <c r="P526" s="35" t="s">
        <v>16</v>
      </c>
    </row>
    <row r="527" spans="1:16" x14ac:dyDescent="0.25">
      <c r="A527" s="47">
        <v>44547</v>
      </c>
      <c r="B527" s="48">
        <v>1</v>
      </c>
      <c r="C527" s="49">
        <v>106</v>
      </c>
      <c r="D527" s="50">
        <v>485561</v>
      </c>
      <c r="E527" s="51">
        <v>30594494187</v>
      </c>
      <c r="F527" s="52" t="s">
        <v>53</v>
      </c>
      <c r="G527" s="53">
        <v>10700</v>
      </c>
      <c r="H527" s="54">
        <v>2247</v>
      </c>
      <c r="I527" s="54"/>
      <c r="J527" s="54"/>
      <c r="K527" s="54">
        <v>108913.8</v>
      </c>
      <c r="L527" s="55"/>
      <c r="M527" s="55"/>
      <c r="N527" s="55"/>
      <c r="O527" s="56"/>
      <c r="P527" s="57">
        <f>SUM(G527:O527)</f>
        <v>121860.8</v>
      </c>
    </row>
    <row r="528" spans="1:16" x14ac:dyDescent="0.25">
      <c r="A528" s="8">
        <v>44559</v>
      </c>
      <c r="B528" s="9">
        <v>1</v>
      </c>
      <c r="C528" s="10">
        <v>280</v>
      </c>
      <c r="D528" s="11">
        <v>1340922</v>
      </c>
      <c r="E528" s="12">
        <v>30580111315</v>
      </c>
      <c r="F528" s="13" t="s">
        <v>30</v>
      </c>
      <c r="G528" s="58">
        <v>88083.877000000008</v>
      </c>
      <c r="H528" s="59"/>
      <c r="I528" s="59"/>
      <c r="J528" s="59">
        <v>9248.8070850000004</v>
      </c>
      <c r="K528" s="60"/>
      <c r="L528" s="15"/>
      <c r="M528" s="15"/>
      <c r="N528" s="15"/>
      <c r="O528" s="16">
        <v>-87487.54</v>
      </c>
      <c r="P528" s="57">
        <f t="shared" ref="P528:P557" si="22">SUM(G528:O528)</f>
        <v>9845.1440850000217</v>
      </c>
    </row>
    <row r="529" spans="1:16" x14ac:dyDescent="0.25">
      <c r="A529" s="8">
        <v>44537</v>
      </c>
      <c r="B529" s="9">
        <v>66</v>
      </c>
      <c r="C529" s="10">
        <v>1</v>
      </c>
      <c r="D529" s="11">
        <v>241113</v>
      </c>
      <c r="E529" s="12">
        <v>33693450239</v>
      </c>
      <c r="F529" s="13" t="s">
        <v>26</v>
      </c>
      <c r="G529" s="58"/>
      <c r="H529" s="59">
        <v>626724.6912</v>
      </c>
      <c r="I529" s="59"/>
      <c r="J529" s="59"/>
      <c r="K529" s="60"/>
      <c r="L529" s="15">
        <v>559071.67000000004</v>
      </c>
      <c r="M529" s="15">
        <v>596881.53</v>
      </c>
      <c r="N529" s="15">
        <v>3587.33</v>
      </c>
      <c r="O529" s="16">
        <v>179064.0528</v>
      </c>
      <c r="P529" s="57">
        <f t="shared" si="22"/>
        <v>1965329.2740000002</v>
      </c>
    </row>
    <row r="530" spans="1:16" x14ac:dyDescent="0.25">
      <c r="A530" s="8">
        <v>44552</v>
      </c>
      <c r="B530" s="9">
        <v>1</v>
      </c>
      <c r="C530" s="10">
        <v>4</v>
      </c>
      <c r="D530" s="11">
        <v>6840</v>
      </c>
      <c r="E530" s="12">
        <v>30620415606</v>
      </c>
      <c r="F530" s="13" t="s">
        <v>40</v>
      </c>
      <c r="G530" s="58">
        <v>118508.54</v>
      </c>
      <c r="H530" s="59">
        <v>24886.793399999999</v>
      </c>
      <c r="I530" s="59"/>
      <c r="J530" s="59"/>
      <c r="K530" s="60">
        <v>357854.6</v>
      </c>
      <c r="L530" s="15"/>
      <c r="M530" s="15"/>
      <c r="N530" s="15"/>
      <c r="O530" s="16"/>
      <c r="P530" s="57">
        <f t="shared" si="22"/>
        <v>501249.93339999998</v>
      </c>
    </row>
    <row r="531" spans="1:16" x14ac:dyDescent="0.25">
      <c r="A531" s="37">
        <v>44540</v>
      </c>
      <c r="B531" s="38">
        <v>1</v>
      </c>
      <c r="C531" s="39">
        <v>4</v>
      </c>
      <c r="D531" s="40">
        <v>36158</v>
      </c>
      <c r="E531" s="41">
        <v>30625482522</v>
      </c>
      <c r="F531" s="42" t="s">
        <v>143</v>
      </c>
      <c r="G531" s="58">
        <v>76140</v>
      </c>
      <c r="H531" s="59">
        <v>15989.4</v>
      </c>
      <c r="I531" s="59"/>
      <c r="J531" s="59"/>
      <c r="K531" s="59"/>
      <c r="L531" s="31"/>
      <c r="M531" s="31"/>
      <c r="N531" s="31"/>
      <c r="O531" s="44"/>
      <c r="P531" s="57">
        <f t="shared" si="22"/>
        <v>92129.4</v>
      </c>
    </row>
    <row r="532" spans="1:16" x14ac:dyDescent="0.25">
      <c r="A532" s="37">
        <v>44175</v>
      </c>
      <c r="B532" s="38">
        <v>1</v>
      </c>
      <c r="C532" s="39">
        <v>40</v>
      </c>
      <c r="D532" s="40">
        <v>1840303</v>
      </c>
      <c r="E532" s="41">
        <v>30710964277</v>
      </c>
      <c r="F532" s="42" t="s">
        <v>31</v>
      </c>
      <c r="G532" s="58">
        <v>2344.63</v>
      </c>
      <c r="H532" s="59">
        <v>492.3723</v>
      </c>
      <c r="I532" s="59"/>
      <c r="J532" s="59"/>
      <c r="K532" s="59"/>
      <c r="L532" s="31"/>
      <c r="M532" s="31"/>
      <c r="N532" s="31"/>
      <c r="O532" s="44"/>
      <c r="P532" s="57">
        <f t="shared" si="22"/>
        <v>2837.0023000000001</v>
      </c>
    </row>
    <row r="533" spans="1:16" x14ac:dyDescent="0.25">
      <c r="A533" s="8">
        <v>44540</v>
      </c>
      <c r="B533" s="9">
        <v>1</v>
      </c>
      <c r="C533" s="10">
        <v>8</v>
      </c>
      <c r="D533" s="11">
        <v>6403</v>
      </c>
      <c r="E533" s="12">
        <v>30713173602</v>
      </c>
      <c r="F533" s="13" t="s">
        <v>144</v>
      </c>
      <c r="G533" s="58">
        <v>14100</v>
      </c>
      <c r="H533" s="59">
        <v>2961</v>
      </c>
      <c r="I533" s="59"/>
      <c r="J533" s="59"/>
      <c r="K533" s="60"/>
      <c r="L533" s="15"/>
      <c r="M533" s="15"/>
      <c r="N533" s="15"/>
      <c r="O533" s="16"/>
      <c r="P533" s="57">
        <f t="shared" si="22"/>
        <v>17061</v>
      </c>
    </row>
    <row r="534" spans="1:16" x14ac:dyDescent="0.25">
      <c r="A534" s="37">
        <v>44551</v>
      </c>
      <c r="B534" s="38">
        <v>1</v>
      </c>
      <c r="C534" s="39">
        <v>6</v>
      </c>
      <c r="D534" s="40">
        <v>7900</v>
      </c>
      <c r="E534" s="41">
        <v>20102658060</v>
      </c>
      <c r="F534" s="42" t="s">
        <v>145</v>
      </c>
      <c r="G534" s="58">
        <v>470.24</v>
      </c>
      <c r="H534" s="59">
        <v>98.750399999999999</v>
      </c>
      <c r="I534" s="59"/>
      <c r="J534" s="59"/>
      <c r="K534" s="59"/>
      <c r="L534" s="31"/>
      <c r="M534" s="31"/>
      <c r="N534" s="31"/>
      <c r="O534" s="44"/>
      <c r="P534" s="57">
        <f t="shared" si="22"/>
        <v>568.99040000000002</v>
      </c>
    </row>
    <row r="535" spans="1:16" x14ac:dyDescent="0.25">
      <c r="A535" s="8">
        <v>44539</v>
      </c>
      <c r="B535" s="9">
        <v>1</v>
      </c>
      <c r="C535" s="10">
        <v>3</v>
      </c>
      <c r="D535" s="11">
        <v>1839</v>
      </c>
      <c r="E535" s="12">
        <v>30715296000</v>
      </c>
      <c r="F535" s="13" t="s">
        <v>146</v>
      </c>
      <c r="G535" s="58">
        <v>241165.71</v>
      </c>
      <c r="H535" s="59">
        <v>50644.799099999997</v>
      </c>
      <c r="I535" s="59"/>
      <c r="J535" s="59"/>
      <c r="K535" s="60"/>
      <c r="L535" s="15"/>
      <c r="M535" s="15"/>
      <c r="N535" s="15"/>
      <c r="O535" s="16"/>
      <c r="P535" s="57">
        <f t="shared" si="22"/>
        <v>291810.50909999997</v>
      </c>
    </row>
    <row r="536" spans="1:16" x14ac:dyDescent="0.25">
      <c r="A536" s="8">
        <v>44543</v>
      </c>
      <c r="B536" s="9">
        <v>1</v>
      </c>
      <c r="C536" s="10">
        <v>9</v>
      </c>
      <c r="D536" s="11">
        <v>953</v>
      </c>
      <c r="E536" s="12">
        <v>30631047145</v>
      </c>
      <c r="F536" s="13" t="s">
        <v>48</v>
      </c>
      <c r="G536" s="58">
        <v>16788.3</v>
      </c>
      <c r="H536" s="59">
        <v>155.04</v>
      </c>
      <c r="I536" s="59"/>
      <c r="J536" s="59">
        <v>1685.25</v>
      </c>
      <c r="K536" s="60"/>
      <c r="L536" s="15"/>
      <c r="M536" s="15"/>
      <c r="N536" s="15"/>
      <c r="O536" s="16"/>
      <c r="P536" s="57">
        <f t="shared" si="22"/>
        <v>18628.59</v>
      </c>
    </row>
    <row r="537" spans="1:16" x14ac:dyDescent="0.25">
      <c r="A537" s="8">
        <v>44537</v>
      </c>
      <c r="B537" s="9">
        <v>1</v>
      </c>
      <c r="C537" s="10">
        <v>5</v>
      </c>
      <c r="D537" s="11">
        <v>47949</v>
      </c>
      <c r="E537" s="12">
        <v>30692857611</v>
      </c>
      <c r="F537" s="13" t="s">
        <v>42</v>
      </c>
      <c r="G537" s="58">
        <v>11129.25</v>
      </c>
      <c r="H537" s="59">
        <v>2337.1424999999999</v>
      </c>
      <c r="I537" s="59"/>
      <c r="J537" s="59"/>
      <c r="K537" s="60"/>
      <c r="L537" s="15"/>
      <c r="M537" s="15"/>
      <c r="N537" s="15">
        <v>333.88</v>
      </c>
      <c r="O537" s="61"/>
      <c r="P537" s="57">
        <f t="shared" si="22"/>
        <v>13800.272499999999</v>
      </c>
    </row>
    <row r="538" spans="1:16" x14ac:dyDescent="0.25">
      <c r="A538" s="8">
        <v>44531</v>
      </c>
      <c r="B538" s="9">
        <v>1</v>
      </c>
      <c r="C538" s="10">
        <v>3</v>
      </c>
      <c r="D538" s="11">
        <v>476</v>
      </c>
      <c r="E538" s="12">
        <v>30715402765</v>
      </c>
      <c r="F538" s="13" t="s">
        <v>29</v>
      </c>
      <c r="G538" s="58">
        <v>6033.06</v>
      </c>
      <c r="H538" s="59">
        <v>1266.9426000000001</v>
      </c>
      <c r="I538" s="59"/>
      <c r="J538" s="59"/>
      <c r="K538" s="60"/>
      <c r="L538" s="15"/>
      <c r="M538" s="15"/>
      <c r="N538" s="15"/>
      <c r="O538" s="61"/>
      <c r="P538" s="57">
        <f t="shared" si="22"/>
        <v>7300.0026000000007</v>
      </c>
    </row>
    <row r="539" spans="1:16" x14ac:dyDescent="0.25">
      <c r="A539" s="8">
        <v>44533</v>
      </c>
      <c r="B539" s="9">
        <v>1</v>
      </c>
      <c r="C539" s="10">
        <v>1</v>
      </c>
      <c r="D539" s="11">
        <v>559957</v>
      </c>
      <c r="E539" s="12">
        <v>30700940957</v>
      </c>
      <c r="F539" s="13" t="s">
        <v>85</v>
      </c>
      <c r="G539" s="58">
        <v>25960.99</v>
      </c>
      <c r="H539" s="59">
        <v>886.62</v>
      </c>
      <c r="I539" s="59"/>
      <c r="J539" s="59">
        <v>2282.59</v>
      </c>
      <c r="K539" s="60"/>
      <c r="L539" s="15"/>
      <c r="M539" s="15"/>
      <c r="N539" s="15"/>
      <c r="O539" s="61">
        <v>-21105.82</v>
      </c>
      <c r="P539" s="57">
        <f t="shared" si="22"/>
        <v>8024.380000000001</v>
      </c>
    </row>
    <row r="540" spans="1:16" x14ac:dyDescent="0.25">
      <c r="A540" s="8">
        <v>44533</v>
      </c>
      <c r="B540" s="9">
        <v>1</v>
      </c>
      <c r="C540" s="10">
        <v>1</v>
      </c>
      <c r="D540" s="11">
        <v>559959</v>
      </c>
      <c r="E540" s="12">
        <v>30700940957</v>
      </c>
      <c r="F540" s="13" t="s">
        <v>85</v>
      </c>
      <c r="G540" s="58">
        <v>257189.24</v>
      </c>
      <c r="H540" s="59">
        <v>54009.740399999995</v>
      </c>
      <c r="I540" s="59"/>
      <c r="J540" s="59"/>
      <c r="K540" s="60"/>
      <c r="L540" s="15"/>
      <c r="M540" s="15"/>
      <c r="N540" s="15"/>
      <c r="O540" s="61">
        <v>-207058.18</v>
      </c>
      <c r="P540" s="57">
        <f t="shared" si="22"/>
        <v>104140.80040000001</v>
      </c>
    </row>
    <row r="541" spans="1:16" x14ac:dyDescent="0.25">
      <c r="A541" s="8">
        <v>44531</v>
      </c>
      <c r="B541" s="9">
        <v>1</v>
      </c>
      <c r="C541" s="10">
        <v>2</v>
      </c>
      <c r="D541" s="11">
        <v>599</v>
      </c>
      <c r="E541" s="12">
        <v>20122039065</v>
      </c>
      <c r="F541" s="13" t="s">
        <v>147</v>
      </c>
      <c r="G541" s="58">
        <v>21250</v>
      </c>
      <c r="H541" s="59">
        <v>4462.5</v>
      </c>
      <c r="I541" s="59"/>
      <c r="J541" s="59"/>
      <c r="K541" s="60"/>
      <c r="L541" s="15"/>
      <c r="M541" s="15"/>
      <c r="N541" s="15"/>
      <c r="O541" s="61"/>
      <c r="P541" s="57">
        <f t="shared" si="22"/>
        <v>25712.5</v>
      </c>
    </row>
    <row r="542" spans="1:16" x14ac:dyDescent="0.25">
      <c r="A542" s="8">
        <v>44533</v>
      </c>
      <c r="B542" s="9">
        <v>1</v>
      </c>
      <c r="C542" s="10">
        <v>5</v>
      </c>
      <c r="D542" s="11">
        <v>164</v>
      </c>
      <c r="E542" s="12">
        <v>30716006391</v>
      </c>
      <c r="F542" s="13" t="s">
        <v>148</v>
      </c>
      <c r="G542" s="58">
        <v>1403.31</v>
      </c>
      <c r="H542" s="59">
        <v>294.69509999999997</v>
      </c>
      <c r="I542" s="59"/>
      <c r="J542" s="59"/>
      <c r="K542" s="60"/>
      <c r="L542" s="15"/>
      <c r="M542" s="15"/>
      <c r="N542" s="15"/>
      <c r="O542" s="61"/>
      <c r="P542" s="57">
        <f t="shared" si="22"/>
        <v>1698.0050999999999</v>
      </c>
    </row>
    <row r="543" spans="1:16" x14ac:dyDescent="0.25">
      <c r="A543" s="8">
        <v>44531</v>
      </c>
      <c r="B543" s="9">
        <v>1</v>
      </c>
      <c r="C543" s="10">
        <v>3</v>
      </c>
      <c r="D543" s="11">
        <v>141861</v>
      </c>
      <c r="E543" s="12">
        <v>30707135596</v>
      </c>
      <c r="F543" s="13" t="s">
        <v>17</v>
      </c>
      <c r="G543" s="58">
        <v>2213.23</v>
      </c>
      <c r="H543" s="59">
        <v>464.7783</v>
      </c>
      <c r="I543" s="59"/>
      <c r="J543" s="59"/>
      <c r="K543" s="60"/>
      <c r="L543" s="15"/>
      <c r="M543" s="15"/>
      <c r="N543" s="15"/>
      <c r="O543" s="61"/>
      <c r="P543" s="57">
        <f t="shared" si="22"/>
        <v>2678.0083</v>
      </c>
    </row>
    <row r="544" spans="1:16" x14ac:dyDescent="0.25">
      <c r="A544" s="8">
        <v>44553</v>
      </c>
      <c r="B544" s="9">
        <v>1</v>
      </c>
      <c r="C544" s="10">
        <v>1</v>
      </c>
      <c r="D544" s="11">
        <v>15</v>
      </c>
      <c r="E544" s="12">
        <v>30715279491</v>
      </c>
      <c r="F544" s="13" t="s">
        <v>149</v>
      </c>
      <c r="G544" s="58">
        <v>1294114.9650000001</v>
      </c>
      <c r="H544" s="59">
        <v>271765.065</v>
      </c>
      <c r="I544" s="59"/>
      <c r="J544" s="59"/>
      <c r="K544" s="60"/>
      <c r="L544" s="15"/>
      <c r="M544" s="15"/>
      <c r="N544" s="15"/>
      <c r="O544" s="61"/>
      <c r="P544" s="57">
        <f t="shared" si="22"/>
        <v>1565880.03</v>
      </c>
    </row>
    <row r="545" spans="1:16" x14ac:dyDescent="0.25">
      <c r="A545" s="8">
        <v>44550</v>
      </c>
      <c r="B545" s="9">
        <v>1</v>
      </c>
      <c r="C545" s="10">
        <v>2</v>
      </c>
      <c r="D545" s="11">
        <v>124</v>
      </c>
      <c r="E545" s="12">
        <v>20125142851</v>
      </c>
      <c r="F545" s="13" t="s">
        <v>27</v>
      </c>
      <c r="G545" s="58">
        <v>44360.1</v>
      </c>
      <c r="H545" s="59">
        <v>9315.6209999999992</v>
      </c>
      <c r="I545" s="59"/>
      <c r="J545" s="59"/>
      <c r="K545" s="60"/>
      <c r="L545" s="15"/>
      <c r="M545" s="15"/>
      <c r="N545" s="15"/>
      <c r="O545" s="61"/>
      <c r="P545" s="57">
        <f t="shared" si="22"/>
        <v>53675.720999999998</v>
      </c>
    </row>
    <row r="546" spans="1:16" x14ac:dyDescent="0.25">
      <c r="A546" s="8">
        <v>44550</v>
      </c>
      <c r="B546" s="9">
        <v>1</v>
      </c>
      <c r="C546" s="10">
        <v>2</v>
      </c>
      <c r="D546" s="11">
        <v>123</v>
      </c>
      <c r="E546" s="12">
        <v>20125142851</v>
      </c>
      <c r="F546" s="13" t="s">
        <v>27</v>
      </c>
      <c r="G546" s="58">
        <v>36075.040000000001</v>
      </c>
      <c r="H546" s="59">
        <v>7575.7583999999997</v>
      </c>
      <c r="I546" s="59"/>
      <c r="J546" s="59"/>
      <c r="K546" s="60"/>
      <c r="L546" s="15"/>
      <c r="M546" s="15"/>
      <c r="N546" s="15"/>
      <c r="O546" s="61"/>
      <c r="P546" s="57">
        <f t="shared" si="22"/>
        <v>43650.7984</v>
      </c>
    </row>
    <row r="547" spans="1:16" x14ac:dyDescent="0.25">
      <c r="A547" s="8">
        <v>44545</v>
      </c>
      <c r="B547" s="9">
        <v>1</v>
      </c>
      <c r="C547" s="10">
        <v>106</v>
      </c>
      <c r="D547" s="11">
        <v>483224</v>
      </c>
      <c r="E547" s="12">
        <v>30594494187</v>
      </c>
      <c r="F547" s="13" t="s">
        <v>53</v>
      </c>
      <c r="G547" s="58">
        <v>5124</v>
      </c>
      <c r="H547" s="59">
        <v>1076.04</v>
      </c>
      <c r="I547" s="59"/>
      <c r="J547" s="59"/>
      <c r="K547" s="60">
        <v>2304.17</v>
      </c>
      <c r="L547" s="15"/>
      <c r="M547" s="15"/>
      <c r="N547" s="15"/>
      <c r="O547" s="61"/>
      <c r="P547" s="57">
        <f t="shared" si="22"/>
        <v>8504.2099999999991</v>
      </c>
    </row>
    <row r="548" spans="1:16" x14ac:dyDescent="0.25">
      <c r="A548" s="8">
        <v>44540</v>
      </c>
      <c r="B548" s="9">
        <v>1</v>
      </c>
      <c r="C548" s="10">
        <v>4</v>
      </c>
      <c r="D548" s="11">
        <v>6949</v>
      </c>
      <c r="E548" s="12">
        <v>30715920642</v>
      </c>
      <c r="F548" s="13" t="s">
        <v>150</v>
      </c>
      <c r="G548" s="58">
        <v>13822.31</v>
      </c>
      <c r="H548" s="59">
        <v>2902.6850999999997</v>
      </c>
      <c r="I548" s="59"/>
      <c r="J548" s="59"/>
      <c r="K548" s="60"/>
      <c r="L548" s="15"/>
      <c r="M548" s="15"/>
      <c r="N548" s="15"/>
      <c r="O548" s="61"/>
      <c r="P548" s="57">
        <f t="shared" si="22"/>
        <v>16724.9951</v>
      </c>
    </row>
    <row r="549" spans="1:16" x14ac:dyDescent="0.25">
      <c r="A549" s="8">
        <v>44541</v>
      </c>
      <c r="B549" s="9">
        <v>1</v>
      </c>
      <c r="C549" s="10">
        <v>2466</v>
      </c>
      <c r="D549" s="11">
        <v>296353</v>
      </c>
      <c r="E549" s="12">
        <v>30678814357</v>
      </c>
      <c r="F549" s="13" t="s">
        <v>52</v>
      </c>
      <c r="G549" s="58">
        <v>1525</v>
      </c>
      <c r="H549" s="59"/>
      <c r="I549" s="59">
        <v>411.75</v>
      </c>
      <c r="J549" s="59"/>
      <c r="K549" s="60"/>
      <c r="L549" s="15"/>
      <c r="M549" s="15"/>
      <c r="N549" s="15"/>
      <c r="O549" s="61"/>
      <c r="P549" s="57">
        <f t="shared" si="22"/>
        <v>1936.75</v>
      </c>
    </row>
    <row r="550" spans="1:16" x14ac:dyDescent="0.25">
      <c r="A550" s="8">
        <v>44546</v>
      </c>
      <c r="B550" s="9">
        <v>1</v>
      </c>
      <c r="C550" s="10">
        <v>5</v>
      </c>
      <c r="D550" s="11">
        <v>10760</v>
      </c>
      <c r="E550" s="12">
        <v>30715536079</v>
      </c>
      <c r="F550" s="13" t="s">
        <v>151</v>
      </c>
      <c r="G550" s="58">
        <v>3289.26</v>
      </c>
      <c r="H550" s="59">
        <v>690.74459999999999</v>
      </c>
      <c r="I550" s="59"/>
      <c r="J550" s="59"/>
      <c r="K550" s="60"/>
      <c r="L550" s="15"/>
      <c r="M550" s="15"/>
      <c r="N550" s="15"/>
      <c r="O550" s="61"/>
      <c r="P550" s="57">
        <f t="shared" si="22"/>
        <v>3980.0046000000002</v>
      </c>
    </row>
    <row r="551" spans="1:16" x14ac:dyDescent="0.25">
      <c r="A551" s="8">
        <v>44550</v>
      </c>
      <c r="B551" s="9">
        <v>1</v>
      </c>
      <c r="C551" s="10">
        <v>3</v>
      </c>
      <c r="D551" s="11">
        <v>8190</v>
      </c>
      <c r="E551" s="12">
        <v>20220614833</v>
      </c>
      <c r="F551" s="13" t="s">
        <v>152</v>
      </c>
      <c r="G551" s="58">
        <v>1099.97</v>
      </c>
      <c r="H551" s="59">
        <v>230.99369999999999</v>
      </c>
      <c r="I551" s="59"/>
      <c r="J551" s="59"/>
      <c r="K551" s="60"/>
      <c r="L551" s="15"/>
      <c r="M551" s="15"/>
      <c r="N551" s="15"/>
      <c r="O551" s="61"/>
      <c r="P551" s="57">
        <f t="shared" si="22"/>
        <v>1330.9637</v>
      </c>
    </row>
    <row r="552" spans="1:16" x14ac:dyDescent="0.25">
      <c r="A552" s="8">
        <v>44553</v>
      </c>
      <c r="B552" s="9">
        <v>1</v>
      </c>
      <c r="C552" s="10">
        <v>1001</v>
      </c>
      <c r="D552" s="11">
        <v>1966</v>
      </c>
      <c r="E552" s="12">
        <v>30715906542</v>
      </c>
      <c r="F552" s="13" t="s">
        <v>153</v>
      </c>
      <c r="G552" s="58">
        <v>32348</v>
      </c>
      <c r="H552" s="59">
        <v>6793.08</v>
      </c>
      <c r="I552" s="59"/>
      <c r="J552" s="59"/>
      <c r="K552" s="60"/>
      <c r="L552" s="15"/>
      <c r="M552" s="15"/>
      <c r="N552" s="15"/>
      <c r="O552" s="61"/>
      <c r="P552" s="57">
        <f t="shared" si="22"/>
        <v>39141.08</v>
      </c>
    </row>
    <row r="553" spans="1:16" x14ac:dyDescent="0.25">
      <c r="A553" s="8">
        <v>44561</v>
      </c>
      <c r="B553" s="9">
        <v>1</v>
      </c>
      <c r="C553" s="10">
        <v>1</v>
      </c>
      <c r="D553" s="11">
        <v>416</v>
      </c>
      <c r="E553" s="12">
        <v>30715048066</v>
      </c>
      <c r="F553" s="13" t="s">
        <v>64</v>
      </c>
      <c r="G553" s="58">
        <v>166501.20000000001</v>
      </c>
      <c r="H553" s="59">
        <v>34965.252</v>
      </c>
      <c r="I553" s="59"/>
      <c r="J553" s="59"/>
      <c r="K553" s="60"/>
      <c r="L553" s="15"/>
      <c r="M553" s="15"/>
      <c r="N553" s="15"/>
      <c r="O553" s="61"/>
      <c r="P553" s="57">
        <f t="shared" si="22"/>
        <v>201466.45200000002</v>
      </c>
    </row>
    <row r="554" spans="1:16" x14ac:dyDescent="0.25">
      <c r="A554" s="8">
        <v>44561</v>
      </c>
      <c r="B554" s="9">
        <v>1</v>
      </c>
      <c r="C554" s="10">
        <v>122</v>
      </c>
      <c r="D554" s="11">
        <v>226835</v>
      </c>
      <c r="E554" s="12">
        <v>30594494187</v>
      </c>
      <c r="F554" s="13" t="s">
        <v>53</v>
      </c>
      <c r="G554" s="58">
        <v>6163.2</v>
      </c>
      <c r="H554" s="59">
        <v>1294.2719999999999</v>
      </c>
      <c r="I554" s="59"/>
      <c r="J554" s="59"/>
      <c r="K554" s="60"/>
      <c r="L554" s="15">
        <v>23613.27</v>
      </c>
      <c r="M554" s="15"/>
      <c r="N554" s="15"/>
      <c r="O554" s="61"/>
      <c r="P554" s="57">
        <f t="shared" si="22"/>
        <v>31070.741999999998</v>
      </c>
    </row>
    <row r="555" spans="1:16" x14ac:dyDescent="0.25">
      <c r="A555" s="8">
        <v>44540</v>
      </c>
      <c r="B555" s="9">
        <v>99</v>
      </c>
      <c r="C555" s="10">
        <v>1</v>
      </c>
      <c r="D555" s="11">
        <v>547976</v>
      </c>
      <c r="E555" s="12" t="s">
        <v>120</v>
      </c>
      <c r="F555" s="13" t="s">
        <v>22</v>
      </c>
      <c r="G555" s="58">
        <v>2538.75</v>
      </c>
      <c r="H555" s="59">
        <v>533.13750000000005</v>
      </c>
      <c r="I555" s="59"/>
      <c r="J555" s="59"/>
      <c r="K555" s="63"/>
      <c r="L555" s="15"/>
      <c r="M555" s="60">
        <v>76.16</v>
      </c>
      <c r="N555" s="63"/>
      <c r="O555" s="61"/>
      <c r="P555" s="57">
        <f t="shared" si="22"/>
        <v>3148.0474999999997</v>
      </c>
    </row>
    <row r="556" spans="1:16" x14ac:dyDescent="0.25">
      <c r="A556" s="37">
        <v>44531</v>
      </c>
      <c r="B556" s="9">
        <v>99</v>
      </c>
      <c r="C556" s="39">
        <v>818</v>
      </c>
      <c r="D556" s="40">
        <v>680053</v>
      </c>
      <c r="E556" s="41" t="s">
        <v>120</v>
      </c>
      <c r="F556" s="42" t="s">
        <v>22</v>
      </c>
      <c r="G556" s="58">
        <v>11615</v>
      </c>
      <c r="H556" s="59">
        <v>2439.15</v>
      </c>
      <c r="I556" s="59"/>
      <c r="J556" s="59"/>
      <c r="K556" s="63"/>
      <c r="L556" s="31"/>
      <c r="M556" s="59">
        <v>348.45</v>
      </c>
      <c r="N556" s="63"/>
      <c r="O556" s="44"/>
      <c r="P556" s="57">
        <f t="shared" si="22"/>
        <v>14402.6</v>
      </c>
    </row>
    <row r="557" spans="1:16" x14ac:dyDescent="0.25">
      <c r="A557" s="37">
        <v>44532</v>
      </c>
      <c r="B557" s="9">
        <v>99</v>
      </c>
      <c r="C557" s="10"/>
      <c r="D557" s="11"/>
      <c r="E557" s="12">
        <v>30583887039</v>
      </c>
      <c r="F557" s="13" t="s">
        <v>121</v>
      </c>
      <c r="G557" s="58">
        <v>1701.047619047619</v>
      </c>
      <c r="H557" s="59">
        <v>357.22</v>
      </c>
      <c r="I557" s="59"/>
      <c r="J557" s="59"/>
      <c r="K557" s="63"/>
      <c r="L557" s="15"/>
      <c r="M557" s="60"/>
      <c r="N557" s="63"/>
      <c r="O557" s="61"/>
      <c r="P557" s="57">
        <f t="shared" si="22"/>
        <v>2058.2676190476191</v>
      </c>
    </row>
    <row r="558" spans="1:16" x14ac:dyDescent="0.25">
      <c r="A558" s="37">
        <v>44533</v>
      </c>
      <c r="B558" s="9">
        <v>99</v>
      </c>
      <c r="C558" s="10"/>
      <c r="D558" s="11"/>
      <c r="E558" s="12">
        <v>30583887039</v>
      </c>
      <c r="F558" s="13" t="s">
        <v>121</v>
      </c>
      <c r="G558" s="58">
        <v>76.19</v>
      </c>
      <c r="H558" s="59">
        <v>16</v>
      </c>
      <c r="I558" s="59"/>
      <c r="J558" s="59"/>
      <c r="K558" s="60"/>
      <c r="L558" s="15"/>
      <c r="M558" s="15"/>
      <c r="N558" s="15"/>
      <c r="O558" s="16"/>
      <c r="P558" s="57">
        <f>SUM(G558:O558)</f>
        <v>92.19</v>
      </c>
    </row>
    <row r="559" spans="1:16" ht="16.5" customHeight="1" thickBot="1" x14ac:dyDescent="0.3">
      <c r="A559" s="129" t="s">
        <v>51</v>
      </c>
      <c r="B559" s="130"/>
      <c r="C559" s="130"/>
      <c r="D559" s="130"/>
      <c r="E559" s="130"/>
      <c r="F559" s="130"/>
      <c r="G559" s="45">
        <f t="shared" ref="G559:P559" si="23">SUM(G527:G558)</f>
        <v>2513834.4096190482</v>
      </c>
      <c r="H559" s="45">
        <f t="shared" si="23"/>
        <v>1127877.2846000001</v>
      </c>
      <c r="I559" s="45">
        <f t="shared" si="23"/>
        <v>411.75</v>
      </c>
      <c r="J559" s="45">
        <f t="shared" si="23"/>
        <v>13216.647085000001</v>
      </c>
      <c r="K559" s="45">
        <f t="shared" si="23"/>
        <v>469072.56999999995</v>
      </c>
      <c r="L559" s="45">
        <f t="shared" si="23"/>
        <v>582684.94000000006</v>
      </c>
      <c r="M559" s="45">
        <f t="shared" si="23"/>
        <v>597306.14</v>
      </c>
      <c r="N559" s="45">
        <f t="shared" si="23"/>
        <v>3921.21</v>
      </c>
      <c r="O559" s="45">
        <f t="shared" si="23"/>
        <v>-136587.48719999997</v>
      </c>
      <c r="P559" s="45">
        <f t="shared" si="23"/>
        <v>5171737.4641040461</v>
      </c>
    </row>
    <row r="560" spans="1:16" ht="12.75" customHeight="1" thickBot="1" x14ac:dyDescent="0.3">
      <c r="G560" s="28"/>
      <c r="H560" s="126">
        <f>SUM(H559:J559)</f>
        <v>1141505.6816850002</v>
      </c>
      <c r="I560" s="127"/>
      <c r="J560" s="128"/>
      <c r="K560" s="28"/>
      <c r="L560" s="28"/>
      <c r="M560" s="28"/>
      <c r="N560" s="28"/>
      <c r="O560" s="28"/>
      <c r="P560" s="28"/>
    </row>
    <row r="561" ht="15.75" thickTop="1" x14ac:dyDescent="0.25"/>
  </sheetData>
  <mergeCells count="24">
    <mergeCell ref="H243:J243"/>
    <mergeCell ref="A51:F51"/>
    <mergeCell ref="H52:J52"/>
    <mergeCell ref="A106:F106"/>
    <mergeCell ref="H107:J107"/>
    <mergeCell ref="A142:F142"/>
    <mergeCell ref="H143:J143"/>
    <mergeCell ref="A177:F177"/>
    <mergeCell ref="H178:J178"/>
    <mergeCell ref="A208:F208"/>
    <mergeCell ref="H209:J209"/>
    <mergeCell ref="A242:F242"/>
    <mergeCell ref="H560:J560"/>
    <mergeCell ref="A289:F289"/>
    <mergeCell ref="H290:J290"/>
    <mergeCell ref="A345:F345"/>
    <mergeCell ref="H346:J346"/>
    <mergeCell ref="A401:F401"/>
    <mergeCell ref="H402:J402"/>
    <mergeCell ref="A482:F482"/>
    <mergeCell ref="H483:J483"/>
    <mergeCell ref="A521:F521"/>
    <mergeCell ref="H522:J522"/>
    <mergeCell ref="A559:F559"/>
  </mergeCells>
  <dataValidations count="10">
    <dataValidation operator="lessThan" allowBlank="1" showInputMessage="1" showErrorMessage="1" sqref="A172:A176" xr:uid="{37BE5EB5-C199-4DAE-A8AA-FC3FC4263F73}"/>
    <dataValidation allowBlank="1" showInputMessage="1" showErrorMessage="1" prompt="1-FA_x000a_2-ND_x000a_3-NC" sqref="B252" xr:uid="{AB17D85D-5BDA-4993-B263-AFD268045771}"/>
    <dataValidation type="date" operator="lessThan" allowBlank="1" showInputMessage="1" showErrorMessage="1" sqref="A4:A50 A351:A400 A440:A481 A112:A141 A148:A171 A183:A207 A214:A241 A248:A288 A57:A105 A488:A520 A295:A344 A527:A558" xr:uid="{74A4F9D9-68FC-4A6F-8848-79764336CA24}">
      <formula1>#REF!+1</formula1>
    </dataValidation>
    <dataValidation type="whole" operator="lessThanOrEqual" allowBlank="1" showInputMessage="1" showErrorMessage="1" sqref="C4:C50 C112:C141 C183:C207 C214:C241 C148:C176 C248:C288 C336:C344 C440:C481 C527:C558 C57:C105 C488:C520 C295:C334 C351:C400" xr:uid="{D20804FC-EB16-4995-977E-A6D46B521389}">
      <formula1>9999</formula1>
    </dataValidation>
    <dataValidation type="whole" operator="lessThanOrEqual" allowBlank="1" showInputMessage="1" showErrorMessage="1" sqref="D4:D50 D148:D176 D183:D207 D214:D241 D248:D288 D112:D141 D351:D400 D440:D481 D527:D558 D57:D105 D488:D520 D295:D344" xr:uid="{C9D178B2-67F8-438E-83A3-BAD1D02F29D0}">
      <formula1>99999999</formula1>
    </dataValidation>
    <dataValidation type="custom" allowBlank="1" showInputMessage="1" showErrorMessage="1" prompt="1-FA_x000a_2-ND_x000a_3-NC" sqref="B4:B50 B112:B141 B148:B176 B183:B207 B248:B251 B214:B241 B253:B288 B295:B344 B351:B400 B488:B520 B57:B105 B440:B481 B527:B558" xr:uid="{5FBA5140-BBAC-4B49-8E5D-4DDD87B65F8E}">
      <formula1>OR(B4=1,B4=3,B4=99,B4=2,B4=52,B4=51,B4=53)</formula1>
    </dataValidation>
    <dataValidation type="whole" allowBlank="1" showInputMessage="1" showErrorMessage="1" sqref="E4:E50 E112:E141 E183:E207 E214:E241 E148:E176 E248:E288 E295:E344 E351:E400 E527:E558 E57:E105 E488:E520 E440:E481" xr:uid="{A4EF5C76-C71C-4CC8-95D5-649B17E89815}">
      <formula1>10000000000</formula1>
      <formula2>99999999999</formula2>
    </dataValidation>
    <dataValidation type="custom" allowBlank="1" showInputMessage="1" showErrorMessage="1" sqref="A3 A56 A111 A147 A182 A213 A247 A294 A350 A439 A487 A526" xr:uid="{99160F72-68CB-4129-BB57-4A35128B0881}">
      <formula1>"Fecha"</formula1>
    </dataValidation>
    <dataValidation type="custom" allowBlank="1" showInputMessage="1" showErrorMessage="1" sqref="O400 G527:G558 H558:O558 L555:M557 H555:J557 H527:N554 G488:N520 O519:O520 O480:O481 H440:N481 G351:N400 G295:O344 G112:O141 G57:O105 G4:O50 G148:O176 G248:O288 G214:O241 G183:O207 O528:O535 O556 O489:O496 O499:O517 O460:O472 G440:G480 O441:O448 O458 O352:O359" xr:uid="{53B8E9AC-1C85-423C-8CC3-40EF163EBA3A}">
      <formula1>IF($A4=3,G4&lt;0,G4&gt;=0)</formula1>
    </dataValidation>
    <dataValidation type="custom" allowBlank="1" showInputMessage="1" showErrorMessage="1" sqref="P440:P481 P488:P520 P112:P141 P148:P176 P214:P241 P183:P207 P248:P288 P351:P400 P4:P50 P57:P105 P295:P344 P527:P558" xr:uid="{1EE7D9C9-CD19-4EEE-AFE3-AC4D82226BA5}">
      <formula1>IF(L4=3,P4&lt;0,P4&gt;=0)</formula1>
    </dataValidation>
  </dataValidations>
  <pageMargins left="0" right="0" top="0" bottom="0" header="0.31496062992125984" footer="0.31496062992125984"/>
  <pageSetup paperSize="5" scale="47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66E8-4DE4-47E8-92DB-8035279D5CD4}">
  <sheetPr>
    <pageSetUpPr fitToPage="1"/>
  </sheetPr>
  <dimension ref="A2:L216"/>
  <sheetViews>
    <sheetView topLeftCell="A145" workbookViewId="0">
      <selection activeCell="N188" sqref="N188"/>
    </sheetView>
  </sheetViews>
  <sheetFormatPr baseColWidth="10" defaultRowHeight="15" x14ac:dyDescent="0.25"/>
  <cols>
    <col min="8" max="8" width="14.140625" bestFit="1" customWidth="1"/>
    <col min="10" max="10" width="13" bestFit="1" customWidth="1"/>
    <col min="12" max="12" width="14.140625" bestFit="1" customWidth="1"/>
  </cols>
  <sheetData>
    <row r="2" spans="1:12" ht="19.5" x14ac:dyDescent="0.25">
      <c r="A2" s="64" t="s">
        <v>154</v>
      </c>
      <c r="B2" s="65"/>
      <c r="C2" s="65"/>
      <c r="D2" s="65"/>
      <c r="E2" s="65"/>
      <c r="F2" s="65"/>
      <c r="G2" s="65"/>
      <c r="H2" s="65"/>
      <c r="I2" s="65"/>
      <c r="J2" s="66">
        <v>44197</v>
      </c>
      <c r="K2" s="67"/>
      <c r="L2" s="67"/>
    </row>
    <row r="3" spans="1:12" x14ac:dyDescent="0.25">
      <c r="A3" s="68"/>
    </row>
    <row r="4" spans="1:12" x14ac:dyDescent="0.25">
      <c r="A4" s="69" t="s">
        <v>1</v>
      </c>
      <c r="B4" s="70" t="s">
        <v>2</v>
      </c>
      <c r="C4" s="70" t="s">
        <v>3</v>
      </c>
      <c r="D4" s="70" t="s">
        <v>155</v>
      </c>
      <c r="E4" s="70" t="s">
        <v>156</v>
      </c>
      <c r="F4" s="70" t="s">
        <v>5</v>
      </c>
      <c r="G4" s="70" t="s">
        <v>6</v>
      </c>
      <c r="H4" s="70" t="s">
        <v>157</v>
      </c>
      <c r="I4" s="70" t="s">
        <v>158</v>
      </c>
      <c r="J4" s="70" t="s">
        <v>10</v>
      </c>
      <c r="K4" s="70" t="s">
        <v>12</v>
      </c>
      <c r="L4" s="70" t="s">
        <v>16</v>
      </c>
    </row>
    <row r="5" spans="1:12" x14ac:dyDescent="0.25">
      <c r="A5" s="71">
        <v>44207</v>
      </c>
      <c r="B5" s="72">
        <v>1</v>
      </c>
      <c r="C5" s="73">
        <v>10</v>
      </c>
      <c r="D5" s="74">
        <v>489</v>
      </c>
      <c r="E5" s="75">
        <v>80</v>
      </c>
      <c r="F5" s="76">
        <v>30638318470</v>
      </c>
      <c r="G5" s="77" t="s">
        <v>159</v>
      </c>
      <c r="H5" s="78">
        <v>3277120</v>
      </c>
      <c r="I5" s="79"/>
      <c r="J5" s="80">
        <v>344097.6</v>
      </c>
      <c r="K5" s="80"/>
      <c r="L5" s="81">
        <f>SUM([1]VENTAS!$H5:$K6)</f>
        <v>149482.73449999996</v>
      </c>
    </row>
    <row r="6" spans="1:12" x14ac:dyDescent="0.25">
      <c r="A6" s="71">
        <v>44210</v>
      </c>
      <c r="B6" s="72">
        <v>1</v>
      </c>
      <c r="C6" s="73">
        <v>10</v>
      </c>
      <c r="D6" s="74">
        <v>490</v>
      </c>
      <c r="E6" s="75">
        <v>80</v>
      </c>
      <c r="F6" s="76">
        <v>20320421218</v>
      </c>
      <c r="G6" s="77" t="s">
        <v>160</v>
      </c>
      <c r="H6" s="78">
        <v>57746.25</v>
      </c>
      <c r="I6" s="79">
        <v>12126.7125</v>
      </c>
      <c r="J6" s="80"/>
      <c r="K6" s="80"/>
      <c r="L6" s="81">
        <f>SUM([1]VENTAS!$H6:$K7)</f>
        <v>1305939.0960000004</v>
      </c>
    </row>
    <row r="7" spans="1:12" x14ac:dyDescent="0.25">
      <c r="A7" s="71">
        <v>44221</v>
      </c>
      <c r="B7" s="72">
        <v>1</v>
      </c>
      <c r="C7" s="73">
        <v>10</v>
      </c>
      <c r="D7" s="74">
        <v>491</v>
      </c>
      <c r="E7" s="75">
        <v>80</v>
      </c>
      <c r="F7" s="76">
        <v>30708844248</v>
      </c>
      <c r="G7" s="77" t="s">
        <v>161</v>
      </c>
      <c r="H7" s="78">
        <v>65793.2</v>
      </c>
      <c r="I7" s="79">
        <v>13816.571999999998</v>
      </c>
      <c r="J7" s="80"/>
      <c r="K7" s="80"/>
      <c r="L7" s="81">
        <f>SUM([1]VENTAS!$H7:$K8)</f>
        <v>3449855.6290000002</v>
      </c>
    </row>
    <row r="8" spans="1:12" x14ac:dyDescent="0.25">
      <c r="A8" s="71">
        <v>44222</v>
      </c>
      <c r="B8" s="72">
        <v>1</v>
      </c>
      <c r="C8" s="73">
        <v>10</v>
      </c>
      <c r="D8" s="74">
        <v>492</v>
      </c>
      <c r="E8" s="75">
        <v>80</v>
      </c>
      <c r="F8" s="76">
        <v>30628274327</v>
      </c>
      <c r="G8" s="77" t="s">
        <v>162</v>
      </c>
      <c r="H8" s="78">
        <v>1109799.9000000001</v>
      </c>
      <c r="I8" s="79"/>
      <c r="J8" s="80">
        <v>116529.42400000001</v>
      </c>
      <c r="K8" s="80"/>
      <c r="L8" s="81">
        <f>SUM([1]VENTAS!$H8:$K9)</f>
        <v>9444082.2685000002</v>
      </c>
    </row>
    <row r="9" spans="1:12" x14ac:dyDescent="0.25">
      <c r="A9" s="82">
        <v>44224</v>
      </c>
      <c r="B9" s="83">
        <v>1</v>
      </c>
      <c r="C9" s="84">
        <v>10</v>
      </c>
      <c r="D9" s="85">
        <v>493</v>
      </c>
      <c r="E9" s="86">
        <v>80</v>
      </c>
      <c r="F9" s="87">
        <v>30638318470</v>
      </c>
      <c r="G9" s="88" t="s">
        <v>159</v>
      </c>
      <c r="H9" s="89">
        <v>2012241</v>
      </c>
      <c r="I9" s="90"/>
      <c r="J9" s="90">
        <v>211285.30499999999</v>
      </c>
      <c r="K9" s="90"/>
      <c r="L9" s="91">
        <f>SUM([1]VENTAS!$H9:$K9)</f>
        <v>7220555.9635000005</v>
      </c>
    </row>
    <row r="10" spans="1:12" ht="15.75" x14ac:dyDescent="0.25">
      <c r="A10" s="92"/>
      <c r="B10" s="93"/>
      <c r="C10" s="93"/>
      <c r="D10" s="94" t="s">
        <v>163</v>
      </c>
      <c r="E10" s="94"/>
      <c r="F10" s="95"/>
      <c r="G10" s="93"/>
      <c r="H10" s="96">
        <f>SUBTOTAL(109,H5:H9)</f>
        <v>6522700.3500000006</v>
      </c>
      <c r="I10" s="96">
        <f>SUBTOTAL(109,I5:I9)</f>
        <v>25943.284499999998</v>
      </c>
      <c r="J10" s="96">
        <f>SUBTOTAL(109,J5:J9)</f>
        <v>671912.32899999991</v>
      </c>
      <c r="K10" s="96">
        <f>SUBTOTAL(109,K5:K9)</f>
        <v>0</v>
      </c>
      <c r="L10" s="96">
        <f>SUBTOTAL(109,L5:L9)</f>
        <v>21569915.691500001</v>
      </c>
    </row>
    <row r="11" spans="1:12" ht="15.75" thickBot="1" x14ac:dyDescent="0.3">
      <c r="A11" s="68"/>
      <c r="I11" s="134">
        <f>SUM(I10:J10)</f>
        <v>697855.61349999986</v>
      </c>
      <c r="J11" s="135"/>
    </row>
    <row r="12" spans="1:12" ht="15.75" thickTop="1" x14ac:dyDescent="0.25">
      <c r="A12" s="68"/>
    </row>
    <row r="13" spans="1:12" ht="19.5" x14ac:dyDescent="0.25">
      <c r="A13" s="64" t="s">
        <v>154</v>
      </c>
      <c r="B13" s="65"/>
      <c r="C13" s="65"/>
      <c r="D13" s="65"/>
      <c r="E13" s="65"/>
      <c r="F13" s="65"/>
      <c r="G13" s="65"/>
      <c r="H13" s="65"/>
      <c r="I13" s="65"/>
      <c r="J13" s="66">
        <v>44228</v>
      </c>
      <c r="K13" s="67"/>
      <c r="L13" s="67"/>
    </row>
    <row r="14" spans="1:12" x14ac:dyDescent="0.25">
      <c r="A14" s="68"/>
    </row>
    <row r="15" spans="1:12" x14ac:dyDescent="0.25">
      <c r="A15" s="69" t="s">
        <v>1</v>
      </c>
      <c r="B15" s="70" t="s">
        <v>2</v>
      </c>
      <c r="C15" s="70" t="s">
        <v>3</v>
      </c>
      <c r="D15" s="70" t="s">
        <v>155</v>
      </c>
      <c r="E15" s="70" t="s">
        <v>156</v>
      </c>
      <c r="F15" s="70" t="s">
        <v>5</v>
      </c>
      <c r="G15" s="70" t="s">
        <v>6</v>
      </c>
      <c r="H15" s="70" t="s">
        <v>157</v>
      </c>
      <c r="I15" s="70" t="s">
        <v>158</v>
      </c>
      <c r="J15" s="70" t="s">
        <v>10</v>
      </c>
      <c r="K15" s="70" t="s">
        <v>12</v>
      </c>
      <c r="L15" s="70" t="s">
        <v>16</v>
      </c>
    </row>
    <row r="16" spans="1:12" x14ac:dyDescent="0.25">
      <c r="A16" s="82">
        <v>44253</v>
      </c>
      <c r="B16" s="83">
        <v>3</v>
      </c>
      <c r="C16" s="84">
        <v>10</v>
      </c>
      <c r="D16" s="85">
        <v>21</v>
      </c>
      <c r="E16" s="86">
        <v>80</v>
      </c>
      <c r="F16" s="87">
        <v>30628274327</v>
      </c>
      <c r="G16" s="77" t="s">
        <v>162</v>
      </c>
      <c r="H16" s="89">
        <v>-1109800</v>
      </c>
      <c r="I16" s="90"/>
      <c r="J16" s="90">
        <v>-116529</v>
      </c>
      <c r="K16" s="90"/>
      <c r="L16" s="91">
        <f>SUM([1]VENTAS!$H16:$K16)</f>
        <v>5341295.96</v>
      </c>
    </row>
    <row r="17" spans="1:12" x14ac:dyDescent="0.25">
      <c r="A17" s="82">
        <v>44252</v>
      </c>
      <c r="B17" s="83">
        <v>1</v>
      </c>
      <c r="C17" s="84">
        <v>10</v>
      </c>
      <c r="D17" s="85">
        <v>496</v>
      </c>
      <c r="E17" s="86">
        <v>80</v>
      </c>
      <c r="F17" s="87">
        <v>30638318470</v>
      </c>
      <c r="G17" s="77" t="s">
        <v>159</v>
      </c>
      <c r="H17" s="89">
        <v>4833752</v>
      </c>
      <c r="I17" s="90"/>
      <c r="J17" s="90">
        <v>507543.96</v>
      </c>
      <c r="K17" s="90"/>
      <c r="L17" s="91">
        <f>SUM([1]VENTAS!$H17:$K17)</f>
        <v>107643.68119999999</v>
      </c>
    </row>
    <row r="18" spans="1:12" x14ac:dyDescent="0.25">
      <c r="A18" s="71">
        <v>44249</v>
      </c>
      <c r="B18" s="72">
        <v>1</v>
      </c>
      <c r="C18" s="73">
        <v>10</v>
      </c>
      <c r="D18" s="74">
        <v>495</v>
      </c>
      <c r="E18" s="75">
        <v>80</v>
      </c>
      <c r="F18" s="76">
        <v>30708607009</v>
      </c>
      <c r="G18" s="77" t="s">
        <v>164</v>
      </c>
      <c r="H18" s="78">
        <v>88961.72</v>
      </c>
      <c r="I18" s="79">
        <v>18681.961199999998</v>
      </c>
      <c r="J18" s="80"/>
      <c r="K18" s="80"/>
      <c r="L18" s="81">
        <f>SUM([1]VENTAS!$H18:$K18)</f>
        <v>961775.22700000007</v>
      </c>
    </row>
    <row r="19" spans="1:12" x14ac:dyDescent="0.25">
      <c r="A19" s="71">
        <v>44239</v>
      </c>
      <c r="B19" s="72">
        <v>1</v>
      </c>
      <c r="C19" s="73">
        <v>10</v>
      </c>
      <c r="D19" s="74">
        <v>494</v>
      </c>
      <c r="E19" s="75">
        <v>80</v>
      </c>
      <c r="F19" s="76">
        <v>30638318470</v>
      </c>
      <c r="G19" s="77" t="s">
        <v>159</v>
      </c>
      <c r="H19" s="78">
        <v>794855.92500000005</v>
      </c>
      <c r="I19" s="79">
        <v>166919.30200000003</v>
      </c>
      <c r="J19" s="80"/>
      <c r="K19" s="80"/>
      <c r="L19" s="81">
        <f>SUM([1]VENTAS!$H19:$K19)</f>
        <v>5184385.8682000004</v>
      </c>
    </row>
    <row r="20" spans="1:12" ht="15.75" x14ac:dyDescent="0.25">
      <c r="A20" s="92"/>
      <c r="B20" s="93"/>
      <c r="C20" s="93"/>
      <c r="D20" s="94" t="s">
        <v>163</v>
      </c>
      <c r="E20" s="94"/>
      <c r="F20" s="95"/>
      <c r="G20" s="93"/>
      <c r="H20" s="96">
        <f>SUBTOTAL(109,H16:H19)</f>
        <v>4607769.6450000005</v>
      </c>
      <c r="I20" s="96">
        <f>SUBTOTAL(109,I16:I19)</f>
        <v>185601.26320000002</v>
      </c>
      <c r="J20" s="96">
        <f>SUBTOTAL(109,J16:J19)</f>
        <v>391014.96</v>
      </c>
      <c r="K20" s="96">
        <f>SUBTOTAL(109,K16:K19)</f>
        <v>0</v>
      </c>
      <c r="L20" s="96">
        <f>SUBTOTAL(109,L16:L19)</f>
        <v>11595100.736400001</v>
      </c>
    </row>
    <row r="21" spans="1:12" ht="15.75" thickBot="1" x14ac:dyDescent="0.3">
      <c r="A21" s="68"/>
      <c r="I21" s="134">
        <f>SUM(I20:J20)</f>
        <v>576616.22320000001</v>
      </c>
      <c r="J21" s="135"/>
    </row>
    <row r="22" spans="1:12" ht="16.5" thickTop="1" thickBot="1" x14ac:dyDescent="0.3">
      <c r="A22" s="97" t="s">
        <v>165</v>
      </c>
      <c r="J22" s="98"/>
    </row>
    <row r="23" spans="1:12" x14ac:dyDescent="0.25">
      <c r="A23" s="99" t="s">
        <v>1</v>
      </c>
      <c r="B23" s="136" t="s">
        <v>166</v>
      </c>
      <c r="C23" s="136"/>
      <c r="D23" s="100" t="s">
        <v>167</v>
      </c>
      <c r="E23" s="100"/>
      <c r="F23" s="100" t="s">
        <v>168</v>
      </c>
      <c r="G23" s="100" t="s">
        <v>6</v>
      </c>
      <c r="H23" s="100" t="s">
        <v>169</v>
      </c>
      <c r="I23" s="101" t="s">
        <v>170</v>
      </c>
      <c r="J23" s="98"/>
    </row>
    <row r="24" spans="1:12" x14ac:dyDescent="0.25">
      <c r="A24" s="102">
        <v>44244</v>
      </c>
      <c r="B24" s="137" t="s">
        <v>171</v>
      </c>
      <c r="C24" s="137"/>
      <c r="D24" s="103">
        <v>30580111315</v>
      </c>
      <c r="E24" s="103" t="s">
        <v>30</v>
      </c>
      <c r="F24" s="104"/>
      <c r="G24" s="104" t="s">
        <v>30</v>
      </c>
      <c r="H24" s="105">
        <v>1930.55</v>
      </c>
      <c r="I24" s="106"/>
      <c r="J24" s="98"/>
    </row>
    <row r="25" spans="1:12" x14ac:dyDescent="0.25">
      <c r="A25" s="68"/>
    </row>
    <row r="26" spans="1:12" ht="19.5" x14ac:dyDescent="0.25">
      <c r="A26" s="64" t="s">
        <v>154</v>
      </c>
      <c r="B26" s="65"/>
      <c r="C26" s="65"/>
      <c r="D26" s="65"/>
      <c r="E26" s="65"/>
      <c r="F26" s="65"/>
      <c r="G26" s="65"/>
      <c r="H26" s="65"/>
      <c r="I26" s="65"/>
      <c r="J26" s="66">
        <v>44256</v>
      </c>
      <c r="K26" s="67"/>
      <c r="L26" s="67"/>
    </row>
    <row r="27" spans="1:12" x14ac:dyDescent="0.25">
      <c r="A27" s="68"/>
    </row>
    <row r="28" spans="1:12" x14ac:dyDescent="0.25">
      <c r="A28" s="69" t="s">
        <v>1</v>
      </c>
      <c r="B28" s="70" t="s">
        <v>2</v>
      </c>
      <c r="C28" s="70" t="s">
        <v>3</v>
      </c>
      <c r="D28" s="70" t="s">
        <v>155</v>
      </c>
      <c r="E28" s="70" t="s">
        <v>156</v>
      </c>
      <c r="F28" s="70" t="s">
        <v>5</v>
      </c>
      <c r="G28" s="70" t="s">
        <v>6</v>
      </c>
      <c r="H28" s="70" t="s">
        <v>157</v>
      </c>
      <c r="I28" s="70" t="s">
        <v>158</v>
      </c>
      <c r="J28" s="70" t="s">
        <v>10</v>
      </c>
      <c r="K28" s="70" t="s">
        <v>12</v>
      </c>
      <c r="L28" s="70" t="s">
        <v>16</v>
      </c>
    </row>
    <row r="29" spans="1:12" x14ac:dyDescent="0.25">
      <c r="A29" s="82">
        <v>44267</v>
      </c>
      <c r="B29" s="83">
        <v>1</v>
      </c>
      <c r="C29" s="84">
        <v>10</v>
      </c>
      <c r="D29" s="85">
        <v>497</v>
      </c>
      <c r="E29" s="86">
        <v>80</v>
      </c>
      <c r="F29" s="87">
        <v>30628274327</v>
      </c>
      <c r="G29" s="88" t="s">
        <v>162</v>
      </c>
      <c r="H29" s="89">
        <v>772900.92</v>
      </c>
      <c r="I29" s="90"/>
      <c r="J29" s="90">
        <v>81154.596600000004</v>
      </c>
      <c r="K29" s="90"/>
      <c r="L29" s="91">
        <f>SUM([1]VENTAS!$H29:$K29)</f>
        <v>3091988.9</v>
      </c>
    </row>
    <row r="30" spans="1:12" x14ac:dyDescent="0.25">
      <c r="A30" s="71">
        <v>44270</v>
      </c>
      <c r="B30" s="72">
        <v>1</v>
      </c>
      <c r="C30" s="73">
        <v>10</v>
      </c>
      <c r="D30" s="74">
        <v>498</v>
      </c>
      <c r="E30" s="75">
        <v>80</v>
      </c>
      <c r="F30" s="76">
        <v>30638318470</v>
      </c>
      <c r="G30" s="88" t="s">
        <v>159</v>
      </c>
      <c r="H30" s="78">
        <v>2798180</v>
      </c>
      <c r="I30" s="79"/>
      <c r="J30" s="80">
        <v>293808.90000000002</v>
      </c>
      <c r="K30" s="80"/>
      <c r="L30" s="81">
        <f>SUM([1]VENTAS!$H30:$K30)</f>
        <v>637585.30000000005</v>
      </c>
    </row>
    <row r="31" spans="1:12" x14ac:dyDescent="0.25">
      <c r="A31" s="71">
        <v>44270</v>
      </c>
      <c r="B31" s="72">
        <v>1</v>
      </c>
      <c r="C31" s="73">
        <v>10</v>
      </c>
      <c r="D31" s="74">
        <v>499</v>
      </c>
      <c r="E31" s="75">
        <v>80</v>
      </c>
      <c r="F31" s="76">
        <v>30638318470</v>
      </c>
      <c r="G31" s="77" t="s">
        <v>159</v>
      </c>
      <c r="H31" s="78">
        <v>526930</v>
      </c>
      <c r="I31" s="79">
        <v>110655.3</v>
      </c>
      <c r="J31" s="80"/>
      <c r="K31" s="80"/>
      <c r="L31" s="81">
        <f>SUM([1]VENTAS!$H31:$K31)</f>
        <v>115780.66500000001</v>
      </c>
    </row>
    <row r="32" spans="1:12" x14ac:dyDescent="0.25">
      <c r="A32" s="71">
        <v>44272</v>
      </c>
      <c r="B32" s="72">
        <v>1</v>
      </c>
      <c r="C32" s="73">
        <v>10</v>
      </c>
      <c r="D32" s="74">
        <v>500</v>
      </c>
      <c r="E32" s="75">
        <v>80</v>
      </c>
      <c r="F32" s="76">
        <v>23170253329</v>
      </c>
      <c r="G32" s="77" t="s">
        <v>172</v>
      </c>
      <c r="H32" s="78">
        <v>95686.5</v>
      </c>
      <c r="I32" s="79">
        <v>20094.165000000001</v>
      </c>
      <c r="J32" s="80"/>
      <c r="K32" s="80"/>
      <c r="L32" s="81">
        <f>SUM([1]VENTAS!$H32:$K32)</f>
        <v>4699410.3816</v>
      </c>
    </row>
    <row r="33" spans="1:12" ht="15.75" x14ac:dyDescent="0.25">
      <c r="A33" s="92"/>
      <c r="B33" s="93"/>
      <c r="C33" s="93"/>
      <c r="D33" s="94" t="s">
        <v>163</v>
      </c>
      <c r="E33" s="94"/>
      <c r="F33" s="95"/>
      <c r="G33" s="93"/>
      <c r="H33" s="96">
        <f>SUBTOTAL(109,H29:H32)</f>
        <v>4193697.42</v>
      </c>
      <c r="I33" s="96">
        <f>SUBTOTAL(109,I29:I32)</f>
        <v>130749.465</v>
      </c>
      <c r="J33" s="96">
        <f>SUBTOTAL(109,J29:J32)</f>
        <v>374963.49660000001</v>
      </c>
      <c r="K33" s="96"/>
      <c r="L33" s="96">
        <f>SUBTOTAL(109,L29:L32)</f>
        <v>8544765.2466000002</v>
      </c>
    </row>
    <row r="34" spans="1:12" ht="15.75" thickBot="1" x14ac:dyDescent="0.3">
      <c r="A34" s="68"/>
      <c r="I34" s="134">
        <f>SUM(I33:J33)</f>
        <v>505712.96160000004</v>
      </c>
      <c r="J34" s="135"/>
    </row>
    <row r="35" spans="1:12" ht="15.75" thickTop="1" x14ac:dyDescent="0.25">
      <c r="A35" s="68"/>
    </row>
    <row r="36" spans="1:12" ht="19.5" x14ac:dyDescent="0.25">
      <c r="A36" s="64" t="s">
        <v>154</v>
      </c>
      <c r="B36" s="65"/>
      <c r="C36" s="65"/>
      <c r="D36" s="65"/>
      <c r="E36" s="65"/>
      <c r="F36" s="65"/>
      <c r="G36" s="65"/>
      <c r="H36" s="65"/>
      <c r="I36" s="65"/>
      <c r="J36" s="66">
        <v>44287</v>
      </c>
      <c r="K36" s="67"/>
      <c r="L36" s="107"/>
    </row>
    <row r="37" spans="1:12" x14ac:dyDescent="0.25">
      <c r="A37" s="69" t="s">
        <v>1</v>
      </c>
      <c r="B37" s="70" t="s">
        <v>2</v>
      </c>
      <c r="C37" s="70" t="s">
        <v>3</v>
      </c>
      <c r="D37" s="70" t="s">
        <v>155</v>
      </c>
      <c r="E37" s="70" t="s">
        <v>156</v>
      </c>
      <c r="F37" s="70" t="s">
        <v>5</v>
      </c>
      <c r="G37" s="70" t="s">
        <v>6</v>
      </c>
      <c r="H37" s="70" t="s">
        <v>157</v>
      </c>
      <c r="I37" s="70" t="s">
        <v>158</v>
      </c>
      <c r="J37" s="70" t="s">
        <v>10</v>
      </c>
      <c r="K37" s="70" t="s">
        <v>12</v>
      </c>
      <c r="L37" s="70" t="s">
        <v>16</v>
      </c>
    </row>
    <row r="38" spans="1:12" x14ac:dyDescent="0.25">
      <c r="A38" s="82">
        <v>44287</v>
      </c>
      <c r="B38" s="83">
        <v>1</v>
      </c>
      <c r="C38" s="84">
        <v>10</v>
      </c>
      <c r="D38" s="85">
        <v>501</v>
      </c>
      <c r="E38" s="86">
        <v>80</v>
      </c>
      <c r="F38" s="87">
        <v>30638318470</v>
      </c>
      <c r="G38" s="88" t="s">
        <v>159</v>
      </c>
      <c r="H38" s="89">
        <v>1416800</v>
      </c>
      <c r="I38" s="90"/>
      <c r="J38" s="90">
        <v>148764</v>
      </c>
      <c r="K38" s="90"/>
      <c r="L38" s="91">
        <f>SUM([1]VENTAS!$H39:$K39)</f>
        <v>5479474</v>
      </c>
    </row>
    <row r="39" spans="1:12" x14ac:dyDescent="0.25">
      <c r="A39" s="71">
        <v>44287</v>
      </c>
      <c r="B39" s="72">
        <v>1</v>
      </c>
      <c r="C39" s="73">
        <v>10</v>
      </c>
      <c r="D39" s="74">
        <v>502</v>
      </c>
      <c r="E39" s="75">
        <v>80</v>
      </c>
      <c r="F39" s="76">
        <v>30638318470</v>
      </c>
      <c r="G39" s="77" t="s">
        <v>159</v>
      </c>
      <c r="H39" s="78">
        <v>4958800</v>
      </c>
      <c r="I39" s="79"/>
      <c r="J39" s="80">
        <v>520674</v>
      </c>
      <c r="K39" s="80"/>
      <c r="L39" s="91">
        <f>SUM([1]VENTAS!$H40:$K40)</f>
        <v>99717.87999999999</v>
      </c>
    </row>
    <row r="40" spans="1:12" x14ac:dyDescent="0.25">
      <c r="A40" s="71">
        <v>44287</v>
      </c>
      <c r="B40" s="72">
        <v>1</v>
      </c>
      <c r="C40" s="73">
        <v>10</v>
      </c>
      <c r="D40" s="74">
        <v>503</v>
      </c>
      <c r="E40" s="75">
        <v>80</v>
      </c>
      <c r="F40" s="76">
        <v>30638318470</v>
      </c>
      <c r="G40" s="77" t="s">
        <v>159</v>
      </c>
      <c r="H40" s="78">
        <v>82412.679999999993</v>
      </c>
      <c r="I40" s="79">
        <v>17305.2</v>
      </c>
      <c r="J40" s="80"/>
      <c r="K40" s="80"/>
      <c r="L40" s="91">
        <f>SUM([1]VENTAS!$H41:$K41)</f>
        <v>82955.48000000001</v>
      </c>
    </row>
    <row r="41" spans="1:12" x14ac:dyDescent="0.25">
      <c r="A41" s="71">
        <v>44287</v>
      </c>
      <c r="B41" s="72">
        <v>1</v>
      </c>
      <c r="C41" s="73">
        <v>10</v>
      </c>
      <c r="D41" s="74">
        <v>504</v>
      </c>
      <c r="E41" s="75">
        <v>80</v>
      </c>
      <c r="F41" s="76">
        <v>30638318470</v>
      </c>
      <c r="G41" s="77" t="s">
        <v>159</v>
      </c>
      <c r="H41" s="78">
        <v>68558.400000000009</v>
      </c>
      <c r="I41" s="79">
        <v>14397.08</v>
      </c>
      <c r="J41" s="80"/>
      <c r="K41" s="80"/>
      <c r="L41" s="91">
        <f>SUM([1]VENTAS!$H42:$K42)</f>
        <v>600226.4</v>
      </c>
    </row>
    <row r="42" spans="1:12" x14ac:dyDescent="0.25">
      <c r="A42" s="71">
        <v>44287</v>
      </c>
      <c r="B42" s="72">
        <v>1</v>
      </c>
      <c r="C42" s="73">
        <v>10</v>
      </c>
      <c r="D42" s="74">
        <v>505</v>
      </c>
      <c r="E42" s="75">
        <v>80</v>
      </c>
      <c r="F42" s="76">
        <v>30638318470</v>
      </c>
      <c r="G42" s="77" t="s">
        <v>159</v>
      </c>
      <c r="H42" s="78">
        <v>496054.8</v>
      </c>
      <c r="I42" s="79">
        <v>104171.6</v>
      </c>
      <c r="J42" s="80"/>
      <c r="K42" s="80"/>
      <c r="L42" s="91">
        <f>SUM([1]VENTAS!$H43:$K43)</f>
        <v>50094</v>
      </c>
    </row>
    <row r="43" spans="1:12" x14ac:dyDescent="0.25">
      <c r="A43" s="71">
        <v>44287</v>
      </c>
      <c r="B43" s="72">
        <v>1</v>
      </c>
      <c r="C43" s="73">
        <v>10</v>
      </c>
      <c r="D43" s="74">
        <v>506</v>
      </c>
      <c r="E43" s="75">
        <v>80</v>
      </c>
      <c r="F43" s="76">
        <v>30638318470</v>
      </c>
      <c r="G43" s="77" t="s">
        <v>159</v>
      </c>
      <c r="H43" s="78">
        <v>41400</v>
      </c>
      <c r="I43" s="79">
        <v>8694</v>
      </c>
      <c r="J43" s="80"/>
      <c r="K43" s="80"/>
      <c r="L43" s="91">
        <f>SUM([1]VENTAS!$H44:$K44)</f>
        <v>333960</v>
      </c>
    </row>
    <row r="44" spans="1:12" x14ac:dyDescent="0.25">
      <c r="A44" s="71">
        <v>44287</v>
      </c>
      <c r="B44" s="72">
        <v>1</v>
      </c>
      <c r="C44" s="73">
        <v>10</v>
      </c>
      <c r="D44" s="74">
        <v>507</v>
      </c>
      <c r="E44" s="75">
        <v>80</v>
      </c>
      <c r="F44" s="76">
        <v>20320421218</v>
      </c>
      <c r="G44" s="77" t="s">
        <v>160</v>
      </c>
      <c r="H44" s="78">
        <v>276000</v>
      </c>
      <c r="I44" s="79">
        <v>57960</v>
      </c>
      <c r="J44" s="80"/>
      <c r="K44" s="80"/>
      <c r="L44" s="91">
        <f>SUM([1]VENTAS!$H45:$K45)</f>
        <v>803642.08</v>
      </c>
    </row>
    <row r="45" spans="1:12" x14ac:dyDescent="0.25">
      <c r="A45" s="71">
        <v>44287</v>
      </c>
      <c r="B45" s="72">
        <v>2</v>
      </c>
      <c r="C45" s="73">
        <v>10</v>
      </c>
      <c r="D45" s="74">
        <v>48</v>
      </c>
      <c r="E45" s="75">
        <v>80</v>
      </c>
      <c r="F45" s="76">
        <v>30638318470</v>
      </c>
      <c r="G45" s="77" t="s">
        <v>159</v>
      </c>
      <c r="H45" s="78">
        <v>664167.31999999995</v>
      </c>
      <c r="I45" s="79">
        <v>139474.76</v>
      </c>
      <c r="J45" s="80"/>
      <c r="K45" s="80"/>
      <c r="L45" s="91">
        <f>SUM([1]VENTAS!$H46:$K46)</f>
        <v>2179590.9899999998</v>
      </c>
    </row>
    <row r="46" spans="1:12" x14ac:dyDescent="0.25">
      <c r="A46" s="71">
        <v>44301</v>
      </c>
      <c r="B46" s="72">
        <v>1</v>
      </c>
      <c r="C46" s="73">
        <v>10</v>
      </c>
      <c r="D46" s="74">
        <v>508</v>
      </c>
      <c r="E46" s="75">
        <v>80</v>
      </c>
      <c r="F46" s="76">
        <v>30628274327</v>
      </c>
      <c r="G46" s="77" t="s">
        <v>162</v>
      </c>
      <c r="H46" s="78">
        <v>1972480.95</v>
      </c>
      <c r="I46" s="79"/>
      <c r="J46" s="80">
        <v>207110.04</v>
      </c>
      <c r="K46" s="80"/>
      <c r="L46" s="91">
        <f>SUM([1]VENTAS!$H47:$K47)</f>
        <v>30250</v>
      </c>
    </row>
    <row r="47" spans="1:12" x14ac:dyDescent="0.25">
      <c r="A47" s="71">
        <v>44301</v>
      </c>
      <c r="B47" s="72">
        <v>1</v>
      </c>
      <c r="C47" s="73">
        <v>10</v>
      </c>
      <c r="D47" s="74">
        <v>509</v>
      </c>
      <c r="E47" s="75">
        <v>80</v>
      </c>
      <c r="F47" s="76">
        <v>30628274327</v>
      </c>
      <c r="G47" s="77" t="s">
        <v>162</v>
      </c>
      <c r="H47" s="78">
        <v>25000</v>
      </c>
      <c r="I47" s="79">
        <v>5250</v>
      </c>
      <c r="J47" s="80"/>
      <c r="K47" s="80"/>
      <c r="L47" s="91">
        <f>SUM([1]VENTAS!$H48:$K48)</f>
        <v>3944540.6</v>
      </c>
    </row>
    <row r="48" spans="1:12" x14ac:dyDescent="0.25">
      <c r="A48" s="71">
        <v>44302</v>
      </c>
      <c r="B48" s="72">
        <v>1</v>
      </c>
      <c r="C48" s="73">
        <v>10</v>
      </c>
      <c r="D48" s="74">
        <v>510</v>
      </c>
      <c r="E48" s="75">
        <v>80</v>
      </c>
      <c r="F48" s="76">
        <v>30638318470</v>
      </c>
      <c r="G48" s="77" t="s">
        <v>159</v>
      </c>
      <c r="H48" s="78">
        <v>3569720</v>
      </c>
      <c r="I48" s="79"/>
      <c r="J48" s="80">
        <v>374820.6</v>
      </c>
      <c r="K48" s="80"/>
      <c r="L48" s="91">
        <f>SUM([1]VENTAS!$H49:$K49)</f>
        <v>15170015.430000002</v>
      </c>
    </row>
    <row r="49" spans="1:12" ht="15.75" x14ac:dyDescent="0.25">
      <c r="A49" s="92"/>
      <c r="B49" s="93"/>
      <c r="C49" s="93"/>
      <c r="D49" s="94" t="s">
        <v>163</v>
      </c>
      <c r="E49" s="94"/>
      <c r="F49" s="95"/>
      <c r="G49" s="93"/>
      <c r="H49" s="96">
        <f>SUBTOTAL(109,H38:H48)</f>
        <v>13571394.15</v>
      </c>
      <c r="I49" s="96">
        <f>SUBTOTAL(109,I38:I48)</f>
        <v>347252.64</v>
      </c>
      <c r="J49" s="96">
        <f>SUM(J38:J48)</f>
        <v>1251368.6400000001</v>
      </c>
      <c r="K49" s="96"/>
      <c r="L49" s="96">
        <f>SUBTOTAL(109,L38:L48)</f>
        <v>28774466.859999999</v>
      </c>
    </row>
    <row r="50" spans="1:12" ht="15.75" thickBot="1" x14ac:dyDescent="0.3">
      <c r="A50" s="68"/>
      <c r="I50" s="134">
        <f>SUM(I49:J49)</f>
        <v>1598621.2800000003</v>
      </c>
      <c r="J50" s="135"/>
    </row>
    <row r="51" spans="1:12" ht="15.75" thickTop="1" x14ac:dyDescent="0.25">
      <c r="A51" s="68"/>
    </row>
    <row r="52" spans="1:12" ht="19.5" x14ac:dyDescent="0.25">
      <c r="A52" s="64" t="s">
        <v>154</v>
      </c>
      <c r="B52" s="65"/>
      <c r="C52" s="65"/>
      <c r="D52" s="65"/>
      <c r="E52" s="65"/>
      <c r="F52" s="65"/>
      <c r="G52" s="65"/>
      <c r="H52" s="65"/>
      <c r="I52" s="65"/>
      <c r="J52" s="66">
        <v>44317</v>
      </c>
      <c r="K52" s="67"/>
      <c r="L52" s="67"/>
    </row>
    <row r="53" spans="1:12" x14ac:dyDescent="0.25">
      <c r="A53" s="69" t="s">
        <v>1</v>
      </c>
      <c r="B53" s="70" t="s">
        <v>2</v>
      </c>
      <c r="C53" s="70" t="s">
        <v>3</v>
      </c>
      <c r="D53" s="70" t="s">
        <v>155</v>
      </c>
      <c r="E53" s="70" t="s">
        <v>156</v>
      </c>
      <c r="F53" s="70" t="s">
        <v>5</v>
      </c>
      <c r="G53" s="70" t="s">
        <v>6</v>
      </c>
      <c r="H53" s="70" t="s">
        <v>157</v>
      </c>
      <c r="I53" s="70" t="s">
        <v>158</v>
      </c>
      <c r="J53" s="70" t="s">
        <v>10</v>
      </c>
      <c r="K53" s="70" t="s">
        <v>12</v>
      </c>
      <c r="L53" s="70" t="s">
        <v>16</v>
      </c>
    </row>
    <row r="54" spans="1:12" x14ac:dyDescent="0.25">
      <c r="A54" s="71">
        <v>44319</v>
      </c>
      <c r="B54" s="72">
        <v>2</v>
      </c>
      <c r="C54" s="73">
        <v>10</v>
      </c>
      <c r="D54" s="74">
        <v>49</v>
      </c>
      <c r="E54" s="75">
        <v>80</v>
      </c>
      <c r="F54" s="76">
        <v>30638318470</v>
      </c>
      <c r="G54" s="77" t="s">
        <v>159</v>
      </c>
      <c r="H54" s="78">
        <v>675427.41639999999</v>
      </c>
      <c r="I54" s="79">
        <v>141839.75744399999</v>
      </c>
      <c r="J54" s="80"/>
      <c r="K54" s="80"/>
      <c r="L54" s="81">
        <f>SUM([1]VENTAS!$H56:$K57)</f>
        <v>1637393.56</v>
      </c>
    </row>
    <row r="55" spans="1:12" x14ac:dyDescent="0.25">
      <c r="A55" s="71">
        <v>44319</v>
      </c>
      <c r="B55" s="72">
        <v>1</v>
      </c>
      <c r="C55" s="73">
        <v>10</v>
      </c>
      <c r="D55" s="74">
        <v>511</v>
      </c>
      <c r="E55" s="75">
        <v>80</v>
      </c>
      <c r="F55" s="76">
        <v>30716041596</v>
      </c>
      <c r="G55" s="77" t="s">
        <v>173</v>
      </c>
      <c r="H55" s="78">
        <v>37424</v>
      </c>
      <c r="I55" s="79">
        <v>7859.04</v>
      </c>
      <c r="J55" s="80"/>
      <c r="K55" s="80"/>
      <c r="L55" s="81">
        <f>SUM([1]VENTAS!$H57:$K58)</f>
        <v>3184221.04</v>
      </c>
    </row>
    <row r="56" spans="1:12" x14ac:dyDescent="0.25">
      <c r="A56" s="71">
        <v>44319</v>
      </c>
      <c r="B56" s="72">
        <v>1</v>
      </c>
      <c r="C56" s="73">
        <v>10</v>
      </c>
      <c r="D56" s="74">
        <v>512</v>
      </c>
      <c r="E56" s="75">
        <v>80</v>
      </c>
      <c r="F56" s="76">
        <v>30638318470</v>
      </c>
      <c r="G56" s="77" t="s">
        <v>159</v>
      </c>
      <c r="H56" s="78">
        <v>1440824</v>
      </c>
      <c r="I56" s="79"/>
      <c r="J56" s="80">
        <v>151286.51999999999</v>
      </c>
      <c r="K56" s="80"/>
      <c r="L56" s="81">
        <f>SUM([1]VENTAS!$H58:$K59)</f>
        <v>2166585.1845</v>
      </c>
    </row>
    <row r="57" spans="1:12" x14ac:dyDescent="0.25">
      <c r="A57" s="71">
        <v>44319</v>
      </c>
      <c r="B57" s="72">
        <v>1</v>
      </c>
      <c r="C57" s="73">
        <v>10</v>
      </c>
      <c r="D57" s="74">
        <v>513</v>
      </c>
      <c r="E57" s="75">
        <v>80</v>
      </c>
      <c r="F57" s="76">
        <v>30638318470</v>
      </c>
      <c r="G57" s="77" t="s">
        <v>159</v>
      </c>
      <c r="H57" s="78">
        <v>1440824</v>
      </c>
      <c r="I57" s="79"/>
      <c r="J57" s="80">
        <v>151286.51999999999</v>
      </c>
      <c r="K57" s="80"/>
      <c r="L57" s="81">
        <f>SUM([1]VENTAS!$H59:$K60)</f>
        <v>1045871.1109000001</v>
      </c>
    </row>
    <row r="58" spans="1:12" x14ac:dyDescent="0.25">
      <c r="A58" s="71">
        <v>44319</v>
      </c>
      <c r="B58" s="72">
        <v>1</v>
      </c>
      <c r="C58" s="73">
        <v>10</v>
      </c>
      <c r="D58" s="74">
        <v>514</v>
      </c>
      <c r="E58" s="75">
        <v>80</v>
      </c>
      <c r="F58" s="76">
        <v>30638318470</v>
      </c>
      <c r="G58" s="77" t="s">
        <v>159</v>
      </c>
      <c r="H58" s="78">
        <v>474772.45</v>
      </c>
      <c r="I58" s="79">
        <v>99702.214500000002</v>
      </c>
      <c r="J58" s="80"/>
      <c r="K58" s="80"/>
      <c r="L58" s="81">
        <f>SUM([1]VENTAS!$H60:$K61)</f>
        <v>811708.94640000002</v>
      </c>
    </row>
    <row r="59" spans="1:12" x14ac:dyDescent="0.25">
      <c r="A59" s="71">
        <v>44319</v>
      </c>
      <c r="B59" s="72">
        <v>1</v>
      </c>
      <c r="C59" s="73">
        <v>10</v>
      </c>
      <c r="D59" s="74">
        <v>515</v>
      </c>
      <c r="E59" s="75">
        <v>80</v>
      </c>
      <c r="F59" s="76">
        <v>30638318470</v>
      </c>
      <c r="G59" s="77" t="s">
        <v>159</v>
      </c>
      <c r="H59" s="78">
        <v>389583.84</v>
      </c>
      <c r="I59" s="79">
        <v>81812.606400000004</v>
      </c>
      <c r="J59" s="80"/>
      <c r="K59" s="80"/>
      <c r="L59" s="81">
        <f>SUM([1]VENTAS!$H61:$K62)</f>
        <v>1744446.5251250002</v>
      </c>
    </row>
    <row r="60" spans="1:12" x14ac:dyDescent="0.25">
      <c r="A60" s="71">
        <v>44322</v>
      </c>
      <c r="B60" s="72">
        <v>1</v>
      </c>
      <c r="C60" s="73">
        <v>10</v>
      </c>
      <c r="D60" s="74">
        <v>516</v>
      </c>
      <c r="E60" s="75">
        <v>80</v>
      </c>
      <c r="F60" s="76">
        <v>30638318470</v>
      </c>
      <c r="G60" s="77" t="s">
        <v>159</v>
      </c>
      <c r="H60" s="78">
        <v>281250</v>
      </c>
      <c r="I60" s="79">
        <v>59062.5</v>
      </c>
      <c r="J60" s="80"/>
      <c r="K60" s="80"/>
      <c r="L60" s="81">
        <f>SUM([1]VENTAS!$H62:$K63)</f>
        <v>1434384.0251250002</v>
      </c>
    </row>
    <row r="61" spans="1:12" x14ac:dyDescent="0.25">
      <c r="A61" s="71">
        <v>44343</v>
      </c>
      <c r="B61" s="72">
        <v>1</v>
      </c>
      <c r="C61" s="73">
        <v>10</v>
      </c>
      <c r="D61" s="74">
        <v>517</v>
      </c>
      <c r="E61" s="75">
        <v>80</v>
      </c>
      <c r="F61" s="76">
        <v>30628274327</v>
      </c>
      <c r="G61" s="77" t="s">
        <v>162</v>
      </c>
      <c r="H61" s="78">
        <v>1270709.5250000001</v>
      </c>
      <c r="I61" s="79"/>
      <c r="J61" s="80">
        <v>133424.50012500002</v>
      </c>
      <c r="K61" s="80"/>
      <c r="L61" s="81">
        <f>SUM([1]VENTAS!$H63:$K64)</f>
        <v>6897588.8898690008</v>
      </c>
    </row>
    <row r="62" spans="1:12" x14ac:dyDescent="0.25">
      <c r="A62" s="71">
        <v>44343</v>
      </c>
      <c r="B62" s="72">
        <v>1</v>
      </c>
      <c r="C62" s="73">
        <v>10</v>
      </c>
      <c r="D62" s="74">
        <v>518</v>
      </c>
      <c r="E62" s="75">
        <v>80</v>
      </c>
      <c r="F62" s="76">
        <v>30628274327</v>
      </c>
      <c r="G62" s="77" t="s">
        <v>162</v>
      </c>
      <c r="H62" s="78">
        <v>25000</v>
      </c>
      <c r="I62" s="79">
        <v>5250</v>
      </c>
      <c r="J62" s="80"/>
      <c r="K62" s="80"/>
      <c r="L62" s="81">
        <f>SUM([1]VENTAS!$H64:$K64)</f>
        <v>6867338.8898690008</v>
      </c>
    </row>
    <row r="63" spans="1:12" ht="15.75" x14ac:dyDescent="0.25">
      <c r="A63" s="92"/>
      <c r="B63" s="93"/>
      <c r="C63" s="93"/>
      <c r="D63" s="94" t="s">
        <v>163</v>
      </c>
      <c r="E63" s="94"/>
      <c r="F63" s="95"/>
      <c r="G63" s="93"/>
      <c r="H63" s="96">
        <f>SUBTOTAL(109,H54:H62)</f>
        <v>6035815.2314000009</v>
      </c>
      <c r="I63" s="96">
        <f>SUBTOTAL(109,I54:I62)</f>
        <v>395526.11834400002</v>
      </c>
      <c r="J63" s="96">
        <f>SUM(J54:J62)</f>
        <v>435997.540125</v>
      </c>
      <c r="K63" s="96">
        <f>SUM(K54:K62)</f>
        <v>0</v>
      </c>
      <c r="L63" s="96">
        <f>SUBTOTAL(109,L54:L62)</f>
        <v>25789538.171788003</v>
      </c>
    </row>
    <row r="64" spans="1:12" ht="15.75" thickBot="1" x14ac:dyDescent="0.3">
      <c r="A64" s="68"/>
      <c r="I64" s="134">
        <f>SUM(I63:J63)</f>
        <v>831523.65846900002</v>
      </c>
      <c r="J64" s="135"/>
    </row>
    <row r="65" spans="1:12" ht="16.5" thickTop="1" thickBot="1" x14ac:dyDescent="0.3">
      <c r="A65" s="97" t="s">
        <v>165</v>
      </c>
      <c r="J65" s="98"/>
    </row>
    <row r="66" spans="1:12" x14ac:dyDescent="0.25">
      <c r="A66" s="99" t="s">
        <v>1</v>
      </c>
      <c r="B66" s="136" t="s">
        <v>166</v>
      </c>
      <c r="C66" s="136"/>
      <c r="D66" s="100" t="s">
        <v>167</v>
      </c>
      <c r="E66" s="100"/>
      <c r="F66" s="100" t="s">
        <v>168</v>
      </c>
      <c r="G66" s="100" t="s">
        <v>6</v>
      </c>
      <c r="H66" s="100" t="s">
        <v>169</v>
      </c>
      <c r="I66" s="101" t="s">
        <v>170</v>
      </c>
      <c r="J66" s="98"/>
    </row>
    <row r="67" spans="1:12" x14ac:dyDescent="0.25">
      <c r="A67" s="102">
        <v>44320</v>
      </c>
      <c r="B67" s="137" t="s">
        <v>174</v>
      </c>
      <c r="C67" s="137"/>
      <c r="D67" s="103">
        <v>30594494187</v>
      </c>
      <c r="E67" s="103" t="s">
        <v>30</v>
      </c>
      <c r="F67" s="104"/>
      <c r="G67" s="104" t="s">
        <v>53</v>
      </c>
      <c r="H67" s="105">
        <v>6621.96</v>
      </c>
      <c r="I67" s="106"/>
      <c r="J67" s="98"/>
    </row>
    <row r="68" spans="1:12" x14ac:dyDescent="0.25">
      <c r="A68" s="68"/>
      <c r="I68" s="108"/>
      <c r="J68" s="98"/>
    </row>
    <row r="69" spans="1:12" ht="19.5" x14ac:dyDescent="0.25">
      <c r="A69" s="64" t="s">
        <v>154</v>
      </c>
      <c r="B69" s="65"/>
      <c r="C69" s="65"/>
      <c r="D69" s="65"/>
      <c r="E69" s="65"/>
      <c r="F69" s="65"/>
      <c r="G69" s="65"/>
      <c r="H69" s="65"/>
      <c r="I69" s="65"/>
      <c r="J69" s="66">
        <v>44348</v>
      </c>
      <c r="K69" s="67"/>
      <c r="L69" s="67"/>
    </row>
    <row r="70" spans="1:12" x14ac:dyDescent="0.25">
      <c r="A70" s="69" t="s">
        <v>1</v>
      </c>
      <c r="B70" s="70" t="s">
        <v>2</v>
      </c>
      <c r="C70" s="70" t="s">
        <v>3</v>
      </c>
      <c r="D70" s="70" t="s">
        <v>155</v>
      </c>
      <c r="E70" s="70" t="s">
        <v>156</v>
      </c>
      <c r="F70" s="70" t="s">
        <v>5</v>
      </c>
      <c r="G70" s="70" t="s">
        <v>6</v>
      </c>
      <c r="H70" s="70" t="s">
        <v>157</v>
      </c>
      <c r="I70" s="70" t="s">
        <v>158</v>
      </c>
      <c r="J70" s="70" t="s">
        <v>10</v>
      </c>
      <c r="K70" s="70" t="s">
        <v>12</v>
      </c>
      <c r="L70" s="70" t="s">
        <v>16</v>
      </c>
    </row>
    <row r="71" spans="1:12" x14ac:dyDescent="0.25">
      <c r="A71" s="82">
        <v>44350</v>
      </c>
      <c r="B71" s="83">
        <v>2</v>
      </c>
      <c r="C71" s="84">
        <v>10</v>
      </c>
      <c r="D71" s="85">
        <v>50</v>
      </c>
      <c r="E71" s="86">
        <v>80</v>
      </c>
      <c r="F71" s="87">
        <v>30638318470</v>
      </c>
      <c r="G71" s="88" t="s">
        <v>159</v>
      </c>
      <c r="H71" s="89">
        <v>684164.53</v>
      </c>
      <c r="I71" s="90">
        <v>143674.55130000002</v>
      </c>
      <c r="J71" s="90"/>
      <c r="K71" s="90"/>
      <c r="L71" s="91">
        <f>SUM([1]VENTAS!$H74:$K74)</f>
        <v>3225402.18</v>
      </c>
    </row>
    <row r="72" spans="1:12" x14ac:dyDescent="0.25">
      <c r="A72" s="82">
        <v>44350</v>
      </c>
      <c r="B72" s="83">
        <v>1</v>
      </c>
      <c r="C72" s="84">
        <v>10</v>
      </c>
      <c r="D72" s="85">
        <v>519</v>
      </c>
      <c r="E72" s="86">
        <v>80</v>
      </c>
      <c r="F72" s="87">
        <v>30638318470</v>
      </c>
      <c r="G72" s="88" t="s">
        <v>159</v>
      </c>
      <c r="H72" s="89">
        <v>2918916</v>
      </c>
      <c r="I72" s="90"/>
      <c r="J72" s="90">
        <v>306486.18</v>
      </c>
      <c r="K72" s="90"/>
      <c r="L72" s="91">
        <f>SUM([1]VENTAS!$H75:$K75)</f>
        <v>96816.028999999995</v>
      </c>
    </row>
    <row r="73" spans="1:12" x14ac:dyDescent="0.25">
      <c r="A73" s="82">
        <v>44357</v>
      </c>
      <c r="B73" s="83">
        <v>1</v>
      </c>
      <c r="C73" s="84">
        <v>10</v>
      </c>
      <c r="D73" s="85">
        <v>520</v>
      </c>
      <c r="E73" s="86">
        <v>80</v>
      </c>
      <c r="F73" s="87">
        <v>30638318470</v>
      </c>
      <c r="G73" s="88" t="s">
        <v>159</v>
      </c>
      <c r="H73" s="89">
        <v>80013.09</v>
      </c>
      <c r="I73" s="90">
        <v>16802.938999999998</v>
      </c>
      <c r="J73" s="90"/>
      <c r="K73" s="90"/>
      <c r="L73" s="91">
        <f>SUM([1]VENTAS!$H76:$K76)</f>
        <v>4213087.67</v>
      </c>
    </row>
    <row r="74" spans="1:12" x14ac:dyDescent="0.25">
      <c r="A74" s="82">
        <v>44358</v>
      </c>
      <c r="B74" s="83">
        <v>1</v>
      </c>
      <c r="C74" s="84">
        <v>10</v>
      </c>
      <c r="D74" s="85">
        <v>521</v>
      </c>
      <c r="E74" s="86">
        <v>80</v>
      </c>
      <c r="F74" s="87">
        <v>30638318470</v>
      </c>
      <c r="G74" s="88" t="s">
        <v>159</v>
      </c>
      <c r="H74" s="89">
        <v>3799644.5</v>
      </c>
      <c r="I74" s="90">
        <v>28960.994999999999</v>
      </c>
      <c r="J74" s="90">
        <v>384482.17499999999</v>
      </c>
      <c r="K74" s="90"/>
      <c r="L74" s="91">
        <f>SUM([1]VENTAS!$H77:$K77)</f>
        <v>2363752.4624999999</v>
      </c>
    </row>
    <row r="75" spans="1:12" x14ac:dyDescent="0.25">
      <c r="A75" s="82">
        <v>44376</v>
      </c>
      <c r="B75" s="83">
        <v>1</v>
      </c>
      <c r="C75" s="84">
        <v>10</v>
      </c>
      <c r="D75" s="85">
        <v>522</v>
      </c>
      <c r="E75" s="86">
        <v>80</v>
      </c>
      <c r="F75" s="87">
        <v>30628274327</v>
      </c>
      <c r="G75" s="88" t="s">
        <v>162</v>
      </c>
      <c r="H75" s="89">
        <v>2139142.5</v>
      </c>
      <c r="I75" s="90"/>
      <c r="J75" s="90">
        <v>224609.96249999999</v>
      </c>
      <c r="K75" s="90"/>
      <c r="L75" s="91">
        <f>SUM([1]VENTAS!$H78:$K78)</f>
        <v>10726897.422800003</v>
      </c>
    </row>
    <row r="76" spans="1:12" ht="15.75" x14ac:dyDescent="0.25">
      <c r="A76" s="92"/>
      <c r="B76" s="93"/>
      <c r="C76" s="93"/>
      <c r="D76" s="94" t="s">
        <v>163</v>
      </c>
      <c r="E76" s="94"/>
      <c r="F76" s="95"/>
      <c r="G76" s="93"/>
      <c r="H76" s="96">
        <f>SUBTOTAL(109,H71:H75)</f>
        <v>9621880.620000001</v>
      </c>
      <c r="I76" s="96">
        <f>SUBTOTAL(109,I71:I75)</f>
        <v>189438.4853</v>
      </c>
      <c r="J76" s="96">
        <f>SUM(J71:J75)</f>
        <v>915578.3175</v>
      </c>
      <c r="K76" s="96">
        <f>SUM(K71:K75)</f>
        <v>0</v>
      </c>
      <c r="L76" s="96">
        <f>SUBTOTAL(109,L71:L75)</f>
        <v>20625955.764300004</v>
      </c>
    </row>
    <row r="77" spans="1:12" ht="15.75" thickBot="1" x14ac:dyDescent="0.3">
      <c r="A77" s="68"/>
      <c r="I77" s="134">
        <f>SUM(I76:J76)</f>
        <v>1105016.8027999999</v>
      </c>
      <c r="J77" s="135"/>
    </row>
    <row r="78" spans="1:12" ht="15.75" thickTop="1" x14ac:dyDescent="0.25">
      <c r="A78" s="68"/>
    </row>
    <row r="79" spans="1:12" ht="19.5" x14ac:dyDescent="0.25">
      <c r="A79" s="64" t="s">
        <v>154</v>
      </c>
      <c r="B79" s="65"/>
      <c r="C79" s="65"/>
      <c r="D79" s="65"/>
      <c r="E79" s="65"/>
      <c r="F79" s="65"/>
      <c r="G79" s="65"/>
      <c r="H79" s="65"/>
      <c r="I79" s="65"/>
      <c r="J79" s="66">
        <v>44378</v>
      </c>
      <c r="K79" s="67"/>
      <c r="L79" s="67"/>
    </row>
    <row r="80" spans="1:12" x14ac:dyDescent="0.25">
      <c r="A80" s="69" t="s">
        <v>1</v>
      </c>
      <c r="B80" s="70" t="s">
        <v>2</v>
      </c>
      <c r="C80" s="70" t="s">
        <v>3</v>
      </c>
      <c r="D80" s="70" t="s">
        <v>155</v>
      </c>
      <c r="E80" s="70" t="s">
        <v>156</v>
      </c>
      <c r="F80" s="70" t="s">
        <v>5</v>
      </c>
      <c r="G80" s="70" t="s">
        <v>6</v>
      </c>
      <c r="H80" s="70" t="s">
        <v>157</v>
      </c>
      <c r="I80" s="70" t="s">
        <v>158</v>
      </c>
      <c r="J80" s="70" t="s">
        <v>10</v>
      </c>
      <c r="K80" s="70" t="s">
        <v>12</v>
      </c>
      <c r="L80" s="70" t="s">
        <v>16</v>
      </c>
    </row>
    <row r="81" spans="1:12" x14ac:dyDescent="0.25">
      <c r="A81" s="82">
        <v>44378</v>
      </c>
      <c r="B81" s="83">
        <v>1</v>
      </c>
      <c r="C81" s="84">
        <v>10</v>
      </c>
      <c r="D81" s="85">
        <v>523</v>
      </c>
      <c r="E81" s="86">
        <v>80</v>
      </c>
      <c r="F81" s="87">
        <v>33709302839</v>
      </c>
      <c r="G81" s="88" t="s">
        <v>175</v>
      </c>
      <c r="H81" s="89">
        <v>507316</v>
      </c>
      <c r="I81" s="90">
        <v>12060.72</v>
      </c>
      <c r="J81" s="90">
        <v>47237.82</v>
      </c>
      <c r="K81" s="90"/>
      <c r="L81" s="91">
        <f>SUM([1]VENTAS!$H85:$K85)</f>
        <v>4073869.8</v>
      </c>
    </row>
    <row r="82" spans="1:12" x14ac:dyDescent="0.25">
      <c r="A82" s="71">
        <v>44379</v>
      </c>
      <c r="B82" s="72">
        <v>1</v>
      </c>
      <c r="C82" s="73">
        <v>10</v>
      </c>
      <c r="D82" s="74">
        <v>524</v>
      </c>
      <c r="E82" s="75">
        <v>80</v>
      </c>
      <c r="F82" s="76">
        <v>30638318470</v>
      </c>
      <c r="G82" s="77" t="s">
        <v>159</v>
      </c>
      <c r="H82" s="78">
        <v>3686760</v>
      </c>
      <c r="I82" s="79"/>
      <c r="J82" s="80">
        <v>387109.80000000005</v>
      </c>
      <c r="K82" s="80"/>
      <c r="L82" s="81">
        <f>SUM([1]VENTAS!$H86:$K89)</f>
        <v>5519313.0194000006</v>
      </c>
    </row>
    <row r="83" spans="1:12" x14ac:dyDescent="0.25">
      <c r="A83" s="71">
        <v>44382</v>
      </c>
      <c r="B83" s="72">
        <v>3</v>
      </c>
      <c r="C83" s="73">
        <v>10</v>
      </c>
      <c r="D83" s="74">
        <v>22</v>
      </c>
      <c r="E83" s="75">
        <v>80</v>
      </c>
      <c r="F83" s="76">
        <v>33709302839</v>
      </c>
      <c r="G83" s="77" t="s">
        <v>175</v>
      </c>
      <c r="H83" s="78">
        <v>-57432</v>
      </c>
      <c r="I83" s="79">
        <v>-12060.72</v>
      </c>
      <c r="J83" s="80"/>
      <c r="K83" s="80"/>
      <c r="L83" s="81">
        <f>SUM([1]VENTAS!$H87:$K90)</f>
        <v>5588805.7394000012</v>
      </c>
    </row>
    <row r="84" spans="1:12" x14ac:dyDescent="0.25">
      <c r="A84" s="71">
        <v>44390</v>
      </c>
      <c r="B84" s="72">
        <v>1</v>
      </c>
      <c r="C84" s="73">
        <v>10</v>
      </c>
      <c r="D84" s="74">
        <v>525</v>
      </c>
      <c r="E84" s="75">
        <v>80</v>
      </c>
      <c r="F84" s="76">
        <v>30516938133</v>
      </c>
      <c r="G84" s="77" t="s">
        <v>176</v>
      </c>
      <c r="H84" s="78">
        <v>221850.38</v>
      </c>
      <c r="I84" s="79">
        <v>46588.5798</v>
      </c>
      <c r="J84" s="80"/>
      <c r="K84" s="80"/>
      <c r="L84" s="81">
        <f>SUM([1]VENTAS!$H88:$K90)</f>
        <v>5320366.7796</v>
      </c>
    </row>
    <row r="85" spans="1:12" ht="15.75" x14ac:dyDescent="0.25">
      <c r="A85" s="92"/>
      <c r="B85" s="93"/>
      <c r="C85" s="93"/>
      <c r="D85" s="94" t="s">
        <v>163</v>
      </c>
      <c r="E85" s="94"/>
      <c r="F85" s="95"/>
      <c r="G85" s="93"/>
      <c r="H85" s="96">
        <f>SUBTOTAL(109,H81:H84)</f>
        <v>4358494.38</v>
      </c>
      <c r="I85" s="96">
        <f>SUBTOTAL(109,I81:I84)</f>
        <v>46588.5798</v>
      </c>
      <c r="J85" s="96">
        <f>SUM(J81:J84)</f>
        <v>434347.62000000005</v>
      </c>
      <c r="K85" s="96"/>
      <c r="L85" s="96">
        <f>SUBTOTAL(109,L81:L84)</f>
        <v>20502355.338400003</v>
      </c>
    </row>
    <row r="86" spans="1:12" ht="15.75" thickBot="1" x14ac:dyDescent="0.3">
      <c r="A86" s="68"/>
      <c r="I86" s="134">
        <f>SUM(I85:J85)</f>
        <v>480936.19980000006</v>
      </c>
      <c r="J86" s="135"/>
    </row>
    <row r="87" spans="1:12" ht="16.5" thickTop="1" thickBot="1" x14ac:dyDescent="0.3">
      <c r="A87" s="97" t="s">
        <v>165</v>
      </c>
    </row>
    <row r="88" spans="1:12" x14ac:dyDescent="0.25">
      <c r="A88" s="99" t="s">
        <v>1</v>
      </c>
      <c r="B88" s="100" t="s">
        <v>166</v>
      </c>
      <c r="C88" s="100" t="s">
        <v>167</v>
      </c>
      <c r="D88" s="100" t="s">
        <v>168</v>
      </c>
      <c r="E88" s="100" t="s">
        <v>177</v>
      </c>
      <c r="F88" s="100" t="s">
        <v>178</v>
      </c>
      <c r="G88" s="100" t="s">
        <v>169</v>
      </c>
      <c r="H88" s="101" t="s">
        <v>170</v>
      </c>
    </row>
    <row r="89" spans="1:12" x14ac:dyDescent="0.25">
      <c r="A89" s="102">
        <v>44404</v>
      </c>
      <c r="B89" s="109" t="s">
        <v>179</v>
      </c>
      <c r="C89" s="103"/>
      <c r="D89" s="103"/>
      <c r="E89" s="104"/>
      <c r="F89" s="104" t="s">
        <v>180</v>
      </c>
      <c r="G89" s="105">
        <v>11506.26</v>
      </c>
      <c r="H89" s="106"/>
    </row>
    <row r="90" spans="1:12" ht="15.75" x14ac:dyDescent="0.25">
      <c r="A90" s="92"/>
      <c r="B90" s="93"/>
      <c r="C90" s="94" t="s">
        <v>163</v>
      </c>
      <c r="D90" s="94"/>
      <c r="E90" s="95"/>
      <c r="F90" s="93"/>
      <c r="G90" s="96">
        <f>SUBTOTAL(109,G89:G89)</f>
        <v>11506.26</v>
      </c>
      <c r="H90" s="96">
        <f>SUBTOTAL(109,H89:H89)</f>
        <v>0</v>
      </c>
    </row>
    <row r="91" spans="1:12" ht="15.75" x14ac:dyDescent="0.25">
      <c r="A91" s="110"/>
      <c r="B91" s="111"/>
      <c r="C91" s="111"/>
      <c r="D91" s="112"/>
      <c r="E91" s="112"/>
      <c r="F91" s="113"/>
      <c r="G91" s="111"/>
      <c r="H91" s="114"/>
      <c r="I91" s="114"/>
      <c r="J91" s="114"/>
      <c r="K91" s="114"/>
      <c r="L91" s="114"/>
    </row>
    <row r="92" spans="1:12" ht="15.75" x14ac:dyDescent="0.25">
      <c r="A92" s="110"/>
      <c r="B92" s="111"/>
      <c r="C92" s="111"/>
      <c r="D92" s="112"/>
      <c r="E92" s="112"/>
      <c r="F92" s="113"/>
      <c r="G92" s="111"/>
      <c r="H92" s="114"/>
      <c r="I92" s="114"/>
      <c r="J92" s="114"/>
      <c r="K92" s="114"/>
      <c r="L92" s="114"/>
    </row>
    <row r="93" spans="1:12" ht="18.75" x14ac:dyDescent="0.25">
      <c r="A93" s="64" t="s">
        <v>154</v>
      </c>
      <c r="B93" s="65"/>
      <c r="C93" s="65"/>
      <c r="D93" s="65"/>
      <c r="E93" s="65"/>
      <c r="F93" s="65"/>
      <c r="G93" s="65"/>
      <c r="H93" s="65"/>
      <c r="I93" s="65"/>
      <c r="J93" s="115">
        <v>44409</v>
      </c>
      <c r="K93" s="67"/>
      <c r="L93" s="67"/>
    </row>
    <row r="94" spans="1:12" x14ac:dyDescent="0.25">
      <c r="A94" s="68"/>
    </row>
    <row r="95" spans="1:12" x14ac:dyDescent="0.25">
      <c r="A95" s="69" t="s">
        <v>1</v>
      </c>
      <c r="B95" s="70" t="s">
        <v>2</v>
      </c>
      <c r="C95" s="70" t="s">
        <v>3</v>
      </c>
      <c r="D95" s="70" t="s">
        <v>155</v>
      </c>
      <c r="E95" s="70" t="s">
        <v>156</v>
      </c>
      <c r="F95" s="70" t="s">
        <v>5</v>
      </c>
      <c r="G95" s="70" t="s">
        <v>6</v>
      </c>
      <c r="H95" s="70" t="s">
        <v>157</v>
      </c>
      <c r="I95" s="70" t="s">
        <v>158</v>
      </c>
      <c r="J95" s="70" t="s">
        <v>10</v>
      </c>
      <c r="K95" s="70" t="s">
        <v>12</v>
      </c>
      <c r="L95" s="70" t="s">
        <v>16</v>
      </c>
    </row>
    <row r="96" spans="1:12" x14ac:dyDescent="0.25">
      <c r="A96" s="82">
        <v>44412</v>
      </c>
      <c r="B96" s="83">
        <v>3</v>
      </c>
      <c r="C96" s="84">
        <v>10</v>
      </c>
      <c r="D96" s="85">
        <v>23</v>
      </c>
      <c r="E96" s="86">
        <v>80</v>
      </c>
      <c r="F96" s="87">
        <v>20147678097</v>
      </c>
      <c r="G96" s="88" t="s">
        <v>181</v>
      </c>
      <c r="H96" s="89">
        <v>-829.26250000000005</v>
      </c>
      <c r="I96" s="90">
        <v>-173.99</v>
      </c>
      <c r="J96" s="90"/>
      <c r="K96" s="90"/>
      <c r="L96" s="91">
        <f>SUM([1]VENTAS!$H110:$K110)</f>
        <v>-43169.46</v>
      </c>
    </row>
    <row r="97" spans="1:12" x14ac:dyDescent="0.25">
      <c r="A97" s="82">
        <v>44424</v>
      </c>
      <c r="B97" s="83">
        <v>3</v>
      </c>
      <c r="C97" s="84">
        <v>10</v>
      </c>
      <c r="D97" s="85">
        <v>24</v>
      </c>
      <c r="E97" s="86">
        <v>80</v>
      </c>
      <c r="F97" s="87">
        <v>33711071119</v>
      </c>
      <c r="G97" s="88" t="s">
        <v>182</v>
      </c>
      <c r="H97" s="89">
        <v>-35677.56</v>
      </c>
      <c r="I97" s="90">
        <v>-7491.9</v>
      </c>
      <c r="J97" s="90"/>
      <c r="K97" s="90"/>
      <c r="L97" s="91">
        <f>SUM([1]VENTAS!$H111:$K111)</f>
        <v>-74437.59</v>
      </c>
    </row>
    <row r="98" spans="1:12" x14ac:dyDescent="0.25">
      <c r="A98" s="82">
        <v>44425</v>
      </c>
      <c r="B98" s="83">
        <v>3</v>
      </c>
      <c r="C98" s="84">
        <v>10</v>
      </c>
      <c r="D98" s="85">
        <v>25</v>
      </c>
      <c r="E98" s="86">
        <v>80</v>
      </c>
      <c r="F98" s="87">
        <v>30516938133</v>
      </c>
      <c r="G98" s="88" t="s">
        <v>176</v>
      </c>
      <c r="H98" s="89">
        <v>-61518.67</v>
      </c>
      <c r="I98" s="90">
        <v>-12918.92</v>
      </c>
      <c r="J98" s="90"/>
      <c r="K98" s="90"/>
      <c r="L98" s="91">
        <f>SUM([1]VENTAS!$H112:$K112)</f>
        <v>130482.16499999999</v>
      </c>
    </row>
    <row r="99" spans="1:12" x14ac:dyDescent="0.25">
      <c r="A99" s="82">
        <v>44410</v>
      </c>
      <c r="B99" s="83">
        <v>1</v>
      </c>
      <c r="C99" s="84">
        <v>10</v>
      </c>
      <c r="D99" s="85">
        <v>526</v>
      </c>
      <c r="E99" s="86">
        <v>80</v>
      </c>
      <c r="F99" s="87">
        <v>33711071119</v>
      </c>
      <c r="G99" s="88" t="s">
        <v>182</v>
      </c>
      <c r="H99" s="89">
        <v>107836.685</v>
      </c>
      <c r="I99" s="90">
        <v>22645.48</v>
      </c>
      <c r="J99" s="90"/>
      <c r="K99" s="90"/>
      <c r="L99" s="91">
        <f>SUM([1]VENTAS!$H113:$K113)</f>
        <v>40126.130000000005</v>
      </c>
    </row>
    <row r="100" spans="1:12" x14ac:dyDescent="0.25">
      <c r="A100" s="82">
        <v>44411</v>
      </c>
      <c r="B100" s="83">
        <v>1</v>
      </c>
      <c r="C100" s="84">
        <v>10</v>
      </c>
      <c r="D100" s="85">
        <v>527</v>
      </c>
      <c r="E100" s="86">
        <v>80</v>
      </c>
      <c r="F100" s="87">
        <v>20147678097</v>
      </c>
      <c r="G100" s="88" t="s">
        <v>181</v>
      </c>
      <c r="H100" s="89">
        <v>33162.36</v>
      </c>
      <c r="I100" s="90">
        <v>6963.77</v>
      </c>
      <c r="J100" s="90"/>
      <c r="K100" s="90"/>
      <c r="L100" s="91">
        <f>SUM([1]VENTAS!$H114:$K114)</f>
        <v>4122368.25</v>
      </c>
    </row>
    <row r="101" spans="1:12" x14ac:dyDescent="0.25">
      <c r="A101" s="82">
        <v>44417</v>
      </c>
      <c r="B101" s="83">
        <v>1</v>
      </c>
      <c r="C101" s="84">
        <v>10</v>
      </c>
      <c r="D101" s="85">
        <v>528</v>
      </c>
      <c r="E101" s="86">
        <v>80</v>
      </c>
      <c r="F101" s="87">
        <v>30638318470</v>
      </c>
      <c r="G101" s="88" t="s">
        <v>159</v>
      </c>
      <c r="H101" s="89">
        <v>3730650</v>
      </c>
      <c r="I101" s="90"/>
      <c r="J101" s="90">
        <v>391718.25</v>
      </c>
      <c r="K101" s="90"/>
      <c r="L101" s="91">
        <f>SUM([1]VENTAS!$H115:$K115)</f>
        <v>86270.58</v>
      </c>
    </row>
    <row r="102" spans="1:12" x14ac:dyDescent="0.25">
      <c r="A102" s="82">
        <v>44419</v>
      </c>
      <c r="B102" s="83">
        <v>1</v>
      </c>
      <c r="C102" s="84">
        <v>10</v>
      </c>
      <c r="D102" s="85">
        <v>529</v>
      </c>
      <c r="E102" s="86">
        <v>80</v>
      </c>
      <c r="F102" s="87">
        <v>30716963094</v>
      </c>
      <c r="G102" s="88" t="s">
        <v>183</v>
      </c>
      <c r="H102" s="89">
        <v>71298</v>
      </c>
      <c r="I102" s="90">
        <v>14972.58</v>
      </c>
      <c r="J102" s="90"/>
      <c r="K102" s="90"/>
      <c r="L102" s="91">
        <f>SUM([1]VENTAS!$H116:$K116)</f>
        <v>183814.19999999998</v>
      </c>
    </row>
    <row r="103" spans="1:12" x14ac:dyDescent="0.25">
      <c r="A103" s="82">
        <v>44421</v>
      </c>
      <c r="B103" s="72">
        <v>1</v>
      </c>
      <c r="C103" s="73">
        <v>10</v>
      </c>
      <c r="D103" s="74">
        <v>530</v>
      </c>
      <c r="E103" s="75">
        <v>80</v>
      </c>
      <c r="F103" s="76">
        <v>20147678097</v>
      </c>
      <c r="G103" s="77" t="s">
        <v>181</v>
      </c>
      <c r="H103" s="78">
        <v>151912.68</v>
      </c>
      <c r="I103" s="79">
        <v>31901.52</v>
      </c>
      <c r="J103" s="80"/>
      <c r="K103" s="80"/>
      <c r="L103" s="81">
        <f>SUM([1]VENTAS!$H117:$K117)</f>
        <v>43169.46</v>
      </c>
    </row>
    <row r="104" spans="1:12" x14ac:dyDescent="0.25">
      <c r="A104" s="82">
        <v>44421</v>
      </c>
      <c r="B104" s="72">
        <v>1</v>
      </c>
      <c r="C104" s="73">
        <v>10</v>
      </c>
      <c r="D104" s="74">
        <v>531</v>
      </c>
      <c r="E104" s="75">
        <v>80</v>
      </c>
      <c r="F104" s="76">
        <v>33711071119</v>
      </c>
      <c r="G104" s="77" t="s">
        <v>182</v>
      </c>
      <c r="H104" s="78">
        <v>35677.56</v>
      </c>
      <c r="I104" s="79">
        <v>7491.9</v>
      </c>
      <c r="J104" s="80"/>
      <c r="K104" s="80"/>
      <c r="L104" s="81">
        <f>SUM([1]VENTAS!$H118:$K118)</f>
        <v>35256.300000000003</v>
      </c>
    </row>
    <row r="105" spans="1:12" x14ac:dyDescent="0.25">
      <c r="A105" s="82">
        <v>44424</v>
      </c>
      <c r="B105" s="72">
        <v>1</v>
      </c>
      <c r="C105" s="73">
        <v>10</v>
      </c>
      <c r="D105" s="74">
        <v>532</v>
      </c>
      <c r="E105" s="75">
        <v>80</v>
      </c>
      <c r="F105" s="76">
        <v>33711071119</v>
      </c>
      <c r="G105" s="77" t="s">
        <v>182</v>
      </c>
      <c r="H105" s="78">
        <v>29137.32</v>
      </c>
      <c r="I105" s="79">
        <v>6118.98</v>
      </c>
      <c r="J105" s="80"/>
      <c r="K105" s="80"/>
      <c r="L105" s="81">
        <f>SUM([1]VENTAS!$H119:$K119)</f>
        <v>156069.18</v>
      </c>
    </row>
    <row r="106" spans="1:12" x14ac:dyDescent="0.25">
      <c r="A106" s="82">
        <v>44424</v>
      </c>
      <c r="B106" s="72">
        <v>1</v>
      </c>
      <c r="C106" s="73">
        <v>10</v>
      </c>
      <c r="D106" s="74">
        <v>533</v>
      </c>
      <c r="E106" s="75">
        <v>80</v>
      </c>
      <c r="F106" s="76">
        <v>20252310313</v>
      </c>
      <c r="G106" s="77" t="s">
        <v>184</v>
      </c>
      <c r="H106" s="78">
        <v>128983.08</v>
      </c>
      <c r="I106" s="79">
        <v>27086.1</v>
      </c>
      <c r="J106" s="80"/>
      <c r="K106" s="80"/>
      <c r="L106" s="81">
        <f>SUM([1]VENTAS!$H120:$K120)</f>
        <v>45942.84</v>
      </c>
    </row>
    <row r="107" spans="1:12" x14ac:dyDescent="0.25">
      <c r="A107" s="82">
        <v>44425</v>
      </c>
      <c r="B107" s="72">
        <v>1</v>
      </c>
      <c r="C107" s="73">
        <v>10</v>
      </c>
      <c r="D107" s="74">
        <v>534</v>
      </c>
      <c r="E107" s="75">
        <v>80</v>
      </c>
      <c r="F107" s="76">
        <v>20252310313</v>
      </c>
      <c r="G107" s="77" t="s">
        <v>184</v>
      </c>
      <c r="H107" s="78">
        <v>37969.5</v>
      </c>
      <c r="I107" s="79">
        <v>7973.34</v>
      </c>
      <c r="J107" s="80"/>
      <c r="K107" s="80"/>
      <c r="L107" s="81">
        <f>SUM([1]VENTAS!$H121:$K121)</f>
        <v>71430.050999999992</v>
      </c>
    </row>
    <row r="108" spans="1:12" x14ac:dyDescent="0.25">
      <c r="A108" s="82">
        <v>44425</v>
      </c>
      <c r="B108" s="72">
        <v>1</v>
      </c>
      <c r="C108" s="73">
        <v>10</v>
      </c>
      <c r="D108" s="74">
        <v>535</v>
      </c>
      <c r="E108" s="75">
        <v>80</v>
      </c>
      <c r="F108" s="76">
        <v>30516938133</v>
      </c>
      <c r="G108" s="77" t="s">
        <v>176</v>
      </c>
      <c r="H108" s="78">
        <v>59033.1</v>
      </c>
      <c r="I108" s="79">
        <v>12396.950999999999</v>
      </c>
      <c r="J108" s="80"/>
      <c r="K108" s="80"/>
      <c r="L108" s="81">
        <f>SUM([1]VENTAS!$H122:$K122)</f>
        <v>74437.590700000001</v>
      </c>
    </row>
    <row r="109" spans="1:12" x14ac:dyDescent="0.25">
      <c r="A109" s="82">
        <v>44425</v>
      </c>
      <c r="B109" s="72">
        <v>1</v>
      </c>
      <c r="C109" s="73">
        <v>10</v>
      </c>
      <c r="D109" s="74">
        <v>536</v>
      </c>
      <c r="E109" s="75">
        <v>80</v>
      </c>
      <c r="F109" s="76">
        <v>30516938133</v>
      </c>
      <c r="G109" s="77" t="s">
        <v>176</v>
      </c>
      <c r="H109" s="78">
        <v>61518.67</v>
      </c>
      <c r="I109" s="79">
        <v>12918.920700000001</v>
      </c>
      <c r="J109" s="80"/>
      <c r="K109" s="80"/>
      <c r="L109" s="81">
        <f>SUM([1]VENTAS!$H123:$K123)</f>
        <v>126468.94</v>
      </c>
    </row>
    <row r="110" spans="1:12" x14ac:dyDescent="0.25">
      <c r="A110" s="82">
        <v>44426</v>
      </c>
      <c r="B110" s="72">
        <v>1</v>
      </c>
      <c r="C110" s="73">
        <v>10</v>
      </c>
      <c r="D110" s="74">
        <v>537</v>
      </c>
      <c r="E110" s="75">
        <v>80</v>
      </c>
      <c r="F110" s="76">
        <v>20298135745</v>
      </c>
      <c r="G110" s="77" t="s">
        <v>185</v>
      </c>
      <c r="H110" s="78">
        <v>104519.95</v>
      </c>
      <c r="I110" s="79">
        <v>21948.99</v>
      </c>
      <c r="J110" s="80"/>
      <c r="K110" s="80"/>
      <c r="L110" s="81">
        <f>SUM([1]VENTAS!$H124:$K124)</f>
        <v>235418</v>
      </c>
    </row>
    <row r="111" spans="1:12" x14ac:dyDescent="0.25">
      <c r="A111" s="82">
        <v>44428</v>
      </c>
      <c r="B111" s="72">
        <v>1</v>
      </c>
      <c r="C111" s="73">
        <v>10</v>
      </c>
      <c r="D111" s="74">
        <v>538</v>
      </c>
      <c r="E111" s="75">
        <v>80</v>
      </c>
      <c r="F111" s="76">
        <v>20228469492</v>
      </c>
      <c r="G111" s="77" t="s">
        <v>186</v>
      </c>
      <c r="H111" s="78">
        <v>194560</v>
      </c>
      <c r="I111" s="79">
        <v>40858</v>
      </c>
      <c r="J111" s="80"/>
      <c r="K111" s="80"/>
      <c r="L111" s="81">
        <f>SUM([1]VENTAS!$H125:$K125)</f>
        <v>253520.21500000003</v>
      </c>
    </row>
    <row r="112" spans="1:12" x14ac:dyDescent="0.25">
      <c r="A112" s="82">
        <v>44434</v>
      </c>
      <c r="B112" s="72">
        <v>1</v>
      </c>
      <c r="C112" s="73">
        <v>10</v>
      </c>
      <c r="D112" s="74">
        <v>539</v>
      </c>
      <c r="E112" s="75">
        <v>80</v>
      </c>
      <c r="F112" s="76">
        <v>20298135745</v>
      </c>
      <c r="G112" s="77" t="s">
        <v>185</v>
      </c>
      <c r="H112" s="78">
        <v>209521.63500000001</v>
      </c>
      <c r="I112" s="79">
        <v>43998.58</v>
      </c>
      <c r="J112" s="80"/>
      <c r="K112" s="80"/>
      <c r="L112" s="81">
        <f>SUM([1]VENTAS!$H126:$K126)</f>
        <v>36348.840000000004</v>
      </c>
    </row>
    <row r="113" spans="1:12" x14ac:dyDescent="0.25">
      <c r="A113" s="82">
        <v>44434</v>
      </c>
      <c r="B113" s="72">
        <v>1</v>
      </c>
      <c r="C113" s="73">
        <v>10</v>
      </c>
      <c r="D113" s="74">
        <v>540</v>
      </c>
      <c r="E113" s="75">
        <v>80</v>
      </c>
      <c r="F113" s="76">
        <v>33711071119</v>
      </c>
      <c r="G113" s="77" t="s">
        <v>182</v>
      </c>
      <c r="H113" s="78">
        <v>30039.99</v>
      </c>
      <c r="I113" s="79">
        <v>6308.85</v>
      </c>
      <c r="J113" s="80"/>
      <c r="K113" s="80"/>
      <c r="L113" s="81">
        <f>SUM([1]VENTAS!$H127:$K127)</f>
        <v>91181.38</v>
      </c>
    </row>
    <row r="114" spans="1:12" x14ac:dyDescent="0.25">
      <c r="A114" s="82">
        <v>44434</v>
      </c>
      <c r="B114" s="83">
        <v>1</v>
      </c>
      <c r="C114" s="84">
        <v>10</v>
      </c>
      <c r="D114" s="85">
        <v>541</v>
      </c>
      <c r="E114" s="86">
        <v>80</v>
      </c>
      <c r="F114" s="87">
        <v>30716963094</v>
      </c>
      <c r="G114" s="88" t="s">
        <v>183</v>
      </c>
      <c r="H114" s="89">
        <v>75356.850000000006</v>
      </c>
      <c r="I114" s="90">
        <v>15824.53</v>
      </c>
      <c r="J114" s="90"/>
      <c r="K114" s="90"/>
      <c r="L114" s="91">
        <f>SUM([1]VENTAS!$H128:$K128)</f>
        <v>30336.9375</v>
      </c>
    </row>
    <row r="115" spans="1:12" x14ac:dyDescent="0.25">
      <c r="A115" s="82">
        <v>44435</v>
      </c>
      <c r="B115" s="83">
        <v>1</v>
      </c>
      <c r="C115" s="84">
        <v>10</v>
      </c>
      <c r="D115" s="85">
        <v>542</v>
      </c>
      <c r="E115" s="86">
        <v>80</v>
      </c>
      <c r="F115" s="87">
        <v>33711071119</v>
      </c>
      <c r="G115" s="88" t="s">
        <v>182</v>
      </c>
      <c r="H115" s="89">
        <v>25072.0275</v>
      </c>
      <c r="I115" s="90">
        <v>5264.91</v>
      </c>
      <c r="J115" s="90"/>
      <c r="K115" s="90"/>
      <c r="L115" s="91">
        <f>SUM([1]VENTAS!$H129:$K129)</f>
        <v>5644030.7566999998</v>
      </c>
    </row>
    <row r="116" spans="1:12" ht="15.75" x14ac:dyDescent="0.25">
      <c r="A116" s="92"/>
      <c r="B116" s="93"/>
      <c r="C116" s="93"/>
      <c r="D116" s="94" t="s">
        <v>163</v>
      </c>
      <c r="E116" s="94"/>
      <c r="F116" s="95"/>
      <c r="G116" s="93"/>
      <c r="H116" s="96">
        <f>SUBTOTAL(109,H96:H115)</f>
        <v>4988223.915</v>
      </c>
      <c r="I116" s="96">
        <f>SUBTOTAL(109,I96:I115)</f>
        <v>264088.59169999999</v>
      </c>
      <c r="J116" s="96">
        <f>SUM(J96:J115)</f>
        <v>391718.25</v>
      </c>
      <c r="K116" s="96"/>
      <c r="L116" s="96">
        <f>SUBTOTAL(109,L96:L115)</f>
        <v>11289064.765899999</v>
      </c>
    </row>
    <row r="117" spans="1:12" ht="15.75" thickBot="1" x14ac:dyDescent="0.3">
      <c r="A117" s="68"/>
      <c r="I117" s="134">
        <f>SUM(I116:J116)</f>
        <v>655806.84169999999</v>
      </c>
      <c r="J117" s="135"/>
    </row>
    <row r="118" spans="1:12" ht="15.75" thickTop="1" x14ac:dyDescent="0.25">
      <c r="A118" s="68"/>
    </row>
    <row r="119" spans="1:12" ht="19.5" x14ac:dyDescent="0.25">
      <c r="A119" s="64" t="s">
        <v>154</v>
      </c>
      <c r="B119" s="65"/>
      <c r="C119" s="65"/>
      <c r="D119" s="65"/>
      <c r="E119" s="65"/>
      <c r="F119" s="65"/>
      <c r="G119" s="65"/>
      <c r="H119" s="65"/>
      <c r="I119" s="65"/>
      <c r="J119" s="66">
        <v>44440</v>
      </c>
      <c r="K119" s="67"/>
      <c r="L119" s="67"/>
    </row>
    <row r="120" spans="1:12" x14ac:dyDescent="0.25">
      <c r="A120" s="68"/>
    </row>
    <row r="121" spans="1:12" x14ac:dyDescent="0.25">
      <c r="A121" s="69" t="s">
        <v>1</v>
      </c>
      <c r="B121" s="70" t="s">
        <v>2</v>
      </c>
      <c r="C121" s="70" t="s">
        <v>3</v>
      </c>
      <c r="D121" s="70" t="s">
        <v>155</v>
      </c>
      <c r="E121" s="70" t="s">
        <v>156</v>
      </c>
      <c r="F121" s="70" t="s">
        <v>5</v>
      </c>
      <c r="G121" s="70" t="s">
        <v>6</v>
      </c>
      <c r="H121" s="70" t="s">
        <v>157</v>
      </c>
      <c r="I121" s="70" t="s">
        <v>158</v>
      </c>
      <c r="J121" s="70" t="s">
        <v>10</v>
      </c>
      <c r="K121" s="70" t="s">
        <v>12</v>
      </c>
      <c r="L121" s="70" t="s">
        <v>16</v>
      </c>
    </row>
    <row r="122" spans="1:12" x14ac:dyDescent="0.25">
      <c r="A122" s="71">
        <v>44448</v>
      </c>
      <c r="B122" s="72">
        <v>1</v>
      </c>
      <c r="C122" s="73">
        <v>3</v>
      </c>
      <c r="D122" s="74">
        <v>3</v>
      </c>
      <c r="E122" s="75"/>
      <c r="F122" s="76">
        <v>30638318470</v>
      </c>
      <c r="G122" s="77" t="s">
        <v>159</v>
      </c>
      <c r="H122" s="78">
        <v>3019940</v>
      </c>
      <c r="I122" s="79"/>
      <c r="J122" s="80">
        <v>317093.7</v>
      </c>
      <c r="K122" s="80">
        <v>317093.7</v>
      </c>
      <c r="L122" s="81">
        <f>SUM([1]VENTAS!$H136:$K136)</f>
        <v>3652636.6799999997</v>
      </c>
    </row>
    <row r="123" spans="1:12" x14ac:dyDescent="0.25">
      <c r="A123" s="71">
        <v>44448</v>
      </c>
      <c r="B123" s="72">
        <v>1</v>
      </c>
      <c r="C123" s="73">
        <v>3</v>
      </c>
      <c r="D123" s="74">
        <v>1</v>
      </c>
      <c r="E123" s="75"/>
      <c r="F123" s="76">
        <v>30638318470</v>
      </c>
      <c r="G123" s="77" t="s">
        <v>159</v>
      </c>
      <c r="H123" s="78">
        <v>3018708</v>
      </c>
      <c r="I123" s="79"/>
      <c r="J123" s="80">
        <v>316964.34000000003</v>
      </c>
      <c r="K123" s="80">
        <v>316964.34000000003</v>
      </c>
      <c r="L123" s="81">
        <f>SUM([1]VENTAS!$H137:$K137)</f>
        <v>338011.42499999999</v>
      </c>
    </row>
    <row r="124" spans="1:12" x14ac:dyDescent="0.25">
      <c r="A124" s="71">
        <v>44448</v>
      </c>
      <c r="B124" s="72">
        <v>1</v>
      </c>
      <c r="C124" s="73">
        <v>3</v>
      </c>
      <c r="D124" s="74">
        <v>4</v>
      </c>
      <c r="E124" s="75"/>
      <c r="F124" s="76">
        <v>30716041596</v>
      </c>
      <c r="G124" s="77" t="s">
        <v>173</v>
      </c>
      <c r="H124" s="78">
        <v>279328.5</v>
      </c>
      <c r="I124" s="79">
        <v>58682.924999999996</v>
      </c>
      <c r="J124" s="80"/>
      <c r="K124" s="80"/>
      <c r="L124" s="81">
        <f>SUM([1]VENTAS!$H138:$K138)</f>
        <v>41977.32</v>
      </c>
    </row>
    <row r="125" spans="1:12" x14ac:dyDescent="0.25">
      <c r="A125" s="71">
        <v>44448</v>
      </c>
      <c r="B125" s="72">
        <v>1</v>
      </c>
      <c r="C125" s="73">
        <v>3</v>
      </c>
      <c r="D125" s="74">
        <v>2</v>
      </c>
      <c r="E125" s="75"/>
      <c r="F125" s="76">
        <v>30711015961</v>
      </c>
      <c r="G125" s="77" t="s">
        <v>187</v>
      </c>
      <c r="H125" s="78">
        <v>34692</v>
      </c>
      <c r="I125" s="79">
        <v>7285.32</v>
      </c>
      <c r="J125" s="80"/>
      <c r="K125" s="80"/>
      <c r="L125" s="81">
        <f>SUM([1]VENTAS!$H139:$K139)</f>
        <v>1783760.898</v>
      </c>
    </row>
    <row r="126" spans="1:12" x14ac:dyDescent="0.25">
      <c r="A126" s="71">
        <v>44449</v>
      </c>
      <c r="B126" s="72">
        <v>1</v>
      </c>
      <c r="C126" s="73">
        <v>3</v>
      </c>
      <c r="D126" s="74">
        <v>5</v>
      </c>
      <c r="E126" s="75"/>
      <c r="F126" s="76">
        <v>30628274327</v>
      </c>
      <c r="G126" s="77" t="s">
        <v>162</v>
      </c>
      <c r="H126" s="78">
        <v>1474181.75</v>
      </c>
      <c r="I126" s="79"/>
      <c r="J126" s="80">
        <v>154789.57399999999</v>
      </c>
      <c r="K126" s="80">
        <v>154789.57399999999</v>
      </c>
      <c r="L126" s="81">
        <f>SUM([1]VENTAS!$H140:$K140)</f>
        <v>230281.57250000001</v>
      </c>
    </row>
    <row r="127" spans="1:12" x14ac:dyDescent="0.25">
      <c r="A127" s="71">
        <v>44452</v>
      </c>
      <c r="B127" s="72">
        <v>1</v>
      </c>
      <c r="C127" s="73">
        <v>3</v>
      </c>
      <c r="D127" s="74">
        <v>7</v>
      </c>
      <c r="E127" s="75"/>
      <c r="F127" s="76">
        <v>30716963094</v>
      </c>
      <c r="G127" s="77" t="s">
        <v>183</v>
      </c>
      <c r="H127" s="78">
        <v>190315.5625</v>
      </c>
      <c r="I127" s="79">
        <v>39966.009999999995</v>
      </c>
      <c r="J127" s="80"/>
      <c r="K127" s="80"/>
      <c r="L127" s="81">
        <f>SUM([1]VENTAS!$H141:$K141)</f>
        <v>1220296.4828999999</v>
      </c>
    </row>
    <row r="128" spans="1:12" x14ac:dyDescent="0.25">
      <c r="A128" s="71">
        <v>44452</v>
      </c>
      <c r="B128" s="72">
        <v>1</v>
      </c>
      <c r="C128" s="73">
        <v>3</v>
      </c>
      <c r="D128" s="74">
        <v>6</v>
      </c>
      <c r="E128" s="75"/>
      <c r="F128" s="76">
        <v>30628274327</v>
      </c>
      <c r="G128" s="77" t="s">
        <v>162</v>
      </c>
      <c r="H128" s="78">
        <v>1008509.49</v>
      </c>
      <c r="I128" s="79"/>
      <c r="J128" s="80">
        <v>105893.49644999999</v>
      </c>
      <c r="K128" s="80">
        <v>105893.49644999999</v>
      </c>
      <c r="L128" s="81">
        <f>SUM([1]VENTAS!$H142:$K142)</f>
        <v>82080.652499999997</v>
      </c>
    </row>
    <row r="129" spans="1:12" x14ac:dyDescent="0.25">
      <c r="A129" s="71">
        <v>44453</v>
      </c>
      <c r="B129" s="72">
        <v>1</v>
      </c>
      <c r="C129" s="73">
        <v>3</v>
      </c>
      <c r="D129" s="74">
        <v>9</v>
      </c>
      <c r="E129" s="75"/>
      <c r="F129" s="76">
        <v>30516938133</v>
      </c>
      <c r="G129" s="77" t="s">
        <v>176</v>
      </c>
      <c r="H129" s="78">
        <v>67835.25</v>
      </c>
      <c r="I129" s="79">
        <v>14245.4025</v>
      </c>
      <c r="J129" s="80"/>
      <c r="K129" s="80"/>
      <c r="L129" s="81">
        <f>SUM([1]VENTAS!$H143:$K143)</f>
        <v>1033646.13</v>
      </c>
    </row>
    <row r="130" spans="1:12" x14ac:dyDescent="0.25">
      <c r="A130" s="71">
        <v>44453</v>
      </c>
      <c r="B130" s="72">
        <v>1</v>
      </c>
      <c r="C130" s="73">
        <v>3</v>
      </c>
      <c r="D130" s="74">
        <v>8</v>
      </c>
      <c r="E130" s="75"/>
      <c r="F130" s="76">
        <v>30638318470</v>
      </c>
      <c r="G130" s="77" t="s">
        <v>159</v>
      </c>
      <c r="H130" s="78">
        <v>854253</v>
      </c>
      <c r="I130" s="79">
        <v>179393.13</v>
      </c>
      <c r="J130" s="80"/>
      <c r="K130" s="80"/>
      <c r="L130" s="81">
        <f>SUM([1]VENTAS!$H144:$K144)</f>
        <v>50745.014999999999</v>
      </c>
    </row>
    <row r="131" spans="1:12" x14ac:dyDescent="0.25">
      <c r="A131" s="71">
        <v>44455</v>
      </c>
      <c r="B131" s="72">
        <v>1</v>
      </c>
      <c r="C131" s="73">
        <v>3</v>
      </c>
      <c r="D131" s="74">
        <v>11</v>
      </c>
      <c r="E131" s="75"/>
      <c r="F131" s="76">
        <v>30516938133</v>
      </c>
      <c r="G131" s="77" t="s">
        <v>176</v>
      </c>
      <c r="H131" s="78">
        <v>41938.199999999997</v>
      </c>
      <c r="I131" s="79">
        <v>8806.8150000000005</v>
      </c>
      <c r="J131" s="80"/>
      <c r="K131" s="80"/>
      <c r="L131" s="81">
        <f>SUM([1]VENTAS!$H145:$K145)</f>
        <v>235191.33000000002</v>
      </c>
    </row>
    <row r="132" spans="1:12" x14ac:dyDescent="0.25">
      <c r="A132" s="71">
        <v>44455</v>
      </c>
      <c r="B132" s="72">
        <v>1</v>
      </c>
      <c r="C132" s="73">
        <v>3</v>
      </c>
      <c r="D132" s="74">
        <v>10</v>
      </c>
      <c r="E132" s="75"/>
      <c r="F132" s="76">
        <v>20298135745</v>
      </c>
      <c r="G132" s="77" t="s">
        <v>185</v>
      </c>
      <c r="H132" s="78">
        <v>194373</v>
      </c>
      <c r="I132" s="79">
        <v>40818.33</v>
      </c>
      <c r="J132" s="80"/>
      <c r="K132" s="80"/>
      <c r="L132" s="81">
        <f>SUM([1]VENTAS!$H146:$K146)</f>
        <v>35504.639999999999</v>
      </c>
    </row>
    <row r="133" spans="1:12" x14ac:dyDescent="0.25">
      <c r="A133" s="71">
        <v>44456</v>
      </c>
      <c r="B133" s="72">
        <v>1</v>
      </c>
      <c r="C133" s="73">
        <v>3</v>
      </c>
      <c r="D133" s="74">
        <v>12</v>
      </c>
      <c r="E133" s="75"/>
      <c r="F133" s="76">
        <v>30516938133</v>
      </c>
      <c r="G133" s="77" t="s">
        <v>176</v>
      </c>
      <c r="H133" s="78">
        <v>29342.25</v>
      </c>
      <c r="I133" s="79">
        <v>6162.39</v>
      </c>
      <c r="J133" s="80"/>
      <c r="K133" s="80"/>
      <c r="L133" s="81">
        <f>SUM([1]VENTAS!$H147:$K147)</f>
        <v>180874.63750000001</v>
      </c>
    </row>
    <row r="134" spans="1:12" x14ac:dyDescent="0.25">
      <c r="A134" s="71">
        <v>44460</v>
      </c>
      <c r="B134" s="72">
        <v>1</v>
      </c>
      <c r="C134" s="73">
        <v>3</v>
      </c>
      <c r="D134" s="74">
        <v>13</v>
      </c>
      <c r="E134" s="75"/>
      <c r="F134" s="76">
        <v>30716963094</v>
      </c>
      <c r="G134" s="77" t="s">
        <v>183</v>
      </c>
      <c r="H134" s="78">
        <v>149483</v>
      </c>
      <c r="I134" s="79">
        <v>31391.637500000001</v>
      </c>
      <c r="J134" s="80"/>
      <c r="K134" s="80"/>
      <c r="L134" s="81">
        <f>SUM([1]VENTAS!$H148:$K148)</f>
        <v>2412516.15</v>
      </c>
    </row>
    <row r="135" spans="1:12" x14ac:dyDescent="0.25">
      <c r="A135" s="71">
        <v>44460</v>
      </c>
      <c r="B135" s="72">
        <v>1</v>
      </c>
      <c r="C135" s="73">
        <v>3</v>
      </c>
      <c r="D135" s="74">
        <v>14</v>
      </c>
      <c r="E135" s="75"/>
      <c r="F135" s="76">
        <v>30638318470</v>
      </c>
      <c r="G135" s="77" t="s">
        <v>159</v>
      </c>
      <c r="H135" s="78">
        <v>1993814.9999999998</v>
      </c>
      <c r="I135" s="79">
        <v>20676.599999999999</v>
      </c>
      <c r="J135" s="80">
        <v>199012.27499999999</v>
      </c>
      <c r="K135" s="80">
        <v>199012.27499999999</v>
      </c>
      <c r="L135" s="81">
        <f>SUM([1]VENTAS!$H149:$K149)</f>
        <v>1090315.0144000002</v>
      </c>
    </row>
    <row r="136" spans="1:12" x14ac:dyDescent="0.25">
      <c r="A136" s="71">
        <v>44468</v>
      </c>
      <c r="B136" s="72">
        <v>1</v>
      </c>
      <c r="C136" s="73">
        <v>3</v>
      </c>
      <c r="D136" s="74">
        <v>15</v>
      </c>
      <c r="E136" s="75"/>
      <c r="F136" s="76">
        <v>30638318470</v>
      </c>
      <c r="G136" s="77" t="s">
        <v>159</v>
      </c>
      <c r="H136" s="78">
        <v>901086.54400000011</v>
      </c>
      <c r="I136" s="79">
        <v>189228.47039999999</v>
      </c>
      <c r="J136" s="80"/>
      <c r="K136" s="80"/>
      <c r="L136" s="81">
        <f>SUM([1]VENTAS!$H150:$K150)</f>
        <v>85883.212499999994</v>
      </c>
    </row>
    <row r="137" spans="1:12" x14ac:dyDescent="0.25">
      <c r="A137" s="82">
        <v>44468</v>
      </c>
      <c r="B137" s="83">
        <v>1</v>
      </c>
      <c r="C137" s="84">
        <v>3</v>
      </c>
      <c r="D137" s="85">
        <v>16</v>
      </c>
      <c r="E137" s="86"/>
      <c r="F137" s="87">
        <v>30711015961</v>
      </c>
      <c r="G137" s="88" t="s">
        <v>187</v>
      </c>
      <c r="H137" s="89">
        <v>70977.45</v>
      </c>
      <c r="I137" s="90">
        <v>14905.762499999999</v>
      </c>
      <c r="J137" s="90"/>
      <c r="K137" s="90"/>
      <c r="L137" s="91">
        <f>SUM([1]VENTAS!$H151:$K151)</f>
        <v>119451.2</v>
      </c>
    </row>
    <row r="138" spans="1:12" x14ac:dyDescent="0.25">
      <c r="A138" s="82">
        <v>44469</v>
      </c>
      <c r="B138" s="83">
        <v>1</v>
      </c>
      <c r="C138" s="84">
        <v>3</v>
      </c>
      <c r="D138" s="85">
        <v>17</v>
      </c>
      <c r="E138" s="86"/>
      <c r="F138" s="87">
        <v>30708499761</v>
      </c>
      <c r="G138" s="88" t="s">
        <v>188</v>
      </c>
      <c r="H138" s="89">
        <v>98720</v>
      </c>
      <c r="I138" s="90">
        <v>20731.2</v>
      </c>
      <c r="J138" s="90"/>
      <c r="K138" s="90"/>
      <c r="L138" s="91">
        <f>SUM([1]VENTAS!$H152:$K152)</f>
        <v>-3652636.6799999997</v>
      </c>
    </row>
    <row r="139" spans="1:12" x14ac:dyDescent="0.25">
      <c r="A139" s="82">
        <v>44448</v>
      </c>
      <c r="B139" s="83">
        <v>3</v>
      </c>
      <c r="C139" s="84">
        <v>3</v>
      </c>
      <c r="D139" s="85">
        <v>1</v>
      </c>
      <c r="E139" s="86"/>
      <c r="F139" s="87">
        <v>30638318470</v>
      </c>
      <c r="G139" s="88" t="s">
        <v>159</v>
      </c>
      <c r="H139" s="89">
        <v>-3018708</v>
      </c>
      <c r="I139" s="90"/>
      <c r="J139" s="90">
        <v>-316964.34000000003</v>
      </c>
      <c r="K139" s="90">
        <v>-316964.34000000003</v>
      </c>
      <c r="L139" s="91">
        <f>SUM([1]VENTAS!$H153:$K153)</f>
        <v>-1783760.8900000001</v>
      </c>
    </row>
    <row r="140" spans="1:12" x14ac:dyDescent="0.25">
      <c r="A140" s="82">
        <v>44452</v>
      </c>
      <c r="B140" s="83">
        <v>3</v>
      </c>
      <c r="C140" s="84">
        <v>3</v>
      </c>
      <c r="D140" s="85">
        <v>2</v>
      </c>
      <c r="E140" s="86"/>
      <c r="F140" s="87">
        <v>30628274327</v>
      </c>
      <c r="G140" s="88" t="s">
        <v>162</v>
      </c>
      <c r="H140" s="89">
        <v>-1474181.75</v>
      </c>
      <c r="I140" s="90"/>
      <c r="J140" s="90">
        <v>-154789.57</v>
      </c>
      <c r="K140" s="90">
        <v>-154789.57</v>
      </c>
      <c r="L140" s="91">
        <f>SUM([1]VENTAS!$H154:$K154)</f>
        <v>10188902.714849999</v>
      </c>
    </row>
    <row r="141" spans="1:12" ht="15.75" x14ac:dyDescent="0.25">
      <c r="A141" s="92"/>
      <c r="B141" s="93"/>
      <c r="C141" s="93"/>
      <c r="D141" s="94" t="s">
        <v>163</v>
      </c>
      <c r="E141" s="94"/>
      <c r="F141" s="95"/>
      <c r="G141" s="93"/>
      <c r="H141" s="96">
        <f>SUBTOTAL(109,H122:H140)</f>
        <v>8934609.2464999985</v>
      </c>
      <c r="I141" s="96">
        <f>SUBTOTAL(109,I122:I140)</f>
        <v>632293.99289999995</v>
      </c>
      <c r="J141" s="96">
        <f>SUM(J122:J140)</f>
        <v>621999.47544999979</v>
      </c>
      <c r="K141" s="96"/>
      <c r="L141" s="96">
        <f>SUBTOTAL(109,L122:L140)</f>
        <v>17345677.505149998</v>
      </c>
    </row>
    <row r="142" spans="1:12" ht="15.75" thickBot="1" x14ac:dyDescent="0.3">
      <c r="A142" s="68"/>
      <c r="I142" s="134">
        <f>SUM(I141:J141)</f>
        <v>1254293.4683499997</v>
      </c>
      <c r="J142" s="135"/>
    </row>
    <row r="143" spans="1:12" ht="15.75" thickTop="1" x14ac:dyDescent="0.25">
      <c r="A143" s="68"/>
      <c r="I143" s="108"/>
      <c r="J143" s="98"/>
    </row>
    <row r="144" spans="1:12" ht="15.75" thickBot="1" x14ac:dyDescent="0.3">
      <c r="A144" s="97" t="s">
        <v>165</v>
      </c>
      <c r="I144" s="108"/>
      <c r="J144" s="98"/>
    </row>
    <row r="145" spans="1:12" x14ac:dyDescent="0.25">
      <c r="A145" s="99" t="s">
        <v>1</v>
      </c>
      <c r="B145" s="100" t="s">
        <v>166</v>
      </c>
      <c r="C145" s="100" t="s">
        <v>167</v>
      </c>
      <c r="D145" s="100" t="s">
        <v>168</v>
      </c>
      <c r="E145" s="100" t="s">
        <v>177</v>
      </c>
      <c r="F145" s="100" t="s">
        <v>178</v>
      </c>
      <c r="G145" s="100" t="s">
        <v>169</v>
      </c>
      <c r="H145" s="101" t="s">
        <v>170</v>
      </c>
      <c r="I145" s="108"/>
      <c r="J145" s="98"/>
    </row>
    <row r="146" spans="1:12" x14ac:dyDescent="0.25">
      <c r="A146" s="102">
        <v>44462</v>
      </c>
      <c r="B146" s="109" t="s">
        <v>189</v>
      </c>
      <c r="C146" s="103">
        <v>30700940957</v>
      </c>
      <c r="D146" s="103" t="s">
        <v>190</v>
      </c>
      <c r="E146" s="104"/>
      <c r="F146" s="104" t="s">
        <v>85</v>
      </c>
      <c r="G146" s="105">
        <v>5905.6</v>
      </c>
      <c r="H146" s="106"/>
      <c r="I146" s="108"/>
      <c r="J146" s="98"/>
    </row>
    <row r="147" spans="1:12" ht="15.75" x14ac:dyDescent="0.25">
      <c r="A147" s="92"/>
      <c r="B147" s="93"/>
      <c r="C147" s="94" t="s">
        <v>163</v>
      </c>
      <c r="D147" s="94"/>
      <c r="E147" s="95"/>
      <c r="F147" s="93"/>
      <c r="G147" s="96">
        <f>SUBTOTAL(109,G146:G146)</f>
        <v>5905.6</v>
      </c>
      <c r="H147" s="96">
        <f>SUBTOTAL(109,H146:H146)</f>
        <v>0</v>
      </c>
      <c r="I147" s="108"/>
      <c r="J147" s="98"/>
    </row>
    <row r="148" spans="1:12" x14ac:dyDescent="0.25">
      <c r="A148" s="68"/>
      <c r="I148" s="108"/>
      <c r="J148" s="98"/>
    </row>
    <row r="149" spans="1:12" x14ac:dyDescent="0.25">
      <c r="A149" s="68"/>
      <c r="I149" s="108"/>
      <c r="J149" s="98"/>
    </row>
    <row r="150" spans="1:12" x14ac:dyDescent="0.25">
      <c r="A150" s="68"/>
    </row>
    <row r="151" spans="1:12" ht="19.5" x14ac:dyDescent="0.25">
      <c r="A151" s="64" t="s">
        <v>154</v>
      </c>
      <c r="B151" s="65"/>
      <c r="C151" s="65"/>
      <c r="D151" s="65"/>
      <c r="E151" s="65"/>
      <c r="F151" s="65"/>
      <c r="G151" s="65"/>
      <c r="H151" s="65"/>
      <c r="I151" s="65"/>
      <c r="J151" s="66">
        <v>44470</v>
      </c>
      <c r="K151" s="67"/>
      <c r="L151" s="67"/>
    </row>
    <row r="152" spans="1:12" x14ac:dyDescent="0.25">
      <c r="A152" s="68"/>
    </row>
    <row r="153" spans="1:12" x14ac:dyDescent="0.25">
      <c r="A153" s="69" t="s">
        <v>1</v>
      </c>
      <c r="B153" s="70" t="s">
        <v>2</v>
      </c>
      <c r="C153" s="70" t="s">
        <v>3</v>
      </c>
      <c r="D153" s="70" t="s">
        <v>155</v>
      </c>
      <c r="E153" s="70" t="s">
        <v>156</v>
      </c>
      <c r="F153" s="70" t="s">
        <v>5</v>
      </c>
      <c r="G153" s="70" t="s">
        <v>6</v>
      </c>
      <c r="H153" s="70" t="s">
        <v>157</v>
      </c>
      <c r="I153" s="70" t="s">
        <v>158</v>
      </c>
      <c r="J153" s="70" t="s">
        <v>10</v>
      </c>
      <c r="K153" s="70" t="s">
        <v>12</v>
      </c>
      <c r="L153" s="70" t="s">
        <v>16</v>
      </c>
    </row>
    <row r="154" spans="1:12" x14ac:dyDescent="0.25">
      <c r="A154" s="82">
        <v>44475</v>
      </c>
      <c r="B154" s="83">
        <v>3</v>
      </c>
      <c r="C154" s="84">
        <v>3</v>
      </c>
      <c r="D154" s="85">
        <v>3</v>
      </c>
      <c r="E154" s="86"/>
      <c r="F154" s="87">
        <v>33517381549</v>
      </c>
      <c r="G154" s="88" t="s">
        <v>191</v>
      </c>
      <c r="H154" s="89">
        <v>-161939.44</v>
      </c>
      <c r="I154" s="90">
        <v>-34007.282400000004</v>
      </c>
      <c r="J154" s="90"/>
      <c r="K154" s="90"/>
      <c r="L154" s="91">
        <f>SUM([1]VENTAS!$H168:$K168)</f>
        <v>195946.7224</v>
      </c>
    </row>
    <row r="155" spans="1:12" x14ac:dyDescent="0.25">
      <c r="A155" s="82">
        <v>44470</v>
      </c>
      <c r="B155" s="83">
        <v>1</v>
      </c>
      <c r="C155" s="84">
        <v>3</v>
      </c>
      <c r="D155" s="85">
        <v>18</v>
      </c>
      <c r="E155" s="86"/>
      <c r="F155" s="87">
        <v>33517381549</v>
      </c>
      <c r="G155" s="88" t="s">
        <v>191</v>
      </c>
      <c r="H155" s="89">
        <v>161939.44</v>
      </c>
      <c r="I155" s="90">
        <v>34007.282400000004</v>
      </c>
      <c r="J155" s="90"/>
      <c r="K155" s="90"/>
      <c r="L155" s="91">
        <f>SUM([1]VENTAS!$H169:$K169)</f>
        <v>600092.35</v>
      </c>
    </row>
    <row r="156" spans="1:12" x14ac:dyDescent="0.25">
      <c r="A156" s="82">
        <v>44470</v>
      </c>
      <c r="B156" s="83">
        <v>1</v>
      </c>
      <c r="C156" s="84">
        <v>3</v>
      </c>
      <c r="D156" s="85">
        <v>19</v>
      </c>
      <c r="E156" s="86"/>
      <c r="F156" s="87">
        <v>30707466320</v>
      </c>
      <c r="G156" s="88" t="s">
        <v>192</v>
      </c>
      <c r="H156" s="89">
        <v>543070</v>
      </c>
      <c r="I156" s="90"/>
      <c r="J156" s="90">
        <v>57022.35</v>
      </c>
      <c r="K156" s="90"/>
      <c r="L156" s="91">
        <f>SUM([1]VENTAS!$H170:$K170)</f>
        <v>4207027.8250000002</v>
      </c>
    </row>
    <row r="157" spans="1:12" x14ac:dyDescent="0.25">
      <c r="A157" s="82">
        <v>44475</v>
      </c>
      <c r="B157" s="83">
        <v>1</v>
      </c>
      <c r="C157" s="84">
        <v>3</v>
      </c>
      <c r="D157" s="85">
        <v>20</v>
      </c>
      <c r="E157" s="86"/>
      <c r="F157" s="87">
        <v>30638318470</v>
      </c>
      <c r="G157" s="88" t="s">
        <v>159</v>
      </c>
      <c r="H157" s="89">
        <v>3807265</v>
      </c>
      <c r="I157" s="90"/>
      <c r="J157" s="90">
        <v>399762.82500000001</v>
      </c>
      <c r="K157" s="90"/>
      <c r="L157" s="91">
        <f>SUM([1]VENTAS!$H171:$K171)</f>
        <v>1395531.2299499998</v>
      </c>
    </row>
    <row r="158" spans="1:12" x14ac:dyDescent="0.25">
      <c r="A158" s="82">
        <v>44475</v>
      </c>
      <c r="B158" s="83">
        <v>1</v>
      </c>
      <c r="C158" s="84">
        <v>3</v>
      </c>
      <c r="D158" s="85">
        <v>21</v>
      </c>
      <c r="E158" s="86"/>
      <c r="F158" s="87">
        <v>30628274327</v>
      </c>
      <c r="G158" s="88" t="s">
        <v>162</v>
      </c>
      <c r="H158" s="89">
        <v>1262924.19</v>
      </c>
      <c r="I158" s="90"/>
      <c r="J158" s="90">
        <v>132607.03994999998</v>
      </c>
      <c r="K158" s="90"/>
      <c r="L158" s="91">
        <f>SUM([1]VENTAS!$H172:$K172)</f>
        <v>166954.64444999999</v>
      </c>
    </row>
    <row r="159" spans="1:12" x14ac:dyDescent="0.25">
      <c r="A159" s="71">
        <v>44475</v>
      </c>
      <c r="B159" s="72">
        <v>1</v>
      </c>
      <c r="C159" s="73">
        <v>3</v>
      </c>
      <c r="D159" s="74">
        <v>22</v>
      </c>
      <c r="E159" s="75"/>
      <c r="F159" s="76">
        <v>33517381549</v>
      </c>
      <c r="G159" s="77" t="s">
        <v>191</v>
      </c>
      <c r="H159" s="78">
        <v>137979.04499999998</v>
      </c>
      <c r="I159" s="79">
        <v>28975.599449999998</v>
      </c>
      <c r="J159" s="80"/>
      <c r="K159" s="80"/>
      <c r="L159" s="81">
        <f>SUM([1]VENTAS!$H173:$K173)</f>
        <v>82563.260999999999</v>
      </c>
    </row>
    <row r="160" spans="1:12" x14ac:dyDescent="0.25">
      <c r="A160" s="71">
        <v>44475</v>
      </c>
      <c r="B160" s="72">
        <v>1</v>
      </c>
      <c r="C160" s="73">
        <v>3</v>
      </c>
      <c r="D160" s="74">
        <v>23</v>
      </c>
      <c r="E160" s="75"/>
      <c r="F160" s="76">
        <v>30716041596</v>
      </c>
      <c r="G160" s="77" t="s">
        <v>173</v>
      </c>
      <c r="H160" s="78">
        <v>68234.100000000006</v>
      </c>
      <c r="I160" s="79">
        <v>14329.161</v>
      </c>
      <c r="J160" s="80"/>
      <c r="K160" s="80"/>
      <c r="L160" s="81">
        <f>SUM([1]VENTAS!$H174:$K174)</f>
        <v>82267.645899999989</v>
      </c>
    </row>
    <row r="161" spans="1:12" x14ac:dyDescent="0.25">
      <c r="A161" s="71">
        <v>44487</v>
      </c>
      <c r="B161" s="72">
        <v>1</v>
      </c>
      <c r="C161" s="73">
        <v>3</v>
      </c>
      <c r="D161" s="74">
        <v>24</v>
      </c>
      <c r="E161" s="75"/>
      <c r="F161" s="76">
        <v>30516938133</v>
      </c>
      <c r="G161" s="77" t="s">
        <v>176</v>
      </c>
      <c r="H161" s="78">
        <v>67989.789999999994</v>
      </c>
      <c r="I161" s="79">
        <v>14277.855899999999</v>
      </c>
      <c r="J161" s="80"/>
      <c r="K161" s="80"/>
      <c r="L161" s="81">
        <f>SUM([1]VENTAS!$H175:$K175)</f>
        <v>138634.29800000001</v>
      </c>
    </row>
    <row r="162" spans="1:12" x14ac:dyDescent="0.25">
      <c r="A162" s="71">
        <v>44487</v>
      </c>
      <c r="B162" s="72">
        <v>1</v>
      </c>
      <c r="C162" s="73">
        <v>3</v>
      </c>
      <c r="D162" s="74">
        <v>25</v>
      </c>
      <c r="E162" s="75"/>
      <c r="F162" s="76">
        <v>30716963094</v>
      </c>
      <c r="G162" s="77" t="s">
        <v>183</v>
      </c>
      <c r="H162" s="78">
        <v>114573.8</v>
      </c>
      <c r="I162" s="79">
        <v>24060.498000000003</v>
      </c>
      <c r="J162" s="80"/>
      <c r="K162" s="80"/>
      <c r="L162" s="81">
        <f>SUM([1]VENTAS!$H176:$K176)</f>
        <v>75220.866049999997</v>
      </c>
    </row>
    <row r="163" spans="1:12" x14ac:dyDescent="0.25">
      <c r="A163" s="71">
        <v>44487</v>
      </c>
      <c r="B163" s="72">
        <v>1</v>
      </c>
      <c r="C163" s="73">
        <v>3</v>
      </c>
      <c r="D163" s="74">
        <v>26</v>
      </c>
      <c r="E163" s="75"/>
      <c r="F163" s="76">
        <v>20252310313</v>
      </c>
      <c r="G163" s="77" t="s">
        <v>184</v>
      </c>
      <c r="H163" s="78">
        <v>62166.004999999997</v>
      </c>
      <c r="I163" s="79">
        <v>13054.86105</v>
      </c>
      <c r="J163" s="80"/>
      <c r="K163" s="80"/>
      <c r="L163" s="81">
        <f>SUM([1]VENTAS!$H177:$K177)</f>
        <v>231603.17179999998</v>
      </c>
    </row>
    <row r="164" spans="1:12" x14ac:dyDescent="0.25">
      <c r="A164" s="71">
        <v>44489</v>
      </c>
      <c r="B164" s="72">
        <v>1</v>
      </c>
      <c r="C164" s="73">
        <v>3</v>
      </c>
      <c r="D164" s="74">
        <v>27</v>
      </c>
      <c r="E164" s="75"/>
      <c r="F164" s="76">
        <v>20298135745</v>
      </c>
      <c r="G164" s="77" t="s">
        <v>185</v>
      </c>
      <c r="H164" s="78">
        <v>191407.58</v>
      </c>
      <c r="I164" s="79">
        <v>40195.591799999995</v>
      </c>
      <c r="J164" s="80"/>
      <c r="K164" s="80"/>
      <c r="L164" s="81">
        <f>SUM([1]VENTAS!$H178:$K178)</f>
        <v>92018.684999999998</v>
      </c>
    </row>
    <row r="165" spans="1:12" x14ac:dyDescent="0.25">
      <c r="A165" s="71">
        <v>44491</v>
      </c>
      <c r="B165" s="72">
        <v>1</v>
      </c>
      <c r="C165" s="73">
        <v>3</v>
      </c>
      <c r="D165" s="74">
        <v>28</v>
      </c>
      <c r="E165" s="75"/>
      <c r="F165" s="76">
        <v>30711015961</v>
      </c>
      <c r="G165" s="77" t="s">
        <v>187</v>
      </c>
      <c r="H165" s="78">
        <v>76048.5</v>
      </c>
      <c r="I165" s="79">
        <v>15970.184999999999</v>
      </c>
      <c r="J165" s="80"/>
      <c r="K165" s="80"/>
      <c r="L165" s="81">
        <f>SUM([1]VENTAS!$H179:$K179)</f>
        <v>89704.275649999996</v>
      </c>
    </row>
    <row r="166" spans="1:12" x14ac:dyDescent="0.25">
      <c r="A166" s="71">
        <v>44494</v>
      </c>
      <c r="B166" s="72">
        <v>1</v>
      </c>
      <c r="C166" s="73">
        <v>3</v>
      </c>
      <c r="D166" s="74">
        <v>29</v>
      </c>
      <c r="E166" s="75"/>
      <c r="F166" s="76">
        <v>20252310313</v>
      </c>
      <c r="G166" s="77" t="s">
        <v>184</v>
      </c>
      <c r="H166" s="78">
        <v>74135.764999999999</v>
      </c>
      <c r="I166" s="79">
        <v>15568.51065</v>
      </c>
      <c r="J166" s="80"/>
      <c r="K166" s="80"/>
      <c r="L166" s="81">
        <f>SUM([1]VENTAS!$H180:$K180)</f>
        <v>936657.49319999991</v>
      </c>
    </row>
    <row r="167" spans="1:12" x14ac:dyDescent="0.25">
      <c r="A167" s="71">
        <v>44495</v>
      </c>
      <c r="B167" s="72">
        <v>1</v>
      </c>
      <c r="C167" s="73">
        <v>3</v>
      </c>
      <c r="D167" s="74">
        <v>30</v>
      </c>
      <c r="E167" s="75"/>
      <c r="F167" s="76">
        <v>30628274327</v>
      </c>
      <c r="G167" s="77" t="s">
        <v>162</v>
      </c>
      <c r="H167" s="78">
        <v>847653.84</v>
      </c>
      <c r="I167" s="79"/>
      <c r="J167" s="80">
        <v>89003.653199999986</v>
      </c>
      <c r="K167" s="80"/>
      <c r="L167" s="81">
        <f>SUM([1]VENTAS!$H181:$K181)</f>
        <v>97574.399999999994</v>
      </c>
    </row>
    <row r="168" spans="1:12" x14ac:dyDescent="0.25">
      <c r="A168" s="71">
        <v>44497</v>
      </c>
      <c r="B168" s="72">
        <v>1</v>
      </c>
      <c r="C168" s="73">
        <v>3</v>
      </c>
      <c r="D168" s="74">
        <v>31</v>
      </c>
      <c r="E168" s="75"/>
      <c r="F168" s="76">
        <v>20271587806</v>
      </c>
      <c r="G168" s="77" t="s">
        <v>193</v>
      </c>
      <c r="H168" s="78">
        <v>80640</v>
      </c>
      <c r="I168" s="79">
        <v>16934.400000000001</v>
      </c>
      <c r="J168" s="80"/>
      <c r="K168" s="80"/>
      <c r="L168" s="81">
        <f>SUM([1]VENTAS!$H182:$K182)</f>
        <v>118654.53599999999</v>
      </c>
    </row>
    <row r="169" spans="1:12" x14ac:dyDescent="0.25">
      <c r="A169" s="82">
        <v>44497</v>
      </c>
      <c r="B169" s="83">
        <v>1</v>
      </c>
      <c r="C169" s="84">
        <v>3</v>
      </c>
      <c r="D169" s="85">
        <v>32</v>
      </c>
      <c r="E169" s="86"/>
      <c r="F169" s="87">
        <v>20298135745</v>
      </c>
      <c r="G169" s="88" t="s">
        <v>185</v>
      </c>
      <c r="H169" s="89">
        <v>98061.599999999991</v>
      </c>
      <c r="I169" s="90">
        <v>20592.935999999998</v>
      </c>
      <c r="J169" s="90"/>
      <c r="K169" s="90"/>
      <c r="L169" s="91">
        <f>SUM([1]VENTAS!$H183:$K183)</f>
        <v>8314504.6819999972</v>
      </c>
    </row>
    <row r="170" spans="1:12" ht="15.75" x14ac:dyDescent="0.25">
      <c r="A170" s="92"/>
      <c r="B170" s="93"/>
      <c r="C170" s="93"/>
      <c r="D170" s="94" t="s">
        <v>163</v>
      </c>
      <c r="E170" s="94"/>
      <c r="F170" s="95"/>
      <c r="G170" s="93"/>
      <c r="H170" s="96">
        <f>SUBTOTAL(109,H154:H169)</f>
        <v>7432149.214999998</v>
      </c>
      <c r="I170" s="96">
        <f>SUBTOTAL(109,I154:I169)</f>
        <v>203959.59884999998</v>
      </c>
      <c r="J170" s="96">
        <f>SUM(J154:J169)</f>
        <v>678395.86814999988</v>
      </c>
      <c r="K170" s="96"/>
      <c r="L170" s="96">
        <f>SUBTOTAL(109,L154:L169)</f>
        <v>16824956.086399999</v>
      </c>
    </row>
    <row r="171" spans="1:12" ht="15.75" thickBot="1" x14ac:dyDescent="0.3">
      <c r="A171" s="68"/>
      <c r="I171" s="134">
        <f>SUM(I170:J170)</f>
        <v>882355.46699999983</v>
      </c>
      <c r="J171" s="135"/>
    </row>
    <row r="172" spans="1:12" ht="15.75" thickTop="1" x14ac:dyDescent="0.25">
      <c r="A172" s="68"/>
      <c r="I172" s="108"/>
      <c r="J172" s="98"/>
    </row>
    <row r="173" spans="1:12" ht="15.75" thickBot="1" x14ac:dyDescent="0.3">
      <c r="A173" s="97" t="s">
        <v>165</v>
      </c>
      <c r="I173" s="108"/>
      <c r="J173" s="98"/>
    </row>
    <row r="174" spans="1:12" x14ac:dyDescent="0.25">
      <c r="A174" s="99" t="s">
        <v>1</v>
      </c>
      <c r="B174" s="100" t="s">
        <v>166</v>
      </c>
      <c r="C174" s="100" t="s">
        <v>167</v>
      </c>
      <c r="D174" s="100" t="s">
        <v>168</v>
      </c>
      <c r="E174" s="100" t="s">
        <v>177</v>
      </c>
      <c r="F174" s="100" t="s">
        <v>178</v>
      </c>
      <c r="G174" s="100" t="s">
        <v>169</v>
      </c>
      <c r="H174" s="101" t="s">
        <v>170</v>
      </c>
      <c r="I174" s="108"/>
      <c r="J174" s="98"/>
    </row>
    <row r="175" spans="1:12" x14ac:dyDescent="0.25">
      <c r="A175" s="116">
        <v>44481</v>
      </c>
      <c r="B175" s="117" t="s">
        <v>194</v>
      </c>
      <c r="C175" s="118">
        <v>30700940957</v>
      </c>
      <c r="D175" s="103" t="s">
        <v>190</v>
      </c>
      <c r="E175" s="119"/>
      <c r="F175" s="119" t="s">
        <v>85</v>
      </c>
      <c r="G175" s="120">
        <v>5905.6</v>
      </c>
      <c r="H175" s="121"/>
      <c r="I175" s="108"/>
      <c r="J175" s="98"/>
    </row>
    <row r="176" spans="1:12" x14ac:dyDescent="0.25">
      <c r="A176" s="102">
        <v>44481</v>
      </c>
      <c r="B176" s="109" t="s">
        <v>195</v>
      </c>
      <c r="C176" s="103">
        <v>30700940957</v>
      </c>
      <c r="D176" s="103" t="s">
        <v>190</v>
      </c>
      <c r="E176" s="104"/>
      <c r="F176" s="104" t="s">
        <v>85</v>
      </c>
      <c r="G176" s="105">
        <v>-5905.6</v>
      </c>
      <c r="H176" s="106"/>
      <c r="I176" s="108"/>
      <c r="J176" s="98"/>
    </row>
    <row r="177" spans="1:12" ht="15.75" x14ac:dyDescent="0.25">
      <c r="A177" s="92"/>
      <c r="B177" s="93"/>
      <c r="C177" s="94" t="s">
        <v>163</v>
      </c>
      <c r="D177" s="94"/>
      <c r="E177" s="95"/>
      <c r="F177" s="93"/>
      <c r="G177" s="96">
        <f>SUBTOTAL(109,G175:G176)</f>
        <v>0</v>
      </c>
      <c r="H177" s="96">
        <f>SUBTOTAL(109,H175:H176)</f>
        <v>0</v>
      </c>
      <c r="I177" s="108"/>
      <c r="J177" s="98"/>
    </row>
    <row r="178" spans="1:12" x14ac:dyDescent="0.25">
      <c r="A178" s="68"/>
      <c r="I178" s="108"/>
      <c r="J178" s="98"/>
    </row>
    <row r="179" spans="1:12" x14ac:dyDescent="0.25">
      <c r="A179" s="68"/>
      <c r="I179" s="108"/>
      <c r="J179" s="98"/>
    </row>
    <row r="180" spans="1:12" x14ac:dyDescent="0.25">
      <c r="A180" s="68"/>
      <c r="I180" s="108"/>
      <c r="J180" s="98"/>
    </row>
    <row r="181" spans="1:12" x14ac:dyDescent="0.25">
      <c r="A181" s="68"/>
      <c r="I181" s="108"/>
      <c r="J181" s="98"/>
    </row>
    <row r="182" spans="1:12" x14ac:dyDescent="0.25">
      <c r="A182" s="68"/>
      <c r="I182" s="108"/>
      <c r="J182" s="98"/>
    </row>
    <row r="183" spans="1:12" x14ac:dyDescent="0.25">
      <c r="A183" s="68"/>
    </row>
    <row r="184" spans="1:12" ht="19.5" x14ac:dyDescent="0.25">
      <c r="A184" s="64" t="s">
        <v>154</v>
      </c>
      <c r="B184" s="65"/>
      <c r="C184" s="65"/>
      <c r="D184" s="65"/>
      <c r="E184" s="65"/>
      <c r="F184" s="65"/>
      <c r="G184" s="65"/>
      <c r="H184" s="65"/>
      <c r="I184" s="65"/>
      <c r="J184" s="66">
        <v>44501</v>
      </c>
      <c r="K184" s="67"/>
      <c r="L184" s="67"/>
    </row>
    <row r="185" spans="1:12" x14ac:dyDescent="0.25">
      <c r="A185" s="68"/>
    </row>
    <row r="186" spans="1:12" x14ac:dyDescent="0.25">
      <c r="A186" s="69" t="s">
        <v>1</v>
      </c>
      <c r="B186" s="70" t="s">
        <v>2</v>
      </c>
      <c r="C186" s="70" t="s">
        <v>3</v>
      </c>
      <c r="D186" s="70" t="s">
        <v>155</v>
      </c>
      <c r="E186" s="70" t="s">
        <v>156</v>
      </c>
      <c r="F186" s="70" t="s">
        <v>5</v>
      </c>
      <c r="G186" s="70" t="s">
        <v>6</v>
      </c>
      <c r="H186" s="70" t="s">
        <v>157</v>
      </c>
      <c r="I186" s="70" t="s">
        <v>158</v>
      </c>
      <c r="J186" s="70" t="s">
        <v>10</v>
      </c>
      <c r="K186" s="70" t="s">
        <v>12</v>
      </c>
      <c r="L186" s="70" t="s">
        <v>16</v>
      </c>
    </row>
    <row r="187" spans="1:12" x14ac:dyDescent="0.25">
      <c r="A187" s="82">
        <v>44505</v>
      </c>
      <c r="B187" s="83">
        <v>1</v>
      </c>
      <c r="C187" s="84">
        <v>3</v>
      </c>
      <c r="D187" s="85">
        <v>33</v>
      </c>
      <c r="E187" s="86"/>
      <c r="F187" s="87">
        <v>30716041596</v>
      </c>
      <c r="G187" s="88" t="s">
        <v>173</v>
      </c>
      <c r="H187" s="89">
        <v>284829</v>
      </c>
      <c r="I187" s="90">
        <v>59814.09</v>
      </c>
      <c r="J187" s="90"/>
      <c r="K187" s="90"/>
      <c r="L187" s="91">
        <f>SUM([1]VENTAS!$H198:$K198)</f>
        <v>344643.08999999997</v>
      </c>
    </row>
    <row r="188" spans="1:12" x14ac:dyDescent="0.25">
      <c r="A188" s="82">
        <v>44505</v>
      </c>
      <c r="B188" s="83">
        <v>1</v>
      </c>
      <c r="C188" s="84">
        <v>3</v>
      </c>
      <c r="D188" s="85">
        <v>34</v>
      </c>
      <c r="E188" s="86"/>
      <c r="F188" s="87">
        <v>30716041596</v>
      </c>
      <c r="G188" s="88" t="s">
        <v>173</v>
      </c>
      <c r="H188" s="89">
        <v>284829</v>
      </c>
      <c r="I188" s="90">
        <v>59814.09</v>
      </c>
      <c r="J188" s="90"/>
      <c r="K188" s="90"/>
      <c r="L188" s="91">
        <f>SUM([1]VENTAS!$H199:$K199)</f>
        <v>63676.25</v>
      </c>
    </row>
    <row r="189" spans="1:12" x14ac:dyDescent="0.25">
      <c r="A189" s="82">
        <v>44511</v>
      </c>
      <c r="B189" s="83">
        <v>1</v>
      </c>
      <c r="C189" s="84">
        <v>3</v>
      </c>
      <c r="D189" s="85">
        <v>35</v>
      </c>
      <c r="E189" s="86"/>
      <c r="F189" s="87">
        <v>30708844248</v>
      </c>
      <c r="G189" s="88" t="s">
        <v>161</v>
      </c>
      <c r="H189" s="89">
        <v>52625</v>
      </c>
      <c r="I189" s="90">
        <v>11051.25</v>
      </c>
      <c r="J189" s="90"/>
      <c r="K189" s="90"/>
      <c r="L189" s="91">
        <f>SUM([1]VENTAS!$H200:$K200)</f>
        <v>21210.997500000001</v>
      </c>
    </row>
    <row r="190" spans="1:12" x14ac:dyDescent="0.25">
      <c r="A190" s="82">
        <v>44512</v>
      </c>
      <c r="B190" s="83">
        <v>1</v>
      </c>
      <c r="C190" s="84">
        <v>3</v>
      </c>
      <c r="D190" s="85">
        <v>36</v>
      </c>
      <c r="E190" s="86"/>
      <c r="F190" s="87">
        <v>30708984716</v>
      </c>
      <c r="G190" s="88" t="s">
        <v>196</v>
      </c>
      <c r="H190" s="89">
        <v>17529.75</v>
      </c>
      <c r="I190" s="90">
        <v>3681.2474999999999</v>
      </c>
      <c r="J190" s="90"/>
      <c r="K190" s="90"/>
      <c r="L190" s="91">
        <f>SUM([1]VENTAS!$H201:$K201)</f>
        <v>21210.997500000001</v>
      </c>
    </row>
    <row r="191" spans="1:12" x14ac:dyDescent="0.25">
      <c r="A191" s="71">
        <v>44512</v>
      </c>
      <c r="B191" s="72">
        <v>1</v>
      </c>
      <c r="C191" s="73">
        <v>3</v>
      </c>
      <c r="D191" s="74">
        <v>37</v>
      </c>
      <c r="E191" s="75"/>
      <c r="F191" s="76">
        <v>30629741077</v>
      </c>
      <c r="G191" s="77" t="s">
        <v>197</v>
      </c>
      <c r="H191" s="78">
        <v>17529.75</v>
      </c>
      <c r="I191" s="79">
        <v>3681.2474999999999</v>
      </c>
      <c r="J191" s="80"/>
      <c r="K191" s="80"/>
      <c r="L191" s="81">
        <f>SUM([1]VENTAS!$H202:$K202)</f>
        <v>608271.25919999997</v>
      </c>
    </row>
    <row r="192" spans="1:12" x14ac:dyDescent="0.25">
      <c r="A192" s="71">
        <v>44515</v>
      </c>
      <c r="B192" s="72">
        <v>1</v>
      </c>
      <c r="C192" s="73">
        <v>3</v>
      </c>
      <c r="D192" s="74">
        <v>38</v>
      </c>
      <c r="E192" s="75"/>
      <c r="F192" s="76">
        <v>30638318470</v>
      </c>
      <c r="G192" s="77" t="s">
        <v>159</v>
      </c>
      <c r="H192" s="78">
        <v>502703.52</v>
      </c>
      <c r="I192" s="79">
        <v>105567.7392</v>
      </c>
      <c r="J192" s="80"/>
      <c r="K192" s="80"/>
      <c r="L192" s="81">
        <f>SUM([1]VENTAS!$H203:$K203)</f>
        <v>1382288.179976</v>
      </c>
    </row>
    <row r="193" spans="1:12" x14ac:dyDescent="0.25">
      <c r="A193" s="71">
        <v>44503</v>
      </c>
      <c r="B193" s="72">
        <v>2</v>
      </c>
      <c r="C193" s="73">
        <v>3</v>
      </c>
      <c r="D193" s="74">
        <v>1</v>
      </c>
      <c r="E193" s="75"/>
      <c r="F193" s="76">
        <v>30638318470</v>
      </c>
      <c r="G193" s="77" t="s">
        <v>159</v>
      </c>
      <c r="H193" s="78">
        <v>1142386.9256</v>
      </c>
      <c r="I193" s="79">
        <v>239901.25437599997</v>
      </c>
      <c r="J193" s="80"/>
      <c r="K193" s="80"/>
      <c r="L193" s="81">
        <f>SUM([1]VENTAS!$H204:$K204)</f>
        <v>66740.673999999999</v>
      </c>
    </row>
    <row r="194" spans="1:12" x14ac:dyDescent="0.25">
      <c r="A194" s="71">
        <v>44503</v>
      </c>
      <c r="B194" s="72">
        <v>2</v>
      </c>
      <c r="C194" s="73">
        <v>3</v>
      </c>
      <c r="D194" s="74">
        <v>2</v>
      </c>
      <c r="E194" s="75"/>
      <c r="F194" s="76">
        <v>30638318470</v>
      </c>
      <c r="G194" s="77" t="s">
        <v>159</v>
      </c>
      <c r="H194" s="78">
        <v>60398.799999999996</v>
      </c>
      <c r="I194" s="79"/>
      <c r="J194" s="80">
        <v>6341.8739999999989</v>
      </c>
      <c r="K194" s="80"/>
      <c r="L194" s="81">
        <f>SUM([1]VENTAS!$H205:$K205)</f>
        <v>-66740.673999999999</v>
      </c>
    </row>
    <row r="195" spans="1:12" x14ac:dyDescent="0.25">
      <c r="A195" s="71">
        <v>44503</v>
      </c>
      <c r="B195" s="72">
        <v>3</v>
      </c>
      <c r="C195" s="73">
        <v>3</v>
      </c>
      <c r="D195" s="74">
        <v>4</v>
      </c>
      <c r="E195" s="75"/>
      <c r="F195" s="76">
        <v>30638318470</v>
      </c>
      <c r="G195" s="77" t="s">
        <v>159</v>
      </c>
      <c r="H195" s="78">
        <v>-60398.8</v>
      </c>
      <c r="I195" s="79"/>
      <c r="J195" s="80">
        <v>-6341.8739999999998</v>
      </c>
      <c r="K195" s="80"/>
      <c r="L195" s="81">
        <f>SUM([1]VENTAS!$H206:$K206)</f>
        <v>-44270.080000000002</v>
      </c>
    </row>
    <row r="196" spans="1:12" x14ac:dyDescent="0.25">
      <c r="A196" s="71">
        <v>44503</v>
      </c>
      <c r="B196" s="72">
        <v>3</v>
      </c>
      <c r="C196" s="73">
        <v>3</v>
      </c>
      <c r="D196" s="74">
        <v>7</v>
      </c>
      <c r="E196" s="75"/>
      <c r="F196" s="76">
        <v>30638318470</v>
      </c>
      <c r="G196" s="77" t="s">
        <v>159</v>
      </c>
      <c r="H196" s="78">
        <v>-39876.300000000003</v>
      </c>
      <c r="I196" s="79">
        <v>-413.53</v>
      </c>
      <c r="J196" s="80">
        <v>-3980.25</v>
      </c>
      <c r="K196" s="80"/>
      <c r="L196" s="81">
        <f>SUM([1]VENTAS!$H207:$K207)</f>
        <v>-21805.816559999999</v>
      </c>
    </row>
    <row r="197" spans="1:12" x14ac:dyDescent="0.25">
      <c r="A197" s="71">
        <v>44503</v>
      </c>
      <c r="B197" s="72">
        <v>3</v>
      </c>
      <c r="C197" s="73">
        <v>3</v>
      </c>
      <c r="D197" s="74">
        <v>8</v>
      </c>
      <c r="E197" s="75"/>
      <c r="F197" s="76">
        <v>30638318470</v>
      </c>
      <c r="G197" s="77" t="s">
        <v>159</v>
      </c>
      <c r="H197" s="78">
        <v>-18021.335999999999</v>
      </c>
      <c r="I197" s="79">
        <v>-3784.4805599999995</v>
      </c>
      <c r="J197" s="80"/>
      <c r="K197" s="80"/>
      <c r="L197" s="81">
        <f>SUM([1]VENTAS!$H208:$K208)</f>
        <v>-84140.556500000006</v>
      </c>
    </row>
    <row r="198" spans="1:12" x14ac:dyDescent="0.25">
      <c r="A198" s="71">
        <v>44503</v>
      </c>
      <c r="B198" s="72">
        <v>3</v>
      </c>
      <c r="C198" s="73">
        <v>3</v>
      </c>
      <c r="D198" s="74">
        <v>9</v>
      </c>
      <c r="E198" s="75"/>
      <c r="F198" s="76">
        <v>30638318470</v>
      </c>
      <c r="G198" s="77" t="s">
        <v>159</v>
      </c>
      <c r="H198" s="78">
        <v>-76145.3</v>
      </c>
      <c r="I198" s="79"/>
      <c r="J198" s="80">
        <v>-7995.2565000000004</v>
      </c>
      <c r="K198" s="80"/>
      <c r="L198" s="81">
        <f>SUM([1]VENTAS!$H209:$K209)</f>
        <v>-66740.673999999999</v>
      </c>
    </row>
    <row r="199" spans="1:12" x14ac:dyDescent="0.25">
      <c r="A199" s="82">
        <v>44503</v>
      </c>
      <c r="B199" s="83">
        <v>3</v>
      </c>
      <c r="C199" s="84">
        <v>3</v>
      </c>
      <c r="D199" s="85">
        <v>5</v>
      </c>
      <c r="E199" s="86"/>
      <c r="F199" s="87">
        <v>30638318470</v>
      </c>
      <c r="G199" s="88" t="s">
        <v>159</v>
      </c>
      <c r="H199" s="89">
        <v>-60398.8</v>
      </c>
      <c r="I199" s="90"/>
      <c r="J199" s="90">
        <v>-6341.8739999999998</v>
      </c>
      <c r="K199" s="90"/>
      <c r="L199" s="91">
        <f>SUM([1]VENTAS!$H210:$K210)</f>
        <v>-20672.922600000002</v>
      </c>
    </row>
    <row r="200" spans="1:12" x14ac:dyDescent="0.25">
      <c r="A200" s="82">
        <v>44503</v>
      </c>
      <c r="B200" s="83">
        <v>3</v>
      </c>
      <c r="C200" s="84">
        <v>3</v>
      </c>
      <c r="D200" s="85">
        <v>6</v>
      </c>
      <c r="E200" s="86"/>
      <c r="F200" s="87">
        <v>30638318470</v>
      </c>
      <c r="G200" s="88" t="s">
        <v>159</v>
      </c>
      <c r="H200" s="89">
        <v>-17085.060000000001</v>
      </c>
      <c r="I200" s="90">
        <v>-3587.8625999999999</v>
      </c>
      <c r="J200" s="90"/>
      <c r="K200" s="90"/>
      <c r="L200" s="91">
        <f>SUM([1]VENTAS!$H211:$K211)</f>
        <v>-936657.49319999991</v>
      </c>
    </row>
    <row r="201" spans="1:12" x14ac:dyDescent="0.25">
      <c r="A201" s="82">
        <v>44511</v>
      </c>
      <c r="B201" s="83">
        <v>3</v>
      </c>
      <c r="C201" s="84">
        <v>3</v>
      </c>
      <c r="D201" s="85">
        <v>10</v>
      </c>
      <c r="E201" s="86"/>
      <c r="F201" s="87">
        <v>30628274327</v>
      </c>
      <c r="G201" s="88" t="s">
        <v>162</v>
      </c>
      <c r="H201" s="89">
        <v>-847653.84</v>
      </c>
      <c r="I201" s="90"/>
      <c r="J201" s="90">
        <v>-89003.653200000001</v>
      </c>
      <c r="K201" s="90"/>
      <c r="L201" s="91">
        <f>SUM([1]VENTAS!$H212:$K212)</f>
        <v>1611656.3213160005</v>
      </c>
    </row>
    <row r="202" spans="1:12" ht="15.75" x14ac:dyDescent="0.25">
      <c r="A202" s="92"/>
      <c r="B202" s="93"/>
      <c r="C202" s="93"/>
      <c r="D202" s="94" t="s">
        <v>163</v>
      </c>
      <c r="E202" s="94"/>
      <c r="F202" s="95"/>
      <c r="G202" s="93"/>
      <c r="H202" s="96">
        <f>SUBTOTAL(109,H187:H201)</f>
        <v>1243252.3096000007</v>
      </c>
      <c r="I202" s="96">
        <f>SUBTOTAL(109,I187:I201)</f>
        <v>475725.04541599995</v>
      </c>
      <c r="J202" s="96">
        <f>SUM(J187:J201)</f>
        <v>-107321.0337</v>
      </c>
      <c r="K202" s="96"/>
      <c r="L202" s="96">
        <f>SUBTOTAL(109,L187:L201)</f>
        <v>2878669.5526319998</v>
      </c>
    </row>
    <row r="203" spans="1:12" ht="15.75" thickBot="1" x14ac:dyDescent="0.3">
      <c r="A203" s="68"/>
      <c r="I203" s="134">
        <f>SUM(I202:J202)</f>
        <v>368404.01171599992</v>
      </c>
      <c r="J203" s="135"/>
    </row>
    <row r="204" spans="1:12" ht="15.75" thickTop="1" x14ac:dyDescent="0.25">
      <c r="A204" s="68"/>
    </row>
    <row r="205" spans="1:12" ht="19.5" x14ac:dyDescent="0.25">
      <c r="A205" s="64" t="s">
        <v>154</v>
      </c>
      <c r="B205" s="65"/>
      <c r="C205" s="65"/>
      <c r="D205" s="65"/>
      <c r="E205" s="65"/>
      <c r="F205" s="65"/>
      <c r="G205" s="65"/>
      <c r="H205" s="65"/>
      <c r="I205" s="65"/>
      <c r="J205" s="66">
        <v>44531</v>
      </c>
      <c r="K205" s="67"/>
      <c r="L205" s="67"/>
    </row>
    <row r="206" spans="1:12" x14ac:dyDescent="0.25">
      <c r="A206" s="68"/>
    </row>
    <row r="207" spans="1:12" x14ac:dyDescent="0.25">
      <c r="A207" s="69" t="s">
        <v>1</v>
      </c>
      <c r="B207" s="70" t="s">
        <v>2</v>
      </c>
      <c r="C207" s="70" t="s">
        <v>3</v>
      </c>
      <c r="D207" s="70" t="s">
        <v>155</v>
      </c>
      <c r="E207" s="70" t="s">
        <v>156</v>
      </c>
      <c r="F207" s="70" t="s">
        <v>5</v>
      </c>
      <c r="G207" s="70" t="s">
        <v>6</v>
      </c>
      <c r="H207" s="70" t="s">
        <v>157</v>
      </c>
      <c r="I207" s="70" t="s">
        <v>158</v>
      </c>
      <c r="J207" s="70" t="s">
        <v>10</v>
      </c>
      <c r="K207" s="70" t="s">
        <v>12</v>
      </c>
      <c r="L207" s="70" t="s">
        <v>16</v>
      </c>
    </row>
    <row r="208" spans="1:12" x14ac:dyDescent="0.25">
      <c r="A208" s="71">
        <v>44531</v>
      </c>
      <c r="B208" s="72">
        <v>1</v>
      </c>
      <c r="C208" s="73">
        <v>3</v>
      </c>
      <c r="D208" s="74">
        <v>41</v>
      </c>
      <c r="E208" s="75"/>
      <c r="F208" s="76">
        <v>30638318470</v>
      </c>
      <c r="G208" s="77" t="s">
        <v>159</v>
      </c>
      <c r="H208" s="78">
        <v>7773919.9999999991</v>
      </c>
      <c r="I208" s="79"/>
      <c r="J208" s="80">
        <v>816261.59999999986</v>
      </c>
      <c r="K208" s="80"/>
      <c r="L208" s="81">
        <f>SUM([1]VENTAS!$H219:$K219)</f>
        <v>1129872.6383999998</v>
      </c>
    </row>
    <row r="209" spans="1:12" x14ac:dyDescent="0.25">
      <c r="A209" s="82">
        <v>44531</v>
      </c>
      <c r="B209" s="83">
        <v>1</v>
      </c>
      <c r="C209" s="84">
        <v>3</v>
      </c>
      <c r="D209" s="85">
        <v>39</v>
      </c>
      <c r="E209" s="86"/>
      <c r="F209" s="87">
        <v>30638318470</v>
      </c>
      <c r="G209" s="88" t="s">
        <v>159</v>
      </c>
      <c r="H209" s="89">
        <v>933779.03999999992</v>
      </c>
      <c r="I209" s="90">
        <v>196093.59839999999</v>
      </c>
      <c r="J209" s="90"/>
      <c r="K209" s="90"/>
      <c r="L209" s="91">
        <f>SUM([1]VENTAS!$H220:$K220)</f>
        <v>1402950.2559999998</v>
      </c>
    </row>
    <row r="210" spans="1:12" x14ac:dyDescent="0.25">
      <c r="A210" s="82">
        <v>44531</v>
      </c>
      <c r="B210" s="83">
        <v>1</v>
      </c>
      <c r="C210" s="84">
        <v>3</v>
      </c>
      <c r="D210" s="85">
        <v>40</v>
      </c>
      <c r="E210" s="86"/>
      <c r="F210" s="87">
        <v>30638318470</v>
      </c>
      <c r="G210" s="88" t="s">
        <v>159</v>
      </c>
      <c r="H210" s="89">
        <v>1159463.0047999998</v>
      </c>
      <c r="I210" s="90">
        <v>243487.25119999997</v>
      </c>
      <c r="J210" s="90"/>
      <c r="K210" s="90"/>
      <c r="L210" s="91">
        <f>SUM([1]VENTAS!$H221:$K221)</f>
        <v>477689.17</v>
      </c>
    </row>
    <row r="211" spans="1:12" x14ac:dyDescent="0.25">
      <c r="A211" s="82">
        <v>44543</v>
      </c>
      <c r="B211" s="83">
        <v>1</v>
      </c>
      <c r="C211" s="84">
        <v>3</v>
      </c>
      <c r="D211" s="85">
        <v>42</v>
      </c>
      <c r="E211" s="86"/>
      <c r="F211" s="87">
        <v>30628274327</v>
      </c>
      <c r="G211" s="88" t="s">
        <v>162</v>
      </c>
      <c r="H211" s="89">
        <v>432298.35</v>
      </c>
      <c r="I211" s="90"/>
      <c r="J211" s="90">
        <v>45390.82</v>
      </c>
      <c r="K211" s="90"/>
      <c r="L211" s="91">
        <f>SUM([1]VENTAS!$H222:$K222)</f>
        <v>476476.70400000003</v>
      </c>
    </row>
    <row r="212" spans="1:12" x14ac:dyDescent="0.25">
      <c r="A212" s="71">
        <v>44544</v>
      </c>
      <c r="B212" s="72">
        <v>1</v>
      </c>
      <c r="C212" s="73">
        <v>3</v>
      </c>
      <c r="D212" s="74">
        <v>43</v>
      </c>
      <c r="E212" s="75"/>
      <c r="F212" s="76">
        <v>30638318470</v>
      </c>
      <c r="G212" s="77" t="s">
        <v>159</v>
      </c>
      <c r="H212" s="78">
        <v>393782.4</v>
      </c>
      <c r="I212" s="79">
        <v>82694.304000000004</v>
      </c>
      <c r="J212" s="80"/>
      <c r="K212" s="80"/>
      <c r="L212" s="81">
        <f>SUM([1]VENTAS!$H223:$K223)</f>
        <v>6525594.0750000002</v>
      </c>
    </row>
    <row r="213" spans="1:12" x14ac:dyDescent="0.25">
      <c r="A213" s="82">
        <v>44553</v>
      </c>
      <c r="B213" s="83">
        <v>1</v>
      </c>
      <c r="C213" s="84">
        <v>3</v>
      </c>
      <c r="D213" s="85">
        <v>44</v>
      </c>
      <c r="E213" s="86"/>
      <c r="F213" s="87">
        <v>30638318470</v>
      </c>
      <c r="G213" s="88" t="s">
        <v>159</v>
      </c>
      <c r="H213" s="89">
        <v>5905515</v>
      </c>
      <c r="I213" s="90"/>
      <c r="J213" s="90">
        <v>620079.07499999995</v>
      </c>
      <c r="K213" s="90"/>
      <c r="L213" s="91">
        <f>SUM([1]VENTAS!$H224:$K224)</f>
        <v>18602764.443399999</v>
      </c>
    </row>
    <row r="214" spans="1:12" ht="15.75" x14ac:dyDescent="0.25">
      <c r="A214" s="92"/>
      <c r="B214" s="93"/>
      <c r="C214" s="93"/>
      <c r="D214" s="94" t="s">
        <v>163</v>
      </c>
      <c r="E214" s="94"/>
      <c r="F214" s="95"/>
      <c r="G214" s="93"/>
      <c r="H214" s="96">
        <f>SUBTOTAL(109,H208:H213)</f>
        <v>16598757.794799998</v>
      </c>
      <c r="I214" s="96">
        <f>SUBTOTAL(109,I208:I213)</f>
        <v>522275.15359999996</v>
      </c>
      <c r="J214" s="96">
        <f>SUM(J208:J213)</f>
        <v>1481731.4949999996</v>
      </c>
      <c r="K214" s="96"/>
      <c r="L214" s="96">
        <f>SUBTOTAL(109,L208:L213)</f>
        <v>28615347.286799997</v>
      </c>
    </row>
    <row r="215" spans="1:12" ht="15.75" thickBot="1" x14ac:dyDescent="0.3">
      <c r="A215" s="68"/>
      <c r="I215" s="134">
        <f>SUM(I214:J214)</f>
        <v>2004006.6485999995</v>
      </c>
      <c r="J215" s="135"/>
    </row>
    <row r="216" spans="1:12" ht="15.75" thickTop="1" x14ac:dyDescent="0.25">
      <c r="A216" s="68"/>
    </row>
  </sheetData>
  <mergeCells count="16">
    <mergeCell ref="I50:J50"/>
    <mergeCell ref="I11:J11"/>
    <mergeCell ref="I21:J21"/>
    <mergeCell ref="B23:C23"/>
    <mergeCell ref="B24:C24"/>
    <mergeCell ref="I34:J34"/>
    <mergeCell ref="B66:C66"/>
    <mergeCell ref="B67:C67"/>
    <mergeCell ref="I77:J77"/>
    <mergeCell ref="I86:J86"/>
    <mergeCell ref="I117:J117"/>
    <mergeCell ref="I142:J142"/>
    <mergeCell ref="I171:J171"/>
    <mergeCell ref="I203:J203"/>
    <mergeCell ref="I215:J215"/>
    <mergeCell ref="I64:J64"/>
  </mergeCells>
  <dataValidations count="8">
    <dataValidation type="whole" allowBlank="1" showInputMessage="1" showErrorMessage="1" sqref="B5:B9 B16:B19 B29:B32 B38:B48 B54:B62 B71:B75 B81:B84 B96:B115 B122:B140 B154:B169 B187:B201 B208:B213" xr:uid="{BE0BF439-FB26-4612-BB77-CFF9E63E07DA}">
      <formula1>1</formula1>
      <formula2>3</formula2>
    </dataValidation>
    <dataValidation type="custom" allowBlank="1" showInputMessage="1" showErrorMessage="1" sqref="A95 A4:A8 A15 A28 A37 A53:A62 A70 A80 A121:A136 A153 A186 A207:A208" xr:uid="{B3DDA384-E9B2-45D6-9458-A0629E1A5AED}">
      <formula1>"Fecha"</formula1>
    </dataValidation>
    <dataValidation type="whole" allowBlank="1" showInputMessage="1" showErrorMessage="1" sqref="F5:F9 F16:F19 F29:F32 F38:F48 F54:F62 F71:F75 F81:F84 F96:F115 F122:F140 F154:F169 F187:F201 F208:F213" xr:uid="{BB5B5792-7331-4470-B149-DB2C5715AE99}">
      <formula1>10000000000</formula1>
      <formula2>99999999999</formula2>
    </dataValidation>
    <dataValidation type="whole" operator="lessThanOrEqual" allowBlank="1" showInputMessage="1" showErrorMessage="1" sqref="D5:D9 D16:D19 D29:D32 D38:D48 D54:D62 D71:D75 D81:D84 D96:D115 D122:D140 D154:D169 D187:D201 D208:D213" xr:uid="{B28CAF26-74D9-4AA8-AAB0-CFF388E3ADEA}">
      <formula1>99999999</formula1>
    </dataValidation>
    <dataValidation type="whole" operator="lessThanOrEqual" allowBlank="1" showInputMessage="1" showErrorMessage="1" sqref="C5:C9 C16:C19 C29:C32 C38:C48 C54:C62 C71:C75 C81:C84 C96:C115 C122:C140 C154:C169 C187:C201 C208:C213" xr:uid="{432ACA16-E396-4607-B838-11D87F16B903}">
      <formula1>9999</formula1>
    </dataValidation>
    <dataValidation type="date" operator="lessThan" allowBlank="1" showInputMessage="1" showErrorMessage="1" sqref="A209:A213 A187:A201 A154:A169 A137:A140 A96:A115 A81:A84 A71:A75 A38:A48 A29:A32 A16:A19 A9" xr:uid="{FADCDB29-BD86-49E7-949F-C6F09D71ECF0}">
      <formula1>#REF!+1</formula1>
    </dataValidation>
    <dataValidation operator="equal" allowBlank="1" showInputMessage="1" showErrorMessage="1" sqref="E5:E9 E16:E19 E29:E32 E38:E48 E54:E62 E71:E75 E81:E84 E96:E115 E122:E140 E154:E169 E187:E201 E208:E213" xr:uid="{2D43A7F2-83B9-4ACA-A329-9CDDE76C5F41}"/>
    <dataValidation type="custom" allowBlank="1" showInputMessage="1" showErrorMessage="1" sqref="H29:H32 H154:H169 H187:H200 H81:H84 H71:H75 H122:H140 H208:H213 H5:H9 H16:H19 H38:H48 H54:H62" xr:uid="{0FB1E8EB-AAE5-4E42-ADCF-4B35A6DD2217}">
      <formula1>IF($E5=3,$K5&lt;0,$K5&gt;=0)</formula1>
    </dataValidation>
  </dataValidations>
  <pageMargins left="0" right="0" top="0" bottom="0" header="0.31496062992125984" footer="0.31496062992125984"/>
  <pageSetup paperSize="5" scale="72" fitToHeight="0" orientation="portrait" horizontalDpi="0" verticalDpi="0"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COMPRAS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2023-10-27T15:22:45Z</cp:lastPrinted>
  <dcterms:created xsi:type="dcterms:W3CDTF">2015-06-05T18:19:34Z</dcterms:created>
  <dcterms:modified xsi:type="dcterms:W3CDTF">2023-10-27T15:48:59Z</dcterms:modified>
</cp:coreProperties>
</file>