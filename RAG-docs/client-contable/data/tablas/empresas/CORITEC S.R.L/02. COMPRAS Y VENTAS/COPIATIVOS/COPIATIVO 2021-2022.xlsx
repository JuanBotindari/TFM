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CORITEC S.R.L\COPIATIVOS\"/>
    </mc:Choice>
  </mc:AlternateContent>
  <xr:revisionPtr revIDLastSave="0" documentId="13_ncr:1_{2AB6185F-E10C-414E-A73D-C56EFD7DBA3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ompras" sheetId="2" r:id="rId1"/>
    <sheet name="Ventas" sheetId="3" r:id="rId2"/>
    <sheet name="Hoja4" sheetId="4" r:id="rId3"/>
  </sheets>
  <calcPr calcId="181029"/>
</workbook>
</file>

<file path=xl/calcChain.xml><?xml version="1.0" encoding="utf-8"?>
<calcChain xmlns="http://schemas.openxmlformats.org/spreadsheetml/2006/main">
  <c r="H127" i="3" l="1"/>
  <c r="H128" i="3"/>
  <c r="H129" i="3"/>
  <c r="H130" i="3"/>
  <c r="H126" i="3"/>
  <c r="E152" i="3"/>
  <c r="H151" i="3"/>
  <c r="H150" i="3"/>
  <c r="H152" i="3" s="1"/>
  <c r="G152" i="3"/>
  <c r="F152" i="3"/>
  <c r="J145" i="3"/>
  <c r="I145" i="3"/>
  <c r="H145" i="3"/>
  <c r="K144" i="3"/>
  <c r="K145" i="3" s="1"/>
  <c r="J140" i="3"/>
  <c r="I140" i="3"/>
  <c r="H140" i="3"/>
  <c r="K139" i="3"/>
  <c r="K138" i="3"/>
  <c r="K137" i="3"/>
  <c r="K136" i="3"/>
  <c r="K135" i="3"/>
  <c r="P607" i="2"/>
  <c r="O607" i="2"/>
  <c r="N607" i="2"/>
  <c r="M607" i="2"/>
  <c r="L607" i="2"/>
  <c r="K607" i="2"/>
  <c r="J607" i="2"/>
  <c r="I607" i="2"/>
  <c r="H607" i="2"/>
  <c r="G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G131" i="3"/>
  <c r="F131" i="3"/>
  <c r="E131" i="3"/>
  <c r="J122" i="3"/>
  <c r="I122" i="3"/>
  <c r="H122" i="3"/>
  <c r="K121" i="3"/>
  <c r="K120" i="3"/>
  <c r="K119" i="3"/>
  <c r="K118" i="3"/>
  <c r="K117" i="3"/>
  <c r="K116" i="3"/>
  <c r="K115" i="3"/>
  <c r="K114" i="3"/>
  <c r="G532" i="2"/>
  <c r="Q532" i="2" s="1"/>
  <c r="Q521" i="2"/>
  <c r="Q522" i="2"/>
  <c r="Q523" i="2"/>
  <c r="Q524" i="2"/>
  <c r="Q525" i="2"/>
  <c r="Q526" i="2"/>
  <c r="Q527" i="2"/>
  <c r="Q528" i="2"/>
  <c r="Q529" i="2"/>
  <c r="Q530" i="2"/>
  <c r="Q531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P533" i="2"/>
  <c r="O533" i="2"/>
  <c r="N533" i="2"/>
  <c r="M533" i="2"/>
  <c r="L533" i="2"/>
  <c r="K533" i="2"/>
  <c r="J533" i="2"/>
  <c r="I533" i="2"/>
  <c r="H533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F110" i="3"/>
  <c r="G110" i="3"/>
  <c r="E110" i="3"/>
  <c r="H107" i="3"/>
  <c r="H108" i="3"/>
  <c r="H105" i="3"/>
  <c r="H106" i="3"/>
  <c r="H109" i="3"/>
  <c r="J101" i="3"/>
  <c r="I101" i="3"/>
  <c r="H101" i="3"/>
  <c r="K100" i="3"/>
  <c r="K101" i="3" s="1"/>
  <c r="L85" i="3"/>
  <c r="L86" i="3"/>
  <c r="L87" i="3"/>
  <c r="L88" i="3"/>
  <c r="L89" i="3"/>
  <c r="L90" i="3"/>
  <c r="L91" i="3"/>
  <c r="L92" i="3"/>
  <c r="L93" i="3"/>
  <c r="L94" i="3"/>
  <c r="L95" i="3"/>
  <c r="L84" i="3"/>
  <c r="K96" i="3"/>
  <c r="J96" i="3"/>
  <c r="I96" i="3"/>
  <c r="H96" i="3"/>
  <c r="P462" i="2"/>
  <c r="O462" i="2"/>
  <c r="N462" i="2"/>
  <c r="M462" i="2"/>
  <c r="L462" i="2"/>
  <c r="K462" i="2"/>
  <c r="J462" i="2"/>
  <c r="I462" i="2"/>
  <c r="H462" i="2"/>
  <c r="G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J80" i="3"/>
  <c r="I80" i="3"/>
  <c r="H80" i="3"/>
  <c r="K79" i="3"/>
  <c r="K78" i="3"/>
  <c r="K77" i="3"/>
  <c r="P416" i="2"/>
  <c r="O416" i="2"/>
  <c r="N416" i="2"/>
  <c r="M416" i="2"/>
  <c r="L416" i="2"/>
  <c r="K416" i="2"/>
  <c r="J416" i="2"/>
  <c r="I416" i="2"/>
  <c r="H416" i="2"/>
  <c r="G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K69" i="3"/>
  <c r="K70" i="3"/>
  <c r="K71" i="3"/>
  <c r="K72" i="3"/>
  <c r="J73" i="3"/>
  <c r="I73" i="3"/>
  <c r="H73" i="3"/>
  <c r="K68" i="3"/>
  <c r="K67" i="3"/>
  <c r="K66" i="3"/>
  <c r="K65" i="3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24" i="2"/>
  <c r="Q325" i="2"/>
  <c r="Q326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53" i="2"/>
  <c r="Q354" i="2"/>
  <c r="Q355" i="2"/>
  <c r="Q356" i="2"/>
  <c r="Q357" i="2"/>
  <c r="Q358" i="2"/>
  <c r="Q359" i="2"/>
  <c r="Q360" i="2"/>
  <c r="Q361" i="2"/>
  <c r="P378" i="2"/>
  <c r="O378" i="2"/>
  <c r="N378" i="2"/>
  <c r="M378" i="2"/>
  <c r="L378" i="2"/>
  <c r="K378" i="2"/>
  <c r="J378" i="2"/>
  <c r="I378" i="2"/>
  <c r="H378" i="2"/>
  <c r="G378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H131" i="3" l="1"/>
  <c r="I123" i="3"/>
  <c r="G533" i="2"/>
  <c r="I146" i="3"/>
  <c r="K140" i="3"/>
  <c r="I141" i="3"/>
  <c r="Q607" i="2"/>
  <c r="H608" i="2"/>
  <c r="H110" i="3"/>
  <c r="K122" i="3"/>
  <c r="H534" i="2"/>
  <c r="Q533" i="2"/>
  <c r="I102" i="3"/>
  <c r="I81" i="3"/>
  <c r="I74" i="3"/>
  <c r="L96" i="3"/>
  <c r="I97" i="3"/>
  <c r="Q462" i="2"/>
  <c r="H463" i="2"/>
  <c r="K80" i="3"/>
  <c r="Q416" i="2"/>
  <c r="H417" i="2"/>
  <c r="K73" i="3"/>
  <c r="H379" i="2"/>
  <c r="Q378" i="2"/>
  <c r="J60" i="3"/>
  <c r="I60" i="3"/>
  <c r="H60" i="3"/>
  <c r="K59" i="3"/>
  <c r="K58" i="3"/>
  <c r="K57" i="3"/>
  <c r="K56" i="3"/>
  <c r="K55" i="3"/>
  <c r="P327" i="2"/>
  <c r="O327" i="2"/>
  <c r="N327" i="2"/>
  <c r="M327" i="2"/>
  <c r="L327" i="2"/>
  <c r="K327" i="2"/>
  <c r="J327" i="2"/>
  <c r="I327" i="2"/>
  <c r="H327" i="2"/>
  <c r="G327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K50" i="3"/>
  <c r="I51" i="3"/>
  <c r="J51" i="3"/>
  <c r="H51" i="3"/>
  <c r="K49" i="3"/>
  <c r="K48" i="3"/>
  <c r="K47" i="3"/>
  <c r="K46" i="3"/>
  <c r="P284" i="2"/>
  <c r="O284" i="2"/>
  <c r="N284" i="2"/>
  <c r="M284" i="2"/>
  <c r="L284" i="2"/>
  <c r="K284" i="2"/>
  <c r="J284" i="2"/>
  <c r="I284" i="2"/>
  <c r="H284" i="2"/>
  <c r="G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J42" i="3"/>
  <c r="I42" i="3"/>
  <c r="H42" i="3"/>
  <c r="K41" i="3"/>
  <c r="K40" i="3"/>
  <c r="K39" i="3"/>
  <c r="K38" i="3"/>
  <c r="P246" i="2"/>
  <c r="O246" i="2"/>
  <c r="N246" i="2"/>
  <c r="M246" i="2"/>
  <c r="L246" i="2"/>
  <c r="K246" i="2"/>
  <c r="J246" i="2"/>
  <c r="I246" i="2"/>
  <c r="H246" i="2"/>
  <c r="G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H34" i="3"/>
  <c r="G35" i="3"/>
  <c r="F35" i="3"/>
  <c r="E35" i="3"/>
  <c r="J30" i="3"/>
  <c r="I30" i="3"/>
  <c r="H30" i="3"/>
  <c r="K29" i="3"/>
  <c r="K28" i="3"/>
  <c r="K27" i="3"/>
  <c r="K26" i="3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K51" i="3" l="1"/>
  <c r="K60" i="3"/>
  <c r="I61" i="3"/>
  <c r="Q327" i="2"/>
  <c r="H328" i="2"/>
  <c r="I52" i="3"/>
  <c r="H35" i="3"/>
  <c r="Q284" i="2"/>
  <c r="H285" i="2"/>
  <c r="K42" i="3"/>
  <c r="I43" i="3"/>
  <c r="Q246" i="2"/>
  <c r="H247" i="2"/>
  <c r="K30" i="3"/>
  <c r="I31" i="3"/>
  <c r="K18" i="3" l="1"/>
  <c r="K19" i="3"/>
  <c r="K20" i="3"/>
  <c r="K21" i="3"/>
  <c r="K17" i="3"/>
  <c r="I22" i="3"/>
  <c r="J22" i="3"/>
  <c r="H22" i="3"/>
  <c r="K4" i="3"/>
  <c r="K5" i="3"/>
  <c r="K6" i="3"/>
  <c r="K3" i="3"/>
  <c r="P173" i="2"/>
  <c r="O173" i="2"/>
  <c r="N173" i="2"/>
  <c r="M173" i="2"/>
  <c r="L173" i="2"/>
  <c r="K173" i="2"/>
  <c r="J173" i="2"/>
  <c r="I173" i="2"/>
  <c r="H173" i="2"/>
  <c r="G173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88" i="2"/>
  <c r="H121" i="2"/>
  <c r="I121" i="2"/>
  <c r="J121" i="2"/>
  <c r="K121" i="2"/>
  <c r="L121" i="2"/>
  <c r="M121" i="2"/>
  <c r="N121" i="2"/>
  <c r="O121" i="2"/>
  <c r="P121" i="2"/>
  <c r="G121" i="2"/>
  <c r="Q79" i="2"/>
  <c r="Q80" i="2"/>
  <c r="Q81" i="2"/>
  <c r="Q82" i="2"/>
  <c r="H83" i="2"/>
  <c r="I83" i="2"/>
  <c r="J83" i="2"/>
  <c r="K83" i="2"/>
  <c r="L83" i="2"/>
  <c r="M83" i="2"/>
  <c r="N83" i="2"/>
  <c r="O83" i="2"/>
  <c r="P83" i="2"/>
  <c r="G83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58" i="2"/>
  <c r="H174" i="2" l="1"/>
  <c r="I23" i="3"/>
  <c r="K22" i="3"/>
  <c r="H122" i="2"/>
  <c r="Q173" i="2"/>
  <c r="Q121" i="2"/>
  <c r="H84" i="2"/>
  <c r="Q8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3" i="2"/>
  <c r="I53" i="2"/>
  <c r="J53" i="2"/>
  <c r="K53" i="2"/>
  <c r="L53" i="2"/>
  <c r="M53" i="2"/>
  <c r="N53" i="2"/>
  <c r="O53" i="2"/>
  <c r="P53" i="2"/>
  <c r="G53" i="2"/>
  <c r="H53" i="2"/>
  <c r="H54" i="2" l="1"/>
  <c r="I54" i="2"/>
  <c r="Q53" i="2"/>
  <c r="H13" i="3" l="1"/>
  <c r="H7" i="3"/>
  <c r="K13" i="3" l="1"/>
  <c r="J13" i="3"/>
  <c r="I13" i="3"/>
  <c r="K7" i="3"/>
  <c r="J7" i="3"/>
  <c r="I7" i="3"/>
  <c r="I14" i="3" l="1"/>
  <c r="I8" i="3"/>
</calcChain>
</file>

<file path=xl/sharedStrings.xml><?xml version="1.0" encoding="utf-8"?>
<sst xmlns="http://schemas.openxmlformats.org/spreadsheetml/2006/main" count="1159" uniqueCount="273">
  <si>
    <t>FECHA</t>
  </si>
  <si>
    <t>TIPO</t>
  </si>
  <si>
    <t>PTO VTA</t>
  </si>
  <si>
    <t>FC NRO</t>
  </si>
  <si>
    <t>CUIT</t>
  </si>
  <si>
    <t>RAZON SOCIAL</t>
  </si>
  <si>
    <t>NETO</t>
  </si>
  <si>
    <t xml:space="preserve">IVA 21 </t>
  </si>
  <si>
    <t>IVA 27%</t>
  </si>
  <si>
    <t>IVA 10,5%</t>
  </si>
  <si>
    <t>No Gravado</t>
  </si>
  <si>
    <t>Exento</t>
  </si>
  <si>
    <t>PERC. IVA</t>
  </si>
  <si>
    <t>PERC. IIBB CABA</t>
  </si>
  <si>
    <t>Otros</t>
  </si>
  <si>
    <t>TOTAL</t>
  </si>
  <si>
    <t>RIO 265 SRL</t>
  </si>
  <si>
    <t>CITILAN ARGENTINA SA</t>
  </si>
  <si>
    <t>RIOS GOMEZ JOSE ANTONIO</t>
  </si>
  <si>
    <t>FEDERICI NICOLAS JOSE</t>
  </si>
  <si>
    <t>Telefonica Moviles Argentina SA</t>
  </si>
  <si>
    <t>DHL EXPRESS ARG SA</t>
  </si>
  <si>
    <t>BUREAU VERITAS ARGENTINA SA</t>
  </si>
  <si>
    <t>LINKEDSTORE ARGENTINA S.R.L.</t>
  </si>
  <si>
    <t>ROLLS Y EMPANADAS SA</t>
  </si>
  <si>
    <t>SEMICONDUC. Y COMPON. SRL</t>
  </si>
  <si>
    <t>T    O    T    A    L</t>
  </si>
  <si>
    <t>PERC IIBB BS AS</t>
  </si>
  <si>
    <t>IVA 21%</t>
  </si>
  <si>
    <t>IMPORTE NETO</t>
  </si>
  <si>
    <t>30-63831847-0</t>
  </si>
  <si>
    <t>DELTA COMPRESION S.R.L</t>
  </si>
  <si>
    <t>AGIRA S.A.</t>
  </si>
  <si>
    <t xml:space="preserve">S    U    B     T    O    T    A    L    </t>
  </si>
  <si>
    <t>Cod de Doc</t>
  </si>
  <si>
    <t xml:space="preserve">FUNK HNOS DE FRANCISCO G </t>
  </si>
  <si>
    <t>NEOTRENDS</t>
  </si>
  <si>
    <t>COSTA DIEGO ALEJANDRO</t>
  </si>
  <si>
    <t>UPS de ARGENTINA SA</t>
  </si>
  <si>
    <t>NUBBEO SRL</t>
  </si>
  <si>
    <t>DHARMA DE SANTOS Y VACCARO</t>
  </si>
  <si>
    <t xml:space="preserve">SZYRMAN ROMINA </t>
  </si>
  <si>
    <t>BAGUI S.A.</t>
  </si>
  <si>
    <t>EXA COMPRESION SRL</t>
  </si>
  <si>
    <t>T. CAMBIO</t>
  </si>
  <si>
    <t>FEDERAL EXPRESS CORPORATION</t>
  </si>
  <si>
    <t>BULONERA VIETRI SRL</t>
  </si>
  <si>
    <t>KURIABE S. A.</t>
  </si>
  <si>
    <t>ADATTO MARCELO ADRIAN</t>
  </si>
  <si>
    <t>ELECTRONICA ELEMON SA</t>
  </si>
  <si>
    <t>MICROELECTRONICA COMP. SRL</t>
  </si>
  <si>
    <t>INSTRUMENTAL PASTEUR S R L</t>
  </si>
  <si>
    <t>DISTRIBUIDORA SANITARIA JACOBO</t>
  </si>
  <si>
    <t>SOLUCIONES MRO S A I C</t>
  </si>
  <si>
    <t>N° FC</t>
  </si>
  <si>
    <t>COMPONENTES ELECTRICOS SA</t>
  </si>
  <si>
    <t>LASERTEC INGENIERIA S.R.L.</t>
  </si>
  <si>
    <t>CENCOSUD S.A.</t>
  </si>
  <si>
    <t>AEROPUERTOS ARGENTINA 2000 SA</t>
  </si>
  <si>
    <t>LAKAUT SA</t>
  </si>
  <si>
    <t>INDUSTRIA BAHIA S.A.</t>
  </si>
  <si>
    <t>JORVICAL ACEROS SA</t>
  </si>
  <si>
    <t>ACPLIND - FELDMAN SH</t>
  </si>
  <si>
    <t>INTERCONTINENTAL CARGAS SRL</t>
  </si>
  <si>
    <t>CIKA ELECTRONICA SRL</t>
  </si>
  <si>
    <t>INDUSTRIAS FEMAN SRL</t>
  </si>
  <si>
    <t>VAZQUEZ DANIEL OSCAR</t>
  </si>
  <si>
    <t>DAMARFU SA</t>
  </si>
  <si>
    <t>Roberto A Caffaro</t>
  </si>
  <si>
    <t>FIGARO CARLA SILVINA</t>
  </si>
  <si>
    <t>YEL S.R.L.</t>
  </si>
  <si>
    <t>D WINSTOCK SRL</t>
  </si>
  <si>
    <t>KAVCIC SRL</t>
  </si>
  <si>
    <t>MITSUKO ARGENTINA SRL</t>
  </si>
  <si>
    <t>INGENIERIA GAMAR SA</t>
  </si>
  <si>
    <t>NATURAL GAS SERVICE SRL</t>
  </si>
  <si>
    <t>TUTTO CERAMICAS SRL</t>
  </si>
  <si>
    <t xml:space="preserve">ALISSING </t>
  </si>
  <si>
    <t>MF GROUP CONSULTORES ESPECIALIZADOS S.R.L</t>
  </si>
  <si>
    <t>BELOTTI JUAN PABLO</t>
  </si>
  <si>
    <t>CICCOLO LEONARDO DAMIAN</t>
  </si>
  <si>
    <t>2G RACING SRL</t>
  </si>
  <si>
    <t>GRUPO BABYSTORE S.R.L.</t>
  </si>
  <si>
    <t>OFIT SRL</t>
  </si>
  <si>
    <t>IT BROKERS S.A.</t>
  </si>
  <si>
    <t>GARCIA JUAN IGNACIO</t>
  </si>
  <si>
    <t>ELECTRO TOOLS SRL</t>
  </si>
  <si>
    <t>BENSABAT GRACIELA NOEMI</t>
  </si>
  <si>
    <t>DIGITAL SALE SRL</t>
  </si>
  <si>
    <t>FAS MOTOS</t>
  </si>
  <si>
    <t>KAMNIK SRL</t>
  </si>
  <si>
    <t>PEDRO CALDERON DE LA BARCA 614</t>
  </si>
  <si>
    <t>DUAITEK SRL</t>
  </si>
  <si>
    <t>GNC MAIPU S.A</t>
  </si>
  <si>
    <t>LEMATE SA</t>
  </si>
  <si>
    <t>LEAL FUENTES FRANCISCO JAVIER</t>
  </si>
  <si>
    <t>MUGELLO SRL</t>
  </si>
  <si>
    <t>CASELEIRO ARIEL FERNANDO</t>
  </si>
  <si>
    <t xml:space="preserve">ABELEDO HORACIO </t>
  </si>
  <si>
    <t>ELECTRICIDAD BELTRAME  SA</t>
  </si>
  <si>
    <t>OTELLO SA</t>
  </si>
  <si>
    <t>GRAFICA Y FOTOGRABADOS LA PLAZA SRL</t>
  </si>
  <si>
    <t>2BK SRL</t>
  </si>
  <si>
    <t>PROINCO SA</t>
  </si>
  <si>
    <t>TREJO MARTIN DANIEL</t>
  </si>
  <si>
    <t>SHREMWOOD S.R.L.</t>
  </si>
  <si>
    <t>NORMA CARRERA Y ANDRES PLANT S.S.</t>
  </si>
  <si>
    <t>GRIDEL WALTER DIEGO</t>
  </si>
  <si>
    <t>30-57142135-2</t>
  </si>
  <si>
    <t>BANCO CREDICOOP</t>
  </si>
  <si>
    <t>30-57142135-3</t>
  </si>
  <si>
    <t>VISA SA</t>
  </si>
  <si>
    <t>LIBRO COMPRAS</t>
  </si>
  <si>
    <t xml:space="preserve">LIBRO COMPRAS </t>
  </si>
  <si>
    <t>LIBRO VENTAS</t>
  </si>
  <si>
    <t>NEXT SERVICE GNC S.R.L.</t>
  </si>
  <si>
    <t>DIGAS SRL</t>
  </si>
  <si>
    <t>NEUMATICOS VERONA SA</t>
  </si>
  <si>
    <t>LONCO HUE SA</t>
  </si>
  <si>
    <t/>
  </si>
  <si>
    <t>PAN AMERICAN ENERGY LLC</t>
  </si>
  <si>
    <t>FIVELEV S.R.L.</t>
  </si>
  <si>
    <t>MALAGA GROUP SRL</t>
  </si>
  <si>
    <t>OPER. DE EST. DE SERV. SA</t>
  </si>
  <si>
    <t>CARDENAS TORRES CARLOS DAVID</t>
  </si>
  <si>
    <t>VELASCO LEIVA DEMIAN</t>
  </si>
  <si>
    <t>IMPORTADORA FOTOGRAFICA SA</t>
  </si>
  <si>
    <t>MULTIPLES SRL</t>
  </si>
  <si>
    <t>AGIRA SA</t>
  </si>
  <si>
    <t>Facturas exportacion</t>
  </si>
  <si>
    <t>Nº FACTRA</t>
  </si>
  <si>
    <t>USD</t>
  </si>
  <si>
    <t>EUR</t>
  </si>
  <si>
    <t>DERPLO SA</t>
  </si>
  <si>
    <t>SYMONDS SA.</t>
  </si>
  <si>
    <t>CAISEN S.R.L.</t>
  </si>
  <si>
    <t>PEREZ SEBASTIAN LUCAS</t>
  </si>
  <si>
    <t>DISTRI AIRES SRL</t>
  </si>
  <si>
    <t>QUIWI SRL</t>
  </si>
  <si>
    <t>STERLING TRADE S.R.L.</t>
  </si>
  <si>
    <t>DANIEL Y LUCIO RIAL SOCIEDAD SIMPLE</t>
  </si>
  <si>
    <t>GRUPO FRESHEN SRL</t>
  </si>
  <si>
    <t>FIRST LABEL SRL</t>
  </si>
  <si>
    <t>SALAS  ARIEL ALFREDO</t>
  </si>
  <si>
    <t>UDACHI SRL</t>
  </si>
  <si>
    <t>OXIGENO DORREGO</t>
  </si>
  <si>
    <t>ELECTROCITY</t>
  </si>
  <si>
    <t>BOJORGE ROMINA VALERIA</t>
  </si>
  <si>
    <t>SAN MIGUEL JOSE MARCELO</t>
  </si>
  <si>
    <t>COMERCIAL MGM SRL</t>
  </si>
  <si>
    <t>ARCHMAR SRL</t>
  </si>
  <si>
    <t>LIBRERÍA PELUFFO SRL</t>
  </si>
  <si>
    <t>FUNK MATIAS NICOLAS</t>
  </si>
  <si>
    <t xml:space="preserve">RIO DE JANEIRO SA </t>
  </si>
  <si>
    <t>LIBECOM SRL</t>
  </si>
  <si>
    <t>ELINDAR SRL</t>
  </si>
  <si>
    <t>ALBERTO IVAN SIRTAUTAS</t>
  </si>
  <si>
    <t>MEVAVE SAS</t>
  </si>
  <si>
    <t>PINTOS SHMIDT ALDANA MARCELA Y SACK ADRIANA CRISTINA SH</t>
  </si>
  <si>
    <t>ONLINE MARKET SRL</t>
  </si>
  <si>
    <t>AJAVISION SAS</t>
  </si>
  <si>
    <t>SANTA FE COMERCIAL SRL</t>
  </si>
  <si>
    <t>CORPORACION SAN JUSTO SA</t>
  </si>
  <si>
    <t>POWER TEKNIC S.A.</t>
  </si>
  <si>
    <t>ESTACION DE SERVICIOS LAURENCENA S R L</t>
  </si>
  <si>
    <t>ABAC SRL</t>
  </si>
  <si>
    <t>CASATI ENRIQUE ARIEL</t>
  </si>
  <si>
    <t>MENTA GRANIZADA</t>
  </si>
  <si>
    <t>TECNOLOGIA EN SEMICONDUCTORES S</t>
  </si>
  <si>
    <t>BADARACCO FRANCO ALEJANDRO ARIEL</t>
  </si>
  <si>
    <t>M-ELEK SA</t>
  </si>
  <si>
    <t>FAMIQ SRL</t>
  </si>
  <si>
    <t>LAROCCA JUAN MARTIN</t>
  </si>
  <si>
    <t>PETIT PET SHOP S.R.L</t>
  </si>
  <si>
    <t>DETODONET S.A.</t>
  </si>
  <si>
    <t>HOGAR ACTUAL SRL</t>
  </si>
  <si>
    <t>EBOX SA</t>
  </si>
  <si>
    <t>CLEMENTE LUCAS IVAN</t>
  </si>
  <si>
    <t>PLIN METAL SA</t>
  </si>
  <si>
    <t>01/08/2022</t>
  </si>
  <si>
    <t>05/08/2022</t>
  </si>
  <si>
    <t>16/08/2022</t>
  </si>
  <si>
    <t>22/08/2022</t>
  </si>
  <si>
    <t>25/08/2022</t>
  </si>
  <si>
    <t>CUIT NO CARGADO</t>
  </si>
  <si>
    <t xml:space="preserve">SUMINISTROS Y TUBERIAS </t>
  </si>
  <si>
    <t>DECORALUM SRL</t>
  </si>
  <si>
    <t>DIXON TOOLS SA</t>
  </si>
  <si>
    <t>BIKE CLUB SRL</t>
  </si>
  <si>
    <t>BIKE GROUP SA</t>
  </si>
  <si>
    <t>ELECTROMINGO SRL</t>
  </si>
  <si>
    <t>ESPOSITO PABLO JOSE</t>
  </si>
  <si>
    <t>PRIMALCO SA</t>
  </si>
  <si>
    <t>01/09/2022</t>
  </si>
  <si>
    <t>14/09/2022</t>
  </si>
  <si>
    <t>20/09/2022</t>
  </si>
  <si>
    <t>TABORDA DRA. NADIA J.</t>
  </si>
  <si>
    <t>REDIN TRADING SA</t>
  </si>
  <si>
    <t>ENDANIK SRL</t>
  </si>
  <si>
    <t>FERNANDO MARCELO SZUCHMAN</t>
  </si>
  <si>
    <t>SWEDEN MOTORS SA</t>
  </si>
  <si>
    <t>EIMAT S.R.L.</t>
  </si>
  <si>
    <t>FRAVEGA</t>
  </si>
  <si>
    <t>COMPUFAN SRL</t>
  </si>
  <si>
    <t>GRUPOS INTEGRADOS</t>
  </si>
  <si>
    <t>TECNOLOGIA ELECTRODOMESTICOS E INSUMOS</t>
  </si>
  <si>
    <t>LIBRERÍA INTERNACIONAL</t>
  </si>
  <si>
    <t>03/10/2022</t>
  </si>
  <si>
    <t>04/10/2022</t>
  </si>
  <si>
    <t>17/10/2022</t>
  </si>
  <si>
    <t>20/10/2022</t>
  </si>
  <si>
    <t>21/10/2022</t>
  </si>
  <si>
    <t>26/10/2022</t>
  </si>
  <si>
    <t>27/10/2022</t>
  </si>
  <si>
    <t>ASPRO SERVICIOS PETROLEROS S.A.</t>
  </si>
  <si>
    <t>LAS QUINAS S.A.</t>
  </si>
  <si>
    <t>-</t>
  </si>
  <si>
    <t>GUGLIELMI GUSTAVO FABIAN</t>
  </si>
  <si>
    <t>EXENTO</t>
  </si>
  <si>
    <t>LIBRO VENTAS B</t>
  </si>
  <si>
    <t>02/11/2022</t>
  </si>
  <si>
    <t>14/11/2022</t>
  </si>
  <si>
    <t>CALVO FEDERICO LUIS</t>
  </si>
  <si>
    <t>29/11/2022</t>
  </si>
  <si>
    <t>ECOMOVE SRL</t>
  </si>
  <si>
    <t>10/11/2022</t>
  </si>
  <si>
    <t>15/11/2022</t>
  </si>
  <si>
    <t>24/11/2022</t>
  </si>
  <si>
    <t>09/11/2022</t>
  </si>
  <si>
    <t>16/11/2022</t>
  </si>
  <si>
    <t>CDTEK SRL</t>
  </si>
  <si>
    <t>30/11/2022</t>
  </si>
  <si>
    <t>01/11/2022</t>
  </si>
  <si>
    <t>GOMEZ CHOQUE MARCOS JOEL</t>
  </si>
  <si>
    <t>23/11/2022</t>
  </si>
  <si>
    <t>IMPRENTA24 SRL</t>
  </si>
  <si>
    <t>03/11/2022</t>
  </si>
  <si>
    <t>21/11/2022</t>
  </si>
  <si>
    <t>DALLAS MORESI CAMILA</t>
  </si>
  <si>
    <t>SAMARAS MARIO</t>
  </si>
  <si>
    <t>REA PABLO</t>
  </si>
  <si>
    <t>NUDELMAN GRACIELA MONICA</t>
  </si>
  <si>
    <t>07/11/2022</t>
  </si>
  <si>
    <t>TRINCADO BRIAN</t>
  </si>
  <si>
    <t>ORTUÑO ALVAREZ HECTOR MANUEL</t>
  </si>
  <si>
    <t>06/11/2022</t>
  </si>
  <si>
    <t>RAIMONDI FACUNDO ALBERTO</t>
  </si>
  <si>
    <t>19/11/2022</t>
  </si>
  <si>
    <t>GAMERS POR NATURALEZA</t>
  </si>
  <si>
    <t>22/11/2022</t>
  </si>
  <si>
    <t>28/11/2022</t>
  </si>
  <si>
    <t>B M WEB SA</t>
  </si>
  <si>
    <t>11/11/2022</t>
  </si>
  <si>
    <t>17/11/2022</t>
  </si>
  <si>
    <t>04/11/2022</t>
  </si>
  <si>
    <t>ANNEX S.A.</t>
  </si>
  <si>
    <t>ELECTRO IND SRL</t>
  </si>
  <si>
    <t>DELTAGAS SA</t>
  </si>
  <si>
    <t>GRIFOS ESPINOZA SA</t>
  </si>
  <si>
    <t>GAS FUTURO SISTEMAS</t>
  </si>
  <si>
    <t>RMAC SOCIEDAD ANONIMA</t>
  </si>
  <si>
    <t>INTERBAT SRL</t>
  </si>
  <si>
    <t>BOSAN SA</t>
  </si>
  <si>
    <t>SANCHEZ DI MARE DANIEL FERNANDO</t>
  </si>
  <si>
    <t>ULTRALIGHT SRL</t>
  </si>
  <si>
    <t>SICCBA S.R.L.</t>
  </si>
  <si>
    <t>HIERROS TORRENT S.A.</t>
  </si>
  <si>
    <t>TODOPLASTIC DE HECTOR HALABE Y OTROS</t>
  </si>
  <si>
    <t>PECTAGAR  S R L</t>
  </si>
  <si>
    <t>01/12/2022</t>
  </si>
  <si>
    <t>29/12/2022</t>
  </si>
  <si>
    <t>22/12/2022</t>
  </si>
  <si>
    <t>05/12/2022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</si>
</sst>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 &quot;$&quot;\ * #,##0.00_ ;_ &quot;$&quot;\ * \-#,##0.00_ ;_ &quot;$&quot;\ * &quot;-&quot;??_ ;_ @_ "/>
    <numFmt numFmtId="166" formatCode="000"/>
    <numFmt numFmtId="167" formatCode="0000"/>
    <numFmt numFmtId="168" formatCode="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1"/>
      <name val="Calibri"/>
      <family val="2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1"/>
      <color theme="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1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6" fillId="3" borderId="0" applyNumberFormat="0" applyBorder="0" applyAlignment="0" applyProtection="0"/>
    <xf numFmtId="0" fontId="5" fillId="4" borderId="0" applyNumberFormat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8" fillId="2" borderId="0" applyNumberFormat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8" fillId="2" borderId="0" applyNumberFormat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166" fontId="4" fillId="0" borderId="1" xfId="5" applyNumberFormat="1" applyFont="1" applyFill="1" applyBorder="1" applyAlignment="1" applyProtection="1">
      <alignment horizontal="center" vertical="center"/>
      <protection locked="0"/>
    </xf>
    <xf numFmtId="168" fontId="4" fillId="0" borderId="1" xfId="5" applyNumberFormat="1" applyFont="1" applyBorder="1" applyAlignment="1" applyProtection="1">
      <alignment horizontal="center" vertical="center"/>
      <protection locked="0"/>
    </xf>
    <xf numFmtId="0" fontId="2" fillId="6" borderId="13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14" fontId="11" fillId="0" borderId="8" xfId="0" applyNumberFormat="1" applyFont="1" applyBorder="1"/>
    <xf numFmtId="0" fontId="11" fillId="0" borderId="2" xfId="0" applyFont="1" applyBorder="1"/>
    <xf numFmtId="4" fontId="11" fillId="0" borderId="2" xfId="0" applyNumberFormat="1" applyFont="1" applyBorder="1"/>
    <xf numFmtId="0" fontId="11" fillId="0" borderId="1" xfId="0" applyFont="1" applyBorder="1"/>
    <xf numFmtId="4" fontId="11" fillId="0" borderId="1" xfId="0" applyNumberFormat="1" applyFont="1" applyBorder="1"/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7" fontId="11" fillId="0" borderId="2" xfId="0" applyNumberFormat="1" applyFont="1" applyBorder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4" fontId="2" fillId="6" borderId="13" xfId="0" applyNumberFormat="1" applyFont="1" applyFill="1" applyBorder="1"/>
    <xf numFmtId="4" fontId="2" fillId="6" borderId="14" xfId="0" applyNumberFormat="1" applyFont="1" applyFill="1" applyBorder="1"/>
    <xf numFmtId="14" fontId="11" fillId="0" borderId="2" xfId="0" applyNumberFormat="1" applyFont="1" applyBorder="1"/>
    <xf numFmtId="0" fontId="11" fillId="0" borderId="0" xfId="0" applyFont="1"/>
    <xf numFmtId="14" fontId="11" fillId="0" borderId="1" xfId="0" applyNumberFormat="1" applyFont="1" applyBorder="1"/>
    <xf numFmtId="4" fontId="2" fillId="6" borderId="15" xfId="0" applyNumberFormat="1" applyFont="1" applyFill="1" applyBorder="1"/>
    <xf numFmtId="14" fontId="11" fillId="0" borderId="4" xfId="0" applyNumberFormat="1" applyFont="1" applyBorder="1"/>
    <xf numFmtId="166" fontId="4" fillId="0" borderId="3" xfId="5" applyNumberFormat="1" applyFont="1" applyFill="1" applyBorder="1" applyAlignment="1" applyProtection="1">
      <alignment horizontal="center" vertical="center"/>
      <protection locked="0"/>
    </xf>
    <xf numFmtId="167" fontId="11" fillId="0" borderId="3" xfId="0" applyNumberFormat="1" applyFont="1" applyBorder="1" applyAlignment="1">
      <alignment horizontal="center"/>
    </xf>
    <xf numFmtId="0" fontId="11" fillId="0" borderId="3" xfId="0" applyFont="1" applyBorder="1"/>
    <xf numFmtId="4" fontId="11" fillId="0" borderId="3" xfId="0" applyNumberFormat="1" applyFont="1" applyBorder="1"/>
    <xf numFmtId="0" fontId="9" fillId="5" borderId="14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9" fillId="5" borderId="15" xfId="0" applyFont="1" applyFill="1" applyBorder="1" applyAlignment="1">
      <alignment horizontal="center"/>
    </xf>
    <xf numFmtId="4" fontId="12" fillId="0" borderId="1" xfId="0" applyNumberFormat="1" applyFont="1" applyBorder="1"/>
    <xf numFmtId="0" fontId="0" fillId="0" borderId="0" xfId="0"/>
    <xf numFmtId="0" fontId="0" fillId="0" borderId="0" xfId="0" applyAlignment="1">
      <alignment horizontal="center"/>
    </xf>
    <xf numFmtId="4" fontId="11" fillId="0" borderId="18" xfId="0" applyNumberFormat="1" applyFont="1" applyBorder="1"/>
    <xf numFmtId="4" fontId="0" fillId="0" borderId="0" xfId="0" applyNumberFormat="1"/>
    <xf numFmtId="164" fontId="9" fillId="5" borderId="22" xfId="1" applyFont="1" applyFill="1" applyBorder="1"/>
    <xf numFmtId="0" fontId="9" fillId="5" borderId="23" xfId="0" applyFont="1" applyFill="1" applyBorder="1" applyAlignment="1">
      <alignment horizontal="center"/>
    </xf>
    <xf numFmtId="164" fontId="9" fillId="5" borderId="1" xfId="1" applyFont="1" applyFill="1" applyBorder="1"/>
    <xf numFmtId="0" fontId="0" fillId="0" borderId="10" xfId="0" applyBorder="1"/>
    <xf numFmtId="0" fontId="0" fillId="0" borderId="9" xfId="0" applyBorder="1"/>
    <xf numFmtId="4" fontId="11" fillId="0" borderId="19" xfId="0" applyNumberFormat="1" applyFont="1" applyBorder="1"/>
    <xf numFmtId="4" fontId="2" fillId="6" borderId="31" xfId="0" applyNumberFormat="1" applyFont="1" applyFill="1" applyBorder="1"/>
    <xf numFmtId="0" fontId="2" fillId="6" borderId="31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4" fontId="0" fillId="6" borderId="27" xfId="0" applyNumberFormat="1" applyFont="1" applyFill="1" applyBorder="1" applyAlignment="1">
      <alignment wrapText="1"/>
    </xf>
    <xf numFmtId="4" fontId="0" fillId="6" borderId="26" xfId="0" applyNumberFormat="1" applyFont="1" applyFill="1" applyBorder="1" applyAlignment="1">
      <alignment wrapText="1"/>
    </xf>
    <xf numFmtId="4" fontId="0" fillId="6" borderId="25" xfId="0" applyNumberFormat="1" applyFont="1" applyFill="1" applyBorder="1" applyAlignment="1">
      <alignment wrapText="1"/>
    </xf>
    <xf numFmtId="4" fontId="2" fillId="6" borderId="12" xfId="0" applyNumberFormat="1" applyFont="1" applyFill="1" applyBorder="1" applyAlignment="1">
      <alignment horizontal="center" wrapText="1"/>
    </xf>
    <xf numFmtId="164" fontId="11" fillId="0" borderId="2" xfId="1" applyFont="1" applyBorder="1" applyAlignment="1">
      <alignment horizontal="center"/>
    </xf>
    <xf numFmtId="14" fontId="11" fillId="0" borderId="33" xfId="0" applyNumberFormat="1" applyFont="1" applyBorder="1"/>
    <xf numFmtId="167" fontId="11" fillId="0" borderId="33" xfId="0" applyNumberFormat="1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3" xfId="0" applyFont="1" applyBorder="1"/>
    <xf numFmtId="168" fontId="4" fillId="0" borderId="20" xfId="5" applyNumberFormat="1" applyFont="1" applyFill="1" applyBorder="1" applyAlignment="1" applyProtection="1">
      <alignment horizontal="center" vertical="center"/>
      <protection locked="0"/>
    </xf>
    <xf numFmtId="0" fontId="2" fillId="6" borderId="20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14" fontId="11" fillId="0" borderId="2" xfId="0" applyNumberFormat="1" applyFont="1" applyFill="1" applyBorder="1" applyAlignment="1">
      <alignment horizontal="center"/>
    </xf>
    <xf numFmtId="167" fontId="11" fillId="0" borderId="2" xfId="0" applyNumberFormat="1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4" fontId="11" fillId="0" borderId="18" xfId="0" applyNumberFormat="1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14" fontId="11" fillId="0" borderId="1" xfId="0" applyNumberFormat="1" applyFont="1" applyFill="1" applyBorder="1" applyAlignment="1">
      <alignment horizontal="center"/>
    </xf>
    <xf numFmtId="167" fontId="11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4" fontId="11" fillId="0" borderId="1" xfId="0" applyNumberFormat="1" applyFont="1" applyFill="1" applyBorder="1" applyAlignment="1">
      <alignment horizontal="center"/>
    </xf>
    <xf numFmtId="164" fontId="11" fillId="0" borderId="1" xfId="1" applyFont="1" applyFill="1" applyBorder="1" applyAlignment="1">
      <alignment horizontal="center"/>
    </xf>
    <xf numFmtId="164" fontId="11" fillId="0" borderId="2" xfId="1" applyFont="1" applyFill="1" applyBorder="1" applyAlignment="1">
      <alignment horizontal="center"/>
    </xf>
    <xf numFmtId="164" fontId="0" fillId="0" borderId="0" xfId="1" applyFont="1"/>
    <xf numFmtId="164" fontId="0" fillId="0" borderId="0" xfId="0" applyNumberFormat="1"/>
    <xf numFmtId="0" fontId="0" fillId="0" borderId="0" xfId="0" applyBorder="1"/>
    <xf numFmtId="4" fontId="11" fillId="0" borderId="0" xfId="0" applyNumberFormat="1" applyFont="1" applyBorder="1"/>
    <xf numFmtId="17" fontId="16" fillId="0" borderId="0" xfId="0" applyNumberFormat="1" applyFont="1" applyBorder="1" applyAlignment="1"/>
    <xf numFmtId="4" fontId="2" fillId="5" borderId="28" xfId="0" applyNumberFormat="1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15" fillId="0" borderId="12" xfId="0" applyFont="1" applyFill="1" applyBorder="1" applyAlignment="1">
      <alignment horizontal="left"/>
    </xf>
    <xf numFmtId="17" fontId="17" fillId="0" borderId="12" xfId="0" applyNumberFormat="1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10" fillId="5" borderId="17" xfId="0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4" fillId="0" borderId="12" xfId="0" applyFont="1" applyFill="1" applyBorder="1" applyAlignment="1">
      <alignment horizontal="left"/>
    </xf>
    <xf numFmtId="17" fontId="16" fillId="0" borderId="12" xfId="0" applyNumberFormat="1" applyFont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0" fontId="2" fillId="6" borderId="27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2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0" fillId="0" borderId="0" xfId="0" applyFill="1"/>
    <xf numFmtId="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</cellXfs>
  <cellStyles count="21">
    <cellStyle name="Error" xfId="3" xr:uid="{00000000-0005-0000-0000-000000000000}"/>
    <cellStyle name="Millares" xfId="1" builtinId="3"/>
    <cellStyle name="Millares 2" xfId="20" xr:uid="{00000000-0005-0000-0000-000002000000}"/>
    <cellStyle name="Moneda 2" xfId="15" xr:uid="{00000000-0005-0000-0000-000003000000}"/>
    <cellStyle name="Moneda 3" xfId="12" xr:uid="{00000000-0005-0000-0000-000004000000}"/>
    <cellStyle name="Moneda 4" xfId="6" xr:uid="{00000000-0005-0000-0000-000005000000}"/>
    <cellStyle name="Neutral 2" xfId="19" xr:uid="{00000000-0005-0000-0000-000006000000}"/>
    <cellStyle name="Neutral 3" xfId="10" xr:uid="{00000000-0005-0000-0000-000007000000}"/>
    <cellStyle name="No completar" xfId="4" xr:uid="{00000000-0005-0000-0000-000008000000}"/>
    <cellStyle name="Normal" xfId="0" builtinId="0"/>
    <cellStyle name="Normal 2" xfId="2" xr:uid="{00000000-0005-0000-0000-00000A000000}"/>
    <cellStyle name="Normal 2 2" xfId="14" xr:uid="{00000000-0005-0000-0000-00000B000000}"/>
    <cellStyle name="Normal 3" xfId="5" xr:uid="{00000000-0005-0000-0000-00000C000000}"/>
    <cellStyle name="Normal 4" xfId="7" xr:uid="{00000000-0005-0000-0000-00000D000000}"/>
    <cellStyle name="Normal 4 2" xfId="16" xr:uid="{00000000-0005-0000-0000-00000E000000}"/>
    <cellStyle name="Normal 5" xfId="8" xr:uid="{00000000-0005-0000-0000-00000F000000}"/>
    <cellStyle name="Normal 5 2" xfId="17" xr:uid="{00000000-0005-0000-0000-000010000000}"/>
    <cellStyle name="Normal 6" xfId="9" xr:uid="{00000000-0005-0000-0000-000011000000}"/>
    <cellStyle name="Normal 6 2" xfId="18" xr:uid="{00000000-0005-0000-0000-000012000000}"/>
    <cellStyle name="Normal 7" xfId="13" xr:uid="{00000000-0005-0000-0000-000013000000}"/>
    <cellStyle name="Normal 8" xfId="11" xr:uid="{00000000-0005-0000-0000-000014000000}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</dxf>
    <dxf>
      <font>
        <b/>
        <i val="0"/>
        <color auto="1"/>
      </font>
      <fill>
        <patternFill>
          <bgColor theme="0" tint="-0.24994659260841701"/>
        </patternFill>
      </fill>
      <border>
        <top style="thick">
          <color auto="1"/>
        </top>
      </border>
    </dxf>
    <dxf>
      <font>
        <b/>
        <i val="0"/>
      </font>
      <fill>
        <patternFill>
          <bgColor theme="0" tint="-0.14996795556505021"/>
        </patternFill>
      </fill>
      <border>
        <bottom style="thick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</dxfs>
  <tableStyles count="2" defaultTableStyle="TableStyleMedium2" defaultPivotStyle="PivotStyleLight16">
    <tableStyle name="Abr-22-style 6" pivot="0" count="3" xr9:uid="{BCB2CC5F-5C5E-4F41-9D8D-3820AD5980D4}">
      <tableStyleElement type="headerRow" dxfId="49"/>
      <tableStyleElement type="firstRowStripe" dxfId="48"/>
      <tableStyleElement type="secondRowStripe" dxfId="47"/>
    </tableStyle>
    <tableStyle name="Estilo de tabla 1" pivot="0" count="3" xr9:uid="{00000000-0011-0000-FFFF-FFFF00000000}">
      <tableStyleElement type="wholeTable" dxfId="46"/>
      <tableStyleElement type="headerRow" dxfId="45"/>
      <tableStyleElement type="totalRow" dxfId="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A51A48-149B-452F-9602-73C4E6AD7326}" name="Table_7" displayName="Table_7" ref="A33:H35" headerRowDxfId="43" headerRowBorderDxfId="42" tableBorderDxfId="41">
  <tableColumns count="8">
    <tableColumn id="1" xr3:uid="{AFB2A4BB-FD8A-4E63-ABEA-ED2C6D9DFC7C}" name="FECHA" dataDxfId="40"/>
    <tableColumn id="2" xr3:uid="{30E3BEE1-6B75-4662-ADA4-171BA30BD699}" name="Nº FACTRA" dataDxfId="39"/>
    <tableColumn id="3" xr3:uid="{D2DC59E6-CF2B-4627-8301-30134FDE8C10}" name="CUIT" dataDxfId="38"/>
    <tableColumn id="4" xr3:uid="{8C78040B-DB90-4C90-84D5-DCB3DC5BC479}" name="RAZON SOCIAL" dataDxfId="37"/>
    <tableColumn id="5" xr3:uid="{ECC96428-DF3F-46AB-9BFD-0DF944CDA82A}" name="USD" dataDxfId="36"/>
    <tableColumn id="6" xr3:uid="{EA32A740-C0BB-4A79-85CE-B208D7D2DA2E}" name="EUR" dataDxfId="35"/>
    <tableColumn id="7" xr3:uid="{463630D0-639C-4B5A-8123-84E82966D56D}" name="T. CAMBIO" dataDxfId="34"/>
    <tableColumn id="8" xr3:uid="{E0ED6C5C-08FE-46F7-A2D1-C3809A5120A7}" name="TOTAL" dataDxfId="33">
      <calculatedColumnFormula>Table_7[[#This Row],[USD]]*Table_7[[#This Row],[T. CAMBIO]]</calculatedColumnFormula>
    </tableColumn>
  </tableColumns>
  <tableStyleInfo name="Abr-22-style 6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1FC68A-2979-4052-84F4-C1641F3E3CBB}" name="Table_74" displayName="Table_74" ref="A104:H110" headerRowDxfId="32" headerRowBorderDxfId="31" tableBorderDxfId="30">
  <tableColumns count="8">
    <tableColumn id="1" xr3:uid="{5EC5AF90-0639-462F-9776-E74E69A8ADF0}" name="FECHA" dataDxfId="29"/>
    <tableColumn id="2" xr3:uid="{896D8018-916B-469C-9CBB-89251FF96ED6}" name="Nº FACTRA" dataDxfId="28"/>
    <tableColumn id="3" xr3:uid="{21DD5970-CA4B-4657-BB36-20BF5D35CBCD}" name="CUIT" dataDxfId="27"/>
    <tableColumn id="4" xr3:uid="{90F0F41F-D4EB-425D-BEAC-D12632E54AB5}" name="RAZON SOCIAL" dataDxfId="26"/>
    <tableColumn id="5" xr3:uid="{96EA04BE-FB21-411E-8B19-37EF5C8329BA}" name="USD" dataDxfId="25"/>
    <tableColumn id="6" xr3:uid="{05650DB1-B1DB-4ED8-82F0-D8EF8BE543F3}" name="EUR" dataDxfId="24"/>
    <tableColumn id="7" xr3:uid="{984C2482-981D-49D1-B9AA-F9E68A0137B1}" name="T. CAMBIO" dataDxfId="23"/>
    <tableColumn id="8" xr3:uid="{F3F58822-A2E4-4F08-B664-241EC1840B8C}" name="TOTAL" dataDxfId="22">
      <calculatedColumnFormula>Table_74[[#This Row],[USD]]*Table_74[[#This Row],[T. CAMBIO]]</calculatedColumnFormula>
    </tableColumn>
  </tableColumns>
  <tableStyleInfo name="Abr-22-style 6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1A5CD1-40DC-4887-9104-423DC734B148}" name="Table_745" displayName="Table_745" ref="A125:H131" headerRowDxfId="21" headerRowBorderDxfId="20" tableBorderDxfId="19">
  <tableColumns count="8">
    <tableColumn id="1" xr3:uid="{73C89052-E2A9-4CDA-9E97-82C9A428F35C}" name="FECHA" dataDxfId="18"/>
    <tableColumn id="2" xr3:uid="{1A3A88AC-74F9-4709-8584-FAE9CB3D499A}" name="Nº FACTRA" dataDxfId="17"/>
    <tableColumn id="3" xr3:uid="{23832F43-951B-46C2-A1F4-7F5010497CD4}" name="CUIT" dataDxfId="16"/>
    <tableColumn id="4" xr3:uid="{94B796DF-A8C2-4CB3-B51B-92376C36AE0B}" name="RAZON SOCIAL" dataDxfId="15"/>
    <tableColumn id="5" xr3:uid="{20B5BCF2-2828-4243-B5DB-759AB9B28542}" name="USD" dataDxfId="14"/>
    <tableColumn id="6" xr3:uid="{E17A1051-397A-4F38-A074-35CAAA00B5E6}" name="EUR" dataDxfId="13"/>
    <tableColumn id="7" xr3:uid="{C367AD5A-59F4-4851-9235-906F05684158}" name="T. CAMBIO" dataDxfId="12"/>
    <tableColumn id="8" xr3:uid="{D189F137-F243-4BB4-9016-1BD540F81F6A}" name="TOTAL" dataDxfId="11">
      <calculatedColumnFormula>Table_745[[#This Row],[USD]]*Table_745[[#This Row],[T. CAMBIO]]</calculatedColumnFormula>
    </tableColumn>
  </tableColumns>
  <tableStyleInfo name="Abr-22-style 6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B07C12-BDB2-4408-86D2-0F52C064E32F}" name="Table_7456" displayName="Table_7456" ref="A149:H152" headerRowDxfId="10" headerRowBorderDxfId="9" tableBorderDxfId="8">
  <tableColumns count="8">
    <tableColumn id="1" xr3:uid="{95D54C58-E80D-474B-95A0-401714CF035F}" name="FECHA" dataDxfId="7"/>
    <tableColumn id="2" xr3:uid="{E7E06D57-3AAC-487A-BFF6-653BF4B51775}" name="Nº FACTRA" dataDxfId="6"/>
    <tableColumn id="3" xr3:uid="{27E8459B-A02E-4D5C-B619-E59C45B5F9A3}" name="CUIT" dataDxfId="5"/>
    <tableColumn id="4" xr3:uid="{139C1A20-FFD7-4E53-B707-F8672D245C5F}" name="RAZON SOCIAL" dataDxfId="4"/>
    <tableColumn id="5" xr3:uid="{806C2B8B-D9CE-48D3-B1C8-545A09C2C46D}" name="USD" dataDxfId="3"/>
    <tableColumn id="6" xr3:uid="{729BE3F9-B618-4AF2-B0A9-6E1B22034892}" name="EUR" dataDxfId="2"/>
    <tableColumn id="7" xr3:uid="{20CE2E3B-44E3-4AC4-A52D-02BA080911AD}" name="T. CAMBIO" dataDxfId="1"/>
    <tableColumn id="8" xr3:uid="{89917240-09DF-46D0-938F-162BF7F77F5F}" name="TOTAL" dataDxfId="0">
      <calculatedColumnFormula>SUM(H145:H149)</calculatedColumnFormula>
    </tableColumn>
  </tableColumns>
  <tableStyleInfo name="Abr-22-style 6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09"/>
  <sheetViews>
    <sheetView zoomScale="85" zoomScaleNormal="85" workbookViewId="0">
      <selection activeCell="Q608" sqref="A1:Q608"/>
    </sheetView>
  </sheetViews>
  <sheetFormatPr baseColWidth="10" defaultRowHeight="15" x14ac:dyDescent="0.25"/>
  <cols>
    <col min="1" max="1" width="11.28515625" bestFit="1" customWidth="1"/>
    <col min="2" max="2" width="10.7109375" bestFit="1" customWidth="1"/>
    <col min="3" max="3" width="9.5703125" bestFit="1" customWidth="1"/>
    <col min="4" max="4" width="11.42578125" bestFit="1" customWidth="1"/>
    <col min="5" max="5" width="13.42578125" customWidth="1"/>
    <col min="6" max="6" width="25" customWidth="1"/>
    <col min="7" max="7" width="20.7109375" bestFit="1" customWidth="1"/>
    <col min="8" max="8" width="20.28515625" bestFit="1" customWidth="1"/>
    <col min="9" max="9" width="17.42578125" bestFit="1" customWidth="1"/>
    <col min="10" max="10" width="16.85546875" bestFit="1" customWidth="1"/>
    <col min="11" max="11" width="13.85546875" bestFit="1" customWidth="1"/>
    <col min="12" max="12" width="12.7109375" customWidth="1"/>
    <col min="13" max="13" width="13.85546875" bestFit="1" customWidth="1"/>
    <col min="14" max="14" width="17.28515625" bestFit="1" customWidth="1"/>
    <col min="15" max="15" width="16.7109375" bestFit="1" customWidth="1"/>
    <col min="16" max="16" width="19.28515625" bestFit="1" customWidth="1"/>
    <col min="17" max="17" width="20.7109375" bestFit="1" customWidth="1"/>
    <col min="20" max="20" width="14.85546875" bestFit="1" customWidth="1"/>
  </cols>
  <sheetData>
    <row r="1" spans="1:17" s="30" customFormat="1" ht="27" thickBot="1" x14ac:dyDescent="0.45">
      <c r="A1" s="75" t="s">
        <v>112</v>
      </c>
      <c r="B1" s="75"/>
      <c r="C1" s="75"/>
      <c r="D1" s="75"/>
      <c r="E1" s="75"/>
      <c r="O1" s="76">
        <v>44562</v>
      </c>
      <c r="P1" s="77"/>
      <c r="Q1" s="77"/>
    </row>
    <row r="2" spans="1:17" s="30" customFormat="1" ht="15.75" thickBot="1" x14ac:dyDescent="0.3">
      <c r="A2" s="27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6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8" t="s">
        <v>12</v>
      </c>
      <c r="N2" s="28" t="s">
        <v>27</v>
      </c>
      <c r="O2" s="28" t="s">
        <v>13</v>
      </c>
      <c r="P2" s="26" t="s">
        <v>14</v>
      </c>
      <c r="Q2" s="35" t="s">
        <v>15</v>
      </c>
    </row>
    <row r="3" spans="1:17" s="18" customFormat="1" ht="12.75" x14ac:dyDescent="0.2">
      <c r="A3" s="21">
        <v>44562</v>
      </c>
      <c r="B3" s="22">
        <v>1</v>
      </c>
      <c r="C3" s="23">
        <v>3</v>
      </c>
      <c r="D3" s="2">
        <v>486</v>
      </c>
      <c r="E3" s="24">
        <v>30715402765</v>
      </c>
      <c r="F3" s="24" t="s">
        <v>16</v>
      </c>
      <c r="G3" s="25">
        <v>6033.06</v>
      </c>
      <c r="H3" s="25">
        <v>1266.9426000000001</v>
      </c>
      <c r="I3" s="24"/>
      <c r="J3" s="25"/>
      <c r="K3" s="25"/>
      <c r="L3" s="24"/>
      <c r="M3" s="24"/>
      <c r="N3" s="24"/>
      <c r="O3" s="25"/>
      <c r="P3" s="25"/>
      <c r="Q3" s="10">
        <f>SUM(G3:P3)</f>
        <v>7300.0026000000007</v>
      </c>
    </row>
    <row r="4" spans="1:17" s="18" customFormat="1" ht="12.75" x14ac:dyDescent="0.2">
      <c r="A4" s="6">
        <v>44562</v>
      </c>
      <c r="B4" s="1">
        <v>1</v>
      </c>
      <c r="C4" s="14">
        <v>3</v>
      </c>
      <c r="D4" s="2">
        <v>144685</v>
      </c>
      <c r="E4" s="9">
        <v>30707135596</v>
      </c>
      <c r="F4" s="9" t="s">
        <v>17</v>
      </c>
      <c r="G4" s="10">
        <v>2200.98</v>
      </c>
      <c r="H4" s="10">
        <v>462.20580000000001</v>
      </c>
      <c r="I4" s="9"/>
      <c r="J4" s="10"/>
      <c r="K4" s="9"/>
      <c r="L4" s="9"/>
      <c r="M4" s="9"/>
      <c r="N4" s="9"/>
      <c r="O4" s="9"/>
      <c r="P4" s="10"/>
      <c r="Q4" s="10">
        <f t="shared" ref="Q4:Q52" si="0">SUM(G4:P4)</f>
        <v>2663.1858000000002</v>
      </c>
    </row>
    <row r="5" spans="1:17" s="18" customFormat="1" ht="12.75" x14ac:dyDescent="0.2">
      <c r="A5" s="6">
        <v>44564</v>
      </c>
      <c r="B5" s="1">
        <v>1</v>
      </c>
      <c r="C5" s="14">
        <v>5</v>
      </c>
      <c r="D5" s="2">
        <v>4360</v>
      </c>
      <c r="E5" s="9">
        <v>23285067359</v>
      </c>
      <c r="F5" s="9" t="s">
        <v>79</v>
      </c>
      <c r="G5" s="10">
        <v>1650.41</v>
      </c>
      <c r="H5" s="10">
        <v>346.58609999999999</v>
      </c>
      <c r="I5" s="9"/>
      <c r="J5" s="9"/>
      <c r="K5" s="9"/>
      <c r="L5" s="10"/>
      <c r="M5" s="10"/>
      <c r="N5" s="9"/>
      <c r="O5" s="10"/>
      <c r="P5" s="10"/>
      <c r="Q5" s="10">
        <f t="shared" si="0"/>
        <v>1996.9961000000001</v>
      </c>
    </row>
    <row r="6" spans="1:17" s="18" customFormat="1" ht="12.75" x14ac:dyDescent="0.2">
      <c r="A6" s="6">
        <v>44564</v>
      </c>
      <c r="B6" s="1">
        <v>1</v>
      </c>
      <c r="C6" s="14">
        <v>106</v>
      </c>
      <c r="D6" s="2">
        <v>489343</v>
      </c>
      <c r="E6" s="9">
        <v>30594494187</v>
      </c>
      <c r="F6" s="9" t="s">
        <v>45</v>
      </c>
      <c r="G6" s="10">
        <v>0</v>
      </c>
      <c r="H6" s="10">
        <v>0</v>
      </c>
      <c r="I6" s="9"/>
      <c r="J6" s="9"/>
      <c r="K6" s="10"/>
      <c r="L6" s="10">
        <v>19843.25</v>
      </c>
      <c r="M6" s="9"/>
      <c r="N6" s="9"/>
      <c r="O6" s="9"/>
      <c r="P6" s="10"/>
      <c r="Q6" s="10">
        <f t="shared" si="0"/>
        <v>19843.25</v>
      </c>
    </row>
    <row r="7" spans="1:17" s="18" customFormat="1" ht="12.75" x14ac:dyDescent="0.2">
      <c r="A7" s="6">
        <v>44564</v>
      </c>
      <c r="B7" s="1">
        <v>3</v>
      </c>
      <c r="C7" s="14">
        <v>122</v>
      </c>
      <c r="D7" s="2">
        <v>34895</v>
      </c>
      <c r="E7" s="9">
        <v>30594494187</v>
      </c>
      <c r="F7" s="9" t="s">
        <v>45</v>
      </c>
      <c r="G7" s="10">
        <v>-6163.2</v>
      </c>
      <c r="H7" s="10">
        <v>-1294.2719999999999</v>
      </c>
      <c r="I7" s="9"/>
      <c r="J7" s="10"/>
      <c r="K7" s="9"/>
      <c r="L7" s="10">
        <v>-23613.27</v>
      </c>
      <c r="M7" s="9"/>
      <c r="N7" s="9"/>
      <c r="O7" s="9"/>
      <c r="P7" s="10"/>
      <c r="Q7" s="10">
        <f t="shared" si="0"/>
        <v>-31070.741999999998</v>
      </c>
    </row>
    <row r="8" spans="1:17" s="18" customFormat="1" ht="12.75" x14ac:dyDescent="0.2">
      <c r="A8" s="6">
        <v>44566</v>
      </c>
      <c r="B8" s="1">
        <v>3</v>
      </c>
      <c r="C8" s="14">
        <v>1001</v>
      </c>
      <c r="D8" s="2">
        <v>68</v>
      </c>
      <c r="E8" s="9">
        <v>30715906542</v>
      </c>
      <c r="F8" s="9" t="s">
        <v>78</v>
      </c>
      <c r="G8" s="10">
        <v>-8087</v>
      </c>
      <c r="H8" s="10">
        <v>-1698.27</v>
      </c>
      <c r="I8" s="9"/>
      <c r="J8" s="10"/>
      <c r="K8" s="9"/>
      <c r="L8" s="10"/>
      <c r="M8" s="9"/>
      <c r="N8" s="9"/>
      <c r="O8" s="9"/>
      <c r="P8" s="10"/>
      <c r="Q8" s="10">
        <f t="shared" si="0"/>
        <v>-9785.27</v>
      </c>
    </row>
    <row r="9" spans="1:17" s="18" customFormat="1" ht="12.75" x14ac:dyDescent="0.2">
      <c r="A9" s="6">
        <v>44566</v>
      </c>
      <c r="B9" s="1">
        <v>1</v>
      </c>
      <c r="C9" s="14">
        <v>3</v>
      </c>
      <c r="D9" s="2">
        <v>1863</v>
      </c>
      <c r="E9" s="9">
        <v>30715296000</v>
      </c>
      <c r="F9" s="9" t="s">
        <v>76</v>
      </c>
      <c r="G9" s="10">
        <v>420621.63</v>
      </c>
      <c r="H9" s="10">
        <v>88330.542300000001</v>
      </c>
      <c r="I9" s="9"/>
      <c r="J9" s="10"/>
      <c r="K9" s="9"/>
      <c r="L9" s="9"/>
      <c r="M9" s="9"/>
      <c r="N9" s="9"/>
      <c r="O9" s="9"/>
      <c r="P9" s="9"/>
      <c r="Q9" s="10">
        <f t="shared" si="0"/>
        <v>508952.17229999998</v>
      </c>
    </row>
    <row r="10" spans="1:17" s="18" customFormat="1" ht="12.75" x14ac:dyDescent="0.2">
      <c r="A10" s="6">
        <v>44566</v>
      </c>
      <c r="B10" s="1">
        <v>1</v>
      </c>
      <c r="C10" s="14">
        <v>4</v>
      </c>
      <c r="D10" s="2">
        <v>6551</v>
      </c>
      <c r="E10" s="9">
        <v>20284624328</v>
      </c>
      <c r="F10" s="9" t="s">
        <v>80</v>
      </c>
      <c r="G10" s="10">
        <v>1272.73</v>
      </c>
      <c r="H10" s="10">
        <v>267.27330000000001</v>
      </c>
      <c r="I10" s="9"/>
      <c r="J10" s="9"/>
      <c r="K10" s="9"/>
      <c r="L10" s="10"/>
      <c r="M10" s="9"/>
      <c r="N10" s="9"/>
      <c r="O10" s="9"/>
      <c r="P10" s="9"/>
      <c r="Q10" s="10">
        <f t="shared" si="0"/>
        <v>1540.0033000000001</v>
      </c>
    </row>
    <row r="11" spans="1:17" s="18" customFormat="1" ht="12.75" x14ac:dyDescent="0.2">
      <c r="A11" s="6">
        <v>44567</v>
      </c>
      <c r="B11" s="1">
        <v>1</v>
      </c>
      <c r="C11" s="14">
        <v>5</v>
      </c>
      <c r="D11" s="2">
        <v>117</v>
      </c>
      <c r="E11" s="9">
        <v>30709962724</v>
      </c>
      <c r="F11" s="9" t="s">
        <v>81</v>
      </c>
      <c r="G11" s="10">
        <v>19307.43</v>
      </c>
      <c r="H11" s="10">
        <v>4054.5603000000001</v>
      </c>
      <c r="I11" s="9"/>
      <c r="J11" s="10"/>
      <c r="K11" s="9"/>
      <c r="L11" s="10"/>
      <c r="M11" s="10"/>
      <c r="N11" s="10"/>
      <c r="O11" s="9"/>
      <c r="P11" s="10"/>
      <c r="Q11" s="10">
        <f t="shared" si="0"/>
        <v>23361.990300000001</v>
      </c>
    </row>
    <row r="12" spans="1:17" s="18" customFormat="1" ht="12.75" x14ac:dyDescent="0.2">
      <c r="A12" s="6">
        <v>44567</v>
      </c>
      <c r="B12" s="1">
        <v>1</v>
      </c>
      <c r="C12" s="14">
        <v>2</v>
      </c>
      <c r="D12" s="2">
        <v>125</v>
      </c>
      <c r="E12" s="9">
        <v>20125142851</v>
      </c>
      <c r="F12" s="9" t="s">
        <v>19</v>
      </c>
      <c r="G12" s="10">
        <v>26321.439999999999</v>
      </c>
      <c r="H12" s="10">
        <v>5527.5023999999994</v>
      </c>
      <c r="I12" s="9"/>
      <c r="J12" s="10"/>
      <c r="K12" s="9"/>
      <c r="L12" s="10"/>
      <c r="M12" s="9"/>
      <c r="N12" s="9"/>
      <c r="O12" s="9"/>
      <c r="P12" s="9"/>
      <c r="Q12" s="10">
        <f t="shared" si="0"/>
        <v>31848.9424</v>
      </c>
    </row>
    <row r="13" spans="1:17" s="18" customFormat="1" ht="12.75" x14ac:dyDescent="0.2">
      <c r="A13" s="6">
        <v>44567</v>
      </c>
      <c r="B13" s="1">
        <v>1</v>
      </c>
      <c r="C13" s="14">
        <v>9</v>
      </c>
      <c r="D13" s="2">
        <v>2751</v>
      </c>
      <c r="E13" s="9">
        <v>30711847339</v>
      </c>
      <c r="F13" s="9" t="s">
        <v>82</v>
      </c>
      <c r="G13" s="10">
        <v>1768.6</v>
      </c>
      <c r="H13" s="10">
        <v>371.40599999999995</v>
      </c>
      <c r="I13" s="9"/>
      <c r="J13" s="9"/>
      <c r="K13" s="9"/>
      <c r="L13" s="9"/>
      <c r="M13" s="9"/>
      <c r="N13" s="9"/>
      <c r="O13" s="9"/>
      <c r="P13" s="10"/>
      <c r="Q13" s="10">
        <f t="shared" si="0"/>
        <v>2140.0059999999999</v>
      </c>
    </row>
    <row r="14" spans="1:17" s="18" customFormat="1" ht="12.75" x14ac:dyDescent="0.2">
      <c r="A14" s="6">
        <v>44567</v>
      </c>
      <c r="B14" s="1">
        <v>1</v>
      </c>
      <c r="C14" s="14">
        <v>122</v>
      </c>
      <c r="D14" s="2">
        <v>227452</v>
      </c>
      <c r="E14" s="9">
        <v>30594494187</v>
      </c>
      <c r="F14" s="9" t="s">
        <v>45</v>
      </c>
      <c r="G14" s="10">
        <v>12995.64</v>
      </c>
      <c r="H14" s="10">
        <v>2729.0843999999997</v>
      </c>
      <c r="I14" s="9"/>
      <c r="J14" s="10"/>
      <c r="K14" s="9"/>
      <c r="L14" s="9">
        <v>920</v>
      </c>
      <c r="M14" s="9"/>
      <c r="N14" s="9"/>
      <c r="O14" s="9"/>
      <c r="P14" s="10"/>
      <c r="Q14" s="10">
        <f t="shared" si="0"/>
        <v>16644.724399999999</v>
      </c>
    </row>
    <row r="15" spans="1:17" s="18" customFormat="1" ht="12.75" x14ac:dyDescent="0.2">
      <c r="A15" s="6">
        <v>44567</v>
      </c>
      <c r="B15" s="1">
        <v>3</v>
      </c>
      <c r="C15" s="14">
        <v>122</v>
      </c>
      <c r="D15" s="2">
        <v>34985</v>
      </c>
      <c r="E15" s="9">
        <v>30594494187</v>
      </c>
      <c r="F15" s="9" t="s">
        <v>45</v>
      </c>
      <c r="G15" s="10">
        <v>-12995.64</v>
      </c>
      <c r="H15" s="10">
        <v>-2729.0843999999997</v>
      </c>
      <c r="I15" s="9"/>
      <c r="J15" s="10"/>
      <c r="K15" s="9"/>
      <c r="L15" s="9">
        <v>-920</v>
      </c>
      <c r="M15" s="9"/>
      <c r="N15" s="9"/>
      <c r="O15" s="9"/>
      <c r="P15" s="10"/>
      <c r="Q15" s="10">
        <f t="shared" si="0"/>
        <v>-16644.724399999999</v>
      </c>
    </row>
    <row r="16" spans="1:17" s="18" customFormat="1" ht="12.75" x14ac:dyDescent="0.2">
      <c r="A16" s="6">
        <v>44571</v>
      </c>
      <c r="B16" s="1">
        <v>1</v>
      </c>
      <c r="C16" s="14">
        <v>7</v>
      </c>
      <c r="D16" s="2">
        <v>19934</v>
      </c>
      <c r="E16" s="9">
        <v>30715232355</v>
      </c>
      <c r="F16" s="9" t="s">
        <v>83</v>
      </c>
      <c r="G16" s="10">
        <v>2425.9699999999998</v>
      </c>
      <c r="H16" s="10">
        <v>36.270000000000003</v>
      </c>
      <c r="I16" s="9"/>
      <c r="J16" s="9">
        <v>236.59</v>
      </c>
      <c r="K16" s="9"/>
      <c r="L16" s="9"/>
      <c r="M16" s="9"/>
      <c r="N16" s="9"/>
      <c r="O16" s="9"/>
      <c r="P16" s="10"/>
      <c r="Q16" s="10">
        <f t="shared" si="0"/>
        <v>2698.83</v>
      </c>
    </row>
    <row r="17" spans="1:17" s="18" customFormat="1" ht="12.75" x14ac:dyDescent="0.2">
      <c r="A17" s="6">
        <v>44571</v>
      </c>
      <c r="B17" s="1">
        <v>1</v>
      </c>
      <c r="C17" s="14">
        <v>7</v>
      </c>
      <c r="D17" s="2">
        <v>31775</v>
      </c>
      <c r="E17" s="9">
        <v>30528214483</v>
      </c>
      <c r="F17" s="9" t="s">
        <v>71</v>
      </c>
      <c r="G17" s="10">
        <v>4371.08</v>
      </c>
      <c r="H17" s="10">
        <v>917.92679999999996</v>
      </c>
      <c r="I17" s="9"/>
      <c r="J17" s="9"/>
      <c r="K17" s="9"/>
      <c r="L17" s="9"/>
      <c r="M17" s="9"/>
      <c r="N17" s="9"/>
      <c r="O17" s="9"/>
      <c r="P17" s="9"/>
      <c r="Q17" s="10">
        <f t="shared" si="0"/>
        <v>5289.0068000000001</v>
      </c>
    </row>
    <row r="18" spans="1:17" s="18" customFormat="1" ht="12.75" x14ac:dyDescent="0.2">
      <c r="A18" s="6">
        <v>44571</v>
      </c>
      <c r="B18" s="1">
        <v>1</v>
      </c>
      <c r="C18" s="14">
        <v>106</v>
      </c>
      <c r="D18" s="2">
        <v>491018</v>
      </c>
      <c r="E18" s="9">
        <v>30594494187</v>
      </c>
      <c r="F18" s="9" t="s">
        <v>45</v>
      </c>
      <c r="G18" s="10">
        <v>16235.64</v>
      </c>
      <c r="H18" s="10">
        <v>3409.4843999999998</v>
      </c>
      <c r="I18" s="9"/>
      <c r="J18" s="9"/>
      <c r="K18" s="9">
        <v>920</v>
      </c>
      <c r="L18" s="9"/>
      <c r="M18" s="9"/>
      <c r="N18" s="10"/>
      <c r="O18" s="9"/>
      <c r="P18" s="10"/>
      <c r="Q18" s="10">
        <f t="shared" si="0"/>
        <v>20565.124400000001</v>
      </c>
    </row>
    <row r="19" spans="1:17" s="18" customFormat="1" ht="12.75" x14ac:dyDescent="0.2">
      <c r="A19" s="6">
        <v>44571</v>
      </c>
      <c r="B19" s="1">
        <v>1</v>
      </c>
      <c r="C19" s="14">
        <v>7</v>
      </c>
      <c r="D19" s="2">
        <v>31775</v>
      </c>
      <c r="E19" s="9">
        <v>30528214483</v>
      </c>
      <c r="F19" s="9" t="s">
        <v>71</v>
      </c>
      <c r="G19" s="10">
        <v>4371.08</v>
      </c>
      <c r="H19" s="10">
        <v>917.92679999999996</v>
      </c>
      <c r="I19" s="9"/>
      <c r="J19" s="9"/>
      <c r="K19" s="9"/>
      <c r="L19" s="10"/>
      <c r="M19" s="9"/>
      <c r="N19" s="9"/>
      <c r="O19" s="9"/>
      <c r="P19" s="9"/>
      <c r="Q19" s="10">
        <f t="shared" si="0"/>
        <v>5289.0068000000001</v>
      </c>
    </row>
    <row r="20" spans="1:17" s="18" customFormat="1" ht="12.75" x14ac:dyDescent="0.2">
      <c r="A20" s="6">
        <v>44572</v>
      </c>
      <c r="B20" s="1">
        <v>1</v>
      </c>
      <c r="C20" s="14">
        <v>2466</v>
      </c>
      <c r="D20" s="2">
        <v>307679</v>
      </c>
      <c r="E20" s="9">
        <v>30678814357</v>
      </c>
      <c r="F20" s="9" t="s">
        <v>20</v>
      </c>
      <c r="G20" s="10">
        <v>1525</v>
      </c>
      <c r="H20" s="10"/>
      <c r="I20" s="9">
        <v>411.75</v>
      </c>
      <c r="J20" s="9"/>
      <c r="K20" s="9"/>
      <c r="L20" s="9"/>
      <c r="M20" s="9"/>
      <c r="N20" s="9"/>
      <c r="O20" s="9"/>
      <c r="P20" s="9">
        <v>80.260000000000005</v>
      </c>
      <c r="Q20" s="10">
        <f t="shared" si="0"/>
        <v>2017.01</v>
      </c>
    </row>
    <row r="21" spans="1:17" s="18" customFormat="1" ht="12.75" x14ac:dyDescent="0.2">
      <c r="A21" s="6">
        <v>44573</v>
      </c>
      <c r="B21" s="1">
        <v>1</v>
      </c>
      <c r="C21" s="14">
        <v>440</v>
      </c>
      <c r="D21" s="2">
        <v>1565520</v>
      </c>
      <c r="E21" s="9">
        <v>30696170580</v>
      </c>
      <c r="F21" s="9" t="s">
        <v>58</v>
      </c>
      <c r="G21" s="10">
        <v>42667</v>
      </c>
      <c r="H21" s="10">
        <v>8960.07</v>
      </c>
      <c r="I21" s="9"/>
      <c r="J21" s="9"/>
      <c r="K21" s="9"/>
      <c r="L21" s="9"/>
      <c r="M21" s="9"/>
      <c r="N21" s="9"/>
      <c r="O21" s="9"/>
      <c r="P21" s="9"/>
      <c r="Q21" s="10">
        <f t="shared" si="0"/>
        <v>51627.07</v>
      </c>
    </row>
    <row r="22" spans="1:17" s="18" customFormat="1" ht="12.75" x14ac:dyDescent="0.2">
      <c r="A22" s="6">
        <v>44573</v>
      </c>
      <c r="B22" s="1">
        <v>1</v>
      </c>
      <c r="C22" s="14">
        <v>40</v>
      </c>
      <c r="D22" s="2">
        <v>1873330</v>
      </c>
      <c r="E22" s="9">
        <v>30710964277</v>
      </c>
      <c r="F22" s="9" t="s">
        <v>59</v>
      </c>
      <c r="G22" s="10">
        <v>2390.9299999999998</v>
      </c>
      <c r="H22" s="10">
        <v>502.09529999999995</v>
      </c>
      <c r="I22" s="9"/>
      <c r="J22" s="9"/>
      <c r="K22" s="9"/>
      <c r="L22" s="9"/>
      <c r="M22" s="9"/>
      <c r="N22" s="9"/>
      <c r="O22" s="9"/>
      <c r="P22" s="9"/>
      <c r="Q22" s="10">
        <f t="shared" si="0"/>
        <v>2893.0252999999998</v>
      </c>
    </row>
    <row r="23" spans="1:17" s="18" customFormat="1" ht="12.75" x14ac:dyDescent="0.2">
      <c r="A23" s="6">
        <v>44573</v>
      </c>
      <c r="B23" s="1">
        <v>1</v>
      </c>
      <c r="C23" s="14">
        <v>3</v>
      </c>
      <c r="D23" s="2">
        <v>696694</v>
      </c>
      <c r="E23" s="9">
        <v>30712019359</v>
      </c>
      <c r="F23" s="9" t="s">
        <v>23</v>
      </c>
      <c r="G23" s="10">
        <v>2147.9299999999998</v>
      </c>
      <c r="H23" s="10">
        <v>451.06529999999992</v>
      </c>
      <c r="I23" s="9"/>
      <c r="J23" s="9"/>
      <c r="K23" s="9"/>
      <c r="L23" s="9"/>
      <c r="M23" s="9"/>
      <c r="N23" s="9"/>
      <c r="O23" s="9"/>
      <c r="P23" s="9"/>
      <c r="Q23" s="10">
        <f t="shared" si="0"/>
        <v>2598.9952999999996</v>
      </c>
    </row>
    <row r="24" spans="1:17" s="18" customFormat="1" ht="12.75" x14ac:dyDescent="0.2">
      <c r="A24" s="6">
        <v>44573</v>
      </c>
      <c r="B24" s="1">
        <v>1</v>
      </c>
      <c r="C24" s="14">
        <v>8</v>
      </c>
      <c r="D24" s="2">
        <v>36324</v>
      </c>
      <c r="E24" s="9">
        <v>30714295957</v>
      </c>
      <c r="F24" s="9" t="s">
        <v>84</v>
      </c>
      <c r="G24" s="10">
        <v>5873.3</v>
      </c>
      <c r="H24" s="10"/>
      <c r="I24" s="9"/>
      <c r="J24" s="9">
        <v>616.69650000000001</v>
      </c>
      <c r="K24" s="9"/>
      <c r="L24" s="9"/>
      <c r="M24" s="9"/>
      <c r="N24" s="9"/>
      <c r="O24" s="9"/>
      <c r="P24" s="9"/>
      <c r="Q24" s="10">
        <f t="shared" si="0"/>
        <v>6489.9965000000002</v>
      </c>
    </row>
    <row r="25" spans="1:17" s="18" customFormat="1" ht="12.75" x14ac:dyDescent="0.2">
      <c r="A25" s="6">
        <v>44574</v>
      </c>
      <c r="B25" s="1">
        <v>1</v>
      </c>
      <c r="C25" s="14">
        <v>106</v>
      </c>
      <c r="D25" s="2">
        <v>491674</v>
      </c>
      <c r="E25" s="9">
        <v>30594494187</v>
      </c>
      <c r="F25" s="9" t="s">
        <v>45</v>
      </c>
      <c r="G25" s="10">
        <v>15190</v>
      </c>
      <c r="H25" s="10">
        <v>3189.9</v>
      </c>
      <c r="I25" s="9"/>
      <c r="J25" s="9"/>
      <c r="K25" s="10">
        <v>126025.1</v>
      </c>
      <c r="L25" s="9"/>
      <c r="M25" s="9"/>
      <c r="N25" s="9"/>
      <c r="O25" s="9"/>
      <c r="P25" s="9"/>
      <c r="Q25" s="10">
        <f t="shared" si="0"/>
        <v>144405</v>
      </c>
    </row>
    <row r="26" spans="1:17" s="18" customFormat="1" ht="12.75" x14ac:dyDescent="0.2">
      <c r="A26" s="6">
        <v>44578</v>
      </c>
      <c r="B26" s="1">
        <v>1</v>
      </c>
      <c r="C26" s="14">
        <v>3</v>
      </c>
      <c r="D26" s="2">
        <v>16176</v>
      </c>
      <c r="E26" s="9">
        <v>30709511846</v>
      </c>
      <c r="F26" s="9" t="s">
        <v>47</v>
      </c>
      <c r="G26" s="10">
        <v>4095.02</v>
      </c>
      <c r="H26" s="10"/>
      <c r="I26" s="9"/>
      <c r="J26" s="9">
        <v>429.97710000000001</v>
      </c>
      <c r="K26" s="9"/>
      <c r="L26" s="9"/>
      <c r="M26" s="9"/>
      <c r="N26" s="9"/>
      <c r="O26" s="9"/>
      <c r="P26" s="9"/>
      <c r="Q26" s="10">
        <f t="shared" si="0"/>
        <v>4524.9970999999996</v>
      </c>
    </row>
    <row r="27" spans="1:17" s="18" customFormat="1" ht="12.75" x14ac:dyDescent="0.2">
      <c r="A27" s="6">
        <v>44581</v>
      </c>
      <c r="B27" s="1">
        <v>1</v>
      </c>
      <c r="C27" s="14">
        <v>4</v>
      </c>
      <c r="D27" s="2">
        <v>3529</v>
      </c>
      <c r="E27" s="9">
        <v>24273099685</v>
      </c>
      <c r="F27" s="9" t="s">
        <v>85</v>
      </c>
      <c r="G27" s="10">
        <v>1239.67</v>
      </c>
      <c r="H27" s="10">
        <v>260.33069999999998</v>
      </c>
      <c r="I27" s="9"/>
      <c r="J27" s="9"/>
      <c r="K27" s="9"/>
      <c r="L27" s="9"/>
      <c r="M27" s="9"/>
      <c r="N27" s="9"/>
      <c r="O27" s="9"/>
      <c r="P27" s="9"/>
      <c r="Q27" s="10">
        <f t="shared" si="0"/>
        <v>1500.0007000000001</v>
      </c>
    </row>
    <row r="28" spans="1:17" s="18" customFormat="1" ht="12.75" x14ac:dyDescent="0.2">
      <c r="A28" s="6">
        <v>44582</v>
      </c>
      <c r="B28" s="1">
        <v>1</v>
      </c>
      <c r="C28" s="14">
        <v>2</v>
      </c>
      <c r="D28" s="2">
        <v>9462</v>
      </c>
      <c r="E28" s="9">
        <v>30714481513</v>
      </c>
      <c r="F28" s="9" t="s">
        <v>39</v>
      </c>
      <c r="G28" s="10">
        <v>1356.54</v>
      </c>
      <c r="H28" s="10">
        <v>65.953000000000003</v>
      </c>
      <c r="I28" s="9"/>
      <c r="J28" s="9">
        <v>109.46</v>
      </c>
      <c r="K28" s="9"/>
      <c r="L28" s="9"/>
      <c r="M28" s="9"/>
      <c r="N28" s="9"/>
      <c r="O28" s="9"/>
      <c r="P28" s="9"/>
      <c r="Q28" s="10">
        <f t="shared" si="0"/>
        <v>1531.953</v>
      </c>
    </row>
    <row r="29" spans="1:17" s="18" customFormat="1" ht="12.75" x14ac:dyDescent="0.2">
      <c r="A29" s="6">
        <v>44583</v>
      </c>
      <c r="B29" s="1">
        <v>1</v>
      </c>
      <c r="C29" s="14">
        <v>2</v>
      </c>
      <c r="D29" s="2">
        <v>2858</v>
      </c>
      <c r="E29" s="9">
        <v>30717054691</v>
      </c>
      <c r="F29" s="9" t="s">
        <v>36</v>
      </c>
      <c r="G29" s="10">
        <v>3764.71</v>
      </c>
      <c r="H29" s="10"/>
      <c r="I29" s="9"/>
      <c r="J29" s="9">
        <v>395.29455000000002</v>
      </c>
      <c r="K29" s="9"/>
      <c r="L29" s="9"/>
      <c r="M29" s="9"/>
      <c r="N29" s="9"/>
      <c r="O29" s="9"/>
      <c r="P29" s="9"/>
      <c r="Q29" s="10">
        <f t="shared" si="0"/>
        <v>4160.0045499999997</v>
      </c>
    </row>
    <row r="30" spans="1:17" s="18" customFormat="1" ht="12.75" x14ac:dyDescent="0.2">
      <c r="A30" s="6">
        <v>44585</v>
      </c>
      <c r="B30" s="1">
        <v>1</v>
      </c>
      <c r="C30" s="14">
        <v>3</v>
      </c>
      <c r="D30" s="2">
        <v>16321</v>
      </c>
      <c r="E30" s="9">
        <v>30709511846</v>
      </c>
      <c r="F30" s="9" t="s">
        <v>47</v>
      </c>
      <c r="G30" s="10">
        <v>2885.97</v>
      </c>
      <c r="H30" s="10"/>
      <c r="I30" s="9"/>
      <c r="J30" s="9">
        <v>303.02684999999997</v>
      </c>
      <c r="K30" s="9"/>
      <c r="L30" s="9"/>
      <c r="M30" s="9"/>
      <c r="N30" s="9"/>
      <c r="O30" s="9"/>
      <c r="P30" s="9"/>
      <c r="Q30" s="10">
        <f t="shared" si="0"/>
        <v>3188.9968499999995</v>
      </c>
    </row>
    <row r="31" spans="1:17" s="18" customFormat="1" ht="12.75" x14ac:dyDescent="0.2">
      <c r="A31" s="6">
        <v>44586</v>
      </c>
      <c r="B31" s="1">
        <v>1</v>
      </c>
      <c r="C31" s="14">
        <v>721</v>
      </c>
      <c r="D31" s="2">
        <v>2372</v>
      </c>
      <c r="E31" s="9">
        <v>30580111315</v>
      </c>
      <c r="F31" s="9" t="s">
        <v>21</v>
      </c>
      <c r="G31" s="10">
        <v>27359</v>
      </c>
      <c r="H31" s="10">
        <v>5745.3899999999994</v>
      </c>
      <c r="I31" s="9"/>
      <c r="J31" s="9"/>
      <c r="K31" s="9"/>
      <c r="L31" s="9"/>
      <c r="M31" s="9"/>
      <c r="N31" s="9"/>
      <c r="O31" s="9"/>
      <c r="P31" s="9"/>
      <c r="Q31" s="10">
        <f t="shared" si="0"/>
        <v>33104.39</v>
      </c>
    </row>
    <row r="32" spans="1:17" s="18" customFormat="1" ht="12.75" x14ac:dyDescent="0.2">
      <c r="A32" s="6">
        <v>44587</v>
      </c>
      <c r="B32" s="1">
        <v>1</v>
      </c>
      <c r="C32" s="14">
        <v>5</v>
      </c>
      <c r="D32" s="2">
        <v>4441</v>
      </c>
      <c r="E32" s="9">
        <v>30714269336</v>
      </c>
      <c r="F32" s="9" t="s">
        <v>86</v>
      </c>
      <c r="G32" s="10">
        <v>533.05999999999995</v>
      </c>
      <c r="H32" s="10">
        <v>111.94259999999998</v>
      </c>
      <c r="I32" s="9"/>
      <c r="J32" s="9"/>
      <c r="K32" s="9"/>
      <c r="L32" s="9"/>
      <c r="M32" s="9"/>
      <c r="N32" s="9"/>
      <c r="O32" s="9"/>
      <c r="P32" s="9"/>
      <c r="Q32" s="10">
        <f t="shared" si="0"/>
        <v>645.00259999999992</v>
      </c>
    </row>
    <row r="33" spans="1:17" s="18" customFormat="1" ht="12.75" x14ac:dyDescent="0.2">
      <c r="A33" s="6">
        <v>44588</v>
      </c>
      <c r="B33" s="1">
        <v>1</v>
      </c>
      <c r="C33" s="14">
        <v>3</v>
      </c>
      <c r="D33" s="2">
        <v>712233</v>
      </c>
      <c r="E33" s="9">
        <v>30712019359</v>
      </c>
      <c r="F33" s="9" t="s">
        <v>23</v>
      </c>
      <c r="G33" s="10">
        <v>2478.5100000000002</v>
      </c>
      <c r="H33" s="10">
        <v>520.48710000000005</v>
      </c>
      <c r="I33" s="9"/>
      <c r="J33" s="9"/>
      <c r="K33" s="9"/>
      <c r="L33" s="9"/>
      <c r="M33" s="9"/>
      <c r="N33" s="9"/>
      <c r="O33" s="9"/>
      <c r="P33" s="9"/>
      <c r="Q33" s="10">
        <f t="shared" si="0"/>
        <v>2998.9971000000005</v>
      </c>
    </row>
    <row r="34" spans="1:17" s="18" customFormat="1" ht="12.75" x14ac:dyDescent="0.2">
      <c r="A34" s="6">
        <v>44589</v>
      </c>
      <c r="B34" s="1">
        <v>1</v>
      </c>
      <c r="C34" s="14">
        <v>5</v>
      </c>
      <c r="D34" s="2">
        <v>5056</v>
      </c>
      <c r="E34" s="9">
        <v>27044202625</v>
      </c>
      <c r="F34" s="9" t="s">
        <v>87</v>
      </c>
      <c r="G34" s="10">
        <v>710.74</v>
      </c>
      <c r="H34" s="10">
        <v>149.25540000000001</v>
      </c>
      <c r="I34" s="9"/>
      <c r="J34" s="9"/>
      <c r="K34" s="9"/>
      <c r="L34" s="9"/>
      <c r="M34" s="9"/>
      <c r="N34" s="9"/>
      <c r="O34" s="9"/>
      <c r="P34" s="9"/>
      <c r="Q34" s="10">
        <f t="shared" si="0"/>
        <v>859.99540000000002</v>
      </c>
    </row>
    <row r="35" spans="1:17" s="18" customFormat="1" ht="12.75" x14ac:dyDescent="0.2">
      <c r="A35" s="6">
        <v>44589</v>
      </c>
      <c r="B35" s="1">
        <v>1</v>
      </c>
      <c r="C35" s="14">
        <v>10</v>
      </c>
      <c r="D35" s="2">
        <v>9384</v>
      </c>
      <c r="E35" s="9">
        <v>30715667386</v>
      </c>
      <c r="F35" s="9" t="s">
        <v>88</v>
      </c>
      <c r="G35" s="10">
        <v>3154.62</v>
      </c>
      <c r="H35" s="10">
        <v>662.47019999999998</v>
      </c>
      <c r="I35" s="9"/>
      <c r="J35" s="9"/>
      <c r="K35" s="9"/>
      <c r="L35" s="9"/>
      <c r="M35" s="9"/>
      <c r="N35" s="9"/>
      <c r="O35" s="9"/>
      <c r="P35" s="9"/>
      <c r="Q35" s="10">
        <f t="shared" si="0"/>
        <v>3817.0901999999996</v>
      </c>
    </row>
    <row r="36" spans="1:17" s="18" customFormat="1" ht="12.75" x14ac:dyDescent="0.2">
      <c r="A36" s="6">
        <v>44589</v>
      </c>
      <c r="B36" s="1">
        <v>1</v>
      </c>
      <c r="C36" s="14">
        <v>2</v>
      </c>
      <c r="D36" s="2">
        <v>18848</v>
      </c>
      <c r="E36" s="9">
        <v>30715257099</v>
      </c>
      <c r="F36" s="9" t="s">
        <v>89</v>
      </c>
      <c r="G36" s="10">
        <v>5553.72</v>
      </c>
      <c r="H36" s="10">
        <v>1166.2811999999999</v>
      </c>
      <c r="I36" s="9"/>
      <c r="J36" s="9"/>
      <c r="K36" s="9"/>
      <c r="L36" s="9"/>
      <c r="M36" s="9"/>
      <c r="N36" s="9"/>
      <c r="O36" s="9"/>
      <c r="P36" s="9"/>
      <c r="Q36" s="10">
        <f t="shared" si="0"/>
        <v>6720.0012000000006</v>
      </c>
    </row>
    <row r="37" spans="1:17" s="18" customFormat="1" ht="12.75" x14ac:dyDescent="0.2">
      <c r="A37" s="6">
        <v>44590</v>
      </c>
      <c r="B37" s="1">
        <v>1</v>
      </c>
      <c r="C37" s="14">
        <v>201</v>
      </c>
      <c r="D37" s="2">
        <v>402</v>
      </c>
      <c r="E37" s="9">
        <v>30631965284</v>
      </c>
      <c r="F37" s="9" t="s">
        <v>90</v>
      </c>
      <c r="G37" s="10">
        <v>7429.75</v>
      </c>
      <c r="H37" s="10">
        <v>1560.2474999999999</v>
      </c>
      <c r="I37" s="9"/>
      <c r="J37" s="9"/>
      <c r="K37" s="9"/>
      <c r="L37" s="9"/>
      <c r="M37" s="9"/>
      <c r="N37" s="9"/>
      <c r="O37" s="9"/>
      <c r="P37" s="9"/>
      <c r="Q37" s="10">
        <f t="shared" si="0"/>
        <v>8989.9974999999995</v>
      </c>
    </row>
    <row r="38" spans="1:17" s="18" customFormat="1" ht="12.75" x14ac:dyDescent="0.2">
      <c r="A38" s="6">
        <v>44590</v>
      </c>
      <c r="B38" s="1">
        <v>1</v>
      </c>
      <c r="C38" s="14">
        <v>201</v>
      </c>
      <c r="D38" s="2">
        <v>399</v>
      </c>
      <c r="E38" s="9">
        <v>30631965284</v>
      </c>
      <c r="F38" s="9" t="s">
        <v>90</v>
      </c>
      <c r="G38" s="10">
        <v>7429.75</v>
      </c>
      <c r="H38" s="10">
        <v>1560.2474999999999</v>
      </c>
      <c r="I38" s="9"/>
      <c r="J38" s="9"/>
      <c r="K38" s="9"/>
      <c r="L38" s="9"/>
      <c r="M38" s="9"/>
      <c r="N38" s="9"/>
      <c r="O38" s="9"/>
      <c r="P38" s="9"/>
      <c r="Q38" s="10">
        <f t="shared" si="0"/>
        <v>8989.9974999999995</v>
      </c>
    </row>
    <row r="39" spans="1:17" s="18" customFormat="1" ht="12.75" x14ac:dyDescent="0.2">
      <c r="A39" s="6">
        <v>44590</v>
      </c>
      <c r="B39" s="1">
        <v>3</v>
      </c>
      <c r="C39" s="14">
        <v>201</v>
      </c>
      <c r="D39" s="2">
        <v>37</v>
      </c>
      <c r="E39" s="9">
        <v>30631965284</v>
      </c>
      <c r="F39" s="9" t="s">
        <v>90</v>
      </c>
      <c r="G39" s="10">
        <v>-7429.75</v>
      </c>
      <c r="H39" s="10">
        <v>-1560.2474999999999</v>
      </c>
      <c r="I39" s="9"/>
      <c r="J39" s="9"/>
      <c r="K39" s="9"/>
      <c r="L39" s="9"/>
      <c r="M39" s="9"/>
      <c r="N39" s="9"/>
      <c r="O39" s="9"/>
      <c r="P39" s="9"/>
      <c r="Q39" s="10">
        <f t="shared" si="0"/>
        <v>-8989.9974999999995</v>
      </c>
    </row>
    <row r="40" spans="1:17" s="18" customFormat="1" ht="12.75" x14ac:dyDescent="0.2">
      <c r="A40" s="6">
        <v>44591</v>
      </c>
      <c r="B40" s="1">
        <v>1</v>
      </c>
      <c r="C40" s="14">
        <v>7</v>
      </c>
      <c r="D40" s="2">
        <v>6549</v>
      </c>
      <c r="E40" s="9">
        <v>20261680298</v>
      </c>
      <c r="F40" s="9" t="s">
        <v>48</v>
      </c>
      <c r="G40" s="10">
        <v>3326.69</v>
      </c>
      <c r="H40" s="10"/>
      <c r="I40" s="9"/>
      <c r="J40" s="9">
        <v>349.30244999999996</v>
      </c>
      <c r="K40" s="9"/>
      <c r="L40" s="9"/>
      <c r="M40" s="9"/>
      <c r="N40" s="9"/>
      <c r="O40" s="9"/>
      <c r="P40" s="9"/>
      <c r="Q40" s="10">
        <f t="shared" si="0"/>
        <v>3675.9924500000002</v>
      </c>
    </row>
    <row r="41" spans="1:17" s="18" customFormat="1" ht="12.75" x14ac:dyDescent="0.2">
      <c r="A41" s="6">
        <v>44591</v>
      </c>
      <c r="B41" s="1">
        <v>1</v>
      </c>
      <c r="C41" s="14">
        <v>1</v>
      </c>
      <c r="D41" s="2">
        <v>422</v>
      </c>
      <c r="E41" s="9">
        <v>30715048066</v>
      </c>
      <c r="F41" s="9" t="s">
        <v>24</v>
      </c>
      <c r="G41" s="10">
        <v>165587.9</v>
      </c>
      <c r="H41" s="10">
        <v>34773.458999999995</v>
      </c>
      <c r="I41" s="9"/>
      <c r="J41" s="9"/>
      <c r="K41" s="9"/>
      <c r="L41" s="9"/>
      <c r="M41" s="9"/>
      <c r="N41" s="9"/>
      <c r="O41" s="9"/>
      <c r="P41" s="9"/>
      <c r="Q41" s="10">
        <f t="shared" si="0"/>
        <v>200361.359</v>
      </c>
    </row>
    <row r="42" spans="1:17" s="18" customFormat="1" ht="12.75" x14ac:dyDescent="0.2">
      <c r="A42" s="6">
        <v>44592</v>
      </c>
      <c r="B42" s="1">
        <v>1</v>
      </c>
      <c r="C42" s="14">
        <v>2</v>
      </c>
      <c r="D42" s="2">
        <v>5346</v>
      </c>
      <c r="E42" s="9">
        <v>30710563639</v>
      </c>
      <c r="F42" s="9" t="s">
        <v>91</v>
      </c>
      <c r="G42" s="10">
        <v>1032.23</v>
      </c>
      <c r="H42" s="10">
        <v>216.76829999999998</v>
      </c>
      <c r="I42" s="9"/>
      <c r="J42" s="10"/>
      <c r="K42" s="9"/>
      <c r="L42" s="10"/>
      <c r="M42" s="9"/>
      <c r="N42" s="9"/>
      <c r="O42" s="9"/>
      <c r="P42" s="10"/>
      <c r="Q42" s="10">
        <f t="shared" si="0"/>
        <v>1248.9983</v>
      </c>
    </row>
    <row r="43" spans="1:17" s="18" customFormat="1" ht="12.75" x14ac:dyDescent="0.2">
      <c r="A43" s="6">
        <v>44592</v>
      </c>
      <c r="B43" s="1">
        <v>1</v>
      </c>
      <c r="C43" s="14">
        <v>4</v>
      </c>
      <c r="D43" s="2">
        <v>6882</v>
      </c>
      <c r="E43" s="9">
        <v>30620415606</v>
      </c>
      <c r="F43" s="9" t="s">
        <v>63</v>
      </c>
      <c r="G43" s="10">
        <v>83181.429999999993</v>
      </c>
      <c r="H43" s="10">
        <v>17468.100299999998</v>
      </c>
      <c r="I43" s="9"/>
      <c r="J43" s="9"/>
      <c r="K43" s="10"/>
      <c r="L43" s="10">
        <v>54520.86</v>
      </c>
      <c r="M43" s="9"/>
      <c r="N43" s="9"/>
      <c r="O43" s="9"/>
      <c r="P43" s="9"/>
      <c r="Q43" s="10">
        <f t="shared" si="0"/>
        <v>155170.39029999997</v>
      </c>
    </row>
    <row r="44" spans="1:17" s="18" customFormat="1" ht="12.75" x14ac:dyDescent="0.2">
      <c r="A44" s="6">
        <v>44592</v>
      </c>
      <c r="B44" s="1">
        <v>1</v>
      </c>
      <c r="C44" s="14">
        <v>9</v>
      </c>
      <c r="D44" s="2">
        <v>32505</v>
      </c>
      <c r="E44" s="9">
        <v>33715571639</v>
      </c>
      <c r="F44" s="9" t="s">
        <v>92</v>
      </c>
      <c r="G44" s="10">
        <v>1533.95</v>
      </c>
      <c r="H44" s="10">
        <v>65.95</v>
      </c>
      <c r="I44" s="9"/>
      <c r="J44" s="9">
        <v>128.09</v>
      </c>
      <c r="K44" s="9"/>
      <c r="L44" s="9"/>
      <c r="M44" s="9"/>
      <c r="N44" s="10"/>
      <c r="O44" s="9"/>
      <c r="P44" s="9"/>
      <c r="Q44" s="10">
        <f t="shared" si="0"/>
        <v>1727.99</v>
      </c>
    </row>
    <row r="45" spans="1:17" s="18" customFormat="1" ht="12.75" x14ac:dyDescent="0.2">
      <c r="A45" s="19">
        <v>44592</v>
      </c>
      <c r="B45" s="1">
        <v>99</v>
      </c>
      <c r="C45" s="14">
        <v>617</v>
      </c>
      <c r="D45" s="2">
        <v>466878</v>
      </c>
      <c r="E45" s="9" t="s">
        <v>108</v>
      </c>
      <c r="F45" s="9" t="s">
        <v>109</v>
      </c>
      <c r="G45" s="10">
        <v>5776.1</v>
      </c>
      <c r="H45" s="10">
        <v>1212.98</v>
      </c>
      <c r="I45" s="9"/>
      <c r="J45" s="9"/>
      <c r="K45" s="9"/>
      <c r="L45" s="9"/>
      <c r="M45" s="9"/>
      <c r="N45" s="10"/>
      <c r="O45" s="9">
        <v>173.28</v>
      </c>
      <c r="P45" s="9"/>
      <c r="Q45" s="10">
        <f t="shared" si="0"/>
        <v>7162.36</v>
      </c>
    </row>
    <row r="46" spans="1:17" s="18" customFormat="1" ht="12.75" x14ac:dyDescent="0.2">
      <c r="A46" s="19">
        <v>44588</v>
      </c>
      <c r="B46" s="1">
        <v>99</v>
      </c>
      <c r="C46" s="14">
        <v>617</v>
      </c>
      <c r="D46" s="2">
        <v>46652</v>
      </c>
      <c r="E46" s="9" t="s">
        <v>108</v>
      </c>
      <c r="F46" s="9" t="s">
        <v>109</v>
      </c>
      <c r="G46" s="10">
        <v>6810.05</v>
      </c>
      <c r="H46" s="10">
        <v>1430.11</v>
      </c>
      <c r="I46" s="9"/>
      <c r="J46" s="9"/>
      <c r="K46" s="9"/>
      <c r="L46" s="9"/>
      <c r="M46" s="9"/>
      <c r="N46" s="10"/>
      <c r="O46" s="9">
        <v>204.3</v>
      </c>
      <c r="P46" s="9"/>
      <c r="Q46" s="10">
        <f t="shared" si="0"/>
        <v>8444.4599999999991</v>
      </c>
    </row>
    <row r="47" spans="1:17" s="18" customFormat="1" ht="12.75" x14ac:dyDescent="0.2">
      <c r="A47" s="19">
        <v>44572</v>
      </c>
      <c r="B47" s="1">
        <v>99</v>
      </c>
      <c r="C47" s="14">
        <v>1</v>
      </c>
      <c r="D47" s="2">
        <v>554229</v>
      </c>
      <c r="E47" s="9" t="s">
        <v>108</v>
      </c>
      <c r="F47" s="9" t="s">
        <v>109</v>
      </c>
      <c r="G47" s="10">
        <v>2589</v>
      </c>
      <c r="H47" s="10">
        <v>543.69000000000005</v>
      </c>
      <c r="I47" s="9"/>
      <c r="J47" s="9"/>
      <c r="K47" s="9"/>
      <c r="L47" s="9"/>
      <c r="M47" s="9"/>
      <c r="N47" s="10"/>
      <c r="O47" s="9">
        <v>77.67</v>
      </c>
      <c r="P47" s="9"/>
      <c r="Q47" s="10">
        <f t="shared" si="0"/>
        <v>3210.36</v>
      </c>
    </row>
    <row r="48" spans="1:17" s="18" customFormat="1" ht="12.75" x14ac:dyDescent="0.2">
      <c r="A48" s="19">
        <v>44574</v>
      </c>
      <c r="B48" s="1">
        <v>99</v>
      </c>
      <c r="C48" s="14">
        <v>1</v>
      </c>
      <c r="D48" s="2">
        <v>55479</v>
      </c>
      <c r="E48" s="9" t="s">
        <v>108</v>
      </c>
      <c r="F48" s="9" t="s">
        <v>109</v>
      </c>
      <c r="G48" s="10">
        <v>2594.25</v>
      </c>
      <c r="H48" s="10">
        <v>544.79</v>
      </c>
      <c r="I48" s="9"/>
      <c r="J48" s="9"/>
      <c r="K48" s="9"/>
      <c r="L48" s="9"/>
      <c r="M48" s="9"/>
      <c r="N48" s="10"/>
      <c r="O48" s="9">
        <v>77.83</v>
      </c>
      <c r="P48" s="9"/>
      <c r="Q48" s="10">
        <f t="shared" si="0"/>
        <v>3216.87</v>
      </c>
    </row>
    <row r="49" spans="1:17" s="18" customFormat="1" ht="12.75" x14ac:dyDescent="0.2">
      <c r="A49" s="19">
        <v>44592</v>
      </c>
      <c r="B49" s="1">
        <v>99</v>
      </c>
      <c r="C49" s="14">
        <v>1</v>
      </c>
      <c r="D49" s="2">
        <v>3112022</v>
      </c>
      <c r="E49" s="9">
        <v>30583887039</v>
      </c>
      <c r="F49" s="9" t="s">
        <v>111</v>
      </c>
      <c r="G49" s="10">
        <v>135</v>
      </c>
      <c r="H49" s="10">
        <v>28.35</v>
      </c>
      <c r="I49" s="9"/>
      <c r="J49" s="9"/>
      <c r="K49" s="9"/>
      <c r="L49" s="9"/>
      <c r="M49" s="9"/>
      <c r="N49" s="10"/>
      <c r="O49" s="9"/>
      <c r="P49" s="9"/>
      <c r="Q49" s="10">
        <f t="shared" si="0"/>
        <v>163.35</v>
      </c>
    </row>
    <row r="50" spans="1:17" s="18" customFormat="1" ht="12.75" x14ac:dyDescent="0.2">
      <c r="A50" s="19">
        <v>44592</v>
      </c>
      <c r="B50" s="1">
        <v>99</v>
      </c>
      <c r="C50" s="14">
        <v>1</v>
      </c>
      <c r="D50" s="2">
        <v>31122</v>
      </c>
      <c r="E50" s="9">
        <v>30583887039</v>
      </c>
      <c r="F50" s="9" t="s">
        <v>111</v>
      </c>
      <c r="G50" s="10">
        <v>1781</v>
      </c>
      <c r="H50" s="10">
        <v>374.01</v>
      </c>
      <c r="I50" s="9"/>
      <c r="J50" s="9"/>
      <c r="K50" s="9"/>
      <c r="L50" s="9"/>
      <c r="M50" s="9"/>
      <c r="N50" s="10"/>
      <c r="O50" s="9"/>
      <c r="P50" s="9"/>
      <c r="Q50" s="10">
        <f t="shared" si="0"/>
        <v>2155.0100000000002</v>
      </c>
    </row>
    <row r="51" spans="1:17" s="18" customFormat="1" ht="12.75" x14ac:dyDescent="0.2">
      <c r="A51" s="19">
        <v>44592</v>
      </c>
      <c r="B51" s="1">
        <v>99</v>
      </c>
      <c r="C51" s="14">
        <v>1</v>
      </c>
      <c r="D51" s="2">
        <v>310122</v>
      </c>
      <c r="E51" s="9" t="s">
        <v>108</v>
      </c>
      <c r="F51" s="9" t="s">
        <v>109</v>
      </c>
      <c r="G51" s="10">
        <v>93721.809523809541</v>
      </c>
      <c r="H51" s="10">
        <v>19681.580000000002</v>
      </c>
      <c r="I51" s="9"/>
      <c r="J51" s="9"/>
      <c r="K51" s="9"/>
      <c r="L51" s="9"/>
      <c r="M51" s="9">
        <v>18744.36</v>
      </c>
      <c r="N51" s="10"/>
      <c r="O51" s="9"/>
      <c r="P51" s="9">
        <v>26418.14</v>
      </c>
      <c r="Q51" s="10">
        <f t="shared" si="0"/>
        <v>158565.88952380954</v>
      </c>
    </row>
    <row r="52" spans="1:17" s="18" customFormat="1" ht="12.75" x14ac:dyDescent="0.2">
      <c r="A52" s="19">
        <v>44573</v>
      </c>
      <c r="B52" s="1">
        <v>99</v>
      </c>
      <c r="C52" s="14">
        <v>1</v>
      </c>
      <c r="D52" s="2">
        <v>1212022</v>
      </c>
      <c r="E52" s="9" t="s">
        <v>108</v>
      </c>
      <c r="F52" s="9" t="s">
        <v>109</v>
      </c>
      <c r="G52" s="10">
        <v>4827872.7619047621</v>
      </c>
      <c r="H52" s="10">
        <v>1013853.28</v>
      </c>
      <c r="I52" s="9"/>
      <c r="J52" s="9"/>
      <c r="K52" s="9"/>
      <c r="L52" s="9"/>
      <c r="M52" s="9">
        <v>965574.01</v>
      </c>
      <c r="N52" s="10"/>
      <c r="O52" s="9"/>
      <c r="P52" s="9">
        <v>1061542.81</v>
      </c>
      <c r="Q52" s="10">
        <f t="shared" si="0"/>
        <v>7868842.8619047627</v>
      </c>
    </row>
    <row r="53" spans="1:17" s="30" customFormat="1" ht="16.5" thickBot="1" x14ac:dyDescent="0.3">
      <c r="A53" s="78" t="s">
        <v>26</v>
      </c>
      <c r="B53" s="78"/>
      <c r="C53" s="78"/>
      <c r="D53" s="78"/>
      <c r="E53" s="78"/>
      <c r="F53" s="79"/>
      <c r="G53" s="34">
        <f t="shared" ref="G53:Q53" si="1">SUM(G3:G52)</f>
        <v>5818627.4914285718</v>
      </c>
      <c r="H53" s="36">
        <f t="shared" si="1"/>
        <v>1216454.6407000001</v>
      </c>
      <c r="I53" s="36">
        <f t="shared" si="1"/>
        <v>411.75</v>
      </c>
      <c r="J53" s="36">
        <f t="shared" si="1"/>
        <v>2568.4374500000004</v>
      </c>
      <c r="K53" s="34">
        <f t="shared" si="1"/>
        <v>126945.1</v>
      </c>
      <c r="L53" s="34">
        <f t="shared" si="1"/>
        <v>50750.84</v>
      </c>
      <c r="M53" s="34">
        <f t="shared" si="1"/>
        <v>984318.37</v>
      </c>
      <c r="N53" s="34">
        <f t="shared" si="1"/>
        <v>0</v>
      </c>
      <c r="O53" s="34">
        <f t="shared" si="1"/>
        <v>533.08000000000004</v>
      </c>
      <c r="P53" s="34">
        <f t="shared" si="1"/>
        <v>1088041.21</v>
      </c>
      <c r="Q53" s="34">
        <f t="shared" si="1"/>
        <v>9288650.9195785727</v>
      </c>
    </row>
    <row r="54" spans="1:17" ht="13.5" customHeight="1" thickBot="1" x14ac:dyDescent="0.3">
      <c r="G54" s="37"/>
      <c r="H54" s="72">
        <f>SUM(H53:J53)</f>
        <v>1219434.8281500002</v>
      </c>
      <c r="I54" s="73">
        <f>SUM(H53:J53)</f>
        <v>1219434.8281500002</v>
      </c>
      <c r="J54" s="74"/>
    </row>
    <row r="55" spans="1:17" ht="10.5" customHeight="1" thickTop="1" x14ac:dyDescent="0.25">
      <c r="H55" s="38"/>
      <c r="K55" s="31"/>
    </row>
    <row r="56" spans="1:17" ht="22.5" customHeight="1" thickBot="1" x14ac:dyDescent="0.45">
      <c r="A56" s="75" t="s">
        <v>113</v>
      </c>
      <c r="B56" s="75"/>
      <c r="C56" s="75"/>
      <c r="D56" s="75"/>
      <c r="E56" s="75"/>
      <c r="F56" s="30"/>
      <c r="G56" s="30"/>
      <c r="H56" s="30"/>
      <c r="I56" s="30"/>
      <c r="J56" s="30"/>
      <c r="K56" s="30"/>
      <c r="L56" s="30"/>
      <c r="M56" s="30"/>
      <c r="N56" s="30"/>
      <c r="O56" s="76">
        <v>44593</v>
      </c>
      <c r="P56" s="77"/>
      <c r="Q56" s="77"/>
    </row>
    <row r="57" spans="1:17" ht="15.75" thickBot="1" x14ac:dyDescent="0.3">
      <c r="A57" s="27" t="s">
        <v>0</v>
      </c>
      <c r="B57" s="28" t="s">
        <v>1</v>
      </c>
      <c r="C57" s="28" t="s">
        <v>2</v>
      </c>
      <c r="D57" s="28" t="s">
        <v>3</v>
      </c>
      <c r="E57" s="28" t="s">
        <v>4</v>
      </c>
      <c r="F57" s="28" t="s">
        <v>5</v>
      </c>
      <c r="G57" s="28" t="s">
        <v>6</v>
      </c>
      <c r="H57" s="26" t="s">
        <v>7</v>
      </c>
      <c r="I57" s="28" t="s">
        <v>8</v>
      </c>
      <c r="J57" s="28" t="s">
        <v>9</v>
      </c>
      <c r="K57" s="28" t="s">
        <v>10</v>
      </c>
      <c r="L57" s="28" t="s">
        <v>11</v>
      </c>
      <c r="M57" s="28" t="s">
        <v>12</v>
      </c>
      <c r="N57" s="28" t="s">
        <v>27</v>
      </c>
      <c r="O57" s="28" t="s">
        <v>13</v>
      </c>
      <c r="P57" s="26" t="s">
        <v>14</v>
      </c>
      <c r="Q57" s="35" t="s">
        <v>15</v>
      </c>
    </row>
    <row r="58" spans="1:17" x14ac:dyDescent="0.25">
      <c r="A58" s="21">
        <v>44593</v>
      </c>
      <c r="B58" s="22">
        <v>1</v>
      </c>
      <c r="C58" s="23">
        <v>3</v>
      </c>
      <c r="D58" s="2">
        <v>147476</v>
      </c>
      <c r="E58" s="24">
        <v>30707135596</v>
      </c>
      <c r="F58" s="24" t="s">
        <v>17</v>
      </c>
      <c r="G58" s="25">
        <v>2262.5100000000002</v>
      </c>
      <c r="H58" s="25">
        <v>475.12710000000004</v>
      </c>
      <c r="I58" s="24"/>
      <c r="J58" s="25"/>
      <c r="K58" s="25"/>
      <c r="L58" s="24"/>
      <c r="M58" s="24"/>
      <c r="N58" s="24"/>
      <c r="O58" s="25"/>
      <c r="P58" s="25"/>
      <c r="Q58" s="29">
        <f>SUM(G58:P58)</f>
        <v>2737.6371000000004</v>
      </c>
    </row>
    <row r="59" spans="1:17" x14ac:dyDescent="0.25">
      <c r="A59" s="6">
        <v>44593</v>
      </c>
      <c r="B59" s="1">
        <v>1</v>
      </c>
      <c r="C59" s="14">
        <v>3</v>
      </c>
      <c r="D59" s="2">
        <v>496</v>
      </c>
      <c r="E59" s="9">
        <v>30715402765</v>
      </c>
      <c r="F59" s="9" t="s">
        <v>16</v>
      </c>
      <c r="G59" s="10">
        <v>6033.05</v>
      </c>
      <c r="H59" s="10">
        <v>1266.9404999999999</v>
      </c>
      <c r="I59" s="9"/>
      <c r="J59" s="10"/>
      <c r="K59" s="9"/>
      <c r="L59" s="9"/>
      <c r="M59" s="9"/>
      <c r="N59" s="9"/>
      <c r="O59" s="9"/>
      <c r="P59" s="10"/>
      <c r="Q59" s="29">
        <f t="shared" ref="Q59:Q82" si="2">SUM(G59:P59)</f>
        <v>7299.9904999999999</v>
      </c>
    </row>
    <row r="60" spans="1:17" x14ac:dyDescent="0.25">
      <c r="A60" s="6">
        <v>44594</v>
      </c>
      <c r="B60" s="1">
        <v>1</v>
      </c>
      <c r="C60" s="14">
        <v>2</v>
      </c>
      <c r="D60" s="2">
        <v>127</v>
      </c>
      <c r="E60" s="9">
        <v>20125142851</v>
      </c>
      <c r="F60" s="9" t="s">
        <v>19</v>
      </c>
      <c r="G60" s="10">
        <v>55426</v>
      </c>
      <c r="H60" s="10">
        <v>11639.46</v>
      </c>
      <c r="I60" s="9"/>
      <c r="J60" s="9"/>
      <c r="K60" s="9"/>
      <c r="L60" s="10"/>
      <c r="M60" s="10"/>
      <c r="N60" s="9"/>
      <c r="O60" s="10"/>
      <c r="P60" s="10"/>
      <c r="Q60" s="29">
        <f t="shared" si="2"/>
        <v>67065.459999999992</v>
      </c>
    </row>
    <row r="61" spans="1:17" x14ac:dyDescent="0.25">
      <c r="A61" s="6">
        <v>44594</v>
      </c>
      <c r="B61" s="1">
        <v>1</v>
      </c>
      <c r="C61" s="14">
        <v>2</v>
      </c>
      <c r="D61" s="2">
        <v>126</v>
      </c>
      <c r="E61" s="9">
        <v>20125142851</v>
      </c>
      <c r="F61" s="9" t="s">
        <v>19</v>
      </c>
      <c r="G61" s="10">
        <v>54112.56</v>
      </c>
      <c r="H61" s="10">
        <v>11363.637599999998</v>
      </c>
      <c r="I61" s="9"/>
      <c r="J61" s="9"/>
      <c r="K61" s="10"/>
      <c r="L61" s="10"/>
      <c r="M61" s="9"/>
      <c r="N61" s="9"/>
      <c r="O61" s="9"/>
      <c r="P61" s="10"/>
      <c r="Q61" s="29">
        <f t="shared" si="2"/>
        <v>65476.1976</v>
      </c>
    </row>
    <row r="62" spans="1:17" x14ac:dyDescent="0.25">
      <c r="A62" s="6">
        <v>44600</v>
      </c>
      <c r="B62" s="1">
        <v>1</v>
      </c>
      <c r="C62" s="14">
        <v>6</v>
      </c>
      <c r="D62" s="2">
        <v>17318</v>
      </c>
      <c r="E62" s="9">
        <v>30709808458</v>
      </c>
      <c r="F62" s="9" t="s">
        <v>94</v>
      </c>
      <c r="G62" s="10">
        <v>330578.51</v>
      </c>
      <c r="H62" s="10">
        <v>69421.487099999998</v>
      </c>
      <c r="I62" s="9"/>
      <c r="J62" s="10"/>
      <c r="K62" s="9"/>
      <c r="L62" s="10"/>
      <c r="M62" s="9"/>
      <c r="N62" s="9"/>
      <c r="O62" s="9"/>
      <c r="P62" s="10"/>
      <c r="Q62" s="29">
        <f t="shared" si="2"/>
        <v>399999.99710000004</v>
      </c>
    </row>
    <row r="63" spans="1:17" x14ac:dyDescent="0.25">
      <c r="A63" s="6">
        <v>44602</v>
      </c>
      <c r="B63" s="1">
        <v>1</v>
      </c>
      <c r="C63" s="14">
        <v>13</v>
      </c>
      <c r="D63" s="2">
        <v>749476</v>
      </c>
      <c r="E63" s="9">
        <v>30700940957</v>
      </c>
      <c r="F63" s="9" t="s">
        <v>38</v>
      </c>
      <c r="G63" s="10">
        <v>160771.93</v>
      </c>
      <c r="H63" s="10">
        <v>33762.105299999996</v>
      </c>
      <c r="I63" s="9"/>
      <c r="J63" s="10"/>
      <c r="K63" s="9"/>
      <c r="L63" s="10"/>
      <c r="M63" s="9"/>
      <c r="N63" s="9"/>
      <c r="O63" s="9"/>
      <c r="P63" s="10">
        <v>-127456.35</v>
      </c>
      <c r="Q63" s="29">
        <f t="shared" si="2"/>
        <v>67077.685299999983</v>
      </c>
    </row>
    <row r="64" spans="1:17" x14ac:dyDescent="0.25">
      <c r="A64" s="6">
        <v>44603</v>
      </c>
      <c r="B64" s="1">
        <v>1</v>
      </c>
      <c r="C64" s="14">
        <v>2466</v>
      </c>
      <c r="D64" s="2">
        <v>322857</v>
      </c>
      <c r="E64" s="9">
        <v>30678814357</v>
      </c>
      <c r="F64" s="9" t="s">
        <v>20</v>
      </c>
      <c r="G64" s="10">
        <v>2073.04</v>
      </c>
      <c r="H64" s="10"/>
      <c r="I64" s="9">
        <v>559.72</v>
      </c>
      <c r="J64" s="10"/>
      <c r="K64" s="9"/>
      <c r="L64" s="9"/>
      <c r="M64" s="9"/>
      <c r="N64" s="9">
        <v>62.19</v>
      </c>
      <c r="O64" s="9"/>
      <c r="P64" s="9">
        <v>80.260000000000005</v>
      </c>
      <c r="Q64" s="29">
        <f t="shared" si="2"/>
        <v>2775.2100000000005</v>
      </c>
    </row>
    <row r="65" spans="1:17" x14ac:dyDescent="0.25">
      <c r="A65" s="6">
        <v>44606</v>
      </c>
      <c r="B65" s="1">
        <v>3</v>
      </c>
      <c r="C65" s="14">
        <v>106</v>
      </c>
      <c r="D65" s="2">
        <v>19133</v>
      </c>
      <c r="E65" s="9">
        <v>30594494187</v>
      </c>
      <c r="F65" s="9" t="s">
        <v>45</v>
      </c>
      <c r="G65" s="10">
        <v>-8680</v>
      </c>
      <c r="H65" s="10">
        <v>-1822.8</v>
      </c>
      <c r="I65" s="9"/>
      <c r="J65" s="9"/>
      <c r="K65" s="10">
        <v>-102411.83</v>
      </c>
      <c r="L65" s="10"/>
      <c r="M65" s="9"/>
      <c r="N65" s="9"/>
      <c r="O65" s="9"/>
      <c r="P65" s="9"/>
      <c r="Q65" s="29">
        <f t="shared" si="2"/>
        <v>-112914.63</v>
      </c>
    </row>
    <row r="66" spans="1:17" x14ac:dyDescent="0.25">
      <c r="A66" s="6">
        <v>44606</v>
      </c>
      <c r="B66" s="1">
        <v>1</v>
      </c>
      <c r="C66" s="14">
        <v>700</v>
      </c>
      <c r="D66" s="2">
        <v>338645</v>
      </c>
      <c r="E66" s="9">
        <v>30580111315</v>
      </c>
      <c r="F66" s="9" t="s">
        <v>21</v>
      </c>
      <c r="G66" s="10"/>
      <c r="H66" s="10">
        <v>0</v>
      </c>
      <c r="I66" s="9"/>
      <c r="J66" s="10"/>
      <c r="K66" s="9"/>
      <c r="L66" s="10">
        <v>37796.074999999997</v>
      </c>
      <c r="M66" s="10"/>
      <c r="N66" s="10"/>
      <c r="O66" s="9"/>
      <c r="P66" s="10"/>
      <c r="Q66" s="29">
        <f t="shared" si="2"/>
        <v>37796.074999999997</v>
      </c>
    </row>
    <row r="67" spans="1:17" x14ac:dyDescent="0.25">
      <c r="A67" s="6">
        <v>44606</v>
      </c>
      <c r="B67" s="1">
        <v>1</v>
      </c>
      <c r="C67" s="14">
        <v>5</v>
      </c>
      <c r="D67" s="2">
        <v>19499</v>
      </c>
      <c r="E67" s="9">
        <v>23957768849</v>
      </c>
      <c r="F67" s="9" t="s">
        <v>95</v>
      </c>
      <c r="G67" s="10">
        <v>1596.27</v>
      </c>
      <c r="H67" s="10">
        <v>335.2167</v>
      </c>
      <c r="I67" s="9"/>
      <c r="J67" s="10"/>
      <c r="K67" s="9"/>
      <c r="L67" s="10"/>
      <c r="M67" s="9"/>
      <c r="N67" s="9"/>
      <c r="O67" s="9"/>
      <c r="P67" s="9"/>
      <c r="Q67" s="29">
        <f t="shared" si="2"/>
        <v>1931.4866999999999</v>
      </c>
    </row>
    <row r="68" spans="1:17" x14ac:dyDescent="0.25">
      <c r="A68" s="6">
        <v>44609</v>
      </c>
      <c r="B68" s="1">
        <v>1</v>
      </c>
      <c r="C68" s="14">
        <v>9</v>
      </c>
      <c r="D68" s="2">
        <v>4307</v>
      </c>
      <c r="E68" s="9">
        <v>30709293652</v>
      </c>
      <c r="F68" s="9" t="s">
        <v>96</v>
      </c>
      <c r="G68" s="10">
        <v>3099</v>
      </c>
      <c r="H68" s="10">
        <v>650.79</v>
      </c>
      <c r="I68" s="9"/>
      <c r="J68" s="9"/>
      <c r="K68" s="9"/>
      <c r="L68" s="9"/>
      <c r="M68" s="9"/>
      <c r="N68" s="9"/>
      <c r="O68" s="9"/>
      <c r="P68" s="10"/>
      <c r="Q68" s="29">
        <f t="shared" si="2"/>
        <v>3749.79</v>
      </c>
    </row>
    <row r="69" spans="1:17" x14ac:dyDescent="0.25">
      <c r="A69" s="6">
        <v>44609</v>
      </c>
      <c r="B69" s="1">
        <v>1</v>
      </c>
      <c r="C69" s="14">
        <v>3</v>
      </c>
      <c r="D69" s="2">
        <v>9605</v>
      </c>
      <c r="E69" s="9">
        <v>20238789177</v>
      </c>
      <c r="F69" s="9" t="s">
        <v>97</v>
      </c>
      <c r="G69" s="10">
        <v>5371.07</v>
      </c>
      <c r="H69" s="10">
        <v>1127.9246999999998</v>
      </c>
      <c r="I69" s="9"/>
      <c r="J69" s="10"/>
      <c r="K69" s="9"/>
      <c r="L69" s="9"/>
      <c r="M69" s="9"/>
      <c r="N69" s="9"/>
      <c r="O69" s="9"/>
      <c r="P69" s="10"/>
      <c r="Q69" s="29">
        <f t="shared" si="2"/>
        <v>6498.9946999999993</v>
      </c>
    </row>
    <row r="70" spans="1:17" x14ac:dyDescent="0.25">
      <c r="A70" s="6">
        <v>44614</v>
      </c>
      <c r="B70" s="1">
        <v>1</v>
      </c>
      <c r="C70" s="14">
        <v>2</v>
      </c>
      <c r="D70" s="2">
        <v>87</v>
      </c>
      <c r="E70" s="9">
        <v>20941496963</v>
      </c>
      <c r="F70" s="9" t="s">
        <v>98</v>
      </c>
      <c r="G70" s="10">
        <v>250000</v>
      </c>
      <c r="H70" s="10">
        <v>52500</v>
      </c>
      <c r="I70" s="9"/>
      <c r="J70" s="10"/>
      <c r="K70" s="9"/>
      <c r="L70" s="9"/>
      <c r="M70" s="9"/>
      <c r="N70" s="9"/>
      <c r="O70" s="9"/>
      <c r="P70" s="10"/>
      <c r="Q70" s="29">
        <f t="shared" si="2"/>
        <v>302500</v>
      </c>
    </row>
    <row r="71" spans="1:17" x14ac:dyDescent="0.25">
      <c r="A71" s="6">
        <v>44614</v>
      </c>
      <c r="B71" s="1">
        <v>1</v>
      </c>
      <c r="C71" s="14">
        <v>7</v>
      </c>
      <c r="D71" s="2">
        <v>5615</v>
      </c>
      <c r="E71" s="9">
        <v>30604413482</v>
      </c>
      <c r="F71" s="9" t="s">
        <v>46</v>
      </c>
      <c r="G71" s="10">
        <v>5620</v>
      </c>
      <c r="H71" s="10">
        <v>1180.2</v>
      </c>
      <c r="I71" s="9"/>
      <c r="J71" s="9"/>
      <c r="K71" s="9"/>
      <c r="L71" s="9"/>
      <c r="M71" s="9"/>
      <c r="N71" s="9"/>
      <c r="O71" s="9"/>
      <c r="P71" s="10"/>
      <c r="Q71" s="29">
        <f t="shared" si="2"/>
        <v>6800.2</v>
      </c>
    </row>
    <row r="72" spans="1:17" x14ac:dyDescent="0.25">
      <c r="A72" s="6">
        <v>44616</v>
      </c>
      <c r="B72" s="1">
        <v>1</v>
      </c>
      <c r="C72" s="14">
        <v>2</v>
      </c>
      <c r="D72" s="2">
        <v>460</v>
      </c>
      <c r="E72" s="9">
        <v>20296550184</v>
      </c>
      <c r="F72" s="9" t="s">
        <v>37</v>
      </c>
      <c r="G72" s="10">
        <v>64600</v>
      </c>
      <c r="H72" s="10">
        <v>13566</v>
      </c>
      <c r="I72" s="9"/>
      <c r="J72" s="9"/>
      <c r="K72" s="9"/>
      <c r="L72" s="9"/>
      <c r="M72" s="9"/>
      <c r="N72" s="9"/>
      <c r="O72" s="9"/>
      <c r="P72" s="9"/>
      <c r="Q72" s="29">
        <f t="shared" si="2"/>
        <v>78166</v>
      </c>
    </row>
    <row r="73" spans="1:17" x14ac:dyDescent="0.25">
      <c r="A73" s="6">
        <v>44616</v>
      </c>
      <c r="B73" s="1">
        <v>1</v>
      </c>
      <c r="C73" s="14">
        <v>106</v>
      </c>
      <c r="D73" s="2">
        <v>503155</v>
      </c>
      <c r="E73" s="9">
        <v>30594494187</v>
      </c>
      <c r="F73" s="9" t="s">
        <v>45</v>
      </c>
      <c r="G73" s="10">
        <v>5388</v>
      </c>
      <c r="H73" s="10">
        <v>1131.48</v>
      </c>
      <c r="I73" s="9"/>
      <c r="J73" s="9"/>
      <c r="K73" s="10">
        <v>3081.67</v>
      </c>
      <c r="L73" s="9"/>
      <c r="M73" s="9"/>
      <c r="N73" s="10"/>
      <c r="O73" s="9"/>
      <c r="P73" s="10"/>
      <c r="Q73" s="29">
        <f t="shared" si="2"/>
        <v>9601.15</v>
      </c>
    </row>
    <row r="74" spans="1:17" x14ac:dyDescent="0.25">
      <c r="A74" s="6">
        <v>44616</v>
      </c>
      <c r="B74" s="1">
        <v>1</v>
      </c>
      <c r="C74" s="14">
        <v>3</v>
      </c>
      <c r="D74" s="2">
        <v>4096</v>
      </c>
      <c r="E74" s="9">
        <v>30709665967</v>
      </c>
      <c r="F74" s="9" t="s">
        <v>65</v>
      </c>
      <c r="G74" s="10">
        <v>176480</v>
      </c>
      <c r="H74" s="10">
        <v>37060.799999999996</v>
      </c>
      <c r="I74" s="9"/>
      <c r="J74" s="9"/>
      <c r="K74" s="9"/>
      <c r="L74" s="10"/>
      <c r="M74" s="9"/>
      <c r="N74" s="9"/>
      <c r="O74" s="9"/>
      <c r="P74" s="9"/>
      <c r="Q74" s="29">
        <f t="shared" si="2"/>
        <v>213540.8</v>
      </c>
    </row>
    <row r="75" spans="1:17" x14ac:dyDescent="0.25">
      <c r="A75" s="6">
        <v>44616</v>
      </c>
      <c r="B75" s="1">
        <v>3</v>
      </c>
      <c r="C75" s="14">
        <v>3</v>
      </c>
      <c r="D75" s="2">
        <v>102</v>
      </c>
      <c r="E75" s="9">
        <v>30709665967</v>
      </c>
      <c r="F75" s="9" t="s">
        <v>65</v>
      </c>
      <c r="G75" s="10">
        <v>-176480</v>
      </c>
      <c r="H75" s="10">
        <v>-37060.799999999996</v>
      </c>
      <c r="I75" s="9"/>
      <c r="J75" s="9"/>
      <c r="K75" s="9"/>
      <c r="L75" s="9"/>
      <c r="M75" s="9"/>
      <c r="N75" s="9"/>
      <c r="O75" s="9"/>
      <c r="P75" s="9"/>
      <c r="Q75" s="29">
        <f t="shared" si="2"/>
        <v>-213540.8</v>
      </c>
    </row>
    <row r="76" spans="1:17" x14ac:dyDescent="0.25">
      <c r="A76" s="6">
        <v>44618</v>
      </c>
      <c r="B76" s="1">
        <v>1</v>
      </c>
      <c r="C76" s="14">
        <v>3</v>
      </c>
      <c r="D76" s="2">
        <v>759110</v>
      </c>
      <c r="E76" s="9">
        <v>30712019359</v>
      </c>
      <c r="F76" s="9" t="s">
        <v>23</v>
      </c>
      <c r="G76" s="10">
        <v>2478.5100000000002</v>
      </c>
      <c r="H76" s="10">
        <v>520.48710000000005</v>
      </c>
      <c r="I76" s="9"/>
      <c r="J76" s="9"/>
      <c r="K76" s="9"/>
      <c r="L76" s="9"/>
      <c r="M76" s="9"/>
      <c r="N76" s="9"/>
      <c r="O76" s="9"/>
      <c r="P76" s="9"/>
      <c r="Q76" s="29">
        <f t="shared" si="2"/>
        <v>2998.9971000000005</v>
      </c>
    </row>
    <row r="77" spans="1:17" x14ac:dyDescent="0.25">
      <c r="A77" s="6">
        <v>44619</v>
      </c>
      <c r="B77" s="1">
        <v>1</v>
      </c>
      <c r="C77" s="14">
        <v>280</v>
      </c>
      <c r="D77" s="2">
        <v>1351923</v>
      </c>
      <c r="E77" s="9">
        <v>30580111315</v>
      </c>
      <c r="F77" s="9" t="s">
        <v>21</v>
      </c>
      <c r="G77" s="10">
        <v>263886.45500000002</v>
      </c>
      <c r="H77" s="10">
        <v>676.93499999999995</v>
      </c>
      <c r="I77" s="9"/>
      <c r="J77" s="10">
        <v>27369.664000000001</v>
      </c>
      <c r="K77" s="9"/>
      <c r="L77" s="9"/>
      <c r="M77" s="9"/>
      <c r="N77" s="9"/>
      <c r="O77" s="9"/>
      <c r="P77" s="10">
        <v>-236965.93</v>
      </c>
      <c r="Q77" s="29">
        <f t="shared" si="2"/>
        <v>54967.124000000011</v>
      </c>
    </row>
    <row r="78" spans="1:17" x14ac:dyDescent="0.25">
      <c r="A78" s="6">
        <v>44620</v>
      </c>
      <c r="B78" s="1">
        <v>1</v>
      </c>
      <c r="C78" s="14">
        <v>1</v>
      </c>
      <c r="D78" s="2">
        <v>429</v>
      </c>
      <c r="E78" s="9">
        <v>30715048066</v>
      </c>
      <c r="F78" s="9" t="s">
        <v>24</v>
      </c>
      <c r="G78" s="10">
        <v>60317.37</v>
      </c>
      <c r="H78" s="10">
        <v>12666.6477</v>
      </c>
      <c r="I78" s="9"/>
      <c r="J78" s="9"/>
      <c r="K78" s="9"/>
      <c r="L78" s="9"/>
      <c r="M78" s="9"/>
      <c r="N78" s="9"/>
      <c r="O78" s="9"/>
      <c r="P78" s="9"/>
      <c r="Q78" s="29">
        <f t="shared" si="2"/>
        <v>72984.017699999997</v>
      </c>
    </row>
    <row r="79" spans="1:17" s="30" customFormat="1" x14ac:dyDescent="0.25">
      <c r="A79" s="19">
        <v>44593</v>
      </c>
      <c r="B79" s="1">
        <v>99</v>
      </c>
      <c r="C79" s="14">
        <v>617</v>
      </c>
      <c r="D79" s="2">
        <v>46717</v>
      </c>
      <c r="E79" s="9" t="s">
        <v>108</v>
      </c>
      <c r="F79" s="9" t="s">
        <v>109</v>
      </c>
      <c r="G79" s="10">
        <v>6832.8</v>
      </c>
      <c r="H79" s="10">
        <v>1434.89</v>
      </c>
      <c r="I79" s="9"/>
      <c r="J79" s="9"/>
      <c r="K79" s="9"/>
      <c r="L79" s="9"/>
      <c r="M79" s="9">
        <v>204.98</v>
      </c>
      <c r="N79" s="9"/>
      <c r="O79" s="9"/>
      <c r="P79" s="9"/>
      <c r="Q79" s="29">
        <f t="shared" si="2"/>
        <v>8472.67</v>
      </c>
    </row>
    <row r="80" spans="1:17" s="30" customFormat="1" x14ac:dyDescent="0.25">
      <c r="A80" s="19">
        <v>44595</v>
      </c>
      <c r="B80" s="1">
        <v>99</v>
      </c>
      <c r="C80" s="14">
        <v>818</v>
      </c>
      <c r="D80" s="2">
        <v>686146</v>
      </c>
      <c r="E80" s="9" t="s">
        <v>108</v>
      </c>
      <c r="F80" s="9" t="s">
        <v>109</v>
      </c>
      <c r="G80" s="10">
        <v>12110.65</v>
      </c>
      <c r="H80" s="10">
        <v>2543.2399999999998</v>
      </c>
      <c r="I80" s="9"/>
      <c r="J80" s="9"/>
      <c r="K80" s="9"/>
      <c r="L80" s="9"/>
      <c r="M80" s="9">
        <v>363.32</v>
      </c>
      <c r="N80" s="9"/>
      <c r="O80" s="9"/>
      <c r="P80" s="9"/>
      <c r="Q80" s="29">
        <f t="shared" si="2"/>
        <v>15017.21</v>
      </c>
    </row>
    <row r="81" spans="1:17" s="30" customFormat="1" x14ac:dyDescent="0.25">
      <c r="A81" s="19">
        <v>44620</v>
      </c>
      <c r="B81" s="1">
        <v>99</v>
      </c>
      <c r="C81" s="14">
        <v>1</v>
      </c>
      <c r="D81" s="2">
        <v>28222</v>
      </c>
      <c r="E81" s="9">
        <v>30583887039</v>
      </c>
      <c r="F81" s="9" t="s">
        <v>111</v>
      </c>
      <c r="G81" s="10">
        <v>80</v>
      </c>
      <c r="H81" s="10">
        <v>16.8</v>
      </c>
      <c r="I81" s="9"/>
      <c r="J81" s="9"/>
      <c r="K81" s="9"/>
      <c r="L81" s="9"/>
      <c r="M81" s="9"/>
      <c r="N81" s="9"/>
      <c r="O81" s="9"/>
      <c r="P81" s="9"/>
      <c r="Q81" s="29">
        <f t="shared" si="2"/>
        <v>96.8</v>
      </c>
    </row>
    <row r="82" spans="1:17" s="30" customFormat="1" x14ac:dyDescent="0.25">
      <c r="A82" s="19">
        <v>44620</v>
      </c>
      <c r="B82" s="1">
        <v>99</v>
      </c>
      <c r="C82" s="14">
        <v>1</v>
      </c>
      <c r="D82" s="2">
        <v>2822022</v>
      </c>
      <c r="E82" s="9">
        <v>30583887039</v>
      </c>
      <c r="F82" s="9" t="s">
        <v>111</v>
      </c>
      <c r="G82" s="10">
        <v>17216.96</v>
      </c>
      <c r="H82" s="10">
        <v>3615.56</v>
      </c>
      <c r="I82" s="9"/>
      <c r="J82" s="9"/>
      <c r="K82" s="9"/>
      <c r="L82" s="9"/>
      <c r="M82" s="9">
        <v>463.08</v>
      </c>
      <c r="N82" s="9"/>
      <c r="O82" s="9"/>
      <c r="P82" s="9"/>
      <c r="Q82" s="29">
        <f t="shared" si="2"/>
        <v>21295.600000000002</v>
      </c>
    </row>
    <row r="83" spans="1:17" ht="13.5" customHeight="1" thickBot="1" x14ac:dyDescent="0.3">
      <c r="A83" s="78" t="s">
        <v>26</v>
      </c>
      <c r="B83" s="78"/>
      <c r="C83" s="78"/>
      <c r="D83" s="78"/>
      <c r="E83" s="78"/>
      <c r="F83" s="79"/>
      <c r="G83" s="34">
        <f>SUM(G58:G82)</f>
        <v>1301174.6850000001</v>
      </c>
      <c r="H83" s="34">
        <f t="shared" ref="H83:Q83" si="3">SUM(H58:H82)</f>
        <v>218072.12879999998</v>
      </c>
      <c r="I83" s="34">
        <f t="shared" si="3"/>
        <v>559.72</v>
      </c>
      <c r="J83" s="34">
        <f t="shared" si="3"/>
        <v>27369.664000000001</v>
      </c>
      <c r="K83" s="34">
        <f t="shared" si="3"/>
        <v>-99330.16</v>
      </c>
      <c r="L83" s="34">
        <f t="shared" si="3"/>
        <v>37796.074999999997</v>
      </c>
      <c r="M83" s="34">
        <f t="shared" si="3"/>
        <v>1031.3799999999999</v>
      </c>
      <c r="N83" s="34">
        <f t="shared" si="3"/>
        <v>62.19</v>
      </c>
      <c r="O83" s="34">
        <f t="shared" si="3"/>
        <v>0</v>
      </c>
      <c r="P83" s="34">
        <f t="shared" si="3"/>
        <v>-364342.02</v>
      </c>
      <c r="Q83" s="34">
        <f t="shared" si="3"/>
        <v>1122393.6628</v>
      </c>
    </row>
    <row r="84" spans="1:17" ht="14.25" customHeight="1" thickBot="1" x14ac:dyDescent="0.3">
      <c r="H84" s="72">
        <f>SUM(H83:J83)</f>
        <v>246001.51279999997</v>
      </c>
      <c r="I84" s="73"/>
      <c r="J84" s="74"/>
    </row>
    <row r="85" spans="1:17" ht="15.75" thickTop="1" x14ac:dyDescent="0.25"/>
    <row r="86" spans="1:17" s="30" customFormat="1" ht="24" customHeight="1" thickBot="1" x14ac:dyDescent="0.45">
      <c r="A86" s="75" t="s">
        <v>112</v>
      </c>
      <c r="B86" s="75"/>
      <c r="C86" s="75"/>
      <c r="D86" s="75"/>
      <c r="E86" s="75"/>
      <c r="O86" s="76">
        <v>44621</v>
      </c>
      <c r="P86" s="77"/>
      <c r="Q86" s="77"/>
    </row>
    <row r="87" spans="1:17" s="30" customFormat="1" ht="15.75" thickBot="1" x14ac:dyDescent="0.3">
      <c r="A87" s="27" t="s">
        <v>0</v>
      </c>
      <c r="B87" s="28" t="s">
        <v>1</v>
      </c>
      <c r="C87" s="28" t="s">
        <v>2</v>
      </c>
      <c r="D87" s="28" t="s">
        <v>3</v>
      </c>
      <c r="E87" s="28" t="s">
        <v>4</v>
      </c>
      <c r="F87" s="28" t="s">
        <v>5</v>
      </c>
      <c r="G87" s="28" t="s">
        <v>6</v>
      </c>
      <c r="H87" s="26" t="s">
        <v>7</v>
      </c>
      <c r="I87" s="28" t="s">
        <v>8</v>
      </c>
      <c r="J87" s="28" t="s">
        <v>9</v>
      </c>
      <c r="K87" s="28" t="s">
        <v>10</v>
      </c>
      <c r="L87" s="28" t="s">
        <v>11</v>
      </c>
      <c r="M87" s="28" t="s">
        <v>12</v>
      </c>
      <c r="N87" s="28" t="s">
        <v>27</v>
      </c>
      <c r="O87" s="28" t="s">
        <v>13</v>
      </c>
      <c r="P87" s="26" t="s">
        <v>14</v>
      </c>
      <c r="Q87" s="35" t="s">
        <v>15</v>
      </c>
    </row>
    <row r="88" spans="1:17" s="18" customFormat="1" ht="12.75" x14ac:dyDescent="0.2">
      <c r="A88" s="21">
        <v>44621</v>
      </c>
      <c r="B88" s="22">
        <v>1</v>
      </c>
      <c r="C88" s="23">
        <v>3</v>
      </c>
      <c r="D88" s="2">
        <v>508</v>
      </c>
      <c r="E88" s="24">
        <v>30715402765</v>
      </c>
      <c r="F88" s="24" t="s">
        <v>16</v>
      </c>
      <c r="G88" s="25">
        <v>6033.06</v>
      </c>
      <c r="H88" s="25">
        <v>1266.9426000000001</v>
      </c>
      <c r="I88" s="24"/>
      <c r="J88" s="25"/>
      <c r="K88" s="25"/>
      <c r="L88" s="24"/>
      <c r="M88" s="24"/>
      <c r="N88" s="24"/>
      <c r="O88" s="25"/>
      <c r="P88" s="25"/>
      <c r="Q88" s="10">
        <f>SUM(G88:P88)</f>
        <v>7300.0026000000007</v>
      </c>
    </row>
    <row r="89" spans="1:17" s="18" customFormat="1" ht="12.75" x14ac:dyDescent="0.2">
      <c r="A89" s="6">
        <v>44621</v>
      </c>
      <c r="B89" s="1">
        <v>1</v>
      </c>
      <c r="C89" s="14">
        <v>3</v>
      </c>
      <c r="D89" s="2">
        <v>150243</v>
      </c>
      <c r="E89" s="9">
        <v>30707135596</v>
      </c>
      <c r="F89" s="9" t="s">
        <v>17</v>
      </c>
      <c r="G89" s="10">
        <v>2698.68</v>
      </c>
      <c r="H89" s="10">
        <v>566.72279999999989</v>
      </c>
      <c r="I89" s="9"/>
      <c r="J89" s="10"/>
      <c r="K89" s="9"/>
      <c r="L89" s="9"/>
      <c r="M89" s="9"/>
      <c r="N89" s="9"/>
      <c r="O89" s="9"/>
      <c r="P89" s="10"/>
      <c r="Q89" s="10">
        <f t="shared" ref="Q89:Q120" si="4">SUM(G89:P89)</f>
        <v>3265.4027999999998</v>
      </c>
    </row>
    <row r="90" spans="1:17" s="18" customFormat="1" ht="12.75" x14ac:dyDescent="0.2">
      <c r="A90" s="6">
        <v>44622</v>
      </c>
      <c r="B90" s="1">
        <v>1</v>
      </c>
      <c r="C90" s="14">
        <v>700</v>
      </c>
      <c r="D90" s="2">
        <v>346393</v>
      </c>
      <c r="E90" s="9">
        <v>30580111315</v>
      </c>
      <c r="F90" s="9" t="s">
        <v>21</v>
      </c>
      <c r="G90" s="10"/>
      <c r="H90" s="10">
        <v>0</v>
      </c>
      <c r="I90" s="9"/>
      <c r="J90" s="9"/>
      <c r="K90" s="10">
        <v>7661.25</v>
      </c>
      <c r="L90" s="10"/>
      <c r="M90" s="10"/>
      <c r="N90" s="9"/>
      <c r="O90" s="10"/>
      <c r="P90" s="10"/>
      <c r="Q90" s="10">
        <f t="shared" si="4"/>
        <v>7661.25</v>
      </c>
    </row>
    <row r="91" spans="1:17" s="18" customFormat="1" ht="12.75" x14ac:dyDescent="0.2">
      <c r="A91" s="6">
        <v>44623</v>
      </c>
      <c r="B91" s="1">
        <v>1</v>
      </c>
      <c r="C91" s="14">
        <v>4</v>
      </c>
      <c r="D91" s="2">
        <v>17681</v>
      </c>
      <c r="E91" s="9">
        <v>33644560509</v>
      </c>
      <c r="F91" s="9" t="s">
        <v>99</v>
      </c>
      <c r="G91" s="10">
        <v>19000.88</v>
      </c>
      <c r="H91" s="10">
        <v>3990.1848</v>
      </c>
      <c r="I91" s="9"/>
      <c r="J91" s="9"/>
      <c r="K91" s="10"/>
      <c r="L91" s="9"/>
      <c r="M91" s="9"/>
      <c r="N91" s="9"/>
      <c r="O91" s="9"/>
      <c r="P91" s="10"/>
      <c r="Q91" s="10">
        <f t="shared" si="4"/>
        <v>22991.0648</v>
      </c>
    </row>
    <row r="92" spans="1:17" s="18" customFormat="1" ht="12.75" x14ac:dyDescent="0.2">
      <c r="A92" s="6">
        <v>44624</v>
      </c>
      <c r="B92" s="1">
        <v>1</v>
      </c>
      <c r="C92" s="14">
        <v>2</v>
      </c>
      <c r="D92" s="2">
        <v>88</v>
      </c>
      <c r="E92" s="9">
        <v>20941496963</v>
      </c>
      <c r="F92" s="9" t="s">
        <v>98</v>
      </c>
      <c r="G92" s="10">
        <v>200000</v>
      </c>
      <c r="H92" s="10">
        <v>42000</v>
      </c>
      <c r="I92" s="9"/>
      <c r="J92" s="10"/>
      <c r="K92" s="9"/>
      <c r="L92" s="10"/>
      <c r="M92" s="9"/>
      <c r="N92" s="9"/>
      <c r="O92" s="9"/>
      <c r="P92" s="10"/>
      <c r="Q92" s="10">
        <f t="shared" si="4"/>
        <v>242000</v>
      </c>
    </row>
    <row r="93" spans="1:17" s="18" customFormat="1" ht="12.75" x14ac:dyDescent="0.2">
      <c r="A93" s="6">
        <v>44624</v>
      </c>
      <c r="B93" s="1">
        <v>1</v>
      </c>
      <c r="C93" s="14">
        <v>2</v>
      </c>
      <c r="D93" s="2">
        <v>921</v>
      </c>
      <c r="E93" s="9">
        <v>30715535471</v>
      </c>
      <c r="F93" s="9" t="s">
        <v>40</v>
      </c>
      <c r="G93" s="10">
        <v>4801.68</v>
      </c>
      <c r="H93" s="10">
        <v>1008.3528</v>
      </c>
      <c r="I93" s="9"/>
      <c r="J93" s="10"/>
      <c r="K93" s="9"/>
      <c r="L93" s="10"/>
      <c r="M93" s="9"/>
      <c r="N93" s="9"/>
      <c r="O93" s="9"/>
      <c r="P93" s="10"/>
      <c r="Q93" s="10">
        <f t="shared" si="4"/>
        <v>5810.0328</v>
      </c>
    </row>
    <row r="94" spans="1:17" s="18" customFormat="1" ht="12.75" x14ac:dyDescent="0.2">
      <c r="A94" s="6">
        <v>44624</v>
      </c>
      <c r="B94" s="1">
        <v>1</v>
      </c>
      <c r="C94" s="14">
        <v>7</v>
      </c>
      <c r="D94" s="2">
        <v>7189</v>
      </c>
      <c r="E94" s="9">
        <v>33713724209</v>
      </c>
      <c r="F94" s="9" t="s">
        <v>100</v>
      </c>
      <c r="G94" s="10">
        <v>10077.02</v>
      </c>
      <c r="H94" s="10">
        <v>2116.1741999999999</v>
      </c>
      <c r="I94" s="9"/>
      <c r="J94" s="10"/>
      <c r="K94" s="9"/>
      <c r="L94" s="9"/>
      <c r="M94" s="9"/>
      <c r="N94" s="9"/>
      <c r="O94" s="9"/>
      <c r="P94" s="9"/>
      <c r="Q94" s="10">
        <f t="shared" si="4"/>
        <v>12193.1942</v>
      </c>
    </row>
    <row r="95" spans="1:17" s="18" customFormat="1" ht="12.75" x14ac:dyDescent="0.2">
      <c r="A95" s="6">
        <v>44624</v>
      </c>
      <c r="B95" s="1">
        <v>1</v>
      </c>
      <c r="C95" s="14">
        <v>2</v>
      </c>
      <c r="D95" s="2">
        <v>5459</v>
      </c>
      <c r="E95" s="9">
        <v>30710563639</v>
      </c>
      <c r="F95" s="9" t="s">
        <v>91</v>
      </c>
      <c r="G95" s="10">
        <v>3535.76</v>
      </c>
      <c r="H95" s="10">
        <v>742.50959999999998</v>
      </c>
      <c r="I95" s="9"/>
      <c r="J95" s="9"/>
      <c r="K95" s="9"/>
      <c r="L95" s="10"/>
      <c r="M95" s="9"/>
      <c r="N95" s="9"/>
      <c r="O95" s="9"/>
      <c r="P95" s="9"/>
      <c r="Q95" s="10">
        <f t="shared" si="4"/>
        <v>4278.2696000000005</v>
      </c>
    </row>
    <row r="96" spans="1:17" s="18" customFormat="1" ht="12.75" x14ac:dyDescent="0.2">
      <c r="A96" s="6">
        <v>44627</v>
      </c>
      <c r="B96" s="1">
        <v>1</v>
      </c>
      <c r="C96" s="14">
        <v>10</v>
      </c>
      <c r="D96" s="2">
        <v>6527</v>
      </c>
      <c r="E96" s="9">
        <v>30702073657</v>
      </c>
      <c r="F96" s="9" t="s">
        <v>50</v>
      </c>
      <c r="G96" s="10">
        <v>85493.24</v>
      </c>
      <c r="H96" s="10">
        <v>17953.580399999999</v>
      </c>
      <c r="I96" s="9"/>
      <c r="J96" s="10"/>
      <c r="K96" s="9"/>
      <c r="L96" s="10"/>
      <c r="M96" s="10"/>
      <c r="N96" s="10"/>
      <c r="O96" s="9"/>
      <c r="P96" s="10"/>
      <c r="Q96" s="10">
        <f t="shared" si="4"/>
        <v>103446.8204</v>
      </c>
    </row>
    <row r="97" spans="1:17" s="18" customFormat="1" ht="12.75" x14ac:dyDescent="0.2">
      <c r="A97" s="6">
        <v>44627</v>
      </c>
      <c r="B97" s="1">
        <v>1</v>
      </c>
      <c r="C97" s="14">
        <v>5</v>
      </c>
      <c r="D97" s="2">
        <v>394</v>
      </c>
      <c r="E97" s="9">
        <v>30707397256</v>
      </c>
      <c r="F97" s="9" t="s">
        <v>101</v>
      </c>
      <c r="G97" s="10">
        <v>398259.6</v>
      </c>
      <c r="H97" s="10">
        <v>83634.515999999989</v>
      </c>
      <c r="I97" s="9"/>
      <c r="J97" s="10"/>
      <c r="K97" s="9"/>
      <c r="L97" s="10"/>
      <c r="M97" s="9"/>
      <c r="N97" s="9"/>
      <c r="O97" s="9"/>
      <c r="P97" s="9"/>
      <c r="Q97" s="10">
        <f t="shared" si="4"/>
        <v>481894.11599999998</v>
      </c>
    </row>
    <row r="98" spans="1:17" s="18" customFormat="1" ht="12.75" x14ac:dyDescent="0.2">
      <c r="A98" s="6">
        <v>44629</v>
      </c>
      <c r="B98" s="1">
        <v>1</v>
      </c>
      <c r="C98" s="14">
        <v>4</v>
      </c>
      <c r="D98" s="2">
        <v>1339</v>
      </c>
      <c r="E98" s="9">
        <v>33715238549</v>
      </c>
      <c r="F98" s="9" t="s">
        <v>102</v>
      </c>
      <c r="G98" s="10">
        <v>24866.19</v>
      </c>
      <c r="H98" s="10">
        <v>963.74</v>
      </c>
      <c r="I98" s="9"/>
      <c r="J98" s="10">
        <v>2129.08</v>
      </c>
      <c r="K98" s="9"/>
      <c r="L98" s="9"/>
      <c r="M98" s="9"/>
      <c r="N98" s="9"/>
      <c r="O98" s="9"/>
      <c r="P98" s="10"/>
      <c r="Q98" s="10">
        <f t="shared" si="4"/>
        <v>27959.010000000002</v>
      </c>
    </row>
    <row r="99" spans="1:17" s="18" customFormat="1" ht="12.75" x14ac:dyDescent="0.2">
      <c r="A99" s="6">
        <v>44629</v>
      </c>
      <c r="B99" s="1">
        <v>1</v>
      </c>
      <c r="C99" s="14">
        <v>15</v>
      </c>
      <c r="D99" s="2">
        <v>6689</v>
      </c>
      <c r="E99" s="9">
        <v>30538851937</v>
      </c>
      <c r="F99" s="9" t="s">
        <v>103</v>
      </c>
      <c r="G99" s="10">
        <v>4341.5200000000004</v>
      </c>
      <c r="H99" s="10">
        <v>911.71920000000011</v>
      </c>
      <c r="I99" s="9"/>
      <c r="J99" s="10"/>
      <c r="K99" s="9"/>
      <c r="L99" s="9"/>
      <c r="M99" s="9"/>
      <c r="N99" s="9"/>
      <c r="O99" s="9"/>
      <c r="P99" s="10">
        <v>1045.76</v>
      </c>
      <c r="Q99" s="10">
        <f t="shared" si="4"/>
        <v>6298.9992000000011</v>
      </c>
    </row>
    <row r="100" spans="1:17" s="18" customFormat="1" ht="12.75" x14ac:dyDescent="0.2">
      <c r="A100" s="6">
        <v>44630</v>
      </c>
      <c r="B100" s="1">
        <v>1</v>
      </c>
      <c r="C100" s="14">
        <v>2</v>
      </c>
      <c r="D100" s="2">
        <v>56642</v>
      </c>
      <c r="E100" s="9">
        <v>30630984668</v>
      </c>
      <c r="F100" s="9" t="s">
        <v>64</v>
      </c>
      <c r="G100" s="10">
        <v>218515.20000000001</v>
      </c>
      <c r="H100" s="10"/>
      <c r="I100" s="9"/>
      <c r="J100" s="10">
        <v>22944.096000000001</v>
      </c>
      <c r="K100" s="9"/>
      <c r="L100" s="9"/>
      <c r="M100" s="9"/>
      <c r="N100" s="9"/>
      <c r="O100" s="9"/>
      <c r="P100" s="10"/>
      <c r="Q100" s="10">
        <f t="shared" si="4"/>
        <v>241459.296</v>
      </c>
    </row>
    <row r="101" spans="1:17" s="18" customFormat="1" ht="12.75" x14ac:dyDescent="0.2">
      <c r="A101" s="6">
        <v>44631</v>
      </c>
      <c r="B101" s="1">
        <v>1</v>
      </c>
      <c r="C101" s="14">
        <v>10</v>
      </c>
      <c r="D101" s="2">
        <v>123</v>
      </c>
      <c r="E101" s="9">
        <v>20226753355</v>
      </c>
      <c r="F101" s="9" t="s">
        <v>104</v>
      </c>
      <c r="G101" s="10">
        <v>7429.76</v>
      </c>
      <c r="H101" s="10">
        <v>1560.2496000000001</v>
      </c>
      <c r="I101" s="9"/>
      <c r="J101" s="9"/>
      <c r="K101" s="9"/>
      <c r="L101" s="9"/>
      <c r="M101" s="9"/>
      <c r="N101" s="9"/>
      <c r="O101" s="9"/>
      <c r="P101" s="10"/>
      <c r="Q101" s="10">
        <f t="shared" si="4"/>
        <v>8990.0096000000012</v>
      </c>
    </row>
    <row r="102" spans="1:17" s="18" customFormat="1" ht="12.75" x14ac:dyDescent="0.2">
      <c r="A102" s="6">
        <v>44631</v>
      </c>
      <c r="B102" s="1">
        <v>1</v>
      </c>
      <c r="C102" s="14">
        <v>2466</v>
      </c>
      <c r="D102" s="2">
        <v>335910</v>
      </c>
      <c r="E102" s="9">
        <v>30678814357</v>
      </c>
      <c r="F102" s="9" t="s">
        <v>20</v>
      </c>
      <c r="G102" s="10">
        <v>3841.06</v>
      </c>
      <c r="H102" s="10"/>
      <c r="I102" s="10">
        <v>1037.0862</v>
      </c>
      <c r="J102" s="9"/>
      <c r="K102" s="9"/>
      <c r="L102" s="9"/>
      <c r="M102" s="9"/>
      <c r="N102" s="9"/>
      <c r="O102" s="9">
        <v>115.23</v>
      </c>
      <c r="P102" s="9">
        <v>93.81</v>
      </c>
      <c r="Q102" s="10">
        <f t="shared" si="4"/>
        <v>5087.1862000000001</v>
      </c>
    </row>
    <row r="103" spans="1:17" s="18" customFormat="1" ht="12.75" x14ac:dyDescent="0.2">
      <c r="A103" s="6">
        <v>44641</v>
      </c>
      <c r="B103" s="1">
        <v>1</v>
      </c>
      <c r="C103" s="14">
        <v>3</v>
      </c>
      <c r="D103" s="2">
        <v>2026</v>
      </c>
      <c r="E103" s="9">
        <v>30715375830</v>
      </c>
      <c r="F103" s="9" t="s">
        <v>105</v>
      </c>
      <c r="G103" s="10">
        <v>8947.93</v>
      </c>
      <c r="H103" s="10">
        <v>1879.0653</v>
      </c>
      <c r="I103" s="9"/>
      <c r="J103" s="9"/>
      <c r="K103" s="9"/>
      <c r="L103" s="9"/>
      <c r="M103" s="9"/>
      <c r="N103" s="10"/>
      <c r="O103" s="9"/>
      <c r="P103" s="10"/>
      <c r="Q103" s="10">
        <f t="shared" si="4"/>
        <v>10826.9953</v>
      </c>
    </row>
    <row r="104" spans="1:17" s="18" customFormat="1" ht="12.75" x14ac:dyDescent="0.2">
      <c r="A104" s="6">
        <v>44642</v>
      </c>
      <c r="B104" s="1">
        <v>1</v>
      </c>
      <c r="C104" s="14">
        <v>8</v>
      </c>
      <c r="D104" s="2">
        <v>153757</v>
      </c>
      <c r="E104" s="9">
        <v>33606484599</v>
      </c>
      <c r="F104" s="9" t="s">
        <v>61</v>
      </c>
      <c r="G104" s="10">
        <v>1005920.64</v>
      </c>
      <c r="H104" s="10">
        <v>211243.33439999999</v>
      </c>
      <c r="I104" s="9"/>
      <c r="J104" s="9"/>
      <c r="K104" s="9"/>
      <c r="L104" s="10"/>
      <c r="M104" s="9"/>
      <c r="N104" s="9"/>
      <c r="O104" s="9"/>
      <c r="P104" s="9"/>
      <c r="Q104" s="10">
        <f t="shared" si="4"/>
        <v>1217163.9743999999</v>
      </c>
    </row>
    <row r="105" spans="1:17" s="18" customFormat="1" ht="12.75" x14ac:dyDescent="0.2">
      <c r="A105" s="6">
        <v>44644</v>
      </c>
      <c r="B105" s="1">
        <v>1</v>
      </c>
      <c r="C105" s="14">
        <v>2</v>
      </c>
      <c r="D105" s="2">
        <v>89</v>
      </c>
      <c r="E105" s="9">
        <v>20941496963</v>
      </c>
      <c r="F105" s="9" t="s">
        <v>98</v>
      </c>
      <c r="G105" s="10">
        <v>250000</v>
      </c>
      <c r="H105" s="10">
        <v>52500</v>
      </c>
      <c r="I105" s="9"/>
      <c r="J105" s="9"/>
      <c r="K105" s="9"/>
      <c r="L105" s="9"/>
      <c r="M105" s="9"/>
      <c r="N105" s="9"/>
      <c r="O105" s="9"/>
      <c r="P105" s="9"/>
      <c r="Q105" s="10">
        <f t="shared" si="4"/>
        <v>302500</v>
      </c>
    </row>
    <row r="106" spans="1:17" s="18" customFormat="1" ht="12.75" x14ac:dyDescent="0.2">
      <c r="A106" s="6">
        <v>44645</v>
      </c>
      <c r="B106" s="1">
        <v>1</v>
      </c>
      <c r="C106" s="14">
        <v>3</v>
      </c>
      <c r="D106" s="2">
        <v>1945</v>
      </c>
      <c r="E106" s="9">
        <v>30715296000</v>
      </c>
      <c r="F106" s="9" t="s">
        <v>76</v>
      </c>
      <c r="G106" s="10">
        <v>86396.69</v>
      </c>
      <c r="H106" s="10">
        <v>18143.304899999999</v>
      </c>
      <c r="I106" s="9"/>
      <c r="J106" s="9"/>
      <c r="K106" s="9"/>
      <c r="L106" s="10"/>
      <c r="M106" s="9"/>
      <c r="N106" s="9"/>
      <c r="O106" s="9"/>
      <c r="P106" s="9"/>
      <c r="Q106" s="10">
        <f t="shared" si="4"/>
        <v>104539.99490000001</v>
      </c>
    </row>
    <row r="107" spans="1:17" s="18" customFormat="1" ht="12.75" x14ac:dyDescent="0.2">
      <c r="A107" s="6">
        <v>44645</v>
      </c>
      <c r="B107" s="1">
        <v>1</v>
      </c>
      <c r="C107" s="14">
        <v>3</v>
      </c>
      <c r="D107" s="2">
        <v>1947</v>
      </c>
      <c r="E107" s="9">
        <v>30715296000</v>
      </c>
      <c r="F107" s="9" t="s">
        <v>76</v>
      </c>
      <c r="G107" s="10">
        <v>47714.879999999997</v>
      </c>
      <c r="H107" s="10">
        <v>10020.1248</v>
      </c>
      <c r="I107" s="9"/>
      <c r="J107" s="10"/>
      <c r="K107" s="9"/>
      <c r="L107" s="10"/>
      <c r="M107" s="9"/>
      <c r="N107" s="9"/>
      <c r="O107" s="9"/>
      <c r="P107" s="10"/>
      <c r="Q107" s="10">
        <f t="shared" si="4"/>
        <v>57735.004799999995</v>
      </c>
    </row>
    <row r="108" spans="1:17" s="18" customFormat="1" ht="12.75" x14ac:dyDescent="0.2">
      <c r="A108" s="6">
        <v>44645</v>
      </c>
      <c r="B108" s="1">
        <v>1</v>
      </c>
      <c r="C108" s="14">
        <v>3</v>
      </c>
      <c r="D108" s="2">
        <v>1946</v>
      </c>
      <c r="E108" s="9">
        <v>30715296000</v>
      </c>
      <c r="F108" s="9" t="s">
        <v>76</v>
      </c>
      <c r="G108" s="10">
        <v>79523.97</v>
      </c>
      <c r="H108" s="10">
        <v>16700.0337</v>
      </c>
      <c r="I108" s="9"/>
      <c r="J108" s="9"/>
      <c r="K108" s="10"/>
      <c r="L108" s="9"/>
      <c r="M108" s="9"/>
      <c r="N108" s="9"/>
      <c r="O108" s="9"/>
      <c r="P108" s="9"/>
      <c r="Q108" s="10">
        <f t="shared" si="4"/>
        <v>96224.003700000001</v>
      </c>
    </row>
    <row r="109" spans="1:17" s="18" customFormat="1" ht="12.75" x14ac:dyDescent="0.2">
      <c r="A109" s="6">
        <v>44647</v>
      </c>
      <c r="B109" s="1">
        <v>1</v>
      </c>
      <c r="C109" s="14">
        <v>280</v>
      </c>
      <c r="D109" s="2">
        <v>1356842</v>
      </c>
      <c r="E109" s="9">
        <v>30580111315</v>
      </c>
      <c r="F109" s="9" t="s">
        <v>21</v>
      </c>
      <c r="G109" s="10">
        <v>42639.794000000002</v>
      </c>
      <c r="H109" s="10">
        <v>3205.4351999999999</v>
      </c>
      <c r="I109" s="9"/>
      <c r="J109" s="10">
        <v>49980.063999999998</v>
      </c>
      <c r="K109" s="9"/>
      <c r="L109" s="9"/>
      <c r="M109" s="9"/>
      <c r="N109" s="10"/>
      <c r="O109" s="9"/>
      <c r="P109" s="9"/>
      <c r="Q109" s="10">
        <f t="shared" si="4"/>
        <v>95825.2932</v>
      </c>
    </row>
    <row r="110" spans="1:17" s="18" customFormat="1" ht="12.75" x14ac:dyDescent="0.2">
      <c r="A110" s="6">
        <v>44648</v>
      </c>
      <c r="B110" s="1">
        <v>1</v>
      </c>
      <c r="C110" s="14">
        <v>3</v>
      </c>
      <c r="D110" s="2">
        <v>17267</v>
      </c>
      <c r="E110" s="9">
        <v>30709511846</v>
      </c>
      <c r="F110" s="9" t="s">
        <v>47</v>
      </c>
      <c r="G110" s="10">
        <v>5124.8900000000003</v>
      </c>
      <c r="H110" s="10"/>
      <c r="I110" s="9"/>
      <c r="J110" s="9">
        <v>538.11345000000006</v>
      </c>
      <c r="K110" s="9"/>
      <c r="L110" s="9"/>
      <c r="M110" s="9"/>
      <c r="N110" s="10"/>
      <c r="O110" s="9"/>
      <c r="P110" s="9"/>
      <c r="Q110" s="10">
        <f t="shared" si="4"/>
        <v>5663.0034500000002</v>
      </c>
    </row>
    <row r="111" spans="1:17" s="18" customFormat="1" ht="12.75" x14ac:dyDescent="0.2">
      <c r="A111" s="6">
        <v>44649</v>
      </c>
      <c r="B111" s="1">
        <v>1</v>
      </c>
      <c r="C111" s="14">
        <v>5</v>
      </c>
      <c r="D111" s="2">
        <v>437</v>
      </c>
      <c r="E111" s="9">
        <v>30707397256</v>
      </c>
      <c r="F111" s="9" t="s">
        <v>101</v>
      </c>
      <c r="G111" s="10">
        <v>424927.5</v>
      </c>
      <c r="H111" s="10">
        <v>89234.774999999994</v>
      </c>
      <c r="I111" s="9"/>
      <c r="J111" s="9"/>
      <c r="K111" s="9"/>
      <c r="L111" s="9"/>
      <c r="M111" s="9"/>
      <c r="N111" s="10"/>
      <c r="O111" s="9"/>
      <c r="P111" s="9"/>
      <c r="Q111" s="10">
        <f t="shared" si="4"/>
        <v>514162.27500000002</v>
      </c>
    </row>
    <row r="112" spans="1:17" s="18" customFormat="1" ht="12.75" x14ac:dyDescent="0.2">
      <c r="A112" s="6">
        <v>44650</v>
      </c>
      <c r="B112" s="1">
        <v>1</v>
      </c>
      <c r="C112" s="14">
        <v>3</v>
      </c>
      <c r="D112" s="2">
        <v>5715</v>
      </c>
      <c r="E112" s="9">
        <v>30663807427</v>
      </c>
      <c r="F112" s="9" t="s">
        <v>106</v>
      </c>
      <c r="G112" s="10">
        <v>28082.639999999999</v>
      </c>
      <c r="H112" s="10">
        <v>5897.3543999999993</v>
      </c>
      <c r="I112" s="9"/>
      <c r="J112" s="9"/>
      <c r="K112" s="9"/>
      <c r="L112" s="9"/>
      <c r="M112" s="9"/>
      <c r="N112" s="10"/>
      <c r="O112" s="9"/>
      <c r="P112" s="9"/>
      <c r="Q112" s="10">
        <f t="shared" si="4"/>
        <v>33979.994399999996</v>
      </c>
    </row>
    <row r="113" spans="1:17" s="18" customFormat="1" ht="12.75" x14ac:dyDescent="0.2">
      <c r="A113" s="6">
        <v>44650</v>
      </c>
      <c r="B113" s="1">
        <v>1</v>
      </c>
      <c r="C113" s="14">
        <v>106</v>
      </c>
      <c r="D113" s="2">
        <v>513240</v>
      </c>
      <c r="E113" s="9">
        <v>30594494187</v>
      </c>
      <c r="F113" s="9" t="s">
        <v>45</v>
      </c>
      <c r="G113" s="10">
        <v>11088</v>
      </c>
      <c r="H113" s="10">
        <v>2328.48</v>
      </c>
      <c r="I113" s="9"/>
      <c r="J113" s="9"/>
      <c r="K113" s="10">
        <v>8400.1200000000008</v>
      </c>
      <c r="L113" s="9"/>
      <c r="M113" s="9"/>
      <c r="N113" s="10"/>
      <c r="O113" s="9"/>
      <c r="P113" s="9"/>
      <c r="Q113" s="10">
        <f t="shared" si="4"/>
        <v>21816.6</v>
      </c>
    </row>
    <row r="114" spans="1:17" s="18" customFormat="1" ht="12.75" x14ac:dyDescent="0.2">
      <c r="A114" s="6">
        <v>44650</v>
      </c>
      <c r="B114" s="1">
        <v>1</v>
      </c>
      <c r="C114" s="14">
        <v>3</v>
      </c>
      <c r="D114" s="2">
        <v>802982</v>
      </c>
      <c r="E114" s="9">
        <v>30712019359</v>
      </c>
      <c r="F114" s="9" t="s">
        <v>23</v>
      </c>
      <c r="G114" s="10">
        <v>2478.5100000000002</v>
      </c>
      <c r="H114" s="10">
        <v>520.48710000000005</v>
      </c>
      <c r="I114" s="9"/>
      <c r="J114" s="9"/>
      <c r="K114" s="9"/>
      <c r="L114" s="10"/>
      <c r="M114" s="9"/>
      <c r="N114" s="9"/>
      <c r="O114" s="9"/>
      <c r="P114" s="9"/>
      <c r="Q114" s="10">
        <f t="shared" si="4"/>
        <v>2998.9971000000005</v>
      </c>
    </row>
    <row r="115" spans="1:17" s="18" customFormat="1" ht="12.75" x14ac:dyDescent="0.2">
      <c r="A115" s="6">
        <v>44651</v>
      </c>
      <c r="B115" s="1">
        <v>1</v>
      </c>
      <c r="C115" s="14">
        <v>7</v>
      </c>
      <c r="D115" s="2">
        <v>24867</v>
      </c>
      <c r="E115" s="9">
        <v>20181426846</v>
      </c>
      <c r="F115" s="9" t="s">
        <v>107</v>
      </c>
      <c r="G115" s="10">
        <v>1446.28</v>
      </c>
      <c r="H115" s="10">
        <v>303.71879999999999</v>
      </c>
      <c r="I115" s="9"/>
      <c r="J115" s="9"/>
      <c r="K115" s="9"/>
      <c r="L115" s="10"/>
      <c r="M115" s="9"/>
      <c r="N115" s="9"/>
      <c r="O115" s="9"/>
      <c r="P115" s="9"/>
      <c r="Q115" s="10">
        <f t="shared" si="4"/>
        <v>1749.9987999999998</v>
      </c>
    </row>
    <row r="116" spans="1:17" s="18" customFormat="1" ht="12.75" x14ac:dyDescent="0.2">
      <c r="A116" s="6">
        <v>44651</v>
      </c>
      <c r="B116" s="1">
        <v>1</v>
      </c>
      <c r="C116" s="14">
        <v>1</v>
      </c>
      <c r="D116" s="2">
        <v>438</v>
      </c>
      <c r="E116" s="9">
        <v>30715048066</v>
      </c>
      <c r="F116" s="9" t="s">
        <v>24</v>
      </c>
      <c r="G116" s="10">
        <v>67399.83</v>
      </c>
      <c r="H116" s="10">
        <v>14153.9643</v>
      </c>
      <c r="I116" s="9"/>
      <c r="J116" s="9"/>
      <c r="K116" s="9"/>
      <c r="L116" s="10"/>
      <c r="M116" s="9"/>
      <c r="N116" s="9"/>
      <c r="O116" s="9"/>
      <c r="P116" s="9"/>
      <c r="Q116" s="10">
        <f t="shared" si="4"/>
        <v>81553.794300000009</v>
      </c>
    </row>
    <row r="117" spans="1:17" s="18" customFormat="1" ht="12.75" x14ac:dyDescent="0.2">
      <c r="A117" s="19">
        <v>44635</v>
      </c>
      <c r="B117" s="1">
        <v>99</v>
      </c>
      <c r="C117" s="14">
        <v>825</v>
      </c>
      <c r="D117" s="2">
        <v>812363</v>
      </c>
      <c r="E117" s="9" t="s">
        <v>108</v>
      </c>
      <c r="F117" s="9" t="s">
        <v>109</v>
      </c>
      <c r="G117" s="10">
        <v>8190</v>
      </c>
      <c r="H117" s="10">
        <v>1719.9</v>
      </c>
      <c r="I117" s="9"/>
      <c r="J117" s="9"/>
      <c r="K117" s="9"/>
      <c r="L117" s="10"/>
      <c r="M117" s="9"/>
      <c r="N117" s="9">
        <v>245.7</v>
      </c>
      <c r="O117" s="9"/>
      <c r="P117" s="9"/>
      <c r="Q117" s="10">
        <f t="shared" si="4"/>
        <v>10155.6</v>
      </c>
    </row>
    <row r="118" spans="1:17" s="18" customFormat="1" ht="12.75" x14ac:dyDescent="0.2">
      <c r="A118" s="19">
        <v>44629</v>
      </c>
      <c r="B118" s="1">
        <v>99</v>
      </c>
      <c r="C118" s="14">
        <v>617</v>
      </c>
      <c r="D118" s="2">
        <v>471256</v>
      </c>
      <c r="E118" s="9" t="s">
        <v>108</v>
      </c>
      <c r="F118" s="9" t="s">
        <v>109</v>
      </c>
      <c r="G118" s="10">
        <v>12484.4</v>
      </c>
      <c r="H118" s="10">
        <v>2621.72</v>
      </c>
      <c r="I118" s="9"/>
      <c r="J118" s="9"/>
      <c r="K118" s="9"/>
      <c r="L118" s="10"/>
      <c r="M118" s="9"/>
      <c r="N118" s="9">
        <v>374.53</v>
      </c>
      <c r="O118" s="9"/>
      <c r="P118" s="9"/>
      <c r="Q118" s="10">
        <f t="shared" si="4"/>
        <v>15480.65</v>
      </c>
    </row>
    <row r="119" spans="1:17" s="18" customFormat="1" ht="12.75" x14ac:dyDescent="0.2">
      <c r="A119" s="19">
        <v>44651</v>
      </c>
      <c r="B119" s="1">
        <v>99</v>
      </c>
      <c r="C119" s="14">
        <v>1</v>
      </c>
      <c r="D119" s="2">
        <v>3132022</v>
      </c>
      <c r="E119" s="9">
        <v>30583887039</v>
      </c>
      <c r="F119" s="9" t="s">
        <v>111</v>
      </c>
      <c r="G119" s="10">
        <v>80</v>
      </c>
      <c r="H119" s="10">
        <v>16.8</v>
      </c>
      <c r="I119" s="9"/>
      <c r="J119" s="9"/>
      <c r="K119" s="9"/>
      <c r="L119" s="10"/>
      <c r="M119" s="9"/>
      <c r="N119" s="9"/>
      <c r="O119" s="9"/>
      <c r="P119" s="9"/>
      <c r="Q119" s="10">
        <f t="shared" si="4"/>
        <v>96.8</v>
      </c>
    </row>
    <row r="120" spans="1:17" s="18" customFormat="1" ht="12.75" x14ac:dyDescent="0.2">
      <c r="A120" s="19">
        <v>44651</v>
      </c>
      <c r="B120" s="1">
        <v>99</v>
      </c>
      <c r="C120" s="14">
        <v>1</v>
      </c>
      <c r="D120" s="2">
        <v>31322</v>
      </c>
      <c r="E120" s="9">
        <v>30583887039</v>
      </c>
      <c r="F120" s="9" t="s">
        <v>111</v>
      </c>
      <c r="G120" s="10">
        <v>3060.5</v>
      </c>
      <c r="H120" s="10">
        <v>642.71</v>
      </c>
      <c r="I120" s="9"/>
      <c r="J120" s="9"/>
      <c r="K120" s="9"/>
      <c r="L120" s="10"/>
      <c r="M120" s="9"/>
      <c r="N120" s="9"/>
      <c r="O120" s="9"/>
      <c r="P120" s="9"/>
      <c r="Q120" s="10">
        <f t="shared" si="4"/>
        <v>3703.21</v>
      </c>
    </row>
    <row r="121" spans="1:17" s="30" customFormat="1" ht="16.5" thickBot="1" x14ac:dyDescent="0.3">
      <c r="A121" s="78" t="s">
        <v>26</v>
      </c>
      <c r="B121" s="78"/>
      <c r="C121" s="78"/>
      <c r="D121" s="78"/>
      <c r="E121" s="78"/>
      <c r="F121" s="79"/>
      <c r="G121" s="34">
        <f>SUM(G88:G120)</f>
        <v>3074400.1039999998</v>
      </c>
      <c r="H121" s="34">
        <f t="shared" ref="H121:Q121" si="5">SUM(H88:H120)</f>
        <v>587845.89989999996</v>
      </c>
      <c r="I121" s="34">
        <f t="shared" si="5"/>
        <v>1037.0862</v>
      </c>
      <c r="J121" s="34">
        <f t="shared" si="5"/>
        <v>75591.353449999995</v>
      </c>
      <c r="K121" s="34">
        <f t="shared" si="5"/>
        <v>16061.37</v>
      </c>
      <c r="L121" s="34">
        <f t="shared" si="5"/>
        <v>0</v>
      </c>
      <c r="M121" s="34">
        <f t="shared" si="5"/>
        <v>0</v>
      </c>
      <c r="N121" s="34">
        <f t="shared" si="5"/>
        <v>620.23</v>
      </c>
      <c r="O121" s="34">
        <f t="shared" si="5"/>
        <v>115.23</v>
      </c>
      <c r="P121" s="34">
        <f t="shared" si="5"/>
        <v>1139.57</v>
      </c>
      <c r="Q121" s="34">
        <f t="shared" si="5"/>
        <v>3756810.8435500003</v>
      </c>
    </row>
    <row r="122" spans="1:17" ht="12.75" customHeight="1" thickBot="1" x14ac:dyDescent="0.3">
      <c r="H122" s="72">
        <f>SUM(H121:J121)</f>
        <v>664474.33954999992</v>
      </c>
      <c r="I122" s="73"/>
      <c r="J122" s="74"/>
    </row>
    <row r="123" spans="1:17" ht="15.75" thickTop="1" x14ac:dyDescent="0.25"/>
    <row r="124" spans="1:17" ht="23.25" customHeight="1" thickBot="1" x14ac:dyDescent="0.45">
      <c r="A124" s="75" t="s">
        <v>112</v>
      </c>
      <c r="B124" s="75"/>
      <c r="C124" s="75"/>
      <c r="D124" s="75"/>
      <c r="E124" s="75"/>
      <c r="F124" s="30"/>
      <c r="G124" s="30"/>
      <c r="H124" s="30"/>
      <c r="I124" s="30"/>
      <c r="J124" s="30"/>
      <c r="K124" s="30"/>
      <c r="L124" s="30"/>
      <c r="M124" s="30"/>
      <c r="N124" s="30"/>
      <c r="O124" s="76">
        <v>44652</v>
      </c>
      <c r="P124" s="77"/>
      <c r="Q124" s="77"/>
    </row>
    <row r="125" spans="1:17" ht="15.75" thickBot="1" x14ac:dyDescent="0.3">
      <c r="A125" s="27" t="s">
        <v>0</v>
      </c>
      <c r="B125" s="28" t="s">
        <v>1</v>
      </c>
      <c r="C125" s="28" t="s">
        <v>2</v>
      </c>
      <c r="D125" s="28" t="s">
        <v>3</v>
      </c>
      <c r="E125" s="28" t="s">
        <v>4</v>
      </c>
      <c r="F125" s="28" t="s">
        <v>5</v>
      </c>
      <c r="G125" s="28" t="s">
        <v>6</v>
      </c>
      <c r="H125" s="26" t="s">
        <v>7</v>
      </c>
      <c r="I125" s="28" t="s">
        <v>8</v>
      </c>
      <c r="J125" s="28" t="s">
        <v>9</v>
      </c>
      <c r="K125" s="28" t="s">
        <v>10</v>
      </c>
      <c r="L125" s="28" t="s">
        <v>11</v>
      </c>
      <c r="M125" s="28" t="s">
        <v>12</v>
      </c>
      <c r="N125" s="28" t="s">
        <v>27</v>
      </c>
      <c r="O125" s="28" t="s">
        <v>13</v>
      </c>
      <c r="P125" s="26" t="s">
        <v>14</v>
      </c>
      <c r="Q125" s="35" t="s">
        <v>15</v>
      </c>
    </row>
    <row r="126" spans="1:17" x14ac:dyDescent="0.25">
      <c r="A126" s="21">
        <v>44652</v>
      </c>
      <c r="B126" s="22">
        <v>1</v>
      </c>
      <c r="C126" s="23">
        <v>3</v>
      </c>
      <c r="D126" s="2">
        <v>153109</v>
      </c>
      <c r="E126" s="24">
        <v>30707135596</v>
      </c>
      <c r="F126" s="24" t="s">
        <v>17</v>
      </c>
      <c r="G126" s="25">
        <v>2725.92</v>
      </c>
      <c r="H126" s="25">
        <v>572.44320000000005</v>
      </c>
      <c r="I126" s="24"/>
      <c r="J126" s="25"/>
      <c r="K126" s="25"/>
      <c r="L126" s="24"/>
      <c r="M126" s="24"/>
      <c r="N126" s="24"/>
      <c r="O126" s="25"/>
      <c r="P126" s="25"/>
      <c r="Q126" s="10">
        <f>SUM(G126:P126)</f>
        <v>3298.3632000000002</v>
      </c>
    </row>
    <row r="127" spans="1:17" x14ac:dyDescent="0.25">
      <c r="A127" s="6">
        <v>44652</v>
      </c>
      <c r="B127" s="1">
        <v>1</v>
      </c>
      <c r="C127" s="14">
        <v>3</v>
      </c>
      <c r="D127" s="2">
        <v>518</v>
      </c>
      <c r="E127" s="9">
        <v>30715402765</v>
      </c>
      <c r="F127" s="9" t="s">
        <v>16</v>
      </c>
      <c r="G127" s="10">
        <v>7190.08</v>
      </c>
      <c r="H127" s="10">
        <v>1509.9168</v>
      </c>
      <c r="I127" s="9"/>
      <c r="J127" s="10"/>
      <c r="K127" s="9"/>
      <c r="L127" s="9"/>
      <c r="M127" s="9"/>
      <c r="N127" s="9"/>
      <c r="O127" s="9"/>
      <c r="P127" s="10"/>
      <c r="Q127" s="10">
        <f t="shared" ref="Q127:Q172" si="6">SUM(G127:P127)</f>
        <v>8699.9968000000008</v>
      </c>
    </row>
    <row r="128" spans="1:17" x14ac:dyDescent="0.25">
      <c r="A128" s="6">
        <v>44652</v>
      </c>
      <c r="B128" s="1">
        <v>1</v>
      </c>
      <c r="C128" s="14">
        <v>3</v>
      </c>
      <c r="D128" s="2">
        <v>254</v>
      </c>
      <c r="E128" s="9">
        <v>20921575743</v>
      </c>
      <c r="F128" s="9" t="s">
        <v>18</v>
      </c>
      <c r="G128" s="10">
        <v>54000</v>
      </c>
      <c r="H128" s="10">
        <v>11340</v>
      </c>
      <c r="I128" s="9"/>
      <c r="J128" s="9"/>
      <c r="K128" s="10"/>
      <c r="L128" s="10"/>
      <c r="M128" s="10"/>
      <c r="N128" s="9"/>
      <c r="O128" s="10"/>
      <c r="P128" s="10"/>
      <c r="Q128" s="10">
        <f t="shared" si="6"/>
        <v>65340</v>
      </c>
    </row>
    <row r="129" spans="1:17" x14ac:dyDescent="0.25">
      <c r="A129" s="6">
        <v>44652</v>
      </c>
      <c r="B129" s="1">
        <v>1</v>
      </c>
      <c r="C129" s="14">
        <v>2</v>
      </c>
      <c r="D129" s="2">
        <v>2022</v>
      </c>
      <c r="E129" s="9">
        <v>30709131733</v>
      </c>
      <c r="F129" s="9" t="s">
        <v>116</v>
      </c>
      <c r="G129" s="10">
        <v>193720</v>
      </c>
      <c r="H129" s="10">
        <v>40681.199999999997</v>
      </c>
      <c r="I129" s="9"/>
      <c r="J129" s="9"/>
      <c r="K129" s="10"/>
      <c r="L129" s="9"/>
      <c r="M129" s="9"/>
      <c r="N129" s="9"/>
      <c r="O129" s="9"/>
      <c r="P129" s="10"/>
      <c r="Q129" s="10">
        <f t="shared" si="6"/>
        <v>234401.2</v>
      </c>
    </row>
    <row r="130" spans="1:17" x14ac:dyDescent="0.25">
      <c r="A130" s="6">
        <v>44652</v>
      </c>
      <c r="B130" s="1">
        <v>1</v>
      </c>
      <c r="C130" s="14">
        <v>7</v>
      </c>
      <c r="D130" s="2">
        <v>52774</v>
      </c>
      <c r="E130" s="9">
        <v>30626629942</v>
      </c>
      <c r="F130" s="9" t="s">
        <v>51</v>
      </c>
      <c r="G130" s="10">
        <v>5619</v>
      </c>
      <c r="H130" s="10"/>
      <c r="I130" s="9"/>
      <c r="J130" s="10">
        <v>589.995</v>
      </c>
      <c r="K130" s="9"/>
      <c r="L130" s="10"/>
      <c r="M130" s="9"/>
      <c r="N130" s="9"/>
      <c r="O130" s="9"/>
      <c r="P130" s="10"/>
      <c r="Q130" s="10">
        <f t="shared" si="6"/>
        <v>6208.9949999999999</v>
      </c>
    </row>
    <row r="131" spans="1:17" x14ac:dyDescent="0.25">
      <c r="A131" s="6">
        <v>44656</v>
      </c>
      <c r="B131" s="1">
        <v>1</v>
      </c>
      <c r="C131" s="14">
        <v>26</v>
      </c>
      <c r="D131" s="2">
        <v>2356</v>
      </c>
      <c r="E131" s="9">
        <v>30677470123</v>
      </c>
      <c r="F131" s="9" t="s">
        <v>117</v>
      </c>
      <c r="G131" s="10">
        <v>86942.16</v>
      </c>
      <c r="H131" s="10">
        <v>18257.853599999999</v>
      </c>
      <c r="I131" s="9"/>
      <c r="J131" s="10"/>
      <c r="K131" s="9"/>
      <c r="L131" s="10"/>
      <c r="M131" s="9"/>
      <c r="N131" s="9"/>
      <c r="O131" s="9"/>
      <c r="P131" s="10"/>
      <c r="Q131" s="10">
        <f t="shared" si="6"/>
        <v>105200.01360000001</v>
      </c>
    </row>
    <row r="132" spans="1:17" x14ac:dyDescent="0.25">
      <c r="A132" s="6">
        <v>44657</v>
      </c>
      <c r="B132" s="1">
        <v>1</v>
      </c>
      <c r="C132" s="14">
        <v>60</v>
      </c>
      <c r="D132" s="2">
        <v>6863</v>
      </c>
      <c r="E132" s="9">
        <v>30547188760</v>
      </c>
      <c r="F132" s="9" t="s">
        <v>118</v>
      </c>
      <c r="G132" s="10">
        <v>1369.86</v>
      </c>
      <c r="H132" s="10">
        <v>287.67059999999998</v>
      </c>
      <c r="I132" s="9"/>
      <c r="J132" s="10"/>
      <c r="K132" s="9"/>
      <c r="L132" s="9"/>
      <c r="M132" s="9"/>
      <c r="N132" s="9"/>
      <c r="O132" s="9"/>
      <c r="P132" s="9"/>
      <c r="Q132" s="10">
        <f t="shared" si="6"/>
        <v>1657.5305999999998</v>
      </c>
    </row>
    <row r="133" spans="1:17" x14ac:dyDescent="0.25">
      <c r="A133" s="6">
        <v>44657</v>
      </c>
      <c r="B133" s="1">
        <v>1</v>
      </c>
      <c r="C133" s="14">
        <v>280</v>
      </c>
      <c r="D133" s="2">
        <v>1358550</v>
      </c>
      <c r="E133" s="9">
        <v>30580111315</v>
      </c>
      <c r="F133" s="9" t="s">
        <v>21</v>
      </c>
      <c r="G133" s="10">
        <v>348336.45</v>
      </c>
      <c r="H133" s="10">
        <v>703.71</v>
      </c>
      <c r="I133" s="9"/>
      <c r="J133" s="9">
        <v>36223.192999999999</v>
      </c>
      <c r="K133" s="9"/>
      <c r="L133" s="10"/>
      <c r="M133" s="9"/>
      <c r="N133" s="9"/>
      <c r="O133" s="9"/>
      <c r="P133" s="9">
        <v>-313623.44099999999</v>
      </c>
      <c r="Q133" s="10">
        <f t="shared" si="6"/>
        <v>71639.912000000011</v>
      </c>
    </row>
    <row r="134" spans="1:17" x14ac:dyDescent="0.25">
      <c r="A134" s="6">
        <v>44657</v>
      </c>
      <c r="B134" s="1">
        <v>1</v>
      </c>
      <c r="C134" s="14">
        <v>60</v>
      </c>
      <c r="D134" s="2">
        <v>6857</v>
      </c>
      <c r="E134" s="9">
        <v>30547188760</v>
      </c>
      <c r="F134" s="9" t="s">
        <v>118</v>
      </c>
      <c r="G134" s="10">
        <v>13634.24</v>
      </c>
      <c r="H134" s="10">
        <v>2863.1904</v>
      </c>
      <c r="I134" s="9"/>
      <c r="J134" s="10"/>
      <c r="K134" s="9"/>
      <c r="L134" s="10"/>
      <c r="M134" s="10"/>
      <c r="N134" s="10"/>
      <c r="O134" s="9"/>
      <c r="P134" s="10"/>
      <c r="Q134" s="10">
        <f t="shared" si="6"/>
        <v>16497.430400000001</v>
      </c>
    </row>
    <row r="135" spans="1:17" x14ac:dyDescent="0.25">
      <c r="A135" s="6">
        <v>44657</v>
      </c>
      <c r="B135" s="1">
        <v>1</v>
      </c>
      <c r="C135" s="14">
        <v>60</v>
      </c>
      <c r="D135" s="2">
        <v>6862</v>
      </c>
      <c r="E135" s="9">
        <v>30547188760</v>
      </c>
      <c r="F135" s="9" t="s">
        <v>118</v>
      </c>
      <c r="G135" s="10">
        <v>334224.48</v>
      </c>
      <c r="H135" s="10">
        <v>70187.140799999994</v>
      </c>
      <c r="I135" s="9"/>
      <c r="J135" s="10"/>
      <c r="K135" s="9"/>
      <c r="L135" s="10"/>
      <c r="M135" s="9"/>
      <c r="N135" s="9"/>
      <c r="O135" s="9"/>
      <c r="P135" s="9"/>
      <c r="Q135" s="10">
        <f t="shared" si="6"/>
        <v>404411.62079999998</v>
      </c>
    </row>
    <row r="136" spans="1:17" x14ac:dyDescent="0.25">
      <c r="A136" s="6">
        <v>44662</v>
      </c>
      <c r="B136" s="1">
        <v>1</v>
      </c>
      <c r="C136" s="14">
        <v>700</v>
      </c>
      <c r="D136" s="2">
        <v>360195</v>
      </c>
      <c r="E136" s="9">
        <v>30580111315</v>
      </c>
      <c r="F136" s="9" t="s">
        <v>21</v>
      </c>
      <c r="G136" s="10"/>
      <c r="H136" s="10" t="s">
        <v>119</v>
      </c>
      <c r="I136" s="9"/>
      <c r="J136" s="10"/>
      <c r="K136" s="9"/>
      <c r="L136" s="9"/>
      <c r="M136" s="9"/>
      <c r="N136" s="9"/>
      <c r="O136" s="9"/>
      <c r="P136" s="10">
        <v>8033.97</v>
      </c>
      <c r="Q136" s="10">
        <f t="shared" si="6"/>
        <v>8033.97</v>
      </c>
    </row>
    <row r="137" spans="1:17" x14ac:dyDescent="0.25">
      <c r="A137" s="6">
        <v>44662</v>
      </c>
      <c r="B137" s="1">
        <v>1</v>
      </c>
      <c r="C137" s="14">
        <v>700</v>
      </c>
      <c r="D137" s="2">
        <v>361293</v>
      </c>
      <c r="E137" s="9">
        <v>30580111315</v>
      </c>
      <c r="F137" s="9" t="s">
        <v>21</v>
      </c>
      <c r="G137" s="10"/>
      <c r="H137" s="10" t="s">
        <v>119</v>
      </c>
      <c r="I137" s="9"/>
      <c r="J137" s="10"/>
      <c r="K137" s="9"/>
      <c r="L137" s="9"/>
      <c r="M137" s="9"/>
      <c r="N137" s="9"/>
      <c r="O137" s="9"/>
      <c r="P137" s="10">
        <v>44108.28</v>
      </c>
      <c r="Q137" s="10">
        <f t="shared" si="6"/>
        <v>44108.28</v>
      </c>
    </row>
    <row r="138" spans="1:17" x14ac:dyDescent="0.25">
      <c r="A138" s="6">
        <v>44662</v>
      </c>
      <c r="B138" s="1">
        <v>1</v>
      </c>
      <c r="C138" s="14">
        <v>7</v>
      </c>
      <c r="D138" s="2">
        <v>6293</v>
      </c>
      <c r="E138" s="9">
        <v>30604413482</v>
      </c>
      <c r="F138" s="9" t="s">
        <v>46</v>
      </c>
      <c r="G138" s="10">
        <v>98274</v>
      </c>
      <c r="H138" s="10">
        <v>20637.54</v>
      </c>
      <c r="I138" s="9"/>
      <c r="J138" s="10"/>
      <c r="K138" s="9"/>
      <c r="L138" s="9"/>
      <c r="M138" s="9"/>
      <c r="N138" s="9"/>
      <c r="O138" s="9"/>
      <c r="P138" s="10"/>
      <c r="Q138" s="10">
        <f t="shared" si="6"/>
        <v>118911.54000000001</v>
      </c>
    </row>
    <row r="139" spans="1:17" x14ac:dyDescent="0.25">
      <c r="A139" s="6">
        <v>44662</v>
      </c>
      <c r="B139" s="1">
        <v>1</v>
      </c>
      <c r="C139" s="14">
        <v>2466</v>
      </c>
      <c r="D139" s="2">
        <v>345117</v>
      </c>
      <c r="E139" s="9">
        <v>30678814357</v>
      </c>
      <c r="F139" s="9" t="s">
        <v>20</v>
      </c>
      <c r="G139" s="10">
        <v>1765</v>
      </c>
      <c r="H139" s="10"/>
      <c r="I139" s="9">
        <v>476.55</v>
      </c>
      <c r="J139" s="9"/>
      <c r="K139" s="9"/>
      <c r="L139" s="9"/>
      <c r="M139" s="9"/>
      <c r="N139" s="9"/>
      <c r="O139" s="9"/>
      <c r="P139" s="10">
        <v>92.89</v>
      </c>
      <c r="Q139" s="10">
        <f t="shared" si="6"/>
        <v>2334.44</v>
      </c>
    </row>
    <row r="140" spans="1:17" x14ac:dyDescent="0.25">
      <c r="A140" s="6">
        <v>44666</v>
      </c>
      <c r="B140" s="1">
        <v>1</v>
      </c>
      <c r="C140" s="14">
        <v>5199</v>
      </c>
      <c r="D140" s="2">
        <v>12079</v>
      </c>
      <c r="E140" s="9">
        <v>30695542476</v>
      </c>
      <c r="F140" s="9" t="s">
        <v>120</v>
      </c>
      <c r="G140" s="10">
        <v>3603.39</v>
      </c>
      <c r="H140" s="10">
        <v>756.7118999999999</v>
      </c>
      <c r="I140" s="10"/>
      <c r="J140" s="9"/>
      <c r="K140" s="9">
        <v>108.1</v>
      </c>
      <c r="L140" s="9"/>
      <c r="M140" s="9">
        <v>108.1</v>
      </c>
      <c r="N140" s="9"/>
      <c r="O140" s="9"/>
      <c r="P140" s="9">
        <v>779.8</v>
      </c>
      <c r="Q140" s="10">
        <f t="shared" si="6"/>
        <v>5356.1019000000006</v>
      </c>
    </row>
    <row r="141" spans="1:17" x14ac:dyDescent="0.25">
      <c r="A141" s="6">
        <v>44669</v>
      </c>
      <c r="B141" s="1">
        <v>1</v>
      </c>
      <c r="C141" s="14">
        <v>700</v>
      </c>
      <c r="D141" s="2">
        <v>364547</v>
      </c>
      <c r="E141" s="9">
        <v>30580111315</v>
      </c>
      <c r="F141" s="9" t="s">
        <v>21</v>
      </c>
      <c r="G141" s="10"/>
      <c r="H141" s="10" t="s">
        <v>119</v>
      </c>
      <c r="I141" s="9"/>
      <c r="J141" s="9"/>
      <c r="K141" s="9"/>
      <c r="L141" s="9"/>
      <c r="M141" s="9"/>
      <c r="N141" s="10"/>
      <c r="O141" s="9"/>
      <c r="P141" s="10">
        <v>12877.34</v>
      </c>
      <c r="Q141" s="10">
        <f t="shared" si="6"/>
        <v>12877.34</v>
      </c>
    </row>
    <row r="142" spans="1:17" x14ac:dyDescent="0.25">
      <c r="A142" s="6">
        <v>44669</v>
      </c>
      <c r="B142" s="1">
        <v>1</v>
      </c>
      <c r="C142" s="14">
        <v>4</v>
      </c>
      <c r="D142" s="2">
        <v>1886</v>
      </c>
      <c r="E142" s="9">
        <v>20068864934</v>
      </c>
      <c r="F142" s="9" t="s">
        <v>52</v>
      </c>
      <c r="G142" s="10">
        <v>1289.26</v>
      </c>
      <c r="H142" s="10">
        <v>270.74459999999999</v>
      </c>
      <c r="I142" s="9"/>
      <c r="J142" s="9"/>
      <c r="K142" s="9"/>
      <c r="L142" s="10"/>
      <c r="M142" s="9"/>
      <c r="N142" s="9"/>
      <c r="O142" s="9"/>
      <c r="P142" s="9"/>
      <c r="Q142" s="10">
        <f t="shared" si="6"/>
        <v>1560.0046</v>
      </c>
    </row>
    <row r="143" spans="1:17" x14ac:dyDescent="0.25">
      <c r="A143" s="6">
        <v>44669</v>
      </c>
      <c r="B143" s="1">
        <v>1</v>
      </c>
      <c r="C143" s="14">
        <v>2</v>
      </c>
      <c r="D143" s="2">
        <v>128</v>
      </c>
      <c r="E143" s="9">
        <v>20125142851</v>
      </c>
      <c r="F143" s="9" t="s">
        <v>19</v>
      </c>
      <c r="G143" s="10">
        <v>54222.3</v>
      </c>
      <c r="H143" s="10">
        <v>11386.683000000001</v>
      </c>
      <c r="I143" s="9"/>
      <c r="J143" s="9"/>
      <c r="K143" s="9"/>
      <c r="L143" s="9"/>
      <c r="M143" s="9"/>
      <c r="N143" s="9"/>
      <c r="O143" s="9"/>
      <c r="P143" s="9"/>
      <c r="Q143" s="10">
        <f t="shared" si="6"/>
        <v>65608.983000000007</v>
      </c>
    </row>
    <row r="144" spans="1:17" x14ac:dyDescent="0.25">
      <c r="A144" s="6">
        <v>44669</v>
      </c>
      <c r="B144" s="1">
        <v>1</v>
      </c>
      <c r="C144" s="14">
        <v>2</v>
      </c>
      <c r="D144" s="2">
        <v>129</v>
      </c>
      <c r="E144" s="9">
        <v>20125142851</v>
      </c>
      <c r="F144" s="9" t="s">
        <v>19</v>
      </c>
      <c r="G144" s="10">
        <v>59539.92</v>
      </c>
      <c r="H144" s="10">
        <v>12503.383199999998</v>
      </c>
      <c r="I144" s="9"/>
      <c r="J144" s="9"/>
      <c r="K144" s="9"/>
      <c r="L144" s="10"/>
      <c r="M144" s="9"/>
      <c r="N144" s="9"/>
      <c r="O144" s="9"/>
      <c r="P144" s="9"/>
      <c r="Q144" s="10">
        <f t="shared" si="6"/>
        <v>72043.303199999995</v>
      </c>
    </row>
    <row r="145" spans="1:17" x14ac:dyDescent="0.25">
      <c r="A145" s="6">
        <v>44670</v>
      </c>
      <c r="B145" s="1">
        <v>1</v>
      </c>
      <c r="C145" s="14">
        <v>4</v>
      </c>
      <c r="D145" s="2">
        <v>9754</v>
      </c>
      <c r="E145" s="9">
        <v>33710719549</v>
      </c>
      <c r="F145" s="9" t="s">
        <v>121</v>
      </c>
      <c r="G145" s="10">
        <v>3722.32</v>
      </c>
      <c r="H145" s="10">
        <v>781.68719999999996</v>
      </c>
      <c r="I145" s="9"/>
      <c r="J145" s="10"/>
      <c r="K145" s="9"/>
      <c r="L145" s="10"/>
      <c r="M145" s="9"/>
      <c r="N145" s="9"/>
      <c r="O145" s="9"/>
      <c r="P145" s="10"/>
      <c r="Q145" s="10">
        <f t="shared" si="6"/>
        <v>4504.0072</v>
      </c>
    </row>
    <row r="146" spans="1:17" x14ac:dyDescent="0.25">
      <c r="A146" s="6">
        <v>44671</v>
      </c>
      <c r="B146" s="1">
        <v>1</v>
      </c>
      <c r="C146" s="14">
        <v>1</v>
      </c>
      <c r="D146" s="2">
        <v>110</v>
      </c>
      <c r="E146" s="9">
        <v>30715713272</v>
      </c>
      <c r="F146" s="9" t="s">
        <v>122</v>
      </c>
      <c r="G146" s="10">
        <v>191825.21</v>
      </c>
      <c r="H146" s="10">
        <v>40283.294099999999</v>
      </c>
      <c r="I146" s="9"/>
      <c r="J146" s="9"/>
      <c r="K146" s="10"/>
      <c r="L146" s="9"/>
      <c r="M146" s="9"/>
      <c r="N146" s="9"/>
      <c r="O146" s="9"/>
      <c r="P146" s="9"/>
      <c r="Q146" s="10">
        <f t="shared" si="6"/>
        <v>232108.50409999999</v>
      </c>
    </row>
    <row r="147" spans="1:17" x14ac:dyDescent="0.25">
      <c r="A147" s="6">
        <v>44672</v>
      </c>
      <c r="B147" s="1">
        <v>3</v>
      </c>
      <c r="C147" s="14">
        <v>2</v>
      </c>
      <c r="D147" s="2">
        <v>138</v>
      </c>
      <c r="E147" s="9">
        <v>30709131733</v>
      </c>
      <c r="F147" s="9" t="s">
        <v>116</v>
      </c>
      <c r="G147" s="10">
        <v>-193720</v>
      </c>
      <c r="H147" s="10">
        <v>-40681.199999999997</v>
      </c>
      <c r="I147" s="9"/>
      <c r="J147" s="10"/>
      <c r="K147" s="9"/>
      <c r="L147" s="9"/>
      <c r="M147" s="9"/>
      <c r="N147" s="10"/>
      <c r="O147" s="9"/>
      <c r="P147" s="9"/>
      <c r="Q147" s="10">
        <f t="shared" si="6"/>
        <v>-234401.2</v>
      </c>
    </row>
    <row r="148" spans="1:17" x14ac:dyDescent="0.25">
      <c r="A148" s="6">
        <v>44672</v>
      </c>
      <c r="B148" s="1">
        <v>1</v>
      </c>
      <c r="C148" s="14">
        <v>5</v>
      </c>
      <c r="D148" s="2">
        <v>415</v>
      </c>
      <c r="E148" s="9">
        <v>30716006391</v>
      </c>
      <c r="F148" s="9" t="s">
        <v>77</v>
      </c>
      <c r="G148" s="10">
        <v>3077.69</v>
      </c>
      <c r="H148" s="10">
        <v>646.31489999999997</v>
      </c>
      <c r="I148" s="9"/>
      <c r="J148" s="9"/>
      <c r="K148" s="9"/>
      <c r="L148" s="9"/>
      <c r="M148" s="9"/>
      <c r="N148" s="10"/>
      <c r="O148" s="9"/>
      <c r="P148" s="9"/>
      <c r="Q148" s="10">
        <f t="shared" si="6"/>
        <v>3724.0048999999999</v>
      </c>
    </row>
    <row r="149" spans="1:17" x14ac:dyDescent="0.25">
      <c r="A149" s="6">
        <v>44672</v>
      </c>
      <c r="B149" s="1">
        <v>1</v>
      </c>
      <c r="C149" s="14">
        <v>7002</v>
      </c>
      <c r="D149" s="2">
        <v>3975</v>
      </c>
      <c r="E149" s="9">
        <v>30678774495</v>
      </c>
      <c r="F149" s="9" t="s">
        <v>123</v>
      </c>
      <c r="G149" s="10">
        <v>3230.2</v>
      </c>
      <c r="H149" s="10">
        <v>678.34199999999998</v>
      </c>
      <c r="I149" s="9"/>
      <c r="J149" s="9"/>
      <c r="K149" s="9"/>
      <c r="L149" s="9"/>
      <c r="M149" s="9"/>
      <c r="N149" s="10"/>
      <c r="O149" s="9"/>
      <c r="P149" s="9">
        <v>982.25</v>
      </c>
      <c r="Q149" s="10">
        <f t="shared" si="6"/>
        <v>4890.7919999999995</v>
      </c>
    </row>
    <row r="150" spans="1:17" x14ac:dyDescent="0.25">
      <c r="A150" s="6">
        <v>44672</v>
      </c>
      <c r="B150" s="1">
        <v>1</v>
      </c>
      <c r="C150" s="14">
        <v>3</v>
      </c>
      <c r="D150" s="2">
        <v>16645</v>
      </c>
      <c r="E150" s="9">
        <v>30707468161</v>
      </c>
      <c r="F150" s="9" t="s">
        <v>56</v>
      </c>
      <c r="G150" s="10">
        <v>25585</v>
      </c>
      <c r="H150" s="10">
        <v>5372.8499999999995</v>
      </c>
      <c r="I150" s="9"/>
      <c r="J150" s="9"/>
      <c r="K150" s="9"/>
      <c r="L150" s="9"/>
      <c r="M150" s="9"/>
      <c r="N150" s="10"/>
      <c r="O150" s="9"/>
      <c r="P150" s="9"/>
      <c r="Q150" s="10">
        <f t="shared" si="6"/>
        <v>30957.85</v>
      </c>
    </row>
    <row r="151" spans="1:17" s="30" customFormat="1" x14ac:dyDescent="0.25">
      <c r="A151" s="6">
        <v>44672</v>
      </c>
      <c r="B151" s="1">
        <v>1</v>
      </c>
      <c r="C151" s="14">
        <v>2</v>
      </c>
      <c r="D151" s="2">
        <v>2055</v>
      </c>
      <c r="E151" s="9">
        <v>30709131733</v>
      </c>
      <c r="F151" s="9" t="s">
        <v>116</v>
      </c>
      <c r="G151" s="10">
        <v>267952.3</v>
      </c>
      <c r="H151" s="10">
        <v>56269.982999999993</v>
      </c>
      <c r="I151" s="9"/>
      <c r="J151" s="9"/>
      <c r="K151" s="9"/>
      <c r="L151" s="9"/>
      <c r="M151" s="9"/>
      <c r="N151" s="10"/>
      <c r="O151" s="9"/>
      <c r="P151" s="9"/>
      <c r="Q151" s="10">
        <f t="shared" si="6"/>
        <v>324222.283</v>
      </c>
    </row>
    <row r="152" spans="1:17" s="30" customFormat="1" x14ac:dyDescent="0.25">
      <c r="A152" s="6">
        <v>44673</v>
      </c>
      <c r="B152" s="1">
        <v>1</v>
      </c>
      <c r="C152" s="14">
        <v>106</v>
      </c>
      <c r="D152" s="2">
        <v>519106</v>
      </c>
      <c r="E152" s="9">
        <v>30594494187</v>
      </c>
      <c r="F152" s="9" t="s">
        <v>45</v>
      </c>
      <c r="G152" s="10">
        <v>11875</v>
      </c>
      <c r="H152" s="10">
        <v>2493.75</v>
      </c>
      <c r="I152" s="9"/>
      <c r="J152" s="9"/>
      <c r="K152" s="9"/>
      <c r="L152" s="9"/>
      <c r="M152" s="9"/>
      <c r="N152" s="10"/>
      <c r="O152" s="9"/>
      <c r="P152" s="9">
        <v>130744.03</v>
      </c>
      <c r="Q152" s="10">
        <f t="shared" si="6"/>
        <v>145112.78</v>
      </c>
    </row>
    <row r="153" spans="1:17" s="30" customFormat="1" x14ac:dyDescent="0.25">
      <c r="A153" s="6">
        <v>44673</v>
      </c>
      <c r="B153" s="1">
        <v>1</v>
      </c>
      <c r="C153" s="14">
        <v>9</v>
      </c>
      <c r="D153" s="2">
        <v>1134</v>
      </c>
      <c r="E153" s="9">
        <v>30631047145</v>
      </c>
      <c r="F153" s="9" t="s">
        <v>25</v>
      </c>
      <c r="G153" s="10">
        <v>38694</v>
      </c>
      <c r="H153" s="10">
        <v>3087</v>
      </c>
      <c r="I153" s="9"/>
      <c r="J153" s="9">
        <v>2519.37</v>
      </c>
      <c r="K153" s="9"/>
      <c r="L153" s="9"/>
      <c r="M153" s="9"/>
      <c r="N153" s="10"/>
      <c r="O153" s="9"/>
      <c r="P153" s="9"/>
      <c r="Q153" s="10">
        <f t="shared" si="6"/>
        <v>44300.37</v>
      </c>
    </row>
    <row r="154" spans="1:17" s="30" customFormat="1" x14ac:dyDescent="0.25">
      <c r="A154" s="6">
        <v>44673</v>
      </c>
      <c r="B154" s="1">
        <v>1</v>
      </c>
      <c r="C154" s="14">
        <v>1</v>
      </c>
      <c r="D154" s="2">
        <v>305</v>
      </c>
      <c r="E154" s="9">
        <v>20190828205</v>
      </c>
      <c r="F154" s="9" t="s">
        <v>124</v>
      </c>
      <c r="G154" s="10">
        <v>12669.68</v>
      </c>
      <c r="H154" s="10"/>
      <c r="I154" s="9"/>
      <c r="J154" s="9">
        <v>1330.3163999999999</v>
      </c>
      <c r="K154" s="9"/>
      <c r="L154" s="9"/>
      <c r="M154" s="9"/>
      <c r="N154" s="10"/>
      <c r="O154" s="9"/>
      <c r="P154" s="9"/>
      <c r="Q154" s="10">
        <f t="shared" si="6"/>
        <v>13999.9964</v>
      </c>
    </row>
    <row r="155" spans="1:17" s="30" customFormat="1" x14ac:dyDescent="0.25">
      <c r="A155" s="6">
        <v>44675</v>
      </c>
      <c r="B155" s="1">
        <v>1</v>
      </c>
      <c r="C155" s="14">
        <v>30</v>
      </c>
      <c r="D155" s="2">
        <v>3550</v>
      </c>
      <c r="E155" s="9">
        <v>20217293791</v>
      </c>
      <c r="F155" s="9" t="s">
        <v>125</v>
      </c>
      <c r="G155" s="10">
        <v>7462.81</v>
      </c>
      <c r="H155" s="10">
        <v>1567.1901</v>
      </c>
      <c r="I155" s="9"/>
      <c r="J155" s="9"/>
      <c r="K155" s="9"/>
      <c r="L155" s="9"/>
      <c r="M155" s="9"/>
      <c r="N155" s="10"/>
      <c r="O155" s="9"/>
      <c r="P155" s="9"/>
      <c r="Q155" s="10">
        <f t="shared" si="6"/>
        <v>9030.0001000000011</v>
      </c>
    </row>
    <row r="156" spans="1:17" s="30" customFormat="1" x14ac:dyDescent="0.25">
      <c r="A156" s="6">
        <v>44677</v>
      </c>
      <c r="B156" s="1">
        <v>1</v>
      </c>
      <c r="C156" s="14">
        <v>40</v>
      </c>
      <c r="D156" s="2">
        <v>1978547</v>
      </c>
      <c r="E156" s="9">
        <v>30710964277</v>
      </c>
      <c r="F156" s="9" t="s">
        <v>59</v>
      </c>
      <c r="G156" s="10">
        <v>2615.2600000000002</v>
      </c>
      <c r="H156" s="10">
        <v>549.20460000000003</v>
      </c>
      <c r="I156" s="9"/>
      <c r="J156" s="9"/>
      <c r="K156" s="9"/>
      <c r="L156" s="9"/>
      <c r="M156" s="9"/>
      <c r="N156" s="10"/>
      <c r="O156" s="9"/>
      <c r="P156" s="9"/>
      <c r="Q156" s="10">
        <f t="shared" si="6"/>
        <v>3164.4646000000002</v>
      </c>
    </row>
    <row r="157" spans="1:17" s="30" customFormat="1" x14ac:dyDescent="0.25">
      <c r="A157" s="6">
        <v>44677</v>
      </c>
      <c r="B157" s="1">
        <v>1</v>
      </c>
      <c r="C157" s="14">
        <v>3</v>
      </c>
      <c r="D157" s="2">
        <v>16677</v>
      </c>
      <c r="E157" s="9">
        <v>30707468161</v>
      </c>
      <c r="F157" s="9" t="s">
        <v>56</v>
      </c>
      <c r="G157" s="10">
        <v>33460</v>
      </c>
      <c r="H157" s="10">
        <v>7026.5999999999995</v>
      </c>
      <c r="I157" s="9"/>
      <c r="J157" s="9"/>
      <c r="K157" s="9"/>
      <c r="L157" s="9"/>
      <c r="M157" s="9"/>
      <c r="N157" s="10"/>
      <c r="O157" s="9"/>
      <c r="P157" s="9"/>
      <c r="Q157" s="10">
        <f t="shared" si="6"/>
        <v>40486.6</v>
      </c>
    </row>
    <row r="158" spans="1:17" s="30" customFormat="1" x14ac:dyDescent="0.25">
      <c r="A158" s="6">
        <v>44678</v>
      </c>
      <c r="B158" s="1">
        <v>3</v>
      </c>
      <c r="C158" s="14">
        <v>60</v>
      </c>
      <c r="D158" s="2">
        <v>462</v>
      </c>
      <c r="E158" s="9">
        <v>30547188760</v>
      </c>
      <c r="F158" s="9" t="s">
        <v>118</v>
      </c>
      <c r="G158" s="10">
        <v>-13634.24</v>
      </c>
      <c r="H158" s="10">
        <v>-2863.1904</v>
      </c>
      <c r="I158" s="9"/>
      <c r="J158" s="9"/>
      <c r="K158" s="9"/>
      <c r="L158" s="9"/>
      <c r="M158" s="9"/>
      <c r="N158" s="10"/>
      <c r="O158" s="9"/>
      <c r="P158" s="9"/>
      <c r="Q158" s="10">
        <f t="shared" si="6"/>
        <v>-16497.430400000001</v>
      </c>
    </row>
    <row r="159" spans="1:17" s="30" customFormat="1" x14ac:dyDescent="0.25">
      <c r="A159" s="6">
        <v>44678</v>
      </c>
      <c r="B159" s="1">
        <v>1</v>
      </c>
      <c r="C159" s="14">
        <v>3</v>
      </c>
      <c r="D159" s="2">
        <v>845863</v>
      </c>
      <c r="E159" s="9">
        <v>30712019359</v>
      </c>
      <c r="F159" s="9" t="s">
        <v>23</v>
      </c>
      <c r="G159" s="10">
        <v>2478.5100000000002</v>
      </c>
      <c r="H159" s="10">
        <v>520.48710000000005</v>
      </c>
      <c r="I159" s="9"/>
      <c r="J159" s="9"/>
      <c r="K159" s="9"/>
      <c r="L159" s="9"/>
      <c r="M159" s="9"/>
      <c r="N159" s="10"/>
      <c r="O159" s="9"/>
      <c r="P159" s="9"/>
      <c r="Q159" s="10">
        <f t="shared" si="6"/>
        <v>2998.9971000000005</v>
      </c>
    </row>
    <row r="160" spans="1:17" s="30" customFormat="1" x14ac:dyDescent="0.25">
      <c r="A160" s="6">
        <v>44678</v>
      </c>
      <c r="B160" s="1">
        <v>1</v>
      </c>
      <c r="C160" s="14">
        <v>12</v>
      </c>
      <c r="D160" s="2">
        <v>12026</v>
      </c>
      <c r="E160" s="9">
        <v>30604942051</v>
      </c>
      <c r="F160" s="9" t="s">
        <v>126</v>
      </c>
      <c r="G160" s="10">
        <v>25288.62</v>
      </c>
      <c r="H160" s="10">
        <v>5310.6101999999992</v>
      </c>
      <c r="I160" s="9"/>
      <c r="J160" s="9"/>
      <c r="K160" s="9"/>
      <c r="L160" s="9"/>
      <c r="M160" s="9"/>
      <c r="N160" s="10"/>
      <c r="O160" s="9"/>
      <c r="P160" s="9"/>
      <c r="Q160" s="10">
        <f t="shared" si="6"/>
        <v>30599.230199999998</v>
      </c>
    </row>
    <row r="161" spans="1:17" s="30" customFormat="1" x14ac:dyDescent="0.25">
      <c r="A161" s="6">
        <v>44678</v>
      </c>
      <c r="B161" s="1">
        <v>1</v>
      </c>
      <c r="C161" s="14">
        <v>3</v>
      </c>
      <c r="D161" s="2">
        <v>16699</v>
      </c>
      <c r="E161" s="9">
        <v>30707468161</v>
      </c>
      <c r="F161" s="9" t="s">
        <v>56</v>
      </c>
      <c r="G161" s="10">
        <v>25746.25</v>
      </c>
      <c r="H161" s="10">
        <v>5406.7124999999996</v>
      </c>
      <c r="I161" s="9"/>
      <c r="J161" s="9"/>
      <c r="K161" s="9"/>
      <c r="L161" s="9"/>
      <c r="M161" s="9"/>
      <c r="N161" s="10"/>
      <c r="O161" s="9"/>
      <c r="P161" s="9"/>
      <c r="Q161" s="10">
        <f t="shared" si="6"/>
        <v>31152.962500000001</v>
      </c>
    </row>
    <row r="162" spans="1:17" s="30" customFormat="1" x14ac:dyDescent="0.25">
      <c r="A162" s="6">
        <v>44679</v>
      </c>
      <c r="B162" s="1">
        <v>1</v>
      </c>
      <c r="C162" s="14">
        <v>2</v>
      </c>
      <c r="D162" s="2">
        <v>130</v>
      </c>
      <c r="E162" s="9">
        <v>20125142851</v>
      </c>
      <c r="F162" s="9" t="s">
        <v>19</v>
      </c>
      <c r="G162" s="10">
        <v>13843</v>
      </c>
      <c r="H162" s="10">
        <v>2907.0299999999997</v>
      </c>
      <c r="I162" s="9"/>
      <c r="J162" s="9"/>
      <c r="K162" s="9"/>
      <c r="L162" s="9"/>
      <c r="M162" s="9"/>
      <c r="N162" s="10"/>
      <c r="O162" s="9"/>
      <c r="P162" s="9"/>
      <c r="Q162" s="10">
        <f t="shared" si="6"/>
        <v>16750.03</v>
      </c>
    </row>
    <row r="163" spans="1:17" s="30" customFormat="1" x14ac:dyDescent="0.25">
      <c r="A163" s="6">
        <v>44680</v>
      </c>
      <c r="B163" s="1">
        <v>1</v>
      </c>
      <c r="C163" s="14">
        <v>5</v>
      </c>
      <c r="D163" s="2">
        <v>25488</v>
      </c>
      <c r="E163" s="9">
        <v>30708261110</v>
      </c>
      <c r="F163" s="9" t="s">
        <v>127</v>
      </c>
      <c r="G163" s="10">
        <v>40791.5</v>
      </c>
      <c r="H163" s="10">
        <v>8566.2150000000001</v>
      </c>
      <c r="I163" s="9"/>
      <c r="J163" s="9"/>
      <c r="K163" s="9"/>
      <c r="L163" s="9"/>
      <c r="M163" s="9"/>
      <c r="N163" s="10"/>
      <c r="O163" s="9"/>
      <c r="P163" s="9"/>
      <c r="Q163" s="10">
        <f t="shared" si="6"/>
        <v>49357.714999999997</v>
      </c>
    </row>
    <row r="164" spans="1:17" s="30" customFormat="1" x14ac:dyDescent="0.25">
      <c r="A164" s="6">
        <v>44680</v>
      </c>
      <c r="B164" s="1">
        <v>1</v>
      </c>
      <c r="C164" s="14">
        <v>2</v>
      </c>
      <c r="D164" s="2">
        <v>2068</v>
      </c>
      <c r="E164" s="9">
        <v>30709131733</v>
      </c>
      <c r="F164" s="9" t="s">
        <v>116</v>
      </c>
      <c r="G164" s="10">
        <v>128736</v>
      </c>
      <c r="H164" s="10">
        <v>27034.559999999998</v>
      </c>
      <c r="I164" s="9"/>
      <c r="J164" s="9"/>
      <c r="K164" s="9"/>
      <c r="L164" s="9"/>
      <c r="M164" s="9"/>
      <c r="N164" s="10"/>
      <c r="O164" s="9"/>
      <c r="P164" s="9"/>
      <c r="Q164" s="10">
        <f t="shared" si="6"/>
        <v>155770.56</v>
      </c>
    </row>
    <row r="165" spans="1:17" s="30" customFormat="1" x14ac:dyDescent="0.25">
      <c r="A165" s="6">
        <v>44681</v>
      </c>
      <c r="B165" s="1">
        <v>1</v>
      </c>
      <c r="C165" s="14">
        <v>700</v>
      </c>
      <c r="D165" s="2">
        <v>369022</v>
      </c>
      <c r="E165" s="9">
        <v>30580111315</v>
      </c>
      <c r="F165" s="9" t="s">
        <v>21</v>
      </c>
      <c r="G165" s="10"/>
      <c r="H165" s="10" t="s">
        <v>119</v>
      </c>
      <c r="I165" s="9"/>
      <c r="J165" s="9"/>
      <c r="K165" s="9"/>
      <c r="L165" s="9"/>
      <c r="M165" s="9"/>
      <c r="N165" s="10"/>
      <c r="O165" s="9"/>
      <c r="P165" s="9">
        <v>21111.09</v>
      </c>
      <c r="Q165" s="10">
        <f t="shared" si="6"/>
        <v>21111.09</v>
      </c>
    </row>
    <row r="166" spans="1:17" s="30" customFormat="1" x14ac:dyDescent="0.25">
      <c r="A166" s="6">
        <v>44681</v>
      </c>
      <c r="B166" s="1">
        <v>1</v>
      </c>
      <c r="C166" s="14">
        <v>1</v>
      </c>
      <c r="D166" s="2">
        <v>448</v>
      </c>
      <c r="E166" s="9">
        <v>30715048066</v>
      </c>
      <c r="F166" s="9" t="s">
        <v>24</v>
      </c>
      <c r="G166" s="10">
        <v>80134</v>
      </c>
      <c r="H166" s="10">
        <v>16828.14</v>
      </c>
      <c r="I166" s="9"/>
      <c r="J166" s="9"/>
      <c r="K166" s="9"/>
      <c r="L166" s="9"/>
      <c r="M166" s="9"/>
      <c r="N166" s="10"/>
      <c r="O166" s="9"/>
      <c r="P166" s="9"/>
      <c r="Q166" s="10">
        <f t="shared" si="6"/>
        <v>96962.14</v>
      </c>
    </row>
    <row r="167" spans="1:17" x14ac:dyDescent="0.25">
      <c r="A167" s="6">
        <v>44681</v>
      </c>
      <c r="B167" s="1">
        <v>1</v>
      </c>
      <c r="C167" s="14">
        <v>280</v>
      </c>
      <c r="D167" s="2">
        <v>1363392</v>
      </c>
      <c r="E167" s="9">
        <v>30580111315</v>
      </c>
      <c r="F167" s="9" t="s">
        <v>21</v>
      </c>
      <c r="G167" s="10">
        <v>71770.097099999999</v>
      </c>
      <c r="H167" s="10"/>
      <c r="I167" s="9"/>
      <c r="J167" s="9">
        <v>7535.5084999999999</v>
      </c>
      <c r="K167" s="10"/>
      <c r="L167" s="9"/>
      <c r="M167" s="9"/>
      <c r="N167" s="10"/>
      <c r="O167" s="9"/>
      <c r="P167" s="9">
        <v>-71770.097099999999</v>
      </c>
      <c r="Q167" s="10">
        <f t="shared" si="6"/>
        <v>7535.5084999999963</v>
      </c>
    </row>
    <row r="168" spans="1:17" x14ac:dyDescent="0.25">
      <c r="A168" s="6">
        <v>44681</v>
      </c>
      <c r="B168" s="1">
        <v>99</v>
      </c>
      <c r="C168" s="14">
        <v>1</v>
      </c>
      <c r="D168" s="2">
        <v>30202204</v>
      </c>
      <c r="E168" s="9" t="s">
        <v>108</v>
      </c>
      <c r="F168" s="9" t="s">
        <v>109</v>
      </c>
      <c r="G168" s="10">
        <v>2142</v>
      </c>
      <c r="H168" s="10">
        <v>449.82</v>
      </c>
      <c r="I168" s="9"/>
      <c r="J168" s="9"/>
      <c r="K168" s="9"/>
      <c r="L168" s="10"/>
      <c r="M168" s="9"/>
      <c r="N168" s="9"/>
      <c r="O168" s="9"/>
      <c r="P168" s="9"/>
      <c r="Q168" s="10">
        <f t="shared" si="6"/>
        <v>2591.8200000000002</v>
      </c>
    </row>
    <row r="169" spans="1:17" x14ac:dyDescent="0.25">
      <c r="A169" s="6">
        <v>44678</v>
      </c>
      <c r="B169" s="1">
        <v>99</v>
      </c>
      <c r="C169" s="14">
        <v>1</v>
      </c>
      <c r="D169" s="2">
        <v>981738</v>
      </c>
      <c r="E169" s="9" t="s">
        <v>108</v>
      </c>
      <c r="F169" s="9" t="s">
        <v>109</v>
      </c>
      <c r="G169" s="10">
        <v>2876</v>
      </c>
      <c r="H169" s="10">
        <v>603.95999999999992</v>
      </c>
      <c r="I169" s="9"/>
      <c r="J169" s="9"/>
      <c r="K169" s="9"/>
      <c r="L169" s="10"/>
      <c r="M169" s="9"/>
      <c r="N169" s="9"/>
      <c r="O169" s="9">
        <v>86.28</v>
      </c>
      <c r="P169" s="9"/>
      <c r="Q169" s="10">
        <f t="shared" si="6"/>
        <v>3566.2400000000002</v>
      </c>
    </row>
    <row r="170" spans="1:17" x14ac:dyDescent="0.25">
      <c r="A170" s="6">
        <v>44659</v>
      </c>
      <c r="B170" s="1">
        <v>99</v>
      </c>
      <c r="C170" s="14">
        <v>617</v>
      </c>
      <c r="D170" s="2">
        <v>475137</v>
      </c>
      <c r="E170" s="9" t="s">
        <v>108</v>
      </c>
      <c r="F170" s="9" t="s">
        <v>109</v>
      </c>
      <c r="G170" s="10">
        <v>12898.4</v>
      </c>
      <c r="H170" s="10">
        <v>2708.6639999999998</v>
      </c>
      <c r="I170" s="9"/>
      <c r="J170" s="9"/>
      <c r="K170" s="9"/>
      <c r="L170" s="10"/>
      <c r="M170" s="9"/>
      <c r="N170" s="9"/>
      <c r="O170" s="9">
        <v>386.95</v>
      </c>
      <c r="P170" s="9"/>
      <c r="Q170" s="10">
        <f t="shared" si="6"/>
        <v>15994.013999999999</v>
      </c>
    </row>
    <row r="171" spans="1:17" x14ac:dyDescent="0.25">
      <c r="A171" s="19">
        <v>44652</v>
      </c>
      <c r="B171" s="1">
        <v>99</v>
      </c>
      <c r="C171" s="14">
        <v>617</v>
      </c>
      <c r="D171" s="2">
        <v>474384</v>
      </c>
      <c r="E171" s="9" t="s">
        <v>108</v>
      </c>
      <c r="F171" s="9" t="s">
        <v>109</v>
      </c>
      <c r="G171" s="10">
        <v>12778.8</v>
      </c>
      <c r="H171" s="10">
        <v>2683.5479999999998</v>
      </c>
      <c r="I171" s="9"/>
      <c r="J171" s="9"/>
      <c r="K171" s="9"/>
      <c r="L171" s="10"/>
      <c r="M171" s="9"/>
      <c r="N171" s="9"/>
      <c r="O171" s="9">
        <v>383.36</v>
      </c>
      <c r="P171" s="9"/>
      <c r="Q171" s="10">
        <f t="shared" si="6"/>
        <v>15845.707999999999</v>
      </c>
    </row>
    <row r="172" spans="1:17" x14ac:dyDescent="0.25">
      <c r="A172" s="19">
        <v>44681</v>
      </c>
      <c r="B172" s="1">
        <v>99</v>
      </c>
      <c r="C172" s="14">
        <v>1</v>
      </c>
      <c r="D172" s="2">
        <v>30042022</v>
      </c>
      <c r="E172" s="9">
        <v>30583887039</v>
      </c>
      <c r="F172" s="9" t="s">
        <v>111</v>
      </c>
      <c r="G172" s="10">
        <v>80</v>
      </c>
      <c r="H172" s="10">
        <v>16.8</v>
      </c>
      <c r="I172" s="9"/>
      <c r="J172" s="9"/>
      <c r="K172" s="9"/>
      <c r="L172" s="10"/>
      <c r="M172" s="9"/>
      <c r="N172" s="9"/>
      <c r="O172" s="9"/>
      <c r="P172" s="9"/>
      <c r="Q172" s="10">
        <f t="shared" si="6"/>
        <v>96.8</v>
      </c>
    </row>
    <row r="173" spans="1:17" ht="13.5" customHeight="1" thickBot="1" x14ac:dyDescent="0.3">
      <c r="A173" s="78" t="s">
        <v>26</v>
      </c>
      <c r="B173" s="78"/>
      <c r="C173" s="78"/>
      <c r="D173" s="78"/>
      <c r="E173" s="78"/>
      <c r="F173" s="79"/>
      <c r="G173" s="34">
        <f t="shared" ref="G173:Q173" si="7">SUM(G126:G172)</f>
        <v>2080834.4670999998</v>
      </c>
      <c r="H173" s="34">
        <f t="shared" si="7"/>
        <v>340206.56040000007</v>
      </c>
      <c r="I173" s="34">
        <f t="shared" si="7"/>
        <v>476.55</v>
      </c>
      <c r="J173" s="34">
        <f t="shared" si="7"/>
        <v>48198.382900000011</v>
      </c>
      <c r="K173" s="34">
        <f t="shared" si="7"/>
        <v>108.1</v>
      </c>
      <c r="L173" s="34">
        <f t="shared" si="7"/>
        <v>0</v>
      </c>
      <c r="M173" s="34">
        <f t="shared" si="7"/>
        <v>108.1</v>
      </c>
      <c r="N173" s="34">
        <f t="shared" si="7"/>
        <v>0</v>
      </c>
      <c r="O173" s="34">
        <f t="shared" si="7"/>
        <v>856.59</v>
      </c>
      <c r="P173" s="34">
        <f t="shared" si="7"/>
        <v>-166663.88810000004</v>
      </c>
      <c r="Q173" s="34">
        <f t="shared" si="7"/>
        <v>2304124.8623000006</v>
      </c>
    </row>
    <row r="174" spans="1:17" ht="15.75" thickBot="1" x14ac:dyDescent="0.3">
      <c r="A174" s="30"/>
      <c r="B174" s="30"/>
      <c r="C174" s="30"/>
      <c r="D174" s="30"/>
      <c r="E174" s="30"/>
      <c r="F174" s="30"/>
      <c r="G174" s="30"/>
      <c r="H174" s="72">
        <f>SUM(H173:J173)</f>
        <v>388881.49330000009</v>
      </c>
      <c r="I174" s="73"/>
      <c r="J174" s="74"/>
      <c r="K174" s="30"/>
      <c r="L174" s="30"/>
      <c r="M174" s="30"/>
      <c r="N174" s="30"/>
      <c r="O174" s="30"/>
      <c r="P174" s="30"/>
      <c r="Q174" s="30"/>
    </row>
    <row r="175" spans="1:17" s="94" customFormat="1" ht="15.75" thickTop="1" x14ac:dyDescent="0.25">
      <c r="H175" s="95"/>
      <c r="I175" s="96"/>
      <c r="J175" s="96"/>
    </row>
    <row r="176" spans="1:17" s="94" customFormat="1" x14ac:dyDescent="0.25">
      <c r="H176" s="95"/>
      <c r="I176" s="96"/>
      <c r="J176" s="96"/>
    </row>
    <row r="177" spans="8:10" s="94" customFormat="1" x14ac:dyDescent="0.25">
      <c r="H177" s="95"/>
      <c r="I177" s="96"/>
      <c r="J177" s="96"/>
    </row>
    <row r="178" spans="8:10" s="94" customFormat="1" x14ac:dyDescent="0.25">
      <c r="H178" s="95"/>
      <c r="I178" s="96"/>
      <c r="J178" s="96"/>
    </row>
    <row r="179" spans="8:10" s="94" customFormat="1" x14ac:dyDescent="0.25">
      <c r="H179" s="95"/>
      <c r="I179" s="96"/>
      <c r="J179" s="96"/>
    </row>
    <row r="180" spans="8:10" s="94" customFormat="1" x14ac:dyDescent="0.25">
      <c r="H180" s="95"/>
      <c r="I180" s="96"/>
      <c r="J180" s="96"/>
    </row>
    <row r="181" spans="8:10" s="94" customFormat="1" x14ac:dyDescent="0.25">
      <c r="H181" s="95"/>
      <c r="I181" s="96"/>
      <c r="J181" s="96"/>
    </row>
    <row r="182" spans="8:10" s="94" customFormat="1" x14ac:dyDescent="0.25">
      <c r="H182" s="95"/>
      <c r="I182" s="96"/>
      <c r="J182" s="96"/>
    </row>
    <row r="183" spans="8:10" s="94" customFormat="1" x14ac:dyDescent="0.25">
      <c r="H183" s="95"/>
      <c r="I183" s="96"/>
      <c r="J183" s="96"/>
    </row>
    <row r="184" spans="8:10" s="94" customFormat="1" x14ac:dyDescent="0.25">
      <c r="H184" s="95"/>
      <c r="I184" s="96"/>
      <c r="J184" s="96"/>
    </row>
    <row r="185" spans="8:10" s="94" customFormat="1" x14ac:dyDescent="0.25">
      <c r="H185" s="95"/>
      <c r="I185" s="96"/>
      <c r="J185" s="96"/>
    </row>
    <row r="186" spans="8:10" s="94" customFormat="1" x14ac:dyDescent="0.25">
      <c r="H186" s="95"/>
      <c r="I186" s="96"/>
      <c r="J186" s="96"/>
    </row>
    <row r="187" spans="8:10" s="94" customFormat="1" x14ac:dyDescent="0.25">
      <c r="H187" s="95"/>
      <c r="I187" s="96"/>
      <c r="J187" s="96"/>
    </row>
    <row r="188" spans="8:10" s="94" customFormat="1" x14ac:dyDescent="0.25">
      <c r="H188" s="95"/>
      <c r="I188" s="96"/>
      <c r="J188" s="96"/>
    </row>
    <row r="189" spans="8:10" s="94" customFormat="1" x14ac:dyDescent="0.25">
      <c r="H189" s="95"/>
      <c r="I189" s="96"/>
      <c r="J189" s="96"/>
    </row>
    <row r="190" spans="8:10" s="94" customFormat="1" x14ac:dyDescent="0.25">
      <c r="H190" s="95"/>
      <c r="I190" s="96"/>
      <c r="J190" s="96"/>
    </row>
    <row r="191" spans="8:10" s="94" customFormat="1" x14ac:dyDescent="0.25">
      <c r="H191" s="95"/>
      <c r="I191" s="96"/>
      <c r="J191" s="96"/>
    </row>
    <row r="192" spans="8:10" s="94" customFormat="1" x14ac:dyDescent="0.25">
      <c r="H192" s="95"/>
      <c r="I192" s="96"/>
      <c r="J192" s="96"/>
    </row>
    <row r="193" spans="1:17" s="94" customFormat="1" x14ac:dyDescent="0.25">
      <c r="H193" s="95"/>
      <c r="I193" s="96"/>
      <c r="J193" s="96"/>
    </row>
    <row r="194" spans="1:17" s="94" customFormat="1" x14ac:dyDescent="0.25">
      <c r="H194" s="95"/>
      <c r="I194" s="96"/>
      <c r="J194" s="96"/>
    </row>
    <row r="195" spans="1:17" s="94" customFormat="1" x14ac:dyDescent="0.25">
      <c r="H195" s="95"/>
      <c r="I195" s="96"/>
      <c r="J195" s="96"/>
    </row>
    <row r="197" spans="1:17" ht="27" thickBot="1" x14ac:dyDescent="0.45">
      <c r="A197" s="75" t="s">
        <v>112</v>
      </c>
      <c r="B197" s="75"/>
      <c r="C197" s="75"/>
      <c r="D197" s="75"/>
      <c r="E197" s="75"/>
      <c r="F197" s="30"/>
      <c r="G197" s="30"/>
      <c r="H197" s="30"/>
      <c r="I197" s="30"/>
      <c r="J197" s="30"/>
      <c r="K197" s="30"/>
      <c r="L197" s="30"/>
      <c r="M197" s="30"/>
      <c r="N197" s="30"/>
      <c r="O197" s="76">
        <v>44682</v>
      </c>
      <c r="P197" s="77"/>
      <c r="Q197" s="77"/>
    </row>
    <row r="198" spans="1:17" ht="15.75" thickBot="1" x14ac:dyDescent="0.3">
      <c r="A198" s="27" t="s">
        <v>0</v>
      </c>
      <c r="B198" s="28" t="s">
        <v>1</v>
      </c>
      <c r="C198" s="28" t="s">
        <v>2</v>
      </c>
      <c r="D198" s="28" t="s">
        <v>3</v>
      </c>
      <c r="E198" s="28" t="s">
        <v>4</v>
      </c>
      <c r="F198" s="28" t="s">
        <v>5</v>
      </c>
      <c r="G198" s="28" t="s">
        <v>6</v>
      </c>
      <c r="H198" s="26" t="s">
        <v>7</v>
      </c>
      <c r="I198" s="28" t="s">
        <v>8</v>
      </c>
      <c r="J198" s="28" t="s">
        <v>9</v>
      </c>
      <c r="K198" s="28" t="s">
        <v>10</v>
      </c>
      <c r="L198" s="28" t="s">
        <v>11</v>
      </c>
      <c r="M198" s="28" t="s">
        <v>12</v>
      </c>
      <c r="N198" s="28" t="s">
        <v>27</v>
      </c>
      <c r="O198" s="28" t="s">
        <v>13</v>
      </c>
      <c r="P198" s="26" t="s">
        <v>14</v>
      </c>
      <c r="Q198" s="35" t="s">
        <v>15</v>
      </c>
    </row>
    <row r="199" spans="1:17" x14ac:dyDescent="0.25">
      <c r="A199" s="21">
        <v>44682</v>
      </c>
      <c r="B199" s="22">
        <v>1</v>
      </c>
      <c r="C199" s="23">
        <v>3</v>
      </c>
      <c r="D199" s="2">
        <v>529</v>
      </c>
      <c r="E199" s="24">
        <v>30715402765</v>
      </c>
      <c r="F199" s="24" t="s">
        <v>16</v>
      </c>
      <c r="G199" s="25">
        <v>7190.08</v>
      </c>
      <c r="H199" s="25">
        <v>1509.9168</v>
      </c>
      <c r="I199" s="24"/>
      <c r="J199" s="25"/>
      <c r="K199" s="25"/>
      <c r="L199" s="24"/>
      <c r="M199" s="24"/>
      <c r="N199" s="24"/>
      <c r="O199" s="25"/>
      <c r="P199" s="25"/>
      <c r="Q199" s="10">
        <f>SUM(G199:P199)</f>
        <v>8699.9968000000008</v>
      </c>
    </row>
    <row r="200" spans="1:17" x14ac:dyDescent="0.25">
      <c r="A200" s="6">
        <v>44682</v>
      </c>
      <c r="B200" s="1">
        <v>1</v>
      </c>
      <c r="C200" s="14">
        <v>3</v>
      </c>
      <c r="D200" s="2">
        <v>155932</v>
      </c>
      <c r="E200" s="9">
        <v>30707135596</v>
      </c>
      <c r="F200" s="9" t="s">
        <v>17</v>
      </c>
      <c r="G200" s="10">
        <v>2735.95</v>
      </c>
      <c r="H200" s="10">
        <v>574.54949999999997</v>
      </c>
      <c r="I200" s="9"/>
      <c r="J200" s="10"/>
      <c r="K200" s="9"/>
      <c r="L200" s="9"/>
      <c r="M200" s="9"/>
      <c r="N200" s="9"/>
      <c r="O200" s="9"/>
      <c r="P200" s="10"/>
      <c r="Q200" s="10">
        <f t="shared" ref="Q200:Q245" si="8">SUM(G200:P200)</f>
        <v>3310.4994999999999</v>
      </c>
    </row>
    <row r="201" spans="1:17" x14ac:dyDescent="0.25">
      <c r="A201" s="6">
        <v>44683</v>
      </c>
      <c r="B201" s="1">
        <v>1</v>
      </c>
      <c r="C201" s="14">
        <v>2</v>
      </c>
      <c r="D201" s="2">
        <v>131</v>
      </c>
      <c r="E201" s="9">
        <v>20125142851</v>
      </c>
      <c r="F201" s="9" t="s">
        <v>19</v>
      </c>
      <c r="G201" s="10">
        <v>15805</v>
      </c>
      <c r="H201" s="10">
        <v>3319.0499999999997</v>
      </c>
      <c r="I201" s="9"/>
      <c r="J201" s="9"/>
      <c r="K201" s="10"/>
      <c r="L201" s="10"/>
      <c r="M201" s="10"/>
      <c r="N201" s="9"/>
      <c r="O201" s="10"/>
      <c r="P201" s="10"/>
      <c r="Q201" s="10">
        <f t="shared" si="8"/>
        <v>19124.05</v>
      </c>
    </row>
    <row r="202" spans="1:17" x14ac:dyDescent="0.25">
      <c r="A202" s="6">
        <v>44683</v>
      </c>
      <c r="B202" s="1">
        <v>1</v>
      </c>
      <c r="C202" s="14">
        <v>4</v>
      </c>
      <c r="D202" s="2">
        <v>960</v>
      </c>
      <c r="E202" s="9">
        <v>27208929416</v>
      </c>
      <c r="F202" s="9" t="s">
        <v>69</v>
      </c>
      <c r="G202" s="10">
        <v>10160.290000000001</v>
      </c>
      <c r="H202" s="10">
        <v>2133.6609000000003</v>
      </c>
      <c r="I202" s="9"/>
      <c r="J202" s="9"/>
      <c r="K202" s="10"/>
      <c r="L202" s="9"/>
      <c r="M202" s="9"/>
      <c r="N202" s="9"/>
      <c r="O202" s="9"/>
      <c r="P202" s="10"/>
      <c r="Q202" s="10">
        <f t="shared" si="8"/>
        <v>12293.950900000002</v>
      </c>
    </row>
    <row r="203" spans="1:17" x14ac:dyDescent="0.25">
      <c r="A203" s="6">
        <v>44683</v>
      </c>
      <c r="B203" s="1">
        <v>1</v>
      </c>
      <c r="C203" s="14">
        <v>9</v>
      </c>
      <c r="D203" s="2">
        <v>1143</v>
      </c>
      <c r="E203" s="9">
        <v>30631047145</v>
      </c>
      <c r="F203" s="9" t="s">
        <v>25</v>
      </c>
      <c r="G203" s="10">
        <v>26317.5</v>
      </c>
      <c r="H203" s="10">
        <v>4827.8999999999996</v>
      </c>
      <c r="I203" s="9"/>
      <c r="J203" s="10">
        <v>349.39</v>
      </c>
      <c r="K203" s="9"/>
      <c r="L203" s="10"/>
      <c r="M203" s="9"/>
      <c r="N203" s="9"/>
      <c r="O203" s="9"/>
      <c r="P203" s="10"/>
      <c r="Q203" s="10">
        <f t="shared" si="8"/>
        <v>31494.79</v>
      </c>
    </row>
    <row r="204" spans="1:17" x14ac:dyDescent="0.25">
      <c r="A204" s="6">
        <v>44683</v>
      </c>
      <c r="B204" s="1">
        <v>1</v>
      </c>
      <c r="C204" s="14">
        <v>11</v>
      </c>
      <c r="D204" s="2">
        <v>1811</v>
      </c>
      <c r="E204" s="9">
        <v>30711809429</v>
      </c>
      <c r="F204" s="9" t="s">
        <v>133</v>
      </c>
      <c r="G204" s="10">
        <v>3113.4</v>
      </c>
      <c r="H204" s="10">
        <v>653.81399999999996</v>
      </c>
      <c r="I204" s="9"/>
      <c r="J204" s="10"/>
      <c r="K204" s="9"/>
      <c r="L204" s="10"/>
      <c r="M204" s="9"/>
      <c r="N204" s="9"/>
      <c r="O204" s="9"/>
      <c r="P204" s="9"/>
      <c r="Q204" s="10">
        <f t="shared" si="8"/>
        <v>3767.2139999999999</v>
      </c>
    </row>
    <row r="205" spans="1:17" x14ac:dyDescent="0.25">
      <c r="A205" s="6">
        <v>44683</v>
      </c>
      <c r="B205" s="1">
        <v>1</v>
      </c>
      <c r="C205" s="14">
        <v>106</v>
      </c>
      <c r="D205" s="2">
        <v>521748</v>
      </c>
      <c r="E205" s="9">
        <v>30594494187</v>
      </c>
      <c r="F205" s="9" t="s">
        <v>45</v>
      </c>
      <c r="G205" s="10"/>
      <c r="H205" s="10">
        <v>0</v>
      </c>
      <c r="I205" s="9"/>
      <c r="J205" s="10"/>
      <c r="K205" s="9"/>
      <c r="L205" s="9"/>
      <c r="M205" s="9"/>
      <c r="N205" s="9"/>
      <c r="O205" s="9"/>
      <c r="P205" s="9">
        <v>31189.200000000001</v>
      </c>
      <c r="Q205" s="10">
        <f t="shared" si="8"/>
        <v>31189.200000000001</v>
      </c>
    </row>
    <row r="206" spans="1:17" x14ac:dyDescent="0.25">
      <c r="A206" s="6">
        <v>44683</v>
      </c>
      <c r="B206" s="1">
        <v>1</v>
      </c>
      <c r="C206" s="14">
        <v>13</v>
      </c>
      <c r="D206" s="2">
        <v>763325</v>
      </c>
      <c r="E206" s="9">
        <v>30700940957</v>
      </c>
      <c r="F206" s="9" t="s">
        <v>38</v>
      </c>
      <c r="G206" s="10">
        <v>63402.51</v>
      </c>
      <c r="H206" s="10"/>
      <c r="I206" s="9"/>
      <c r="J206" s="9">
        <v>6657.26</v>
      </c>
      <c r="K206" s="9"/>
      <c r="L206" s="10">
        <v>7289.04</v>
      </c>
      <c r="M206" s="9"/>
      <c r="N206" s="9"/>
      <c r="O206" s="9"/>
      <c r="P206" s="9">
        <v>-63402.51</v>
      </c>
      <c r="Q206" s="10">
        <f t="shared" si="8"/>
        <v>13946.299999999996</v>
      </c>
    </row>
    <row r="207" spans="1:17" x14ac:dyDescent="0.25">
      <c r="A207" s="6">
        <v>44684</v>
      </c>
      <c r="B207" s="1">
        <v>1</v>
      </c>
      <c r="C207" s="14">
        <v>3</v>
      </c>
      <c r="D207" s="2">
        <v>256</v>
      </c>
      <c r="E207" s="9">
        <v>20921575743</v>
      </c>
      <c r="F207" s="9" t="s">
        <v>18</v>
      </c>
      <c r="G207" s="10">
        <v>90720</v>
      </c>
      <c r="H207" s="10">
        <v>19051.2</v>
      </c>
      <c r="I207" s="9"/>
      <c r="J207" s="10"/>
      <c r="K207" s="9"/>
      <c r="L207" s="10"/>
      <c r="M207" s="10"/>
      <c r="N207" s="10"/>
      <c r="O207" s="9"/>
      <c r="P207" s="10"/>
      <c r="Q207" s="10">
        <f t="shared" si="8"/>
        <v>109771.2</v>
      </c>
    </row>
    <row r="208" spans="1:17" x14ac:dyDescent="0.25">
      <c r="A208" s="6">
        <v>44684</v>
      </c>
      <c r="B208" s="1">
        <v>1</v>
      </c>
      <c r="C208" s="14">
        <v>3</v>
      </c>
      <c r="D208" s="2">
        <v>16737</v>
      </c>
      <c r="E208" s="9">
        <v>30707468161</v>
      </c>
      <c r="F208" s="9" t="s">
        <v>56</v>
      </c>
      <c r="G208" s="10">
        <v>33740</v>
      </c>
      <c r="H208" s="10">
        <v>7085.4</v>
      </c>
      <c r="I208" s="9"/>
      <c r="J208" s="10"/>
      <c r="K208" s="9"/>
      <c r="L208" s="10"/>
      <c r="M208" s="9"/>
      <c r="N208" s="9"/>
      <c r="O208" s="9"/>
      <c r="P208" s="9"/>
      <c r="Q208" s="10">
        <f t="shared" si="8"/>
        <v>40825.4</v>
      </c>
    </row>
    <row r="209" spans="1:17" x14ac:dyDescent="0.25">
      <c r="A209" s="6">
        <v>44690</v>
      </c>
      <c r="B209" s="1">
        <v>1</v>
      </c>
      <c r="C209" s="14">
        <v>2</v>
      </c>
      <c r="D209" s="2">
        <v>132</v>
      </c>
      <c r="E209" s="9">
        <v>20125142851</v>
      </c>
      <c r="F209" s="9" t="s">
        <v>19</v>
      </c>
      <c r="G209" s="10">
        <v>21037</v>
      </c>
      <c r="H209" s="10">
        <v>4417.7699999999995</v>
      </c>
      <c r="I209" s="9"/>
      <c r="J209" s="10"/>
      <c r="K209" s="9"/>
      <c r="L209" s="9"/>
      <c r="M209" s="9"/>
      <c r="N209" s="9"/>
      <c r="O209" s="9"/>
      <c r="P209" s="9"/>
      <c r="Q209" s="10">
        <f t="shared" si="8"/>
        <v>25454.77</v>
      </c>
    </row>
    <row r="210" spans="1:17" x14ac:dyDescent="0.25">
      <c r="A210" s="6">
        <v>44690</v>
      </c>
      <c r="B210" s="1">
        <v>1</v>
      </c>
      <c r="C210" s="14">
        <v>2</v>
      </c>
      <c r="D210" s="2">
        <v>765</v>
      </c>
      <c r="E210" s="9">
        <v>30500805222</v>
      </c>
      <c r="F210" s="9" t="s">
        <v>72</v>
      </c>
      <c r="G210" s="10">
        <v>69690</v>
      </c>
      <c r="H210" s="10">
        <v>14634.9</v>
      </c>
      <c r="I210" s="9"/>
      <c r="J210" s="10"/>
      <c r="K210" s="9"/>
      <c r="L210" s="9"/>
      <c r="M210" s="9"/>
      <c r="N210" s="9"/>
      <c r="O210" s="9"/>
      <c r="P210" s="9"/>
      <c r="Q210" s="10">
        <f t="shared" si="8"/>
        <v>84324.9</v>
      </c>
    </row>
    <row r="211" spans="1:17" x14ac:dyDescent="0.25">
      <c r="A211" s="6">
        <v>44691</v>
      </c>
      <c r="B211" s="1">
        <v>1</v>
      </c>
      <c r="C211" s="14">
        <v>31</v>
      </c>
      <c r="D211" s="2">
        <v>161345</v>
      </c>
      <c r="E211" s="9">
        <v>30710114176</v>
      </c>
      <c r="F211" s="9" t="s">
        <v>134</v>
      </c>
      <c r="G211" s="10">
        <v>31404.13</v>
      </c>
      <c r="H211" s="10">
        <v>6594.8672999999999</v>
      </c>
      <c r="I211" s="9"/>
      <c r="J211" s="10"/>
      <c r="K211" s="9"/>
      <c r="L211" s="9"/>
      <c r="M211" s="9"/>
      <c r="N211" s="9"/>
      <c r="O211" s="9"/>
      <c r="P211" s="9"/>
      <c r="Q211" s="10">
        <f t="shared" si="8"/>
        <v>37998.997300000003</v>
      </c>
    </row>
    <row r="212" spans="1:17" x14ac:dyDescent="0.25">
      <c r="A212" s="6">
        <v>44691</v>
      </c>
      <c r="B212" s="1">
        <v>1</v>
      </c>
      <c r="C212" s="14">
        <v>3</v>
      </c>
      <c r="D212" s="2">
        <v>1743</v>
      </c>
      <c r="E212" s="9">
        <v>30715461540</v>
      </c>
      <c r="F212" s="9" t="s">
        <v>135</v>
      </c>
      <c r="G212" s="10">
        <v>875.2</v>
      </c>
      <c r="H212" s="10">
        <v>183.792</v>
      </c>
      <c r="I212" s="9"/>
      <c r="J212" s="9"/>
      <c r="K212" s="9"/>
      <c r="L212" s="9"/>
      <c r="M212" s="9"/>
      <c r="N212" s="9"/>
      <c r="O212" s="9"/>
      <c r="P212" s="9"/>
      <c r="Q212" s="10">
        <f t="shared" si="8"/>
        <v>1058.992</v>
      </c>
    </row>
    <row r="213" spans="1:17" x14ac:dyDescent="0.25">
      <c r="A213" s="6">
        <v>44692</v>
      </c>
      <c r="B213" s="1">
        <v>1</v>
      </c>
      <c r="C213" s="14">
        <v>2466</v>
      </c>
      <c r="D213" s="2">
        <v>357998</v>
      </c>
      <c r="E213" s="9">
        <v>30678814357</v>
      </c>
      <c r="F213" s="9" t="s">
        <v>20</v>
      </c>
      <c r="G213" s="10">
        <v>6911.5</v>
      </c>
      <c r="H213" s="10"/>
      <c r="I213" s="10">
        <v>1866.11</v>
      </c>
      <c r="J213" s="9"/>
      <c r="K213" s="9"/>
      <c r="L213" s="9"/>
      <c r="M213" s="9">
        <v>207.34</v>
      </c>
      <c r="N213" s="9"/>
      <c r="O213" s="9"/>
      <c r="P213" s="9">
        <v>92.89</v>
      </c>
      <c r="Q213" s="10">
        <f t="shared" si="8"/>
        <v>9077.84</v>
      </c>
    </row>
    <row r="214" spans="1:17" x14ac:dyDescent="0.25">
      <c r="A214" s="6">
        <v>44693</v>
      </c>
      <c r="B214" s="1">
        <v>1</v>
      </c>
      <c r="C214" s="14">
        <v>2</v>
      </c>
      <c r="D214" s="2">
        <v>20370</v>
      </c>
      <c r="E214" s="9">
        <v>30715257099</v>
      </c>
      <c r="F214" s="9" t="s">
        <v>89</v>
      </c>
      <c r="G214" s="10">
        <v>18834.71</v>
      </c>
      <c r="H214" s="10">
        <v>3955.2890999999995</v>
      </c>
      <c r="I214" s="9"/>
      <c r="J214" s="9"/>
      <c r="K214" s="9"/>
      <c r="L214" s="9"/>
      <c r="M214" s="9"/>
      <c r="N214" s="10"/>
      <c r="O214" s="9"/>
      <c r="P214" s="10"/>
      <c r="Q214" s="10">
        <f t="shared" si="8"/>
        <v>22789.999099999997</v>
      </c>
    </row>
    <row r="215" spans="1:17" x14ac:dyDescent="0.25">
      <c r="A215" s="6">
        <v>44693</v>
      </c>
      <c r="B215" s="1">
        <v>1</v>
      </c>
      <c r="C215" s="14">
        <v>106</v>
      </c>
      <c r="D215" s="2">
        <v>524430</v>
      </c>
      <c r="E215" s="9">
        <v>30594494187</v>
      </c>
      <c r="F215" s="9" t="s">
        <v>45</v>
      </c>
      <c r="G215" s="10">
        <v>5844</v>
      </c>
      <c r="H215" s="10">
        <v>1227.24</v>
      </c>
      <c r="I215" s="9"/>
      <c r="J215" s="9"/>
      <c r="K215" s="9"/>
      <c r="L215" s="10"/>
      <c r="M215" s="9"/>
      <c r="N215" s="9"/>
      <c r="O215" s="9"/>
      <c r="P215" s="9">
        <v>4843.83</v>
      </c>
      <c r="Q215" s="10">
        <f t="shared" si="8"/>
        <v>11915.07</v>
      </c>
    </row>
    <row r="216" spans="1:17" x14ac:dyDescent="0.25">
      <c r="A216" s="6">
        <v>44693</v>
      </c>
      <c r="B216" s="1">
        <v>1</v>
      </c>
      <c r="C216" s="14">
        <v>7</v>
      </c>
      <c r="D216" s="2">
        <v>29271</v>
      </c>
      <c r="E216" s="9">
        <v>20181426846</v>
      </c>
      <c r="F216" s="9" t="s">
        <v>107</v>
      </c>
      <c r="G216" s="10">
        <v>1849.17</v>
      </c>
      <c r="H216" s="10">
        <v>388.32569999999998</v>
      </c>
      <c r="I216" s="9"/>
      <c r="J216" s="9"/>
      <c r="K216" s="9"/>
      <c r="L216" s="9"/>
      <c r="M216" s="9"/>
      <c r="N216" s="9"/>
      <c r="O216" s="9"/>
      <c r="P216" s="9"/>
      <c r="Q216" s="10">
        <f t="shared" si="8"/>
        <v>2237.4956999999999</v>
      </c>
    </row>
    <row r="217" spans="1:17" x14ac:dyDescent="0.25">
      <c r="A217" s="6">
        <v>44694</v>
      </c>
      <c r="B217" s="1">
        <v>1</v>
      </c>
      <c r="C217" s="14">
        <v>5</v>
      </c>
      <c r="D217" s="2">
        <v>542</v>
      </c>
      <c r="E217" s="9">
        <v>30707397256</v>
      </c>
      <c r="F217" s="9" t="s">
        <v>101</v>
      </c>
      <c r="G217" s="10">
        <v>315388.2</v>
      </c>
      <c r="H217" s="10">
        <v>66231.521999999997</v>
      </c>
      <c r="I217" s="9"/>
      <c r="J217" s="9"/>
      <c r="K217" s="9"/>
      <c r="L217" s="10"/>
      <c r="M217" s="9"/>
      <c r="N217" s="9"/>
      <c r="O217" s="9"/>
      <c r="P217" s="9"/>
      <c r="Q217" s="10">
        <f t="shared" si="8"/>
        <v>381619.72200000001</v>
      </c>
    </row>
    <row r="218" spans="1:17" x14ac:dyDescent="0.25">
      <c r="A218" s="6">
        <v>44694</v>
      </c>
      <c r="B218" s="1">
        <v>1</v>
      </c>
      <c r="C218" s="14">
        <v>3</v>
      </c>
      <c r="D218" s="2">
        <v>170</v>
      </c>
      <c r="E218" s="9">
        <v>23319824979</v>
      </c>
      <c r="F218" s="9" t="s">
        <v>136</v>
      </c>
      <c r="G218" s="10">
        <v>4950.2299999999996</v>
      </c>
      <c r="H218" s="10"/>
      <c r="I218" s="9"/>
      <c r="J218" s="10">
        <v>519.77414999999996</v>
      </c>
      <c r="K218" s="9"/>
      <c r="L218" s="10"/>
      <c r="M218" s="9"/>
      <c r="N218" s="9"/>
      <c r="O218" s="9"/>
      <c r="P218" s="9"/>
      <c r="Q218" s="10">
        <f t="shared" si="8"/>
        <v>5470.0041499999998</v>
      </c>
    </row>
    <row r="219" spans="1:17" x14ac:dyDescent="0.25">
      <c r="A219" s="6">
        <v>44695</v>
      </c>
      <c r="B219" s="1">
        <v>1</v>
      </c>
      <c r="C219" s="14">
        <v>6</v>
      </c>
      <c r="D219" s="2">
        <v>9566</v>
      </c>
      <c r="E219" s="9">
        <v>30715819461</v>
      </c>
      <c r="F219" s="9" t="s">
        <v>137</v>
      </c>
      <c r="G219" s="10">
        <v>4968.6000000000004</v>
      </c>
      <c r="H219" s="10">
        <v>1043.4059999999999</v>
      </c>
      <c r="I219" s="9"/>
      <c r="J219" s="9"/>
      <c r="K219" s="10"/>
      <c r="L219" s="9"/>
      <c r="M219" s="9"/>
      <c r="N219" s="9"/>
      <c r="O219" s="9"/>
      <c r="P219" s="9"/>
      <c r="Q219" s="10">
        <f t="shared" si="8"/>
        <v>6012.0060000000003</v>
      </c>
    </row>
    <row r="220" spans="1:17" x14ac:dyDescent="0.25">
      <c r="A220" s="6">
        <v>44697</v>
      </c>
      <c r="B220" s="1">
        <v>1</v>
      </c>
      <c r="C220" s="14">
        <v>9</v>
      </c>
      <c r="D220" s="2">
        <v>25058</v>
      </c>
      <c r="E220" s="9">
        <v>30595378695</v>
      </c>
      <c r="F220" s="9" t="s">
        <v>138</v>
      </c>
      <c r="G220" s="10">
        <v>3372.38</v>
      </c>
      <c r="H220" s="10">
        <v>708.19979999999998</v>
      </c>
      <c r="I220" s="9"/>
      <c r="J220" s="10"/>
      <c r="K220" s="9"/>
      <c r="L220" s="9"/>
      <c r="M220" s="9"/>
      <c r="N220" s="10"/>
      <c r="O220" s="9"/>
      <c r="P220" s="10"/>
      <c r="Q220" s="10">
        <f t="shared" si="8"/>
        <v>4080.5798</v>
      </c>
    </row>
    <row r="221" spans="1:17" x14ac:dyDescent="0.25">
      <c r="A221" s="6">
        <v>44697</v>
      </c>
      <c r="B221" s="1">
        <v>1</v>
      </c>
      <c r="C221" s="14">
        <v>3</v>
      </c>
      <c r="D221" s="2">
        <v>503</v>
      </c>
      <c r="E221" s="9">
        <v>30716331349</v>
      </c>
      <c r="F221" s="9" t="s">
        <v>139</v>
      </c>
      <c r="G221" s="10"/>
      <c r="H221" s="10">
        <v>0</v>
      </c>
      <c r="I221" s="9"/>
      <c r="J221" s="9"/>
      <c r="K221" s="9"/>
      <c r="L221" s="9"/>
      <c r="M221" s="9"/>
      <c r="N221" s="10"/>
      <c r="O221" s="9"/>
      <c r="P221" s="10">
        <v>65190</v>
      </c>
      <c r="Q221" s="10">
        <f t="shared" si="8"/>
        <v>65190</v>
      </c>
    </row>
    <row r="222" spans="1:17" x14ac:dyDescent="0.25">
      <c r="A222" s="6">
        <v>44700</v>
      </c>
      <c r="B222" s="1">
        <v>1</v>
      </c>
      <c r="C222" s="14">
        <v>1</v>
      </c>
      <c r="D222" s="2">
        <v>7155</v>
      </c>
      <c r="E222" s="9">
        <v>33716043989</v>
      </c>
      <c r="F222" s="9" t="s">
        <v>140</v>
      </c>
      <c r="G222" s="10">
        <v>15033.1</v>
      </c>
      <c r="H222" s="10">
        <v>3156.951</v>
      </c>
      <c r="I222" s="9"/>
      <c r="J222" s="9"/>
      <c r="K222" s="9"/>
      <c r="L222" s="9"/>
      <c r="M222" s="9"/>
      <c r="N222" s="10"/>
      <c r="O222" s="9"/>
      <c r="P222" s="10"/>
      <c r="Q222" s="10">
        <f t="shared" si="8"/>
        <v>18190.050999999999</v>
      </c>
    </row>
    <row r="223" spans="1:17" x14ac:dyDescent="0.25">
      <c r="A223" s="6">
        <v>44700</v>
      </c>
      <c r="B223" s="1">
        <v>1</v>
      </c>
      <c r="C223" s="14">
        <v>5</v>
      </c>
      <c r="D223" s="2">
        <v>52946</v>
      </c>
      <c r="E223" s="9">
        <v>30692857611</v>
      </c>
      <c r="F223" s="9" t="s">
        <v>42</v>
      </c>
      <c r="G223" s="10">
        <v>6620.63</v>
      </c>
      <c r="H223" s="10">
        <v>1390.3323</v>
      </c>
      <c r="I223" s="9"/>
      <c r="J223" s="9"/>
      <c r="K223" s="9"/>
      <c r="L223" s="9"/>
      <c r="M223" s="9"/>
      <c r="N223" s="10"/>
      <c r="O223" s="9"/>
      <c r="P223" s="10"/>
      <c r="Q223" s="10">
        <f t="shared" si="8"/>
        <v>8010.9623000000001</v>
      </c>
    </row>
    <row r="224" spans="1:17" x14ac:dyDescent="0.25">
      <c r="A224" s="6">
        <v>44700</v>
      </c>
      <c r="B224" s="1">
        <v>1</v>
      </c>
      <c r="C224" s="14">
        <v>5</v>
      </c>
      <c r="D224" s="2">
        <v>52913</v>
      </c>
      <c r="E224" s="9">
        <v>30692857611</v>
      </c>
      <c r="F224" s="9" t="s">
        <v>42</v>
      </c>
      <c r="G224" s="10">
        <v>6373.13</v>
      </c>
      <c r="H224" s="10">
        <v>1338.3572999999999</v>
      </c>
      <c r="I224" s="9"/>
      <c r="J224" s="9"/>
      <c r="K224" s="9"/>
      <c r="L224" s="9"/>
      <c r="M224" s="9"/>
      <c r="N224" s="10"/>
      <c r="O224" s="9"/>
      <c r="P224" s="10"/>
      <c r="Q224" s="10">
        <f t="shared" si="8"/>
        <v>7711.4872999999998</v>
      </c>
    </row>
    <row r="225" spans="1:17" x14ac:dyDescent="0.25">
      <c r="A225" s="6">
        <v>44700</v>
      </c>
      <c r="B225" s="1">
        <v>3</v>
      </c>
      <c r="C225" s="14">
        <v>5</v>
      </c>
      <c r="D225" s="2">
        <v>6389</v>
      </c>
      <c r="E225" s="9">
        <v>30692857611</v>
      </c>
      <c r="F225" s="9" t="s">
        <v>42</v>
      </c>
      <c r="G225" s="10">
        <v>-6373.13</v>
      </c>
      <c r="H225" s="10">
        <v>-1338.3572999999999</v>
      </c>
      <c r="I225" s="9"/>
      <c r="J225" s="9"/>
      <c r="K225" s="9"/>
      <c r="L225" s="9"/>
      <c r="M225" s="9"/>
      <c r="N225" s="10"/>
      <c r="O225" s="9"/>
      <c r="P225" s="10"/>
      <c r="Q225" s="10">
        <f t="shared" si="8"/>
        <v>-7711.4872999999998</v>
      </c>
    </row>
    <row r="226" spans="1:17" x14ac:dyDescent="0.25">
      <c r="A226" s="6">
        <v>44701</v>
      </c>
      <c r="B226" s="1">
        <v>1</v>
      </c>
      <c r="C226" s="14">
        <v>3</v>
      </c>
      <c r="D226" s="2">
        <v>257</v>
      </c>
      <c r="E226" s="9">
        <v>20921575743</v>
      </c>
      <c r="F226" s="9" t="s">
        <v>18</v>
      </c>
      <c r="G226" s="10">
        <v>10350</v>
      </c>
      <c r="H226" s="10">
        <v>2173.5</v>
      </c>
      <c r="I226" s="9"/>
      <c r="J226" s="9"/>
      <c r="K226" s="9"/>
      <c r="L226" s="9"/>
      <c r="M226" s="9"/>
      <c r="N226" s="10"/>
      <c r="O226" s="9"/>
      <c r="P226" s="10"/>
      <c r="Q226" s="10">
        <f t="shared" si="8"/>
        <v>12523.5</v>
      </c>
    </row>
    <row r="227" spans="1:17" x14ac:dyDescent="0.25">
      <c r="A227" s="6">
        <v>44701</v>
      </c>
      <c r="B227" s="1">
        <v>1</v>
      </c>
      <c r="C227" s="14">
        <v>6</v>
      </c>
      <c r="D227" s="2">
        <v>9713</v>
      </c>
      <c r="E227" s="9">
        <v>30715819461</v>
      </c>
      <c r="F227" s="9" t="s">
        <v>137</v>
      </c>
      <c r="G227" s="10">
        <v>4505.79</v>
      </c>
      <c r="H227" s="10">
        <v>946.21589999999992</v>
      </c>
      <c r="I227" s="9"/>
      <c r="J227" s="9"/>
      <c r="K227" s="9"/>
      <c r="L227" s="9"/>
      <c r="M227" s="9"/>
      <c r="N227" s="10"/>
      <c r="O227" s="9"/>
      <c r="P227" s="10"/>
      <c r="Q227" s="10">
        <f t="shared" si="8"/>
        <v>5452.0059000000001</v>
      </c>
    </row>
    <row r="228" spans="1:17" x14ac:dyDescent="0.25">
      <c r="A228" s="6">
        <v>44702</v>
      </c>
      <c r="B228" s="1">
        <v>1</v>
      </c>
      <c r="C228" s="14">
        <v>6992</v>
      </c>
      <c r="D228" s="2">
        <v>7175</v>
      </c>
      <c r="E228" s="9">
        <v>30678774495</v>
      </c>
      <c r="F228" s="9" t="s">
        <v>123</v>
      </c>
      <c r="G228" s="10">
        <v>5683.31</v>
      </c>
      <c r="H228" s="10">
        <v>1193.4951000000001</v>
      </c>
      <c r="I228" s="9"/>
      <c r="J228" s="9"/>
      <c r="K228" s="9"/>
      <c r="L228" s="9"/>
      <c r="M228" s="9"/>
      <c r="N228" s="10"/>
      <c r="O228" s="9"/>
      <c r="P228" s="10">
        <v>1324.09</v>
      </c>
      <c r="Q228" s="10">
        <f t="shared" si="8"/>
        <v>8200.8950999999997</v>
      </c>
    </row>
    <row r="229" spans="1:17" x14ac:dyDescent="0.25">
      <c r="A229" s="6">
        <v>44704</v>
      </c>
      <c r="B229" s="1">
        <v>1</v>
      </c>
      <c r="C229" s="14">
        <v>60</v>
      </c>
      <c r="D229" s="2">
        <v>7117</v>
      </c>
      <c r="E229" s="9">
        <v>30547188760</v>
      </c>
      <c r="F229" s="9" t="s">
        <v>118</v>
      </c>
      <c r="G229" s="10">
        <v>20314.04</v>
      </c>
      <c r="H229" s="10">
        <v>4265.9484000000002</v>
      </c>
      <c r="I229" s="9"/>
      <c r="J229" s="9"/>
      <c r="K229" s="9"/>
      <c r="L229" s="9"/>
      <c r="M229" s="9"/>
      <c r="N229" s="10"/>
      <c r="O229" s="9"/>
      <c r="P229" s="10"/>
      <c r="Q229" s="10">
        <f t="shared" si="8"/>
        <v>24579.988400000002</v>
      </c>
    </row>
    <row r="230" spans="1:17" x14ac:dyDescent="0.25">
      <c r="A230" s="6">
        <v>44705</v>
      </c>
      <c r="B230" s="1">
        <v>1</v>
      </c>
      <c r="C230" s="14">
        <v>5</v>
      </c>
      <c r="D230" s="2">
        <v>53108</v>
      </c>
      <c r="E230" s="9">
        <v>30692857611</v>
      </c>
      <c r="F230" s="9" t="s">
        <v>42</v>
      </c>
      <c r="G230" s="10">
        <v>12338</v>
      </c>
      <c r="H230" s="10">
        <v>2590.98</v>
      </c>
      <c r="I230" s="9"/>
      <c r="J230" s="9"/>
      <c r="K230" s="9"/>
      <c r="L230" s="9"/>
      <c r="M230" s="9"/>
      <c r="N230" s="10"/>
      <c r="O230" s="9"/>
      <c r="P230" s="10"/>
      <c r="Q230" s="10">
        <f t="shared" si="8"/>
        <v>14928.98</v>
      </c>
    </row>
    <row r="231" spans="1:17" x14ac:dyDescent="0.25">
      <c r="A231" s="6">
        <v>44705</v>
      </c>
      <c r="B231" s="1">
        <v>1</v>
      </c>
      <c r="C231" s="14">
        <v>5</v>
      </c>
      <c r="D231" s="2">
        <v>53109</v>
      </c>
      <c r="E231" s="9">
        <v>30692857611</v>
      </c>
      <c r="F231" s="9" t="s">
        <v>42</v>
      </c>
      <c r="G231" s="10">
        <v>125388.8</v>
      </c>
      <c r="H231" s="10">
        <v>26331.648000000001</v>
      </c>
      <c r="I231" s="9"/>
      <c r="J231" s="9"/>
      <c r="K231" s="9"/>
      <c r="L231" s="9"/>
      <c r="M231" s="9"/>
      <c r="N231" s="10"/>
      <c r="O231" s="9"/>
      <c r="P231" s="10"/>
      <c r="Q231" s="10">
        <f t="shared" si="8"/>
        <v>151720.448</v>
      </c>
    </row>
    <row r="232" spans="1:17" x14ac:dyDescent="0.25">
      <c r="A232" s="6">
        <v>44706</v>
      </c>
      <c r="B232" s="1">
        <v>1</v>
      </c>
      <c r="C232" s="14">
        <v>5199</v>
      </c>
      <c r="D232" s="2">
        <v>13676</v>
      </c>
      <c r="E232" s="9">
        <v>30695542476</v>
      </c>
      <c r="F232" s="9" t="s">
        <v>120</v>
      </c>
      <c r="G232" s="10">
        <v>5252.89</v>
      </c>
      <c r="H232" s="10">
        <v>1103.1069</v>
      </c>
      <c r="I232" s="9"/>
      <c r="J232" s="9"/>
      <c r="K232" s="9"/>
      <c r="L232" s="9"/>
      <c r="M232" s="9"/>
      <c r="N232" s="10"/>
      <c r="O232" s="9"/>
      <c r="P232" s="10">
        <v>1101.5899999999999</v>
      </c>
      <c r="Q232" s="10">
        <f t="shared" si="8"/>
        <v>7457.5869000000002</v>
      </c>
    </row>
    <row r="233" spans="1:17" x14ac:dyDescent="0.25">
      <c r="A233" s="6">
        <v>44707</v>
      </c>
      <c r="B233" s="1">
        <v>3</v>
      </c>
      <c r="C233" s="14">
        <v>5</v>
      </c>
      <c r="D233" s="2">
        <v>6400</v>
      </c>
      <c r="E233" s="9">
        <v>30692857611</v>
      </c>
      <c r="F233" s="9" t="s">
        <v>42</v>
      </c>
      <c r="G233" s="10">
        <v>-10185.83</v>
      </c>
      <c r="H233" s="10">
        <v>-2139.0243</v>
      </c>
      <c r="I233" s="9"/>
      <c r="J233" s="9"/>
      <c r="K233" s="9"/>
      <c r="L233" s="9"/>
      <c r="M233" s="9"/>
      <c r="N233" s="10"/>
      <c r="O233" s="9"/>
      <c r="P233" s="10"/>
      <c r="Q233" s="10">
        <f t="shared" si="8"/>
        <v>-12324.854299999999</v>
      </c>
    </row>
    <row r="234" spans="1:17" x14ac:dyDescent="0.25">
      <c r="A234" s="6">
        <v>44707</v>
      </c>
      <c r="B234" s="1">
        <v>3</v>
      </c>
      <c r="C234" s="14">
        <v>5</v>
      </c>
      <c r="D234" s="2">
        <v>6401</v>
      </c>
      <c r="E234" s="9">
        <v>30692857611</v>
      </c>
      <c r="F234" s="9" t="s">
        <v>42</v>
      </c>
      <c r="G234" s="10">
        <v>-40851.14</v>
      </c>
      <c r="H234" s="10">
        <v>-8578.7394000000004</v>
      </c>
      <c r="I234" s="9"/>
      <c r="J234" s="9"/>
      <c r="K234" s="9"/>
      <c r="L234" s="9"/>
      <c r="M234" s="9"/>
      <c r="N234" s="10"/>
      <c r="O234" s="9"/>
      <c r="P234" s="10"/>
      <c r="Q234" s="10">
        <f t="shared" si="8"/>
        <v>-49429.879399999998</v>
      </c>
    </row>
    <row r="235" spans="1:17" x14ac:dyDescent="0.25">
      <c r="A235" s="6">
        <v>44707</v>
      </c>
      <c r="B235" s="1">
        <v>1</v>
      </c>
      <c r="C235" s="14">
        <v>3</v>
      </c>
      <c r="D235" s="2">
        <v>202815</v>
      </c>
      <c r="E235" s="9">
        <v>33658043779</v>
      </c>
      <c r="F235" s="9" t="s">
        <v>22</v>
      </c>
      <c r="G235" s="10">
        <v>83000</v>
      </c>
      <c r="H235" s="10">
        <v>17430</v>
      </c>
      <c r="I235" s="9"/>
      <c r="J235" s="9"/>
      <c r="K235" s="9"/>
      <c r="L235" s="9"/>
      <c r="M235" s="9"/>
      <c r="N235" s="10"/>
      <c r="O235" s="9"/>
      <c r="P235" s="10"/>
      <c r="Q235" s="10">
        <f t="shared" si="8"/>
        <v>100430</v>
      </c>
    </row>
    <row r="236" spans="1:17" x14ac:dyDescent="0.25">
      <c r="A236" s="6">
        <v>44707</v>
      </c>
      <c r="B236" s="1">
        <v>1</v>
      </c>
      <c r="C236" s="14">
        <v>106</v>
      </c>
      <c r="D236" s="2">
        <v>528493</v>
      </c>
      <c r="E236" s="9">
        <v>30594494187</v>
      </c>
      <c r="F236" s="9" t="s">
        <v>45</v>
      </c>
      <c r="G236" s="10">
        <v>7440</v>
      </c>
      <c r="H236" s="10">
        <v>1562.3999999999999</v>
      </c>
      <c r="I236" s="9"/>
      <c r="J236" s="9"/>
      <c r="K236" s="9"/>
      <c r="L236" s="9"/>
      <c r="M236" s="9"/>
      <c r="N236" s="10"/>
      <c r="O236" s="9"/>
      <c r="P236" s="10">
        <v>18610.77</v>
      </c>
      <c r="Q236" s="10">
        <f t="shared" si="8"/>
        <v>27613.17</v>
      </c>
    </row>
    <row r="237" spans="1:17" x14ac:dyDescent="0.25">
      <c r="A237" s="6">
        <v>44707</v>
      </c>
      <c r="B237" s="1">
        <v>1</v>
      </c>
      <c r="C237" s="14">
        <v>5</v>
      </c>
      <c r="D237" s="2">
        <v>4524</v>
      </c>
      <c r="E237" s="9">
        <v>30711758905</v>
      </c>
      <c r="F237" s="9" t="s">
        <v>141</v>
      </c>
      <c r="G237" s="10">
        <v>2199.0100000000002</v>
      </c>
      <c r="H237" s="10">
        <v>461.7921</v>
      </c>
      <c r="I237" s="9"/>
      <c r="J237" s="9"/>
      <c r="K237" s="9"/>
      <c r="L237" s="9"/>
      <c r="M237" s="9"/>
      <c r="N237" s="10"/>
      <c r="O237" s="9"/>
      <c r="P237" s="9"/>
      <c r="Q237" s="10">
        <f t="shared" si="8"/>
        <v>2660.8021000000003</v>
      </c>
    </row>
    <row r="238" spans="1:17" x14ac:dyDescent="0.25">
      <c r="A238" s="6">
        <v>44709</v>
      </c>
      <c r="B238" s="1">
        <v>1</v>
      </c>
      <c r="C238" s="14">
        <v>3</v>
      </c>
      <c r="D238" s="2">
        <v>893486</v>
      </c>
      <c r="E238" s="9">
        <v>30712019359</v>
      </c>
      <c r="F238" s="9" t="s">
        <v>23</v>
      </c>
      <c r="G238" s="10">
        <v>2478.5100000000002</v>
      </c>
      <c r="H238" s="10">
        <v>520.48710000000005</v>
      </c>
      <c r="I238" s="9"/>
      <c r="J238" s="9"/>
      <c r="K238" s="9"/>
      <c r="L238" s="9"/>
      <c r="M238" s="9"/>
      <c r="N238" s="10"/>
      <c r="O238" s="9"/>
      <c r="P238" s="9"/>
      <c r="Q238" s="10">
        <f t="shared" si="8"/>
        <v>2998.9971000000005</v>
      </c>
    </row>
    <row r="239" spans="1:17" x14ac:dyDescent="0.25">
      <c r="A239" s="6">
        <v>44712</v>
      </c>
      <c r="B239" s="1">
        <v>1</v>
      </c>
      <c r="C239" s="14">
        <v>1</v>
      </c>
      <c r="D239" s="2">
        <v>454</v>
      </c>
      <c r="E239" s="9">
        <v>30715048066</v>
      </c>
      <c r="F239" s="9" t="s">
        <v>24</v>
      </c>
      <c r="G239" s="10">
        <v>69080</v>
      </c>
      <c r="H239" s="10">
        <v>14506.8</v>
      </c>
      <c r="I239" s="9"/>
      <c r="J239" s="9"/>
      <c r="K239" s="9"/>
      <c r="L239" s="9"/>
      <c r="M239" s="9"/>
      <c r="N239" s="10"/>
      <c r="O239" s="9"/>
      <c r="P239" s="9"/>
      <c r="Q239" s="10">
        <f t="shared" si="8"/>
        <v>83586.8</v>
      </c>
    </row>
    <row r="240" spans="1:17" x14ac:dyDescent="0.25">
      <c r="A240" s="6">
        <v>44712</v>
      </c>
      <c r="B240" s="1">
        <v>1</v>
      </c>
      <c r="C240" s="14">
        <v>3</v>
      </c>
      <c r="D240" s="2">
        <v>2188</v>
      </c>
      <c r="E240" s="9">
        <v>30715535471</v>
      </c>
      <c r="F240" s="9" t="s">
        <v>40</v>
      </c>
      <c r="G240" s="10">
        <v>11424.79</v>
      </c>
      <c r="H240" s="10">
        <v>2399.2058999999999</v>
      </c>
      <c r="I240" s="9"/>
      <c r="J240" s="9"/>
      <c r="K240" s="10"/>
      <c r="L240" s="9"/>
      <c r="M240" s="9"/>
      <c r="N240" s="10"/>
      <c r="O240" s="9"/>
      <c r="P240" s="9"/>
      <c r="Q240" s="10">
        <f t="shared" si="8"/>
        <v>13823.995900000002</v>
      </c>
    </row>
    <row r="241" spans="1:17" x14ac:dyDescent="0.25">
      <c r="A241" s="6">
        <v>45077</v>
      </c>
      <c r="B241" s="1">
        <v>99</v>
      </c>
      <c r="C241" s="14">
        <v>1</v>
      </c>
      <c r="D241" s="2">
        <v>3152022</v>
      </c>
      <c r="E241" s="9" t="s">
        <v>108</v>
      </c>
      <c r="F241" s="9" t="s">
        <v>109</v>
      </c>
      <c r="G241" s="10">
        <v>1896</v>
      </c>
      <c r="H241" s="10">
        <v>398.15999999999997</v>
      </c>
      <c r="I241" s="9"/>
      <c r="J241" s="9"/>
      <c r="K241" s="9"/>
      <c r="L241" s="10"/>
      <c r="M241" s="9"/>
      <c r="N241" s="9"/>
      <c r="O241" s="9"/>
      <c r="P241" s="9"/>
      <c r="Q241" s="10">
        <f t="shared" si="8"/>
        <v>2294.16</v>
      </c>
    </row>
    <row r="242" spans="1:17" x14ac:dyDescent="0.25">
      <c r="A242" s="6">
        <v>44691</v>
      </c>
      <c r="B242" s="1">
        <v>99</v>
      </c>
      <c r="C242" s="14">
        <v>617</v>
      </c>
      <c r="D242" s="2">
        <v>47869</v>
      </c>
      <c r="E242" s="9" t="s">
        <v>108</v>
      </c>
      <c r="F242" s="9" t="s">
        <v>109</v>
      </c>
      <c r="G242" s="10">
        <v>13426.25</v>
      </c>
      <c r="H242" s="10">
        <v>2819.5124999999998</v>
      </c>
      <c r="I242" s="9"/>
      <c r="J242" s="9"/>
      <c r="K242" s="9"/>
      <c r="L242" s="10"/>
      <c r="M242" s="9"/>
      <c r="N242" s="9"/>
      <c r="O242" s="9">
        <v>402.79</v>
      </c>
      <c r="P242" s="9"/>
      <c r="Q242" s="10">
        <f t="shared" si="8"/>
        <v>16648.552500000002</v>
      </c>
    </row>
    <row r="243" spans="1:17" x14ac:dyDescent="0.25">
      <c r="A243" s="6">
        <v>44691</v>
      </c>
      <c r="B243" s="1">
        <v>99</v>
      </c>
      <c r="C243" s="14">
        <v>617</v>
      </c>
      <c r="D243" s="2">
        <v>478691</v>
      </c>
      <c r="E243" s="9" t="s">
        <v>108</v>
      </c>
      <c r="F243" s="9" t="s">
        <v>109</v>
      </c>
      <c r="G243" s="10">
        <v>13426.25</v>
      </c>
      <c r="H243" s="10">
        <v>2819.5124999999998</v>
      </c>
      <c r="I243" s="9"/>
      <c r="J243" s="9"/>
      <c r="K243" s="9"/>
      <c r="L243" s="10"/>
      <c r="M243" s="9"/>
      <c r="N243" s="9"/>
      <c r="O243" s="9">
        <v>402.79</v>
      </c>
      <c r="P243" s="9"/>
      <c r="Q243" s="10">
        <f t="shared" si="8"/>
        <v>16648.552500000002</v>
      </c>
    </row>
    <row r="244" spans="1:17" x14ac:dyDescent="0.25">
      <c r="A244" s="19">
        <v>44684</v>
      </c>
      <c r="B244" s="1">
        <v>99</v>
      </c>
      <c r="C244" s="14">
        <v>947</v>
      </c>
      <c r="D244" s="2">
        <v>86</v>
      </c>
      <c r="E244" s="9" t="s">
        <v>108</v>
      </c>
      <c r="F244" s="9" t="s">
        <v>109</v>
      </c>
      <c r="G244" s="10">
        <v>2896.75</v>
      </c>
      <c r="H244" s="10">
        <v>608.3175</v>
      </c>
      <c r="I244" s="9"/>
      <c r="J244" s="9"/>
      <c r="K244" s="9"/>
      <c r="L244" s="10"/>
      <c r="M244" s="9"/>
      <c r="N244" s="9"/>
      <c r="O244" s="9">
        <v>86.9</v>
      </c>
      <c r="P244" s="9"/>
      <c r="Q244" s="10">
        <f t="shared" si="8"/>
        <v>3591.9675000000002</v>
      </c>
    </row>
    <row r="245" spans="1:17" x14ac:dyDescent="0.25">
      <c r="A245" s="19">
        <v>45077</v>
      </c>
      <c r="B245" s="1">
        <v>99</v>
      </c>
      <c r="C245" s="14">
        <v>1</v>
      </c>
      <c r="D245" s="2">
        <v>31522</v>
      </c>
      <c r="E245" s="9">
        <v>30583887039</v>
      </c>
      <c r="F245" s="9" t="s">
        <v>111</v>
      </c>
      <c r="G245" s="10">
        <v>80</v>
      </c>
      <c r="H245" s="10">
        <v>16.8</v>
      </c>
      <c r="I245" s="9"/>
      <c r="J245" s="9"/>
      <c r="K245" s="9"/>
      <c r="L245" s="10"/>
      <c r="M245" s="9"/>
      <c r="N245" s="9"/>
      <c r="O245" s="9"/>
      <c r="P245" s="9"/>
      <c r="Q245" s="10">
        <f t="shared" si="8"/>
        <v>96.8</v>
      </c>
    </row>
    <row r="246" spans="1:17" ht="16.5" thickBot="1" x14ac:dyDescent="0.3">
      <c r="A246" s="78" t="s">
        <v>26</v>
      </c>
      <c r="B246" s="78"/>
      <c r="C246" s="78"/>
      <c r="D246" s="78"/>
      <c r="E246" s="78"/>
      <c r="F246" s="79"/>
      <c r="G246" s="34">
        <f t="shared" ref="G246:Q246" si="9">SUM(G199:G245)</f>
        <v>1100107.0000000002</v>
      </c>
      <c r="H246" s="34">
        <f t="shared" si="9"/>
        <v>214518.20460000003</v>
      </c>
      <c r="I246" s="34">
        <f t="shared" si="9"/>
        <v>1866.11</v>
      </c>
      <c r="J246" s="34">
        <f t="shared" si="9"/>
        <v>7526.4241500000007</v>
      </c>
      <c r="K246" s="34">
        <f t="shared" si="9"/>
        <v>0</v>
      </c>
      <c r="L246" s="34">
        <f t="shared" si="9"/>
        <v>7289.04</v>
      </c>
      <c r="M246" s="34">
        <f t="shared" si="9"/>
        <v>207.34</v>
      </c>
      <c r="N246" s="34">
        <f t="shared" si="9"/>
        <v>0</v>
      </c>
      <c r="O246" s="34">
        <f t="shared" si="9"/>
        <v>892.48</v>
      </c>
      <c r="P246" s="34">
        <f t="shared" si="9"/>
        <v>58949.859999999986</v>
      </c>
      <c r="Q246" s="34">
        <f t="shared" si="9"/>
        <v>1391356.4587500002</v>
      </c>
    </row>
    <row r="247" spans="1:17" ht="15.75" thickBot="1" x14ac:dyDescent="0.3">
      <c r="A247" s="30"/>
      <c r="B247" s="30"/>
      <c r="C247" s="30"/>
      <c r="D247" s="30"/>
      <c r="E247" s="30"/>
      <c r="F247" s="30"/>
      <c r="G247" s="30"/>
      <c r="H247" s="72">
        <f>SUM(H246:J246)</f>
        <v>223910.73875000002</v>
      </c>
      <c r="I247" s="73"/>
      <c r="J247" s="74"/>
      <c r="K247" s="30"/>
      <c r="L247" s="30"/>
      <c r="M247" s="30"/>
      <c r="N247" s="30"/>
      <c r="O247" s="30"/>
      <c r="P247" s="30"/>
      <c r="Q247" s="30"/>
    </row>
    <row r="248" spans="1:17" ht="15.75" thickTop="1" x14ac:dyDescent="0.25"/>
    <row r="250" spans="1:17" ht="27" thickBot="1" x14ac:dyDescent="0.45">
      <c r="A250" s="75" t="s">
        <v>112</v>
      </c>
      <c r="B250" s="75"/>
      <c r="C250" s="75"/>
      <c r="D250" s="75"/>
      <c r="E250" s="75"/>
      <c r="F250" s="30"/>
      <c r="G250" s="30"/>
      <c r="H250" s="30"/>
      <c r="I250" s="30"/>
      <c r="J250" s="30"/>
      <c r="K250" s="30"/>
      <c r="L250" s="30"/>
      <c r="M250" s="30"/>
      <c r="N250" s="30"/>
      <c r="O250" s="76">
        <v>44713</v>
      </c>
      <c r="P250" s="77"/>
      <c r="Q250" s="77"/>
    </row>
    <row r="251" spans="1:17" ht="15.75" thickBot="1" x14ac:dyDescent="0.3">
      <c r="A251" s="27" t="s">
        <v>0</v>
      </c>
      <c r="B251" s="28" t="s">
        <v>1</v>
      </c>
      <c r="C251" s="28" t="s">
        <v>2</v>
      </c>
      <c r="D251" s="28" t="s">
        <v>3</v>
      </c>
      <c r="E251" s="28" t="s">
        <v>4</v>
      </c>
      <c r="F251" s="28" t="s">
        <v>5</v>
      </c>
      <c r="G251" s="28" t="s">
        <v>6</v>
      </c>
      <c r="H251" s="26" t="s">
        <v>7</v>
      </c>
      <c r="I251" s="28" t="s">
        <v>8</v>
      </c>
      <c r="J251" s="28" t="s">
        <v>9</v>
      </c>
      <c r="K251" s="28" t="s">
        <v>10</v>
      </c>
      <c r="L251" s="28" t="s">
        <v>11</v>
      </c>
      <c r="M251" s="28" t="s">
        <v>12</v>
      </c>
      <c r="N251" s="28" t="s">
        <v>27</v>
      </c>
      <c r="O251" s="28" t="s">
        <v>13</v>
      </c>
      <c r="P251" s="26" t="s">
        <v>14</v>
      </c>
      <c r="Q251" s="35" t="s">
        <v>15</v>
      </c>
    </row>
    <row r="252" spans="1:17" x14ac:dyDescent="0.25">
      <c r="A252" s="21">
        <v>44741</v>
      </c>
      <c r="B252" s="22">
        <v>1</v>
      </c>
      <c r="C252" s="23">
        <v>2</v>
      </c>
      <c r="D252" s="2">
        <v>139</v>
      </c>
      <c r="E252" s="24">
        <v>20125142851</v>
      </c>
      <c r="F252" s="24" t="s">
        <v>19</v>
      </c>
      <c r="G252" s="25">
        <v>13908</v>
      </c>
      <c r="H252" s="25">
        <v>2920.68</v>
      </c>
      <c r="I252" s="24"/>
      <c r="J252" s="25"/>
      <c r="K252" s="25"/>
      <c r="L252" s="24"/>
      <c r="M252" s="24"/>
      <c r="N252" s="24"/>
      <c r="O252" s="25"/>
      <c r="P252" s="25"/>
      <c r="Q252" s="10">
        <f>SUM(G252:P252)</f>
        <v>16828.68</v>
      </c>
    </row>
    <row r="253" spans="1:17" x14ac:dyDescent="0.25">
      <c r="A253" s="6">
        <v>44736</v>
      </c>
      <c r="B253" s="1">
        <v>1</v>
      </c>
      <c r="C253" s="14">
        <v>2</v>
      </c>
      <c r="D253" s="2">
        <v>138</v>
      </c>
      <c r="E253" s="9">
        <v>20125142851</v>
      </c>
      <c r="F253" s="9" t="s">
        <v>19</v>
      </c>
      <c r="G253" s="10">
        <v>15048</v>
      </c>
      <c r="H253" s="10">
        <v>3160.08</v>
      </c>
      <c r="I253" s="9"/>
      <c r="J253" s="10"/>
      <c r="K253" s="9"/>
      <c r="L253" s="9"/>
      <c r="M253" s="9"/>
      <c r="N253" s="9"/>
      <c r="O253" s="9"/>
      <c r="P253" s="10"/>
      <c r="Q253" s="10">
        <f t="shared" ref="Q253:Q283" si="10">SUM(G253:P253)</f>
        <v>18208.080000000002</v>
      </c>
    </row>
    <row r="254" spans="1:17" x14ac:dyDescent="0.25">
      <c r="A254" s="6">
        <v>44739</v>
      </c>
      <c r="B254" s="1">
        <v>1</v>
      </c>
      <c r="C254" s="14">
        <v>1</v>
      </c>
      <c r="D254" s="2">
        <v>178227</v>
      </c>
      <c r="E254" s="9">
        <v>30716620634</v>
      </c>
      <c r="F254" s="9" t="s">
        <v>142</v>
      </c>
      <c r="G254" s="10">
        <v>7106.61</v>
      </c>
      <c r="H254" s="10">
        <v>1492.3880999999999</v>
      </c>
      <c r="I254" s="9"/>
      <c r="J254" s="9"/>
      <c r="K254" s="10"/>
      <c r="L254" s="10"/>
      <c r="M254" s="10"/>
      <c r="N254" s="9"/>
      <c r="O254" s="10"/>
      <c r="P254" s="10"/>
      <c r="Q254" s="10">
        <f t="shared" si="10"/>
        <v>8598.9980999999989</v>
      </c>
    </row>
    <row r="255" spans="1:17" x14ac:dyDescent="0.25">
      <c r="A255" s="6">
        <v>44727</v>
      </c>
      <c r="B255" s="1">
        <v>1</v>
      </c>
      <c r="C255" s="14">
        <v>5</v>
      </c>
      <c r="D255" s="2">
        <v>71</v>
      </c>
      <c r="E255" s="9">
        <v>20235490251</v>
      </c>
      <c r="F255" s="9" t="s">
        <v>143</v>
      </c>
      <c r="G255" s="10">
        <v>1444.21</v>
      </c>
      <c r="H255" s="10">
        <v>303.28410000000002</v>
      </c>
      <c r="I255" s="9"/>
      <c r="J255" s="9"/>
      <c r="K255" s="10"/>
      <c r="L255" s="9"/>
      <c r="M255" s="9"/>
      <c r="N255" s="9"/>
      <c r="O255" s="9"/>
      <c r="P255" s="10"/>
      <c r="Q255" s="10">
        <f t="shared" si="10"/>
        <v>1747.4941000000001</v>
      </c>
    </row>
    <row r="256" spans="1:17" x14ac:dyDescent="0.25">
      <c r="A256" s="6">
        <v>44718</v>
      </c>
      <c r="B256" s="1">
        <v>1</v>
      </c>
      <c r="C256" s="14">
        <v>3</v>
      </c>
      <c r="D256" s="2">
        <v>2090</v>
      </c>
      <c r="E256" s="9">
        <v>30716966530</v>
      </c>
      <c r="F256" s="9" t="s">
        <v>144</v>
      </c>
      <c r="G256" s="10">
        <v>3872.47</v>
      </c>
      <c r="H256" s="10">
        <v>813.2186999999999</v>
      </c>
      <c r="I256" s="9"/>
      <c r="J256" s="10"/>
      <c r="K256" s="9"/>
      <c r="L256" s="10"/>
      <c r="M256" s="9"/>
      <c r="N256" s="9"/>
      <c r="O256" s="9"/>
      <c r="P256" s="10"/>
      <c r="Q256" s="10">
        <f t="shared" si="10"/>
        <v>4685.6886999999997</v>
      </c>
    </row>
    <row r="257" spans="1:17" x14ac:dyDescent="0.25">
      <c r="A257" s="6">
        <v>44736</v>
      </c>
      <c r="B257" s="1">
        <v>1</v>
      </c>
      <c r="C257" s="14">
        <v>1</v>
      </c>
      <c r="D257" s="2">
        <v>467</v>
      </c>
      <c r="E257" s="9">
        <v>30715048066</v>
      </c>
      <c r="F257" s="9" t="s">
        <v>24</v>
      </c>
      <c r="G257" s="10">
        <v>119985</v>
      </c>
      <c r="H257" s="10">
        <v>25196.85</v>
      </c>
      <c r="I257" s="9"/>
      <c r="J257" s="10"/>
      <c r="K257" s="9"/>
      <c r="L257" s="10"/>
      <c r="M257" s="9"/>
      <c r="N257" s="9"/>
      <c r="O257" s="9"/>
      <c r="P257" s="10"/>
      <c r="Q257" s="10">
        <f t="shared" si="10"/>
        <v>145181.85</v>
      </c>
    </row>
    <row r="258" spans="1:17" x14ac:dyDescent="0.25">
      <c r="A258" s="6">
        <v>44735</v>
      </c>
      <c r="B258" s="1">
        <v>1</v>
      </c>
      <c r="C258" s="14">
        <v>4</v>
      </c>
      <c r="D258" s="2">
        <v>87001</v>
      </c>
      <c r="E258" s="9">
        <v>30559932236</v>
      </c>
      <c r="F258" s="9" t="s">
        <v>49</v>
      </c>
      <c r="G258" s="10">
        <v>22954.1</v>
      </c>
      <c r="H258" s="10"/>
      <c r="I258" s="9"/>
      <c r="J258" s="10">
        <v>2410.1804999999999</v>
      </c>
      <c r="K258" s="9"/>
      <c r="L258" s="9"/>
      <c r="M258" s="9"/>
      <c r="N258" s="9"/>
      <c r="O258" s="9"/>
      <c r="P258" s="9"/>
      <c r="Q258" s="10">
        <f t="shared" si="10"/>
        <v>25364.280499999997</v>
      </c>
    </row>
    <row r="259" spans="1:17" x14ac:dyDescent="0.25">
      <c r="A259" s="6">
        <v>44735</v>
      </c>
      <c r="B259" s="1">
        <v>1</v>
      </c>
      <c r="C259" s="14">
        <v>7</v>
      </c>
      <c r="D259" s="2">
        <v>1293</v>
      </c>
      <c r="E259" s="9">
        <v>30709775762</v>
      </c>
      <c r="F259" s="9" t="s">
        <v>60</v>
      </c>
      <c r="G259" s="10">
        <v>763743.31799999997</v>
      </c>
      <c r="H259" s="10">
        <v>160386.09677999999</v>
      </c>
      <c r="I259" s="9"/>
      <c r="J259" s="9"/>
      <c r="K259" s="9"/>
      <c r="L259" s="10"/>
      <c r="M259" s="9"/>
      <c r="N259" s="9"/>
      <c r="O259" s="9"/>
      <c r="P259" s="9"/>
      <c r="Q259" s="10">
        <f t="shared" si="10"/>
        <v>924129.41477999999</v>
      </c>
    </row>
    <row r="260" spans="1:17" x14ac:dyDescent="0.25">
      <c r="A260" s="6">
        <v>44713</v>
      </c>
      <c r="B260" s="1">
        <v>1</v>
      </c>
      <c r="C260" s="14">
        <v>3</v>
      </c>
      <c r="D260" s="2">
        <v>540</v>
      </c>
      <c r="E260" s="9">
        <v>30715402765</v>
      </c>
      <c r="F260" s="9" t="s">
        <v>16</v>
      </c>
      <c r="G260" s="10">
        <v>7190.08</v>
      </c>
      <c r="H260" s="10">
        <v>1509.9168</v>
      </c>
      <c r="I260" s="9"/>
      <c r="J260" s="10"/>
      <c r="K260" s="9"/>
      <c r="L260" s="10"/>
      <c r="M260" s="10"/>
      <c r="N260" s="10"/>
      <c r="O260" s="9"/>
      <c r="P260" s="10"/>
      <c r="Q260" s="10">
        <f t="shared" si="10"/>
        <v>8699.9968000000008</v>
      </c>
    </row>
    <row r="261" spans="1:17" x14ac:dyDescent="0.25">
      <c r="A261" s="6">
        <v>44728</v>
      </c>
      <c r="B261" s="1">
        <v>1</v>
      </c>
      <c r="C261" s="14">
        <v>3</v>
      </c>
      <c r="D261" s="2">
        <v>259</v>
      </c>
      <c r="E261" s="9">
        <v>20921575743</v>
      </c>
      <c r="F261" s="9" t="s">
        <v>18</v>
      </c>
      <c r="G261" s="10">
        <v>13800</v>
      </c>
      <c r="H261" s="10">
        <v>2898</v>
      </c>
      <c r="I261" s="9"/>
      <c r="J261" s="10"/>
      <c r="K261" s="9"/>
      <c r="L261" s="10"/>
      <c r="M261" s="9"/>
      <c r="N261" s="9"/>
      <c r="O261" s="9"/>
      <c r="P261" s="9"/>
      <c r="Q261" s="10">
        <f t="shared" si="10"/>
        <v>16698</v>
      </c>
    </row>
    <row r="262" spans="1:17" x14ac:dyDescent="0.25">
      <c r="A262" s="6">
        <v>44724</v>
      </c>
      <c r="B262" s="1">
        <v>1</v>
      </c>
      <c r="C262" s="14">
        <v>2</v>
      </c>
      <c r="D262" s="2">
        <v>137</v>
      </c>
      <c r="E262" s="9">
        <v>20125142851</v>
      </c>
      <c r="F262" s="9" t="s">
        <v>19</v>
      </c>
      <c r="G262" s="10">
        <v>25878</v>
      </c>
      <c r="H262" s="10">
        <v>5434.38</v>
      </c>
      <c r="I262" s="9"/>
      <c r="J262" s="10"/>
      <c r="K262" s="9"/>
      <c r="L262" s="9"/>
      <c r="M262" s="9"/>
      <c r="N262" s="9"/>
      <c r="O262" s="9"/>
      <c r="P262" s="10"/>
      <c r="Q262" s="10">
        <f t="shared" si="10"/>
        <v>31312.38</v>
      </c>
    </row>
    <row r="263" spans="1:17" x14ac:dyDescent="0.25">
      <c r="A263" s="6">
        <v>44720</v>
      </c>
      <c r="B263" s="1">
        <v>1</v>
      </c>
      <c r="C263" s="14">
        <v>2</v>
      </c>
      <c r="D263" s="2">
        <v>136</v>
      </c>
      <c r="E263" s="9">
        <v>20125142851</v>
      </c>
      <c r="F263" s="9" t="s">
        <v>19</v>
      </c>
      <c r="G263" s="10">
        <v>23073</v>
      </c>
      <c r="H263" s="10">
        <v>4845.33</v>
      </c>
      <c r="I263" s="9"/>
      <c r="J263" s="10"/>
      <c r="K263" s="9"/>
      <c r="L263" s="9"/>
      <c r="M263" s="9"/>
      <c r="N263" s="9"/>
      <c r="O263" s="9"/>
      <c r="P263" s="10"/>
      <c r="Q263" s="10">
        <f t="shared" si="10"/>
        <v>27918.33</v>
      </c>
    </row>
    <row r="264" spans="1:17" x14ac:dyDescent="0.25">
      <c r="A264" s="6">
        <v>44720</v>
      </c>
      <c r="B264" s="1">
        <v>1</v>
      </c>
      <c r="C264" s="14">
        <v>2</v>
      </c>
      <c r="D264" s="2">
        <v>135</v>
      </c>
      <c r="E264" s="9">
        <v>20125142851</v>
      </c>
      <c r="F264" s="9" t="s">
        <v>19</v>
      </c>
      <c r="G264" s="10">
        <v>19717.2</v>
      </c>
      <c r="H264" s="10">
        <v>4140.6120000000001</v>
      </c>
      <c r="I264" s="9"/>
      <c r="J264" s="10"/>
      <c r="K264" s="9"/>
      <c r="L264" s="9"/>
      <c r="M264" s="9"/>
      <c r="N264" s="9"/>
      <c r="O264" s="9"/>
      <c r="P264" s="10"/>
      <c r="Q264" s="10">
        <f t="shared" si="10"/>
        <v>23857.812000000002</v>
      </c>
    </row>
    <row r="265" spans="1:17" x14ac:dyDescent="0.25">
      <c r="A265" s="6">
        <v>44726</v>
      </c>
      <c r="B265" s="1">
        <v>1</v>
      </c>
      <c r="C265" s="14">
        <v>10</v>
      </c>
      <c r="D265" s="2">
        <v>7137</v>
      </c>
      <c r="E265" s="9">
        <v>20168925582</v>
      </c>
      <c r="F265" s="9" t="s">
        <v>145</v>
      </c>
      <c r="G265" s="10">
        <v>12600</v>
      </c>
      <c r="H265" s="10">
        <v>2646</v>
      </c>
      <c r="I265" s="9"/>
      <c r="J265" s="9"/>
      <c r="K265" s="9"/>
      <c r="L265" s="9"/>
      <c r="M265" s="9"/>
      <c r="N265" s="9"/>
      <c r="O265" s="9"/>
      <c r="P265" s="10"/>
      <c r="Q265" s="10">
        <f t="shared" si="10"/>
        <v>15246</v>
      </c>
    </row>
    <row r="266" spans="1:17" x14ac:dyDescent="0.25">
      <c r="A266" s="6">
        <v>44718</v>
      </c>
      <c r="B266" s="1">
        <v>1</v>
      </c>
      <c r="C266" s="14">
        <v>4</v>
      </c>
      <c r="D266" s="2">
        <v>86493</v>
      </c>
      <c r="E266" s="9">
        <v>30559932236</v>
      </c>
      <c r="F266" s="9" t="s">
        <v>49</v>
      </c>
      <c r="G266" s="10">
        <v>61271.519999999997</v>
      </c>
      <c r="H266" s="10">
        <v>12867.019199999999</v>
      </c>
      <c r="I266" s="10"/>
      <c r="J266" s="9"/>
      <c r="K266" s="9"/>
      <c r="L266" s="9"/>
      <c r="M266" s="9"/>
      <c r="N266" s="9"/>
      <c r="O266" s="9"/>
      <c r="P266" s="9"/>
      <c r="Q266" s="10">
        <f t="shared" si="10"/>
        <v>74138.539199999999</v>
      </c>
    </row>
    <row r="267" spans="1:17" x14ac:dyDescent="0.25">
      <c r="A267" s="6">
        <v>44719</v>
      </c>
      <c r="B267" s="1">
        <v>1</v>
      </c>
      <c r="C267" s="14">
        <v>8</v>
      </c>
      <c r="D267" s="2">
        <v>33893</v>
      </c>
      <c r="E267" s="9">
        <v>30655921644</v>
      </c>
      <c r="F267" s="9" t="s">
        <v>146</v>
      </c>
      <c r="G267" s="10">
        <v>3932.23</v>
      </c>
      <c r="H267" s="10">
        <v>825.76829999999995</v>
      </c>
      <c r="I267" s="9"/>
      <c r="J267" s="9"/>
      <c r="K267" s="9"/>
      <c r="L267" s="9"/>
      <c r="M267" s="9"/>
      <c r="N267" s="10"/>
      <c r="O267" s="9"/>
      <c r="P267" s="10"/>
      <c r="Q267" s="10">
        <f t="shared" si="10"/>
        <v>4757.9983000000002</v>
      </c>
    </row>
    <row r="268" spans="1:17" x14ac:dyDescent="0.25">
      <c r="A268" s="6">
        <v>44720</v>
      </c>
      <c r="B268" s="1">
        <v>1</v>
      </c>
      <c r="C268" s="14">
        <v>2</v>
      </c>
      <c r="D268" s="2">
        <v>768</v>
      </c>
      <c r="E268" s="9">
        <v>30500805222</v>
      </c>
      <c r="F268" s="9" t="s">
        <v>72</v>
      </c>
      <c r="G268" s="10">
        <v>40260</v>
      </c>
      <c r="H268" s="10">
        <v>8454.6</v>
      </c>
      <c r="I268" s="9"/>
      <c r="J268" s="9"/>
      <c r="K268" s="9"/>
      <c r="L268" s="10"/>
      <c r="M268" s="9"/>
      <c r="N268" s="9"/>
      <c r="O268" s="9"/>
      <c r="P268" s="9"/>
      <c r="Q268" s="10">
        <f t="shared" si="10"/>
        <v>48714.6</v>
      </c>
    </row>
    <row r="269" spans="1:17" x14ac:dyDescent="0.25">
      <c r="A269" s="6">
        <v>44722</v>
      </c>
      <c r="B269" s="1">
        <v>1</v>
      </c>
      <c r="C269" s="14">
        <v>3</v>
      </c>
      <c r="D269" s="2">
        <v>6710</v>
      </c>
      <c r="E269" s="9">
        <v>30710212127</v>
      </c>
      <c r="F269" s="9" t="s">
        <v>55</v>
      </c>
      <c r="G269" s="10">
        <v>827068.98</v>
      </c>
      <c r="H269" s="10">
        <v>173684.48579999999</v>
      </c>
      <c r="I269" s="9"/>
      <c r="J269" s="9"/>
      <c r="K269" s="9"/>
      <c r="L269" s="9"/>
      <c r="M269" s="9"/>
      <c r="N269" s="9"/>
      <c r="O269" s="9"/>
      <c r="P269" s="9"/>
      <c r="Q269" s="10">
        <f t="shared" si="10"/>
        <v>1000753.4658</v>
      </c>
    </row>
    <row r="270" spans="1:17" x14ac:dyDescent="0.25">
      <c r="A270" s="6">
        <v>44715</v>
      </c>
      <c r="B270" s="1">
        <v>1</v>
      </c>
      <c r="C270" s="14">
        <v>3</v>
      </c>
      <c r="D270" s="2">
        <v>7457</v>
      </c>
      <c r="E270" s="9">
        <v>30715864262</v>
      </c>
      <c r="F270" s="9" t="s">
        <v>62</v>
      </c>
      <c r="G270" s="10">
        <v>18414</v>
      </c>
      <c r="H270" s="10">
        <v>3866.94</v>
      </c>
      <c r="I270" s="9"/>
      <c r="J270" s="9"/>
      <c r="K270" s="9"/>
      <c r="L270" s="10"/>
      <c r="M270" s="9"/>
      <c r="N270" s="9"/>
      <c r="O270" s="9"/>
      <c r="P270" s="9"/>
      <c r="Q270" s="10">
        <f t="shared" si="10"/>
        <v>22280.94</v>
      </c>
    </row>
    <row r="271" spans="1:17" x14ac:dyDescent="0.25">
      <c r="A271" s="6">
        <v>44713</v>
      </c>
      <c r="B271" s="1">
        <v>1</v>
      </c>
      <c r="C271" s="14">
        <v>3</v>
      </c>
      <c r="D271" s="2">
        <v>158794</v>
      </c>
      <c r="E271" s="9">
        <v>30707135596</v>
      </c>
      <c r="F271" s="9" t="s">
        <v>17</v>
      </c>
      <c r="G271" s="10">
        <v>2692.36</v>
      </c>
      <c r="H271" s="10">
        <v>565.39560000000006</v>
      </c>
      <c r="I271" s="9"/>
      <c r="J271" s="10"/>
      <c r="K271" s="9"/>
      <c r="L271" s="10"/>
      <c r="M271" s="9"/>
      <c r="N271" s="9"/>
      <c r="O271" s="9"/>
      <c r="P271" s="10"/>
      <c r="Q271" s="10">
        <f t="shared" si="10"/>
        <v>3257.7556000000004</v>
      </c>
    </row>
    <row r="272" spans="1:17" x14ac:dyDescent="0.25">
      <c r="A272" s="6">
        <v>44713</v>
      </c>
      <c r="B272" s="1">
        <v>1</v>
      </c>
      <c r="C272" s="14">
        <v>2</v>
      </c>
      <c r="D272" s="2">
        <v>133</v>
      </c>
      <c r="E272" s="9">
        <v>20125142851</v>
      </c>
      <c r="F272" s="9" t="s">
        <v>19</v>
      </c>
      <c r="G272" s="10">
        <v>29575.8</v>
      </c>
      <c r="H272" s="10">
        <v>6210.9179999999997</v>
      </c>
      <c r="I272" s="9"/>
      <c r="J272" s="9"/>
      <c r="K272" s="10"/>
      <c r="L272" s="9"/>
      <c r="M272" s="9"/>
      <c r="N272" s="9"/>
      <c r="O272" s="9"/>
      <c r="P272" s="9"/>
      <c r="Q272" s="10">
        <f t="shared" si="10"/>
        <v>35786.718000000001</v>
      </c>
    </row>
    <row r="273" spans="1:17" x14ac:dyDescent="0.25">
      <c r="A273" s="6">
        <v>44713</v>
      </c>
      <c r="B273" s="1">
        <v>1</v>
      </c>
      <c r="C273" s="14">
        <v>2</v>
      </c>
      <c r="D273" s="2">
        <v>134</v>
      </c>
      <c r="E273" s="9">
        <v>20125142851</v>
      </c>
      <c r="F273" s="9" t="s">
        <v>19</v>
      </c>
      <c r="G273" s="10">
        <v>34370.400000000001</v>
      </c>
      <c r="H273" s="10">
        <v>7217.7839999999997</v>
      </c>
      <c r="I273" s="9"/>
      <c r="J273" s="10"/>
      <c r="K273" s="9"/>
      <c r="L273" s="9"/>
      <c r="M273" s="9"/>
      <c r="N273" s="10"/>
      <c r="O273" s="9"/>
      <c r="P273" s="9"/>
      <c r="Q273" s="10">
        <f t="shared" si="10"/>
        <v>41588.184000000001</v>
      </c>
    </row>
    <row r="274" spans="1:17" x14ac:dyDescent="0.25">
      <c r="A274" s="6">
        <v>44742</v>
      </c>
      <c r="B274" s="1">
        <v>1</v>
      </c>
      <c r="C274" s="14">
        <v>4</v>
      </c>
      <c r="D274" s="2">
        <v>12591</v>
      </c>
      <c r="E274" s="9">
        <v>23113854499</v>
      </c>
      <c r="F274" s="9" t="s">
        <v>66</v>
      </c>
      <c r="G274" s="10">
        <v>3801.65</v>
      </c>
      <c r="H274" s="10">
        <v>798.34649999999999</v>
      </c>
      <c r="I274" s="9"/>
      <c r="J274" s="9"/>
      <c r="K274" s="9"/>
      <c r="L274" s="9"/>
      <c r="M274" s="9"/>
      <c r="N274" s="10"/>
      <c r="O274" s="9"/>
      <c r="P274" s="9"/>
      <c r="Q274" s="10">
        <f t="shared" si="10"/>
        <v>4599.9965000000002</v>
      </c>
    </row>
    <row r="275" spans="1:17" x14ac:dyDescent="0.25">
      <c r="A275" s="6">
        <v>44741</v>
      </c>
      <c r="B275" s="1">
        <v>1</v>
      </c>
      <c r="C275" s="14">
        <v>280</v>
      </c>
      <c r="D275" s="2">
        <v>1375108</v>
      </c>
      <c r="E275" s="9">
        <v>30580111315</v>
      </c>
      <c r="F275" s="9" t="s">
        <v>21</v>
      </c>
      <c r="G275" s="10">
        <v>398923.43</v>
      </c>
      <c r="H275" s="10">
        <v>786.68</v>
      </c>
      <c r="I275" s="9"/>
      <c r="J275" s="9">
        <v>41493.050000000003</v>
      </c>
      <c r="K275" s="9"/>
      <c r="L275" s="9"/>
      <c r="M275" s="9"/>
      <c r="N275" s="10"/>
      <c r="O275" s="9"/>
      <c r="P275" s="9">
        <v>-359252.24</v>
      </c>
      <c r="Q275" s="10">
        <f t="shared" si="10"/>
        <v>81950.919999999984</v>
      </c>
    </row>
    <row r="276" spans="1:17" x14ac:dyDescent="0.25">
      <c r="A276" s="6">
        <v>44723</v>
      </c>
      <c r="B276" s="1">
        <v>1</v>
      </c>
      <c r="C276" s="14">
        <v>2466</v>
      </c>
      <c r="D276" s="2">
        <v>370888</v>
      </c>
      <c r="E276" s="9">
        <v>30678814357</v>
      </c>
      <c r="F276" s="9" t="s">
        <v>20</v>
      </c>
      <c r="G276" s="10">
        <v>2148.61</v>
      </c>
      <c r="H276" s="10"/>
      <c r="I276" s="9">
        <v>580.12470000000008</v>
      </c>
      <c r="J276" s="9"/>
      <c r="K276" s="9"/>
      <c r="L276" s="9">
        <v>64.459999999999994</v>
      </c>
      <c r="M276" s="9"/>
      <c r="N276" s="10"/>
      <c r="O276" s="9"/>
      <c r="P276" s="9">
        <v>104.58</v>
      </c>
      <c r="Q276" s="10">
        <f t="shared" si="10"/>
        <v>2897.7746999999999</v>
      </c>
    </row>
    <row r="277" spans="1:17" x14ac:dyDescent="0.25">
      <c r="A277" s="6">
        <v>44729</v>
      </c>
      <c r="B277" s="1">
        <v>1</v>
      </c>
      <c r="C277" s="14">
        <v>30</v>
      </c>
      <c r="D277" s="2">
        <v>4666</v>
      </c>
      <c r="E277" s="9">
        <v>20217293791</v>
      </c>
      <c r="F277" s="9" t="s">
        <v>125</v>
      </c>
      <c r="G277" s="10">
        <v>8719.01</v>
      </c>
      <c r="H277" s="10">
        <v>1830.9920999999999</v>
      </c>
      <c r="I277" s="9"/>
      <c r="J277" s="9"/>
      <c r="K277" s="9"/>
      <c r="L277" s="9"/>
      <c r="M277" s="9"/>
      <c r="N277" s="10"/>
      <c r="O277" s="9"/>
      <c r="P277" s="9"/>
      <c r="Q277" s="10">
        <f t="shared" si="10"/>
        <v>10550.0021</v>
      </c>
    </row>
    <row r="278" spans="1:17" x14ac:dyDescent="0.25">
      <c r="A278" s="6">
        <v>44736</v>
      </c>
      <c r="B278" s="1">
        <v>1</v>
      </c>
      <c r="C278" s="14">
        <v>1</v>
      </c>
      <c r="D278" s="2">
        <v>466</v>
      </c>
      <c r="E278" s="9">
        <v>30715048066</v>
      </c>
      <c r="F278" s="9" t="s">
        <v>24</v>
      </c>
      <c r="G278" s="10">
        <v>81105</v>
      </c>
      <c r="H278" s="10">
        <v>17032.05</v>
      </c>
      <c r="I278" s="9"/>
      <c r="J278" s="9"/>
      <c r="K278" s="9"/>
      <c r="L278" s="9"/>
      <c r="M278" s="9"/>
      <c r="N278" s="10"/>
      <c r="O278" s="9"/>
      <c r="P278" s="9"/>
      <c r="Q278" s="10">
        <f t="shared" si="10"/>
        <v>98137.05</v>
      </c>
    </row>
    <row r="279" spans="1:17" x14ac:dyDescent="0.25">
      <c r="A279" s="6">
        <v>44738</v>
      </c>
      <c r="B279" s="1">
        <v>1</v>
      </c>
      <c r="C279" s="14">
        <v>3</v>
      </c>
      <c r="D279" s="2">
        <v>939183</v>
      </c>
      <c r="E279" s="9">
        <v>30712019359</v>
      </c>
      <c r="F279" s="9" t="s">
        <v>23</v>
      </c>
      <c r="G279" s="10">
        <v>2478.5100000000002</v>
      </c>
      <c r="H279" s="10">
        <v>520.48710000000005</v>
      </c>
      <c r="I279" s="9"/>
      <c r="J279" s="9"/>
      <c r="K279" s="9"/>
      <c r="L279" s="9"/>
      <c r="M279" s="9"/>
      <c r="N279" s="10"/>
      <c r="O279" s="9"/>
      <c r="P279" s="9"/>
      <c r="Q279" s="10">
        <f t="shared" si="10"/>
        <v>2998.9971000000005</v>
      </c>
    </row>
    <row r="280" spans="1:17" x14ac:dyDescent="0.25">
      <c r="A280" s="6">
        <v>44741</v>
      </c>
      <c r="B280" s="1">
        <v>1</v>
      </c>
      <c r="C280" s="14">
        <v>5</v>
      </c>
      <c r="D280" s="2">
        <v>630</v>
      </c>
      <c r="E280" s="9">
        <v>30707397256</v>
      </c>
      <c r="F280" s="9" t="s">
        <v>101</v>
      </c>
      <c r="G280" s="10">
        <v>377201.4</v>
      </c>
      <c r="H280" s="10">
        <v>79212.294000000009</v>
      </c>
      <c r="I280" s="9"/>
      <c r="J280" s="9"/>
      <c r="K280" s="9"/>
      <c r="L280" s="9"/>
      <c r="M280" s="9"/>
      <c r="N280" s="10"/>
      <c r="O280" s="9"/>
      <c r="P280" s="9"/>
      <c r="Q280" s="10">
        <f t="shared" si="10"/>
        <v>456413.69400000002</v>
      </c>
    </row>
    <row r="281" spans="1:17" x14ac:dyDescent="0.25">
      <c r="A281" s="6">
        <v>44741</v>
      </c>
      <c r="B281" s="1">
        <v>1</v>
      </c>
      <c r="C281" s="14">
        <v>1</v>
      </c>
      <c r="D281" s="2">
        <v>28187</v>
      </c>
      <c r="E281" s="9">
        <v>27332519633</v>
      </c>
      <c r="F281" s="9" t="s">
        <v>147</v>
      </c>
      <c r="G281" s="10">
        <v>2209.92</v>
      </c>
      <c r="H281" s="10">
        <v>464.08319999999998</v>
      </c>
      <c r="I281" s="9"/>
      <c r="J281" s="9"/>
      <c r="K281" s="9"/>
      <c r="L281" s="9"/>
      <c r="M281" s="9"/>
      <c r="N281" s="10"/>
      <c r="O281" s="9"/>
      <c r="P281" s="9"/>
      <c r="Q281" s="10">
        <f t="shared" si="10"/>
        <v>2674.0032000000001</v>
      </c>
    </row>
    <row r="282" spans="1:17" x14ac:dyDescent="0.25">
      <c r="A282" s="6">
        <v>44742</v>
      </c>
      <c r="B282" s="1">
        <v>99</v>
      </c>
      <c r="C282" s="14">
        <v>1</v>
      </c>
      <c r="D282" s="2">
        <v>3062022</v>
      </c>
      <c r="E282" s="9" t="s">
        <v>108</v>
      </c>
      <c r="F282" s="9" t="s">
        <v>109</v>
      </c>
      <c r="G282" s="10">
        <v>1912</v>
      </c>
      <c r="H282" s="10">
        <v>401.52</v>
      </c>
      <c r="I282" s="9"/>
      <c r="J282" s="9"/>
      <c r="K282" s="9"/>
      <c r="L282" s="9"/>
      <c r="M282" s="9"/>
      <c r="N282" s="10"/>
      <c r="O282" s="9"/>
      <c r="P282" s="9"/>
      <c r="Q282" s="10">
        <f t="shared" si="10"/>
        <v>2313.52</v>
      </c>
    </row>
    <row r="283" spans="1:17" x14ac:dyDescent="0.25">
      <c r="A283" s="6">
        <v>44742</v>
      </c>
      <c r="B283" s="1">
        <v>99</v>
      </c>
      <c r="C283" s="14">
        <v>1</v>
      </c>
      <c r="D283" s="2">
        <v>30622</v>
      </c>
      <c r="E283" s="9">
        <v>30583887039</v>
      </c>
      <c r="F283" s="9" t="s">
        <v>111</v>
      </c>
      <c r="G283" s="10">
        <v>80</v>
      </c>
      <c r="H283" s="10">
        <v>16.8</v>
      </c>
      <c r="I283" s="9"/>
      <c r="J283" s="9"/>
      <c r="K283" s="9"/>
      <c r="L283" s="9"/>
      <c r="M283" s="9"/>
      <c r="N283" s="10"/>
      <c r="O283" s="9"/>
      <c r="P283" s="9"/>
      <c r="Q283" s="10">
        <f t="shared" si="10"/>
        <v>96.8</v>
      </c>
    </row>
    <row r="284" spans="1:17" ht="16.5" thickBot="1" x14ac:dyDescent="0.3">
      <c r="A284" s="78" t="s">
        <v>26</v>
      </c>
      <c r="B284" s="78"/>
      <c r="C284" s="78"/>
      <c r="D284" s="78"/>
      <c r="E284" s="78"/>
      <c r="F284" s="79"/>
      <c r="G284" s="34">
        <f t="shared" ref="G284:Q284" si="11">SUM(G252:G283)</f>
        <v>2946484.8079999993</v>
      </c>
      <c r="H284" s="34">
        <f t="shared" si="11"/>
        <v>530503.00028000004</v>
      </c>
      <c r="I284" s="34">
        <f t="shared" si="11"/>
        <v>580.12470000000008</v>
      </c>
      <c r="J284" s="34">
        <f t="shared" si="11"/>
        <v>43903.230500000005</v>
      </c>
      <c r="K284" s="34">
        <f t="shared" si="11"/>
        <v>0</v>
      </c>
      <c r="L284" s="34">
        <f t="shared" si="11"/>
        <v>64.459999999999994</v>
      </c>
      <c r="M284" s="34">
        <f t="shared" si="11"/>
        <v>0</v>
      </c>
      <c r="N284" s="34">
        <f t="shared" si="11"/>
        <v>0</v>
      </c>
      <c r="O284" s="34">
        <f t="shared" si="11"/>
        <v>0</v>
      </c>
      <c r="P284" s="34">
        <f t="shared" si="11"/>
        <v>-359147.66</v>
      </c>
      <c r="Q284" s="34">
        <f t="shared" si="11"/>
        <v>3162387.9634799995</v>
      </c>
    </row>
    <row r="285" spans="1:17" ht="15.75" thickBot="1" x14ac:dyDescent="0.3">
      <c r="A285" s="30"/>
      <c r="B285" s="30"/>
      <c r="C285" s="30"/>
      <c r="D285" s="30"/>
      <c r="E285" s="30"/>
      <c r="F285" s="30"/>
      <c r="G285" s="30"/>
      <c r="H285" s="72">
        <f>SUM(H284:J284)</f>
        <v>574986.35548000014</v>
      </c>
      <c r="I285" s="73"/>
      <c r="J285" s="74"/>
      <c r="K285" s="30"/>
      <c r="L285" s="30"/>
      <c r="M285" s="30"/>
      <c r="N285" s="30"/>
      <c r="O285" s="30"/>
      <c r="P285" s="30"/>
      <c r="Q285" s="30"/>
    </row>
    <row r="286" spans="1:17" ht="27.75" thickTop="1" thickBot="1" x14ac:dyDescent="0.45">
      <c r="A286" s="75" t="s">
        <v>112</v>
      </c>
      <c r="B286" s="75"/>
      <c r="C286" s="75"/>
      <c r="D286" s="75"/>
      <c r="E286" s="75"/>
      <c r="F286" s="30"/>
      <c r="G286" s="30"/>
      <c r="H286" s="30"/>
      <c r="I286" s="30"/>
      <c r="J286" s="30"/>
      <c r="K286" s="30"/>
      <c r="L286" s="30"/>
      <c r="M286" s="30"/>
      <c r="N286" s="30"/>
      <c r="O286" s="76">
        <v>44743</v>
      </c>
      <c r="P286" s="77"/>
      <c r="Q286" s="77"/>
    </row>
    <row r="287" spans="1:17" ht="15.75" thickBot="1" x14ac:dyDescent="0.3">
      <c r="A287" s="27" t="s">
        <v>0</v>
      </c>
      <c r="B287" s="28" t="s">
        <v>1</v>
      </c>
      <c r="C287" s="28" t="s">
        <v>2</v>
      </c>
      <c r="D287" s="28" t="s">
        <v>3</v>
      </c>
      <c r="E287" s="28" t="s">
        <v>4</v>
      </c>
      <c r="F287" s="28" t="s">
        <v>5</v>
      </c>
      <c r="G287" s="28" t="s">
        <v>6</v>
      </c>
      <c r="H287" s="26" t="s">
        <v>7</v>
      </c>
      <c r="I287" s="28" t="s">
        <v>8</v>
      </c>
      <c r="J287" s="28" t="s">
        <v>9</v>
      </c>
      <c r="K287" s="28" t="s">
        <v>10</v>
      </c>
      <c r="L287" s="28" t="s">
        <v>11</v>
      </c>
      <c r="M287" s="28" t="s">
        <v>12</v>
      </c>
      <c r="N287" s="28" t="s">
        <v>27</v>
      </c>
      <c r="O287" s="28" t="s">
        <v>13</v>
      </c>
      <c r="P287" s="26" t="s">
        <v>14</v>
      </c>
      <c r="Q287" s="35" t="s">
        <v>15</v>
      </c>
    </row>
    <row r="288" spans="1:17" x14ac:dyDescent="0.25">
      <c r="A288" s="21">
        <v>44769</v>
      </c>
      <c r="B288" s="22">
        <v>1</v>
      </c>
      <c r="C288" s="23">
        <v>106</v>
      </c>
      <c r="D288" s="2">
        <v>547354</v>
      </c>
      <c r="E288" s="24">
        <v>30594494187</v>
      </c>
      <c r="F288" s="24" t="s">
        <v>45</v>
      </c>
      <c r="G288" s="25">
        <v>8160</v>
      </c>
      <c r="H288" s="25">
        <v>1713.6</v>
      </c>
      <c r="I288" s="24"/>
      <c r="J288" s="25"/>
      <c r="K288" s="25"/>
      <c r="L288" s="24"/>
      <c r="M288" s="24"/>
      <c r="N288" s="24"/>
      <c r="O288" s="25"/>
      <c r="P288" s="24">
        <v>14380.38</v>
      </c>
      <c r="Q288" s="10">
        <f t="shared" ref="Q288:Q309" si="12">SUM(G288:P288)</f>
        <v>24253.98</v>
      </c>
    </row>
    <row r="289" spans="1:17" x14ac:dyDescent="0.25">
      <c r="A289" s="6">
        <v>44769</v>
      </c>
      <c r="B289" s="1">
        <v>1</v>
      </c>
      <c r="C289" s="14">
        <v>700</v>
      </c>
      <c r="D289" s="2">
        <v>405289</v>
      </c>
      <c r="E289" s="9">
        <v>30580111315</v>
      </c>
      <c r="F289" s="9" t="s">
        <v>21</v>
      </c>
      <c r="G289" s="10">
        <v>1839.23809523809</v>
      </c>
      <c r="H289" s="10">
        <v>386.23999999999887</v>
      </c>
      <c r="I289" s="9"/>
      <c r="J289" s="10"/>
      <c r="K289" s="9"/>
      <c r="L289" s="9"/>
      <c r="M289" s="9"/>
      <c r="N289" s="9"/>
      <c r="O289" s="9"/>
      <c r="P289" s="9">
        <v>15790.96</v>
      </c>
      <c r="Q289" s="10">
        <f t="shared" si="12"/>
        <v>18016.438095238089</v>
      </c>
    </row>
    <row r="290" spans="1:17" x14ac:dyDescent="0.25">
      <c r="A290" s="6">
        <v>44768</v>
      </c>
      <c r="B290" s="1">
        <v>1</v>
      </c>
      <c r="C290" s="14">
        <v>106</v>
      </c>
      <c r="D290" s="2">
        <v>546945</v>
      </c>
      <c r="E290" s="9">
        <v>30594494187</v>
      </c>
      <c r="F290" s="9" t="s">
        <v>45</v>
      </c>
      <c r="G290" s="10">
        <v>6528</v>
      </c>
      <c r="H290" s="10">
        <v>1370.8799999999999</v>
      </c>
      <c r="I290" s="9"/>
      <c r="J290" s="9"/>
      <c r="K290" s="10"/>
      <c r="L290" s="10"/>
      <c r="M290" s="10"/>
      <c r="N290" s="9"/>
      <c r="O290" s="10"/>
      <c r="P290" s="9">
        <v>4464.37</v>
      </c>
      <c r="Q290" s="10">
        <f t="shared" si="12"/>
        <v>12363.25</v>
      </c>
    </row>
    <row r="291" spans="1:17" x14ac:dyDescent="0.25">
      <c r="A291" s="6">
        <v>44765</v>
      </c>
      <c r="B291" s="1">
        <v>1</v>
      </c>
      <c r="C291" s="14">
        <v>280</v>
      </c>
      <c r="D291" s="2">
        <v>1379638</v>
      </c>
      <c r="E291" s="9">
        <v>30580111315</v>
      </c>
      <c r="F291" s="9" t="s">
        <v>21</v>
      </c>
      <c r="G291" s="10">
        <v>138562.32</v>
      </c>
      <c r="H291" s="10">
        <v>29098.087200000002</v>
      </c>
      <c r="I291" s="9"/>
      <c r="J291" s="9"/>
      <c r="K291" s="10"/>
      <c r="L291" s="9"/>
      <c r="M291" s="9"/>
      <c r="N291" s="9"/>
      <c r="O291" s="9"/>
      <c r="P291" s="9">
        <v>-113168.3098</v>
      </c>
      <c r="Q291" s="10">
        <f t="shared" si="12"/>
        <v>54492.097400000013</v>
      </c>
    </row>
    <row r="292" spans="1:17" x14ac:dyDescent="0.25">
      <c r="A292" s="6">
        <v>44764</v>
      </c>
      <c r="B292" s="1">
        <v>1</v>
      </c>
      <c r="C292" s="14">
        <v>106</v>
      </c>
      <c r="D292" s="2">
        <v>546462</v>
      </c>
      <c r="E292" s="9">
        <v>30594494187</v>
      </c>
      <c r="F292" s="9" t="s">
        <v>45</v>
      </c>
      <c r="G292" s="10">
        <v>6516</v>
      </c>
      <c r="H292" s="10">
        <v>1368.36</v>
      </c>
      <c r="I292" s="9"/>
      <c r="J292" s="10"/>
      <c r="K292" s="9"/>
      <c r="L292" s="10"/>
      <c r="M292" s="9"/>
      <c r="N292" s="9"/>
      <c r="O292" s="9"/>
      <c r="P292" s="9">
        <v>4456.42</v>
      </c>
      <c r="Q292" s="10">
        <f t="shared" si="12"/>
        <v>12340.779999999999</v>
      </c>
    </row>
    <row r="293" spans="1:17" x14ac:dyDescent="0.25">
      <c r="A293" s="6">
        <v>44771</v>
      </c>
      <c r="B293" s="1">
        <v>1</v>
      </c>
      <c r="C293" s="14">
        <v>1</v>
      </c>
      <c r="D293" s="2">
        <v>2057</v>
      </c>
      <c r="E293" s="9">
        <v>30716872463</v>
      </c>
      <c r="F293" s="9" t="s">
        <v>149</v>
      </c>
      <c r="G293" s="10">
        <v>15477.69</v>
      </c>
      <c r="H293" s="10">
        <v>3250.3148999999999</v>
      </c>
      <c r="I293" s="9"/>
      <c r="J293" s="10"/>
      <c r="K293" s="9"/>
      <c r="L293" s="10"/>
      <c r="M293" s="9"/>
      <c r="N293" s="9"/>
      <c r="O293" s="9"/>
      <c r="P293" s="9"/>
      <c r="Q293" s="10">
        <f t="shared" si="12"/>
        <v>18728.0049</v>
      </c>
    </row>
    <row r="294" spans="1:17" x14ac:dyDescent="0.25">
      <c r="A294" s="6">
        <v>44770</v>
      </c>
      <c r="B294" s="1">
        <v>1</v>
      </c>
      <c r="C294" s="14">
        <v>7</v>
      </c>
      <c r="D294" s="2">
        <v>26104</v>
      </c>
      <c r="E294" s="9">
        <v>30715267450</v>
      </c>
      <c r="F294" s="9" t="s">
        <v>150</v>
      </c>
      <c r="G294" s="10">
        <v>5247.71</v>
      </c>
      <c r="H294" s="10">
        <v>190.56</v>
      </c>
      <c r="I294" s="9"/>
      <c r="J294" s="10">
        <v>455.73</v>
      </c>
      <c r="K294" s="9"/>
      <c r="L294" s="9"/>
      <c r="M294" s="9"/>
      <c r="N294" s="9"/>
      <c r="O294" s="9"/>
      <c r="P294" s="9"/>
      <c r="Q294" s="10">
        <f t="shared" si="12"/>
        <v>5894</v>
      </c>
    </row>
    <row r="295" spans="1:17" x14ac:dyDescent="0.25">
      <c r="A295" s="6">
        <v>44771</v>
      </c>
      <c r="B295" s="1">
        <v>1</v>
      </c>
      <c r="C295" s="14">
        <v>7002</v>
      </c>
      <c r="D295" s="2">
        <v>5382</v>
      </c>
      <c r="E295" s="9">
        <v>30678774495</v>
      </c>
      <c r="F295" s="9" t="s">
        <v>123</v>
      </c>
      <c r="G295" s="10">
        <v>3465.06</v>
      </c>
      <c r="H295" s="10">
        <v>727.6626</v>
      </c>
      <c r="I295" s="9"/>
      <c r="J295" s="9"/>
      <c r="K295" s="9"/>
      <c r="L295" s="10"/>
      <c r="M295" s="9"/>
      <c r="N295" s="9"/>
      <c r="O295" s="9"/>
      <c r="P295" s="9">
        <v>807.29</v>
      </c>
      <c r="Q295" s="10">
        <f t="shared" si="12"/>
        <v>5000.0126</v>
      </c>
    </row>
    <row r="296" spans="1:17" x14ac:dyDescent="0.25">
      <c r="A296" s="6">
        <v>44771</v>
      </c>
      <c r="B296" s="1">
        <v>1</v>
      </c>
      <c r="C296" s="14">
        <v>2</v>
      </c>
      <c r="D296" s="2">
        <v>2164</v>
      </c>
      <c r="E296" s="9">
        <v>30709131733</v>
      </c>
      <c r="F296" s="9" t="s">
        <v>116</v>
      </c>
      <c r="G296" s="10">
        <v>346556.26</v>
      </c>
      <c r="H296" s="10">
        <v>72776.814599999998</v>
      </c>
      <c r="I296" s="9"/>
      <c r="J296" s="10"/>
      <c r="K296" s="9"/>
      <c r="L296" s="10"/>
      <c r="M296" s="10"/>
      <c r="N296" s="10"/>
      <c r="O296" s="9"/>
      <c r="P296" s="10"/>
      <c r="Q296" s="10">
        <f t="shared" si="12"/>
        <v>419333.07459999999</v>
      </c>
    </row>
    <row r="297" spans="1:17" x14ac:dyDescent="0.25">
      <c r="A297" s="6">
        <v>44740</v>
      </c>
      <c r="B297" s="1">
        <v>1</v>
      </c>
      <c r="C297" s="14">
        <v>4</v>
      </c>
      <c r="D297" s="2">
        <v>39923</v>
      </c>
      <c r="E297" s="9">
        <v>30679067431</v>
      </c>
      <c r="F297" s="9" t="s">
        <v>151</v>
      </c>
      <c r="G297" s="10">
        <v>2181.81</v>
      </c>
      <c r="H297" s="10">
        <v>458.18009999999998</v>
      </c>
      <c r="I297" s="9"/>
      <c r="J297" s="10"/>
      <c r="K297" s="9"/>
      <c r="L297" s="10"/>
      <c r="M297" s="9"/>
      <c r="N297" s="9"/>
      <c r="O297" s="9"/>
      <c r="P297" s="9"/>
      <c r="Q297" s="10">
        <f t="shared" si="12"/>
        <v>2639.9901</v>
      </c>
    </row>
    <row r="298" spans="1:17" x14ac:dyDescent="0.25">
      <c r="A298" s="6">
        <v>44762</v>
      </c>
      <c r="B298" s="1">
        <v>1</v>
      </c>
      <c r="C298" s="14">
        <v>2</v>
      </c>
      <c r="D298" s="2">
        <v>142</v>
      </c>
      <c r="E298" s="9">
        <v>20125142851</v>
      </c>
      <c r="F298" s="9" t="s">
        <v>19</v>
      </c>
      <c r="G298" s="10">
        <v>5984</v>
      </c>
      <c r="H298" s="10">
        <v>1256.6399999999999</v>
      </c>
      <c r="I298" s="9"/>
      <c r="J298" s="10"/>
      <c r="K298" s="9"/>
      <c r="L298" s="9"/>
      <c r="M298" s="9"/>
      <c r="N298" s="9"/>
      <c r="O298" s="9"/>
      <c r="P298" s="9"/>
      <c r="Q298" s="10">
        <f t="shared" si="12"/>
        <v>7240.6399999999994</v>
      </c>
    </row>
    <row r="299" spans="1:17" x14ac:dyDescent="0.25">
      <c r="A299" s="6">
        <v>44762</v>
      </c>
      <c r="B299" s="1">
        <v>1</v>
      </c>
      <c r="C299" s="14">
        <v>2</v>
      </c>
      <c r="D299" s="2">
        <v>140</v>
      </c>
      <c r="E299" s="9">
        <v>20125142851</v>
      </c>
      <c r="F299" s="9" t="s">
        <v>19</v>
      </c>
      <c r="G299" s="10">
        <v>19717.2</v>
      </c>
      <c r="H299" s="10">
        <v>4140.6120000000001</v>
      </c>
      <c r="I299" s="9"/>
      <c r="J299" s="10"/>
      <c r="K299" s="9"/>
      <c r="L299" s="9"/>
      <c r="M299" s="9"/>
      <c r="N299" s="9"/>
      <c r="O299" s="9"/>
      <c r="P299" s="9"/>
      <c r="Q299" s="10">
        <f t="shared" si="12"/>
        <v>23857.812000000002</v>
      </c>
    </row>
    <row r="300" spans="1:17" x14ac:dyDescent="0.25">
      <c r="A300" s="6">
        <v>44762</v>
      </c>
      <c r="B300" s="1">
        <v>1</v>
      </c>
      <c r="C300" s="14">
        <v>2</v>
      </c>
      <c r="D300" s="2">
        <v>141</v>
      </c>
      <c r="E300" s="9">
        <v>20125142851</v>
      </c>
      <c r="F300" s="9" t="s">
        <v>19</v>
      </c>
      <c r="G300" s="10">
        <v>37209.599999999999</v>
      </c>
      <c r="H300" s="10">
        <v>7814.0159999999996</v>
      </c>
      <c r="I300" s="9"/>
      <c r="J300" s="10"/>
      <c r="K300" s="9"/>
      <c r="L300" s="9"/>
      <c r="M300" s="9"/>
      <c r="N300" s="9"/>
      <c r="O300" s="9"/>
      <c r="P300" s="9"/>
      <c r="Q300" s="10">
        <f t="shared" si="12"/>
        <v>45023.615999999995</v>
      </c>
    </row>
    <row r="301" spans="1:17" x14ac:dyDescent="0.25">
      <c r="A301" s="6">
        <v>44763</v>
      </c>
      <c r="B301" s="1">
        <v>1</v>
      </c>
      <c r="C301" s="14">
        <v>3</v>
      </c>
      <c r="D301" s="2">
        <v>1</v>
      </c>
      <c r="E301" s="9">
        <v>20297899830</v>
      </c>
      <c r="F301" s="9" t="s">
        <v>152</v>
      </c>
      <c r="G301" s="10">
        <v>55000</v>
      </c>
      <c r="H301" s="10">
        <v>11550</v>
      </c>
      <c r="I301" s="9"/>
      <c r="J301" s="9"/>
      <c r="K301" s="9"/>
      <c r="L301" s="9"/>
      <c r="M301" s="9"/>
      <c r="N301" s="9"/>
      <c r="O301" s="9"/>
      <c r="P301" s="9"/>
      <c r="Q301" s="10">
        <f t="shared" si="12"/>
        <v>66550</v>
      </c>
    </row>
    <row r="302" spans="1:17" x14ac:dyDescent="0.25">
      <c r="A302" s="6">
        <v>44761</v>
      </c>
      <c r="B302" s="1">
        <v>1</v>
      </c>
      <c r="C302" s="14">
        <v>6</v>
      </c>
      <c r="D302" s="2">
        <v>14572</v>
      </c>
      <c r="E302" s="9">
        <v>30538456876</v>
      </c>
      <c r="F302" s="9" t="s">
        <v>153</v>
      </c>
      <c r="G302" s="10">
        <v>5997.67</v>
      </c>
      <c r="H302" s="10">
        <v>1259.5107</v>
      </c>
      <c r="I302" s="10"/>
      <c r="J302" s="9"/>
      <c r="K302" s="9"/>
      <c r="L302" s="9"/>
      <c r="M302" s="9"/>
      <c r="N302" s="9"/>
      <c r="O302" s="9"/>
      <c r="P302" s="9">
        <v>643.52</v>
      </c>
      <c r="Q302" s="10">
        <f t="shared" si="12"/>
        <v>7900.7006999999994</v>
      </c>
    </row>
    <row r="303" spans="1:17" x14ac:dyDescent="0.25">
      <c r="A303" s="6">
        <v>44757</v>
      </c>
      <c r="B303" s="1">
        <v>1</v>
      </c>
      <c r="C303" s="14">
        <v>5</v>
      </c>
      <c r="D303" s="2">
        <v>5817</v>
      </c>
      <c r="E303" s="9">
        <v>30715357255</v>
      </c>
      <c r="F303" s="9" t="s">
        <v>154</v>
      </c>
      <c r="G303" s="10">
        <v>1584.56</v>
      </c>
      <c r="H303" s="10">
        <v>78.099999999999994</v>
      </c>
      <c r="I303" s="9"/>
      <c r="J303" s="9">
        <v>127.33</v>
      </c>
      <c r="K303" s="9"/>
      <c r="L303" s="9"/>
      <c r="M303" s="9"/>
      <c r="N303" s="10"/>
      <c r="O303" s="9"/>
      <c r="P303" s="10"/>
      <c r="Q303" s="10">
        <f t="shared" si="12"/>
        <v>1789.9899999999998</v>
      </c>
    </row>
    <row r="304" spans="1:17" x14ac:dyDescent="0.25">
      <c r="A304" s="6">
        <v>44749</v>
      </c>
      <c r="B304" s="1">
        <v>1</v>
      </c>
      <c r="C304" s="14">
        <v>4</v>
      </c>
      <c r="D304" s="2">
        <v>12472</v>
      </c>
      <c r="E304" s="9">
        <v>30709362875</v>
      </c>
      <c r="F304" s="9" t="s">
        <v>155</v>
      </c>
      <c r="G304" s="10">
        <v>4845.07</v>
      </c>
      <c r="H304" s="10">
        <v>1017.4646999999999</v>
      </c>
      <c r="I304" s="9"/>
      <c r="J304" s="9"/>
      <c r="K304" s="9"/>
      <c r="L304" s="10"/>
      <c r="M304" s="9"/>
      <c r="N304" s="9"/>
      <c r="O304" s="9"/>
      <c r="P304" s="9"/>
      <c r="Q304" s="10">
        <f t="shared" si="12"/>
        <v>5862.5346999999992</v>
      </c>
    </row>
    <row r="305" spans="1:17" x14ac:dyDescent="0.25">
      <c r="A305" s="6">
        <v>44743</v>
      </c>
      <c r="B305" s="1">
        <v>1</v>
      </c>
      <c r="C305" s="14">
        <v>3</v>
      </c>
      <c r="D305" s="2">
        <v>550</v>
      </c>
      <c r="E305" s="9">
        <v>30715402765</v>
      </c>
      <c r="F305" s="9" t="s">
        <v>16</v>
      </c>
      <c r="G305" s="10">
        <v>7768.6</v>
      </c>
      <c r="H305" s="10">
        <v>1631.4059999999999</v>
      </c>
      <c r="I305" s="9"/>
      <c r="J305" s="9"/>
      <c r="K305" s="9"/>
      <c r="L305" s="9"/>
      <c r="M305" s="9"/>
      <c r="N305" s="9"/>
      <c r="O305" s="9"/>
      <c r="P305" s="9"/>
      <c r="Q305" s="10">
        <f t="shared" si="12"/>
        <v>9400.0060000000012</v>
      </c>
    </row>
    <row r="306" spans="1:17" x14ac:dyDescent="0.25">
      <c r="A306" s="6">
        <v>44743</v>
      </c>
      <c r="B306" s="1">
        <v>1</v>
      </c>
      <c r="C306" s="14">
        <v>3</v>
      </c>
      <c r="D306" s="2">
        <v>161635</v>
      </c>
      <c r="E306" s="9">
        <v>30707135596</v>
      </c>
      <c r="F306" s="9" t="s">
        <v>17</v>
      </c>
      <c r="G306" s="10">
        <v>3133.28</v>
      </c>
      <c r="H306" s="10">
        <v>657.98879999999997</v>
      </c>
      <c r="I306" s="9"/>
      <c r="J306" s="9"/>
      <c r="K306" s="9"/>
      <c r="L306" s="10"/>
      <c r="M306" s="9"/>
      <c r="N306" s="9"/>
      <c r="O306" s="9"/>
      <c r="P306" s="9"/>
      <c r="Q306" s="10">
        <f t="shared" si="12"/>
        <v>3791.2688000000003</v>
      </c>
    </row>
    <row r="307" spans="1:17" x14ac:dyDescent="0.25">
      <c r="A307" s="6">
        <v>44747</v>
      </c>
      <c r="B307" s="1">
        <v>1</v>
      </c>
      <c r="C307" s="14">
        <v>2</v>
      </c>
      <c r="D307" s="2">
        <v>517</v>
      </c>
      <c r="E307" s="9">
        <v>20296550184</v>
      </c>
      <c r="F307" s="9" t="s">
        <v>37</v>
      </c>
      <c r="G307" s="10">
        <v>132001.5</v>
      </c>
      <c r="H307" s="10">
        <v>27720.314999999999</v>
      </c>
      <c r="I307" s="9"/>
      <c r="J307" s="10"/>
      <c r="K307" s="9"/>
      <c r="L307" s="10"/>
      <c r="M307" s="9"/>
      <c r="N307" s="9"/>
      <c r="O307" s="9"/>
      <c r="P307" s="9"/>
      <c r="Q307" s="10">
        <f t="shared" si="12"/>
        <v>159721.815</v>
      </c>
    </row>
    <row r="308" spans="1:17" x14ac:dyDescent="0.25">
      <c r="A308" s="6">
        <v>44746</v>
      </c>
      <c r="B308" s="1">
        <v>1</v>
      </c>
      <c r="C308" s="14">
        <v>1</v>
      </c>
      <c r="D308" s="2">
        <v>1508</v>
      </c>
      <c r="E308" s="9">
        <v>20299039367</v>
      </c>
      <c r="F308" s="9" t="s">
        <v>156</v>
      </c>
      <c r="G308" s="10">
        <v>1758.68</v>
      </c>
      <c r="H308" s="10">
        <v>369.32279999999997</v>
      </c>
      <c r="I308" s="9"/>
      <c r="J308" s="9"/>
      <c r="K308" s="10"/>
      <c r="L308" s="9"/>
      <c r="M308" s="9"/>
      <c r="N308" s="9"/>
      <c r="O308" s="9"/>
      <c r="P308" s="9"/>
      <c r="Q308" s="10">
        <f t="shared" si="12"/>
        <v>2128.0028000000002</v>
      </c>
    </row>
    <row r="309" spans="1:17" x14ac:dyDescent="0.25">
      <c r="A309" s="6">
        <v>44745</v>
      </c>
      <c r="B309" s="1">
        <v>1</v>
      </c>
      <c r="C309" s="14">
        <v>1</v>
      </c>
      <c r="D309" s="2">
        <v>362</v>
      </c>
      <c r="E309" s="9">
        <v>30716807084</v>
      </c>
      <c r="F309" s="9" t="s">
        <v>157</v>
      </c>
      <c r="G309" s="10">
        <v>1704.99</v>
      </c>
      <c r="H309" s="10">
        <v>42.95</v>
      </c>
      <c r="I309" s="9"/>
      <c r="J309" s="10">
        <v>157.55000000000001</v>
      </c>
      <c r="K309" s="9"/>
      <c r="L309" s="9"/>
      <c r="M309" s="9"/>
      <c r="N309" s="10"/>
      <c r="O309" s="9"/>
      <c r="P309" s="10"/>
      <c r="Q309" s="10">
        <f t="shared" si="12"/>
        <v>1905.49</v>
      </c>
    </row>
    <row r="310" spans="1:17" s="30" customFormat="1" x14ac:dyDescent="0.25">
      <c r="A310" s="6">
        <v>44748</v>
      </c>
      <c r="B310" s="1">
        <v>1</v>
      </c>
      <c r="C310" s="14">
        <v>6</v>
      </c>
      <c r="D310" s="2">
        <v>622</v>
      </c>
      <c r="E310" s="9">
        <v>30714971782</v>
      </c>
      <c r="F310" s="9" t="s">
        <v>158</v>
      </c>
      <c r="G310" s="10">
        <v>4925.62</v>
      </c>
      <c r="H310" s="10">
        <v>1034.3801999999998</v>
      </c>
      <c r="I310" s="9"/>
      <c r="J310" s="10"/>
      <c r="K310" s="9"/>
      <c r="L310" s="9"/>
      <c r="M310" s="9"/>
      <c r="N310" s="10"/>
      <c r="O310" s="9"/>
      <c r="P310" s="10"/>
      <c r="Q310" s="10">
        <f t="shared" ref="Q310:Q326" si="13">SUM(G310:P310)</f>
        <v>5960.0001999999995</v>
      </c>
    </row>
    <row r="311" spans="1:17" s="30" customFormat="1" x14ac:dyDescent="0.25">
      <c r="A311" s="6">
        <v>44744</v>
      </c>
      <c r="B311" s="1">
        <v>1</v>
      </c>
      <c r="C311" s="14">
        <v>3</v>
      </c>
      <c r="D311" s="2">
        <v>741</v>
      </c>
      <c r="E311" s="9">
        <v>30716146509</v>
      </c>
      <c r="F311" s="9" t="s">
        <v>159</v>
      </c>
      <c r="G311" s="10">
        <v>1338.1</v>
      </c>
      <c r="H311" s="10">
        <v>281.00099999999998</v>
      </c>
      <c r="I311" s="9"/>
      <c r="J311" s="10"/>
      <c r="K311" s="9"/>
      <c r="L311" s="9"/>
      <c r="M311" s="9"/>
      <c r="N311" s="10"/>
      <c r="O311" s="9"/>
      <c r="P311" s="10"/>
      <c r="Q311" s="10">
        <f t="shared" si="13"/>
        <v>1619.1009999999999</v>
      </c>
    </row>
    <row r="312" spans="1:17" s="30" customFormat="1" x14ac:dyDescent="0.25">
      <c r="A312" s="6">
        <v>44747</v>
      </c>
      <c r="B312" s="1">
        <v>1</v>
      </c>
      <c r="C312" s="14">
        <v>3</v>
      </c>
      <c r="D312" s="2">
        <v>669</v>
      </c>
      <c r="E312" s="9">
        <v>30716328178</v>
      </c>
      <c r="F312" s="9" t="s">
        <v>160</v>
      </c>
      <c r="G312" s="10">
        <v>2586.21</v>
      </c>
      <c r="H312" s="10">
        <v>543.10410000000002</v>
      </c>
      <c r="I312" s="9"/>
      <c r="J312" s="10"/>
      <c r="K312" s="9"/>
      <c r="L312" s="9"/>
      <c r="M312" s="9"/>
      <c r="N312" s="10"/>
      <c r="O312" s="9"/>
      <c r="P312" s="10"/>
      <c r="Q312" s="10">
        <f t="shared" si="13"/>
        <v>3129.3141000000001</v>
      </c>
    </row>
    <row r="313" spans="1:17" s="30" customFormat="1" x14ac:dyDescent="0.25">
      <c r="A313" s="6">
        <v>44746</v>
      </c>
      <c r="B313" s="1">
        <v>1</v>
      </c>
      <c r="C313" s="14">
        <v>8</v>
      </c>
      <c r="D313" s="2">
        <v>65151</v>
      </c>
      <c r="E313" s="9">
        <v>30586172308</v>
      </c>
      <c r="F313" s="9" t="s">
        <v>161</v>
      </c>
      <c r="G313" s="10">
        <v>413.22</v>
      </c>
      <c r="H313" s="10">
        <v>86.776200000000003</v>
      </c>
      <c r="I313" s="9"/>
      <c r="J313" s="10"/>
      <c r="K313" s="9"/>
      <c r="L313" s="9"/>
      <c r="M313" s="9"/>
      <c r="N313" s="10"/>
      <c r="O313" s="9"/>
      <c r="P313" s="10"/>
      <c r="Q313" s="10">
        <f t="shared" si="13"/>
        <v>499.99620000000004</v>
      </c>
    </row>
    <row r="314" spans="1:17" s="30" customFormat="1" x14ac:dyDescent="0.25">
      <c r="A314" s="6">
        <v>44753</v>
      </c>
      <c r="B314" s="1">
        <v>1</v>
      </c>
      <c r="C314" s="14">
        <v>2466</v>
      </c>
      <c r="D314" s="2">
        <v>383725</v>
      </c>
      <c r="E314" s="9">
        <v>30678814357</v>
      </c>
      <c r="F314" s="9" t="s">
        <v>20</v>
      </c>
      <c r="G314" s="10">
        <v>1987</v>
      </c>
      <c r="H314" s="10"/>
      <c r="I314" s="9">
        <v>536.49</v>
      </c>
      <c r="J314" s="10"/>
      <c r="K314" s="9"/>
      <c r="L314" s="9"/>
      <c r="M314" s="9"/>
      <c r="N314" s="10"/>
      <c r="O314" s="9"/>
      <c r="P314" s="10">
        <v>104.58</v>
      </c>
      <c r="Q314" s="10">
        <f t="shared" si="13"/>
        <v>2628.0699999999997</v>
      </c>
    </row>
    <row r="315" spans="1:17" s="30" customFormat="1" x14ac:dyDescent="0.25">
      <c r="A315" s="6">
        <v>44754</v>
      </c>
      <c r="B315" s="1">
        <v>1</v>
      </c>
      <c r="C315" s="14">
        <v>14</v>
      </c>
      <c r="D315" s="2">
        <v>98</v>
      </c>
      <c r="E315" s="9">
        <v>30711849587</v>
      </c>
      <c r="F315" s="9" t="s">
        <v>162</v>
      </c>
      <c r="G315" s="10">
        <v>11487.6</v>
      </c>
      <c r="H315" s="10">
        <v>2412.3960000000002</v>
      </c>
      <c r="I315" s="9"/>
      <c r="J315" s="10"/>
      <c r="K315" s="9"/>
      <c r="L315" s="9"/>
      <c r="M315" s="9"/>
      <c r="N315" s="10"/>
      <c r="O315" s="9"/>
      <c r="P315" s="10"/>
      <c r="Q315" s="10">
        <f t="shared" si="13"/>
        <v>13899.996000000001</v>
      </c>
    </row>
    <row r="316" spans="1:17" s="30" customFormat="1" x14ac:dyDescent="0.25">
      <c r="A316" s="6">
        <v>44765</v>
      </c>
      <c r="B316" s="1">
        <v>1</v>
      </c>
      <c r="C316" s="14">
        <v>122</v>
      </c>
      <c r="D316" s="2">
        <v>248172</v>
      </c>
      <c r="E316" s="9">
        <v>30594494187</v>
      </c>
      <c r="F316" s="9" t="s">
        <v>45</v>
      </c>
      <c r="G316" s="10">
        <v>7784.4</v>
      </c>
      <c r="H316" s="10">
        <v>1634.7239999999999</v>
      </c>
      <c r="I316" s="9"/>
      <c r="J316" s="10"/>
      <c r="K316" s="9"/>
      <c r="L316" s="9"/>
      <c r="M316" s="9"/>
      <c r="N316" s="10"/>
      <c r="O316" s="9"/>
      <c r="P316" s="10">
        <v>14380.38</v>
      </c>
      <c r="Q316" s="10">
        <f t="shared" si="13"/>
        <v>23799.504000000001</v>
      </c>
    </row>
    <row r="317" spans="1:17" s="30" customFormat="1" x14ac:dyDescent="0.25">
      <c r="A317" s="6">
        <v>44769</v>
      </c>
      <c r="B317" s="1">
        <v>1</v>
      </c>
      <c r="C317" s="14">
        <v>3</v>
      </c>
      <c r="D317" s="2">
        <v>985936</v>
      </c>
      <c r="E317" s="9">
        <v>30712019359</v>
      </c>
      <c r="F317" s="9" t="s">
        <v>23</v>
      </c>
      <c r="G317" s="10">
        <v>2478.5100000000002</v>
      </c>
      <c r="H317" s="10">
        <v>520.48710000000005</v>
      </c>
      <c r="I317" s="9"/>
      <c r="J317" s="10"/>
      <c r="K317" s="9"/>
      <c r="L317" s="9"/>
      <c r="M317" s="9"/>
      <c r="N317" s="10"/>
      <c r="O317" s="9"/>
      <c r="P317" s="10"/>
      <c r="Q317" s="10">
        <f t="shared" si="13"/>
        <v>2998.9971000000005</v>
      </c>
    </row>
    <row r="318" spans="1:17" s="30" customFormat="1" x14ac:dyDescent="0.25">
      <c r="A318" s="6">
        <v>44770</v>
      </c>
      <c r="B318" s="1">
        <v>1</v>
      </c>
      <c r="C318" s="14">
        <v>9</v>
      </c>
      <c r="D318" s="2">
        <v>46850</v>
      </c>
      <c r="E318" s="9">
        <v>33715571639</v>
      </c>
      <c r="F318" s="9" t="s">
        <v>92</v>
      </c>
      <c r="G318" s="10">
        <v>701.64</v>
      </c>
      <c r="H318" s="10">
        <v>147.34439999999998</v>
      </c>
      <c r="I318" s="9"/>
      <c r="J318" s="10"/>
      <c r="K318" s="9"/>
      <c r="L318" s="9"/>
      <c r="M318" s="9"/>
      <c r="N318" s="10"/>
      <c r="O318" s="9"/>
      <c r="P318" s="10"/>
      <c r="Q318" s="10">
        <f t="shared" si="13"/>
        <v>848.98439999999994</v>
      </c>
    </row>
    <row r="319" spans="1:17" s="30" customFormat="1" x14ac:dyDescent="0.25">
      <c r="A319" s="6">
        <v>44771</v>
      </c>
      <c r="B319" s="1">
        <v>1</v>
      </c>
      <c r="C319" s="14">
        <v>3</v>
      </c>
      <c r="D319" s="2">
        <v>5735</v>
      </c>
      <c r="E319" s="9">
        <v>20141343700</v>
      </c>
      <c r="F319" s="9" t="s">
        <v>68</v>
      </c>
      <c r="G319" s="10">
        <v>9417.5</v>
      </c>
      <c r="H319" s="10"/>
      <c r="I319" s="9"/>
      <c r="J319" s="10">
        <v>988.83749999999998</v>
      </c>
      <c r="K319" s="9"/>
      <c r="L319" s="9"/>
      <c r="M319" s="9"/>
      <c r="N319" s="10"/>
      <c r="O319" s="9"/>
      <c r="P319" s="10"/>
      <c r="Q319" s="10">
        <f t="shared" si="13"/>
        <v>10406.3375</v>
      </c>
    </row>
    <row r="320" spans="1:17" s="30" customFormat="1" x14ac:dyDescent="0.25">
      <c r="A320" s="6">
        <v>44762</v>
      </c>
      <c r="B320" s="1">
        <v>3</v>
      </c>
      <c r="C320" s="14">
        <v>1</v>
      </c>
      <c r="D320" s="2">
        <v>25</v>
      </c>
      <c r="E320" s="9">
        <v>30715048066</v>
      </c>
      <c r="F320" s="9" t="s">
        <v>24</v>
      </c>
      <c r="G320" s="10">
        <v>-81105</v>
      </c>
      <c r="H320" s="10">
        <v>-17032.05</v>
      </c>
      <c r="I320" s="9"/>
      <c r="J320" s="10"/>
      <c r="K320" s="9"/>
      <c r="L320" s="9"/>
      <c r="M320" s="9"/>
      <c r="N320" s="10"/>
      <c r="O320" s="9"/>
      <c r="P320" s="10"/>
      <c r="Q320" s="10">
        <f t="shared" si="13"/>
        <v>-98137.05</v>
      </c>
    </row>
    <row r="321" spans="1:17" s="30" customFormat="1" x14ac:dyDescent="0.25">
      <c r="A321" s="6">
        <v>44767</v>
      </c>
      <c r="B321" s="1">
        <v>3</v>
      </c>
      <c r="C321" s="14">
        <v>122</v>
      </c>
      <c r="D321" s="2">
        <v>39607</v>
      </c>
      <c r="E321" s="9">
        <v>30594494187</v>
      </c>
      <c r="F321" s="9" t="s">
        <v>45</v>
      </c>
      <c r="G321" s="10">
        <v>-7784.4</v>
      </c>
      <c r="H321" s="10">
        <v>-1634.7239999999999</v>
      </c>
      <c r="I321" s="9"/>
      <c r="J321" s="10"/>
      <c r="K321" s="9"/>
      <c r="L321" s="9"/>
      <c r="M321" s="9"/>
      <c r="N321" s="10"/>
      <c r="O321" s="9"/>
      <c r="P321" s="10">
        <v>-14380.38</v>
      </c>
      <c r="Q321" s="10">
        <f t="shared" si="13"/>
        <v>-23799.504000000001</v>
      </c>
    </row>
    <row r="322" spans="1:17" s="30" customFormat="1" x14ac:dyDescent="0.25">
      <c r="A322" s="6">
        <v>44771</v>
      </c>
      <c r="B322" s="1">
        <v>1</v>
      </c>
      <c r="C322" s="14">
        <v>1</v>
      </c>
      <c r="D322" s="2">
        <v>484</v>
      </c>
      <c r="E322" s="9">
        <v>30715048066</v>
      </c>
      <c r="F322" s="9" t="s">
        <v>24</v>
      </c>
      <c r="G322" s="10">
        <v>105405</v>
      </c>
      <c r="H322" s="10">
        <v>22135.05</v>
      </c>
      <c r="I322" s="9"/>
      <c r="J322" s="10"/>
      <c r="K322" s="9"/>
      <c r="L322" s="9"/>
      <c r="M322" s="9"/>
      <c r="N322" s="10"/>
      <c r="O322" s="9"/>
      <c r="P322" s="9"/>
      <c r="Q322" s="10">
        <f t="shared" si="13"/>
        <v>127540.05</v>
      </c>
    </row>
    <row r="323" spans="1:17" s="30" customFormat="1" x14ac:dyDescent="0.25">
      <c r="A323" s="6">
        <v>44771</v>
      </c>
      <c r="B323" s="1">
        <v>1</v>
      </c>
      <c r="C323" s="14">
        <v>5</v>
      </c>
      <c r="D323" s="2">
        <v>697</v>
      </c>
      <c r="E323" s="9">
        <v>30707397256</v>
      </c>
      <c r="F323" s="9" t="s">
        <v>101</v>
      </c>
      <c r="G323" s="10">
        <v>519889.5</v>
      </c>
      <c r="H323" s="10">
        <v>109176.795</v>
      </c>
      <c r="I323" s="9"/>
      <c r="J323" s="10"/>
      <c r="K323" s="9"/>
      <c r="L323" s="9"/>
      <c r="M323" s="9"/>
      <c r="N323" s="10"/>
      <c r="O323" s="9"/>
      <c r="P323" s="9"/>
      <c r="Q323" s="10">
        <f t="shared" si="13"/>
        <v>629066.29500000004</v>
      </c>
    </row>
    <row r="324" spans="1:17" x14ac:dyDescent="0.25">
      <c r="A324" s="6">
        <v>44773</v>
      </c>
      <c r="B324" s="1">
        <v>99</v>
      </c>
      <c r="C324" s="14">
        <v>1</v>
      </c>
      <c r="D324" s="2">
        <v>3172022</v>
      </c>
      <c r="E324" s="9" t="s">
        <v>108</v>
      </c>
      <c r="F324" s="9" t="s">
        <v>109</v>
      </c>
      <c r="G324" s="10">
        <v>3706.3809523809523</v>
      </c>
      <c r="H324" s="10">
        <v>778.33999999999992</v>
      </c>
      <c r="I324" s="9"/>
      <c r="J324" s="9"/>
      <c r="K324" s="9"/>
      <c r="L324" s="9"/>
      <c r="M324" s="9"/>
      <c r="N324" s="10"/>
      <c r="O324" s="9"/>
      <c r="P324" s="9"/>
      <c r="Q324" s="10">
        <f t="shared" si="13"/>
        <v>4484.7209523809524</v>
      </c>
    </row>
    <row r="325" spans="1:17" x14ac:dyDescent="0.25">
      <c r="A325" s="6">
        <v>44743</v>
      </c>
      <c r="B325" s="1">
        <v>99</v>
      </c>
      <c r="C325" s="14">
        <v>617</v>
      </c>
      <c r="D325" s="2">
        <v>484161</v>
      </c>
      <c r="E325" s="9" t="s">
        <v>108</v>
      </c>
      <c r="F325" s="9" t="s">
        <v>109</v>
      </c>
      <c r="G325" s="10">
        <v>14401.45</v>
      </c>
      <c r="H325" s="10">
        <v>3024.3045000000002</v>
      </c>
      <c r="I325" s="9"/>
      <c r="J325" s="9"/>
      <c r="K325" s="9"/>
      <c r="L325" s="9"/>
      <c r="M325" s="9">
        <v>432.04</v>
      </c>
      <c r="N325" s="10"/>
      <c r="O325" s="9"/>
      <c r="P325" s="9"/>
      <c r="Q325" s="10">
        <f t="shared" si="13"/>
        <v>17857.794500000004</v>
      </c>
    </row>
    <row r="326" spans="1:17" x14ac:dyDescent="0.25">
      <c r="A326" s="6">
        <v>44773</v>
      </c>
      <c r="B326" s="1">
        <v>99</v>
      </c>
      <c r="C326" s="14">
        <v>1</v>
      </c>
      <c r="D326" s="2">
        <v>31722</v>
      </c>
      <c r="E326" s="9" t="s">
        <v>108</v>
      </c>
      <c r="F326" s="9" t="s">
        <v>109</v>
      </c>
      <c r="G326" s="10">
        <v>80</v>
      </c>
      <c r="H326" s="10">
        <v>16.8</v>
      </c>
      <c r="I326" s="9"/>
      <c r="J326" s="9"/>
      <c r="K326" s="9"/>
      <c r="L326" s="9"/>
      <c r="M326" s="9"/>
      <c r="N326" s="10"/>
      <c r="O326" s="9">
        <v>1.78</v>
      </c>
      <c r="P326" s="9"/>
      <c r="Q326" s="10">
        <f t="shared" si="13"/>
        <v>98.58</v>
      </c>
    </row>
    <row r="327" spans="1:17" ht="16.5" thickBot="1" x14ac:dyDescent="0.3">
      <c r="A327" s="78" t="s">
        <v>26</v>
      </c>
      <c r="B327" s="78"/>
      <c r="C327" s="78"/>
      <c r="D327" s="78"/>
      <c r="E327" s="78"/>
      <c r="F327" s="79"/>
      <c r="G327" s="34">
        <f t="shared" ref="G327:Q327" si="14">SUM(G288:G326)</f>
        <v>1408951.9690476193</v>
      </c>
      <c r="H327" s="34">
        <f t="shared" si="14"/>
        <v>292003.75390000001</v>
      </c>
      <c r="I327" s="34">
        <f t="shared" si="14"/>
        <v>536.49</v>
      </c>
      <c r="J327" s="34">
        <f t="shared" si="14"/>
        <v>1729.4475000000002</v>
      </c>
      <c r="K327" s="34">
        <f t="shared" si="14"/>
        <v>0</v>
      </c>
      <c r="L327" s="34">
        <f t="shared" si="14"/>
        <v>0</v>
      </c>
      <c r="M327" s="34">
        <f t="shared" si="14"/>
        <v>432.04</v>
      </c>
      <c r="N327" s="34">
        <f t="shared" si="14"/>
        <v>0</v>
      </c>
      <c r="O327" s="34">
        <f t="shared" si="14"/>
        <v>1.78</v>
      </c>
      <c r="P327" s="34">
        <f t="shared" si="14"/>
        <v>-72520.789799999999</v>
      </c>
      <c r="Q327" s="34">
        <f t="shared" si="14"/>
        <v>1631134.6906476195</v>
      </c>
    </row>
    <row r="328" spans="1:17" ht="15.75" thickBot="1" x14ac:dyDescent="0.3">
      <c r="A328" s="30"/>
      <c r="B328" s="30"/>
      <c r="C328" s="30"/>
      <c r="D328" s="30"/>
      <c r="E328" s="30"/>
      <c r="F328" s="30"/>
      <c r="G328" s="30"/>
      <c r="H328" s="72">
        <f>SUM(H327:J327)</f>
        <v>294269.69140000001</v>
      </c>
      <c r="I328" s="73"/>
      <c r="J328" s="74"/>
      <c r="K328" s="30"/>
      <c r="L328" s="30"/>
      <c r="M328" s="30"/>
      <c r="N328" s="30"/>
      <c r="O328" s="30"/>
      <c r="P328" s="30"/>
      <c r="Q328" s="30"/>
    </row>
    <row r="329" spans="1:17" ht="27.75" thickTop="1" thickBot="1" x14ac:dyDescent="0.45">
      <c r="A329" s="75" t="s">
        <v>112</v>
      </c>
      <c r="B329" s="75"/>
      <c r="C329" s="75"/>
      <c r="D329" s="75"/>
      <c r="E329" s="75"/>
      <c r="F329" s="30"/>
      <c r="G329" s="30"/>
      <c r="H329" s="30"/>
      <c r="I329" s="30"/>
      <c r="J329" s="30"/>
      <c r="K329" s="30"/>
      <c r="L329" s="30"/>
      <c r="M329" s="30"/>
      <c r="N329" s="30"/>
      <c r="O329" s="76">
        <v>44774</v>
      </c>
      <c r="P329" s="77"/>
      <c r="Q329" s="77"/>
    </row>
    <row r="330" spans="1:17" ht="15.75" thickBot="1" x14ac:dyDescent="0.3">
      <c r="A330" s="27" t="s">
        <v>0</v>
      </c>
      <c r="B330" s="28" t="s">
        <v>1</v>
      </c>
      <c r="C330" s="28" t="s">
        <v>2</v>
      </c>
      <c r="D330" s="28" t="s">
        <v>3</v>
      </c>
      <c r="E330" s="28" t="s">
        <v>4</v>
      </c>
      <c r="F330" s="28" t="s">
        <v>5</v>
      </c>
      <c r="G330" s="28" t="s">
        <v>6</v>
      </c>
      <c r="H330" s="26" t="s">
        <v>7</v>
      </c>
      <c r="I330" s="28" t="s">
        <v>8</v>
      </c>
      <c r="J330" s="28" t="s">
        <v>9</v>
      </c>
      <c r="K330" s="28" t="s">
        <v>10</v>
      </c>
      <c r="L330" s="28" t="s">
        <v>11</v>
      </c>
      <c r="M330" s="28" t="s">
        <v>12</v>
      </c>
      <c r="N330" s="28" t="s">
        <v>27</v>
      </c>
      <c r="O330" s="28" t="s">
        <v>13</v>
      </c>
      <c r="P330" s="26" t="s">
        <v>14</v>
      </c>
      <c r="Q330" s="35" t="s">
        <v>15</v>
      </c>
    </row>
    <row r="331" spans="1:17" x14ac:dyDescent="0.25">
      <c r="A331" s="21">
        <v>44792</v>
      </c>
      <c r="B331" s="22">
        <v>1</v>
      </c>
      <c r="C331" s="23">
        <v>106</v>
      </c>
      <c r="D331" s="2">
        <v>555670</v>
      </c>
      <c r="E331" s="24">
        <v>30594494187</v>
      </c>
      <c r="F331" s="24" t="s">
        <v>45</v>
      </c>
      <c r="G331" s="25">
        <v>14175</v>
      </c>
      <c r="H331" s="25">
        <v>2976.75</v>
      </c>
      <c r="I331" s="24"/>
      <c r="J331" s="25"/>
      <c r="K331" s="25"/>
      <c r="L331" s="24"/>
      <c r="M331" s="24"/>
      <c r="N331" s="24"/>
      <c r="O331" s="25"/>
      <c r="P331" s="24">
        <v>147823.92000000001</v>
      </c>
      <c r="Q331" s="10">
        <f t="shared" ref="Q331:Q352" si="15">SUM(G331:P331)</f>
        <v>164975.67000000001</v>
      </c>
    </row>
    <row r="332" spans="1:17" x14ac:dyDescent="0.25">
      <c r="A332" s="6">
        <v>44775</v>
      </c>
      <c r="B332" s="1">
        <v>1</v>
      </c>
      <c r="C332" s="14">
        <v>280</v>
      </c>
      <c r="D332" s="2">
        <v>1381451</v>
      </c>
      <c r="E332" s="9">
        <v>30580111315</v>
      </c>
      <c r="F332" s="9" t="s">
        <v>21</v>
      </c>
      <c r="G332" s="10">
        <v>439627.61810000002</v>
      </c>
      <c r="H332" s="10">
        <v>92321.799801000001</v>
      </c>
      <c r="I332" s="9"/>
      <c r="J332" s="10"/>
      <c r="K332" s="9"/>
      <c r="L332" s="9"/>
      <c r="M332" s="9"/>
      <c r="N332" s="9"/>
      <c r="O332" s="9"/>
      <c r="P332" s="9">
        <v>-366109.49430000002</v>
      </c>
      <c r="Q332" s="10">
        <f t="shared" si="15"/>
        <v>165839.92360099999</v>
      </c>
    </row>
    <row r="333" spans="1:17" x14ac:dyDescent="0.25">
      <c r="A333" s="6">
        <v>44783</v>
      </c>
      <c r="B333" s="1">
        <v>1</v>
      </c>
      <c r="C333" s="14">
        <v>280</v>
      </c>
      <c r="D333" s="2">
        <v>1382909</v>
      </c>
      <c r="E333" s="9">
        <v>30580111315</v>
      </c>
      <c r="F333" s="9" t="s">
        <v>21</v>
      </c>
      <c r="G333" s="10">
        <v>418587.00880000001</v>
      </c>
      <c r="H333" s="10">
        <v>841.49</v>
      </c>
      <c r="I333" s="9"/>
      <c r="J333" s="9">
        <v>43530.463000000003</v>
      </c>
      <c r="K333" s="10"/>
      <c r="L333" s="10"/>
      <c r="M333" s="10"/>
      <c r="N333" s="9"/>
      <c r="O333" s="10"/>
      <c r="P333" s="9">
        <v>-376890.46189999999</v>
      </c>
      <c r="Q333" s="10">
        <f t="shared" si="15"/>
        <v>86068.499899999995</v>
      </c>
    </row>
    <row r="334" spans="1:17" x14ac:dyDescent="0.25">
      <c r="A334" s="6">
        <v>44804</v>
      </c>
      <c r="B334" s="1">
        <v>1</v>
      </c>
      <c r="C334" s="14">
        <v>4</v>
      </c>
      <c r="D334" s="2">
        <v>18961</v>
      </c>
      <c r="E334" s="9">
        <v>33644560509</v>
      </c>
      <c r="F334" s="9" t="s">
        <v>99</v>
      </c>
      <c r="G334" s="10">
        <v>38192.949999999997</v>
      </c>
      <c r="H334" s="10">
        <v>8020.5194999999994</v>
      </c>
      <c r="I334" s="9"/>
      <c r="J334" s="9"/>
      <c r="K334" s="10"/>
      <c r="L334" s="9"/>
      <c r="M334" s="9"/>
      <c r="N334" s="9"/>
      <c r="O334" s="9"/>
      <c r="P334" s="9"/>
      <c r="Q334" s="10">
        <f t="shared" si="15"/>
        <v>46213.469499999999</v>
      </c>
    </row>
    <row r="335" spans="1:17" x14ac:dyDescent="0.25">
      <c r="A335" s="6">
        <v>44803</v>
      </c>
      <c r="B335" s="1">
        <v>1</v>
      </c>
      <c r="C335" s="14">
        <v>8</v>
      </c>
      <c r="D335" s="2">
        <v>158254</v>
      </c>
      <c r="E335" s="9">
        <v>33606484599</v>
      </c>
      <c r="F335" s="9" t="s">
        <v>61</v>
      </c>
      <c r="G335" s="10">
        <v>487342.97</v>
      </c>
      <c r="H335" s="10">
        <v>102342.02369999999</v>
      </c>
      <c r="I335" s="9"/>
      <c r="J335" s="10"/>
      <c r="K335" s="9"/>
      <c r="L335" s="10"/>
      <c r="M335" s="9"/>
      <c r="N335" s="9"/>
      <c r="O335" s="9"/>
      <c r="P335" s="9"/>
      <c r="Q335" s="10">
        <f t="shared" si="15"/>
        <v>589684.99369999999</v>
      </c>
    </row>
    <row r="336" spans="1:17" x14ac:dyDescent="0.25">
      <c r="A336" s="6">
        <v>44802</v>
      </c>
      <c r="B336" s="1">
        <v>1</v>
      </c>
      <c r="C336" s="14">
        <v>5</v>
      </c>
      <c r="D336" s="2">
        <v>49509</v>
      </c>
      <c r="E336" s="9">
        <v>30609968792</v>
      </c>
      <c r="F336" s="9" t="s">
        <v>165</v>
      </c>
      <c r="G336" s="10">
        <v>465315.83999999991</v>
      </c>
      <c r="H336" s="10">
        <v>97716.326399999976</v>
      </c>
      <c r="I336" s="9"/>
      <c r="J336" s="10"/>
      <c r="K336" s="9"/>
      <c r="L336" s="10"/>
      <c r="M336" s="9"/>
      <c r="N336" s="9"/>
      <c r="O336" s="9"/>
      <c r="P336" s="9"/>
      <c r="Q336" s="10">
        <f t="shared" si="15"/>
        <v>563032.16639999987</v>
      </c>
    </row>
    <row r="337" spans="1:17" x14ac:dyDescent="0.25">
      <c r="A337" s="6">
        <v>44799</v>
      </c>
      <c r="B337" s="1">
        <v>1</v>
      </c>
      <c r="C337" s="14">
        <v>2</v>
      </c>
      <c r="D337" s="2">
        <v>12097</v>
      </c>
      <c r="E337" s="9">
        <v>20103565309</v>
      </c>
      <c r="F337" s="9" t="s">
        <v>166</v>
      </c>
      <c r="G337" s="10">
        <v>33840</v>
      </c>
      <c r="H337" s="10">
        <v>7106.4</v>
      </c>
      <c r="I337" s="9"/>
      <c r="J337" s="10"/>
      <c r="K337" s="9"/>
      <c r="L337" s="9"/>
      <c r="M337" s="9"/>
      <c r="N337" s="9"/>
      <c r="O337" s="9"/>
      <c r="P337" s="9"/>
      <c r="Q337" s="10">
        <f t="shared" si="15"/>
        <v>40946.400000000001</v>
      </c>
    </row>
    <row r="338" spans="1:17" x14ac:dyDescent="0.25">
      <c r="A338" s="6">
        <v>44791</v>
      </c>
      <c r="B338" s="1">
        <v>1</v>
      </c>
      <c r="C338" s="14">
        <v>2</v>
      </c>
      <c r="D338" s="2">
        <v>2188</v>
      </c>
      <c r="E338" s="9">
        <v>30709131733</v>
      </c>
      <c r="F338" s="9" t="s">
        <v>116</v>
      </c>
      <c r="G338" s="10">
        <v>358550</v>
      </c>
      <c r="H338" s="10">
        <v>75295.5</v>
      </c>
      <c r="I338" s="9"/>
      <c r="J338" s="9"/>
      <c r="K338" s="9"/>
      <c r="L338" s="10"/>
      <c r="M338" s="9"/>
      <c r="N338" s="9"/>
      <c r="O338" s="9"/>
      <c r="P338" s="9"/>
      <c r="Q338" s="10">
        <f t="shared" si="15"/>
        <v>433845.5</v>
      </c>
    </row>
    <row r="339" spans="1:17" x14ac:dyDescent="0.25">
      <c r="A339" s="6">
        <v>44791</v>
      </c>
      <c r="B339" s="1">
        <v>1</v>
      </c>
      <c r="C339" s="14">
        <v>2</v>
      </c>
      <c r="D339" s="2">
        <v>535</v>
      </c>
      <c r="E339" s="9">
        <v>20296550184</v>
      </c>
      <c r="F339" s="9" t="s">
        <v>37</v>
      </c>
      <c r="G339" s="10">
        <v>16200</v>
      </c>
      <c r="H339" s="10">
        <v>3402</v>
      </c>
      <c r="I339" s="9"/>
      <c r="J339" s="10"/>
      <c r="K339" s="9"/>
      <c r="L339" s="10"/>
      <c r="M339" s="10"/>
      <c r="N339" s="10"/>
      <c r="O339" s="9"/>
      <c r="P339" s="10"/>
      <c r="Q339" s="10">
        <f t="shared" si="15"/>
        <v>19602</v>
      </c>
    </row>
    <row r="340" spans="1:17" x14ac:dyDescent="0.25">
      <c r="A340" s="6">
        <v>44795</v>
      </c>
      <c r="B340" s="1">
        <v>1</v>
      </c>
      <c r="C340" s="14">
        <v>700</v>
      </c>
      <c r="D340" s="2">
        <v>418162</v>
      </c>
      <c r="E340" s="9">
        <v>30580111315</v>
      </c>
      <c r="F340" s="9" t="s">
        <v>21</v>
      </c>
      <c r="G340" s="10"/>
      <c r="H340" s="10" t="s">
        <v>119</v>
      </c>
      <c r="I340" s="9"/>
      <c r="J340" s="10"/>
      <c r="K340" s="9"/>
      <c r="L340" s="10"/>
      <c r="M340" s="9"/>
      <c r="N340" s="9"/>
      <c r="O340" s="9"/>
      <c r="P340" s="9">
        <v>15762.7225</v>
      </c>
      <c r="Q340" s="10">
        <f t="shared" si="15"/>
        <v>15762.7225</v>
      </c>
    </row>
    <row r="341" spans="1:17" x14ac:dyDescent="0.25">
      <c r="A341" s="6">
        <v>44798</v>
      </c>
      <c r="B341" s="1">
        <v>1</v>
      </c>
      <c r="C341" s="14">
        <v>4</v>
      </c>
      <c r="D341" s="2">
        <v>12400</v>
      </c>
      <c r="E341" s="9">
        <v>30716701820</v>
      </c>
      <c r="F341" s="9" t="s">
        <v>167</v>
      </c>
      <c r="G341" s="10">
        <v>211492.18</v>
      </c>
      <c r="H341" s="10"/>
      <c r="I341" s="9"/>
      <c r="J341" s="10">
        <v>22206.678899999999</v>
      </c>
      <c r="K341" s="9"/>
      <c r="L341" s="9"/>
      <c r="M341" s="9"/>
      <c r="N341" s="9"/>
      <c r="O341" s="9"/>
      <c r="P341" s="9"/>
      <c r="Q341" s="10">
        <f t="shared" si="15"/>
        <v>233698.85889999999</v>
      </c>
    </row>
    <row r="342" spans="1:17" x14ac:dyDescent="0.25">
      <c r="A342" s="6">
        <v>44792</v>
      </c>
      <c r="B342" s="1">
        <v>1</v>
      </c>
      <c r="C342" s="14">
        <v>3</v>
      </c>
      <c r="D342" s="2">
        <v>4</v>
      </c>
      <c r="E342" s="9">
        <v>20297899830</v>
      </c>
      <c r="F342" s="9" t="s">
        <v>152</v>
      </c>
      <c r="G342" s="10">
        <v>266303.8</v>
      </c>
      <c r="H342" s="10">
        <v>55923.797999999995</v>
      </c>
      <c r="I342" s="9"/>
      <c r="J342" s="10"/>
      <c r="K342" s="9"/>
      <c r="L342" s="9"/>
      <c r="M342" s="9"/>
      <c r="N342" s="9"/>
      <c r="O342" s="9"/>
      <c r="P342" s="9"/>
      <c r="Q342" s="10">
        <f t="shared" si="15"/>
        <v>322227.598</v>
      </c>
    </row>
    <row r="343" spans="1:17" x14ac:dyDescent="0.25">
      <c r="A343" s="6">
        <v>44795</v>
      </c>
      <c r="B343" s="1">
        <v>1</v>
      </c>
      <c r="C343" s="14">
        <v>9</v>
      </c>
      <c r="D343" s="2">
        <v>1297</v>
      </c>
      <c r="E343" s="9">
        <v>30631047145</v>
      </c>
      <c r="F343" s="9" t="s">
        <v>25</v>
      </c>
      <c r="G343" s="10">
        <v>57772</v>
      </c>
      <c r="H343" s="10">
        <v>9948.94</v>
      </c>
      <c r="I343" s="9"/>
      <c r="J343" s="10">
        <v>1091.5899999999999</v>
      </c>
      <c r="K343" s="9"/>
      <c r="L343" s="9"/>
      <c r="M343" s="9"/>
      <c r="N343" s="9"/>
      <c r="O343" s="9"/>
      <c r="P343" s="9"/>
      <c r="Q343" s="10">
        <f t="shared" si="15"/>
        <v>68812.53</v>
      </c>
    </row>
    <row r="344" spans="1:17" x14ac:dyDescent="0.25">
      <c r="A344" s="6">
        <v>44795</v>
      </c>
      <c r="B344" s="1">
        <v>1</v>
      </c>
      <c r="C344" s="14">
        <v>9</v>
      </c>
      <c r="D344" s="2">
        <v>1298</v>
      </c>
      <c r="E344" s="9">
        <v>30631047145</v>
      </c>
      <c r="F344" s="9" t="s">
        <v>25</v>
      </c>
      <c r="G344" s="10">
        <v>7865</v>
      </c>
      <c r="H344" s="10">
        <v>1651.6499999999999</v>
      </c>
      <c r="I344" s="9"/>
      <c r="J344" s="9"/>
      <c r="K344" s="9"/>
      <c r="L344" s="9"/>
      <c r="M344" s="9"/>
      <c r="N344" s="9"/>
      <c r="O344" s="9"/>
      <c r="P344" s="9"/>
      <c r="Q344" s="10">
        <f t="shared" si="15"/>
        <v>9516.65</v>
      </c>
    </row>
    <row r="345" spans="1:17" x14ac:dyDescent="0.25">
      <c r="A345" s="6">
        <v>44791</v>
      </c>
      <c r="B345" s="1">
        <v>1</v>
      </c>
      <c r="C345" s="14">
        <v>4</v>
      </c>
      <c r="D345" s="2">
        <v>3155</v>
      </c>
      <c r="E345" s="9">
        <v>30714049123</v>
      </c>
      <c r="F345" s="9" t="s">
        <v>168</v>
      </c>
      <c r="G345" s="10">
        <v>45364.71</v>
      </c>
      <c r="H345" s="10"/>
      <c r="I345" s="10"/>
      <c r="J345" s="9">
        <v>4763.2945499999996</v>
      </c>
      <c r="K345" s="9"/>
      <c r="L345" s="9"/>
      <c r="M345" s="9"/>
      <c r="N345" s="9"/>
      <c r="O345" s="9"/>
      <c r="P345" s="9"/>
      <c r="Q345" s="10">
        <f t="shared" si="15"/>
        <v>50128.004549999998</v>
      </c>
    </row>
    <row r="346" spans="1:17" x14ac:dyDescent="0.25">
      <c r="A346" s="6">
        <v>44790</v>
      </c>
      <c r="B346" s="1">
        <v>1</v>
      </c>
      <c r="C346" s="14">
        <v>4</v>
      </c>
      <c r="D346" s="2">
        <v>2129</v>
      </c>
      <c r="E346" s="9">
        <v>20289114212</v>
      </c>
      <c r="F346" s="9" t="s">
        <v>169</v>
      </c>
      <c r="G346" s="10">
        <v>5495.87</v>
      </c>
      <c r="H346" s="10">
        <v>1154.1326999999999</v>
      </c>
      <c r="I346" s="9"/>
      <c r="J346" s="9"/>
      <c r="K346" s="9"/>
      <c r="L346" s="9"/>
      <c r="M346" s="9"/>
      <c r="N346" s="10"/>
      <c r="O346" s="9"/>
      <c r="P346" s="10"/>
      <c r="Q346" s="10">
        <f t="shared" si="15"/>
        <v>6650.0027</v>
      </c>
    </row>
    <row r="347" spans="1:17" x14ac:dyDescent="0.25">
      <c r="A347" s="6">
        <v>44794</v>
      </c>
      <c r="B347" s="1">
        <v>1</v>
      </c>
      <c r="C347" s="14">
        <v>6992</v>
      </c>
      <c r="D347" s="2">
        <v>9165</v>
      </c>
      <c r="E347" s="9">
        <v>30678774495</v>
      </c>
      <c r="F347" s="9" t="s">
        <v>123</v>
      </c>
      <c r="G347" s="10">
        <v>4790.88</v>
      </c>
      <c r="H347" s="10">
        <v>1006.0848</v>
      </c>
      <c r="I347" s="9"/>
      <c r="J347" s="9"/>
      <c r="K347" s="9"/>
      <c r="L347" s="10"/>
      <c r="M347" s="9"/>
      <c r="N347" s="9"/>
      <c r="O347" s="9"/>
      <c r="P347" s="9">
        <v>1003.74</v>
      </c>
      <c r="Q347" s="10">
        <f t="shared" si="15"/>
        <v>6800.7047999999995</v>
      </c>
    </row>
    <row r="348" spans="1:17" x14ac:dyDescent="0.25">
      <c r="A348" s="6">
        <v>44790</v>
      </c>
      <c r="B348" s="1">
        <v>1</v>
      </c>
      <c r="C348" s="14">
        <v>7</v>
      </c>
      <c r="D348" s="2">
        <v>4231</v>
      </c>
      <c r="E348" s="9">
        <v>30631515815</v>
      </c>
      <c r="F348" s="9" t="s">
        <v>170</v>
      </c>
      <c r="G348" s="10">
        <v>9305.7900000000009</v>
      </c>
      <c r="H348" s="10">
        <v>1954.2159000000001</v>
      </c>
      <c r="I348" s="9"/>
      <c r="J348" s="9"/>
      <c r="K348" s="9"/>
      <c r="L348" s="9"/>
      <c r="M348" s="9"/>
      <c r="N348" s="9"/>
      <c r="O348" s="9"/>
      <c r="P348" s="9"/>
      <c r="Q348" s="10">
        <f t="shared" si="15"/>
        <v>11260.0059</v>
      </c>
    </row>
    <row r="349" spans="1:17" x14ac:dyDescent="0.25">
      <c r="A349" s="6">
        <v>44785</v>
      </c>
      <c r="B349" s="1">
        <v>1</v>
      </c>
      <c r="C349" s="14">
        <v>1006</v>
      </c>
      <c r="D349" s="2">
        <v>773577</v>
      </c>
      <c r="E349" s="9">
        <v>30538068841</v>
      </c>
      <c r="F349" s="9" t="s">
        <v>171</v>
      </c>
      <c r="G349" s="10">
        <v>784205.8</v>
      </c>
      <c r="H349" s="10">
        <v>164683.21799999999</v>
      </c>
      <c r="I349" s="9"/>
      <c r="J349" s="9"/>
      <c r="K349" s="9"/>
      <c r="L349" s="10"/>
      <c r="M349" s="9"/>
      <c r="N349" s="9"/>
      <c r="O349" s="9"/>
      <c r="P349" s="9"/>
      <c r="Q349" s="10">
        <f t="shared" si="15"/>
        <v>948889.01800000004</v>
      </c>
    </row>
    <row r="350" spans="1:17" x14ac:dyDescent="0.25">
      <c r="A350" s="6">
        <v>44785</v>
      </c>
      <c r="B350" s="1">
        <v>1</v>
      </c>
      <c r="C350" s="14">
        <v>2</v>
      </c>
      <c r="D350" s="2">
        <v>532</v>
      </c>
      <c r="E350" s="9">
        <v>20296550184</v>
      </c>
      <c r="F350" s="9" t="s">
        <v>37</v>
      </c>
      <c r="G350" s="10">
        <v>30360</v>
      </c>
      <c r="H350" s="10">
        <v>6375.5999999999995</v>
      </c>
      <c r="I350" s="9"/>
      <c r="J350" s="10"/>
      <c r="K350" s="9"/>
      <c r="L350" s="10"/>
      <c r="M350" s="9"/>
      <c r="N350" s="9"/>
      <c r="O350" s="9"/>
      <c r="P350" s="9"/>
      <c r="Q350" s="10">
        <f t="shared" si="15"/>
        <v>36735.599999999999</v>
      </c>
    </row>
    <row r="351" spans="1:17" x14ac:dyDescent="0.25">
      <c r="A351" s="6">
        <v>44781</v>
      </c>
      <c r="B351" s="1">
        <v>1</v>
      </c>
      <c r="C351" s="14">
        <v>4</v>
      </c>
      <c r="D351" s="2">
        <v>88182</v>
      </c>
      <c r="E351" s="9">
        <v>30559932236</v>
      </c>
      <c r="F351" s="9" t="s">
        <v>49</v>
      </c>
      <c r="G351" s="10">
        <v>53041.07</v>
      </c>
      <c r="H351" s="10">
        <v>11138.6247</v>
      </c>
      <c r="I351" s="9"/>
      <c r="J351" s="9"/>
      <c r="K351" s="10"/>
      <c r="L351" s="9"/>
      <c r="M351" s="9"/>
      <c r="N351" s="9"/>
      <c r="O351" s="9"/>
      <c r="P351" s="9"/>
      <c r="Q351" s="10">
        <f t="shared" si="15"/>
        <v>64179.6947</v>
      </c>
    </row>
    <row r="352" spans="1:17" x14ac:dyDescent="0.25">
      <c r="A352" s="6">
        <v>44774</v>
      </c>
      <c r="B352" s="1">
        <v>1</v>
      </c>
      <c r="C352" s="14">
        <v>3</v>
      </c>
      <c r="D352" s="2">
        <v>560</v>
      </c>
      <c r="E352" s="9">
        <v>30715402765</v>
      </c>
      <c r="F352" s="9" t="s">
        <v>16</v>
      </c>
      <c r="G352" s="10">
        <v>7768.6</v>
      </c>
      <c r="H352" s="10">
        <v>1631.4059999999999</v>
      </c>
      <c r="I352" s="9"/>
      <c r="J352" s="10"/>
      <c r="K352" s="9"/>
      <c r="L352" s="9"/>
      <c r="M352" s="9"/>
      <c r="N352" s="10"/>
      <c r="O352" s="9"/>
      <c r="P352" s="10"/>
      <c r="Q352" s="10">
        <f t="shared" si="15"/>
        <v>9400.0060000000012</v>
      </c>
    </row>
    <row r="353" spans="1:17" x14ac:dyDescent="0.25">
      <c r="A353" s="6">
        <v>44781</v>
      </c>
      <c r="B353" s="1">
        <v>1</v>
      </c>
      <c r="C353" s="14">
        <v>700</v>
      </c>
      <c r="D353" s="2">
        <v>412103</v>
      </c>
      <c r="E353" s="9">
        <v>30580111315</v>
      </c>
      <c r="F353" s="9" t="s">
        <v>21</v>
      </c>
      <c r="G353" s="10"/>
      <c r="H353" s="10" t="s">
        <v>119</v>
      </c>
      <c r="I353" s="9"/>
      <c r="J353" s="10"/>
      <c r="K353" s="9"/>
      <c r="L353" s="9"/>
      <c r="M353" s="9"/>
      <c r="N353" s="10"/>
      <c r="O353" s="9"/>
      <c r="P353" s="10">
        <v>35149.537499999999</v>
      </c>
      <c r="Q353" s="10">
        <f t="shared" ref="Q353:Q377" si="16">SUM(G353:P353)</f>
        <v>35149.537499999999</v>
      </c>
    </row>
    <row r="354" spans="1:17" x14ac:dyDescent="0.25">
      <c r="A354" s="6">
        <v>44783</v>
      </c>
      <c r="B354" s="1">
        <v>1</v>
      </c>
      <c r="C354" s="14">
        <v>3</v>
      </c>
      <c r="D354" s="2">
        <v>6784</v>
      </c>
      <c r="E354" s="9">
        <v>30710212127</v>
      </c>
      <c r="F354" s="9" t="s">
        <v>55</v>
      </c>
      <c r="G354" s="10">
        <v>913821.89</v>
      </c>
      <c r="H354" s="10">
        <v>191902.5969</v>
      </c>
      <c r="I354" s="9"/>
      <c r="J354" s="10"/>
      <c r="K354" s="9"/>
      <c r="L354" s="9"/>
      <c r="M354" s="9"/>
      <c r="N354" s="10"/>
      <c r="O354" s="9"/>
      <c r="P354" s="10"/>
      <c r="Q354" s="10">
        <f t="shared" si="16"/>
        <v>1105724.4868999999</v>
      </c>
    </row>
    <row r="355" spans="1:17" x14ac:dyDescent="0.25">
      <c r="A355" s="6">
        <v>44783</v>
      </c>
      <c r="B355" s="1">
        <v>1</v>
      </c>
      <c r="C355" s="14">
        <v>6</v>
      </c>
      <c r="D355" s="2">
        <v>4244</v>
      </c>
      <c r="E355" s="9">
        <v>20289190148</v>
      </c>
      <c r="F355" s="9" t="s">
        <v>172</v>
      </c>
      <c r="G355" s="10">
        <v>4864.7</v>
      </c>
      <c r="H355" s="10">
        <v>1021.5869999999999</v>
      </c>
      <c r="I355" s="9"/>
      <c r="J355" s="10"/>
      <c r="K355" s="9"/>
      <c r="L355" s="9"/>
      <c r="M355" s="9"/>
      <c r="N355" s="10"/>
      <c r="O355" s="9"/>
      <c r="P355" s="10"/>
      <c r="Q355" s="10">
        <f t="shared" si="16"/>
        <v>5886.2869999999994</v>
      </c>
    </row>
    <row r="356" spans="1:17" x14ac:dyDescent="0.25">
      <c r="A356" s="6">
        <v>44776</v>
      </c>
      <c r="B356" s="1">
        <v>1</v>
      </c>
      <c r="C356" s="14">
        <v>8</v>
      </c>
      <c r="D356" s="2">
        <v>157587</v>
      </c>
      <c r="E356" s="9">
        <v>33606484599</v>
      </c>
      <c r="F356" s="9" t="s">
        <v>61</v>
      </c>
      <c r="G356" s="10">
        <v>466420.22</v>
      </c>
      <c r="H356" s="10">
        <v>97948.246199999994</v>
      </c>
      <c r="I356" s="9"/>
      <c r="J356" s="10"/>
      <c r="K356" s="9"/>
      <c r="L356" s="9"/>
      <c r="M356" s="9"/>
      <c r="N356" s="10"/>
      <c r="O356" s="9"/>
      <c r="P356" s="10"/>
      <c r="Q356" s="10">
        <f t="shared" si="16"/>
        <v>564368.46619999991</v>
      </c>
    </row>
    <row r="357" spans="1:17" x14ac:dyDescent="0.25">
      <c r="A357" s="6">
        <v>44774</v>
      </c>
      <c r="B357" s="1">
        <v>1</v>
      </c>
      <c r="C357" s="14">
        <v>3</v>
      </c>
      <c r="D357" s="2">
        <v>164538</v>
      </c>
      <c r="E357" s="9">
        <v>30707135596</v>
      </c>
      <c r="F357" s="9" t="s">
        <v>17</v>
      </c>
      <c r="G357" s="10">
        <v>3062.6</v>
      </c>
      <c r="H357" s="10">
        <v>643.14599999999996</v>
      </c>
      <c r="I357" s="9"/>
      <c r="J357" s="10"/>
      <c r="K357" s="9"/>
      <c r="L357" s="9"/>
      <c r="M357" s="9"/>
      <c r="N357" s="10"/>
      <c r="O357" s="9"/>
      <c r="P357" s="10"/>
      <c r="Q357" s="10">
        <f t="shared" si="16"/>
        <v>3705.7460000000001</v>
      </c>
    </row>
    <row r="358" spans="1:17" x14ac:dyDescent="0.25">
      <c r="A358" s="6">
        <v>44774</v>
      </c>
      <c r="B358" s="1">
        <v>1</v>
      </c>
      <c r="C358" s="14">
        <v>2</v>
      </c>
      <c r="D358" s="2">
        <v>14593</v>
      </c>
      <c r="E358" s="9">
        <v>30624684628</v>
      </c>
      <c r="F358" s="9" t="s">
        <v>73</v>
      </c>
      <c r="G358" s="10">
        <v>153480</v>
      </c>
      <c r="H358" s="10">
        <v>32230.799999999999</v>
      </c>
      <c r="I358" s="9"/>
      <c r="J358" s="10"/>
      <c r="K358" s="9"/>
      <c r="L358" s="9"/>
      <c r="M358" s="9"/>
      <c r="N358" s="10"/>
      <c r="O358" s="9"/>
      <c r="P358" s="10"/>
      <c r="Q358" s="10">
        <f t="shared" si="16"/>
        <v>185710.8</v>
      </c>
    </row>
    <row r="359" spans="1:17" x14ac:dyDescent="0.25">
      <c r="A359" s="6">
        <v>44775</v>
      </c>
      <c r="B359" s="1">
        <v>1</v>
      </c>
      <c r="C359" s="14">
        <v>2</v>
      </c>
      <c r="D359" s="2">
        <v>528</v>
      </c>
      <c r="E359" s="9">
        <v>20296550184</v>
      </c>
      <c r="F359" s="9" t="s">
        <v>37</v>
      </c>
      <c r="G359" s="10">
        <v>35260</v>
      </c>
      <c r="H359" s="10">
        <v>7404.5999999999995</v>
      </c>
      <c r="I359" s="9"/>
      <c r="J359" s="10"/>
      <c r="K359" s="9"/>
      <c r="L359" s="9"/>
      <c r="M359" s="9"/>
      <c r="N359" s="10"/>
      <c r="O359" s="9"/>
      <c r="P359" s="10"/>
      <c r="Q359" s="10">
        <f t="shared" si="16"/>
        <v>42664.6</v>
      </c>
    </row>
    <row r="360" spans="1:17" x14ac:dyDescent="0.25">
      <c r="A360" s="6">
        <v>44782</v>
      </c>
      <c r="B360" s="1">
        <v>1</v>
      </c>
      <c r="C360" s="14">
        <v>8</v>
      </c>
      <c r="D360" s="2">
        <v>4848</v>
      </c>
      <c r="E360" s="9">
        <v>30715619055</v>
      </c>
      <c r="F360" s="9" t="s">
        <v>173</v>
      </c>
      <c r="G360" s="10">
        <v>10412.379999999999</v>
      </c>
      <c r="H360" s="10">
        <v>2186.5998</v>
      </c>
      <c r="I360" s="9"/>
      <c r="J360" s="10"/>
      <c r="K360" s="9"/>
      <c r="L360" s="9"/>
      <c r="M360" s="9"/>
      <c r="N360" s="10"/>
      <c r="O360" s="9"/>
      <c r="P360" s="10"/>
      <c r="Q360" s="10">
        <f t="shared" si="16"/>
        <v>12598.979799999999</v>
      </c>
    </row>
    <row r="361" spans="1:17" x14ac:dyDescent="0.25">
      <c r="A361" s="6">
        <v>44783</v>
      </c>
      <c r="B361" s="1">
        <v>1</v>
      </c>
      <c r="C361" s="14">
        <v>1</v>
      </c>
      <c r="D361" s="2">
        <v>7388</v>
      </c>
      <c r="E361" s="9">
        <v>30716993376</v>
      </c>
      <c r="F361" s="9" t="s">
        <v>174</v>
      </c>
      <c r="G361" s="10">
        <v>15616.53</v>
      </c>
      <c r="H361" s="10">
        <v>3279.4713000000002</v>
      </c>
      <c r="I361" s="9"/>
      <c r="J361" s="10"/>
      <c r="K361" s="9"/>
      <c r="L361" s="9"/>
      <c r="M361" s="9"/>
      <c r="N361" s="10"/>
      <c r="O361" s="9"/>
      <c r="P361" s="10"/>
      <c r="Q361" s="10">
        <f t="shared" si="16"/>
        <v>18896.0013</v>
      </c>
    </row>
    <row r="362" spans="1:17" s="30" customFormat="1" x14ac:dyDescent="0.25">
      <c r="A362" s="6">
        <v>44784</v>
      </c>
      <c r="B362" s="1">
        <v>1</v>
      </c>
      <c r="C362" s="14">
        <v>2466</v>
      </c>
      <c r="D362" s="2">
        <v>396541</v>
      </c>
      <c r="E362" s="9">
        <v>30678814357</v>
      </c>
      <c r="F362" s="9" t="s">
        <v>20</v>
      </c>
      <c r="G362" s="10">
        <v>1987</v>
      </c>
      <c r="H362" s="10"/>
      <c r="I362" s="9">
        <v>536.49</v>
      </c>
      <c r="J362" s="10"/>
      <c r="K362" s="9"/>
      <c r="L362" s="9"/>
      <c r="M362" s="9"/>
      <c r="N362" s="10"/>
      <c r="O362" s="9"/>
      <c r="P362" s="10">
        <v>104.58</v>
      </c>
      <c r="Q362" s="10">
        <f t="shared" si="16"/>
        <v>2628.0699999999997</v>
      </c>
    </row>
    <row r="363" spans="1:17" s="30" customFormat="1" x14ac:dyDescent="0.25">
      <c r="A363" s="6">
        <v>44790</v>
      </c>
      <c r="B363" s="1">
        <v>1</v>
      </c>
      <c r="C363" s="14">
        <v>5</v>
      </c>
      <c r="D363" s="2">
        <v>21897</v>
      </c>
      <c r="E363" s="9">
        <v>30710571801</v>
      </c>
      <c r="F363" s="9" t="s">
        <v>175</v>
      </c>
      <c r="G363" s="10">
        <v>6355.37</v>
      </c>
      <c r="H363" s="10">
        <v>1334.6277</v>
      </c>
      <c r="I363" s="9"/>
      <c r="J363" s="10"/>
      <c r="K363" s="9"/>
      <c r="L363" s="9"/>
      <c r="M363" s="9"/>
      <c r="N363" s="10"/>
      <c r="O363" s="9"/>
      <c r="P363" s="10"/>
      <c r="Q363" s="10">
        <f t="shared" si="16"/>
        <v>7689.9976999999999</v>
      </c>
    </row>
    <row r="364" spans="1:17" s="30" customFormat="1" x14ac:dyDescent="0.25">
      <c r="A364" s="6">
        <v>44791</v>
      </c>
      <c r="B364" s="1">
        <v>1</v>
      </c>
      <c r="C364" s="14">
        <v>4</v>
      </c>
      <c r="D364" s="2">
        <v>57078</v>
      </c>
      <c r="E364" s="9">
        <v>30714749206</v>
      </c>
      <c r="F364" s="9" t="s">
        <v>176</v>
      </c>
      <c r="G364" s="10">
        <v>3890.5</v>
      </c>
      <c r="H364" s="10"/>
      <c r="I364" s="9"/>
      <c r="J364" s="10">
        <v>408.5025</v>
      </c>
      <c r="K364" s="9"/>
      <c r="L364" s="9"/>
      <c r="M364" s="9"/>
      <c r="N364" s="10"/>
      <c r="O364" s="9"/>
      <c r="P364" s="10"/>
      <c r="Q364" s="10">
        <f t="shared" si="16"/>
        <v>4299.0024999999996</v>
      </c>
    </row>
    <row r="365" spans="1:17" s="30" customFormat="1" x14ac:dyDescent="0.25">
      <c r="A365" s="6">
        <v>44791</v>
      </c>
      <c r="B365" s="1">
        <v>1</v>
      </c>
      <c r="C365" s="14">
        <v>4</v>
      </c>
      <c r="D365" s="2">
        <v>57107</v>
      </c>
      <c r="E365" s="9">
        <v>30714749206</v>
      </c>
      <c r="F365" s="9" t="s">
        <v>176</v>
      </c>
      <c r="G365" s="10">
        <v>254.54</v>
      </c>
      <c r="H365" s="10">
        <v>53.453399999999995</v>
      </c>
      <c r="I365" s="9"/>
      <c r="J365" s="10"/>
      <c r="K365" s="9"/>
      <c r="L365" s="9"/>
      <c r="M365" s="9"/>
      <c r="N365" s="10"/>
      <c r="O365" s="9"/>
      <c r="P365" s="10"/>
      <c r="Q365" s="10">
        <f t="shared" si="16"/>
        <v>307.99340000000001</v>
      </c>
    </row>
    <row r="366" spans="1:17" s="30" customFormat="1" x14ac:dyDescent="0.25">
      <c r="A366" s="6">
        <v>44802</v>
      </c>
      <c r="B366" s="1">
        <v>1</v>
      </c>
      <c r="C366" s="14">
        <v>3</v>
      </c>
      <c r="D366" s="2">
        <v>1</v>
      </c>
      <c r="E366" s="9">
        <v>20386178209</v>
      </c>
      <c r="F366" s="9" t="s">
        <v>177</v>
      </c>
      <c r="G366" s="10">
        <v>98500</v>
      </c>
      <c r="H366" s="10">
        <v>20685</v>
      </c>
      <c r="I366" s="9"/>
      <c r="J366" s="10"/>
      <c r="K366" s="9"/>
      <c r="L366" s="9"/>
      <c r="M366" s="9"/>
      <c r="N366" s="10"/>
      <c r="O366" s="9"/>
      <c r="P366" s="10"/>
      <c r="Q366" s="10">
        <f t="shared" si="16"/>
        <v>119185</v>
      </c>
    </row>
    <row r="367" spans="1:17" s="30" customFormat="1" x14ac:dyDescent="0.25">
      <c r="A367" s="6">
        <v>44803</v>
      </c>
      <c r="B367" s="1">
        <v>1</v>
      </c>
      <c r="C367" s="14">
        <v>17</v>
      </c>
      <c r="D367" s="2">
        <v>8037</v>
      </c>
      <c r="E367" s="9">
        <v>30534051049</v>
      </c>
      <c r="F367" s="9" t="s">
        <v>178</v>
      </c>
      <c r="G367" s="10">
        <v>21304.2</v>
      </c>
      <c r="H367" s="10">
        <v>4473.8819999999996</v>
      </c>
      <c r="I367" s="9"/>
      <c r="J367" s="10"/>
      <c r="K367" s="9"/>
      <c r="L367" s="9"/>
      <c r="M367" s="9"/>
      <c r="N367" s="10"/>
      <c r="O367" s="9"/>
      <c r="P367" s="10"/>
      <c r="Q367" s="10">
        <f t="shared" si="16"/>
        <v>25778.082000000002</v>
      </c>
    </row>
    <row r="368" spans="1:17" s="30" customFormat="1" x14ac:dyDescent="0.25">
      <c r="A368" s="6">
        <v>44803</v>
      </c>
      <c r="B368" s="1">
        <v>1</v>
      </c>
      <c r="C368" s="14">
        <v>106</v>
      </c>
      <c r="D368" s="2">
        <v>558432</v>
      </c>
      <c r="E368" s="9">
        <v>30594494187</v>
      </c>
      <c r="F368" s="9" t="s">
        <v>45</v>
      </c>
      <c r="G368" s="10">
        <v>0</v>
      </c>
      <c r="H368" s="10">
        <v>0</v>
      </c>
      <c r="I368" s="9"/>
      <c r="J368" s="10"/>
      <c r="K368" s="9"/>
      <c r="L368" s="9"/>
      <c r="M368" s="9"/>
      <c r="N368" s="10"/>
      <c r="O368" s="9"/>
      <c r="P368" s="10">
        <v>52410.239999999998</v>
      </c>
      <c r="Q368" s="10">
        <f t="shared" si="16"/>
        <v>52410.239999999998</v>
      </c>
    </row>
    <row r="369" spans="1:17" s="30" customFormat="1" x14ac:dyDescent="0.25">
      <c r="A369" s="6">
        <v>44804</v>
      </c>
      <c r="B369" s="1">
        <v>1</v>
      </c>
      <c r="C369" s="14">
        <v>3</v>
      </c>
      <c r="D369" s="2">
        <v>1033882</v>
      </c>
      <c r="E369" s="9">
        <v>30712019359</v>
      </c>
      <c r="F369" s="9" t="s">
        <v>23</v>
      </c>
      <c r="G369" s="10">
        <v>2478.5100000000002</v>
      </c>
      <c r="H369" s="10">
        <v>520.48710000000005</v>
      </c>
      <c r="I369" s="9"/>
      <c r="J369" s="10"/>
      <c r="K369" s="9"/>
      <c r="L369" s="9"/>
      <c r="M369" s="9"/>
      <c r="N369" s="10"/>
      <c r="O369" s="9"/>
      <c r="P369" s="10"/>
      <c r="Q369" s="10">
        <f t="shared" si="16"/>
        <v>2998.9971000000005</v>
      </c>
    </row>
    <row r="370" spans="1:17" s="30" customFormat="1" x14ac:dyDescent="0.25">
      <c r="A370" s="6">
        <v>44804</v>
      </c>
      <c r="B370" s="1">
        <v>1</v>
      </c>
      <c r="C370" s="14">
        <v>1</v>
      </c>
      <c r="D370" s="2">
        <v>491</v>
      </c>
      <c r="E370" s="9">
        <v>30715048066</v>
      </c>
      <c r="F370" s="9" t="s">
        <v>24</v>
      </c>
      <c r="G370" s="10">
        <v>119110</v>
      </c>
      <c r="H370" s="10">
        <v>25013.1</v>
      </c>
      <c r="I370" s="9"/>
      <c r="J370" s="10"/>
      <c r="K370" s="9"/>
      <c r="L370" s="9"/>
      <c r="M370" s="9"/>
      <c r="N370" s="10"/>
      <c r="O370" s="9"/>
      <c r="P370" s="10"/>
      <c r="Q370" s="10">
        <f t="shared" si="16"/>
        <v>144123.1</v>
      </c>
    </row>
    <row r="371" spans="1:17" s="30" customFormat="1" x14ac:dyDescent="0.25">
      <c r="A371" s="6">
        <v>44791</v>
      </c>
      <c r="B371" s="1">
        <v>2</v>
      </c>
      <c r="C371" s="14">
        <v>1001</v>
      </c>
      <c r="D371" s="2">
        <v>77776</v>
      </c>
      <c r="E371" s="9">
        <v>30538068841</v>
      </c>
      <c r="F371" s="9" t="s">
        <v>171</v>
      </c>
      <c r="G371" s="10">
        <v>9802.57</v>
      </c>
      <c r="H371" s="10">
        <v>2058.5396999999998</v>
      </c>
      <c r="I371" s="9"/>
      <c r="J371" s="10"/>
      <c r="K371" s="9"/>
      <c r="L371" s="9"/>
      <c r="M371" s="9"/>
      <c r="N371" s="10"/>
      <c r="O371" s="9"/>
      <c r="P371" s="10"/>
      <c r="Q371" s="10">
        <f t="shared" si="16"/>
        <v>11861.109699999999</v>
      </c>
    </row>
    <row r="372" spans="1:17" s="30" customFormat="1" x14ac:dyDescent="0.25">
      <c r="A372" s="6">
        <v>44804</v>
      </c>
      <c r="B372" s="1">
        <v>99</v>
      </c>
      <c r="C372" s="14">
        <v>1</v>
      </c>
      <c r="D372" s="53">
        <v>3182022</v>
      </c>
      <c r="E372" s="9" t="s">
        <v>108</v>
      </c>
      <c r="F372" s="9" t="s">
        <v>109</v>
      </c>
      <c r="G372" s="10">
        <v>2736.0476190476193</v>
      </c>
      <c r="H372" s="10">
        <v>574.57000000000005</v>
      </c>
      <c r="I372" s="9"/>
      <c r="J372" s="10"/>
      <c r="K372" s="9"/>
      <c r="L372" s="9"/>
      <c r="M372" s="9"/>
      <c r="N372" s="10"/>
      <c r="O372" s="9"/>
      <c r="P372" s="10"/>
      <c r="Q372" s="10">
        <f t="shared" si="16"/>
        <v>3310.6176190476194</v>
      </c>
    </row>
    <row r="373" spans="1:17" s="30" customFormat="1" x14ac:dyDescent="0.25">
      <c r="A373" s="6">
        <v>44802</v>
      </c>
      <c r="B373" s="1">
        <v>99</v>
      </c>
      <c r="C373" s="14">
        <v>617</v>
      </c>
      <c r="D373" s="2">
        <v>489658</v>
      </c>
      <c r="E373" s="9" t="s">
        <v>108</v>
      </c>
      <c r="F373" s="9" t="s">
        <v>109</v>
      </c>
      <c r="G373" s="10">
        <v>15906.809523809523</v>
      </c>
      <c r="H373" s="10">
        <v>3340.43</v>
      </c>
      <c r="I373" s="9"/>
      <c r="J373" s="10"/>
      <c r="K373" s="9"/>
      <c r="L373" s="9"/>
      <c r="M373" s="9">
        <v>477.2</v>
      </c>
      <c r="N373" s="10"/>
      <c r="O373" s="9"/>
      <c r="P373" s="10"/>
      <c r="Q373" s="10">
        <f t="shared" si="16"/>
        <v>19724.439523809524</v>
      </c>
    </row>
    <row r="374" spans="1:17" s="30" customFormat="1" x14ac:dyDescent="0.25">
      <c r="A374" s="6">
        <v>44802</v>
      </c>
      <c r="B374" s="1">
        <v>99</v>
      </c>
      <c r="C374" s="14">
        <v>617</v>
      </c>
      <c r="D374" s="2">
        <v>489599</v>
      </c>
      <c r="E374" s="9" t="s">
        <v>108</v>
      </c>
      <c r="F374" s="9" t="s">
        <v>109</v>
      </c>
      <c r="G374" s="10">
        <v>15835.523809523809</v>
      </c>
      <c r="H374" s="10">
        <v>3325.46</v>
      </c>
      <c r="I374" s="9"/>
      <c r="J374" s="10"/>
      <c r="K374" s="9"/>
      <c r="L374" s="9"/>
      <c r="M374" s="9">
        <v>475.07</v>
      </c>
      <c r="N374" s="10"/>
      <c r="O374" s="9"/>
      <c r="P374" s="10"/>
      <c r="Q374" s="10">
        <f t="shared" si="16"/>
        <v>19636.053809523808</v>
      </c>
    </row>
    <row r="375" spans="1:17" s="30" customFormat="1" x14ac:dyDescent="0.25">
      <c r="A375" s="6">
        <v>44791</v>
      </c>
      <c r="B375" s="1">
        <v>99</v>
      </c>
      <c r="C375" s="14">
        <v>617</v>
      </c>
      <c r="D375" s="2">
        <v>488742</v>
      </c>
      <c r="E375" s="9" t="s">
        <v>108</v>
      </c>
      <c r="F375" s="9" t="s">
        <v>109</v>
      </c>
      <c r="G375" s="10">
        <v>15585.952380952382</v>
      </c>
      <c r="H375" s="10">
        <v>3273.05</v>
      </c>
      <c r="I375" s="9"/>
      <c r="J375" s="10"/>
      <c r="K375" s="9"/>
      <c r="L375" s="9"/>
      <c r="M375" s="9">
        <v>467.58</v>
      </c>
      <c r="N375" s="10"/>
      <c r="O375" s="9"/>
      <c r="P375" s="10"/>
      <c r="Q375" s="10">
        <f t="shared" si="16"/>
        <v>19326.582380952383</v>
      </c>
    </row>
    <row r="376" spans="1:17" s="30" customFormat="1" x14ac:dyDescent="0.25">
      <c r="A376" s="6">
        <v>44777</v>
      </c>
      <c r="B376" s="1">
        <v>99</v>
      </c>
      <c r="C376" s="14">
        <v>993</v>
      </c>
      <c r="D376" s="2">
        <v>721</v>
      </c>
      <c r="E376" s="9" t="s">
        <v>108</v>
      </c>
      <c r="F376" s="9" t="s">
        <v>109</v>
      </c>
      <c r="G376" s="10">
        <v>3316</v>
      </c>
      <c r="H376" s="10">
        <v>696.36</v>
      </c>
      <c r="I376" s="9"/>
      <c r="J376" s="10"/>
      <c r="K376" s="9"/>
      <c r="L376" s="9"/>
      <c r="M376" s="9">
        <v>99.48</v>
      </c>
      <c r="N376" s="10"/>
      <c r="O376" s="9"/>
      <c r="P376" s="10"/>
      <c r="Q376" s="10">
        <f t="shared" si="16"/>
        <v>4111.84</v>
      </c>
    </row>
    <row r="377" spans="1:17" s="30" customFormat="1" x14ac:dyDescent="0.25">
      <c r="A377" s="6">
        <v>44804</v>
      </c>
      <c r="B377" s="1">
        <v>99</v>
      </c>
      <c r="C377" s="14">
        <v>1</v>
      </c>
      <c r="D377" s="2">
        <v>31822</v>
      </c>
      <c r="E377" s="9">
        <v>30583887039</v>
      </c>
      <c r="F377" s="9" t="s">
        <v>111</v>
      </c>
      <c r="G377" s="10">
        <v>80</v>
      </c>
      <c r="H377" s="10">
        <v>16.8</v>
      </c>
      <c r="I377" s="9"/>
      <c r="J377" s="10"/>
      <c r="K377" s="9"/>
      <c r="L377" s="9"/>
      <c r="M377" s="9"/>
      <c r="N377" s="10"/>
      <c r="O377" s="9"/>
      <c r="P377" s="10"/>
      <c r="Q377" s="10">
        <f t="shared" si="16"/>
        <v>96.8</v>
      </c>
    </row>
    <row r="378" spans="1:17" ht="16.5" thickBot="1" x14ac:dyDescent="0.3">
      <c r="A378" s="78" t="s">
        <v>26</v>
      </c>
      <c r="B378" s="78"/>
      <c r="C378" s="78"/>
      <c r="D378" s="78"/>
      <c r="E378" s="78"/>
      <c r="F378" s="79"/>
      <c r="G378" s="34">
        <f t="shared" ref="G378:Q378" si="17">SUM(G331:G377)</f>
        <v>5675678.4302333333</v>
      </c>
      <c r="H378" s="34">
        <f t="shared" si="17"/>
        <v>1047473.286601</v>
      </c>
      <c r="I378" s="34">
        <f t="shared" si="17"/>
        <v>536.49</v>
      </c>
      <c r="J378" s="34">
        <f t="shared" si="17"/>
        <v>72000.528950000007</v>
      </c>
      <c r="K378" s="34">
        <f t="shared" si="17"/>
        <v>0</v>
      </c>
      <c r="L378" s="34">
        <f t="shared" si="17"/>
        <v>0</v>
      </c>
      <c r="M378" s="34">
        <f t="shared" si="17"/>
        <v>1519.33</v>
      </c>
      <c r="N378" s="34">
        <f t="shared" si="17"/>
        <v>0</v>
      </c>
      <c r="O378" s="34">
        <f t="shared" si="17"/>
        <v>0</v>
      </c>
      <c r="P378" s="34">
        <f t="shared" si="17"/>
        <v>-490745.21620000002</v>
      </c>
      <c r="Q378" s="34">
        <f t="shared" si="17"/>
        <v>6306462.8495843327</v>
      </c>
    </row>
    <row r="379" spans="1:17" ht="15.75" thickBot="1" x14ac:dyDescent="0.3">
      <c r="A379" s="30"/>
      <c r="B379" s="30"/>
      <c r="C379" s="30"/>
      <c r="D379" s="30"/>
      <c r="E379" s="30"/>
      <c r="F379" s="30"/>
      <c r="G379" s="30"/>
      <c r="H379" s="72">
        <f>SUM(H378:J378)</f>
        <v>1120010.3055509999</v>
      </c>
      <c r="I379" s="73"/>
      <c r="J379" s="74"/>
      <c r="K379" s="30"/>
      <c r="L379" s="30"/>
      <c r="M379" s="30"/>
      <c r="N379" s="30"/>
      <c r="O379" s="30"/>
      <c r="P379" s="30"/>
      <c r="Q379" s="30"/>
    </row>
    <row r="380" spans="1:17" ht="15.75" thickTop="1" x14ac:dyDescent="0.25"/>
    <row r="381" spans="1:17" ht="27" thickBot="1" x14ac:dyDescent="0.45">
      <c r="A381" s="75" t="s">
        <v>112</v>
      </c>
      <c r="B381" s="75"/>
      <c r="C381" s="75"/>
      <c r="D381" s="75"/>
      <c r="E381" s="75"/>
      <c r="F381" s="30"/>
      <c r="G381" s="30"/>
      <c r="H381" s="30"/>
      <c r="I381" s="30"/>
      <c r="J381" s="30"/>
      <c r="K381" s="30"/>
      <c r="L381" s="30"/>
      <c r="M381" s="30"/>
      <c r="N381" s="30"/>
      <c r="O381" s="76">
        <v>44805</v>
      </c>
      <c r="P381" s="77"/>
      <c r="Q381" s="77"/>
    </row>
    <row r="382" spans="1:17" ht="15.75" thickBot="1" x14ac:dyDescent="0.3">
      <c r="A382" s="27" t="s">
        <v>0</v>
      </c>
      <c r="B382" s="28" t="s">
        <v>1</v>
      </c>
      <c r="C382" s="28" t="s">
        <v>2</v>
      </c>
      <c r="D382" s="28" t="s">
        <v>3</v>
      </c>
      <c r="E382" s="28" t="s">
        <v>4</v>
      </c>
      <c r="F382" s="28" t="s">
        <v>5</v>
      </c>
      <c r="G382" s="28" t="s">
        <v>6</v>
      </c>
      <c r="H382" s="26" t="s">
        <v>7</v>
      </c>
      <c r="I382" s="28" t="s">
        <v>8</v>
      </c>
      <c r="J382" s="28" t="s">
        <v>9</v>
      </c>
      <c r="K382" s="28" t="s">
        <v>10</v>
      </c>
      <c r="L382" s="28" t="s">
        <v>11</v>
      </c>
      <c r="M382" s="28" t="s">
        <v>12</v>
      </c>
      <c r="N382" s="28" t="s">
        <v>27</v>
      </c>
      <c r="O382" s="28" t="s">
        <v>13</v>
      </c>
      <c r="P382" s="26" t="s">
        <v>14</v>
      </c>
      <c r="Q382" s="35" t="s">
        <v>15</v>
      </c>
    </row>
    <row r="383" spans="1:17" x14ac:dyDescent="0.25">
      <c r="A383" s="21">
        <v>44805</v>
      </c>
      <c r="B383" s="22">
        <v>1</v>
      </c>
      <c r="C383" s="23">
        <v>7</v>
      </c>
      <c r="D383" s="2">
        <v>8715</v>
      </c>
      <c r="E383" s="24">
        <v>30690966790</v>
      </c>
      <c r="F383" s="24" t="s">
        <v>185</v>
      </c>
      <c r="G383" s="25">
        <v>700997.14079999994</v>
      </c>
      <c r="H383" s="25">
        <v>147209.39956799999</v>
      </c>
      <c r="I383" s="24"/>
      <c r="J383" s="25"/>
      <c r="K383" s="25"/>
      <c r="L383" s="24"/>
      <c r="M383" s="24"/>
      <c r="N383" s="24"/>
      <c r="O383" s="25"/>
      <c r="P383" s="24"/>
      <c r="Q383" s="10">
        <f t="shared" ref="Q383:Q404" si="18">SUM(G383:P383)</f>
        <v>848206.54036799993</v>
      </c>
    </row>
    <row r="384" spans="1:17" x14ac:dyDescent="0.25">
      <c r="A384" s="6">
        <v>44805</v>
      </c>
      <c r="B384" s="1">
        <v>1</v>
      </c>
      <c r="C384" s="14">
        <v>3</v>
      </c>
      <c r="D384" s="2">
        <v>267</v>
      </c>
      <c r="E384" s="9">
        <v>20921575743</v>
      </c>
      <c r="F384" s="9" t="s">
        <v>18</v>
      </c>
      <c r="G384" s="10">
        <v>182227.48</v>
      </c>
      <c r="H384" s="10">
        <v>38267.770799999998</v>
      </c>
      <c r="I384" s="9"/>
      <c r="J384" s="10"/>
      <c r="K384" s="9"/>
      <c r="L384" s="9"/>
      <c r="M384" s="9"/>
      <c r="N384" s="9"/>
      <c r="O384" s="9"/>
      <c r="P384" s="9"/>
      <c r="Q384" s="10">
        <f t="shared" si="18"/>
        <v>220495.25080000001</v>
      </c>
    </row>
    <row r="385" spans="1:17" x14ac:dyDescent="0.25">
      <c r="A385" s="6">
        <v>44805</v>
      </c>
      <c r="B385" s="1">
        <v>1</v>
      </c>
      <c r="C385" s="14">
        <v>3</v>
      </c>
      <c r="D385" s="2">
        <v>569</v>
      </c>
      <c r="E385" s="9">
        <v>30715402765</v>
      </c>
      <c r="F385" s="9" t="s">
        <v>16</v>
      </c>
      <c r="G385" s="10">
        <v>7768.62</v>
      </c>
      <c r="H385" s="10">
        <v>1631.4101999999998</v>
      </c>
      <c r="I385" s="9"/>
      <c r="J385" s="9"/>
      <c r="K385" s="10"/>
      <c r="L385" s="10"/>
      <c r="M385" s="10"/>
      <c r="N385" s="9"/>
      <c r="O385" s="10"/>
      <c r="P385" s="9"/>
      <c r="Q385" s="10">
        <f t="shared" si="18"/>
        <v>9400.0301999999992</v>
      </c>
    </row>
    <row r="386" spans="1:17" x14ac:dyDescent="0.25">
      <c r="A386" s="6">
        <v>44806</v>
      </c>
      <c r="B386" s="1">
        <v>1</v>
      </c>
      <c r="C386" s="14">
        <v>3</v>
      </c>
      <c r="D386" s="2">
        <v>166211</v>
      </c>
      <c r="E386" s="9">
        <v>30707135596</v>
      </c>
      <c r="F386" s="9" t="s">
        <v>17</v>
      </c>
      <c r="G386" s="10">
        <v>3075.6</v>
      </c>
      <c r="H386" s="10">
        <v>645.87599999999998</v>
      </c>
      <c r="I386" s="9"/>
      <c r="J386" s="9"/>
      <c r="K386" s="10"/>
      <c r="L386" s="9"/>
      <c r="M386" s="9"/>
      <c r="N386" s="9"/>
      <c r="O386" s="9"/>
      <c r="P386" s="9"/>
      <c r="Q386" s="10">
        <f t="shared" si="18"/>
        <v>3721.4759999999997</v>
      </c>
    </row>
    <row r="387" spans="1:17" x14ac:dyDescent="0.25">
      <c r="A387" s="6">
        <v>44809</v>
      </c>
      <c r="B387" s="1">
        <v>1</v>
      </c>
      <c r="C387" s="14">
        <v>3</v>
      </c>
      <c r="D387" s="2">
        <v>5</v>
      </c>
      <c r="E387" s="9">
        <v>20297899830</v>
      </c>
      <c r="F387" s="9" t="s">
        <v>152</v>
      </c>
      <c r="G387" s="10">
        <v>797337.05</v>
      </c>
      <c r="H387" s="10">
        <v>167440.78049999999</v>
      </c>
      <c r="I387" s="9"/>
      <c r="J387" s="10"/>
      <c r="K387" s="9"/>
      <c r="L387" s="10"/>
      <c r="M387" s="9"/>
      <c r="N387" s="9"/>
      <c r="O387" s="9"/>
      <c r="P387" s="9"/>
      <c r="Q387" s="10">
        <f t="shared" si="18"/>
        <v>964777.83050000004</v>
      </c>
    </row>
    <row r="388" spans="1:17" x14ac:dyDescent="0.25">
      <c r="A388" s="6">
        <v>44810</v>
      </c>
      <c r="B388" s="1">
        <v>1</v>
      </c>
      <c r="C388" s="14">
        <v>2</v>
      </c>
      <c r="D388" s="2">
        <v>143</v>
      </c>
      <c r="E388" s="9">
        <v>20125142851</v>
      </c>
      <c r="F388" s="9" t="s">
        <v>19</v>
      </c>
      <c r="G388" s="10">
        <v>28747.38</v>
      </c>
      <c r="H388" s="10">
        <v>6036.9498000000003</v>
      </c>
      <c r="I388" s="9"/>
      <c r="J388" s="10"/>
      <c r="K388" s="9"/>
      <c r="L388" s="10"/>
      <c r="M388" s="9"/>
      <c r="N388" s="9"/>
      <c r="O388" s="9"/>
      <c r="P388" s="9"/>
      <c r="Q388" s="10">
        <f t="shared" si="18"/>
        <v>34784.3298</v>
      </c>
    </row>
    <row r="389" spans="1:17" x14ac:dyDescent="0.25">
      <c r="A389" s="6">
        <v>44810</v>
      </c>
      <c r="B389" s="1">
        <v>1</v>
      </c>
      <c r="C389" s="14">
        <v>3</v>
      </c>
      <c r="D389" s="2">
        <v>4424</v>
      </c>
      <c r="E389" s="9">
        <v>30709665967</v>
      </c>
      <c r="F389" s="9" t="s">
        <v>65</v>
      </c>
      <c r="G389" s="10">
        <v>1585706</v>
      </c>
      <c r="H389" s="10">
        <v>332998.26</v>
      </c>
      <c r="I389" s="9"/>
      <c r="J389" s="10"/>
      <c r="K389" s="9"/>
      <c r="L389" s="9"/>
      <c r="M389" s="9"/>
      <c r="N389" s="9"/>
      <c r="O389" s="9"/>
      <c r="P389" s="9"/>
      <c r="Q389" s="10">
        <f t="shared" si="18"/>
        <v>1918704.26</v>
      </c>
    </row>
    <row r="390" spans="1:17" x14ac:dyDescent="0.25">
      <c r="A390" s="6">
        <v>44811</v>
      </c>
      <c r="B390" s="1">
        <v>1</v>
      </c>
      <c r="C390" s="14">
        <v>589</v>
      </c>
      <c r="D390" s="2">
        <v>1300</v>
      </c>
      <c r="E390" s="9">
        <v>30590360763</v>
      </c>
      <c r="F390" s="9" t="s">
        <v>57</v>
      </c>
      <c r="G390" s="10">
        <v>28999.17</v>
      </c>
      <c r="H390" s="10">
        <v>6089.8256999999994</v>
      </c>
      <c r="I390" s="9"/>
      <c r="J390" s="9"/>
      <c r="K390" s="9"/>
      <c r="L390" s="10"/>
      <c r="M390" s="9"/>
      <c r="N390" s="9"/>
      <c r="O390" s="9"/>
      <c r="P390" s="9"/>
      <c r="Q390" s="10">
        <f t="shared" si="18"/>
        <v>35088.995699999999</v>
      </c>
    </row>
    <row r="391" spans="1:17" x14ac:dyDescent="0.25">
      <c r="A391" s="6">
        <v>44811</v>
      </c>
      <c r="B391" s="1">
        <v>1</v>
      </c>
      <c r="C391" s="14">
        <v>12</v>
      </c>
      <c r="D391" s="2">
        <v>1223</v>
      </c>
      <c r="E391" s="9">
        <v>30694497701</v>
      </c>
      <c r="F391" s="9" t="s">
        <v>186</v>
      </c>
      <c r="G391" s="10">
        <v>10445</v>
      </c>
      <c r="H391" s="10">
        <v>2193.4499999999998</v>
      </c>
      <c r="I391" s="9"/>
      <c r="J391" s="10"/>
      <c r="K391" s="9"/>
      <c r="L391" s="10"/>
      <c r="M391" s="10"/>
      <c r="N391" s="10"/>
      <c r="O391" s="9"/>
      <c r="P391" s="10"/>
      <c r="Q391" s="10">
        <f t="shared" si="18"/>
        <v>12638.45</v>
      </c>
    </row>
    <row r="392" spans="1:17" x14ac:dyDescent="0.25">
      <c r="A392" s="6">
        <v>44811</v>
      </c>
      <c r="B392" s="1">
        <v>1</v>
      </c>
      <c r="C392" s="14">
        <v>591</v>
      </c>
      <c r="D392" s="2">
        <v>1119</v>
      </c>
      <c r="E392" s="9">
        <v>30590360763</v>
      </c>
      <c r="F392" s="9" t="s">
        <v>57</v>
      </c>
      <c r="G392" s="10">
        <v>8561.98</v>
      </c>
      <c r="H392" s="10">
        <v>1798.0157999999999</v>
      </c>
      <c r="I392" s="9"/>
      <c r="J392" s="10"/>
      <c r="K392" s="9"/>
      <c r="L392" s="10"/>
      <c r="M392" s="9"/>
      <c r="N392" s="9"/>
      <c r="O392" s="9"/>
      <c r="P392" s="9"/>
      <c r="Q392" s="10">
        <f t="shared" si="18"/>
        <v>10359.995799999999</v>
      </c>
    </row>
    <row r="393" spans="1:17" x14ac:dyDescent="0.25">
      <c r="A393" s="6">
        <v>44814</v>
      </c>
      <c r="B393" s="1">
        <v>1</v>
      </c>
      <c r="C393" s="14">
        <v>2</v>
      </c>
      <c r="D393" s="2">
        <v>10415</v>
      </c>
      <c r="E393" s="9">
        <v>30716675447</v>
      </c>
      <c r="F393" s="9" t="s">
        <v>187</v>
      </c>
      <c r="G393" s="10">
        <v>2651.24</v>
      </c>
      <c r="H393" s="10">
        <v>556.76039999999989</v>
      </c>
      <c r="I393" s="9"/>
      <c r="J393" s="10"/>
      <c r="K393" s="9"/>
      <c r="L393" s="9"/>
      <c r="M393" s="9"/>
      <c r="N393" s="9"/>
      <c r="O393" s="9"/>
      <c r="P393" s="9"/>
      <c r="Q393" s="10">
        <f t="shared" si="18"/>
        <v>3208.0003999999999</v>
      </c>
    </row>
    <row r="394" spans="1:17" x14ac:dyDescent="0.25">
      <c r="A394" s="6">
        <v>44815</v>
      </c>
      <c r="B394" s="1">
        <v>1</v>
      </c>
      <c r="C394" s="14">
        <v>2466</v>
      </c>
      <c r="D394" s="2">
        <v>409365</v>
      </c>
      <c r="E394" s="9">
        <v>30678814357</v>
      </c>
      <c r="F394" s="9" t="s">
        <v>20</v>
      </c>
      <c r="G394" s="10">
        <v>2433.83</v>
      </c>
      <c r="H394" s="10"/>
      <c r="I394" s="9">
        <v>657.13</v>
      </c>
      <c r="J394" s="10"/>
      <c r="K394" s="9"/>
      <c r="L394" s="9"/>
      <c r="M394" s="9"/>
      <c r="N394" s="9"/>
      <c r="O394" s="9"/>
      <c r="P394" s="9"/>
      <c r="Q394" s="10">
        <f t="shared" si="18"/>
        <v>3090.96</v>
      </c>
    </row>
    <row r="395" spans="1:17" x14ac:dyDescent="0.25">
      <c r="A395" s="6">
        <v>44816</v>
      </c>
      <c r="B395" s="1">
        <v>1</v>
      </c>
      <c r="C395" s="14">
        <v>2</v>
      </c>
      <c r="D395" s="2">
        <v>145</v>
      </c>
      <c r="E395" s="9">
        <v>20125142851</v>
      </c>
      <c r="F395" s="9" t="s">
        <v>19</v>
      </c>
      <c r="G395" s="10">
        <v>70671.62</v>
      </c>
      <c r="H395" s="10">
        <v>14841.040199999998</v>
      </c>
      <c r="I395" s="9"/>
      <c r="J395" s="10"/>
      <c r="K395" s="9"/>
      <c r="L395" s="9"/>
      <c r="M395" s="9"/>
      <c r="N395" s="9"/>
      <c r="O395" s="9"/>
      <c r="P395" s="9"/>
      <c r="Q395" s="10">
        <f t="shared" si="18"/>
        <v>85512.660199999998</v>
      </c>
    </row>
    <row r="396" spans="1:17" x14ac:dyDescent="0.25">
      <c r="A396" s="6">
        <v>44816</v>
      </c>
      <c r="B396" s="1">
        <v>1</v>
      </c>
      <c r="C396" s="14">
        <v>16</v>
      </c>
      <c r="D396" s="2">
        <v>309</v>
      </c>
      <c r="E396" s="9">
        <v>30716668750</v>
      </c>
      <c r="F396" s="9" t="s">
        <v>188</v>
      </c>
      <c r="G396" s="10">
        <v>7554.08</v>
      </c>
      <c r="H396" s="10">
        <v>1586.3568</v>
      </c>
      <c r="I396" s="9"/>
      <c r="J396" s="9"/>
      <c r="K396" s="9"/>
      <c r="L396" s="9"/>
      <c r="M396" s="9"/>
      <c r="N396" s="9"/>
      <c r="O396" s="9"/>
      <c r="P396" s="9"/>
      <c r="Q396" s="10">
        <f t="shared" si="18"/>
        <v>9140.4367999999995</v>
      </c>
    </row>
    <row r="397" spans="1:17" x14ac:dyDescent="0.25">
      <c r="A397" s="6">
        <v>44816</v>
      </c>
      <c r="B397" s="1">
        <v>1</v>
      </c>
      <c r="C397" s="14">
        <v>2</v>
      </c>
      <c r="D397" s="2">
        <v>144</v>
      </c>
      <c r="E397" s="9">
        <v>20125142851</v>
      </c>
      <c r="F397" s="9" t="s">
        <v>19</v>
      </c>
      <c r="G397" s="10">
        <v>64838.76</v>
      </c>
      <c r="H397" s="10">
        <v>13616.1396</v>
      </c>
      <c r="I397" s="10"/>
      <c r="J397" s="9"/>
      <c r="K397" s="9"/>
      <c r="L397" s="9"/>
      <c r="M397" s="9"/>
      <c r="N397" s="9"/>
      <c r="O397" s="9"/>
      <c r="P397" s="9"/>
      <c r="Q397" s="10">
        <f t="shared" si="18"/>
        <v>78454.899600000004</v>
      </c>
    </row>
    <row r="398" spans="1:17" x14ac:dyDescent="0.25">
      <c r="A398" s="6">
        <v>44817</v>
      </c>
      <c r="B398" s="1">
        <v>1</v>
      </c>
      <c r="C398" s="14">
        <v>7</v>
      </c>
      <c r="D398" s="2">
        <v>8555</v>
      </c>
      <c r="E398" s="9">
        <v>30604413482</v>
      </c>
      <c r="F398" s="9" t="s">
        <v>46</v>
      </c>
      <c r="G398" s="10">
        <v>15660</v>
      </c>
      <c r="H398" s="10">
        <v>3288.6</v>
      </c>
      <c r="I398" s="9"/>
      <c r="J398" s="9"/>
      <c r="K398" s="9"/>
      <c r="L398" s="9"/>
      <c r="M398" s="9"/>
      <c r="N398" s="10"/>
      <c r="O398" s="9"/>
      <c r="P398" s="10"/>
      <c r="Q398" s="10">
        <f t="shared" si="18"/>
        <v>18948.599999999999</v>
      </c>
    </row>
    <row r="399" spans="1:17" x14ac:dyDescent="0.25">
      <c r="A399" s="6">
        <v>44818</v>
      </c>
      <c r="B399" s="1">
        <v>1</v>
      </c>
      <c r="C399" s="14">
        <v>12</v>
      </c>
      <c r="D399" s="2">
        <v>1700</v>
      </c>
      <c r="E399" s="9">
        <v>30707097465</v>
      </c>
      <c r="F399" s="9" t="s">
        <v>189</v>
      </c>
      <c r="G399" s="10">
        <v>28207.24</v>
      </c>
      <c r="H399" s="10">
        <v>5923.5204000000003</v>
      </c>
      <c r="I399" s="9"/>
      <c r="J399" s="9"/>
      <c r="K399" s="9"/>
      <c r="L399" s="10"/>
      <c r="M399" s="9"/>
      <c r="N399" s="9"/>
      <c r="O399" s="9"/>
      <c r="P399" s="9"/>
      <c r="Q399" s="10">
        <f t="shared" si="18"/>
        <v>34130.760399999999</v>
      </c>
    </row>
    <row r="400" spans="1:17" x14ac:dyDescent="0.25">
      <c r="A400" s="6">
        <v>44820</v>
      </c>
      <c r="B400" s="1">
        <v>1</v>
      </c>
      <c r="C400" s="14">
        <v>5</v>
      </c>
      <c r="D400" s="2">
        <v>4516</v>
      </c>
      <c r="E400" s="9">
        <v>33711557119</v>
      </c>
      <c r="F400" s="9" t="s">
        <v>190</v>
      </c>
      <c r="G400" s="10">
        <v>3050.99</v>
      </c>
      <c r="H400" s="10">
        <v>640.70789999999988</v>
      </c>
      <c r="I400" s="9"/>
      <c r="J400" s="9"/>
      <c r="K400" s="9"/>
      <c r="L400" s="9"/>
      <c r="M400" s="9"/>
      <c r="N400" s="9"/>
      <c r="O400" s="9"/>
      <c r="P400" s="9"/>
      <c r="Q400" s="10">
        <f t="shared" si="18"/>
        <v>3691.6978999999997</v>
      </c>
    </row>
    <row r="401" spans="1:17" x14ac:dyDescent="0.25">
      <c r="A401" s="6">
        <v>44823</v>
      </c>
      <c r="B401" s="1">
        <v>1</v>
      </c>
      <c r="C401" s="14">
        <v>10</v>
      </c>
      <c r="D401" s="2">
        <v>9010</v>
      </c>
      <c r="E401" s="9">
        <v>30702073657</v>
      </c>
      <c r="F401" s="9" t="s">
        <v>50</v>
      </c>
      <c r="G401" s="10">
        <v>50397.760000000002</v>
      </c>
      <c r="H401" s="10">
        <v>10583.5296</v>
      </c>
      <c r="I401" s="9"/>
      <c r="J401" s="9"/>
      <c r="K401" s="9"/>
      <c r="L401" s="10"/>
      <c r="M401" s="9"/>
      <c r="N401" s="9"/>
      <c r="O401" s="9"/>
      <c r="P401" s="9"/>
      <c r="Q401" s="10">
        <f t="shared" si="18"/>
        <v>60981.289600000004</v>
      </c>
    </row>
    <row r="402" spans="1:17" x14ac:dyDescent="0.25">
      <c r="A402" s="6">
        <v>44823</v>
      </c>
      <c r="B402" s="1">
        <v>1</v>
      </c>
      <c r="C402" s="14">
        <v>60</v>
      </c>
      <c r="D402" s="2">
        <v>7773</v>
      </c>
      <c r="E402" s="9">
        <v>30547188760</v>
      </c>
      <c r="F402" s="9" t="s">
        <v>118</v>
      </c>
      <c r="G402" s="10">
        <v>78303.490000000005</v>
      </c>
      <c r="H402" s="10">
        <v>16443.732899999999</v>
      </c>
      <c r="I402" s="9"/>
      <c r="J402" s="10"/>
      <c r="K402" s="9"/>
      <c r="L402" s="10"/>
      <c r="M402" s="9"/>
      <c r="N402" s="9"/>
      <c r="O402" s="9"/>
      <c r="P402" s="9"/>
      <c r="Q402" s="10">
        <f t="shared" si="18"/>
        <v>94747.222900000008</v>
      </c>
    </row>
    <row r="403" spans="1:17" x14ac:dyDescent="0.25">
      <c r="A403" s="6">
        <v>44824</v>
      </c>
      <c r="B403" s="1">
        <v>1</v>
      </c>
      <c r="C403" s="14">
        <v>5</v>
      </c>
      <c r="D403" s="2">
        <v>802</v>
      </c>
      <c r="E403" s="9">
        <v>23275937959</v>
      </c>
      <c r="F403" s="9" t="s">
        <v>191</v>
      </c>
      <c r="G403" s="10">
        <v>462.94</v>
      </c>
      <c r="H403" s="10">
        <v>97.217399999999998</v>
      </c>
      <c r="I403" s="9"/>
      <c r="J403" s="9"/>
      <c r="K403" s="10"/>
      <c r="L403" s="9"/>
      <c r="M403" s="9"/>
      <c r="N403" s="9"/>
      <c r="O403" s="9"/>
      <c r="P403" s="9"/>
      <c r="Q403" s="10">
        <f t="shared" si="18"/>
        <v>560.15740000000005</v>
      </c>
    </row>
    <row r="404" spans="1:17" x14ac:dyDescent="0.25">
      <c r="A404" s="6">
        <v>44825</v>
      </c>
      <c r="B404" s="1">
        <v>1</v>
      </c>
      <c r="C404" s="14">
        <v>2</v>
      </c>
      <c r="D404" s="2">
        <v>546</v>
      </c>
      <c r="E404" s="9">
        <v>20296550184</v>
      </c>
      <c r="F404" s="9" t="s">
        <v>37</v>
      </c>
      <c r="G404" s="10">
        <v>33560</v>
      </c>
      <c r="H404" s="10">
        <v>7047.5999999999995</v>
      </c>
      <c r="I404" s="9"/>
      <c r="J404" s="10"/>
      <c r="K404" s="9"/>
      <c r="L404" s="9"/>
      <c r="M404" s="9"/>
      <c r="N404" s="10"/>
      <c r="O404" s="9"/>
      <c r="P404" s="10"/>
      <c r="Q404" s="10">
        <f t="shared" si="18"/>
        <v>40607.599999999999</v>
      </c>
    </row>
    <row r="405" spans="1:17" x14ac:dyDescent="0.25">
      <c r="A405" s="6">
        <v>44826</v>
      </c>
      <c r="B405" s="1">
        <v>1</v>
      </c>
      <c r="C405" s="14">
        <v>1</v>
      </c>
      <c r="D405" s="2">
        <v>501</v>
      </c>
      <c r="E405" s="9">
        <v>30715048066</v>
      </c>
      <c r="F405" s="9" t="s">
        <v>24</v>
      </c>
      <c r="G405" s="10">
        <v>119310</v>
      </c>
      <c r="H405" s="10">
        <v>25055.1</v>
      </c>
      <c r="I405" s="9"/>
      <c r="J405" s="10"/>
      <c r="K405" s="9"/>
      <c r="L405" s="9"/>
      <c r="M405" s="9"/>
      <c r="N405" s="10"/>
      <c r="O405" s="9"/>
      <c r="P405" s="10"/>
      <c r="Q405" s="10">
        <f t="shared" ref="Q405:Q415" si="19">SUM(G405:P405)</f>
        <v>144365.1</v>
      </c>
    </row>
    <row r="406" spans="1:17" x14ac:dyDescent="0.25">
      <c r="A406" s="6">
        <v>44828</v>
      </c>
      <c r="B406" s="1">
        <v>1</v>
      </c>
      <c r="C406" s="14">
        <v>3</v>
      </c>
      <c r="D406" s="2">
        <v>1079695</v>
      </c>
      <c r="E406" s="9">
        <v>30712019359</v>
      </c>
      <c r="F406" s="9" t="s">
        <v>23</v>
      </c>
      <c r="G406" s="10">
        <v>3304.96</v>
      </c>
      <c r="H406" s="10">
        <v>694.04160000000002</v>
      </c>
      <c r="I406" s="9"/>
      <c r="J406" s="10"/>
      <c r="K406" s="9"/>
      <c r="L406" s="9"/>
      <c r="M406" s="9"/>
      <c r="N406" s="10"/>
      <c r="O406" s="9"/>
      <c r="P406" s="10"/>
      <c r="Q406" s="10">
        <f t="shared" si="19"/>
        <v>3999.0016000000001</v>
      </c>
    </row>
    <row r="407" spans="1:17" x14ac:dyDescent="0.25">
      <c r="A407" s="6">
        <v>44830</v>
      </c>
      <c r="B407" s="1">
        <v>1</v>
      </c>
      <c r="C407" s="14">
        <v>3</v>
      </c>
      <c r="D407" s="2">
        <v>8835</v>
      </c>
      <c r="E407" s="9">
        <v>30696881576</v>
      </c>
      <c r="F407" s="9" t="s">
        <v>192</v>
      </c>
      <c r="G407" s="10">
        <v>4000</v>
      </c>
      <c r="H407" s="10">
        <v>840</v>
      </c>
      <c r="I407" s="9"/>
      <c r="J407" s="10"/>
      <c r="K407" s="9"/>
      <c r="L407" s="9"/>
      <c r="M407" s="9"/>
      <c r="N407" s="10"/>
      <c r="O407" s="9"/>
      <c r="P407" s="10"/>
      <c r="Q407" s="10">
        <f t="shared" si="19"/>
        <v>4840</v>
      </c>
    </row>
    <row r="408" spans="1:17" x14ac:dyDescent="0.25">
      <c r="A408" s="6">
        <v>44830</v>
      </c>
      <c r="B408" s="1">
        <v>1</v>
      </c>
      <c r="C408" s="14">
        <v>3</v>
      </c>
      <c r="D408" s="2">
        <v>3</v>
      </c>
      <c r="E408" s="9">
        <v>20386178209</v>
      </c>
      <c r="F408" s="9" t="s">
        <v>177</v>
      </c>
      <c r="G408" s="10">
        <v>98500</v>
      </c>
      <c r="H408" s="10">
        <v>20685</v>
      </c>
      <c r="I408" s="9"/>
      <c r="J408" s="10"/>
      <c r="K408" s="9"/>
      <c r="L408" s="9"/>
      <c r="M408" s="9"/>
      <c r="N408" s="10"/>
      <c r="O408" s="9"/>
      <c r="P408" s="10"/>
      <c r="Q408" s="10">
        <f t="shared" si="19"/>
        <v>119185</v>
      </c>
    </row>
    <row r="409" spans="1:17" x14ac:dyDescent="0.25">
      <c r="A409" s="6">
        <v>44831</v>
      </c>
      <c r="B409" s="1">
        <v>1</v>
      </c>
      <c r="C409" s="14">
        <v>5</v>
      </c>
      <c r="D409" s="2">
        <v>14544</v>
      </c>
      <c r="E409" s="9">
        <v>30578341397</v>
      </c>
      <c r="F409" s="9" t="s">
        <v>70</v>
      </c>
      <c r="G409" s="10">
        <v>229367.86</v>
      </c>
      <c r="H409" s="10">
        <v>48167.250599999992</v>
      </c>
      <c r="I409" s="9"/>
      <c r="J409" s="10"/>
      <c r="K409" s="9"/>
      <c r="L409" s="9"/>
      <c r="M409" s="9"/>
      <c r="N409" s="10"/>
      <c r="O409" s="9"/>
      <c r="P409" s="10"/>
      <c r="Q409" s="10">
        <f t="shared" si="19"/>
        <v>277535.11059999996</v>
      </c>
    </row>
    <row r="410" spans="1:17" x14ac:dyDescent="0.25">
      <c r="A410" s="6">
        <v>44833</v>
      </c>
      <c r="B410" s="1">
        <v>1</v>
      </c>
      <c r="C410" s="14">
        <v>5</v>
      </c>
      <c r="D410" s="2">
        <v>843</v>
      </c>
      <c r="E410" s="9">
        <v>30707397256</v>
      </c>
      <c r="F410" s="9" t="s">
        <v>101</v>
      </c>
      <c r="G410" s="10">
        <v>316735.3</v>
      </c>
      <c r="H410" s="10">
        <v>66514.413</v>
      </c>
      <c r="I410" s="9"/>
      <c r="J410" s="10"/>
      <c r="K410" s="9"/>
      <c r="L410" s="9"/>
      <c r="M410" s="9"/>
      <c r="N410" s="10"/>
      <c r="O410" s="9"/>
      <c r="P410" s="10"/>
      <c r="Q410" s="10">
        <f t="shared" si="19"/>
        <v>383249.71299999999</v>
      </c>
    </row>
    <row r="411" spans="1:17" x14ac:dyDescent="0.25">
      <c r="A411" s="6">
        <v>44806</v>
      </c>
      <c r="B411" s="1">
        <v>1</v>
      </c>
      <c r="C411" s="14">
        <v>280</v>
      </c>
      <c r="D411" s="2">
        <v>1387056</v>
      </c>
      <c r="E411" s="9">
        <v>30580111315</v>
      </c>
      <c r="F411" s="9" t="s">
        <v>21</v>
      </c>
      <c r="G411" s="10">
        <v>441703.87119999999</v>
      </c>
      <c r="H411" s="10">
        <v>92757.812951999993</v>
      </c>
      <c r="I411" s="9"/>
      <c r="J411" s="10"/>
      <c r="K411" s="9"/>
      <c r="L411" s="9"/>
      <c r="M411" s="9"/>
      <c r="N411" s="10"/>
      <c r="O411" s="9"/>
      <c r="P411" s="10">
        <v>-367674.56</v>
      </c>
      <c r="Q411" s="10">
        <f t="shared" si="19"/>
        <v>166787.124152</v>
      </c>
    </row>
    <row r="412" spans="1:17" x14ac:dyDescent="0.25">
      <c r="A412" s="6">
        <v>44819</v>
      </c>
      <c r="B412" s="1">
        <v>1</v>
      </c>
      <c r="C412" s="14">
        <v>280</v>
      </c>
      <c r="D412" s="2">
        <v>1389520</v>
      </c>
      <c r="E412" s="9">
        <v>30580111315</v>
      </c>
      <c r="F412" s="9" t="s">
        <v>21</v>
      </c>
      <c r="G412" s="10">
        <v>452316.64480000001</v>
      </c>
      <c r="H412" s="10">
        <v>94986.495408000002</v>
      </c>
      <c r="I412" s="9"/>
      <c r="J412" s="10"/>
      <c r="K412" s="9"/>
      <c r="L412" s="9"/>
      <c r="M412" s="9"/>
      <c r="N412" s="10"/>
      <c r="O412" s="9"/>
      <c r="P412" s="10">
        <v>-376495.94</v>
      </c>
      <c r="Q412" s="10">
        <f t="shared" si="19"/>
        <v>170807.20020799997</v>
      </c>
    </row>
    <row r="413" spans="1:17" x14ac:dyDescent="0.25">
      <c r="A413" s="6">
        <v>44826</v>
      </c>
      <c r="B413" s="1">
        <v>99</v>
      </c>
      <c r="C413" s="14">
        <v>617</v>
      </c>
      <c r="D413" s="2">
        <v>492518</v>
      </c>
      <c r="E413" s="9" t="s">
        <v>108</v>
      </c>
      <c r="F413" s="9" t="s">
        <v>109</v>
      </c>
      <c r="G413" s="10">
        <v>16662.349999999999</v>
      </c>
      <c r="H413" s="10">
        <v>3499.0934999999999</v>
      </c>
      <c r="I413" s="9"/>
      <c r="J413" s="10"/>
      <c r="K413" s="9"/>
      <c r="L413" s="9"/>
      <c r="M413" s="9">
        <v>499.87</v>
      </c>
      <c r="N413" s="10"/>
      <c r="O413" s="9"/>
      <c r="P413" s="10"/>
      <c r="Q413" s="10">
        <f t="shared" si="19"/>
        <v>20661.313499999997</v>
      </c>
    </row>
    <row r="414" spans="1:17" x14ac:dyDescent="0.25">
      <c r="A414" s="6">
        <v>44834</v>
      </c>
      <c r="B414" s="1">
        <v>99</v>
      </c>
      <c r="C414" s="14">
        <v>1</v>
      </c>
      <c r="D414" s="2">
        <v>30922</v>
      </c>
      <c r="E414" s="9" t="s">
        <v>108</v>
      </c>
      <c r="F414" s="9" t="s">
        <v>109</v>
      </c>
      <c r="G414" s="10">
        <v>3018.5238095238096</v>
      </c>
      <c r="H414" s="10">
        <v>633.89</v>
      </c>
      <c r="I414" s="9"/>
      <c r="J414" s="10"/>
      <c r="K414" s="9"/>
      <c r="L414" s="9"/>
      <c r="M414" s="9"/>
      <c r="N414" s="10"/>
      <c r="O414" s="9"/>
      <c r="P414" s="10"/>
      <c r="Q414" s="10">
        <f t="shared" si="19"/>
        <v>3652.4138095238095</v>
      </c>
    </row>
    <row r="415" spans="1:17" x14ac:dyDescent="0.25">
      <c r="A415" s="6">
        <v>44834</v>
      </c>
      <c r="B415" s="1">
        <v>99</v>
      </c>
      <c r="C415" s="14">
        <v>1</v>
      </c>
      <c r="D415" s="2">
        <v>3092022</v>
      </c>
      <c r="E415" s="9">
        <v>30583887039</v>
      </c>
      <c r="F415" s="9" t="s">
        <v>111</v>
      </c>
      <c r="G415" s="10">
        <v>128</v>
      </c>
      <c r="H415" s="10">
        <v>26.88</v>
      </c>
      <c r="I415" s="9"/>
      <c r="J415" s="10"/>
      <c r="K415" s="9"/>
      <c r="L415" s="9"/>
      <c r="M415" s="9"/>
      <c r="N415" s="10"/>
      <c r="O415" s="9"/>
      <c r="P415" s="10"/>
      <c r="Q415" s="10">
        <f t="shared" si="19"/>
        <v>154.88</v>
      </c>
    </row>
    <row r="416" spans="1:17" ht="16.5" thickBot="1" x14ac:dyDescent="0.3">
      <c r="A416" s="78" t="s">
        <v>26</v>
      </c>
      <c r="B416" s="78"/>
      <c r="C416" s="78"/>
      <c r="D416" s="78"/>
      <c r="E416" s="78"/>
      <c r="F416" s="79"/>
      <c r="G416" s="34">
        <f t="shared" ref="G416:Q416" si="20">SUM(G383:G415)</f>
        <v>5396704.8806095244</v>
      </c>
      <c r="H416" s="34">
        <f t="shared" si="20"/>
        <v>1132796.9206279998</v>
      </c>
      <c r="I416" s="34">
        <f t="shared" si="20"/>
        <v>657.13</v>
      </c>
      <c r="J416" s="34">
        <f t="shared" si="20"/>
        <v>0</v>
      </c>
      <c r="K416" s="34">
        <f t="shared" si="20"/>
        <v>0</v>
      </c>
      <c r="L416" s="34">
        <f t="shared" si="20"/>
        <v>0</v>
      </c>
      <c r="M416" s="34">
        <f t="shared" si="20"/>
        <v>499.87</v>
      </c>
      <c r="N416" s="34">
        <f t="shared" si="20"/>
        <v>0</v>
      </c>
      <c r="O416" s="34">
        <f t="shared" si="20"/>
        <v>0</v>
      </c>
      <c r="P416" s="34">
        <f t="shared" si="20"/>
        <v>-744170.5</v>
      </c>
      <c r="Q416" s="34">
        <f t="shared" si="20"/>
        <v>5786488.3012375217</v>
      </c>
    </row>
    <row r="417" spans="1:17" ht="15.75" thickBot="1" x14ac:dyDescent="0.3">
      <c r="A417" s="30"/>
      <c r="B417" s="30"/>
      <c r="C417" s="30"/>
      <c r="D417" s="30"/>
      <c r="E417" s="30"/>
      <c r="F417" s="30"/>
      <c r="G417" s="30"/>
      <c r="H417" s="72">
        <f>SUM(H416:J416)</f>
        <v>1133454.0506279997</v>
      </c>
      <c r="I417" s="73"/>
      <c r="J417" s="74"/>
      <c r="K417" s="30"/>
      <c r="L417" s="30"/>
      <c r="M417" s="30"/>
      <c r="N417" s="30"/>
      <c r="O417" s="30"/>
      <c r="P417" s="30"/>
      <c r="Q417" s="30"/>
    </row>
    <row r="418" spans="1:17" ht="15.75" thickTop="1" x14ac:dyDescent="0.25"/>
    <row r="419" spans="1:17" ht="27" thickBot="1" x14ac:dyDescent="0.45">
      <c r="A419" s="75" t="s">
        <v>112</v>
      </c>
      <c r="B419" s="75"/>
      <c r="C419" s="75"/>
      <c r="D419" s="75"/>
      <c r="E419" s="75"/>
      <c r="F419" s="30"/>
      <c r="G419" s="30"/>
      <c r="H419" s="30"/>
      <c r="I419" s="30"/>
      <c r="J419" s="30"/>
      <c r="K419" s="30"/>
      <c r="L419" s="30"/>
      <c r="M419" s="30"/>
      <c r="N419" s="30"/>
      <c r="O419" s="76">
        <v>44835</v>
      </c>
      <c r="P419" s="77"/>
      <c r="Q419" s="77"/>
    </row>
    <row r="420" spans="1:17" ht="15.75" thickBot="1" x14ac:dyDescent="0.3">
      <c r="A420" s="27" t="s">
        <v>0</v>
      </c>
      <c r="B420" s="28" t="s">
        <v>1</v>
      </c>
      <c r="C420" s="28" t="s">
        <v>2</v>
      </c>
      <c r="D420" s="28" t="s">
        <v>3</v>
      </c>
      <c r="E420" s="28" t="s">
        <v>4</v>
      </c>
      <c r="F420" s="28" t="s">
        <v>5</v>
      </c>
      <c r="G420" s="28" t="s">
        <v>6</v>
      </c>
      <c r="H420" s="26" t="s">
        <v>7</v>
      </c>
      <c r="I420" s="28" t="s">
        <v>8</v>
      </c>
      <c r="J420" s="28" t="s">
        <v>9</v>
      </c>
      <c r="K420" s="28" t="s">
        <v>10</v>
      </c>
      <c r="L420" s="28" t="s">
        <v>11</v>
      </c>
      <c r="M420" s="28" t="s">
        <v>12</v>
      </c>
      <c r="N420" s="28" t="s">
        <v>27</v>
      </c>
      <c r="O420" s="28" t="s">
        <v>13</v>
      </c>
      <c r="P420" s="26" t="s">
        <v>14</v>
      </c>
      <c r="Q420" s="35" t="s">
        <v>15</v>
      </c>
    </row>
    <row r="421" spans="1:17" x14ac:dyDescent="0.25">
      <c r="A421" s="21">
        <v>44837</v>
      </c>
      <c r="B421" s="22">
        <v>3</v>
      </c>
      <c r="C421" s="23">
        <v>2</v>
      </c>
      <c r="D421" s="2">
        <v>2</v>
      </c>
      <c r="E421" s="24">
        <v>20125142851</v>
      </c>
      <c r="F421" s="24" t="s">
        <v>19</v>
      </c>
      <c r="G421" s="25">
        <v>-72376.33</v>
      </c>
      <c r="H421" s="25">
        <v>-15199.0293</v>
      </c>
      <c r="I421" s="24"/>
      <c r="J421" s="25"/>
      <c r="K421" s="25"/>
      <c r="L421" s="24"/>
      <c r="M421" s="24"/>
      <c r="N421" s="24"/>
      <c r="O421" s="25"/>
      <c r="P421" s="24"/>
      <c r="Q421" s="10">
        <f t="shared" ref="Q421:Q439" si="21">SUM(G421:P421)</f>
        <v>-87575.359299999996</v>
      </c>
    </row>
    <row r="422" spans="1:17" x14ac:dyDescent="0.25">
      <c r="A422" s="6">
        <v>44834</v>
      </c>
      <c r="B422" s="1">
        <v>1</v>
      </c>
      <c r="C422" s="14">
        <v>3</v>
      </c>
      <c r="D422" s="2">
        <v>7</v>
      </c>
      <c r="E422" s="9">
        <v>20386178209</v>
      </c>
      <c r="F422" s="9" t="s">
        <v>177</v>
      </c>
      <c r="G422" s="10">
        <v>120000</v>
      </c>
      <c r="H422" s="10">
        <v>25200</v>
      </c>
      <c r="I422" s="9"/>
      <c r="J422" s="10"/>
      <c r="K422" s="9"/>
      <c r="L422" s="9"/>
      <c r="M422" s="9"/>
      <c r="N422" s="9"/>
      <c r="O422" s="9"/>
      <c r="P422" s="9"/>
      <c r="Q422" s="10">
        <f t="shared" si="21"/>
        <v>145200</v>
      </c>
    </row>
    <row r="423" spans="1:17" x14ac:dyDescent="0.25">
      <c r="A423" s="6">
        <v>44854</v>
      </c>
      <c r="B423" s="1">
        <v>1</v>
      </c>
      <c r="C423" s="14">
        <v>3</v>
      </c>
      <c r="D423" s="2">
        <v>8</v>
      </c>
      <c r="E423" s="9">
        <v>20297899830</v>
      </c>
      <c r="F423" s="9" t="s">
        <v>152</v>
      </c>
      <c r="G423" s="10">
        <v>91908</v>
      </c>
      <c r="H423" s="10">
        <v>19300.68</v>
      </c>
      <c r="I423" s="9"/>
      <c r="J423" s="9"/>
      <c r="K423" s="10"/>
      <c r="L423" s="10"/>
      <c r="M423" s="10"/>
      <c r="N423" s="9"/>
      <c r="O423" s="10"/>
      <c r="P423" s="9">
        <v>638.72</v>
      </c>
      <c r="Q423" s="10">
        <f t="shared" si="21"/>
        <v>111847.4</v>
      </c>
    </row>
    <row r="424" spans="1:17" x14ac:dyDescent="0.25">
      <c r="A424" s="6">
        <v>44845</v>
      </c>
      <c r="B424" s="1">
        <v>3</v>
      </c>
      <c r="C424" s="14">
        <v>5</v>
      </c>
      <c r="D424" s="2">
        <v>17</v>
      </c>
      <c r="E424" s="9">
        <v>27314756121</v>
      </c>
      <c r="F424" s="9" t="s">
        <v>196</v>
      </c>
      <c r="G424" s="10">
        <v>-6500</v>
      </c>
      <c r="H424" s="10">
        <v>-1365</v>
      </c>
      <c r="I424" s="9"/>
      <c r="J424" s="9"/>
      <c r="K424" s="10"/>
      <c r="L424" s="9"/>
      <c r="M424" s="9"/>
      <c r="N424" s="9"/>
      <c r="O424" s="9"/>
      <c r="P424" s="9">
        <v>-447</v>
      </c>
      <c r="Q424" s="10">
        <f t="shared" si="21"/>
        <v>-8312</v>
      </c>
    </row>
    <row r="425" spans="1:17" x14ac:dyDescent="0.25">
      <c r="A425" s="6">
        <v>44837</v>
      </c>
      <c r="B425" s="1">
        <v>1</v>
      </c>
      <c r="C425" s="14">
        <v>2</v>
      </c>
      <c r="D425" s="2">
        <v>146</v>
      </c>
      <c r="E425" s="9">
        <v>20125142851</v>
      </c>
      <c r="F425" s="9" t="s">
        <v>19</v>
      </c>
      <c r="G425" s="10">
        <v>64838.76</v>
      </c>
      <c r="H425" s="10">
        <v>13616.1396</v>
      </c>
      <c r="I425" s="9"/>
      <c r="J425" s="10"/>
      <c r="K425" s="9"/>
      <c r="L425" s="10"/>
      <c r="M425" s="9"/>
      <c r="N425" s="9"/>
      <c r="O425" s="9"/>
      <c r="P425" s="9"/>
      <c r="Q425" s="10">
        <f t="shared" si="21"/>
        <v>78454.899600000004</v>
      </c>
    </row>
    <row r="426" spans="1:17" x14ac:dyDescent="0.25">
      <c r="A426" s="6">
        <v>44837</v>
      </c>
      <c r="B426" s="1">
        <v>1</v>
      </c>
      <c r="C426" s="14">
        <v>2</v>
      </c>
      <c r="D426" s="2">
        <v>148</v>
      </c>
      <c r="E426" s="9">
        <v>20125142851</v>
      </c>
      <c r="F426" s="9" t="s">
        <v>19</v>
      </c>
      <c r="G426" s="10">
        <v>72376.320000000007</v>
      </c>
      <c r="H426" s="10">
        <v>15199.0272</v>
      </c>
      <c r="I426" s="9"/>
      <c r="J426" s="10"/>
      <c r="K426" s="9"/>
      <c r="L426" s="10"/>
      <c r="M426" s="9"/>
      <c r="N426" s="9"/>
      <c r="O426" s="9"/>
      <c r="P426" s="9"/>
      <c r="Q426" s="10">
        <f t="shared" si="21"/>
        <v>87575.347200000004</v>
      </c>
    </row>
    <row r="427" spans="1:17" x14ac:dyDescent="0.25">
      <c r="A427" s="6">
        <v>44844</v>
      </c>
      <c r="B427" s="1">
        <v>1</v>
      </c>
      <c r="C427" s="14">
        <v>2</v>
      </c>
      <c r="D427" s="2">
        <v>149</v>
      </c>
      <c r="E427" s="9">
        <v>20125142851</v>
      </c>
      <c r="F427" s="9" t="s">
        <v>19</v>
      </c>
      <c r="G427" s="10">
        <v>64838.76</v>
      </c>
      <c r="H427" s="10">
        <v>13616.1396</v>
      </c>
      <c r="I427" s="9"/>
      <c r="J427" s="10"/>
      <c r="K427" s="9"/>
      <c r="L427" s="9"/>
      <c r="M427" s="9"/>
      <c r="N427" s="9"/>
      <c r="O427" s="9"/>
      <c r="P427" s="9">
        <v>1560.79</v>
      </c>
      <c r="Q427" s="10">
        <f t="shared" si="21"/>
        <v>80015.689599999998</v>
      </c>
    </row>
    <row r="428" spans="1:17" x14ac:dyDescent="0.25">
      <c r="A428" s="6">
        <v>44844</v>
      </c>
      <c r="B428" s="1">
        <v>1</v>
      </c>
      <c r="C428" s="14">
        <v>2</v>
      </c>
      <c r="D428" s="2">
        <v>150</v>
      </c>
      <c r="E428" s="9">
        <v>20125142851</v>
      </c>
      <c r="F428" s="9" t="s">
        <v>19</v>
      </c>
      <c r="G428" s="10">
        <v>73328.639999999999</v>
      </c>
      <c r="H428" s="10">
        <v>15399.0144</v>
      </c>
      <c r="I428" s="9"/>
      <c r="J428" s="9"/>
      <c r="K428" s="9"/>
      <c r="L428" s="10"/>
      <c r="M428" s="9"/>
      <c r="N428" s="9"/>
      <c r="O428" s="9"/>
      <c r="P428" s="9"/>
      <c r="Q428" s="10">
        <f t="shared" si="21"/>
        <v>88727.654399999999</v>
      </c>
    </row>
    <row r="429" spans="1:17" x14ac:dyDescent="0.25">
      <c r="A429" s="6">
        <v>44839</v>
      </c>
      <c r="B429" s="1">
        <v>1</v>
      </c>
      <c r="C429" s="14">
        <v>3</v>
      </c>
      <c r="D429" s="2">
        <v>270</v>
      </c>
      <c r="E429" s="9">
        <v>20921575743</v>
      </c>
      <c r="F429" s="9" t="s">
        <v>18</v>
      </c>
      <c r="G429" s="10">
        <v>209197.19</v>
      </c>
      <c r="H429" s="10">
        <v>43931.409899999999</v>
      </c>
      <c r="I429" s="9"/>
      <c r="J429" s="10"/>
      <c r="K429" s="9"/>
      <c r="L429" s="10"/>
      <c r="M429" s="9"/>
      <c r="N429" s="9"/>
      <c r="O429" s="9"/>
      <c r="P429" s="9"/>
      <c r="Q429" s="10">
        <f t="shared" si="21"/>
        <v>253128.5999</v>
      </c>
    </row>
    <row r="430" spans="1:17" x14ac:dyDescent="0.25">
      <c r="A430" s="6">
        <v>44861</v>
      </c>
      <c r="B430" s="1">
        <v>1</v>
      </c>
      <c r="C430" s="14">
        <v>6</v>
      </c>
      <c r="D430" s="2">
        <v>382</v>
      </c>
      <c r="E430" s="9">
        <v>30683407468</v>
      </c>
      <c r="F430" s="9" t="s">
        <v>197</v>
      </c>
      <c r="G430" s="10">
        <v>85123.97</v>
      </c>
      <c r="H430" s="10">
        <v>17876.0337</v>
      </c>
      <c r="I430" s="9"/>
      <c r="J430" s="10"/>
      <c r="K430" s="9"/>
      <c r="L430" s="9"/>
      <c r="M430" s="9"/>
      <c r="N430" s="9"/>
      <c r="O430" s="9"/>
      <c r="P430" s="9">
        <v>-58558.01</v>
      </c>
      <c r="Q430" s="10">
        <f t="shared" si="21"/>
        <v>44441.993699999999</v>
      </c>
    </row>
    <row r="431" spans="1:17" x14ac:dyDescent="0.25">
      <c r="A431" s="6">
        <v>44840</v>
      </c>
      <c r="B431" s="1">
        <v>1</v>
      </c>
      <c r="C431" s="14">
        <v>5</v>
      </c>
      <c r="D431" s="2">
        <v>432</v>
      </c>
      <c r="E431" s="9">
        <v>27314756121</v>
      </c>
      <c r="F431" s="9" t="s">
        <v>196</v>
      </c>
      <c r="G431" s="10">
        <v>6500</v>
      </c>
      <c r="H431" s="10">
        <v>1365</v>
      </c>
      <c r="I431" s="9"/>
      <c r="J431" s="10"/>
      <c r="K431" s="9"/>
      <c r="L431" s="9"/>
      <c r="M431" s="9"/>
      <c r="N431" s="9"/>
      <c r="O431" s="9"/>
      <c r="P431" s="9">
        <v>447</v>
      </c>
      <c r="Q431" s="10">
        <f t="shared" si="21"/>
        <v>8312</v>
      </c>
    </row>
    <row r="432" spans="1:17" x14ac:dyDescent="0.25">
      <c r="A432" s="6">
        <v>44845</v>
      </c>
      <c r="B432" s="1">
        <v>1</v>
      </c>
      <c r="C432" s="14">
        <v>5</v>
      </c>
      <c r="D432" s="2">
        <v>435</v>
      </c>
      <c r="E432" s="9">
        <v>27314756121</v>
      </c>
      <c r="F432" s="9" t="s">
        <v>196</v>
      </c>
      <c r="G432" s="10">
        <v>3430</v>
      </c>
      <c r="H432" s="10">
        <v>720.3</v>
      </c>
      <c r="I432" s="9"/>
      <c r="J432" s="10"/>
      <c r="K432" s="9"/>
      <c r="L432" s="9"/>
      <c r="M432" s="9"/>
      <c r="N432" s="9"/>
      <c r="O432" s="9"/>
      <c r="P432" s="9">
        <v>447</v>
      </c>
      <c r="Q432" s="10">
        <f t="shared" si="21"/>
        <v>4597.3</v>
      </c>
    </row>
    <row r="433" spans="1:21" x14ac:dyDescent="0.25">
      <c r="A433" s="6">
        <v>44861</v>
      </c>
      <c r="B433" s="1">
        <v>1</v>
      </c>
      <c r="C433" s="14">
        <v>1</v>
      </c>
      <c r="D433" s="2">
        <v>514</v>
      </c>
      <c r="E433" s="9">
        <v>30715048066</v>
      </c>
      <c r="F433" s="9" t="s">
        <v>24</v>
      </c>
      <c r="G433" s="10">
        <v>113975</v>
      </c>
      <c r="H433" s="10">
        <v>23934.75</v>
      </c>
      <c r="I433" s="9"/>
      <c r="J433" s="9"/>
      <c r="K433" s="9"/>
      <c r="L433" s="9"/>
      <c r="M433" s="9"/>
      <c r="N433" s="9"/>
      <c r="O433" s="9"/>
      <c r="P433" s="9"/>
      <c r="Q433" s="10">
        <f t="shared" si="21"/>
        <v>137909.75</v>
      </c>
    </row>
    <row r="434" spans="1:21" x14ac:dyDescent="0.25">
      <c r="A434" s="6">
        <v>44862</v>
      </c>
      <c r="B434" s="1">
        <v>1</v>
      </c>
      <c r="C434" s="14">
        <v>2</v>
      </c>
      <c r="D434" s="2">
        <v>556</v>
      </c>
      <c r="E434" s="9">
        <v>20296550184</v>
      </c>
      <c r="F434" s="9" t="s">
        <v>37</v>
      </c>
      <c r="G434" s="10">
        <v>70750</v>
      </c>
      <c r="H434" s="10">
        <v>14857.5</v>
      </c>
      <c r="I434" s="10"/>
      <c r="J434" s="9"/>
      <c r="K434" s="9"/>
      <c r="L434" s="9"/>
      <c r="M434" s="9"/>
      <c r="N434" s="9"/>
      <c r="O434" s="9"/>
      <c r="P434" s="9"/>
      <c r="Q434" s="10">
        <f t="shared" si="21"/>
        <v>85607.5</v>
      </c>
      <c r="T434" s="67"/>
    </row>
    <row r="435" spans="1:21" x14ac:dyDescent="0.25">
      <c r="A435" s="6">
        <v>44838</v>
      </c>
      <c r="B435" s="1">
        <v>1</v>
      </c>
      <c r="C435" s="14">
        <v>2</v>
      </c>
      <c r="D435" s="2">
        <v>804</v>
      </c>
      <c r="E435" s="9">
        <v>30500805222</v>
      </c>
      <c r="F435" s="9" t="s">
        <v>72</v>
      </c>
      <c r="G435" s="10">
        <v>549472</v>
      </c>
      <c r="H435" s="10">
        <v>115389.12</v>
      </c>
      <c r="I435" s="9"/>
      <c r="J435" s="9"/>
      <c r="K435" s="9"/>
      <c r="L435" s="10"/>
      <c r="M435" s="9"/>
      <c r="N435" s="9"/>
      <c r="O435" s="9"/>
      <c r="P435" s="9"/>
      <c r="Q435" s="10">
        <f t="shared" si="21"/>
        <v>664861.12</v>
      </c>
      <c r="T435" s="67"/>
    </row>
    <row r="436" spans="1:21" x14ac:dyDescent="0.25">
      <c r="A436" s="6">
        <v>44855</v>
      </c>
      <c r="B436" s="1">
        <v>1</v>
      </c>
      <c r="C436" s="14">
        <v>7</v>
      </c>
      <c r="D436" s="2">
        <v>853</v>
      </c>
      <c r="E436" s="9">
        <v>30715717863</v>
      </c>
      <c r="F436" s="9" t="s">
        <v>198</v>
      </c>
      <c r="G436" s="10">
        <v>2974.38</v>
      </c>
      <c r="H436" s="10">
        <v>624.61980000000005</v>
      </c>
      <c r="I436" s="9"/>
      <c r="J436" s="9"/>
      <c r="K436" s="9"/>
      <c r="L436" s="10"/>
      <c r="M436" s="9"/>
      <c r="N436" s="9"/>
      <c r="O436" s="9"/>
      <c r="P436" s="9"/>
      <c r="Q436" s="10">
        <f t="shared" si="21"/>
        <v>3598.9998000000001</v>
      </c>
      <c r="T436" s="68"/>
    </row>
    <row r="437" spans="1:21" x14ac:dyDescent="0.25">
      <c r="A437" s="6">
        <v>44854</v>
      </c>
      <c r="B437" s="1">
        <v>1</v>
      </c>
      <c r="C437" s="14">
        <v>35</v>
      </c>
      <c r="D437" s="2">
        <v>1038</v>
      </c>
      <c r="E437" s="9">
        <v>20182998908</v>
      </c>
      <c r="F437" s="9" t="s">
        <v>199</v>
      </c>
      <c r="G437" s="10">
        <v>21734.71</v>
      </c>
      <c r="H437" s="10">
        <v>4564.2891</v>
      </c>
      <c r="I437" s="9"/>
      <c r="J437" s="10"/>
      <c r="K437" s="9"/>
      <c r="L437" s="10"/>
      <c r="M437" s="9"/>
      <c r="N437" s="9"/>
      <c r="O437" s="9"/>
      <c r="P437" s="9"/>
      <c r="Q437" s="10">
        <f t="shared" si="21"/>
        <v>26298.999100000001</v>
      </c>
    </row>
    <row r="438" spans="1:21" x14ac:dyDescent="0.25">
      <c r="A438" s="6">
        <v>44862</v>
      </c>
      <c r="B438" s="1">
        <v>1</v>
      </c>
      <c r="C438" s="14">
        <v>3</v>
      </c>
      <c r="D438" s="2">
        <v>1062</v>
      </c>
      <c r="E438" s="9">
        <v>30708802855</v>
      </c>
      <c r="F438" s="9" t="s">
        <v>200</v>
      </c>
      <c r="G438" s="10">
        <v>63700.60476190476</v>
      </c>
      <c r="H438" s="10">
        <v>13377.126999999999</v>
      </c>
      <c r="I438" s="9"/>
      <c r="J438" s="9"/>
      <c r="K438" s="10"/>
      <c r="L438" s="9"/>
      <c r="M438" s="9"/>
      <c r="N438" s="9"/>
      <c r="O438" s="9"/>
      <c r="P438" s="9"/>
      <c r="Q438" s="10">
        <f t="shared" si="21"/>
        <v>77077.731761904754</v>
      </c>
      <c r="S438" s="69"/>
      <c r="T438" s="69"/>
      <c r="U438" s="69"/>
    </row>
    <row r="439" spans="1:21" x14ac:dyDescent="0.25">
      <c r="A439" s="6">
        <v>44837</v>
      </c>
      <c r="B439" s="1">
        <v>1</v>
      </c>
      <c r="C439" s="14">
        <v>1</v>
      </c>
      <c r="D439" s="2">
        <v>1105</v>
      </c>
      <c r="E439" s="9">
        <v>30717029271</v>
      </c>
      <c r="F439" s="9" t="s">
        <v>201</v>
      </c>
      <c r="G439" s="10">
        <v>2834.71</v>
      </c>
      <c r="H439" s="10">
        <v>595.28909999999996</v>
      </c>
      <c r="I439" s="9"/>
      <c r="J439" s="10"/>
      <c r="K439" s="9"/>
      <c r="L439" s="9"/>
      <c r="M439" s="9"/>
      <c r="N439" s="10"/>
      <c r="O439" s="9"/>
      <c r="P439" s="10"/>
      <c r="Q439" s="10">
        <f t="shared" si="21"/>
        <v>3429.9991</v>
      </c>
      <c r="S439" s="69"/>
      <c r="T439" s="70"/>
      <c r="U439" s="69"/>
    </row>
    <row r="440" spans="1:21" x14ac:dyDescent="0.25">
      <c r="A440" s="6">
        <v>44854</v>
      </c>
      <c r="B440" s="1">
        <v>1</v>
      </c>
      <c r="C440" s="14">
        <v>7</v>
      </c>
      <c r="D440" s="2">
        <v>4352</v>
      </c>
      <c r="E440" s="9">
        <v>30538456876</v>
      </c>
      <c r="F440" s="9" t="s">
        <v>153</v>
      </c>
      <c r="G440" s="10">
        <v>5880.6</v>
      </c>
      <c r="H440" s="10">
        <v>1234.9259999999999</v>
      </c>
      <c r="I440" s="9"/>
      <c r="J440" s="10"/>
      <c r="K440" s="9"/>
      <c r="L440" s="9"/>
      <c r="M440" s="9"/>
      <c r="N440" s="10"/>
      <c r="O440" s="9"/>
      <c r="P440" s="10"/>
      <c r="Q440" s="10">
        <f t="shared" ref="Q440:Q461" si="22">SUM(G440:P440)</f>
        <v>7115.5259999999998</v>
      </c>
    </row>
    <row r="441" spans="1:21" x14ac:dyDescent="0.25">
      <c r="A441" s="6">
        <v>44836</v>
      </c>
      <c r="B441" s="1">
        <v>1</v>
      </c>
      <c r="C441" s="14">
        <v>3337</v>
      </c>
      <c r="D441" s="2">
        <v>5787</v>
      </c>
      <c r="E441" s="9">
        <v>30526874249</v>
      </c>
      <c r="F441" s="9" t="s">
        <v>202</v>
      </c>
      <c r="G441" s="10">
        <v>84283.06</v>
      </c>
      <c r="H441" s="10">
        <v>17699.442599999998</v>
      </c>
      <c r="I441" s="9"/>
      <c r="J441" s="10"/>
      <c r="K441" s="9"/>
      <c r="L441" s="9"/>
      <c r="M441" s="9"/>
      <c r="N441" s="10"/>
      <c r="O441" s="9"/>
      <c r="P441" s="10"/>
      <c r="Q441" s="10">
        <f t="shared" si="22"/>
        <v>101982.50259999999</v>
      </c>
      <c r="T441" s="33"/>
    </row>
    <row r="442" spans="1:21" x14ac:dyDescent="0.25">
      <c r="A442" s="6">
        <v>44836</v>
      </c>
      <c r="B442" s="1">
        <v>1</v>
      </c>
      <c r="C442" s="14">
        <v>30</v>
      </c>
      <c r="D442" s="2">
        <v>6855</v>
      </c>
      <c r="E442" s="9">
        <v>20217293791</v>
      </c>
      <c r="F442" s="9" t="s">
        <v>125</v>
      </c>
      <c r="G442" s="10">
        <v>11345.45</v>
      </c>
      <c r="H442" s="10">
        <v>2382.5445</v>
      </c>
      <c r="I442" s="9"/>
      <c r="J442" s="10"/>
      <c r="K442" s="9"/>
      <c r="L442" s="9"/>
      <c r="M442" s="9"/>
      <c r="N442" s="10"/>
      <c r="O442" s="9"/>
      <c r="P442" s="10"/>
      <c r="Q442" s="10">
        <f t="shared" si="22"/>
        <v>13727.994500000001</v>
      </c>
    </row>
    <row r="443" spans="1:21" x14ac:dyDescent="0.25">
      <c r="A443" s="6">
        <v>44844</v>
      </c>
      <c r="B443" s="1">
        <v>1</v>
      </c>
      <c r="C443" s="14">
        <v>6992</v>
      </c>
      <c r="D443" s="2">
        <v>10312</v>
      </c>
      <c r="E443" s="9">
        <v>30678774495</v>
      </c>
      <c r="F443" s="9" t="s">
        <v>123</v>
      </c>
      <c r="G443" s="10">
        <v>6033.56</v>
      </c>
      <c r="H443" s="10"/>
      <c r="I443" s="9"/>
      <c r="J443" s="10"/>
      <c r="K443" s="9"/>
      <c r="L443" s="9"/>
      <c r="M443" s="9"/>
      <c r="N443" s="10"/>
      <c r="O443" s="9"/>
      <c r="P443" s="10"/>
      <c r="Q443" s="10">
        <f t="shared" si="22"/>
        <v>6033.56</v>
      </c>
    </row>
    <row r="444" spans="1:21" x14ac:dyDescent="0.25">
      <c r="A444" s="6">
        <v>44861</v>
      </c>
      <c r="B444" s="1">
        <v>1</v>
      </c>
      <c r="C444" s="14">
        <v>99</v>
      </c>
      <c r="D444" s="2">
        <v>10595</v>
      </c>
      <c r="E444" s="9">
        <v>30711398992</v>
      </c>
      <c r="F444" s="9" t="s">
        <v>203</v>
      </c>
      <c r="G444" s="10">
        <v>8735.3799999999992</v>
      </c>
      <c r="H444" s="10"/>
      <c r="I444" s="9"/>
      <c r="J444" s="10">
        <v>917.21489999999983</v>
      </c>
      <c r="K444" s="9"/>
      <c r="L444" s="9"/>
      <c r="M444" s="9"/>
      <c r="N444" s="10"/>
      <c r="O444" s="9"/>
      <c r="P444" s="10"/>
      <c r="Q444" s="10">
        <f t="shared" si="22"/>
        <v>9652.5948999999982</v>
      </c>
      <c r="T444" s="69"/>
    </row>
    <row r="445" spans="1:21" x14ac:dyDescent="0.25">
      <c r="A445" s="6">
        <v>44839</v>
      </c>
      <c r="B445" s="1">
        <v>1</v>
      </c>
      <c r="C445" s="14">
        <v>2</v>
      </c>
      <c r="D445" s="2">
        <v>12323</v>
      </c>
      <c r="E445" s="9">
        <v>20103565309</v>
      </c>
      <c r="F445" s="9" t="s">
        <v>166</v>
      </c>
      <c r="G445" s="10">
        <v>105686</v>
      </c>
      <c r="H445" s="10">
        <v>22194.059999999998</v>
      </c>
      <c r="I445" s="9"/>
      <c r="J445" s="10"/>
      <c r="K445" s="9"/>
      <c r="L445" s="9"/>
      <c r="M445" s="9"/>
      <c r="N445" s="10"/>
      <c r="O445" s="9"/>
      <c r="P445" s="10"/>
      <c r="Q445" s="10">
        <f t="shared" si="22"/>
        <v>127880.06</v>
      </c>
    </row>
    <row r="446" spans="1:21" x14ac:dyDescent="0.25">
      <c r="A446" s="6">
        <v>44860</v>
      </c>
      <c r="B446" s="1">
        <v>1</v>
      </c>
      <c r="C446" s="14">
        <v>2</v>
      </c>
      <c r="D446" s="2">
        <v>12436</v>
      </c>
      <c r="E446" s="9">
        <v>20103565309</v>
      </c>
      <c r="F446" s="9" t="s">
        <v>166</v>
      </c>
      <c r="G446" s="10">
        <v>83408.350000000006</v>
      </c>
      <c r="H446" s="10">
        <v>17515.753499999999</v>
      </c>
      <c r="I446" s="9"/>
      <c r="J446" s="10"/>
      <c r="K446" s="9"/>
      <c r="L446" s="9"/>
      <c r="M446" s="9"/>
      <c r="N446" s="10"/>
      <c r="O446" s="9"/>
      <c r="P446" s="10"/>
      <c r="Q446" s="10">
        <f t="shared" si="22"/>
        <v>100924.1035</v>
      </c>
    </row>
    <row r="447" spans="1:21" x14ac:dyDescent="0.25">
      <c r="A447" s="6">
        <v>44860</v>
      </c>
      <c r="B447" s="1">
        <v>1</v>
      </c>
      <c r="C447" s="14">
        <v>2</v>
      </c>
      <c r="D447" s="2">
        <v>12439</v>
      </c>
      <c r="E447" s="9">
        <v>20103565309</v>
      </c>
      <c r="F447" s="9" t="s">
        <v>166</v>
      </c>
      <c r="G447" s="10">
        <v>19647.2</v>
      </c>
      <c r="H447" s="10">
        <v>4125.9120000000003</v>
      </c>
      <c r="I447" s="9"/>
      <c r="J447" s="10"/>
      <c r="K447" s="9"/>
      <c r="L447" s="9"/>
      <c r="M447" s="9"/>
      <c r="N447" s="10"/>
      <c r="O447" s="9"/>
      <c r="P447" s="10"/>
      <c r="Q447" s="10">
        <f t="shared" si="22"/>
        <v>23773.112000000001</v>
      </c>
    </row>
    <row r="448" spans="1:21" x14ac:dyDescent="0.25">
      <c r="A448" s="6">
        <v>44861</v>
      </c>
      <c r="B448" s="1">
        <v>1</v>
      </c>
      <c r="C448" s="14">
        <v>11</v>
      </c>
      <c r="D448" s="2">
        <v>19832</v>
      </c>
      <c r="E448" s="9">
        <v>30710373414</v>
      </c>
      <c r="F448" s="9" t="s">
        <v>204</v>
      </c>
      <c r="G448" s="10">
        <v>7411.76</v>
      </c>
      <c r="H448" s="10"/>
      <c r="I448" s="9"/>
      <c r="J448" s="10">
        <v>778.23479999999995</v>
      </c>
      <c r="K448" s="9"/>
      <c r="L448" s="9"/>
      <c r="M448" s="9"/>
      <c r="N448" s="10"/>
      <c r="O448" s="9"/>
      <c r="P448" s="10"/>
      <c r="Q448" s="10">
        <f t="shared" si="22"/>
        <v>8189.9948000000004</v>
      </c>
    </row>
    <row r="449" spans="1:17" x14ac:dyDescent="0.25">
      <c r="A449" s="6">
        <v>44847</v>
      </c>
      <c r="B449" s="1">
        <v>1</v>
      </c>
      <c r="C449" s="14">
        <v>3</v>
      </c>
      <c r="D449" s="2">
        <v>34360</v>
      </c>
      <c r="E449" s="9">
        <v>30710018479</v>
      </c>
      <c r="F449" s="9" t="s">
        <v>205</v>
      </c>
      <c r="G449" s="10">
        <v>2818.18</v>
      </c>
      <c r="H449" s="10">
        <v>591.81779999999992</v>
      </c>
      <c r="I449" s="9"/>
      <c r="J449" s="10"/>
      <c r="K449" s="9"/>
      <c r="L449" s="9"/>
      <c r="M449" s="9"/>
      <c r="N449" s="10"/>
      <c r="O449" s="9"/>
      <c r="P449" s="10"/>
      <c r="Q449" s="10">
        <f t="shared" si="22"/>
        <v>3409.9977999999996</v>
      </c>
    </row>
    <row r="450" spans="1:17" x14ac:dyDescent="0.25">
      <c r="A450" s="6">
        <v>44839</v>
      </c>
      <c r="B450" s="1">
        <v>1</v>
      </c>
      <c r="C450" s="14">
        <v>5</v>
      </c>
      <c r="D450" s="2">
        <v>57205</v>
      </c>
      <c r="E450" s="9">
        <v>30692857611</v>
      </c>
      <c r="F450" s="9" t="s">
        <v>42</v>
      </c>
      <c r="G450" s="10">
        <v>385948.5</v>
      </c>
      <c r="H450" s="10">
        <v>81049.184999999998</v>
      </c>
      <c r="I450" s="9"/>
      <c r="J450" s="10"/>
      <c r="K450" s="9"/>
      <c r="L450" s="9"/>
      <c r="M450" s="9"/>
      <c r="N450" s="10"/>
      <c r="O450" s="9"/>
      <c r="P450" s="10"/>
      <c r="Q450" s="10">
        <f t="shared" si="22"/>
        <v>466997.685</v>
      </c>
    </row>
    <row r="451" spans="1:17" x14ac:dyDescent="0.25">
      <c r="A451" s="6">
        <v>44835</v>
      </c>
      <c r="B451" s="1">
        <v>1</v>
      </c>
      <c r="C451" s="14">
        <v>3</v>
      </c>
      <c r="D451" s="2">
        <v>170017</v>
      </c>
      <c r="E451" s="9">
        <v>30707135596</v>
      </c>
      <c r="F451" s="9" t="s">
        <v>17</v>
      </c>
      <c r="G451" s="10">
        <v>3679.81</v>
      </c>
      <c r="H451" s="10">
        <v>772.76009999999997</v>
      </c>
      <c r="I451" s="9"/>
      <c r="J451" s="10"/>
      <c r="K451" s="9"/>
      <c r="L451" s="9"/>
      <c r="M451" s="9"/>
      <c r="N451" s="10"/>
      <c r="O451" s="9"/>
      <c r="P451" s="10"/>
      <c r="Q451" s="10">
        <f t="shared" si="22"/>
        <v>4452.5700999999999</v>
      </c>
    </row>
    <row r="452" spans="1:17" x14ac:dyDescent="0.25">
      <c r="A452" s="6">
        <v>44862</v>
      </c>
      <c r="B452" s="1">
        <v>1</v>
      </c>
      <c r="C452" s="14">
        <v>53</v>
      </c>
      <c r="D452" s="2">
        <v>264449</v>
      </c>
      <c r="E452" s="9">
        <v>30689153689</v>
      </c>
      <c r="F452" s="9" t="s">
        <v>206</v>
      </c>
      <c r="G452" s="10">
        <v>254.57142857142799</v>
      </c>
      <c r="H452" s="10">
        <v>53.459999999999873</v>
      </c>
      <c r="I452" s="9"/>
      <c r="J452" s="10"/>
      <c r="K452" s="9"/>
      <c r="L452" s="9"/>
      <c r="M452" s="9"/>
      <c r="N452" s="10"/>
      <c r="O452" s="9"/>
      <c r="P452" s="10">
        <v>-143277.33599999998</v>
      </c>
      <c r="Q452" s="10">
        <f t="shared" si="22"/>
        <v>-142969.30457142854</v>
      </c>
    </row>
    <row r="453" spans="1:17" x14ac:dyDescent="0.25">
      <c r="A453" s="6">
        <v>44845</v>
      </c>
      <c r="B453" s="1">
        <v>1</v>
      </c>
      <c r="C453" s="14">
        <v>2466</v>
      </c>
      <c r="D453" s="2">
        <v>422089</v>
      </c>
      <c r="E453" s="9">
        <v>30678814357</v>
      </c>
      <c r="F453" s="9" t="s">
        <v>20</v>
      </c>
      <c r="G453" s="10">
        <v>2469.2600000000002</v>
      </c>
      <c r="H453" s="10"/>
      <c r="I453" s="9">
        <v>666.7</v>
      </c>
      <c r="J453" s="10"/>
      <c r="K453" s="9"/>
      <c r="L453" s="9"/>
      <c r="M453" s="9"/>
      <c r="N453" s="10"/>
      <c r="O453" s="9"/>
      <c r="P453" s="10">
        <v>198.39</v>
      </c>
      <c r="Q453" s="10">
        <f t="shared" si="22"/>
        <v>3334.35</v>
      </c>
    </row>
    <row r="454" spans="1:17" x14ac:dyDescent="0.25">
      <c r="A454" s="6">
        <v>44865</v>
      </c>
      <c r="B454" s="1">
        <v>1</v>
      </c>
      <c r="C454" s="14">
        <v>700</v>
      </c>
      <c r="D454" s="2">
        <v>446102</v>
      </c>
      <c r="E454" s="9">
        <v>30580111315</v>
      </c>
      <c r="F454" s="9" t="s">
        <v>21</v>
      </c>
      <c r="G454" s="10">
        <v>2180.25</v>
      </c>
      <c r="H454" s="10">
        <v>457.85249999999996</v>
      </c>
      <c r="I454" s="9"/>
      <c r="J454" s="10"/>
      <c r="K454" s="9"/>
      <c r="L454" s="9"/>
      <c r="M454" s="9"/>
      <c r="N454" s="10"/>
      <c r="O454" s="9"/>
      <c r="P454" s="10">
        <v>72878.490000000005</v>
      </c>
      <c r="Q454" s="10">
        <f t="shared" si="22"/>
        <v>75516.592499999999</v>
      </c>
    </row>
    <row r="455" spans="1:17" x14ac:dyDescent="0.25">
      <c r="A455" s="6">
        <v>44861</v>
      </c>
      <c r="B455" s="1">
        <v>1</v>
      </c>
      <c r="C455" s="14">
        <v>13</v>
      </c>
      <c r="D455" s="2">
        <v>793700</v>
      </c>
      <c r="E455" s="9">
        <v>30700940957</v>
      </c>
      <c r="F455" s="9" t="s">
        <v>38</v>
      </c>
      <c r="G455" s="10">
        <v>81712.86</v>
      </c>
      <c r="H455" s="10">
        <v>17159.7006</v>
      </c>
      <c r="I455" s="9"/>
      <c r="J455" s="10"/>
      <c r="K455" s="9"/>
      <c r="L455" s="9"/>
      <c r="M455" s="9"/>
      <c r="N455" s="10"/>
      <c r="O455" s="9"/>
      <c r="P455" s="10"/>
      <c r="Q455" s="10">
        <f t="shared" si="22"/>
        <v>98872.560599999997</v>
      </c>
    </row>
    <row r="456" spans="1:17" x14ac:dyDescent="0.25">
      <c r="A456" s="6">
        <v>44862</v>
      </c>
      <c r="B456" s="1">
        <v>1</v>
      </c>
      <c r="C456" s="14">
        <v>280</v>
      </c>
      <c r="D456" s="2">
        <v>1397328</v>
      </c>
      <c r="E456" s="9">
        <v>30580111315</v>
      </c>
      <c r="F456" s="9" t="s">
        <v>21</v>
      </c>
      <c r="G456" s="10">
        <v>175242.09599999999</v>
      </c>
      <c r="H456" s="10">
        <v>28860.731100000001</v>
      </c>
      <c r="I456" s="9"/>
      <c r="J456" s="10">
        <v>3968.9576999999995</v>
      </c>
      <c r="K456" s="9"/>
      <c r="L456" s="9"/>
      <c r="M456" s="9"/>
      <c r="N456" s="10"/>
      <c r="O456" s="9"/>
      <c r="P456" s="10"/>
      <c r="Q456" s="10">
        <f t="shared" si="22"/>
        <v>208071.78479999999</v>
      </c>
    </row>
    <row r="457" spans="1:17" x14ac:dyDescent="0.25">
      <c r="A457" s="6">
        <v>44854</v>
      </c>
      <c r="B457" s="1">
        <v>99</v>
      </c>
      <c r="C457" s="14">
        <v>825</v>
      </c>
      <c r="D457" s="53">
        <v>834187</v>
      </c>
      <c r="E457" s="9" t="s">
        <v>108</v>
      </c>
      <c r="F457" s="9" t="s">
        <v>109</v>
      </c>
      <c r="G457" s="10">
        <v>11488.5</v>
      </c>
      <c r="H457" s="10">
        <v>2412.585</v>
      </c>
      <c r="I457" s="9"/>
      <c r="J457" s="10"/>
      <c r="K457" s="9"/>
      <c r="L457" s="9"/>
      <c r="M457" s="9">
        <v>344.66</v>
      </c>
      <c r="N457" s="10"/>
      <c r="O457" s="9"/>
      <c r="P457" s="10"/>
      <c r="Q457" s="10">
        <f t="shared" si="22"/>
        <v>14245.744999999999</v>
      </c>
    </row>
    <row r="458" spans="1:17" x14ac:dyDescent="0.25">
      <c r="A458" s="6">
        <v>44853</v>
      </c>
      <c r="B458" s="1">
        <v>99</v>
      </c>
      <c r="C458" s="14">
        <v>100</v>
      </c>
      <c r="D458" s="2">
        <v>2027</v>
      </c>
      <c r="E458" s="9" t="s">
        <v>108</v>
      </c>
      <c r="F458" s="9" t="s">
        <v>109</v>
      </c>
      <c r="G458" s="10">
        <v>1531.8</v>
      </c>
      <c r="H458" s="10">
        <v>321.678</v>
      </c>
      <c r="I458" s="9"/>
      <c r="J458" s="10"/>
      <c r="K458" s="9"/>
      <c r="L458" s="9"/>
      <c r="M458" s="9"/>
      <c r="N458" s="10"/>
      <c r="O458" s="9"/>
      <c r="P458" s="10"/>
      <c r="Q458" s="10">
        <f t="shared" si="22"/>
        <v>1853.4780000000001</v>
      </c>
    </row>
    <row r="459" spans="1:17" x14ac:dyDescent="0.25">
      <c r="A459" s="6">
        <v>44851</v>
      </c>
      <c r="B459" s="1">
        <v>99</v>
      </c>
      <c r="C459" s="14">
        <v>100</v>
      </c>
      <c r="D459" s="2">
        <v>1708</v>
      </c>
      <c r="E459" s="9" t="s">
        <v>108</v>
      </c>
      <c r="F459" s="9" t="s">
        <v>109</v>
      </c>
      <c r="G459" s="10">
        <v>1525</v>
      </c>
      <c r="H459" s="10">
        <v>320.25</v>
      </c>
      <c r="I459" s="9"/>
      <c r="J459" s="10"/>
      <c r="K459" s="9"/>
      <c r="L459" s="9"/>
      <c r="M459" s="9"/>
      <c r="N459" s="10"/>
      <c r="O459" s="9"/>
      <c r="P459" s="10"/>
      <c r="Q459" s="10">
        <f t="shared" si="22"/>
        <v>1845.25</v>
      </c>
    </row>
    <row r="460" spans="1:17" x14ac:dyDescent="0.25">
      <c r="A460" s="6">
        <v>44865</v>
      </c>
      <c r="B460" s="1">
        <v>99</v>
      </c>
      <c r="C460" s="14">
        <v>1</v>
      </c>
      <c r="D460" s="2">
        <v>31102022</v>
      </c>
      <c r="E460" s="9">
        <v>30583887039</v>
      </c>
      <c r="F460" s="9" t="s">
        <v>111</v>
      </c>
      <c r="G460" s="10">
        <v>128</v>
      </c>
      <c r="H460" s="10">
        <v>26.88</v>
      </c>
      <c r="I460" s="9"/>
      <c r="J460" s="10"/>
      <c r="K460" s="9"/>
      <c r="L460" s="9"/>
      <c r="M460" s="9"/>
      <c r="N460" s="10"/>
      <c r="O460" s="9">
        <v>1.78</v>
      </c>
      <c r="P460" s="10"/>
      <c r="Q460" s="10">
        <f t="shared" si="22"/>
        <v>156.66</v>
      </c>
    </row>
    <row r="461" spans="1:17" x14ac:dyDescent="0.25">
      <c r="A461" s="6">
        <v>44865</v>
      </c>
      <c r="B461" s="1">
        <v>99</v>
      </c>
      <c r="C461" s="14">
        <v>1</v>
      </c>
      <c r="D461" s="2">
        <v>311022</v>
      </c>
      <c r="E461" s="9" t="s">
        <v>110</v>
      </c>
      <c r="F461" s="9" t="s">
        <v>109</v>
      </c>
      <c r="G461" s="10">
        <v>4028.37</v>
      </c>
      <c r="H461" s="10">
        <v>845.95769999999993</v>
      </c>
      <c r="I461" s="9"/>
      <c r="J461" s="10"/>
      <c r="K461" s="9"/>
      <c r="L461" s="9"/>
      <c r="M461" s="9">
        <v>72</v>
      </c>
      <c r="N461" s="10"/>
      <c r="O461" s="9"/>
      <c r="P461" s="10"/>
      <c r="Q461" s="10">
        <f t="shared" si="22"/>
        <v>4946.3276999999998</v>
      </c>
    </row>
    <row r="462" spans="1:17" ht="16.5" thickBot="1" x14ac:dyDescent="0.3">
      <c r="A462" s="78" t="s">
        <v>26</v>
      </c>
      <c r="B462" s="78"/>
      <c r="C462" s="78"/>
      <c r="D462" s="78"/>
      <c r="E462" s="78"/>
      <c r="F462" s="79"/>
      <c r="G462" s="34">
        <f t="shared" ref="G462:Q462" si="23">SUM(G421:G461)</f>
        <v>2543545.2721904754</v>
      </c>
      <c r="H462" s="34">
        <f t="shared" si="23"/>
        <v>521027.90649999998</v>
      </c>
      <c r="I462" s="34">
        <f t="shared" si="23"/>
        <v>666.7</v>
      </c>
      <c r="J462" s="34">
        <f t="shared" si="23"/>
        <v>5664.4073999999991</v>
      </c>
      <c r="K462" s="34">
        <f t="shared" si="23"/>
        <v>0</v>
      </c>
      <c r="L462" s="34">
        <f t="shared" si="23"/>
        <v>0</v>
      </c>
      <c r="M462" s="34">
        <f t="shared" si="23"/>
        <v>416.66</v>
      </c>
      <c r="N462" s="34">
        <f t="shared" si="23"/>
        <v>0</v>
      </c>
      <c r="O462" s="34">
        <f t="shared" si="23"/>
        <v>1.78</v>
      </c>
      <c r="P462" s="34">
        <f t="shared" si="23"/>
        <v>-126111.95599999996</v>
      </c>
      <c r="Q462" s="34">
        <f t="shared" si="23"/>
        <v>2945210.7700904771</v>
      </c>
    </row>
    <row r="463" spans="1:17" ht="15.75" thickBot="1" x14ac:dyDescent="0.3">
      <c r="A463" s="30"/>
      <c r="B463" s="30"/>
      <c r="C463" s="30"/>
      <c r="D463" s="30"/>
      <c r="E463" s="30"/>
      <c r="F463" s="30"/>
      <c r="G463" s="30"/>
      <c r="H463" s="72">
        <f>SUM(H462:J462)</f>
        <v>527359.01390000002</v>
      </c>
      <c r="I463" s="73"/>
      <c r="J463" s="74"/>
      <c r="K463" s="30"/>
      <c r="L463" s="30"/>
      <c r="M463" s="30"/>
      <c r="N463" s="30"/>
      <c r="O463" s="30"/>
      <c r="P463" s="30"/>
      <c r="Q463" s="30"/>
    </row>
    <row r="464" spans="1:17" ht="15.75" thickTop="1" x14ac:dyDescent="0.25"/>
    <row r="465" spans="1:17" ht="27.75" thickTop="1" thickBot="1" x14ac:dyDescent="0.45">
      <c r="A465" s="75" t="s">
        <v>112</v>
      </c>
      <c r="B465" s="75"/>
      <c r="C465" s="75"/>
      <c r="D465" s="75"/>
      <c r="E465" s="75"/>
      <c r="F465" s="30"/>
      <c r="G465" s="30"/>
      <c r="H465" s="30"/>
      <c r="I465" s="30"/>
      <c r="J465" s="30"/>
      <c r="K465" s="30"/>
      <c r="L465" s="30"/>
      <c r="M465" s="30"/>
      <c r="N465" s="30"/>
      <c r="O465" s="76">
        <v>44866</v>
      </c>
      <c r="P465" s="77"/>
      <c r="Q465" s="77"/>
    </row>
    <row r="466" spans="1:17" ht="15.75" thickBot="1" x14ac:dyDescent="0.3">
      <c r="A466" s="27" t="s">
        <v>0</v>
      </c>
      <c r="B466" s="28" t="s">
        <v>1</v>
      </c>
      <c r="C466" s="28" t="s">
        <v>2</v>
      </c>
      <c r="D466" s="28" t="s">
        <v>3</v>
      </c>
      <c r="E466" s="28" t="s">
        <v>4</v>
      </c>
      <c r="F466" s="28" t="s">
        <v>5</v>
      </c>
      <c r="G466" s="28" t="s">
        <v>6</v>
      </c>
      <c r="H466" s="26" t="s">
        <v>7</v>
      </c>
      <c r="I466" s="28" t="s">
        <v>8</v>
      </c>
      <c r="J466" s="28" t="s">
        <v>9</v>
      </c>
      <c r="K466" s="28" t="s">
        <v>10</v>
      </c>
      <c r="L466" s="28" t="s">
        <v>11</v>
      </c>
      <c r="M466" s="28" t="s">
        <v>12</v>
      </c>
      <c r="N466" s="28" t="s">
        <v>27</v>
      </c>
      <c r="O466" s="28" t="s">
        <v>13</v>
      </c>
      <c r="P466" s="26" t="s">
        <v>14</v>
      </c>
      <c r="Q466" s="35" t="s">
        <v>15</v>
      </c>
    </row>
    <row r="467" spans="1:17" x14ac:dyDescent="0.25">
      <c r="A467" s="21" t="s">
        <v>220</v>
      </c>
      <c r="B467" s="22">
        <v>3</v>
      </c>
      <c r="C467" s="23">
        <v>3</v>
      </c>
      <c r="D467" s="2">
        <v>2</v>
      </c>
      <c r="E467" s="24">
        <v>20386178209</v>
      </c>
      <c r="F467" s="24" t="s">
        <v>177</v>
      </c>
      <c r="G467" s="25">
        <v>-98500</v>
      </c>
      <c r="H467" s="25">
        <v>-20685</v>
      </c>
      <c r="I467" s="24"/>
      <c r="J467" s="25"/>
      <c r="K467" s="25"/>
      <c r="L467" s="24"/>
      <c r="M467" s="24"/>
      <c r="N467" s="24"/>
      <c r="O467" s="25"/>
      <c r="P467" s="24"/>
      <c r="Q467" s="10">
        <f t="shared" ref="Q467:Q485" si="24">SUM(G467:P467)</f>
        <v>-119185</v>
      </c>
    </row>
    <row r="468" spans="1:17" x14ac:dyDescent="0.25">
      <c r="A468" s="6" t="s">
        <v>220</v>
      </c>
      <c r="B468" s="1">
        <v>1</v>
      </c>
      <c r="C468" s="14">
        <v>3</v>
      </c>
      <c r="D468" s="2">
        <v>8</v>
      </c>
      <c r="E468" s="9">
        <v>20386178209</v>
      </c>
      <c r="F468" s="9" t="s">
        <v>177</v>
      </c>
      <c r="G468" s="10">
        <v>98500</v>
      </c>
      <c r="H468" s="10">
        <v>20685</v>
      </c>
      <c r="I468" s="9"/>
      <c r="J468" s="10"/>
      <c r="K468" s="9"/>
      <c r="L468" s="9"/>
      <c r="M468" s="9"/>
      <c r="N468" s="9"/>
      <c r="O468" s="9"/>
      <c r="P468" s="9"/>
      <c r="Q468" s="10">
        <f t="shared" si="24"/>
        <v>119185</v>
      </c>
    </row>
    <row r="469" spans="1:17" x14ac:dyDescent="0.25">
      <c r="A469" s="6" t="s">
        <v>221</v>
      </c>
      <c r="B469" s="1">
        <v>3</v>
      </c>
      <c r="C469" s="14">
        <v>5</v>
      </c>
      <c r="D469" s="2">
        <v>8</v>
      </c>
      <c r="E469" s="9">
        <v>20222522111</v>
      </c>
      <c r="F469" s="9" t="s">
        <v>222</v>
      </c>
      <c r="G469" s="10">
        <v>-352066.12</v>
      </c>
      <c r="H469" s="10">
        <v>-73933.88519999999</v>
      </c>
      <c r="I469" s="9"/>
      <c r="J469" s="9"/>
      <c r="K469" s="10"/>
      <c r="L469" s="10"/>
      <c r="M469" s="10"/>
      <c r="N469" s="9"/>
      <c r="O469" s="10"/>
      <c r="P469" s="9"/>
      <c r="Q469" s="10">
        <f t="shared" si="24"/>
        <v>-426000.00520000001</v>
      </c>
    </row>
    <row r="470" spans="1:17" x14ac:dyDescent="0.25">
      <c r="A470" s="6" t="s">
        <v>220</v>
      </c>
      <c r="B470" s="1">
        <v>1</v>
      </c>
      <c r="C470" s="14">
        <v>3</v>
      </c>
      <c r="D470" s="2">
        <v>11</v>
      </c>
      <c r="E470" s="9">
        <v>20386178209</v>
      </c>
      <c r="F470" s="9" t="s">
        <v>177</v>
      </c>
      <c r="G470" s="10">
        <v>98500</v>
      </c>
      <c r="H470" s="10">
        <v>20685</v>
      </c>
      <c r="I470" s="9"/>
      <c r="J470" s="9"/>
      <c r="K470" s="10"/>
      <c r="L470" s="9"/>
      <c r="M470" s="9"/>
      <c r="N470" s="9"/>
      <c r="O470" s="9"/>
      <c r="P470" s="9"/>
      <c r="Q470" s="10">
        <f t="shared" si="24"/>
        <v>119185</v>
      </c>
    </row>
    <row r="471" spans="1:17" x14ac:dyDescent="0.25">
      <c r="A471" s="6" t="s">
        <v>223</v>
      </c>
      <c r="B471" s="1">
        <v>1</v>
      </c>
      <c r="C471" s="14">
        <v>3</v>
      </c>
      <c r="D471" s="2">
        <v>15</v>
      </c>
      <c r="E471" s="9">
        <v>20386178209</v>
      </c>
      <c r="F471" s="9" t="s">
        <v>177</v>
      </c>
      <c r="G471" s="10">
        <v>98500</v>
      </c>
      <c r="H471" s="10">
        <v>20685</v>
      </c>
      <c r="I471" s="9"/>
      <c r="J471" s="10"/>
      <c r="K471" s="9"/>
      <c r="L471" s="10"/>
      <c r="M471" s="9"/>
      <c r="N471" s="9"/>
      <c r="O471" s="9"/>
      <c r="P471" s="9"/>
      <c r="Q471" s="10">
        <f t="shared" si="24"/>
        <v>119185</v>
      </c>
    </row>
    <row r="472" spans="1:17" x14ac:dyDescent="0.25">
      <c r="A472" s="6" t="s">
        <v>221</v>
      </c>
      <c r="B472" s="1">
        <v>1</v>
      </c>
      <c r="C472" s="14">
        <v>1</v>
      </c>
      <c r="D472" s="2">
        <v>101</v>
      </c>
      <c r="E472" s="9">
        <v>30717029336</v>
      </c>
      <c r="F472" s="9" t="s">
        <v>224</v>
      </c>
      <c r="G472" s="10">
        <v>352066.12</v>
      </c>
      <c r="H472" s="10">
        <v>73933.88519999999</v>
      </c>
      <c r="I472" s="9"/>
      <c r="J472" s="10"/>
      <c r="K472" s="9"/>
      <c r="L472" s="10"/>
      <c r="M472" s="9"/>
      <c r="N472" s="9"/>
      <c r="O472" s="9"/>
      <c r="P472" s="9"/>
      <c r="Q472" s="10">
        <f t="shared" si="24"/>
        <v>426000.00520000001</v>
      </c>
    </row>
    <row r="473" spans="1:17" x14ac:dyDescent="0.25">
      <c r="A473" s="6" t="s">
        <v>225</v>
      </c>
      <c r="B473" s="1">
        <v>1</v>
      </c>
      <c r="C473" s="14">
        <v>5</v>
      </c>
      <c r="D473" s="2">
        <v>122</v>
      </c>
      <c r="E473" s="9">
        <v>20222522111</v>
      </c>
      <c r="F473" s="9" t="s">
        <v>222</v>
      </c>
      <c r="G473" s="10">
        <v>352066.12</v>
      </c>
      <c r="H473" s="10">
        <v>73933.88519999999</v>
      </c>
      <c r="I473" s="9"/>
      <c r="J473" s="10"/>
      <c r="K473" s="9"/>
      <c r="L473" s="9"/>
      <c r="M473" s="9"/>
      <c r="N473" s="9"/>
      <c r="O473" s="9"/>
      <c r="P473" s="9"/>
      <c r="Q473" s="10">
        <f t="shared" si="24"/>
        <v>426000.00520000001</v>
      </c>
    </row>
    <row r="474" spans="1:17" x14ac:dyDescent="0.25">
      <c r="A474" s="6" t="s">
        <v>220</v>
      </c>
      <c r="B474" s="1">
        <v>1</v>
      </c>
      <c r="C474" s="14">
        <v>2</v>
      </c>
      <c r="D474" s="2">
        <v>151</v>
      </c>
      <c r="E474" s="9">
        <v>20125142851</v>
      </c>
      <c r="F474" s="9" t="s">
        <v>19</v>
      </c>
      <c r="G474" s="10">
        <v>97258.14</v>
      </c>
      <c r="H474" s="10">
        <v>20424.2094</v>
      </c>
      <c r="I474" s="9"/>
      <c r="J474" s="9"/>
      <c r="K474" s="9"/>
      <c r="L474" s="10"/>
      <c r="M474" s="9"/>
      <c r="N474" s="9"/>
      <c r="O474" s="9"/>
      <c r="P474" s="9"/>
      <c r="Q474" s="10">
        <f t="shared" si="24"/>
        <v>117682.34940000001</v>
      </c>
    </row>
    <row r="475" spans="1:17" x14ac:dyDescent="0.25">
      <c r="A475" s="6" t="s">
        <v>220</v>
      </c>
      <c r="B475" s="1">
        <v>1</v>
      </c>
      <c r="C475" s="14">
        <v>2</v>
      </c>
      <c r="D475" s="2">
        <v>152</v>
      </c>
      <c r="E475" s="9">
        <v>20125142851</v>
      </c>
      <c r="F475" s="9" t="s">
        <v>19</v>
      </c>
      <c r="G475" s="10">
        <v>114992.62</v>
      </c>
      <c r="H475" s="10">
        <v>24148.450199999999</v>
      </c>
      <c r="I475" s="9"/>
      <c r="J475" s="10"/>
      <c r="K475" s="9"/>
      <c r="L475" s="10"/>
      <c r="M475" s="9"/>
      <c r="N475" s="9"/>
      <c r="O475" s="9"/>
      <c r="P475" s="9"/>
      <c r="Q475" s="10">
        <f t="shared" si="24"/>
        <v>139141.07019999999</v>
      </c>
    </row>
    <row r="476" spans="1:17" x14ac:dyDescent="0.25">
      <c r="A476" s="6" t="s">
        <v>226</v>
      </c>
      <c r="B476" s="1">
        <v>1</v>
      </c>
      <c r="C476" s="14">
        <v>2</v>
      </c>
      <c r="D476" s="2">
        <v>153</v>
      </c>
      <c r="E476" s="9">
        <v>20125142851</v>
      </c>
      <c r="F476" s="9" t="s">
        <v>19</v>
      </c>
      <c r="G476" s="10">
        <v>24961.52</v>
      </c>
      <c r="H476" s="10">
        <v>5241.9192000000003</v>
      </c>
      <c r="I476" s="9"/>
      <c r="J476" s="10"/>
      <c r="K476" s="9"/>
      <c r="L476" s="9"/>
      <c r="M476" s="9"/>
      <c r="N476" s="9"/>
      <c r="O476" s="9"/>
      <c r="P476" s="9"/>
      <c r="Q476" s="10">
        <f t="shared" si="24"/>
        <v>30203.439200000001</v>
      </c>
    </row>
    <row r="477" spans="1:17" x14ac:dyDescent="0.25">
      <c r="A477" s="6" t="s">
        <v>227</v>
      </c>
      <c r="B477" s="1">
        <v>1</v>
      </c>
      <c r="C477" s="14">
        <v>2</v>
      </c>
      <c r="D477" s="2">
        <v>154</v>
      </c>
      <c r="E477" s="9">
        <v>20125142851</v>
      </c>
      <c r="F477" s="9" t="s">
        <v>19</v>
      </c>
      <c r="G477" s="10">
        <v>24776.62</v>
      </c>
      <c r="H477" s="10">
        <v>5203.0901999999996</v>
      </c>
      <c r="I477" s="9"/>
      <c r="J477" s="10"/>
      <c r="K477" s="9"/>
      <c r="L477" s="9"/>
      <c r="M477" s="9"/>
      <c r="N477" s="9"/>
      <c r="O477" s="9"/>
      <c r="P477" s="9"/>
      <c r="Q477" s="10">
        <f t="shared" si="24"/>
        <v>29979.710199999998</v>
      </c>
    </row>
    <row r="478" spans="1:17" x14ac:dyDescent="0.25">
      <c r="A478" s="6" t="s">
        <v>228</v>
      </c>
      <c r="B478" s="1">
        <v>1</v>
      </c>
      <c r="C478" s="14">
        <v>5</v>
      </c>
      <c r="D478" s="2">
        <v>444</v>
      </c>
      <c r="E478" s="9">
        <v>27314756121</v>
      </c>
      <c r="F478" s="9" t="s">
        <v>196</v>
      </c>
      <c r="G478" s="10">
        <v>5252</v>
      </c>
      <c r="H478" s="10">
        <v>1102.92</v>
      </c>
      <c r="I478" s="9"/>
      <c r="J478" s="10"/>
      <c r="K478" s="9"/>
      <c r="L478" s="9"/>
      <c r="M478" s="9"/>
      <c r="N478" s="9"/>
      <c r="O478" s="9"/>
      <c r="P478" s="9">
        <v>300</v>
      </c>
      <c r="Q478" s="10">
        <f t="shared" si="24"/>
        <v>6654.92</v>
      </c>
    </row>
    <row r="479" spans="1:17" x14ac:dyDescent="0.25">
      <c r="A479" s="6" t="s">
        <v>229</v>
      </c>
      <c r="B479" s="1">
        <v>1</v>
      </c>
      <c r="C479" s="14">
        <v>3</v>
      </c>
      <c r="D479" s="2">
        <v>496</v>
      </c>
      <c r="E479" s="9">
        <v>30709317101</v>
      </c>
      <c r="F479" s="9" t="s">
        <v>230</v>
      </c>
      <c r="G479" s="10">
        <v>2490.9</v>
      </c>
      <c r="H479" s="10">
        <v>523.08900000000006</v>
      </c>
      <c r="I479" s="9"/>
      <c r="J479" s="9"/>
      <c r="K479" s="9"/>
      <c r="L479" s="9"/>
      <c r="M479" s="9"/>
      <c r="N479" s="9"/>
      <c r="O479" s="9"/>
      <c r="P479" s="9"/>
      <c r="Q479" s="10">
        <f t="shared" si="24"/>
        <v>3013.989</v>
      </c>
    </row>
    <row r="480" spans="1:17" x14ac:dyDescent="0.25">
      <c r="A480" s="6" t="s">
        <v>231</v>
      </c>
      <c r="B480" s="1">
        <v>1</v>
      </c>
      <c r="C480" s="14">
        <v>1</v>
      </c>
      <c r="D480" s="2">
        <v>531</v>
      </c>
      <c r="E480" s="9">
        <v>30715048066</v>
      </c>
      <c r="F480" s="9" t="s">
        <v>24</v>
      </c>
      <c r="G480" s="10">
        <v>124705</v>
      </c>
      <c r="H480" s="10">
        <v>26188.05</v>
      </c>
      <c r="I480" s="10"/>
      <c r="J480" s="9"/>
      <c r="K480" s="9"/>
      <c r="L480" s="9"/>
      <c r="M480" s="9"/>
      <c r="N480" s="9"/>
      <c r="O480" s="9"/>
      <c r="P480" s="9"/>
      <c r="Q480" s="10">
        <f t="shared" si="24"/>
        <v>150893.04999999999</v>
      </c>
    </row>
    <row r="481" spans="1:17" x14ac:dyDescent="0.25">
      <c r="A481" s="6" t="s">
        <v>232</v>
      </c>
      <c r="B481" s="1">
        <v>1</v>
      </c>
      <c r="C481" s="14">
        <v>3</v>
      </c>
      <c r="D481" s="2">
        <v>587</v>
      </c>
      <c r="E481" s="9">
        <v>30715402765</v>
      </c>
      <c r="F481" s="9" t="s">
        <v>16</v>
      </c>
      <c r="G481" s="10">
        <v>8429.76</v>
      </c>
      <c r="H481" s="10">
        <v>1770.2495999999999</v>
      </c>
      <c r="I481" s="9"/>
      <c r="J481" s="9"/>
      <c r="K481" s="9"/>
      <c r="L481" s="10"/>
      <c r="M481" s="9"/>
      <c r="N481" s="9"/>
      <c r="O481" s="9"/>
      <c r="P481" s="9"/>
      <c r="Q481" s="10">
        <f t="shared" si="24"/>
        <v>10200.009599999999</v>
      </c>
    </row>
    <row r="482" spans="1:17" x14ac:dyDescent="0.25">
      <c r="A482" s="6" t="s">
        <v>229</v>
      </c>
      <c r="B482" s="1">
        <v>1</v>
      </c>
      <c r="C482" s="14">
        <v>3</v>
      </c>
      <c r="D482" s="2">
        <v>592</v>
      </c>
      <c r="E482" s="9">
        <v>20418255537</v>
      </c>
      <c r="F482" s="9" t="s">
        <v>233</v>
      </c>
      <c r="G482" s="10">
        <v>6239.67</v>
      </c>
      <c r="H482" s="10">
        <v>1310.3307</v>
      </c>
      <c r="I482" s="9"/>
      <c r="J482" s="9"/>
      <c r="K482" s="9"/>
      <c r="L482" s="10"/>
      <c r="M482" s="9"/>
      <c r="N482" s="9"/>
      <c r="O482" s="9"/>
      <c r="P482" s="9"/>
      <c r="Q482" s="10">
        <f t="shared" si="24"/>
        <v>7550.0007000000005</v>
      </c>
    </row>
    <row r="483" spans="1:17" x14ac:dyDescent="0.25">
      <c r="A483" s="6" t="s">
        <v>234</v>
      </c>
      <c r="B483" s="1">
        <v>1</v>
      </c>
      <c r="C483" s="14">
        <v>4</v>
      </c>
      <c r="D483" s="2">
        <v>876</v>
      </c>
      <c r="E483" s="9">
        <v>30714356360</v>
      </c>
      <c r="F483" s="9" t="s">
        <v>235</v>
      </c>
      <c r="G483" s="10">
        <v>3140.48</v>
      </c>
      <c r="H483" s="10">
        <v>659.50080000000003</v>
      </c>
      <c r="I483" s="9"/>
      <c r="J483" s="10"/>
      <c r="K483" s="9"/>
      <c r="L483" s="10"/>
      <c r="M483" s="9"/>
      <c r="N483" s="9"/>
      <c r="O483" s="9"/>
      <c r="P483" s="9"/>
      <c r="Q483" s="10">
        <f t="shared" si="24"/>
        <v>3799.9808000000003</v>
      </c>
    </row>
    <row r="484" spans="1:17" x14ac:dyDescent="0.25">
      <c r="A484" s="6" t="s">
        <v>236</v>
      </c>
      <c r="B484" s="1">
        <v>1</v>
      </c>
      <c r="C484" s="14">
        <v>5</v>
      </c>
      <c r="D484" s="2">
        <v>919</v>
      </c>
      <c r="E484" s="9">
        <v>30707397256</v>
      </c>
      <c r="F484" s="9" t="s">
        <v>101</v>
      </c>
      <c r="G484" s="10">
        <v>343981.2</v>
      </c>
      <c r="H484" s="10">
        <v>72236.051999999996</v>
      </c>
      <c r="I484" s="9"/>
      <c r="J484" s="9"/>
      <c r="K484" s="10"/>
      <c r="L484" s="9"/>
      <c r="M484" s="9"/>
      <c r="N484" s="9"/>
      <c r="O484" s="9"/>
      <c r="P484" s="9"/>
      <c r="Q484" s="10">
        <f t="shared" si="24"/>
        <v>416217.25199999998</v>
      </c>
    </row>
    <row r="485" spans="1:17" x14ac:dyDescent="0.25">
      <c r="A485" s="6" t="s">
        <v>237</v>
      </c>
      <c r="B485" s="1">
        <v>1</v>
      </c>
      <c r="C485" s="14">
        <v>6</v>
      </c>
      <c r="D485" s="2">
        <v>974</v>
      </c>
      <c r="E485" s="9">
        <v>27444868088</v>
      </c>
      <c r="F485" s="9" t="s">
        <v>238</v>
      </c>
      <c r="G485" s="10">
        <v>1238.8399999999999</v>
      </c>
      <c r="H485" s="10">
        <v>260.15639999999996</v>
      </c>
      <c r="I485" s="9"/>
      <c r="J485" s="10"/>
      <c r="K485" s="9"/>
      <c r="L485" s="9"/>
      <c r="M485" s="9"/>
      <c r="N485" s="10"/>
      <c r="O485" s="9"/>
      <c r="P485" s="10"/>
      <c r="Q485" s="10">
        <f t="shared" si="24"/>
        <v>1498.9964</v>
      </c>
    </row>
    <row r="486" spans="1:17" x14ac:dyDescent="0.25">
      <c r="A486" s="6" t="s">
        <v>236</v>
      </c>
      <c r="B486" s="1">
        <v>1</v>
      </c>
      <c r="C486" s="14">
        <v>3</v>
      </c>
      <c r="D486" s="2">
        <v>1071</v>
      </c>
      <c r="E486" s="9">
        <v>20136342283</v>
      </c>
      <c r="F486" s="9" t="s">
        <v>239</v>
      </c>
      <c r="G486" s="10">
        <v>559170</v>
      </c>
      <c r="H486" s="10">
        <v>117425.7</v>
      </c>
      <c r="I486" s="9"/>
      <c r="J486" s="10"/>
      <c r="K486" s="9"/>
      <c r="L486" s="9"/>
      <c r="M486" s="9"/>
      <c r="N486" s="10"/>
      <c r="O486" s="9"/>
      <c r="P486" s="10"/>
      <c r="Q486" s="10">
        <f t="shared" ref="Q486:Q532" si="25">SUM(G486:P486)</f>
        <v>676595.7</v>
      </c>
    </row>
    <row r="487" spans="1:17" x14ac:dyDescent="0.25">
      <c r="A487" s="6" t="s">
        <v>229</v>
      </c>
      <c r="B487" s="1">
        <v>1</v>
      </c>
      <c r="C487" s="14">
        <v>3</v>
      </c>
      <c r="D487" s="2">
        <v>1082</v>
      </c>
      <c r="E487" s="9">
        <v>20136342283</v>
      </c>
      <c r="F487" s="9" t="s">
        <v>239</v>
      </c>
      <c r="G487" s="10">
        <v>60000</v>
      </c>
      <c r="H487" s="10">
        <v>12600</v>
      </c>
      <c r="I487" s="9"/>
      <c r="J487" s="10"/>
      <c r="K487" s="9"/>
      <c r="L487" s="9"/>
      <c r="M487" s="9"/>
      <c r="N487" s="10"/>
      <c r="O487" s="9"/>
      <c r="P487" s="10"/>
      <c r="Q487" s="10">
        <f t="shared" si="25"/>
        <v>72600</v>
      </c>
    </row>
    <row r="488" spans="1:17" x14ac:dyDescent="0.25">
      <c r="A488" s="6" t="s">
        <v>236</v>
      </c>
      <c r="B488" s="1">
        <v>1</v>
      </c>
      <c r="C488" s="14">
        <v>3</v>
      </c>
      <c r="D488" s="2">
        <v>1199</v>
      </c>
      <c r="E488" s="9">
        <v>20319700081</v>
      </c>
      <c r="F488" s="9" t="s">
        <v>240</v>
      </c>
      <c r="G488" s="10">
        <v>2975.54</v>
      </c>
      <c r="H488" s="10">
        <v>624.86339999999996</v>
      </c>
      <c r="I488" s="9"/>
      <c r="J488" s="10"/>
      <c r="K488" s="9"/>
      <c r="L488" s="9"/>
      <c r="M488" s="9"/>
      <c r="N488" s="10"/>
      <c r="O488" s="9"/>
      <c r="P488" s="10"/>
      <c r="Q488" s="10">
        <f t="shared" si="25"/>
        <v>3600.4034000000001</v>
      </c>
    </row>
    <row r="489" spans="1:17" x14ac:dyDescent="0.25">
      <c r="A489" s="6" t="s">
        <v>227</v>
      </c>
      <c r="B489" s="1">
        <v>1</v>
      </c>
      <c r="C489" s="14">
        <v>9</v>
      </c>
      <c r="D489" s="2">
        <v>1424</v>
      </c>
      <c r="E489" s="9">
        <v>30631047145</v>
      </c>
      <c r="F489" s="9" t="s">
        <v>25</v>
      </c>
      <c r="G489" s="10">
        <v>68297.399999999994</v>
      </c>
      <c r="H489" s="10">
        <v>14342.453999999998</v>
      </c>
      <c r="I489" s="9"/>
      <c r="J489" s="10"/>
      <c r="K489" s="9"/>
      <c r="L489" s="9"/>
      <c r="M489" s="9"/>
      <c r="N489" s="10"/>
      <c r="O489" s="9"/>
      <c r="P489" s="10"/>
      <c r="Q489" s="10">
        <f t="shared" si="25"/>
        <v>82639.853999999992</v>
      </c>
    </row>
    <row r="490" spans="1:17" x14ac:dyDescent="0.25">
      <c r="A490" s="6" t="s">
        <v>220</v>
      </c>
      <c r="B490" s="1">
        <v>1</v>
      </c>
      <c r="C490" s="14">
        <v>4</v>
      </c>
      <c r="D490" s="2">
        <v>2121</v>
      </c>
      <c r="E490" s="9">
        <v>27184156658</v>
      </c>
      <c r="F490" s="9" t="s">
        <v>241</v>
      </c>
      <c r="G490" s="10">
        <v>2132.5500000000002</v>
      </c>
      <c r="H490" s="10">
        <v>447.83550000000002</v>
      </c>
      <c r="I490" s="9"/>
      <c r="J490" s="10"/>
      <c r="K490" s="9"/>
      <c r="L490" s="9"/>
      <c r="M490" s="9"/>
      <c r="N490" s="10"/>
      <c r="O490" s="9"/>
      <c r="P490" s="10"/>
      <c r="Q490" s="10">
        <f t="shared" si="25"/>
        <v>2580.3855000000003</v>
      </c>
    </row>
    <row r="491" spans="1:17" x14ac:dyDescent="0.25">
      <c r="A491" s="6" t="s">
        <v>232</v>
      </c>
      <c r="B491" s="1">
        <v>1</v>
      </c>
      <c r="C491" s="14">
        <v>4</v>
      </c>
      <c r="D491" s="2">
        <v>2439</v>
      </c>
      <c r="E491" s="9">
        <v>20068864934</v>
      </c>
      <c r="F491" s="9" t="s">
        <v>52</v>
      </c>
      <c r="G491" s="10">
        <v>2922.5</v>
      </c>
      <c r="H491" s="10">
        <v>613.72500000000002</v>
      </c>
      <c r="I491" s="9"/>
      <c r="J491" s="10"/>
      <c r="K491" s="9"/>
      <c r="L491" s="9"/>
      <c r="M491" s="9"/>
      <c r="N491" s="10"/>
      <c r="O491" s="9"/>
      <c r="P491" s="10"/>
      <c r="Q491" s="10">
        <f t="shared" si="25"/>
        <v>3536.2249999999999</v>
      </c>
    </row>
    <row r="492" spans="1:17" x14ac:dyDescent="0.25">
      <c r="A492" s="6" t="s">
        <v>242</v>
      </c>
      <c r="B492" s="1">
        <v>1</v>
      </c>
      <c r="C492" s="14">
        <v>3</v>
      </c>
      <c r="D492" s="2">
        <v>2555</v>
      </c>
      <c r="E492" s="9">
        <v>20378345465</v>
      </c>
      <c r="F492" s="9" t="s">
        <v>243</v>
      </c>
      <c r="G492" s="10">
        <v>4867.7700000000004</v>
      </c>
      <c r="H492" s="10">
        <v>1022.2317</v>
      </c>
      <c r="I492" s="9"/>
      <c r="J492" s="10"/>
      <c r="K492" s="9"/>
      <c r="L492" s="9"/>
      <c r="M492" s="9"/>
      <c r="N492" s="10"/>
      <c r="O492" s="9"/>
      <c r="P492" s="10"/>
      <c r="Q492" s="10">
        <f t="shared" si="25"/>
        <v>5890.0017000000007</v>
      </c>
    </row>
    <row r="493" spans="1:17" s="30" customFormat="1" x14ac:dyDescent="0.25">
      <c r="A493" s="6" t="s">
        <v>228</v>
      </c>
      <c r="B493" s="1">
        <v>1</v>
      </c>
      <c r="C493" s="14">
        <v>2</v>
      </c>
      <c r="D493" s="2">
        <v>3108</v>
      </c>
      <c r="E493" s="9">
        <v>20294907174</v>
      </c>
      <c r="F493" s="9" t="s">
        <v>244</v>
      </c>
      <c r="G493" s="10">
        <v>3272.72</v>
      </c>
      <c r="H493" s="10">
        <v>687.27119999999991</v>
      </c>
      <c r="I493" s="9"/>
      <c r="J493" s="10"/>
      <c r="K493" s="9"/>
      <c r="L493" s="9"/>
      <c r="M493" s="9"/>
      <c r="N493" s="10"/>
      <c r="O493" s="9"/>
      <c r="P493" s="10"/>
      <c r="Q493" s="10">
        <f t="shared" si="25"/>
        <v>3959.9911999999995</v>
      </c>
    </row>
    <row r="494" spans="1:17" s="30" customFormat="1" x14ac:dyDescent="0.25">
      <c r="A494" s="6" t="s">
        <v>228</v>
      </c>
      <c r="B494" s="1">
        <v>1</v>
      </c>
      <c r="C494" s="14">
        <v>3</v>
      </c>
      <c r="D494" s="2">
        <v>3208</v>
      </c>
      <c r="E494" s="9">
        <v>30715535471</v>
      </c>
      <c r="F494" s="9" t="s">
        <v>40</v>
      </c>
      <c r="G494" s="10">
        <v>15193.39</v>
      </c>
      <c r="H494" s="10">
        <v>3190.6118999999999</v>
      </c>
      <c r="I494" s="9"/>
      <c r="J494" s="10"/>
      <c r="K494" s="9"/>
      <c r="L494" s="9"/>
      <c r="M494" s="9"/>
      <c r="N494" s="10"/>
      <c r="O494" s="9"/>
      <c r="P494" s="10"/>
      <c r="Q494" s="10">
        <f t="shared" si="25"/>
        <v>18384.001899999999</v>
      </c>
    </row>
    <row r="495" spans="1:17" s="30" customFormat="1" x14ac:dyDescent="0.25">
      <c r="A495" s="6" t="s">
        <v>245</v>
      </c>
      <c r="B495" s="1">
        <v>1</v>
      </c>
      <c r="C495" s="14">
        <v>10</v>
      </c>
      <c r="D495" s="2">
        <v>5896</v>
      </c>
      <c r="E495" s="9">
        <v>20341013691</v>
      </c>
      <c r="F495" s="9" t="s">
        <v>246</v>
      </c>
      <c r="G495" s="10">
        <v>2545.4499999999998</v>
      </c>
      <c r="H495" s="10">
        <v>534.54449999999997</v>
      </c>
      <c r="I495" s="9"/>
      <c r="J495" s="10"/>
      <c r="K495" s="9"/>
      <c r="L495" s="9"/>
      <c r="M495" s="9"/>
      <c r="N495" s="10"/>
      <c r="O495" s="9"/>
      <c r="P495" s="10"/>
      <c r="Q495" s="10">
        <f t="shared" si="25"/>
        <v>3079.9944999999998</v>
      </c>
    </row>
    <row r="496" spans="1:17" s="30" customFormat="1" x14ac:dyDescent="0.25">
      <c r="A496" s="6" t="s">
        <v>221</v>
      </c>
      <c r="B496" s="1">
        <v>1</v>
      </c>
      <c r="C496" s="14">
        <v>3</v>
      </c>
      <c r="D496" s="2">
        <v>6799</v>
      </c>
      <c r="E496" s="9">
        <v>27261572775</v>
      </c>
      <c r="F496" s="9" t="s">
        <v>41</v>
      </c>
      <c r="G496" s="10">
        <v>2650</v>
      </c>
      <c r="H496" s="10">
        <v>556.5</v>
      </c>
      <c r="I496" s="9"/>
      <c r="J496" s="10"/>
      <c r="K496" s="9"/>
      <c r="L496" s="9"/>
      <c r="M496" s="9"/>
      <c r="N496" s="10"/>
      <c r="O496" s="9"/>
      <c r="P496" s="10"/>
      <c r="Q496" s="10">
        <f t="shared" si="25"/>
        <v>3206.5</v>
      </c>
    </row>
    <row r="497" spans="1:17" s="30" customFormat="1" x14ac:dyDescent="0.25">
      <c r="A497" s="6" t="s">
        <v>247</v>
      </c>
      <c r="B497" s="1">
        <v>1</v>
      </c>
      <c r="C497" s="14">
        <v>7002</v>
      </c>
      <c r="D497" s="2">
        <v>6886</v>
      </c>
      <c r="E497" s="9">
        <v>30678774495</v>
      </c>
      <c r="F497" s="9" t="s">
        <v>123</v>
      </c>
      <c r="G497" s="10">
        <v>5158.66</v>
      </c>
      <c r="H497" s="10">
        <v>1083.3185999999998</v>
      </c>
      <c r="I497" s="9"/>
      <c r="J497" s="10"/>
      <c r="K497" s="9"/>
      <c r="L497" s="9"/>
      <c r="M497" s="9"/>
      <c r="N497" s="10"/>
      <c r="O497" s="9"/>
      <c r="P497" s="10">
        <v>1258.22</v>
      </c>
      <c r="Q497" s="10">
        <f t="shared" si="25"/>
        <v>7500.1985999999997</v>
      </c>
    </row>
    <row r="498" spans="1:17" s="30" customFormat="1" x14ac:dyDescent="0.25">
      <c r="A498" s="6" t="s">
        <v>234</v>
      </c>
      <c r="B498" s="1">
        <v>3</v>
      </c>
      <c r="C498" s="14">
        <v>5</v>
      </c>
      <c r="D498" s="2">
        <v>6893</v>
      </c>
      <c r="E498" s="9">
        <v>30692857611</v>
      </c>
      <c r="F498" s="9" t="s">
        <v>42</v>
      </c>
      <c r="G498" s="10">
        <v>-23341.5</v>
      </c>
      <c r="H498" s="10">
        <v>-4901.7150000000001</v>
      </c>
      <c r="I498" s="9"/>
      <c r="J498" s="10"/>
      <c r="K498" s="9"/>
      <c r="L498" s="9"/>
      <c r="M498" s="9"/>
      <c r="N498" s="10"/>
      <c r="O498" s="9"/>
      <c r="P498" s="10"/>
      <c r="Q498" s="10">
        <f t="shared" si="25"/>
        <v>-28243.215</v>
      </c>
    </row>
    <row r="499" spans="1:17" s="30" customFormat="1" x14ac:dyDescent="0.25">
      <c r="A499" s="6" t="s">
        <v>225</v>
      </c>
      <c r="B499" s="1">
        <v>1</v>
      </c>
      <c r="C499" s="14">
        <v>2000</v>
      </c>
      <c r="D499" s="2">
        <v>7570</v>
      </c>
      <c r="E499" s="9">
        <v>30716932245</v>
      </c>
      <c r="F499" s="9" t="s">
        <v>248</v>
      </c>
      <c r="G499" s="10">
        <v>45238.91</v>
      </c>
      <c r="H499" s="10"/>
      <c r="I499" s="9"/>
      <c r="J499" s="10">
        <v>4750.09</v>
      </c>
      <c r="K499" s="9"/>
      <c r="L499" s="9"/>
      <c r="M499" s="9"/>
      <c r="N499" s="10"/>
      <c r="O499" s="9"/>
      <c r="P499" s="10"/>
      <c r="Q499" s="10">
        <f t="shared" si="25"/>
        <v>49989</v>
      </c>
    </row>
    <row r="500" spans="1:17" s="30" customFormat="1" x14ac:dyDescent="0.25">
      <c r="A500" s="6" t="s">
        <v>223</v>
      </c>
      <c r="B500" s="1">
        <v>1</v>
      </c>
      <c r="C500" s="14">
        <v>10</v>
      </c>
      <c r="D500" s="2">
        <v>7619</v>
      </c>
      <c r="E500" s="9">
        <v>20168925582</v>
      </c>
      <c r="F500" s="9" t="s">
        <v>145</v>
      </c>
      <c r="G500" s="10">
        <v>15000</v>
      </c>
      <c r="H500" s="10">
        <v>3150</v>
      </c>
      <c r="I500" s="9"/>
      <c r="J500" s="10"/>
      <c r="K500" s="9"/>
      <c r="L500" s="9"/>
      <c r="M500" s="9"/>
      <c r="N500" s="10"/>
      <c r="O500" s="9"/>
      <c r="P500" s="10"/>
      <c r="Q500" s="10">
        <f t="shared" si="25"/>
        <v>18150</v>
      </c>
    </row>
    <row r="501" spans="1:17" s="30" customFormat="1" x14ac:dyDescent="0.25">
      <c r="A501" s="6" t="s">
        <v>249</v>
      </c>
      <c r="B501" s="1">
        <v>1</v>
      </c>
      <c r="C501" s="14">
        <v>7</v>
      </c>
      <c r="D501" s="2">
        <v>8938</v>
      </c>
      <c r="E501" s="9">
        <v>30690966790</v>
      </c>
      <c r="F501" s="9" t="s">
        <v>185</v>
      </c>
      <c r="G501" s="10">
        <v>216180.864</v>
      </c>
      <c r="H501" s="10">
        <v>45397.981439999996</v>
      </c>
      <c r="I501" s="9"/>
      <c r="J501" s="10"/>
      <c r="K501" s="9"/>
      <c r="L501" s="9"/>
      <c r="M501" s="9"/>
      <c r="N501" s="10"/>
      <c r="O501" s="9"/>
      <c r="P501" s="10"/>
      <c r="Q501" s="10">
        <f t="shared" si="25"/>
        <v>261578.84544</v>
      </c>
    </row>
    <row r="502" spans="1:17" s="30" customFormat="1" x14ac:dyDescent="0.25">
      <c r="A502" s="6" t="s">
        <v>250</v>
      </c>
      <c r="B502" s="1">
        <v>1</v>
      </c>
      <c r="C502" s="14">
        <v>7</v>
      </c>
      <c r="D502" s="2">
        <v>9719</v>
      </c>
      <c r="E502" s="9">
        <v>30604413482</v>
      </c>
      <c r="F502" s="9" t="s">
        <v>46</v>
      </c>
      <c r="G502" s="10">
        <v>70187</v>
      </c>
      <c r="H502" s="10">
        <v>14739.269999999999</v>
      </c>
      <c r="I502" s="9"/>
      <c r="J502" s="10"/>
      <c r="K502" s="9"/>
      <c r="L502" s="9"/>
      <c r="M502" s="9"/>
      <c r="N502" s="10"/>
      <c r="O502" s="9"/>
      <c r="P502" s="10"/>
      <c r="Q502" s="10">
        <f t="shared" si="25"/>
        <v>84926.27</v>
      </c>
    </row>
    <row r="503" spans="1:17" s="30" customFormat="1" x14ac:dyDescent="0.25">
      <c r="A503" s="6" t="s">
        <v>226</v>
      </c>
      <c r="B503" s="1">
        <v>1</v>
      </c>
      <c r="C503" s="14">
        <v>3000</v>
      </c>
      <c r="D503" s="2">
        <v>19838</v>
      </c>
      <c r="E503" s="9">
        <v>33708543409</v>
      </c>
      <c r="F503" s="9" t="s">
        <v>67</v>
      </c>
      <c r="G503" s="10">
        <v>293208.15000000002</v>
      </c>
      <c r="H503" s="10"/>
      <c r="I503" s="9"/>
      <c r="J503" s="10">
        <v>30786.855750000002</v>
      </c>
      <c r="K503" s="9"/>
      <c r="L503" s="9"/>
      <c r="M503" s="9"/>
      <c r="N503" s="10"/>
      <c r="O503" s="9"/>
      <c r="P503" s="10"/>
      <c r="Q503" s="10">
        <f t="shared" si="25"/>
        <v>323995.00575000001</v>
      </c>
    </row>
    <row r="504" spans="1:17" s="30" customFormat="1" x14ac:dyDescent="0.25">
      <c r="A504" s="6" t="s">
        <v>226</v>
      </c>
      <c r="B504" s="1">
        <v>1</v>
      </c>
      <c r="C504" s="14">
        <v>5200</v>
      </c>
      <c r="D504" s="2">
        <v>25120</v>
      </c>
      <c r="E504" s="9">
        <v>30695542476</v>
      </c>
      <c r="F504" s="9" t="s">
        <v>120</v>
      </c>
      <c r="G504" s="10">
        <v>7215.29</v>
      </c>
      <c r="H504" s="10">
        <v>1515.2109</v>
      </c>
      <c r="I504" s="9"/>
      <c r="J504" s="10"/>
      <c r="K504" s="9"/>
      <c r="L504" s="9"/>
      <c r="M504" s="9"/>
      <c r="N504" s="10"/>
      <c r="O504" s="9"/>
      <c r="P504" s="10">
        <v>1526.36</v>
      </c>
      <c r="Q504" s="10">
        <f t="shared" si="25"/>
        <v>10256.8609</v>
      </c>
    </row>
    <row r="505" spans="1:17" s="30" customFormat="1" x14ac:dyDescent="0.25">
      <c r="A505" s="6" t="s">
        <v>223</v>
      </c>
      <c r="B505" s="1">
        <v>1</v>
      </c>
      <c r="C505" s="14">
        <v>10</v>
      </c>
      <c r="D505" s="2">
        <v>39961</v>
      </c>
      <c r="E505" s="9">
        <v>30715012835</v>
      </c>
      <c r="F505" s="9" t="s">
        <v>251</v>
      </c>
      <c r="G505" s="10">
        <v>15383.71</v>
      </c>
      <c r="H505" s="10"/>
      <c r="I505" s="9"/>
      <c r="J505" s="10">
        <v>1615.2895499999997</v>
      </c>
      <c r="K505" s="9"/>
      <c r="L505" s="9"/>
      <c r="M505" s="9"/>
      <c r="N505" s="10"/>
      <c r="O505" s="9"/>
      <c r="P505" s="10"/>
      <c r="Q505" s="10">
        <f t="shared" si="25"/>
        <v>16998.99955</v>
      </c>
    </row>
    <row r="506" spans="1:17" s="30" customFormat="1" x14ac:dyDescent="0.25">
      <c r="A506" s="6" t="s">
        <v>225</v>
      </c>
      <c r="B506" s="1">
        <v>1</v>
      </c>
      <c r="C506" s="14">
        <v>5</v>
      </c>
      <c r="D506" s="2">
        <v>58210</v>
      </c>
      <c r="E506" s="9">
        <v>30692857611</v>
      </c>
      <c r="F506" s="9" t="s">
        <v>42</v>
      </c>
      <c r="G506" s="10">
        <v>46299.82</v>
      </c>
      <c r="H506" s="10">
        <v>9722.9621999999999</v>
      </c>
      <c r="I506" s="9"/>
      <c r="J506" s="10"/>
      <c r="K506" s="9"/>
      <c r="L506" s="9"/>
      <c r="M506" s="9"/>
      <c r="N506" s="10"/>
      <c r="O506" s="9"/>
      <c r="P506" s="10"/>
      <c r="Q506" s="10">
        <f t="shared" si="25"/>
        <v>56022.782200000001</v>
      </c>
    </row>
    <row r="507" spans="1:17" x14ac:dyDescent="0.25">
      <c r="A507" s="6" t="s">
        <v>234</v>
      </c>
      <c r="B507" s="1">
        <v>1</v>
      </c>
      <c r="C507" s="14">
        <v>5</v>
      </c>
      <c r="D507" s="2">
        <v>58585</v>
      </c>
      <c r="E507" s="9">
        <v>30692857611</v>
      </c>
      <c r="F507" s="9" t="s">
        <v>42</v>
      </c>
      <c r="G507" s="10">
        <v>23341.5</v>
      </c>
      <c r="H507" s="10">
        <v>4901.7150000000001</v>
      </c>
      <c r="I507" s="9"/>
      <c r="J507" s="10"/>
      <c r="K507" s="9"/>
      <c r="L507" s="9"/>
      <c r="M507" s="9"/>
      <c r="N507" s="10"/>
      <c r="O507" s="9"/>
      <c r="P507" s="10"/>
      <c r="Q507" s="10">
        <f t="shared" si="25"/>
        <v>28243.215</v>
      </c>
    </row>
    <row r="508" spans="1:17" x14ac:dyDescent="0.25">
      <c r="A508" s="6" t="s">
        <v>249</v>
      </c>
      <c r="B508" s="1">
        <v>1</v>
      </c>
      <c r="C508" s="14">
        <v>4</v>
      </c>
      <c r="D508" s="2">
        <v>91061</v>
      </c>
      <c r="E508" s="9">
        <v>30559932236</v>
      </c>
      <c r="F508" s="9" t="s">
        <v>49</v>
      </c>
      <c r="G508" s="10">
        <v>60407.31</v>
      </c>
      <c r="H508" s="10"/>
      <c r="I508" s="9"/>
      <c r="J508" s="10">
        <v>6342.7675499999996</v>
      </c>
      <c r="K508" s="9"/>
      <c r="L508" s="9"/>
      <c r="M508" s="9"/>
      <c r="N508" s="10"/>
      <c r="O508" s="9"/>
      <c r="P508" s="10"/>
      <c r="Q508" s="10">
        <f t="shared" si="25"/>
        <v>66750.077550000002</v>
      </c>
    </row>
    <row r="509" spans="1:17" x14ac:dyDescent="0.25">
      <c r="A509" s="6" t="s">
        <v>232</v>
      </c>
      <c r="B509" s="1">
        <v>1</v>
      </c>
      <c r="C509" s="14">
        <v>3</v>
      </c>
      <c r="D509" s="2">
        <v>172505</v>
      </c>
      <c r="E509" s="9">
        <v>30707135596</v>
      </c>
      <c r="F509" s="9" t="s">
        <v>17</v>
      </c>
      <c r="G509" s="10">
        <v>3705.88</v>
      </c>
      <c r="H509" s="10">
        <v>778.23479999999995</v>
      </c>
      <c r="I509" s="9"/>
      <c r="J509" s="10"/>
      <c r="K509" s="9"/>
      <c r="L509" s="9"/>
      <c r="M509" s="9"/>
      <c r="N509" s="10"/>
      <c r="O509" s="9"/>
      <c r="P509" s="10"/>
      <c r="Q509" s="10">
        <f t="shared" si="25"/>
        <v>4484.1148000000003</v>
      </c>
    </row>
    <row r="510" spans="1:17" x14ac:dyDescent="0.25">
      <c r="A510" s="6" t="s">
        <v>252</v>
      </c>
      <c r="B510" s="1">
        <v>1</v>
      </c>
      <c r="C510" s="14">
        <v>2466</v>
      </c>
      <c r="D510" s="2">
        <v>434692</v>
      </c>
      <c r="E510" s="9">
        <v>30678814357</v>
      </c>
      <c r="F510" s="9" t="s">
        <v>20</v>
      </c>
      <c r="G510" s="10">
        <v>2808</v>
      </c>
      <c r="H510" s="10"/>
      <c r="I510" s="9">
        <v>758.16</v>
      </c>
      <c r="J510" s="10"/>
      <c r="K510" s="9"/>
      <c r="L510" s="9"/>
      <c r="M510" s="9">
        <v>84.24</v>
      </c>
      <c r="N510" s="10"/>
      <c r="O510" s="9"/>
      <c r="P510" s="10">
        <v>147.79</v>
      </c>
      <c r="Q510" s="10">
        <f t="shared" si="25"/>
        <v>3798.1899999999996</v>
      </c>
    </row>
    <row r="511" spans="1:17" x14ac:dyDescent="0.25">
      <c r="A511" s="6" t="s">
        <v>221</v>
      </c>
      <c r="B511" s="1">
        <v>1</v>
      </c>
      <c r="C511" s="14">
        <v>700</v>
      </c>
      <c r="D511" s="2">
        <v>452767</v>
      </c>
      <c r="E511" s="9">
        <v>30580111315</v>
      </c>
      <c r="F511" s="9" t="s">
        <v>21</v>
      </c>
      <c r="G511" s="10">
        <v>0</v>
      </c>
      <c r="H511" s="10">
        <v>0</v>
      </c>
      <c r="I511" s="9"/>
      <c r="J511" s="10"/>
      <c r="K511" s="9"/>
      <c r="L511" s="9"/>
      <c r="M511" s="9"/>
      <c r="N511" s="10"/>
      <c r="O511" s="9"/>
      <c r="P511" s="10">
        <v>45756.33</v>
      </c>
      <c r="Q511" s="10">
        <f t="shared" si="25"/>
        <v>45756.33</v>
      </c>
    </row>
    <row r="512" spans="1:17" x14ac:dyDescent="0.25">
      <c r="A512" s="6" t="s">
        <v>250</v>
      </c>
      <c r="B512" s="1">
        <v>1</v>
      </c>
      <c r="C512" s="14">
        <v>700</v>
      </c>
      <c r="D512" s="2">
        <v>457479</v>
      </c>
      <c r="E512" s="9">
        <v>30580111315</v>
      </c>
      <c r="F512" s="9" t="s">
        <v>21</v>
      </c>
      <c r="G512" s="10">
        <v>2318.625</v>
      </c>
      <c r="H512" s="10">
        <v>486.91125</v>
      </c>
      <c r="I512" s="9"/>
      <c r="J512" s="10"/>
      <c r="K512" s="9"/>
      <c r="L512" s="9"/>
      <c r="M512" s="9"/>
      <c r="N512" s="10"/>
      <c r="O512" s="9"/>
      <c r="P512" s="10">
        <v>45810.877500000002</v>
      </c>
      <c r="Q512" s="10">
        <f t="shared" si="25"/>
        <v>48616.41375</v>
      </c>
    </row>
    <row r="513" spans="1:17" x14ac:dyDescent="0.25">
      <c r="A513" s="6" t="s">
        <v>253</v>
      </c>
      <c r="B513" s="1">
        <v>1</v>
      </c>
      <c r="C513" s="14">
        <v>106</v>
      </c>
      <c r="D513" s="2">
        <v>583451</v>
      </c>
      <c r="E513" s="9">
        <v>30594494187</v>
      </c>
      <c r="F513" s="9" t="s">
        <v>45</v>
      </c>
      <c r="G513" s="10">
        <v>0</v>
      </c>
      <c r="H513" s="10">
        <v>0</v>
      </c>
      <c r="I513" s="9"/>
      <c r="J513" s="10"/>
      <c r="K513" s="9"/>
      <c r="L513" s="9"/>
      <c r="M513" s="9"/>
      <c r="N513" s="10"/>
      <c r="O513" s="9"/>
      <c r="P513" s="10">
        <v>108682.38</v>
      </c>
      <c r="Q513" s="10">
        <f t="shared" si="25"/>
        <v>108682.38</v>
      </c>
    </row>
    <row r="514" spans="1:17" x14ac:dyDescent="0.25">
      <c r="A514" s="6" t="s">
        <v>249</v>
      </c>
      <c r="B514" s="1">
        <v>1</v>
      </c>
      <c r="C514" s="14">
        <v>106</v>
      </c>
      <c r="D514" s="2">
        <v>585103</v>
      </c>
      <c r="E514" s="9">
        <v>30594494187</v>
      </c>
      <c r="F514" s="9" t="s">
        <v>45</v>
      </c>
      <c r="G514" s="10">
        <v>17116.2</v>
      </c>
      <c r="H514" s="10">
        <v>3594.402</v>
      </c>
      <c r="I514" s="9"/>
      <c r="J514" s="10"/>
      <c r="K514" s="9"/>
      <c r="L514" s="9"/>
      <c r="M514" s="9"/>
      <c r="N514" s="10"/>
      <c r="O514" s="9"/>
      <c r="P514" s="10">
        <v>18610.77</v>
      </c>
      <c r="Q514" s="10">
        <f t="shared" si="25"/>
        <v>39321.372000000003</v>
      </c>
    </row>
    <row r="515" spans="1:17" x14ac:dyDescent="0.25">
      <c r="A515" s="6" t="s">
        <v>250</v>
      </c>
      <c r="B515" s="1">
        <v>1</v>
      </c>
      <c r="C515" s="14">
        <v>106</v>
      </c>
      <c r="D515" s="2">
        <v>586994</v>
      </c>
      <c r="E515" s="9">
        <v>30594494187</v>
      </c>
      <c r="F515" s="9" t="s">
        <v>45</v>
      </c>
      <c r="G515" s="10">
        <v>0</v>
      </c>
      <c r="H515" s="10">
        <v>0</v>
      </c>
      <c r="I515" s="9"/>
      <c r="J515" s="10"/>
      <c r="K515" s="9"/>
      <c r="L515" s="9"/>
      <c r="M515" s="9"/>
      <c r="N515" s="10"/>
      <c r="O515" s="9"/>
      <c r="P515" s="10">
        <v>119376.56</v>
      </c>
      <c r="Q515" s="10">
        <f t="shared" si="25"/>
        <v>119376.56</v>
      </c>
    </row>
    <row r="516" spans="1:17" x14ac:dyDescent="0.25">
      <c r="A516" s="6" t="s">
        <v>254</v>
      </c>
      <c r="B516" s="1">
        <v>1</v>
      </c>
      <c r="C516" s="14">
        <v>3</v>
      </c>
      <c r="D516" s="2">
        <v>1146042</v>
      </c>
      <c r="E516" s="9">
        <v>30712019359</v>
      </c>
      <c r="F516" s="9" t="s">
        <v>23</v>
      </c>
      <c r="G516" s="10">
        <v>3304.96</v>
      </c>
      <c r="H516" s="10">
        <v>694.04160000000002</v>
      </c>
      <c r="I516" s="9"/>
      <c r="J516" s="10"/>
      <c r="K516" s="9"/>
      <c r="L516" s="9"/>
      <c r="M516" s="9"/>
      <c r="N516" s="10"/>
      <c r="O516" s="9"/>
      <c r="P516" s="10"/>
      <c r="Q516" s="10">
        <f t="shared" si="25"/>
        <v>3999.0016000000001</v>
      </c>
    </row>
    <row r="517" spans="1:17" x14ac:dyDescent="0.25">
      <c r="A517" s="6" t="s">
        <v>237</v>
      </c>
      <c r="B517" s="1">
        <v>1</v>
      </c>
      <c r="C517" s="14">
        <v>3</v>
      </c>
      <c r="D517" s="53">
        <v>1167674</v>
      </c>
      <c r="E517" s="9">
        <v>30712019359</v>
      </c>
      <c r="F517" s="9" t="s">
        <v>23</v>
      </c>
      <c r="G517" s="10">
        <v>3304.96</v>
      </c>
      <c r="H517" s="10">
        <v>694.04160000000002</v>
      </c>
      <c r="I517" s="9"/>
      <c r="J517" s="10"/>
      <c r="K517" s="9"/>
      <c r="L517" s="9"/>
      <c r="M517" s="9"/>
      <c r="N517" s="10"/>
      <c r="O517" s="9"/>
      <c r="P517" s="10"/>
      <c r="Q517" s="10">
        <f t="shared" si="25"/>
        <v>3999.0016000000001</v>
      </c>
    </row>
    <row r="518" spans="1:17" x14ac:dyDescent="0.25">
      <c r="A518" s="6">
        <v>44861</v>
      </c>
      <c r="B518" s="1">
        <v>1</v>
      </c>
      <c r="C518" s="14">
        <v>4</v>
      </c>
      <c r="D518" s="2">
        <v>122136</v>
      </c>
      <c r="E518" s="9">
        <v>30716620634</v>
      </c>
      <c r="F518" s="9" t="s">
        <v>142</v>
      </c>
      <c r="G518" s="10">
        <v>9169.42</v>
      </c>
      <c r="H518" s="10">
        <v>1925.5781999999999</v>
      </c>
      <c r="I518" s="9"/>
      <c r="J518" s="10"/>
      <c r="K518" s="9"/>
      <c r="L518" s="9"/>
      <c r="M518" s="9"/>
      <c r="N518" s="10"/>
      <c r="O518" s="9"/>
      <c r="P518" s="10"/>
      <c r="Q518" s="10">
        <f t="shared" si="25"/>
        <v>11094.9982</v>
      </c>
    </row>
    <row r="519" spans="1:17" x14ac:dyDescent="0.25">
      <c r="A519" s="6">
        <v>44872</v>
      </c>
      <c r="B519" s="1">
        <v>1</v>
      </c>
      <c r="C519" s="14">
        <v>106</v>
      </c>
      <c r="D519" s="2">
        <v>5735</v>
      </c>
      <c r="E519" s="9">
        <v>30710194927</v>
      </c>
      <c r="F519" s="9" t="s">
        <v>255</v>
      </c>
      <c r="G519" s="10">
        <v>5097.5200000000004</v>
      </c>
      <c r="H519" s="10">
        <v>1070.4792</v>
      </c>
      <c r="I519" s="9"/>
      <c r="J519" s="10"/>
      <c r="K519" s="9"/>
      <c r="L519" s="9"/>
      <c r="M519" s="9"/>
      <c r="N519" s="10"/>
      <c r="O519" s="9"/>
      <c r="P519" s="10"/>
      <c r="Q519" s="10">
        <f t="shared" si="25"/>
        <v>6167.9992000000002</v>
      </c>
    </row>
    <row r="520" spans="1:17" x14ac:dyDescent="0.25">
      <c r="A520" s="6">
        <v>44890</v>
      </c>
      <c r="B520" s="1">
        <v>1</v>
      </c>
      <c r="C520" s="14">
        <v>280</v>
      </c>
      <c r="D520" s="2">
        <v>1402030</v>
      </c>
      <c r="E520" s="9">
        <v>30580111315</v>
      </c>
      <c r="F520" s="9" t="s">
        <v>21</v>
      </c>
      <c r="G520" s="10">
        <v>146557.79</v>
      </c>
      <c r="H520" s="10">
        <v>30777.135900000001</v>
      </c>
      <c r="I520" s="9"/>
      <c r="J520" s="10"/>
      <c r="K520" s="9"/>
      <c r="L520" s="9"/>
      <c r="M520" s="9"/>
      <c r="N520" s="10"/>
      <c r="O520" s="9"/>
      <c r="P520" s="10">
        <v>-118992.5</v>
      </c>
      <c r="Q520" s="10">
        <f t="shared" si="25"/>
        <v>58342.425900000002</v>
      </c>
    </row>
    <row r="521" spans="1:17" s="30" customFormat="1" x14ac:dyDescent="0.25">
      <c r="A521" s="6">
        <v>44889</v>
      </c>
      <c r="B521" s="1">
        <v>99</v>
      </c>
      <c r="C521" s="14">
        <v>6111</v>
      </c>
      <c r="D521" s="2">
        <v>43</v>
      </c>
      <c r="E521" s="9" t="s">
        <v>108</v>
      </c>
      <c r="F521" s="9" t="s">
        <v>109</v>
      </c>
      <c r="G521" s="10">
        <v>4130.25</v>
      </c>
      <c r="H521" s="10">
        <v>867.35249999999996</v>
      </c>
      <c r="I521" s="9"/>
      <c r="J521" s="10"/>
      <c r="K521" s="9"/>
      <c r="L521" s="9"/>
      <c r="M521" s="9">
        <v>123.91</v>
      </c>
      <c r="N521" s="10"/>
      <c r="O521" s="9"/>
      <c r="P521" s="10"/>
      <c r="Q521" s="10">
        <f t="shared" si="25"/>
        <v>5121.5124999999998</v>
      </c>
    </row>
    <row r="522" spans="1:17" s="30" customFormat="1" x14ac:dyDescent="0.25">
      <c r="A522" s="6">
        <v>44887</v>
      </c>
      <c r="B522" s="1">
        <v>99</v>
      </c>
      <c r="C522" s="14">
        <v>1006</v>
      </c>
      <c r="D522" s="2">
        <v>98</v>
      </c>
      <c r="E522" s="9" t="s">
        <v>108</v>
      </c>
      <c r="F522" s="9" t="s">
        <v>109</v>
      </c>
      <c r="G522" s="10">
        <v>4112.75</v>
      </c>
      <c r="H522" s="10">
        <v>863.67750000000001</v>
      </c>
      <c r="I522" s="9"/>
      <c r="J522" s="10"/>
      <c r="K522" s="9"/>
      <c r="L522" s="9"/>
      <c r="M522" s="9">
        <v>123.38</v>
      </c>
      <c r="N522" s="10"/>
      <c r="O522" s="9"/>
      <c r="P522" s="10"/>
      <c r="Q522" s="10">
        <f t="shared" si="25"/>
        <v>5099.8074999999999</v>
      </c>
    </row>
    <row r="523" spans="1:17" s="30" customFormat="1" x14ac:dyDescent="0.25">
      <c r="A523" s="6">
        <v>44879</v>
      </c>
      <c r="B523" s="1">
        <v>99</v>
      </c>
      <c r="C523" s="14">
        <v>825</v>
      </c>
      <c r="D523" s="2">
        <v>836307</v>
      </c>
      <c r="E523" s="9" t="s">
        <v>108</v>
      </c>
      <c r="F523" s="9" t="s">
        <v>109</v>
      </c>
      <c r="G523" s="10">
        <v>12052.5</v>
      </c>
      <c r="H523" s="10">
        <v>2531.0250000000001</v>
      </c>
      <c r="I523" s="9"/>
      <c r="J523" s="10"/>
      <c r="K523" s="9"/>
      <c r="L523" s="9"/>
      <c r="M523" s="9">
        <v>361.58</v>
      </c>
      <c r="N523" s="10"/>
      <c r="O523" s="9"/>
      <c r="P523" s="10"/>
      <c r="Q523" s="10">
        <f t="shared" si="25"/>
        <v>14945.105</v>
      </c>
    </row>
    <row r="524" spans="1:17" s="30" customFormat="1" x14ac:dyDescent="0.25">
      <c r="A524" s="6">
        <v>44874</v>
      </c>
      <c r="B524" s="1">
        <v>99</v>
      </c>
      <c r="C524" s="14">
        <v>972</v>
      </c>
      <c r="D524" s="2">
        <v>595</v>
      </c>
      <c r="E524" s="9" t="s">
        <v>108</v>
      </c>
      <c r="F524" s="9" t="s">
        <v>109</v>
      </c>
      <c r="G524" s="10">
        <v>4000.5</v>
      </c>
      <c r="H524" s="10">
        <v>840.10500000000002</v>
      </c>
      <c r="I524" s="9"/>
      <c r="J524" s="10"/>
      <c r="K524" s="9"/>
      <c r="L524" s="9"/>
      <c r="M524" s="9">
        <v>120.02</v>
      </c>
      <c r="N524" s="10"/>
      <c r="O524" s="9"/>
      <c r="P524" s="10"/>
      <c r="Q524" s="10">
        <f t="shared" si="25"/>
        <v>4960.625</v>
      </c>
    </row>
    <row r="525" spans="1:17" s="30" customFormat="1" x14ac:dyDescent="0.25">
      <c r="A525" s="6">
        <v>44874</v>
      </c>
      <c r="B525" s="1">
        <v>99</v>
      </c>
      <c r="C525" s="14">
        <v>972</v>
      </c>
      <c r="D525" s="2">
        <v>594</v>
      </c>
      <c r="E525" s="9" t="s">
        <v>108</v>
      </c>
      <c r="F525" s="9" t="s">
        <v>109</v>
      </c>
      <c r="G525" s="10">
        <v>4000.5</v>
      </c>
      <c r="H525" s="10">
        <v>840.10500000000002</v>
      </c>
      <c r="I525" s="9"/>
      <c r="J525" s="10"/>
      <c r="K525" s="9"/>
      <c r="L525" s="9"/>
      <c r="M525" s="9">
        <v>120.02</v>
      </c>
      <c r="N525" s="10"/>
      <c r="O525" s="9"/>
      <c r="P525" s="10"/>
      <c r="Q525" s="10">
        <f t="shared" si="25"/>
        <v>4960.625</v>
      </c>
    </row>
    <row r="526" spans="1:17" s="30" customFormat="1" x14ac:dyDescent="0.25">
      <c r="A526" s="6">
        <v>44871</v>
      </c>
      <c r="B526" s="1">
        <v>99</v>
      </c>
      <c r="C526" s="14">
        <v>825</v>
      </c>
      <c r="D526" s="2">
        <v>8357771</v>
      </c>
      <c r="E526" s="9" t="s">
        <v>108</v>
      </c>
      <c r="F526" s="9" t="s">
        <v>109</v>
      </c>
      <c r="G526" s="10">
        <v>11952.75</v>
      </c>
      <c r="H526" s="10">
        <v>2510.0774999999999</v>
      </c>
      <c r="I526" s="9"/>
      <c r="J526" s="10"/>
      <c r="K526" s="9"/>
      <c r="L526" s="9"/>
      <c r="M526" s="9">
        <v>358.58</v>
      </c>
      <c r="N526" s="10"/>
      <c r="O526" s="9"/>
      <c r="P526" s="10"/>
      <c r="Q526" s="10">
        <f t="shared" si="25"/>
        <v>14821.407499999999</v>
      </c>
    </row>
    <row r="527" spans="1:17" s="30" customFormat="1" x14ac:dyDescent="0.25">
      <c r="A527" s="6">
        <v>44868</v>
      </c>
      <c r="B527" s="1">
        <v>99</v>
      </c>
      <c r="C527" s="14">
        <v>1004</v>
      </c>
      <c r="D527" s="2">
        <v>96</v>
      </c>
      <c r="E527" s="9" t="s">
        <v>108</v>
      </c>
      <c r="F527" s="9" t="s">
        <v>109</v>
      </c>
      <c r="G527" s="10">
        <v>3948</v>
      </c>
      <c r="H527" s="10">
        <v>829.07999999999993</v>
      </c>
      <c r="I527" s="9"/>
      <c r="J527" s="10"/>
      <c r="K527" s="9"/>
      <c r="L527" s="9"/>
      <c r="M527" s="9">
        <v>118.44</v>
      </c>
      <c r="N527" s="10"/>
      <c r="O527" s="9"/>
      <c r="P527" s="10"/>
      <c r="Q527" s="10">
        <f t="shared" si="25"/>
        <v>4895.5199999999995</v>
      </c>
    </row>
    <row r="528" spans="1:17" s="30" customFormat="1" x14ac:dyDescent="0.25">
      <c r="A528" s="6">
        <v>44872</v>
      </c>
      <c r="B528" s="1">
        <v>99</v>
      </c>
      <c r="C528" s="14">
        <v>825</v>
      </c>
      <c r="D528" s="2">
        <v>835113</v>
      </c>
      <c r="E528" s="9" t="s">
        <v>108</v>
      </c>
      <c r="F528" s="9" t="s">
        <v>109</v>
      </c>
      <c r="G528" s="10">
        <v>11871</v>
      </c>
      <c r="H528" s="10">
        <v>2492.91</v>
      </c>
      <c r="I528" s="9"/>
      <c r="J528" s="10"/>
      <c r="K528" s="9"/>
      <c r="L528" s="9"/>
      <c r="M528" s="9">
        <v>356.13</v>
      </c>
      <c r="N528" s="10"/>
      <c r="O528" s="9"/>
      <c r="P528" s="10"/>
      <c r="Q528" s="10">
        <f t="shared" si="25"/>
        <v>14720.039999999999</v>
      </c>
    </row>
    <row r="529" spans="1:17" s="30" customFormat="1" x14ac:dyDescent="0.25">
      <c r="A529" s="6">
        <v>44872</v>
      </c>
      <c r="B529" s="1">
        <v>99</v>
      </c>
      <c r="C529" s="14">
        <v>825</v>
      </c>
      <c r="D529" s="2">
        <v>834908</v>
      </c>
      <c r="E529" s="9" t="s">
        <v>108</v>
      </c>
      <c r="F529" s="9" t="s">
        <v>109</v>
      </c>
      <c r="G529" s="10">
        <v>3957</v>
      </c>
      <c r="H529" s="10">
        <v>830.96999999999991</v>
      </c>
      <c r="I529" s="9"/>
      <c r="J529" s="10"/>
      <c r="K529" s="9"/>
      <c r="L529" s="9"/>
      <c r="M529" s="9">
        <v>118.71</v>
      </c>
      <c r="N529" s="10"/>
      <c r="O529" s="9"/>
      <c r="P529" s="10"/>
      <c r="Q529" s="10">
        <f t="shared" si="25"/>
        <v>4906.68</v>
      </c>
    </row>
    <row r="530" spans="1:17" s="30" customFormat="1" x14ac:dyDescent="0.25">
      <c r="A530" s="6">
        <v>44868</v>
      </c>
      <c r="B530" s="1">
        <v>99</v>
      </c>
      <c r="C530" s="14">
        <v>972</v>
      </c>
      <c r="D530" s="2">
        <v>539</v>
      </c>
      <c r="E530" s="9" t="s">
        <v>108</v>
      </c>
      <c r="F530" s="9" t="s">
        <v>109</v>
      </c>
      <c r="G530" s="10">
        <v>3948</v>
      </c>
      <c r="H530" s="10">
        <v>829.07999999999993</v>
      </c>
      <c r="I530" s="9"/>
      <c r="J530" s="10"/>
      <c r="K530" s="9"/>
      <c r="L530" s="9"/>
      <c r="M530" s="9">
        <v>118.44</v>
      </c>
      <c r="N530" s="10"/>
      <c r="O530" s="9"/>
      <c r="P530" s="10"/>
      <c r="Q530" s="10">
        <f t="shared" si="25"/>
        <v>4895.5199999999995</v>
      </c>
    </row>
    <row r="531" spans="1:17" s="30" customFormat="1" x14ac:dyDescent="0.25">
      <c r="A531" s="6">
        <v>44895</v>
      </c>
      <c r="B531" s="1">
        <v>99</v>
      </c>
      <c r="C531" s="14">
        <v>1</v>
      </c>
      <c r="D531" s="2">
        <v>31112022</v>
      </c>
      <c r="E531" s="9">
        <v>30583887039</v>
      </c>
      <c r="F531" s="9" t="s">
        <v>111</v>
      </c>
      <c r="G531" s="10">
        <v>238</v>
      </c>
      <c r="H531" s="10">
        <v>49.98</v>
      </c>
      <c r="I531" s="9"/>
      <c r="J531" s="10"/>
      <c r="K531" s="9"/>
      <c r="L531" s="9"/>
      <c r="M531" s="9"/>
      <c r="N531" s="10"/>
      <c r="O531" s="9">
        <v>1.78</v>
      </c>
      <c r="P531" s="10"/>
      <c r="Q531" s="10">
        <f t="shared" si="25"/>
        <v>289.76</v>
      </c>
    </row>
    <row r="532" spans="1:17" s="30" customFormat="1" x14ac:dyDescent="0.25">
      <c r="A532" s="6">
        <v>44887</v>
      </c>
      <c r="B532" s="1">
        <v>99</v>
      </c>
      <c r="C532" s="14">
        <v>2201</v>
      </c>
      <c r="D532" s="2">
        <v>22112022</v>
      </c>
      <c r="E532" s="9" t="s">
        <v>108</v>
      </c>
      <c r="F532" s="9" t="s">
        <v>109</v>
      </c>
      <c r="G532" s="10">
        <f>H532*100/21</f>
        <v>538121</v>
      </c>
      <c r="H532" s="10">
        <v>113005.41</v>
      </c>
      <c r="I532" s="9"/>
      <c r="J532" s="10"/>
      <c r="K532" s="9"/>
      <c r="L532" s="9"/>
      <c r="M532" s="9"/>
      <c r="N532" s="10"/>
      <c r="O532" s="9"/>
      <c r="P532" s="10"/>
      <c r="Q532" s="10">
        <f t="shared" si="25"/>
        <v>651126.41</v>
      </c>
    </row>
    <row r="533" spans="1:17" ht="16.5" thickBot="1" x14ac:dyDescent="0.3">
      <c r="A533" s="78" t="s">
        <v>26</v>
      </c>
      <c r="B533" s="78"/>
      <c r="C533" s="78"/>
      <c r="D533" s="78"/>
      <c r="E533" s="78"/>
      <c r="F533" s="79"/>
      <c r="G533" s="34">
        <f t="shared" ref="G533:Q533" si="26">SUM(G467:G532)</f>
        <v>3600555.5089999996</v>
      </c>
      <c r="H533" s="34">
        <f t="shared" si="26"/>
        <v>668536.98008999997</v>
      </c>
      <c r="I533" s="34">
        <f t="shared" si="26"/>
        <v>758.16</v>
      </c>
      <c r="J533" s="34">
        <f t="shared" si="26"/>
        <v>43495.002849999997</v>
      </c>
      <c r="K533" s="34">
        <f t="shared" si="26"/>
        <v>0</v>
      </c>
      <c r="L533" s="34">
        <f t="shared" si="26"/>
        <v>0</v>
      </c>
      <c r="M533" s="34">
        <f t="shared" si="26"/>
        <v>2003.4499999999998</v>
      </c>
      <c r="N533" s="34">
        <f t="shared" si="26"/>
        <v>0</v>
      </c>
      <c r="O533" s="34">
        <f t="shared" si="26"/>
        <v>1.78</v>
      </c>
      <c r="P533" s="34">
        <f t="shared" si="26"/>
        <v>222476.78749999998</v>
      </c>
      <c r="Q533" s="34">
        <f t="shared" si="26"/>
        <v>4537827.6694399994</v>
      </c>
    </row>
    <row r="534" spans="1:17" ht="15.75" thickBot="1" x14ac:dyDescent="0.3">
      <c r="A534" s="30"/>
      <c r="B534" s="30"/>
      <c r="C534" s="30"/>
      <c r="D534" s="30"/>
      <c r="E534" s="30"/>
      <c r="F534" s="30"/>
      <c r="G534" s="30"/>
      <c r="H534" s="72">
        <f>SUM(H533:J533)</f>
        <v>712790.14294000005</v>
      </c>
      <c r="I534" s="73"/>
      <c r="J534" s="74"/>
      <c r="K534" s="30"/>
      <c r="L534" s="30"/>
      <c r="M534" s="30"/>
      <c r="N534" s="30"/>
      <c r="O534" s="30"/>
      <c r="P534" s="30"/>
      <c r="Q534" s="30"/>
    </row>
    <row r="535" spans="1:17" s="94" customFormat="1" ht="15.75" thickTop="1" x14ac:dyDescent="0.25">
      <c r="H535" s="95"/>
      <c r="I535" s="96"/>
      <c r="J535" s="96"/>
    </row>
    <row r="536" spans="1:17" s="94" customFormat="1" x14ac:dyDescent="0.25">
      <c r="H536" s="95"/>
      <c r="I536" s="96"/>
      <c r="J536" s="96"/>
    </row>
    <row r="537" spans="1:17" s="94" customFormat="1" x14ac:dyDescent="0.25">
      <c r="H537" s="95"/>
      <c r="I537" s="96"/>
      <c r="J537" s="96"/>
    </row>
    <row r="538" spans="1:17" s="94" customFormat="1" x14ac:dyDescent="0.25">
      <c r="H538" s="95"/>
      <c r="I538" s="96"/>
      <c r="J538" s="96"/>
    </row>
    <row r="539" spans="1:17" s="94" customFormat="1" x14ac:dyDescent="0.25">
      <c r="H539" s="95"/>
      <c r="I539" s="96"/>
      <c r="J539" s="96"/>
    </row>
    <row r="540" spans="1:17" s="94" customFormat="1" x14ac:dyDescent="0.25">
      <c r="H540" s="95"/>
      <c r="I540" s="96"/>
      <c r="J540" s="96"/>
    </row>
    <row r="541" spans="1:17" s="94" customFormat="1" x14ac:dyDescent="0.25">
      <c r="H541" s="95"/>
      <c r="I541" s="96"/>
      <c r="J541" s="96"/>
    </row>
    <row r="542" spans="1:17" s="94" customFormat="1" x14ac:dyDescent="0.25">
      <c r="H542" s="95"/>
      <c r="I542" s="96"/>
      <c r="J542" s="96"/>
    </row>
    <row r="543" spans="1:17" s="94" customFormat="1" x14ac:dyDescent="0.25">
      <c r="H543" s="95"/>
      <c r="I543" s="96"/>
      <c r="J543" s="96"/>
    </row>
    <row r="544" spans="1:17" s="94" customFormat="1" x14ac:dyDescent="0.25">
      <c r="H544" s="95"/>
      <c r="I544" s="96"/>
      <c r="J544" s="96"/>
    </row>
    <row r="545" spans="8:10" s="94" customFormat="1" x14ac:dyDescent="0.25">
      <c r="H545" s="95"/>
      <c r="I545" s="96"/>
      <c r="J545" s="96"/>
    </row>
    <row r="546" spans="8:10" s="94" customFormat="1" x14ac:dyDescent="0.25">
      <c r="H546" s="95"/>
      <c r="I546" s="96"/>
      <c r="J546" s="96"/>
    </row>
    <row r="547" spans="8:10" s="94" customFormat="1" x14ac:dyDescent="0.25">
      <c r="H547" s="95"/>
      <c r="I547" s="96"/>
      <c r="J547" s="96"/>
    </row>
    <row r="548" spans="8:10" s="94" customFormat="1" x14ac:dyDescent="0.25">
      <c r="H548" s="95"/>
      <c r="I548" s="96"/>
      <c r="J548" s="96"/>
    </row>
    <row r="549" spans="8:10" s="94" customFormat="1" x14ac:dyDescent="0.25">
      <c r="H549" s="95"/>
      <c r="I549" s="96"/>
      <c r="J549" s="96"/>
    </row>
    <row r="550" spans="8:10" s="94" customFormat="1" x14ac:dyDescent="0.25">
      <c r="H550" s="95"/>
      <c r="I550" s="96"/>
      <c r="J550" s="96"/>
    </row>
    <row r="551" spans="8:10" s="94" customFormat="1" x14ac:dyDescent="0.25">
      <c r="H551" s="95"/>
      <c r="I551" s="96"/>
      <c r="J551" s="96"/>
    </row>
    <row r="552" spans="8:10" s="94" customFormat="1" x14ac:dyDescent="0.25">
      <c r="H552" s="95"/>
      <c r="I552" s="96"/>
      <c r="J552" s="96"/>
    </row>
    <row r="553" spans="8:10" s="94" customFormat="1" x14ac:dyDescent="0.25">
      <c r="H553" s="95"/>
      <c r="I553" s="96"/>
      <c r="J553" s="96"/>
    </row>
    <row r="554" spans="8:10" s="94" customFormat="1" x14ac:dyDescent="0.25">
      <c r="H554" s="95"/>
      <c r="I554" s="96"/>
      <c r="J554" s="96"/>
    </row>
    <row r="555" spans="8:10" s="94" customFormat="1" x14ac:dyDescent="0.25">
      <c r="H555" s="95"/>
      <c r="I555" s="96"/>
      <c r="J555" s="96"/>
    </row>
    <row r="556" spans="8:10" s="94" customFormat="1" x14ac:dyDescent="0.25">
      <c r="H556" s="95"/>
      <c r="I556" s="96"/>
      <c r="J556" s="96"/>
    </row>
    <row r="557" spans="8:10" s="94" customFormat="1" x14ac:dyDescent="0.25">
      <c r="H557" s="95"/>
      <c r="I557" s="96"/>
      <c r="J557" s="96"/>
    </row>
    <row r="558" spans="8:10" s="94" customFormat="1" x14ac:dyDescent="0.25">
      <c r="H558" s="95"/>
      <c r="I558" s="96"/>
      <c r="J558" s="96"/>
    </row>
    <row r="559" spans="8:10" s="94" customFormat="1" x14ac:dyDescent="0.25">
      <c r="H559" s="95"/>
      <c r="I559" s="96"/>
      <c r="J559" s="96"/>
    </row>
    <row r="560" spans="8:10" s="94" customFormat="1" x14ac:dyDescent="0.25">
      <c r="H560" s="95"/>
      <c r="I560" s="96"/>
      <c r="J560" s="96"/>
    </row>
    <row r="561" spans="1:17" s="94" customFormat="1" x14ac:dyDescent="0.25">
      <c r="H561" s="95"/>
      <c r="I561" s="96"/>
      <c r="J561" s="96"/>
    </row>
    <row r="562" spans="1:17" s="94" customFormat="1" x14ac:dyDescent="0.25">
      <c r="H562" s="95"/>
      <c r="I562" s="96"/>
      <c r="J562" s="96"/>
    </row>
    <row r="563" spans="1:17" s="94" customFormat="1" x14ac:dyDescent="0.25"/>
    <row r="564" spans="1:17" ht="27" thickBot="1" x14ac:dyDescent="0.45">
      <c r="A564" s="75" t="s">
        <v>112</v>
      </c>
      <c r="B564" s="75"/>
      <c r="C564" s="75"/>
      <c r="D564" s="75"/>
      <c r="E564" s="75"/>
      <c r="F564" s="30"/>
      <c r="G564" s="30"/>
      <c r="H564" s="30"/>
      <c r="I564" s="30"/>
      <c r="J564" s="30"/>
      <c r="K564" s="30"/>
      <c r="L564" s="30"/>
      <c r="M564" s="30"/>
      <c r="N564" s="30"/>
      <c r="O564" s="76">
        <v>44896</v>
      </c>
      <c r="P564" s="77"/>
      <c r="Q564" s="77"/>
    </row>
    <row r="565" spans="1:17" ht="15.75" thickBot="1" x14ac:dyDescent="0.3">
      <c r="A565" s="27" t="s">
        <v>0</v>
      </c>
      <c r="B565" s="28" t="s">
        <v>1</v>
      </c>
      <c r="C565" s="28" t="s">
        <v>2</v>
      </c>
      <c r="D565" s="28" t="s">
        <v>3</v>
      </c>
      <c r="E565" s="28" t="s">
        <v>4</v>
      </c>
      <c r="F565" s="28" t="s">
        <v>5</v>
      </c>
      <c r="G565" s="28" t="s">
        <v>6</v>
      </c>
      <c r="H565" s="26" t="s">
        <v>7</v>
      </c>
      <c r="I565" s="28" t="s">
        <v>8</v>
      </c>
      <c r="J565" s="28" t="s">
        <v>9</v>
      </c>
      <c r="K565" s="28" t="s">
        <v>10</v>
      </c>
      <c r="L565" s="28" t="s">
        <v>11</v>
      </c>
      <c r="M565" s="28" t="s">
        <v>12</v>
      </c>
      <c r="N565" s="28" t="s">
        <v>27</v>
      </c>
      <c r="O565" s="28" t="s">
        <v>13</v>
      </c>
      <c r="P565" s="26" t="s">
        <v>14</v>
      </c>
      <c r="Q565" s="35" t="s">
        <v>15</v>
      </c>
    </row>
    <row r="566" spans="1:17" x14ac:dyDescent="0.25">
      <c r="A566" s="21">
        <v>44914</v>
      </c>
      <c r="B566" s="22">
        <v>1</v>
      </c>
      <c r="C566" s="23">
        <v>3</v>
      </c>
      <c r="D566" s="2">
        <v>28</v>
      </c>
      <c r="E566" s="24">
        <v>20297899830</v>
      </c>
      <c r="F566" s="24" t="s">
        <v>152</v>
      </c>
      <c r="G566" s="25">
        <v>511191.99999999994</v>
      </c>
      <c r="H566" s="25">
        <v>107350.31999999998</v>
      </c>
      <c r="I566" s="24"/>
      <c r="J566" s="25"/>
      <c r="K566" s="25"/>
      <c r="L566" s="24"/>
      <c r="M566" s="24"/>
      <c r="N566" s="24"/>
      <c r="O566" s="25"/>
      <c r="P566" s="24"/>
      <c r="Q566" s="10">
        <f t="shared" ref="Q566:Q584" si="27">SUM(G566:P566)</f>
        <v>618542.31999999995</v>
      </c>
    </row>
    <row r="567" spans="1:17" x14ac:dyDescent="0.25">
      <c r="A567" s="6">
        <v>44921</v>
      </c>
      <c r="B567" s="1">
        <v>1</v>
      </c>
      <c r="C567" s="14">
        <v>2</v>
      </c>
      <c r="D567" s="2">
        <v>155</v>
      </c>
      <c r="E567" s="9">
        <v>20125142851</v>
      </c>
      <c r="F567" s="9" t="s">
        <v>19</v>
      </c>
      <c r="G567" s="10">
        <v>114071.22</v>
      </c>
      <c r="H567" s="10">
        <v>23954.956200000001</v>
      </c>
      <c r="I567" s="9"/>
      <c r="J567" s="10"/>
      <c r="K567" s="9"/>
      <c r="L567" s="9"/>
      <c r="M567" s="9"/>
      <c r="N567" s="9"/>
      <c r="O567" s="9"/>
      <c r="P567" s="9"/>
      <c r="Q567" s="10">
        <f t="shared" si="27"/>
        <v>138026.17619999999</v>
      </c>
    </row>
    <row r="568" spans="1:17" x14ac:dyDescent="0.25">
      <c r="A568" s="6">
        <v>44921</v>
      </c>
      <c r="B568" s="1">
        <v>1</v>
      </c>
      <c r="C568" s="14">
        <v>2</v>
      </c>
      <c r="D568" s="2">
        <v>156</v>
      </c>
      <c r="E568" s="9">
        <v>20125142851</v>
      </c>
      <c r="F568" s="9" t="s">
        <v>19</v>
      </c>
      <c r="G568" s="10">
        <v>129277.44</v>
      </c>
      <c r="H568" s="10">
        <v>27148.2624</v>
      </c>
      <c r="I568" s="9"/>
      <c r="J568" s="9"/>
      <c r="K568" s="10"/>
      <c r="L568" s="10"/>
      <c r="M568" s="10"/>
      <c r="N568" s="9"/>
      <c r="O568" s="10"/>
      <c r="P568" s="9"/>
      <c r="Q568" s="10">
        <f t="shared" si="27"/>
        <v>156425.70240000001</v>
      </c>
    </row>
    <row r="569" spans="1:17" x14ac:dyDescent="0.25">
      <c r="A569" s="6">
        <v>44907</v>
      </c>
      <c r="B569" s="1">
        <v>1</v>
      </c>
      <c r="C569" s="14">
        <v>3</v>
      </c>
      <c r="D569" s="2">
        <v>276</v>
      </c>
      <c r="E569" s="9">
        <v>30717078760</v>
      </c>
      <c r="F569" s="9" t="s">
        <v>260</v>
      </c>
      <c r="G569" s="10">
        <v>76032.23</v>
      </c>
      <c r="H569" s="10">
        <v>15966.768299999998</v>
      </c>
      <c r="I569" s="9"/>
      <c r="J569" s="9"/>
      <c r="K569" s="10"/>
      <c r="L569" s="9"/>
      <c r="M569" s="9"/>
      <c r="N569" s="9"/>
      <c r="O569" s="9"/>
      <c r="P569" s="9"/>
      <c r="Q569" s="10">
        <f t="shared" si="27"/>
        <v>91998.998299999992</v>
      </c>
    </row>
    <row r="570" spans="1:17" x14ac:dyDescent="0.25">
      <c r="A570" s="6">
        <v>44902</v>
      </c>
      <c r="B570" s="1">
        <v>1</v>
      </c>
      <c r="C570" s="14">
        <v>6</v>
      </c>
      <c r="D570" s="2">
        <v>317</v>
      </c>
      <c r="E570" s="9">
        <v>30707158952</v>
      </c>
      <c r="F570" s="9" t="s">
        <v>261</v>
      </c>
      <c r="G570" s="10">
        <v>27190.080000000002</v>
      </c>
      <c r="H570" s="10">
        <v>5709.9168</v>
      </c>
      <c r="I570" s="9"/>
      <c r="J570" s="10"/>
      <c r="K570" s="9"/>
      <c r="L570" s="10"/>
      <c r="M570" s="9"/>
      <c r="N570" s="9"/>
      <c r="O570" s="9"/>
      <c r="P570" s="9"/>
      <c r="Q570" s="10">
        <f t="shared" si="27"/>
        <v>32899.996800000001</v>
      </c>
    </row>
    <row r="571" spans="1:17" x14ac:dyDescent="0.25">
      <c r="A571" s="6">
        <v>44908</v>
      </c>
      <c r="B571" s="1">
        <v>1</v>
      </c>
      <c r="C571" s="14">
        <v>11</v>
      </c>
      <c r="D571" s="2">
        <v>458</v>
      </c>
      <c r="E571" s="9">
        <v>20226753355</v>
      </c>
      <c r="F571" s="9" t="s">
        <v>104</v>
      </c>
      <c r="G571" s="10">
        <v>12231.4</v>
      </c>
      <c r="H571" s="10">
        <v>2568.5940000000001</v>
      </c>
      <c r="I571" s="9"/>
      <c r="J571" s="10"/>
      <c r="K571" s="9"/>
      <c r="L571" s="10"/>
      <c r="M571" s="9"/>
      <c r="N571" s="9"/>
      <c r="O571" s="9"/>
      <c r="P571" s="9"/>
      <c r="Q571" s="10">
        <f t="shared" si="27"/>
        <v>14799.993999999999</v>
      </c>
    </row>
    <row r="572" spans="1:17" x14ac:dyDescent="0.25">
      <c r="A572" s="6">
        <v>44917</v>
      </c>
      <c r="B572" s="1">
        <v>1</v>
      </c>
      <c r="C572" s="14">
        <v>1</v>
      </c>
      <c r="D572" s="2">
        <v>542</v>
      </c>
      <c r="E572" s="9">
        <v>30715048066</v>
      </c>
      <c r="F572" s="9" t="s">
        <v>24</v>
      </c>
      <c r="G572" s="10">
        <v>108955</v>
      </c>
      <c r="H572" s="10">
        <v>22880.55</v>
      </c>
      <c r="I572" s="9"/>
      <c r="J572" s="10"/>
      <c r="K572" s="9"/>
      <c r="L572" s="9"/>
      <c r="M572" s="9"/>
      <c r="N572" s="9"/>
      <c r="O572" s="9"/>
      <c r="P572" s="9"/>
      <c r="Q572" s="10">
        <f t="shared" si="27"/>
        <v>131835.54999999999</v>
      </c>
    </row>
    <row r="573" spans="1:17" x14ac:dyDescent="0.25">
      <c r="A573" s="6">
        <v>44921</v>
      </c>
      <c r="B573" s="1">
        <v>1</v>
      </c>
      <c r="C573" s="14">
        <v>2</v>
      </c>
      <c r="D573" s="2">
        <v>577</v>
      </c>
      <c r="E573" s="9">
        <v>20296550184</v>
      </c>
      <c r="F573" s="9" t="s">
        <v>37</v>
      </c>
      <c r="G573" s="10">
        <v>120000</v>
      </c>
      <c r="H573" s="10">
        <v>25200</v>
      </c>
      <c r="I573" s="9"/>
      <c r="J573" s="9"/>
      <c r="K573" s="9"/>
      <c r="L573" s="10"/>
      <c r="M573" s="9"/>
      <c r="N573" s="9"/>
      <c r="O573" s="9"/>
      <c r="P573" s="9"/>
      <c r="Q573" s="10">
        <f t="shared" si="27"/>
        <v>145200</v>
      </c>
    </row>
    <row r="574" spans="1:17" x14ac:dyDescent="0.25">
      <c r="A574" s="6">
        <v>44896</v>
      </c>
      <c r="B574" s="1">
        <v>1</v>
      </c>
      <c r="C574" s="14">
        <v>3</v>
      </c>
      <c r="D574" s="2">
        <v>596</v>
      </c>
      <c r="E574" s="9">
        <v>30715402765</v>
      </c>
      <c r="F574" s="9" t="s">
        <v>16</v>
      </c>
      <c r="G574" s="10">
        <v>9173.5499999999993</v>
      </c>
      <c r="H574" s="10">
        <v>1926.4454999999998</v>
      </c>
      <c r="I574" s="9"/>
      <c r="J574" s="10"/>
      <c r="K574" s="9"/>
      <c r="L574" s="10"/>
      <c r="M574" s="9"/>
      <c r="N574" s="9"/>
      <c r="O574" s="9"/>
      <c r="P574" s="9"/>
      <c r="Q574" s="10">
        <f t="shared" si="27"/>
        <v>11099.995499999999</v>
      </c>
    </row>
    <row r="575" spans="1:17" x14ac:dyDescent="0.25">
      <c r="A575" s="6">
        <v>44900</v>
      </c>
      <c r="B575" s="1">
        <v>1</v>
      </c>
      <c r="C575" s="14">
        <v>801</v>
      </c>
      <c r="D575" s="2">
        <v>933</v>
      </c>
      <c r="E575" s="9">
        <v>30655186693</v>
      </c>
      <c r="F575" s="9" t="s">
        <v>262</v>
      </c>
      <c r="G575" s="10">
        <v>233056.2</v>
      </c>
      <c r="H575" s="10">
        <v>48941.802000000003</v>
      </c>
      <c r="I575" s="9"/>
      <c r="J575" s="10"/>
      <c r="K575" s="9"/>
      <c r="L575" s="9"/>
      <c r="M575" s="9"/>
      <c r="N575" s="9"/>
      <c r="O575" s="9"/>
      <c r="P575" s="9"/>
      <c r="Q575" s="10">
        <f t="shared" si="27"/>
        <v>281998.00200000004</v>
      </c>
    </row>
    <row r="576" spans="1:17" x14ac:dyDescent="0.25">
      <c r="A576" s="6">
        <v>44914</v>
      </c>
      <c r="B576" s="1">
        <v>1</v>
      </c>
      <c r="C576" s="14">
        <v>2</v>
      </c>
      <c r="D576" s="2">
        <v>993</v>
      </c>
      <c r="E576" s="9">
        <v>30573843440</v>
      </c>
      <c r="F576" s="9" t="s">
        <v>35</v>
      </c>
      <c r="G576" s="10">
        <v>511191.99999999994</v>
      </c>
      <c r="H576" s="10">
        <v>107350.31999999998</v>
      </c>
      <c r="I576" s="9"/>
      <c r="J576" s="10"/>
      <c r="K576" s="9"/>
      <c r="L576" s="9"/>
      <c r="M576" s="9"/>
      <c r="N576" s="9"/>
      <c r="O576" s="9"/>
      <c r="P576" s="9"/>
      <c r="Q576" s="10">
        <f t="shared" si="27"/>
        <v>618542.31999999995</v>
      </c>
    </row>
    <row r="577" spans="1:17" x14ac:dyDescent="0.25">
      <c r="A577" s="6">
        <v>44923</v>
      </c>
      <c r="B577" s="1">
        <v>1</v>
      </c>
      <c r="C577" s="14">
        <v>5</v>
      </c>
      <c r="D577" s="2">
        <v>1035</v>
      </c>
      <c r="E577" s="9">
        <v>30707397256</v>
      </c>
      <c r="F577" s="9" t="s">
        <v>101</v>
      </c>
      <c r="G577" s="10">
        <v>324046.40000000002</v>
      </c>
      <c r="H577" s="10">
        <v>68049.744000000006</v>
      </c>
      <c r="I577" s="9"/>
      <c r="J577" s="10"/>
      <c r="K577" s="9"/>
      <c r="L577" s="9"/>
      <c r="M577" s="9"/>
      <c r="N577" s="9"/>
      <c r="O577" s="9"/>
      <c r="P577" s="9"/>
      <c r="Q577" s="10">
        <f t="shared" si="27"/>
        <v>392096.14400000003</v>
      </c>
    </row>
    <row r="578" spans="1:17" x14ac:dyDescent="0.25">
      <c r="A578" s="6">
        <v>44901</v>
      </c>
      <c r="B578" s="1">
        <v>1</v>
      </c>
      <c r="C578" s="14">
        <v>7</v>
      </c>
      <c r="D578" s="2">
        <v>1887</v>
      </c>
      <c r="E578" s="9">
        <v>20214656575</v>
      </c>
      <c r="F578" s="9" t="s">
        <v>263</v>
      </c>
      <c r="G578" s="10">
        <v>9888.43</v>
      </c>
      <c r="H578" s="10">
        <v>2076.5702999999999</v>
      </c>
      <c r="I578" s="9"/>
      <c r="J578" s="9"/>
      <c r="K578" s="9"/>
      <c r="L578" s="9"/>
      <c r="M578" s="9"/>
      <c r="N578" s="9"/>
      <c r="O578" s="9"/>
      <c r="P578" s="9"/>
      <c r="Q578" s="10">
        <f t="shared" si="27"/>
        <v>11965.0003</v>
      </c>
    </row>
    <row r="579" spans="1:17" x14ac:dyDescent="0.25">
      <c r="A579" s="6">
        <v>44906</v>
      </c>
      <c r="B579" s="1">
        <v>1</v>
      </c>
      <c r="C579" s="14">
        <v>7</v>
      </c>
      <c r="D579" s="2">
        <v>1902</v>
      </c>
      <c r="E579" s="9">
        <v>20214656575</v>
      </c>
      <c r="F579" s="9" t="s">
        <v>263</v>
      </c>
      <c r="G579" s="10">
        <v>4544.63</v>
      </c>
      <c r="H579" s="10">
        <v>954.3723</v>
      </c>
      <c r="I579" s="10"/>
      <c r="J579" s="9"/>
      <c r="K579" s="9"/>
      <c r="L579" s="9"/>
      <c r="M579" s="9"/>
      <c r="N579" s="9"/>
      <c r="O579" s="9"/>
      <c r="P579" s="9"/>
      <c r="Q579" s="10">
        <f t="shared" si="27"/>
        <v>5499.0023000000001</v>
      </c>
    </row>
    <row r="580" spans="1:17" x14ac:dyDescent="0.25">
      <c r="A580" s="6">
        <v>44897</v>
      </c>
      <c r="B580" s="1">
        <v>1</v>
      </c>
      <c r="C580" s="14">
        <v>721</v>
      </c>
      <c r="D580" s="2">
        <v>3574</v>
      </c>
      <c r="E580" s="9">
        <v>30580111315</v>
      </c>
      <c r="F580" s="9" t="s">
        <v>21</v>
      </c>
      <c r="G580" s="10">
        <v>75223.724999999991</v>
      </c>
      <c r="H580" s="10">
        <v>15796.982249999997</v>
      </c>
      <c r="I580" s="9"/>
      <c r="J580" s="9"/>
      <c r="K580" s="9"/>
      <c r="L580" s="10"/>
      <c r="M580" s="9"/>
      <c r="N580" s="9"/>
      <c r="O580" s="9"/>
      <c r="P580" s="9"/>
      <c r="Q580" s="10">
        <f t="shared" si="27"/>
        <v>91020.707249999992</v>
      </c>
    </row>
    <row r="581" spans="1:17" x14ac:dyDescent="0.25">
      <c r="A581" s="6">
        <v>44907</v>
      </c>
      <c r="B581" s="1">
        <v>1</v>
      </c>
      <c r="C581" s="14">
        <v>42</v>
      </c>
      <c r="D581" s="2">
        <v>4754</v>
      </c>
      <c r="E581" s="9">
        <v>30662533072</v>
      </c>
      <c r="F581" s="9" t="s">
        <v>264</v>
      </c>
      <c r="G581" s="10">
        <v>19833.88</v>
      </c>
      <c r="H581" s="10">
        <v>4165.1148000000003</v>
      </c>
      <c r="I581" s="9"/>
      <c r="J581" s="9"/>
      <c r="K581" s="9"/>
      <c r="L581" s="10"/>
      <c r="M581" s="9"/>
      <c r="N581" s="9"/>
      <c r="O581" s="9"/>
      <c r="P581" s="9"/>
      <c r="Q581" s="10">
        <f t="shared" si="27"/>
        <v>23998.9948</v>
      </c>
    </row>
    <row r="582" spans="1:17" x14ac:dyDescent="0.25">
      <c r="A582" s="6">
        <v>44908</v>
      </c>
      <c r="B582" s="1">
        <v>1</v>
      </c>
      <c r="C582" s="14">
        <v>5</v>
      </c>
      <c r="D582" s="2">
        <v>7949</v>
      </c>
      <c r="E582" s="9">
        <v>30715357255</v>
      </c>
      <c r="F582" s="9" t="s">
        <v>154</v>
      </c>
      <c r="G582" s="10">
        <v>5638.01</v>
      </c>
      <c r="H582" s="10"/>
      <c r="I582" s="9"/>
      <c r="J582" s="10">
        <v>591.99</v>
      </c>
      <c r="K582" s="9"/>
      <c r="L582" s="10"/>
      <c r="M582" s="9"/>
      <c r="N582" s="9"/>
      <c r="O582" s="9"/>
      <c r="P582" s="9"/>
      <c r="Q582" s="10">
        <f t="shared" si="27"/>
        <v>6230</v>
      </c>
    </row>
    <row r="583" spans="1:17" x14ac:dyDescent="0.25">
      <c r="A583" s="6">
        <v>44901</v>
      </c>
      <c r="B583" s="1">
        <v>1</v>
      </c>
      <c r="C583" s="14">
        <v>7</v>
      </c>
      <c r="D583" s="2">
        <v>10276</v>
      </c>
      <c r="E583" s="9">
        <v>33713724209</v>
      </c>
      <c r="F583" s="9" t="s">
        <v>100</v>
      </c>
      <c r="G583" s="10">
        <v>14775.87</v>
      </c>
      <c r="H583" s="10">
        <v>3102.9326999999998</v>
      </c>
      <c r="I583" s="9"/>
      <c r="J583" s="9"/>
      <c r="K583" s="10"/>
      <c r="L583" s="9"/>
      <c r="M583" s="9"/>
      <c r="N583" s="9"/>
      <c r="O583" s="9"/>
      <c r="P583" s="9"/>
      <c r="Q583" s="10">
        <f t="shared" si="27"/>
        <v>17878.8027</v>
      </c>
    </row>
    <row r="584" spans="1:17" x14ac:dyDescent="0.25">
      <c r="A584" s="6">
        <v>44900</v>
      </c>
      <c r="B584" s="1">
        <v>1</v>
      </c>
      <c r="C584" s="14">
        <v>1</v>
      </c>
      <c r="D584" s="2">
        <v>11640</v>
      </c>
      <c r="E584" s="9">
        <v>30715638912</v>
      </c>
      <c r="F584" s="9" t="s">
        <v>265</v>
      </c>
      <c r="G584" s="10">
        <v>1718.55</v>
      </c>
      <c r="H584" s="10"/>
      <c r="I584" s="9"/>
      <c r="J584" s="10">
        <v>180.45</v>
      </c>
      <c r="K584" s="9"/>
      <c r="L584" s="9"/>
      <c r="M584" s="9"/>
      <c r="N584" s="10"/>
      <c r="O584" s="9"/>
      <c r="P584" s="10"/>
      <c r="Q584" s="10">
        <f t="shared" si="27"/>
        <v>1899</v>
      </c>
    </row>
    <row r="585" spans="1:17" x14ac:dyDescent="0.25">
      <c r="A585" s="6">
        <v>44915</v>
      </c>
      <c r="B585" s="1">
        <v>1</v>
      </c>
      <c r="C585" s="14">
        <v>6992</v>
      </c>
      <c r="D585" s="2">
        <v>11771</v>
      </c>
      <c r="E585" s="9">
        <v>30678774495</v>
      </c>
      <c r="F585" s="9" t="s">
        <v>123</v>
      </c>
      <c r="G585" s="10">
        <v>3881.68</v>
      </c>
      <c r="H585" s="10">
        <v>815.15279999999996</v>
      </c>
      <c r="I585" s="9"/>
      <c r="J585" s="10"/>
      <c r="K585" s="9"/>
      <c r="L585" s="9"/>
      <c r="M585" s="9"/>
      <c r="N585" s="10"/>
      <c r="O585" s="9"/>
      <c r="P585" s="10">
        <v>903.37</v>
      </c>
      <c r="Q585" s="10">
        <f t="shared" ref="Q585:Q606" si="28">SUM(G585:P585)</f>
        <v>5600.2028</v>
      </c>
    </row>
    <row r="586" spans="1:17" x14ac:dyDescent="0.25">
      <c r="A586" s="6">
        <v>44908</v>
      </c>
      <c r="B586" s="1">
        <v>1</v>
      </c>
      <c r="C586" s="14">
        <v>11</v>
      </c>
      <c r="D586" s="2">
        <v>12890</v>
      </c>
      <c r="E586" s="9">
        <v>30710804245</v>
      </c>
      <c r="F586" s="9" t="s">
        <v>266</v>
      </c>
      <c r="G586" s="10">
        <v>23140.27</v>
      </c>
      <c r="H586" s="10"/>
      <c r="I586" s="9"/>
      <c r="J586" s="10">
        <v>2429.6999999999998</v>
      </c>
      <c r="K586" s="9"/>
      <c r="L586" s="9"/>
      <c r="M586" s="9"/>
      <c r="N586" s="10"/>
      <c r="O586" s="9"/>
      <c r="P586" s="10"/>
      <c r="Q586" s="10">
        <f t="shared" si="28"/>
        <v>25569.97</v>
      </c>
    </row>
    <row r="587" spans="1:17" x14ac:dyDescent="0.25">
      <c r="A587" s="6">
        <v>44896</v>
      </c>
      <c r="B587" s="1">
        <v>1</v>
      </c>
      <c r="C587" s="14">
        <v>4</v>
      </c>
      <c r="D587" s="2">
        <v>13898</v>
      </c>
      <c r="E587" s="9">
        <v>30709362875</v>
      </c>
      <c r="F587" s="9" t="s">
        <v>155</v>
      </c>
      <c r="G587" s="10">
        <v>13105.14</v>
      </c>
      <c r="H587" s="10">
        <v>2752.0793999999996</v>
      </c>
      <c r="I587" s="9"/>
      <c r="J587" s="10"/>
      <c r="K587" s="9"/>
      <c r="L587" s="9"/>
      <c r="M587" s="9"/>
      <c r="N587" s="10"/>
      <c r="O587" s="9"/>
      <c r="P587" s="10"/>
      <c r="Q587" s="10">
        <f t="shared" si="28"/>
        <v>15857.219399999998</v>
      </c>
    </row>
    <row r="588" spans="1:17" x14ac:dyDescent="0.25">
      <c r="A588" s="6">
        <v>44916</v>
      </c>
      <c r="B588" s="1">
        <v>1</v>
      </c>
      <c r="C588" s="14">
        <v>4</v>
      </c>
      <c r="D588" s="2">
        <v>22737</v>
      </c>
      <c r="E588" s="9">
        <v>30624066827</v>
      </c>
      <c r="F588" s="9" t="s">
        <v>267</v>
      </c>
      <c r="G588" s="10">
        <v>7884.3</v>
      </c>
      <c r="H588" s="10">
        <v>1655.703</v>
      </c>
      <c r="I588" s="9"/>
      <c r="J588" s="10"/>
      <c r="K588" s="9"/>
      <c r="L588" s="9"/>
      <c r="M588" s="9"/>
      <c r="N588" s="10"/>
      <c r="O588" s="9"/>
      <c r="P588" s="10"/>
      <c r="Q588" s="10">
        <f t="shared" si="28"/>
        <v>9540.0030000000006</v>
      </c>
    </row>
    <row r="589" spans="1:17" x14ac:dyDescent="0.25">
      <c r="A589" s="6">
        <v>44916</v>
      </c>
      <c r="B589" s="1">
        <v>3</v>
      </c>
      <c r="C589" s="14">
        <v>106</v>
      </c>
      <c r="D589" s="2">
        <v>24778</v>
      </c>
      <c r="E589" s="9">
        <v>30594494187</v>
      </c>
      <c r="F589" s="9" t="s">
        <v>45</v>
      </c>
      <c r="G589" s="10">
        <v>-17116.2</v>
      </c>
      <c r="H589" s="10">
        <v>-3594.402</v>
      </c>
      <c r="I589" s="9"/>
      <c r="J589" s="10"/>
      <c r="K589" s="9"/>
      <c r="L589" s="9"/>
      <c r="M589" s="9"/>
      <c r="N589" s="10"/>
      <c r="O589" s="9"/>
      <c r="P589" s="10">
        <v>-18610.77</v>
      </c>
      <c r="Q589" s="10">
        <f t="shared" si="28"/>
        <v>-39321.372000000003</v>
      </c>
    </row>
    <row r="590" spans="1:17" x14ac:dyDescent="0.25">
      <c r="A590" s="6">
        <v>44917</v>
      </c>
      <c r="B590" s="1">
        <v>1</v>
      </c>
      <c r="C590" s="14">
        <v>10</v>
      </c>
      <c r="D590" s="2">
        <v>29079</v>
      </c>
      <c r="E590" s="9">
        <v>30650600238</v>
      </c>
      <c r="F590" s="9" t="s">
        <v>268</v>
      </c>
      <c r="G590" s="10">
        <v>1375200</v>
      </c>
      <c r="H590" s="10"/>
      <c r="I590" s="9"/>
      <c r="J590" s="10">
        <v>144396</v>
      </c>
      <c r="K590" s="9"/>
      <c r="L590" s="9"/>
      <c r="M590" s="9"/>
      <c r="N590" s="10"/>
      <c r="O590" s="9"/>
      <c r="P590" s="10"/>
      <c r="Q590" s="10">
        <f t="shared" si="28"/>
        <v>1519596</v>
      </c>
    </row>
    <row r="591" spans="1:17" x14ac:dyDescent="0.25">
      <c r="A591" s="6">
        <v>44923</v>
      </c>
      <c r="B591" s="1">
        <v>3</v>
      </c>
      <c r="C591" s="14">
        <v>1001</v>
      </c>
      <c r="D591" s="2">
        <v>91384</v>
      </c>
      <c r="E591" s="9">
        <v>30538068841</v>
      </c>
      <c r="F591" s="9" t="s">
        <v>171</v>
      </c>
      <c r="G591" s="10">
        <v>-9802.57</v>
      </c>
      <c r="H591" s="10">
        <v>-2058.5396999999998</v>
      </c>
      <c r="I591" s="9"/>
      <c r="J591" s="10"/>
      <c r="K591" s="9"/>
      <c r="L591" s="9"/>
      <c r="M591" s="9"/>
      <c r="N591" s="10"/>
      <c r="O591" s="9"/>
      <c r="P591" s="10"/>
      <c r="Q591" s="10">
        <f t="shared" si="28"/>
        <v>-11861.109699999999</v>
      </c>
    </row>
    <row r="592" spans="1:17" x14ac:dyDescent="0.25">
      <c r="A592" s="6">
        <v>44896</v>
      </c>
      <c r="B592" s="1">
        <v>1</v>
      </c>
      <c r="C592" s="14">
        <v>3</v>
      </c>
      <c r="D592" s="2">
        <v>174480</v>
      </c>
      <c r="E592" s="9">
        <v>30707135596</v>
      </c>
      <c r="F592" s="9" t="s">
        <v>17</v>
      </c>
      <c r="G592" s="10">
        <v>3706.9</v>
      </c>
      <c r="H592" s="10">
        <v>778.44899999999996</v>
      </c>
      <c r="I592" s="9"/>
      <c r="J592" s="10"/>
      <c r="K592" s="9"/>
      <c r="L592" s="9"/>
      <c r="M592" s="9"/>
      <c r="N592" s="10"/>
      <c r="O592" s="9"/>
      <c r="P592" s="10"/>
      <c r="Q592" s="10">
        <f t="shared" si="28"/>
        <v>4485.3490000000002</v>
      </c>
    </row>
    <row r="593" spans="1:17" x14ac:dyDescent="0.25">
      <c r="A593" s="6">
        <v>44906</v>
      </c>
      <c r="B593" s="1">
        <v>1</v>
      </c>
      <c r="C593" s="14">
        <v>2466</v>
      </c>
      <c r="D593" s="2">
        <v>447121</v>
      </c>
      <c r="E593" s="9">
        <v>30678814357</v>
      </c>
      <c r="F593" s="9" t="s">
        <v>20</v>
      </c>
      <c r="G593" s="10">
        <v>8262</v>
      </c>
      <c r="H593" s="10"/>
      <c r="I593" s="9">
        <v>2230.7399999999998</v>
      </c>
      <c r="J593" s="10"/>
      <c r="K593" s="9"/>
      <c r="L593" s="9"/>
      <c r="M593" s="9">
        <v>247.86</v>
      </c>
      <c r="N593" s="10"/>
      <c r="O593" s="9"/>
      <c r="P593" s="10">
        <v>147.79</v>
      </c>
      <c r="Q593" s="10">
        <f t="shared" si="28"/>
        <v>10888.390000000001</v>
      </c>
    </row>
    <row r="594" spans="1:17" x14ac:dyDescent="0.25">
      <c r="A594" s="6">
        <v>44900</v>
      </c>
      <c r="B594" s="1">
        <v>1</v>
      </c>
      <c r="C594" s="14">
        <v>700</v>
      </c>
      <c r="D594" s="2">
        <v>461446</v>
      </c>
      <c r="E594" s="9">
        <v>30580111315</v>
      </c>
      <c r="F594" s="9" t="s">
        <v>21</v>
      </c>
      <c r="G594" s="10">
        <v>2359.125</v>
      </c>
      <c r="H594" s="10">
        <v>495.41624999999999</v>
      </c>
      <c r="I594" s="9"/>
      <c r="J594" s="10"/>
      <c r="K594" s="9"/>
      <c r="L594" s="9"/>
      <c r="M594" s="9"/>
      <c r="N594" s="10"/>
      <c r="O594" s="9"/>
      <c r="P594" s="10">
        <v>50857.492499999993</v>
      </c>
      <c r="Q594" s="10">
        <f t="shared" si="28"/>
        <v>53712.033749999995</v>
      </c>
    </row>
    <row r="595" spans="1:17" x14ac:dyDescent="0.25">
      <c r="A595" s="6">
        <v>44907</v>
      </c>
      <c r="B595" s="1">
        <v>1</v>
      </c>
      <c r="C595" s="14">
        <v>700</v>
      </c>
      <c r="D595" s="2">
        <v>463740</v>
      </c>
      <c r="E595" s="9">
        <v>30580111315</v>
      </c>
      <c r="F595" s="9" t="s">
        <v>21</v>
      </c>
      <c r="G595" s="10">
        <v>0</v>
      </c>
      <c r="H595" s="10">
        <v>0</v>
      </c>
      <c r="I595" s="9"/>
      <c r="J595" s="10"/>
      <c r="K595" s="9"/>
      <c r="L595" s="9"/>
      <c r="M595" s="9"/>
      <c r="N595" s="10"/>
      <c r="O595" s="9"/>
      <c r="P595" s="10">
        <v>27515.84</v>
      </c>
      <c r="Q595" s="10">
        <f t="shared" si="28"/>
        <v>27515.84</v>
      </c>
    </row>
    <row r="596" spans="1:17" x14ac:dyDescent="0.25">
      <c r="A596" s="6">
        <v>44914</v>
      </c>
      <c r="B596" s="1">
        <v>1</v>
      </c>
      <c r="C596" s="14">
        <v>700</v>
      </c>
      <c r="D596" s="2">
        <v>465857</v>
      </c>
      <c r="E596" s="9">
        <v>30580111315</v>
      </c>
      <c r="F596" s="9" t="s">
        <v>21</v>
      </c>
      <c r="G596" s="10">
        <v>2416.5</v>
      </c>
      <c r="H596" s="10">
        <v>507.46499999999997</v>
      </c>
      <c r="I596" s="9"/>
      <c r="J596" s="10"/>
      <c r="K596" s="9"/>
      <c r="L596" s="9"/>
      <c r="M596" s="9"/>
      <c r="N596" s="10"/>
      <c r="O596" s="9"/>
      <c r="P596" s="10">
        <v>69895.92</v>
      </c>
      <c r="Q596" s="10">
        <f t="shared" si="28"/>
        <v>72819.884999999995</v>
      </c>
    </row>
    <row r="597" spans="1:17" x14ac:dyDescent="0.25">
      <c r="A597" s="6">
        <v>44901</v>
      </c>
      <c r="B597" s="1">
        <v>1</v>
      </c>
      <c r="C597" s="14">
        <v>106</v>
      </c>
      <c r="D597" s="2">
        <v>588871</v>
      </c>
      <c r="E597" s="9">
        <v>30594494187</v>
      </c>
      <c r="F597" s="9" t="s">
        <v>45</v>
      </c>
      <c r="G597" s="10">
        <v>10455</v>
      </c>
      <c r="H597" s="10">
        <v>2195.5499999999997</v>
      </c>
      <c r="I597" s="9"/>
      <c r="J597" s="10"/>
      <c r="K597" s="9"/>
      <c r="L597" s="9"/>
      <c r="M597" s="9"/>
      <c r="N597" s="10"/>
      <c r="O597" s="9"/>
      <c r="P597" s="10">
        <v>62963.16</v>
      </c>
      <c r="Q597" s="10">
        <f t="shared" si="28"/>
        <v>75613.710000000006</v>
      </c>
    </row>
    <row r="598" spans="1:17" x14ac:dyDescent="0.25">
      <c r="A598" s="6">
        <v>44907</v>
      </c>
      <c r="B598" s="1">
        <v>1</v>
      </c>
      <c r="C598" s="14">
        <v>106</v>
      </c>
      <c r="D598" s="2">
        <v>589894</v>
      </c>
      <c r="E598" s="9">
        <v>30594494187</v>
      </c>
      <c r="F598" s="9" t="s">
        <v>45</v>
      </c>
      <c r="G598" s="10">
        <v>10560</v>
      </c>
      <c r="H598" s="10">
        <v>2217.6</v>
      </c>
      <c r="I598" s="9"/>
      <c r="J598" s="10"/>
      <c r="K598" s="9"/>
      <c r="L598" s="9"/>
      <c r="M598" s="9"/>
      <c r="N598" s="10"/>
      <c r="O598" s="9"/>
      <c r="P598" s="10">
        <v>63323.43</v>
      </c>
      <c r="Q598" s="10">
        <f t="shared" si="28"/>
        <v>76101.03</v>
      </c>
    </row>
    <row r="599" spans="1:17" x14ac:dyDescent="0.25">
      <c r="A599" s="6">
        <v>44911</v>
      </c>
      <c r="B599" s="1">
        <v>1</v>
      </c>
      <c r="C599" s="14">
        <v>106</v>
      </c>
      <c r="D599" s="2">
        <v>591820</v>
      </c>
      <c r="E599" s="9">
        <v>30594494187</v>
      </c>
      <c r="F599" s="9" t="s">
        <v>45</v>
      </c>
      <c r="G599" s="10">
        <v>0</v>
      </c>
      <c r="H599" s="10">
        <v>0</v>
      </c>
      <c r="I599" s="9"/>
      <c r="J599" s="10"/>
      <c r="K599" s="9"/>
      <c r="L599" s="9"/>
      <c r="M599" s="9"/>
      <c r="N599" s="10"/>
      <c r="O599" s="9"/>
      <c r="P599" s="10">
        <v>80787.31</v>
      </c>
      <c r="Q599" s="10">
        <f t="shared" si="28"/>
        <v>80787.31</v>
      </c>
    </row>
    <row r="600" spans="1:17" x14ac:dyDescent="0.25">
      <c r="A600" s="6">
        <v>44914</v>
      </c>
      <c r="B600" s="1">
        <v>1</v>
      </c>
      <c r="C600" s="14">
        <v>106</v>
      </c>
      <c r="D600" s="2">
        <v>592592</v>
      </c>
      <c r="E600" s="9">
        <v>30594494187</v>
      </c>
      <c r="F600" s="9" t="s">
        <v>45</v>
      </c>
      <c r="G600" s="10">
        <v>10710</v>
      </c>
      <c r="H600" s="10">
        <v>2249.1</v>
      </c>
      <c r="I600" s="9"/>
      <c r="J600" s="10"/>
      <c r="K600" s="9"/>
      <c r="L600" s="9"/>
      <c r="M600" s="9"/>
      <c r="N600" s="10"/>
      <c r="O600" s="9"/>
      <c r="P600" s="10">
        <v>64080.81</v>
      </c>
      <c r="Q600" s="10">
        <f t="shared" si="28"/>
        <v>77039.91</v>
      </c>
    </row>
    <row r="601" spans="1:17" x14ac:dyDescent="0.25">
      <c r="A601" s="6">
        <v>44918</v>
      </c>
      <c r="B601" s="1">
        <v>1</v>
      </c>
      <c r="C601" s="14">
        <v>3</v>
      </c>
      <c r="D601" s="2">
        <v>1214881</v>
      </c>
      <c r="E601" s="9">
        <v>30712019359</v>
      </c>
      <c r="F601" s="9" t="s">
        <v>23</v>
      </c>
      <c r="G601" s="10">
        <v>3304.96</v>
      </c>
      <c r="H601" s="10">
        <v>694.04160000000002</v>
      </c>
      <c r="I601" s="9"/>
      <c r="J601" s="10"/>
      <c r="K601" s="9"/>
      <c r="L601" s="9"/>
      <c r="M601" s="9"/>
      <c r="N601" s="10"/>
      <c r="O601" s="9"/>
      <c r="P601" s="10"/>
      <c r="Q601" s="10">
        <f t="shared" si="28"/>
        <v>3999.0016000000001</v>
      </c>
    </row>
    <row r="602" spans="1:17" x14ac:dyDescent="0.25">
      <c r="A602" s="6">
        <v>44898</v>
      </c>
      <c r="B602" s="1">
        <v>1</v>
      </c>
      <c r="C602" s="14">
        <v>280</v>
      </c>
      <c r="D602" s="2">
        <v>1403331</v>
      </c>
      <c r="E602" s="9">
        <v>30580111315</v>
      </c>
      <c r="F602" s="9" t="s">
        <v>21</v>
      </c>
      <c r="G602" s="10">
        <v>201430.65</v>
      </c>
      <c r="H602" s="10">
        <v>42300.436499999996</v>
      </c>
      <c r="I602" s="9"/>
      <c r="J602" s="10"/>
      <c r="K602" s="9"/>
      <c r="L602" s="9"/>
      <c r="M602" s="9"/>
      <c r="N602" s="10"/>
      <c r="O602" s="9"/>
      <c r="P602" s="10">
        <v>-165032.4</v>
      </c>
      <c r="Q602" s="10">
        <f t="shared" si="28"/>
        <v>78698.686499999982</v>
      </c>
    </row>
    <row r="603" spans="1:17" x14ac:dyDescent="0.25">
      <c r="A603" s="6">
        <v>44917</v>
      </c>
      <c r="B603" s="1">
        <v>99</v>
      </c>
      <c r="C603" s="14">
        <v>825</v>
      </c>
      <c r="D603" s="2">
        <v>839508</v>
      </c>
      <c r="E603" s="9" t="s">
        <v>108</v>
      </c>
      <c r="F603" s="9" t="s">
        <v>109</v>
      </c>
      <c r="G603" s="10">
        <v>13071</v>
      </c>
      <c r="H603" s="10">
        <v>2744.91</v>
      </c>
      <c r="I603" s="9"/>
      <c r="J603" s="10"/>
      <c r="K603" s="9"/>
      <c r="L603" s="9"/>
      <c r="M603" s="9">
        <v>392.13</v>
      </c>
      <c r="N603" s="10"/>
      <c r="O603" s="9"/>
      <c r="P603" s="10"/>
      <c r="Q603" s="10">
        <f t="shared" si="28"/>
        <v>16208.039999999999</v>
      </c>
    </row>
    <row r="604" spans="1:17" x14ac:dyDescent="0.25">
      <c r="A604" s="6">
        <v>44909</v>
      </c>
      <c r="B604" s="1">
        <v>99</v>
      </c>
      <c r="C604" s="14">
        <v>617</v>
      </c>
      <c r="D604" s="2">
        <v>500366</v>
      </c>
      <c r="E604" s="9" t="s">
        <v>108</v>
      </c>
      <c r="F604" s="9" t="s">
        <v>109</v>
      </c>
      <c r="G604" s="10">
        <v>19758.150000000001</v>
      </c>
      <c r="H604" s="10">
        <v>4149.21</v>
      </c>
      <c r="I604" s="9"/>
      <c r="J604" s="10"/>
      <c r="K604" s="9"/>
      <c r="L604" s="9"/>
      <c r="M604" s="9">
        <v>592.74</v>
      </c>
      <c r="N604" s="10"/>
      <c r="O604" s="9"/>
      <c r="P604" s="10"/>
      <c r="Q604" s="10">
        <f t="shared" si="28"/>
        <v>24500.100000000002</v>
      </c>
    </row>
    <row r="605" spans="1:17" x14ac:dyDescent="0.25">
      <c r="A605" s="6">
        <v>44902</v>
      </c>
      <c r="B605" s="1">
        <v>99</v>
      </c>
      <c r="C605" s="14">
        <v>825</v>
      </c>
      <c r="D605" s="2">
        <v>838413</v>
      </c>
      <c r="E605" s="9" t="s">
        <v>108</v>
      </c>
      <c r="F605" s="9" t="s">
        <v>109</v>
      </c>
      <c r="G605" s="10">
        <v>12711.75</v>
      </c>
      <c r="H605" s="10">
        <v>2669.47</v>
      </c>
      <c r="I605" s="9"/>
      <c r="J605" s="10"/>
      <c r="K605" s="9"/>
      <c r="L605" s="9"/>
      <c r="M605" s="9">
        <v>381.35</v>
      </c>
      <c r="N605" s="10"/>
      <c r="O605" s="9"/>
      <c r="P605" s="10"/>
      <c r="Q605" s="10">
        <f t="shared" si="28"/>
        <v>15762.57</v>
      </c>
    </row>
    <row r="606" spans="1:17" x14ac:dyDescent="0.25">
      <c r="A606" s="6">
        <v>45282</v>
      </c>
      <c r="B606" s="1">
        <v>99</v>
      </c>
      <c r="C606" s="14">
        <v>1</v>
      </c>
      <c r="D606" s="2">
        <v>442557966</v>
      </c>
      <c r="E606" s="9">
        <v>30583887039</v>
      </c>
      <c r="F606" s="9" t="s">
        <v>111</v>
      </c>
      <c r="G606" s="10">
        <v>609.5</v>
      </c>
      <c r="H606" s="10">
        <v>127.995</v>
      </c>
      <c r="I606" s="9"/>
      <c r="J606" s="10"/>
      <c r="K606" s="9"/>
      <c r="L606" s="9"/>
      <c r="M606" s="9"/>
      <c r="N606" s="10">
        <v>89</v>
      </c>
      <c r="O606" s="9"/>
      <c r="P606" s="10"/>
      <c r="Q606" s="10">
        <f t="shared" si="28"/>
        <v>826.495</v>
      </c>
    </row>
    <row r="607" spans="1:17" ht="16.5" thickBot="1" x14ac:dyDescent="0.3">
      <c r="A607" s="78" t="s">
        <v>26</v>
      </c>
      <c r="B607" s="78"/>
      <c r="C607" s="78"/>
      <c r="D607" s="78"/>
      <c r="E607" s="78"/>
      <c r="F607" s="79"/>
      <c r="G607" s="34">
        <f t="shared" ref="G607:Q607" si="29">SUM(G566:G606)</f>
        <v>4003688.7699999996</v>
      </c>
      <c r="H607" s="34">
        <f t="shared" si="29"/>
        <v>543843.28839999984</v>
      </c>
      <c r="I607" s="34">
        <f t="shared" si="29"/>
        <v>2230.7399999999998</v>
      </c>
      <c r="J607" s="34">
        <f t="shared" si="29"/>
        <v>147598.14000000001</v>
      </c>
      <c r="K607" s="34">
        <f t="shared" si="29"/>
        <v>0</v>
      </c>
      <c r="L607" s="34">
        <f t="shared" si="29"/>
        <v>0</v>
      </c>
      <c r="M607" s="34">
        <f t="shared" si="29"/>
        <v>1614.08</v>
      </c>
      <c r="N607" s="34">
        <f t="shared" si="29"/>
        <v>89</v>
      </c>
      <c r="O607" s="34">
        <f t="shared" si="29"/>
        <v>0</v>
      </c>
      <c r="P607" s="34">
        <f t="shared" si="29"/>
        <v>236831.95249999998</v>
      </c>
      <c r="Q607" s="34">
        <f t="shared" si="29"/>
        <v>4935895.9709000001</v>
      </c>
    </row>
    <row r="608" spans="1:17" ht="15.75" thickBot="1" x14ac:dyDescent="0.3">
      <c r="A608" s="30"/>
      <c r="B608" s="30"/>
      <c r="C608" s="30"/>
      <c r="D608" s="30"/>
      <c r="E608" s="30"/>
      <c r="F608" s="30"/>
      <c r="G608" s="30"/>
      <c r="H608" s="72">
        <f>SUM(H607:J607)</f>
        <v>693672.16839999985</v>
      </c>
      <c r="I608" s="73"/>
      <c r="J608" s="74"/>
      <c r="K608" s="30"/>
      <c r="L608" s="30"/>
      <c r="M608" s="30"/>
      <c r="N608" s="30"/>
      <c r="O608" s="30"/>
      <c r="P608" s="30"/>
      <c r="Q608" s="30"/>
    </row>
    <row r="609" ht="15.75" thickTop="1" x14ac:dyDescent="0.25"/>
  </sheetData>
  <mergeCells count="48">
    <mergeCell ref="A327:F327"/>
    <mergeCell ref="A83:F83"/>
    <mergeCell ref="A121:F121"/>
    <mergeCell ref="A53:F53"/>
    <mergeCell ref="O1:Q1"/>
    <mergeCell ref="H54:J54"/>
    <mergeCell ref="A56:E56"/>
    <mergeCell ref="O56:Q56"/>
    <mergeCell ref="H84:J84"/>
    <mergeCell ref="A1:E1"/>
    <mergeCell ref="O86:Q86"/>
    <mergeCell ref="H122:J122"/>
    <mergeCell ref="A124:E124"/>
    <mergeCell ref="O124:Q124"/>
    <mergeCell ref="A173:F173"/>
    <mergeCell ref="A86:E86"/>
    <mergeCell ref="H174:J174"/>
    <mergeCell ref="A197:E197"/>
    <mergeCell ref="O197:Q197"/>
    <mergeCell ref="A246:F246"/>
    <mergeCell ref="H247:J247"/>
    <mergeCell ref="O250:Q250"/>
    <mergeCell ref="A284:F284"/>
    <mergeCell ref="H285:J285"/>
    <mergeCell ref="A286:E286"/>
    <mergeCell ref="O286:Q286"/>
    <mergeCell ref="A250:E250"/>
    <mergeCell ref="H328:J328"/>
    <mergeCell ref="A329:E329"/>
    <mergeCell ref="O329:Q329"/>
    <mergeCell ref="A378:F378"/>
    <mergeCell ref="H379:J379"/>
    <mergeCell ref="A381:E381"/>
    <mergeCell ref="O381:Q381"/>
    <mergeCell ref="A416:F416"/>
    <mergeCell ref="H417:J417"/>
    <mergeCell ref="A419:E419"/>
    <mergeCell ref="O419:Q419"/>
    <mergeCell ref="A462:F462"/>
    <mergeCell ref="H463:J463"/>
    <mergeCell ref="A465:E465"/>
    <mergeCell ref="O465:Q465"/>
    <mergeCell ref="A533:F533"/>
    <mergeCell ref="H534:J534"/>
    <mergeCell ref="A564:E564"/>
    <mergeCell ref="O564:Q564"/>
    <mergeCell ref="A607:F607"/>
    <mergeCell ref="H608:J608"/>
  </mergeCells>
  <phoneticPr fontId="13" type="noConversion"/>
  <pageMargins left="0.7" right="0.7" top="0.75" bottom="0.75" header="0.3" footer="0.3"/>
  <pageSetup paperSize="5" scale="3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52"/>
  <sheetViews>
    <sheetView tabSelected="1" zoomScaleNormal="100" workbookViewId="0">
      <selection activeCell="O7" sqref="O7"/>
    </sheetView>
  </sheetViews>
  <sheetFormatPr baseColWidth="10" defaultRowHeight="15" x14ac:dyDescent="0.25"/>
  <cols>
    <col min="1" max="1" width="10.7109375" customWidth="1"/>
    <col min="2" max="2" width="10.42578125" style="31" customWidth="1"/>
    <col min="3" max="3" width="12" bestFit="1" customWidth="1"/>
    <col min="4" max="4" width="14" bestFit="1" customWidth="1"/>
    <col min="5" max="5" width="15.28515625" bestFit="1" customWidth="1"/>
    <col min="6" max="6" width="13.28515625" bestFit="1" customWidth="1"/>
    <col min="7" max="7" width="23.7109375" bestFit="1" customWidth="1"/>
    <col min="8" max="8" width="21.85546875" bestFit="1" customWidth="1"/>
    <col min="9" max="9" width="12.28515625" bestFit="1" customWidth="1"/>
    <col min="10" max="10" width="12.7109375" bestFit="1" customWidth="1"/>
    <col min="11" max="11" width="14.42578125" customWidth="1"/>
    <col min="12" max="12" width="12.7109375" bestFit="1" customWidth="1"/>
  </cols>
  <sheetData>
    <row r="1" spans="1:11" s="30" customFormat="1" ht="24" thickBot="1" x14ac:dyDescent="0.4">
      <c r="A1" s="82" t="s">
        <v>114</v>
      </c>
      <c r="B1" s="82"/>
      <c r="C1" s="82"/>
      <c r="D1" s="82"/>
      <c r="E1" s="82"/>
      <c r="J1" s="83">
        <v>44562</v>
      </c>
      <c r="K1" s="83"/>
    </row>
    <row r="2" spans="1:11" s="31" customFormat="1" ht="15.75" thickBot="1" x14ac:dyDescent="0.3">
      <c r="A2" s="3" t="s">
        <v>0</v>
      </c>
      <c r="B2" s="4" t="s">
        <v>1</v>
      </c>
      <c r="C2" s="4" t="s">
        <v>2</v>
      </c>
      <c r="D2" s="4" t="s">
        <v>54</v>
      </c>
      <c r="E2" s="4" t="s">
        <v>34</v>
      </c>
      <c r="F2" s="4" t="s">
        <v>4</v>
      </c>
      <c r="G2" s="5" t="s">
        <v>5</v>
      </c>
      <c r="H2" s="4" t="s">
        <v>29</v>
      </c>
      <c r="I2" s="4" t="s">
        <v>28</v>
      </c>
      <c r="J2" s="4" t="s">
        <v>9</v>
      </c>
      <c r="K2" s="4" t="s">
        <v>15</v>
      </c>
    </row>
    <row r="3" spans="1:11" s="18" customFormat="1" ht="12.75" x14ac:dyDescent="0.2">
      <c r="A3" s="17">
        <v>44564</v>
      </c>
      <c r="B3" s="13">
        <v>1</v>
      </c>
      <c r="C3" s="13">
        <v>3</v>
      </c>
      <c r="D3" s="11">
        <v>45</v>
      </c>
      <c r="E3" s="11">
        <v>80</v>
      </c>
      <c r="F3" s="7">
        <v>30516938133</v>
      </c>
      <c r="G3" s="7" t="s">
        <v>53</v>
      </c>
      <c r="H3" s="8">
        <v>43653.599999999999</v>
      </c>
      <c r="I3" s="8">
        <v>9167.2559999999994</v>
      </c>
      <c r="J3" s="8"/>
      <c r="K3" s="8">
        <f>SUM(H3:J3)</f>
        <v>52820.856</v>
      </c>
    </row>
    <row r="4" spans="1:11" s="18" customFormat="1" ht="12.75" x14ac:dyDescent="0.2">
      <c r="A4" s="19">
        <v>44572</v>
      </c>
      <c r="B4" s="14">
        <v>1</v>
      </c>
      <c r="C4" s="14">
        <v>3</v>
      </c>
      <c r="D4" s="12">
        <v>46</v>
      </c>
      <c r="E4" s="12">
        <v>80</v>
      </c>
      <c r="F4" s="9">
        <v>30716041596</v>
      </c>
      <c r="G4" s="9" t="s">
        <v>43</v>
      </c>
      <c r="H4" s="10">
        <v>124272</v>
      </c>
      <c r="I4" s="10">
        <v>26097.119999999999</v>
      </c>
      <c r="J4" s="10"/>
      <c r="K4" s="8">
        <f t="shared" ref="K4:K6" si="0">SUM(H4:J4)</f>
        <v>150369.12</v>
      </c>
    </row>
    <row r="5" spans="1:11" s="18" customFormat="1" ht="12.75" x14ac:dyDescent="0.2">
      <c r="A5" s="19">
        <v>44579</v>
      </c>
      <c r="B5" s="14">
        <v>1</v>
      </c>
      <c r="C5" s="14">
        <v>3</v>
      </c>
      <c r="D5" s="12">
        <v>47</v>
      </c>
      <c r="E5" s="12">
        <v>80</v>
      </c>
      <c r="F5" s="9">
        <v>30708326085</v>
      </c>
      <c r="G5" s="9" t="s">
        <v>93</v>
      </c>
      <c r="H5" s="10">
        <v>1396919.7</v>
      </c>
      <c r="I5" s="10"/>
      <c r="J5" s="10">
        <v>146676.56849999999</v>
      </c>
      <c r="K5" s="8">
        <f t="shared" si="0"/>
        <v>1543596.2685</v>
      </c>
    </row>
    <row r="6" spans="1:11" s="18" customFormat="1" ht="13.5" thickBot="1" x14ac:dyDescent="0.25">
      <c r="A6" s="19">
        <v>44589</v>
      </c>
      <c r="B6" s="14">
        <v>1</v>
      </c>
      <c r="C6" s="14">
        <v>3</v>
      </c>
      <c r="D6" s="12">
        <v>48</v>
      </c>
      <c r="E6" s="12">
        <v>80</v>
      </c>
      <c r="F6" s="9">
        <v>30516938133</v>
      </c>
      <c r="G6" s="9" t="s">
        <v>53</v>
      </c>
      <c r="H6" s="10">
        <v>22513.05</v>
      </c>
      <c r="I6" s="10">
        <v>4727.7404999999999</v>
      </c>
      <c r="J6" s="10"/>
      <c r="K6" s="8">
        <f t="shared" si="0"/>
        <v>27240.790499999999</v>
      </c>
    </row>
    <row r="7" spans="1:11" s="30" customFormat="1" ht="15.75" thickBot="1" x14ac:dyDescent="0.3">
      <c r="A7" s="91" t="s">
        <v>33</v>
      </c>
      <c r="B7" s="92"/>
      <c r="C7" s="92"/>
      <c r="D7" s="92"/>
      <c r="E7" s="92"/>
      <c r="F7" s="92"/>
      <c r="G7" s="93"/>
      <c r="H7" s="15">
        <f>SUM(H3:H6)</f>
        <v>1587358.35</v>
      </c>
      <c r="I7" s="20">
        <f>SUM(I3:I6)</f>
        <v>39992.116499999996</v>
      </c>
      <c r="J7" s="16">
        <f>SUM(J3:J6)</f>
        <v>146676.56849999999</v>
      </c>
      <c r="K7" s="20">
        <f>SUM(K3:K6)</f>
        <v>1774027.0349999999</v>
      </c>
    </row>
    <row r="8" spans="1:11" ht="15.75" thickBot="1" x14ac:dyDescent="0.3">
      <c r="I8" s="80">
        <f>SUM(I7:J7)</f>
        <v>186668.685</v>
      </c>
      <c r="J8" s="81"/>
    </row>
    <row r="9" spans="1:11" s="30" customFormat="1" ht="24" thickBot="1" x14ac:dyDescent="0.4">
      <c r="A9" s="82" t="s">
        <v>114</v>
      </c>
      <c r="B9" s="82"/>
      <c r="C9" s="82"/>
      <c r="D9" s="82"/>
      <c r="J9" s="83">
        <v>44593</v>
      </c>
      <c r="K9" s="83"/>
    </row>
    <row r="10" spans="1:11" s="31" customFormat="1" ht="15.75" thickBot="1" x14ac:dyDescent="0.3">
      <c r="A10" s="3" t="s">
        <v>0</v>
      </c>
      <c r="B10" s="4" t="s">
        <v>1</v>
      </c>
      <c r="C10" s="4" t="s">
        <v>2</v>
      </c>
      <c r="D10" s="4" t="s">
        <v>54</v>
      </c>
      <c r="E10" s="4" t="s">
        <v>34</v>
      </c>
      <c r="F10" s="4" t="s">
        <v>4</v>
      </c>
      <c r="G10" s="5" t="s">
        <v>5</v>
      </c>
      <c r="H10" s="4" t="s">
        <v>29</v>
      </c>
      <c r="I10" s="4" t="s">
        <v>28</v>
      </c>
      <c r="J10" s="4" t="s">
        <v>9</v>
      </c>
      <c r="K10" s="4" t="s">
        <v>15</v>
      </c>
    </row>
    <row r="11" spans="1:11" s="18" customFormat="1" ht="12.75" x14ac:dyDescent="0.2">
      <c r="A11" s="17">
        <v>44594</v>
      </c>
      <c r="B11" s="13">
        <v>1</v>
      </c>
      <c r="C11" s="13">
        <v>3</v>
      </c>
      <c r="D11" s="11">
        <v>49</v>
      </c>
      <c r="E11" s="11">
        <v>80</v>
      </c>
      <c r="F11" s="7" t="s">
        <v>30</v>
      </c>
      <c r="G11" s="7" t="s">
        <v>31</v>
      </c>
      <c r="H11" s="8">
        <v>8490500.3499999996</v>
      </c>
      <c r="I11" s="8">
        <v>83215.09</v>
      </c>
      <c r="J11" s="8">
        <v>849895.2</v>
      </c>
      <c r="K11" s="8">
        <v>9423610.6500000004</v>
      </c>
    </row>
    <row r="12" spans="1:11" s="18" customFormat="1" ht="13.5" thickBot="1" x14ac:dyDescent="0.25">
      <c r="A12" s="19">
        <v>44617</v>
      </c>
      <c r="B12" s="14">
        <v>1</v>
      </c>
      <c r="C12" s="14">
        <v>3</v>
      </c>
      <c r="D12" s="12">
        <v>50</v>
      </c>
      <c r="E12" s="12">
        <v>80</v>
      </c>
      <c r="F12" s="9" t="s">
        <v>30</v>
      </c>
      <c r="G12" s="9" t="s">
        <v>31</v>
      </c>
      <c r="H12" s="10">
        <v>730184</v>
      </c>
      <c r="I12" s="10">
        <v>153338.64000000001</v>
      </c>
      <c r="J12" s="10"/>
      <c r="K12" s="10">
        <v>883522.64</v>
      </c>
    </row>
    <row r="13" spans="1:11" s="30" customFormat="1" ht="15.75" thickBot="1" x14ac:dyDescent="0.3">
      <c r="A13" s="91" t="s">
        <v>33</v>
      </c>
      <c r="B13" s="92"/>
      <c r="C13" s="92"/>
      <c r="D13" s="92"/>
      <c r="E13" s="92"/>
      <c r="F13" s="92"/>
      <c r="G13" s="93"/>
      <c r="H13" s="15">
        <f>SUM(H11:H12)</f>
        <v>9220684.3499999996</v>
      </c>
      <c r="I13" s="20">
        <f>SUM(I11:I12)</f>
        <v>236553.73</v>
      </c>
      <c r="J13" s="16">
        <f>SUM(J11:J12)</f>
        <v>849895.2</v>
      </c>
      <c r="K13" s="20">
        <f>SUM(K11:K12)</f>
        <v>10307133.290000001</v>
      </c>
    </row>
    <row r="14" spans="1:11" ht="15.75" thickBot="1" x14ac:dyDescent="0.3">
      <c r="I14" s="80">
        <f>SUM(I13:J13)</f>
        <v>1086448.93</v>
      </c>
      <c r="J14" s="81"/>
    </row>
    <row r="15" spans="1:11" ht="24" thickBot="1" x14ac:dyDescent="0.4">
      <c r="A15" s="82" t="s">
        <v>114</v>
      </c>
      <c r="B15" s="82"/>
      <c r="C15" s="82"/>
      <c r="D15" s="82"/>
      <c r="E15" s="30"/>
      <c r="F15" s="30"/>
      <c r="G15" s="30"/>
      <c r="H15" s="30"/>
      <c r="I15" s="30"/>
      <c r="J15" s="83">
        <v>44621</v>
      </c>
      <c r="K15" s="83"/>
    </row>
    <row r="16" spans="1:11" ht="15.75" thickBot="1" x14ac:dyDescent="0.3">
      <c r="A16" s="3" t="s">
        <v>0</v>
      </c>
      <c r="B16" s="4" t="s">
        <v>1</v>
      </c>
      <c r="C16" s="4" t="s">
        <v>2</v>
      </c>
      <c r="D16" s="4" t="s">
        <v>54</v>
      </c>
      <c r="E16" s="4" t="s">
        <v>34</v>
      </c>
      <c r="F16" s="4" t="s">
        <v>4</v>
      </c>
      <c r="G16" s="5" t="s">
        <v>5</v>
      </c>
      <c r="H16" s="4" t="s">
        <v>29</v>
      </c>
      <c r="I16" s="4" t="s">
        <v>28</v>
      </c>
      <c r="J16" s="4" t="s">
        <v>9</v>
      </c>
      <c r="K16" s="4" t="s">
        <v>15</v>
      </c>
    </row>
    <row r="17" spans="1:11" x14ac:dyDescent="0.25">
      <c r="A17" s="17">
        <v>44622</v>
      </c>
      <c r="B17" s="13">
        <v>1</v>
      </c>
      <c r="C17" s="13">
        <v>3</v>
      </c>
      <c r="D17" s="11">
        <v>51</v>
      </c>
      <c r="E17" s="11">
        <v>80</v>
      </c>
      <c r="F17" s="7">
        <v>30628274327</v>
      </c>
      <c r="G17" s="7" t="s">
        <v>32</v>
      </c>
      <c r="H17" s="8">
        <v>6095043.2300000004</v>
      </c>
      <c r="I17" s="8"/>
      <c r="J17" s="8">
        <v>639979.53915000008</v>
      </c>
      <c r="K17" s="8">
        <f>SUM(H17:J17)</f>
        <v>6735022.7691500001</v>
      </c>
    </row>
    <row r="18" spans="1:11" x14ac:dyDescent="0.25">
      <c r="A18" s="19">
        <v>44623</v>
      </c>
      <c r="B18" s="14">
        <v>1</v>
      </c>
      <c r="C18" s="14">
        <v>3</v>
      </c>
      <c r="D18" s="12">
        <v>51</v>
      </c>
      <c r="E18" s="12">
        <v>80</v>
      </c>
      <c r="F18" s="9">
        <v>33717088269</v>
      </c>
      <c r="G18" s="9" t="s">
        <v>115</v>
      </c>
      <c r="H18" s="10">
        <v>793285.5</v>
      </c>
      <c r="I18" s="10">
        <v>166589.95499999999</v>
      </c>
      <c r="J18" s="10"/>
      <c r="K18" s="8">
        <f t="shared" ref="K18:K21" si="1">SUM(H18:J18)</f>
        <v>959875.45499999996</v>
      </c>
    </row>
    <row r="19" spans="1:11" s="30" customFormat="1" x14ac:dyDescent="0.25">
      <c r="A19" s="19">
        <v>44624</v>
      </c>
      <c r="B19" s="14">
        <v>1</v>
      </c>
      <c r="C19" s="14">
        <v>3</v>
      </c>
      <c r="D19" s="12">
        <v>51</v>
      </c>
      <c r="E19" s="12">
        <v>80</v>
      </c>
      <c r="F19" s="9">
        <v>30638318470</v>
      </c>
      <c r="G19" s="9" t="s">
        <v>31</v>
      </c>
      <c r="H19" s="10">
        <v>251623.48</v>
      </c>
      <c r="I19" s="10">
        <v>52840.930800000002</v>
      </c>
      <c r="J19" s="10"/>
      <c r="K19" s="8">
        <f t="shared" si="1"/>
        <v>304464.41080000001</v>
      </c>
    </row>
    <row r="20" spans="1:11" s="30" customFormat="1" x14ac:dyDescent="0.25">
      <c r="A20" s="19">
        <v>44643</v>
      </c>
      <c r="B20" s="14">
        <v>1</v>
      </c>
      <c r="C20" s="14">
        <v>3</v>
      </c>
      <c r="D20" s="12">
        <v>51</v>
      </c>
      <c r="E20" s="12">
        <v>80</v>
      </c>
      <c r="F20" s="9">
        <v>30628274327</v>
      </c>
      <c r="G20" s="9" t="s">
        <v>32</v>
      </c>
      <c r="H20" s="10">
        <v>42419.3</v>
      </c>
      <c r="I20" s="10">
        <v>8908.0529999999999</v>
      </c>
      <c r="J20" s="10"/>
      <c r="K20" s="8">
        <f t="shared" si="1"/>
        <v>51327.353000000003</v>
      </c>
    </row>
    <row r="21" spans="1:11" s="30" customFormat="1" x14ac:dyDescent="0.25">
      <c r="A21" s="19">
        <v>44649</v>
      </c>
      <c r="B21" s="14">
        <v>1</v>
      </c>
      <c r="C21" s="14">
        <v>3</v>
      </c>
      <c r="D21" s="12">
        <v>51</v>
      </c>
      <c r="E21" s="12">
        <v>80</v>
      </c>
      <c r="F21" s="9">
        <v>30638318470</v>
      </c>
      <c r="G21" s="9" t="s">
        <v>31</v>
      </c>
      <c r="H21" s="10">
        <v>148191.67000000001</v>
      </c>
      <c r="I21" s="10">
        <v>1718.11</v>
      </c>
      <c r="J21" s="10">
        <v>14701.07</v>
      </c>
      <c r="K21" s="8">
        <f t="shared" si="1"/>
        <v>164610.85</v>
      </c>
    </row>
    <row r="22" spans="1:11" ht="15.75" thickBot="1" x14ac:dyDescent="0.3">
      <c r="A22" s="88" t="s">
        <v>33</v>
      </c>
      <c r="B22" s="89"/>
      <c r="C22" s="89"/>
      <c r="D22" s="89"/>
      <c r="E22" s="89"/>
      <c r="F22" s="89"/>
      <c r="G22" s="90"/>
      <c r="H22" s="40">
        <f>SUM(H17:H21)</f>
        <v>7330563.1800000006</v>
      </c>
      <c r="I22" s="40">
        <f t="shared" ref="I22:K22" si="2">SUM(I17:I21)</f>
        <v>230057.04879999999</v>
      </c>
      <c r="J22" s="40">
        <f t="shared" si="2"/>
        <v>654680.60915000003</v>
      </c>
      <c r="K22" s="40">
        <f t="shared" si="2"/>
        <v>8215300.8379499996</v>
      </c>
    </row>
    <row r="23" spans="1:11" ht="15.75" thickBot="1" x14ac:dyDescent="0.3">
      <c r="A23" s="30"/>
      <c r="C23" s="30"/>
      <c r="D23" s="30"/>
      <c r="E23" s="30"/>
      <c r="F23" s="30"/>
      <c r="G23" s="30"/>
      <c r="H23" s="30"/>
      <c r="I23" s="80">
        <f>SUM(I22:J22)</f>
        <v>884737.65795000002</v>
      </c>
      <c r="J23" s="81"/>
      <c r="K23" s="30"/>
    </row>
    <row r="24" spans="1:11" ht="24" thickBot="1" x14ac:dyDescent="0.4">
      <c r="A24" s="82" t="s">
        <v>114</v>
      </c>
      <c r="B24" s="82"/>
      <c r="C24" s="82"/>
      <c r="D24" s="82"/>
      <c r="E24" s="30"/>
      <c r="F24" s="30"/>
      <c r="G24" s="30"/>
      <c r="H24" s="30"/>
      <c r="I24" s="30"/>
      <c r="J24" s="83">
        <v>44652</v>
      </c>
      <c r="K24" s="83"/>
    </row>
    <row r="25" spans="1:11" ht="15.75" thickBot="1" x14ac:dyDescent="0.3">
      <c r="A25" s="3" t="s">
        <v>0</v>
      </c>
      <c r="B25" s="4" t="s">
        <v>1</v>
      </c>
      <c r="C25" s="4" t="s">
        <v>2</v>
      </c>
      <c r="D25" s="4" t="s">
        <v>54</v>
      </c>
      <c r="E25" s="4" t="s">
        <v>34</v>
      </c>
      <c r="F25" s="4" t="s">
        <v>4</v>
      </c>
      <c r="G25" s="5" t="s">
        <v>5</v>
      </c>
      <c r="H25" s="4" t="s">
        <v>29</v>
      </c>
      <c r="I25" s="4" t="s">
        <v>28</v>
      </c>
      <c r="J25" s="4" t="s">
        <v>9</v>
      </c>
      <c r="K25" s="4" t="s">
        <v>15</v>
      </c>
    </row>
    <row r="26" spans="1:11" x14ac:dyDescent="0.25">
      <c r="A26" s="17">
        <v>44655</v>
      </c>
      <c r="B26" s="13">
        <v>1</v>
      </c>
      <c r="C26" s="13">
        <v>3</v>
      </c>
      <c r="D26" s="11">
        <v>56</v>
      </c>
      <c r="E26" s="11">
        <v>80</v>
      </c>
      <c r="F26" s="7">
        <v>30638318470</v>
      </c>
      <c r="G26" s="7" t="s">
        <v>31</v>
      </c>
      <c r="H26" s="8">
        <v>10937798.421</v>
      </c>
      <c r="I26" s="8">
        <v>492850.43369999999</v>
      </c>
      <c r="J26" s="8">
        <v>902043.45</v>
      </c>
      <c r="K26" s="8">
        <f>SUM(H26:J26)</f>
        <v>12332692.3047</v>
      </c>
    </row>
    <row r="27" spans="1:11" x14ac:dyDescent="0.25">
      <c r="A27" s="19">
        <v>44670</v>
      </c>
      <c r="B27" s="14">
        <v>1</v>
      </c>
      <c r="C27" s="14">
        <v>3</v>
      </c>
      <c r="D27" s="12">
        <v>58</v>
      </c>
      <c r="E27" s="11">
        <v>80</v>
      </c>
      <c r="F27" s="9">
        <v>30708844248</v>
      </c>
      <c r="G27" s="9" t="s">
        <v>74</v>
      </c>
      <c r="H27" s="10">
        <v>35907.08</v>
      </c>
      <c r="I27" s="10">
        <v>7540.4867999999997</v>
      </c>
      <c r="J27" s="10"/>
      <c r="K27" s="8">
        <f t="shared" ref="K27:K29" si="3">SUM(H27:J27)</f>
        <v>43447.566800000001</v>
      </c>
    </row>
    <row r="28" spans="1:11" x14ac:dyDescent="0.25">
      <c r="A28" s="19">
        <v>44670</v>
      </c>
      <c r="B28" s="14">
        <v>1</v>
      </c>
      <c r="C28" s="14">
        <v>3</v>
      </c>
      <c r="D28" s="12">
        <v>59</v>
      </c>
      <c r="E28" s="11">
        <v>80</v>
      </c>
      <c r="F28" s="9">
        <v>30716041596</v>
      </c>
      <c r="G28" s="9" t="s">
        <v>43</v>
      </c>
      <c r="H28" s="10">
        <v>299983.2</v>
      </c>
      <c r="I28" s="10">
        <v>62996.472000000002</v>
      </c>
      <c r="J28" s="10"/>
      <c r="K28" s="8">
        <f t="shared" si="3"/>
        <v>362979.67200000002</v>
      </c>
    </row>
    <row r="29" spans="1:11" x14ac:dyDescent="0.25">
      <c r="A29" s="19">
        <v>44670</v>
      </c>
      <c r="B29" s="14">
        <v>1</v>
      </c>
      <c r="C29" s="14">
        <v>3</v>
      </c>
      <c r="D29" s="12">
        <v>57</v>
      </c>
      <c r="E29" s="11">
        <v>80</v>
      </c>
      <c r="F29" s="9">
        <v>30628274327</v>
      </c>
      <c r="G29" s="9" t="s">
        <v>128</v>
      </c>
      <c r="H29" s="10">
        <v>1015852.2</v>
      </c>
      <c r="I29" s="10"/>
      <c r="J29" s="10">
        <v>106664.48099999999</v>
      </c>
      <c r="K29" s="8">
        <f t="shared" si="3"/>
        <v>1122516.6809999999</v>
      </c>
    </row>
    <row r="30" spans="1:11" ht="15.75" thickBot="1" x14ac:dyDescent="0.3">
      <c r="A30" s="88" t="s">
        <v>33</v>
      </c>
      <c r="B30" s="89"/>
      <c r="C30" s="89"/>
      <c r="D30" s="89"/>
      <c r="E30" s="89"/>
      <c r="F30" s="89"/>
      <c r="G30" s="90"/>
      <c r="H30" s="40">
        <f>SUM(H26:H29)</f>
        <v>12289540.900999999</v>
      </c>
      <c r="I30" s="40">
        <f>SUM(I26:I29)</f>
        <v>563387.39249999996</v>
      </c>
      <c r="J30" s="40">
        <f>SUM(J26:J29)</f>
        <v>1008707.931</v>
      </c>
      <c r="K30" s="40">
        <f>SUM(K26:K29)</f>
        <v>13861636.2245</v>
      </c>
    </row>
    <row r="31" spans="1:11" ht="15.75" thickBot="1" x14ac:dyDescent="0.3">
      <c r="A31" s="30"/>
      <c r="C31" s="30"/>
      <c r="D31" s="30"/>
      <c r="E31" s="30"/>
      <c r="F31" s="30"/>
      <c r="G31" s="30"/>
      <c r="H31" s="30"/>
      <c r="I31" s="80">
        <f>SUM(I30:J30)</f>
        <v>1572095.3234999999</v>
      </c>
      <c r="J31" s="81"/>
      <c r="K31" s="30"/>
    </row>
    <row r="32" spans="1:11" ht="18.75" customHeight="1" x14ac:dyDescent="0.25">
      <c r="A32" s="87" t="s">
        <v>129</v>
      </c>
      <c r="B32" s="87"/>
    </row>
    <row r="33" spans="1:11" ht="15.75" thickBot="1" x14ac:dyDescent="0.3">
      <c r="A33" s="41" t="s">
        <v>0</v>
      </c>
      <c r="B33" s="42" t="s">
        <v>130</v>
      </c>
      <c r="C33" s="42" t="s">
        <v>4</v>
      </c>
      <c r="D33" s="42" t="s">
        <v>5</v>
      </c>
      <c r="E33" s="42" t="s">
        <v>131</v>
      </c>
      <c r="F33" s="42" t="s">
        <v>132</v>
      </c>
      <c r="G33" s="43" t="s">
        <v>44</v>
      </c>
      <c r="H33" s="43" t="s">
        <v>15</v>
      </c>
    </row>
    <row r="34" spans="1:11" x14ac:dyDescent="0.25">
      <c r="A34" s="17">
        <v>44662</v>
      </c>
      <c r="B34" s="13">
        <v>45</v>
      </c>
      <c r="C34" s="13"/>
      <c r="D34" s="11"/>
      <c r="E34" s="48">
        <v>24122.52</v>
      </c>
      <c r="F34" s="7"/>
      <c r="G34" s="7">
        <v>112.16</v>
      </c>
      <c r="H34" s="32">
        <f>Table_7[[#This Row],[USD]]*Table_7[[#This Row],[T. CAMBIO]]</f>
        <v>2705581.8432</v>
      </c>
    </row>
    <row r="35" spans="1:11" ht="15.75" thickBot="1" x14ac:dyDescent="0.3">
      <c r="A35" s="46"/>
      <c r="B35" s="47" t="s">
        <v>15</v>
      </c>
      <c r="C35" s="45"/>
      <c r="D35" s="44"/>
      <c r="E35" s="40">
        <f>SUBTOTAL(109,E34:E34)</f>
        <v>24122.52</v>
      </c>
      <c r="F35" s="40">
        <f>SUBTOTAL(109,F34:F34)</f>
        <v>0</v>
      </c>
      <c r="G35" s="40">
        <f>SUBTOTAL(109,G34:G34)</f>
        <v>112.16</v>
      </c>
      <c r="H35" s="40">
        <f>Table_7[[#This Row],[USD]]*Table_7[[#This Row],[T. CAMBIO]]</f>
        <v>2705581.8432</v>
      </c>
    </row>
    <row r="36" spans="1:11" ht="24" thickBot="1" x14ac:dyDescent="0.4">
      <c r="A36" s="82" t="s">
        <v>114</v>
      </c>
      <c r="B36" s="82"/>
      <c r="C36" s="82"/>
      <c r="D36" s="82"/>
      <c r="E36" s="30"/>
      <c r="F36" s="30"/>
      <c r="G36" s="30"/>
      <c r="H36" s="30"/>
      <c r="I36" s="30"/>
      <c r="J36" s="83">
        <v>44682</v>
      </c>
      <c r="K36" s="83"/>
    </row>
    <row r="37" spans="1:11" ht="15.75" thickBot="1" x14ac:dyDescent="0.3">
      <c r="A37" s="3" t="s">
        <v>0</v>
      </c>
      <c r="B37" s="4" t="s">
        <v>1</v>
      </c>
      <c r="C37" s="4" t="s">
        <v>2</v>
      </c>
      <c r="D37" s="4" t="s">
        <v>54</v>
      </c>
      <c r="E37" s="4" t="s">
        <v>34</v>
      </c>
      <c r="F37" s="4" t="s">
        <v>4</v>
      </c>
      <c r="G37" s="5" t="s">
        <v>5</v>
      </c>
      <c r="H37" s="4" t="s">
        <v>29</v>
      </c>
      <c r="I37" s="4" t="s">
        <v>28</v>
      </c>
      <c r="J37" s="4" t="s">
        <v>9</v>
      </c>
      <c r="K37" s="4" t="s">
        <v>15</v>
      </c>
    </row>
    <row r="38" spans="1:11" x14ac:dyDescent="0.25">
      <c r="A38" s="17">
        <v>44687</v>
      </c>
      <c r="B38" s="13">
        <v>1</v>
      </c>
      <c r="C38" s="13">
        <v>3</v>
      </c>
      <c r="D38" s="11">
        <v>60</v>
      </c>
      <c r="E38" s="11">
        <v>80</v>
      </c>
      <c r="F38" s="7">
        <v>30638318470</v>
      </c>
      <c r="G38" s="7" t="s">
        <v>31</v>
      </c>
      <c r="H38" s="8">
        <v>6322056.3700000001</v>
      </c>
      <c r="I38" s="8">
        <v>124603.82</v>
      </c>
      <c r="J38" s="8">
        <v>601514.06700000004</v>
      </c>
      <c r="K38" s="8">
        <f>SUM(H38:J38)</f>
        <v>7048174.2570000002</v>
      </c>
    </row>
    <row r="39" spans="1:11" x14ac:dyDescent="0.25">
      <c r="A39" s="19">
        <v>44694</v>
      </c>
      <c r="B39" s="14">
        <v>1</v>
      </c>
      <c r="C39" s="14">
        <v>3</v>
      </c>
      <c r="D39" s="12">
        <v>61</v>
      </c>
      <c r="E39" s="11">
        <v>80</v>
      </c>
      <c r="F39" s="9">
        <v>30708984716</v>
      </c>
      <c r="G39" s="9" t="s">
        <v>75</v>
      </c>
      <c r="H39" s="10">
        <v>38500</v>
      </c>
      <c r="I39" s="10">
        <v>8085</v>
      </c>
      <c r="J39" s="10"/>
      <c r="K39" s="8">
        <f t="shared" ref="K39:K41" si="4">SUM(H39:J39)</f>
        <v>46585</v>
      </c>
    </row>
    <row r="40" spans="1:11" x14ac:dyDescent="0.25">
      <c r="A40" s="19">
        <v>44700</v>
      </c>
      <c r="B40" s="14">
        <v>3</v>
      </c>
      <c r="C40" s="14">
        <v>3</v>
      </c>
      <c r="D40" s="12">
        <v>11</v>
      </c>
      <c r="E40" s="11">
        <v>80</v>
      </c>
      <c r="F40" s="9">
        <v>30628274327</v>
      </c>
      <c r="G40" s="9" t="s">
        <v>128</v>
      </c>
      <c r="H40" s="10">
        <v>-1015852.2</v>
      </c>
      <c r="I40" s="10"/>
      <c r="J40" s="10">
        <v>-106664.48099999999</v>
      </c>
      <c r="K40" s="8">
        <f t="shared" si="4"/>
        <v>-1122516.6809999999</v>
      </c>
    </row>
    <row r="41" spans="1:11" x14ac:dyDescent="0.25">
      <c r="A41" s="19">
        <v>44705</v>
      </c>
      <c r="B41" s="14">
        <v>1</v>
      </c>
      <c r="C41" s="14">
        <v>3</v>
      </c>
      <c r="D41" s="12">
        <v>62</v>
      </c>
      <c r="E41" s="11">
        <v>80</v>
      </c>
      <c r="F41" s="9">
        <v>30628274327</v>
      </c>
      <c r="G41" s="9" t="s">
        <v>128</v>
      </c>
      <c r="H41" s="10">
        <v>2126647.2000000002</v>
      </c>
      <c r="I41" s="10"/>
      <c r="J41" s="10">
        <v>223297.95600000001</v>
      </c>
      <c r="K41" s="8">
        <f t="shared" si="4"/>
        <v>2349945.1560000004</v>
      </c>
    </row>
    <row r="42" spans="1:11" ht="15.75" thickBot="1" x14ac:dyDescent="0.3">
      <c r="A42" s="88" t="s">
        <v>33</v>
      </c>
      <c r="B42" s="89"/>
      <c r="C42" s="89"/>
      <c r="D42" s="89"/>
      <c r="E42" s="89"/>
      <c r="F42" s="89"/>
      <c r="G42" s="90"/>
      <c r="H42" s="40">
        <f>SUM(H38:H41)</f>
        <v>7471351.3700000001</v>
      </c>
      <c r="I42" s="40">
        <f>SUM(I38:I41)</f>
        <v>132688.82</v>
      </c>
      <c r="J42" s="40">
        <f>SUM(J38:J41)</f>
        <v>718147.54200000013</v>
      </c>
      <c r="K42" s="40">
        <f>SUM(K38:K41)</f>
        <v>8322187.7320000008</v>
      </c>
    </row>
    <row r="43" spans="1:11" ht="15.75" thickBot="1" x14ac:dyDescent="0.3">
      <c r="A43" s="30"/>
      <c r="C43" s="30"/>
      <c r="D43" s="30"/>
      <c r="E43" s="30"/>
      <c r="F43" s="30"/>
      <c r="G43" s="30"/>
      <c r="H43" s="30"/>
      <c r="I43" s="80">
        <f>SUM(I42:J42)</f>
        <v>850836.3620000002</v>
      </c>
      <c r="J43" s="81"/>
      <c r="K43" s="30"/>
    </row>
    <row r="44" spans="1:11" ht="24" thickBot="1" x14ac:dyDescent="0.4">
      <c r="A44" s="82" t="s">
        <v>114</v>
      </c>
      <c r="B44" s="82"/>
      <c r="C44" s="82"/>
      <c r="D44" s="82"/>
      <c r="E44" s="30"/>
      <c r="F44" s="30"/>
      <c r="G44" s="30"/>
      <c r="H44" s="30"/>
      <c r="I44" s="30"/>
      <c r="J44" s="83">
        <v>44713</v>
      </c>
      <c r="K44" s="83"/>
    </row>
    <row r="45" spans="1:11" ht="15.75" thickBot="1" x14ac:dyDescent="0.3">
      <c r="A45" s="3" t="s">
        <v>0</v>
      </c>
      <c r="B45" s="4" t="s">
        <v>1</v>
      </c>
      <c r="C45" s="4" t="s">
        <v>2</v>
      </c>
      <c r="D45" s="4" t="s">
        <v>54</v>
      </c>
      <c r="E45" s="4" t="s">
        <v>34</v>
      </c>
      <c r="F45" s="4" t="s">
        <v>4</v>
      </c>
      <c r="G45" s="5" t="s">
        <v>5</v>
      </c>
      <c r="H45" s="4" t="s">
        <v>29</v>
      </c>
      <c r="I45" s="4" t="s">
        <v>28</v>
      </c>
      <c r="J45" s="4" t="s">
        <v>9</v>
      </c>
      <c r="K45" s="4" t="s">
        <v>15</v>
      </c>
    </row>
    <row r="46" spans="1:11" x14ac:dyDescent="0.25">
      <c r="A46" s="17">
        <v>44726</v>
      </c>
      <c r="B46" s="13">
        <v>1</v>
      </c>
      <c r="C46" s="13">
        <v>3</v>
      </c>
      <c r="D46" s="11">
        <v>63</v>
      </c>
      <c r="E46" s="11">
        <v>80</v>
      </c>
      <c r="F46" s="7">
        <v>30638318470</v>
      </c>
      <c r="G46" s="7" t="s">
        <v>31</v>
      </c>
      <c r="H46" s="8">
        <v>17122</v>
      </c>
      <c r="I46" s="8">
        <v>3595.62</v>
      </c>
      <c r="J46" s="8"/>
      <c r="K46" s="8">
        <f>SUM(H46:J46)</f>
        <v>20717.62</v>
      </c>
    </row>
    <row r="47" spans="1:11" x14ac:dyDescent="0.25">
      <c r="A47" s="19">
        <v>44726</v>
      </c>
      <c r="B47" s="14">
        <v>1</v>
      </c>
      <c r="C47" s="14">
        <v>3</v>
      </c>
      <c r="D47" s="12">
        <v>64</v>
      </c>
      <c r="E47" s="11">
        <v>80</v>
      </c>
      <c r="F47" s="9">
        <v>30638318470</v>
      </c>
      <c r="G47" s="9" t="s">
        <v>31</v>
      </c>
      <c r="H47" s="10">
        <v>327886.3</v>
      </c>
      <c r="I47" s="10">
        <v>68856.122999999992</v>
      </c>
      <c r="J47" s="10"/>
      <c r="K47" s="8">
        <f t="shared" ref="K47:K50" si="5">SUM(H47:J47)</f>
        <v>396742.42299999995</v>
      </c>
    </row>
    <row r="48" spans="1:11" x14ac:dyDescent="0.25">
      <c r="A48" s="19">
        <v>44727</v>
      </c>
      <c r="B48" s="14">
        <v>1</v>
      </c>
      <c r="C48" s="14">
        <v>3</v>
      </c>
      <c r="D48" s="12">
        <v>66</v>
      </c>
      <c r="E48" s="11">
        <v>80</v>
      </c>
      <c r="F48" s="9">
        <v>23239931359</v>
      </c>
      <c r="G48" s="9" t="s">
        <v>148</v>
      </c>
      <c r="H48" s="10">
        <v>24540</v>
      </c>
      <c r="I48" s="10">
        <v>5153.3999999999996</v>
      </c>
      <c r="J48" s="10"/>
      <c r="K48" s="8">
        <f t="shared" si="5"/>
        <v>29693.4</v>
      </c>
    </row>
    <row r="49" spans="1:11" x14ac:dyDescent="0.25">
      <c r="A49" s="19">
        <v>44727</v>
      </c>
      <c r="B49" s="14">
        <v>1</v>
      </c>
      <c r="C49" s="14">
        <v>3</v>
      </c>
      <c r="D49" s="12">
        <v>65</v>
      </c>
      <c r="E49" s="11">
        <v>80</v>
      </c>
      <c r="F49" s="9">
        <v>33717088269</v>
      </c>
      <c r="G49" s="9" t="s">
        <v>115</v>
      </c>
      <c r="H49" s="10">
        <v>1312890</v>
      </c>
      <c r="I49" s="10">
        <v>18036.900000000001</v>
      </c>
      <c r="J49" s="10">
        <v>128835</v>
      </c>
      <c r="K49" s="8">
        <f t="shared" si="5"/>
        <v>1459761.9</v>
      </c>
    </row>
    <row r="50" spans="1:11" s="30" customFormat="1" x14ac:dyDescent="0.25">
      <c r="A50" s="49">
        <v>44734</v>
      </c>
      <c r="B50" s="50">
        <v>1</v>
      </c>
      <c r="C50" s="50">
        <v>3</v>
      </c>
      <c r="D50" s="51">
        <v>67</v>
      </c>
      <c r="E50" s="11">
        <v>80</v>
      </c>
      <c r="F50" s="52">
        <v>30628274327</v>
      </c>
      <c r="G50" s="52" t="s">
        <v>128</v>
      </c>
      <c r="H50" s="39">
        <v>1107219</v>
      </c>
      <c r="I50" s="39"/>
      <c r="J50" s="39">
        <v>116257.995</v>
      </c>
      <c r="K50" s="8">
        <f t="shared" si="5"/>
        <v>1223476.9950000001</v>
      </c>
    </row>
    <row r="51" spans="1:11" ht="15.75" thickBot="1" x14ac:dyDescent="0.3">
      <c r="A51" s="84" t="s">
        <v>33</v>
      </c>
      <c r="B51" s="85"/>
      <c r="C51" s="85"/>
      <c r="D51" s="85"/>
      <c r="E51" s="85"/>
      <c r="F51" s="85"/>
      <c r="G51" s="86"/>
      <c r="H51" s="40">
        <f>SUM(H46:H50)</f>
        <v>2789657.3</v>
      </c>
      <c r="I51" s="40">
        <f t="shared" ref="I51:K51" si="6">SUM(I46:I50)</f>
        <v>95642.042999999976</v>
      </c>
      <c r="J51" s="40">
        <f t="shared" si="6"/>
        <v>245092.995</v>
      </c>
      <c r="K51" s="40">
        <f t="shared" si="6"/>
        <v>3130392.338</v>
      </c>
    </row>
    <row r="52" spans="1:11" ht="15.75" thickBot="1" x14ac:dyDescent="0.3">
      <c r="A52" s="30"/>
      <c r="C52" s="30"/>
      <c r="D52" s="30"/>
      <c r="E52" s="30"/>
      <c r="F52" s="30"/>
      <c r="G52" s="30"/>
      <c r="H52" s="30"/>
      <c r="I52" s="80">
        <f>SUM(I51:J51)</f>
        <v>340735.03799999994</v>
      </c>
      <c r="J52" s="81"/>
      <c r="K52" s="30"/>
    </row>
    <row r="53" spans="1:11" ht="24" thickBot="1" x14ac:dyDescent="0.4">
      <c r="A53" s="82" t="s">
        <v>114</v>
      </c>
      <c r="B53" s="82"/>
      <c r="C53" s="82"/>
      <c r="D53" s="82"/>
      <c r="E53" s="30"/>
      <c r="F53" s="30"/>
      <c r="G53" s="30"/>
      <c r="H53" s="30"/>
      <c r="I53" s="30"/>
      <c r="J53" s="83">
        <v>44743</v>
      </c>
      <c r="K53" s="83"/>
    </row>
    <row r="54" spans="1:11" ht="15.75" thickBot="1" x14ac:dyDescent="0.3">
      <c r="A54" s="3" t="s">
        <v>0</v>
      </c>
      <c r="B54" s="4" t="s">
        <v>1</v>
      </c>
      <c r="C54" s="4" t="s">
        <v>2</v>
      </c>
      <c r="D54" s="4" t="s">
        <v>54</v>
      </c>
      <c r="E54" s="4" t="s">
        <v>34</v>
      </c>
      <c r="F54" s="4" t="s">
        <v>4</v>
      </c>
      <c r="G54" s="5" t="s">
        <v>5</v>
      </c>
      <c r="H54" s="4" t="s">
        <v>29</v>
      </c>
      <c r="I54" s="4" t="s">
        <v>28</v>
      </c>
      <c r="J54" s="4" t="s">
        <v>9</v>
      </c>
      <c r="K54" s="4" t="s">
        <v>15</v>
      </c>
    </row>
    <row r="55" spans="1:11" x14ac:dyDescent="0.25">
      <c r="A55" s="17">
        <v>44754</v>
      </c>
      <c r="B55" s="13">
        <v>1</v>
      </c>
      <c r="C55" s="13">
        <v>3</v>
      </c>
      <c r="D55" s="11">
        <v>68</v>
      </c>
      <c r="E55" s="11">
        <v>80</v>
      </c>
      <c r="F55" s="7">
        <v>30710473710</v>
      </c>
      <c r="G55" s="7" t="s">
        <v>163</v>
      </c>
      <c r="H55" s="8">
        <v>210127.5</v>
      </c>
      <c r="I55" s="8">
        <v>44126.775000000001</v>
      </c>
      <c r="J55" s="8"/>
      <c r="K55" s="8">
        <f>SUM(H55:J55)</f>
        <v>254254.27499999999</v>
      </c>
    </row>
    <row r="56" spans="1:11" x14ac:dyDescent="0.25">
      <c r="A56" s="19">
        <v>44754</v>
      </c>
      <c r="B56" s="14">
        <v>1</v>
      </c>
      <c r="C56" s="14">
        <v>3</v>
      </c>
      <c r="D56" s="12">
        <v>69</v>
      </c>
      <c r="E56" s="11">
        <v>80</v>
      </c>
      <c r="F56" s="9">
        <v>30710473710</v>
      </c>
      <c r="G56" s="9" t="s">
        <v>163</v>
      </c>
      <c r="H56" s="10">
        <v>133717.5</v>
      </c>
      <c r="I56" s="10">
        <v>28080.674999999999</v>
      </c>
      <c r="J56" s="10"/>
      <c r="K56" s="8">
        <f t="shared" ref="K56:K59" si="7">SUM(H56:J56)</f>
        <v>161798.17499999999</v>
      </c>
    </row>
    <row r="57" spans="1:11" x14ac:dyDescent="0.25">
      <c r="A57" s="19">
        <v>44754</v>
      </c>
      <c r="B57" s="14">
        <v>3</v>
      </c>
      <c r="C57" s="14">
        <v>3</v>
      </c>
      <c r="D57" s="12">
        <v>12</v>
      </c>
      <c r="E57" s="11">
        <v>80</v>
      </c>
      <c r="F57" s="9">
        <v>30710473710</v>
      </c>
      <c r="G57" s="9" t="s">
        <v>163</v>
      </c>
      <c r="H57" s="10">
        <v>-210127.5</v>
      </c>
      <c r="I57" s="10">
        <v>-44126.775000000001</v>
      </c>
      <c r="J57" s="10"/>
      <c r="K57" s="8">
        <f t="shared" si="7"/>
        <v>-254254.27499999999</v>
      </c>
    </row>
    <row r="58" spans="1:11" x14ac:dyDescent="0.25">
      <c r="A58" s="19">
        <v>44762</v>
      </c>
      <c r="B58" s="14">
        <v>3</v>
      </c>
      <c r="C58" s="14">
        <v>3</v>
      </c>
      <c r="D58" s="12">
        <v>13</v>
      </c>
      <c r="E58" s="11">
        <v>80</v>
      </c>
      <c r="F58" s="9">
        <v>30628274327</v>
      </c>
      <c r="G58" s="9" t="s">
        <v>128</v>
      </c>
      <c r="H58" s="10">
        <v>-1107219</v>
      </c>
      <c r="I58" s="10"/>
      <c r="J58" s="10">
        <v>-116257.995</v>
      </c>
      <c r="K58" s="8">
        <f t="shared" si="7"/>
        <v>-1223476.9950000001</v>
      </c>
    </row>
    <row r="59" spans="1:11" x14ac:dyDescent="0.25">
      <c r="A59" s="49">
        <v>44770</v>
      </c>
      <c r="B59" s="50">
        <v>1</v>
      </c>
      <c r="C59" s="50">
        <v>3</v>
      </c>
      <c r="D59" s="51">
        <v>70</v>
      </c>
      <c r="E59" s="11">
        <v>80</v>
      </c>
      <c r="F59" s="52">
        <v>30574668715</v>
      </c>
      <c r="G59" s="52" t="s">
        <v>164</v>
      </c>
      <c r="H59" s="39">
        <v>11800.800000000001</v>
      </c>
      <c r="I59" s="39">
        <v>2478.1680000000001</v>
      </c>
      <c r="J59" s="39"/>
      <c r="K59" s="8">
        <f t="shared" si="7"/>
        <v>14278.968000000001</v>
      </c>
    </row>
    <row r="60" spans="1:11" ht="15.75" thickBot="1" x14ac:dyDescent="0.3">
      <c r="A60" s="84" t="s">
        <v>33</v>
      </c>
      <c r="B60" s="85"/>
      <c r="C60" s="85"/>
      <c r="D60" s="85"/>
      <c r="E60" s="85"/>
      <c r="F60" s="85"/>
      <c r="G60" s="86"/>
      <c r="H60" s="40">
        <f>SUM(H55:H59)</f>
        <v>-961700.7</v>
      </c>
      <c r="I60" s="40">
        <f t="shared" ref="I60" si="8">SUM(I55:I59)</f>
        <v>30558.842999999997</v>
      </c>
      <c r="J60" s="40">
        <f t="shared" ref="J60" si="9">SUM(J55:J59)</f>
        <v>-116257.995</v>
      </c>
      <c r="K60" s="40">
        <f t="shared" ref="K60" si="10">SUM(K55:K59)</f>
        <v>-1047399.8520000001</v>
      </c>
    </row>
    <row r="61" spans="1:11" ht="15.75" thickBot="1" x14ac:dyDescent="0.3">
      <c r="A61" s="30"/>
      <c r="C61" s="30"/>
      <c r="D61" s="30"/>
      <c r="E61" s="30"/>
      <c r="F61" s="30"/>
      <c r="G61" s="30"/>
      <c r="H61" s="30"/>
      <c r="I61" s="80">
        <f>SUM(I60:J60)</f>
        <v>-85699.152000000002</v>
      </c>
      <c r="J61" s="81"/>
      <c r="K61" s="30"/>
    </row>
    <row r="63" spans="1:11" ht="24" thickBot="1" x14ac:dyDescent="0.4">
      <c r="A63" s="82" t="s">
        <v>114</v>
      </c>
      <c r="B63" s="82"/>
      <c r="C63" s="82"/>
      <c r="D63" s="82"/>
      <c r="E63" s="30"/>
      <c r="F63" s="30"/>
      <c r="G63" s="30"/>
      <c r="H63" s="30"/>
      <c r="I63" s="30"/>
      <c r="J63" s="83">
        <v>44774</v>
      </c>
      <c r="K63" s="83"/>
    </row>
    <row r="64" spans="1:11" ht="15.75" thickBot="1" x14ac:dyDescent="0.3">
      <c r="A64" s="3" t="s">
        <v>0</v>
      </c>
      <c r="B64" s="4" t="s">
        <v>1</v>
      </c>
      <c r="C64" s="4" t="s">
        <v>2</v>
      </c>
      <c r="D64" s="4" t="s">
        <v>54</v>
      </c>
      <c r="E64" s="4" t="s">
        <v>34</v>
      </c>
      <c r="F64" s="4" t="s">
        <v>4</v>
      </c>
      <c r="G64" s="5" t="s">
        <v>5</v>
      </c>
      <c r="H64" s="4" t="s">
        <v>29</v>
      </c>
      <c r="I64" s="4" t="s">
        <v>28</v>
      </c>
      <c r="J64" s="4" t="s">
        <v>9</v>
      </c>
      <c r="K64" s="4" t="s">
        <v>15</v>
      </c>
    </row>
    <row r="65" spans="1:11" x14ac:dyDescent="0.25">
      <c r="A65" s="17" t="s">
        <v>179</v>
      </c>
      <c r="B65" s="13">
        <v>1</v>
      </c>
      <c r="C65" s="13">
        <v>3</v>
      </c>
      <c r="D65" s="11">
        <v>71</v>
      </c>
      <c r="E65" s="11">
        <v>80</v>
      </c>
      <c r="F65" s="11">
        <v>30638318470</v>
      </c>
      <c r="G65" s="7" t="s">
        <v>31</v>
      </c>
      <c r="H65" s="8">
        <v>6093317.9999999991</v>
      </c>
      <c r="I65" s="8"/>
      <c r="J65" s="8">
        <v>639798.3899999999</v>
      </c>
      <c r="K65" s="8">
        <f>SUM(H65:J65)</f>
        <v>6733116.3899999987</v>
      </c>
    </row>
    <row r="66" spans="1:11" x14ac:dyDescent="0.25">
      <c r="A66" s="19" t="s">
        <v>180</v>
      </c>
      <c r="B66" s="14">
        <v>1</v>
      </c>
      <c r="C66" s="14">
        <v>3</v>
      </c>
      <c r="D66" s="12">
        <v>72</v>
      </c>
      <c r="E66" s="11">
        <v>80</v>
      </c>
      <c r="F66" s="11">
        <v>30638318470</v>
      </c>
      <c r="G66" s="9" t="s">
        <v>31</v>
      </c>
      <c r="H66" s="10">
        <v>1027452.3239999999</v>
      </c>
      <c r="I66" s="10">
        <v>180463.29</v>
      </c>
      <c r="J66" s="10">
        <v>17651.77</v>
      </c>
      <c r="K66" s="8">
        <f t="shared" ref="K66:K72" si="11">SUM(H66:J66)</f>
        <v>1225567.3839999998</v>
      </c>
    </row>
    <row r="67" spans="1:11" x14ac:dyDescent="0.25">
      <c r="A67" s="19" t="s">
        <v>180</v>
      </c>
      <c r="B67" s="14">
        <v>1</v>
      </c>
      <c r="C67" s="14">
        <v>3</v>
      </c>
      <c r="D67" s="12">
        <v>73</v>
      </c>
      <c r="E67" s="11">
        <v>80</v>
      </c>
      <c r="F67" s="11">
        <v>30638318470</v>
      </c>
      <c r="G67" s="9" t="s">
        <v>31</v>
      </c>
      <c r="H67" s="10">
        <v>194107.10739999998</v>
      </c>
      <c r="I67" s="10">
        <v>40762.492553999997</v>
      </c>
      <c r="J67" s="10"/>
      <c r="K67" s="8">
        <f t="shared" si="11"/>
        <v>234869.59995399998</v>
      </c>
    </row>
    <row r="68" spans="1:11" x14ac:dyDescent="0.25">
      <c r="A68" s="19" t="s">
        <v>181</v>
      </c>
      <c r="B68" s="14">
        <v>1</v>
      </c>
      <c r="C68" s="14">
        <v>3</v>
      </c>
      <c r="D68" s="14">
        <v>74</v>
      </c>
      <c r="E68" s="11">
        <v>80</v>
      </c>
      <c r="F68" s="11">
        <v>30638318470</v>
      </c>
      <c r="G68" s="9" t="s">
        <v>31</v>
      </c>
      <c r="H68" s="10">
        <v>3109029</v>
      </c>
      <c r="I68" s="10"/>
      <c r="J68" s="10">
        <v>326448.04499999998</v>
      </c>
      <c r="K68" s="8">
        <f t="shared" si="11"/>
        <v>3435477.0449999999</v>
      </c>
    </row>
    <row r="69" spans="1:11" s="30" customFormat="1" x14ac:dyDescent="0.25">
      <c r="A69" s="49" t="s">
        <v>181</v>
      </c>
      <c r="B69" s="14">
        <v>1</v>
      </c>
      <c r="C69" s="14">
        <v>3</v>
      </c>
      <c r="D69" s="14">
        <v>75</v>
      </c>
      <c r="E69" s="11">
        <v>80</v>
      </c>
      <c r="F69" s="11">
        <v>20124583463</v>
      </c>
      <c r="G69" s="9" t="s">
        <v>184</v>
      </c>
      <c r="H69" s="10">
        <v>51817.15</v>
      </c>
      <c r="I69" s="10">
        <v>10881.601500000001</v>
      </c>
      <c r="J69" s="10"/>
      <c r="K69" s="8">
        <f t="shared" si="11"/>
        <v>62698.751499999998</v>
      </c>
    </row>
    <row r="70" spans="1:11" s="30" customFormat="1" x14ac:dyDescent="0.25">
      <c r="A70" s="49" t="s">
        <v>182</v>
      </c>
      <c r="B70" s="14">
        <v>1</v>
      </c>
      <c r="C70" s="14">
        <v>3</v>
      </c>
      <c r="D70" s="14">
        <v>76</v>
      </c>
      <c r="E70" s="11">
        <v>80</v>
      </c>
      <c r="F70" s="11">
        <v>30638318470</v>
      </c>
      <c r="G70" s="9" t="s">
        <v>31</v>
      </c>
      <c r="H70" s="10">
        <v>3145526.9999999995</v>
      </c>
      <c r="I70" s="10"/>
      <c r="J70" s="10">
        <v>330280.33499999996</v>
      </c>
      <c r="K70" s="8">
        <f t="shared" si="11"/>
        <v>3475807.3349999995</v>
      </c>
    </row>
    <row r="71" spans="1:11" s="30" customFormat="1" x14ac:dyDescent="0.25">
      <c r="A71" s="49" t="s">
        <v>182</v>
      </c>
      <c r="B71" s="14">
        <v>1</v>
      </c>
      <c r="C71" s="14">
        <v>3</v>
      </c>
      <c r="D71" s="14">
        <v>77</v>
      </c>
      <c r="E71" s="11">
        <v>80</v>
      </c>
      <c r="F71" s="11">
        <v>30628274327</v>
      </c>
      <c r="G71" s="9" t="s">
        <v>128</v>
      </c>
      <c r="H71" s="10">
        <v>52425.45</v>
      </c>
      <c r="I71" s="10">
        <v>11009.344499999999</v>
      </c>
      <c r="J71" s="10"/>
      <c r="K71" s="8">
        <f t="shared" si="11"/>
        <v>63434.794499999996</v>
      </c>
    </row>
    <row r="72" spans="1:11" s="30" customFormat="1" x14ac:dyDescent="0.25">
      <c r="A72" s="49" t="s">
        <v>183</v>
      </c>
      <c r="B72" s="14">
        <v>1</v>
      </c>
      <c r="C72" s="14">
        <v>3</v>
      </c>
      <c r="D72" s="14">
        <v>78</v>
      </c>
      <c r="E72" s="11">
        <v>80</v>
      </c>
      <c r="F72" s="11">
        <v>30574668715</v>
      </c>
      <c r="G72" s="9" t="s">
        <v>164</v>
      </c>
      <c r="H72" s="10">
        <v>47316.75</v>
      </c>
      <c r="I72" s="10">
        <v>9936.5174999999999</v>
      </c>
      <c r="J72" s="10"/>
      <c r="K72" s="8">
        <f t="shared" si="11"/>
        <v>57253.267500000002</v>
      </c>
    </row>
    <row r="73" spans="1:11" ht="15.75" thickBot="1" x14ac:dyDescent="0.3">
      <c r="A73" s="84" t="s">
        <v>33</v>
      </c>
      <c r="B73" s="85"/>
      <c r="C73" s="85"/>
      <c r="D73" s="85"/>
      <c r="E73" s="85"/>
      <c r="F73" s="85"/>
      <c r="G73" s="86"/>
      <c r="H73" s="40">
        <f>SUM(H65:H72)</f>
        <v>13720992.781399999</v>
      </c>
      <c r="I73" s="40">
        <f>SUM(I65:I72)</f>
        <v>253053.24605399999</v>
      </c>
      <c r="J73" s="40">
        <f>SUM(J65:J72)</f>
        <v>1314178.5399999998</v>
      </c>
      <c r="K73" s="40">
        <f>SUM(K65:K72)</f>
        <v>15288224.567453997</v>
      </c>
    </row>
    <row r="74" spans="1:11" ht="15.75" thickBot="1" x14ac:dyDescent="0.3">
      <c r="A74" s="30"/>
      <c r="C74" s="30"/>
      <c r="D74" s="30"/>
      <c r="E74" s="30"/>
      <c r="F74" s="30"/>
      <c r="G74" s="30"/>
      <c r="H74" s="30"/>
      <c r="I74" s="80">
        <f>SUM(I73:J73)</f>
        <v>1567231.7860539998</v>
      </c>
      <c r="J74" s="81"/>
      <c r="K74" s="30"/>
    </row>
    <row r="75" spans="1:11" ht="24" thickBot="1" x14ac:dyDescent="0.4">
      <c r="A75" s="82" t="s">
        <v>114</v>
      </c>
      <c r="B75" s="82"/>
      <c r="C75" s="82"/>
      <c r="D75" s="82"/>
      <c r="E75" s="30"/>
      <c r="F75" s="30"/>
      <c r="G75" s="30"/>
      <c r="H75" s="30"/>
      <c r="I75" s="30"/>
      <c r="J75" s="83">
        <v>44805</v>
      </c>
      <c r="K75" s="83"/>
    </row>
    <row r="76" spans="1:11" ht="15.75" thickBot="1" x14ac:dyDescent="0.3">
      <c r="A76" s="3" t="s">
        <v>0</v>
      </c>
      <c r="B76" s="4" t="s">
        <v>1</v>
      </c>
      <c r="C76" s="4" t="s">
        <v>2</v>
      </c>
      <c r="D76" s="4" t="s">
        <v>54</v>
      </c>
      <c r="E76" s="4" t="s">
        <v>34</v>
      </c>
      <c r="F76" s="4" t="s">
        <v>4</v>
      </c>
      <c r="G76" s="5" t="s">
        <v>5</v>
      </c>
      <c r="H76" s="4" t="s">
        <v>29</v>
      </c>
      <c r="I76" s="4" t="s">
        <v>28</v>
      </c>
      <c r="J76" s="4" t="s">
        <v>9</v>
      </c>
      <c r="K76" s="4" t="s">
        <v>15</v>
      </c>
    </row>
    <row r="77" spans="1:11" x14ac:dyDescent="0.25">
      <c r="A77" s="17" t="s">
        <v>193</v>
      </c>
      <c r="B77" s="13">
        <v>1</v>
      </c>
      <c r="C77" s="13">
        <v>3</v>
      </c>
      <c r="D77" s="11">
        <v>79</v>
      </c>
      <c r="E77" s="11">
        <v>80</v>
      </c>
      <c r="F77" s="7">
        <v>30638318470</v>
      </c>
      <c r="G77" s="7" t="s">
        <v>31</v>
      </c>
      <c r="H77" s="8">
        <v>6409325.9999999991</v>
      </c>
      <c r="I77" s="8"/>
      <c r="J77" s="8">
        <v>672979.22999999986</v>
      </c>
      <c r="K77" s="8">
        <f>SUM(H77:J77)</f>
        <v>7082305.2299999986</v>
      </c>
    </row>
    <row r="78" spans="1:11" x14ac:dyDescent="0.25">
      <c r="A78" s="19" t="s">
        <v>194</v>
      </c>
      <c r="B78" s="14">
        <v>1</v>
      </c>
      <c r="C78" s="14">
        <v>3</v>
      </c>
      <c r="D78" s="12">
        <v>80</v>
      </c>
      <c r="E78" s="11">
        <v>80</v>
      </c>
      <c r="F78" s="9">
        <v>30638318470</v>
      </c>
      <c r="G78" s="9" t="s">
        <v>31</v>
      </c>
      <c r="H78" s="10">
        <v>6587196.0000000009</v>
      </c>
      <c r="I78" s="10"/>
      <c r="J78" s="10">
        <v>691655.58000000019</v>
      </c>
      <c r="K78" s="8">
        <f t="shared" ref="K78:K79" si="12">SUM(H78:J78)</f>
        <v>7278851.580000001</v>
      </c>
    </row>
    <row r="79" spans="1:11" x14ac:dyDescent="0.25">
      <c r="A79" s="19" t="s">
        <v>195</v>
      </c>
      <c r="B79" s="14">
        <v>2</v>
      </c>
      <c r="C79" s="14">
        <v>3</v>
      </c>
      <c r="D79" s="12">
        <v>3</v>
      </c>
      <c r="E79" s="11">
        <v>80</v>
      </c>
      <c r="F79" s="9">
        <v>30638318470</v>
      </c>
      <c r="G79" s="9" t="s">
        <v>31</v>
      </c>
      <c r="H79" s="10">
        <v>2629838.1452000001</v>
      </c>
      <c r="I79" s="10">
        <v>552266.01049200003</v>
      </c>
      <c r="J79" s="10"/>
      <c r="K79" s="8">
        <f t="shared" si="12"/>
        <v>3182104.1556919999</v>
      </c>
    </row>
    <row r="80" spans="1:11" ht="15.75" thickBot="1" x14ac:dyDescent="0.3">
      <c r="A80" s="84" t="s">
        <v>33</v>
      </c>
      <c r="B80" s="85"/>
      <c r="C80" s="85"/>
      <c r="D80" s="85"/>
      <c r="E80" s="85"/>
      <c r="F80" s="85"/>
      <c r="G80" s="86"/>
      <c r="H80" s="40">
        <f>SUM(H77:H79)</f>
        <v>15626360.145199999</v>
      </c>
      <c r="I80" s="40">
        <f>SUM(I77:I79)</f>
        <v>552266.01049200003</v>
      </c>
      <c r="J80" s="40">
        <f>SUM(J77:J79)</f>
        <v>1364634.81</v>
      </c>
      <c r="K80" s="40">
        <f>SUM(K77:K79)</f>
        <v>17543260.965691999</v>
      </c>
    </row>
    <row r="81" spans="1:12" ht="15.75" thickBot="1" x14ac:dyDescent="0.3">
      <c r="A81" s="30"/>
      <c r="C81" s="30"/>
      <c r="D81" s="30"/>
      <c r="E81" s="30"/>
      <c r="F81" s="30"/>
      <c r="G81" s="30"/>
      <c r="H81" s="30"/>
      <c r="I81" s="80">
        <f>SUM(I80:J80)</f>
        <v>1916900.8204920001</v>
      </c>
      <c r="J81" s="81"/>
      <c r="K81" s="30"/>
    </row>
    <row r="82" spans="1:12" ht="24" thickBot="1" x14ac:dyDescent="0.4">
      <c r="A82" s="82" t="s">
        <v>114</v>
      </c>
      <c r="B82" s="82"/>
      <c r="C82" s="82"/>
      <c r="D82" s="82"/>
      <c r="E82" s="30"/>
      <c r="F82" s="30"/>
      <c r="G82" s="30"/>
      <c r="H82" s="30"/>
      <c r="I82" s="30"/>
      <c r="K82" s="83">
        <v>44835</v>
      </c>
      <c r="L82" s="83"/>
    </row>
    <row r="83" spans="1:12" ht="15.75" thickBot="1" x14ac:dyDescent="0.3">
      <c r="A83" s="3" t="s">
        <v>0</v>
      </c>
      <c r="B83" s="4" t="s">
        <v>1</v>
      </c>
      <c r="C83" s="4" t="s">
        <v>2</v>
      </c>
      <c r="D83" s="4" t="s">
        <v>54</v>
      </c>
      <c r="E83" s="4" t="s">
        <v>34</v>
      </c>
      <c r="F83" s="4" t="s">
        <v>4</v>
      </c>
      <c r="G83" s="5" t="s">
        <v>5</v>
      </c>
      <c r="H83" s="4" t="s">
        <v>29</v>
      </c>
      <c r="I83" s="4" t="s">
        <v>28</v>
      </c>
      <c r="J83" s="4" t="s">
        <v>9</v>
      </c>
      <c r="K83" s="4" t="s">
        <v>218</v>
      </c>
      <c r="L83" s="4" t="s">
        <v>15</v>
      </c>
    </row>
    <row r="84" spans="1:12" x14ac:dyDescent="0.25">
      <c r="A84" s="17" t="s">
        <v>207</v>
      </c>
      <c r="B84" s="13">
        <v>1</v>
      </c>
      <c r="C84" s="13">
        <v>3</v>
      </c>
      <c r="D84" s="11">
        <v>82</v>
      </c>
      <c r="E84" s="11">
        <v>80</v>
      </c>
      <c r="F84" s="11">
        <v>30715595105</v>
      </c>
      <c r="G84" s="7" t="s">
        <v>214</v>
      </c>
      <c r="H84" s="8">
        <v>515620</v>
      </c>
      <c r="I84" s="8">
        <v>108280.2</v>
      </c>
      <c r="J84" s="8"/>
      <c r="K84" s="8"/>
      <c r="L84" s="8">
        <f>SUM(H84:K84)</f>
        <v>623900.19999999995</v>
      </c>
    </row>
    <row r="85" spans="1:12" x14ac:dyDescent="0.25">
      <c r="A85" s="19" t="s">
        <v>207</v>
      </c>
      <c r="B85" s="14">
        <v>1</v>
      </c>
      <c r="C85" s="14">
        <v>3</v>
      </c>
      <c r="D85" s="12">
        <v>83</v>
      </c>
      <c r="E85" s="11">
        <v>80</v>
      </c>
      <c r="F85" s="11">
        <v>30638318470</v>
      </c>
      <c r="G85" s="9" t="s">
        <v>31</v>
      </c>
      <c r="H85" s="10">
        <v>515620</v>
      </c>
      <c r="I85" s="10">
        <v>108280.2</v>
      </c>
      <c r="J85" s="10"/>
      <c r="K85" s="10"/>
      <c r="L85" s="8">
        <f t="shared" ref="L85:L95" si="13">SUM(H85:K85)</f>
        <v>623900.19999999995</v>
      </c>
    </row>
    <row r="86" spans="1:12" s="30" customFormat="1" x14ac:dyDescent="0.25">
      <c r="A86" s="19" t="s">
        <v>207</v>
      </c>
      <c r="B86" s="14">
        <v>1</v>
      </c>
      <c r="C86" s="14">
        <v>3</v>
      </c>
      <c r="D86" s="12">
        <v>81</v>
      </c>
      <c r="E86" s="11">
        <v>80</v>
      </c>
      <c r="F86" s="11">
        <v>33711590809</v>
      </c>
      <c r="G86" s="9" t="s">
        <v>215</v>
      </c>
      <c r="H86" s="10">
        <v>1208180</v>
      </c>
      <c r="I86" s="10">
        <v>18643.8</v>
      </c>
      <c r="J86" s="10">
        <v>117537</v>
      </c>
      <c r="K86" s="10"/>
      <c r="L86" s="8">
        <f t="shared" si="13"/>
        <v>1344360.8</v>
      </c>
    </row>
    <row r="87" spans="1:12" s="30" customFormat="1" x14ac:dyDescent="0.25">
      <c r="A87" s="19" t="s">
        <v>207</v>
      </c>
      <c r="B87" s="14">
        <v>1</v>
      </c>
      <c r="C87" s="14">
        <v>3</v>
      </c>
      <c r="D87" s="12">
        <v>84</v>
      </c>
      <c r="E87" s="11">
        <v>80</v>
      </c>
      <c r="F87" s="11">
        <v>30628274327</v>
      </c>
      <c r="G87" s="9" t="s">
        <v>128</v>
      </c>
      <c r="H87" s="10">
        <v>3292602</v>
      </c>
      <c r="I87" s="10"/>
      <c r="J87" s="10">
        <v>345723.20999999996</v>
      </c>
      <c r="K87" s="10"/>
      <c r="L87" s="8">
        <f t="shared" si="13"/>
        <v>3638325.21</v>
      </c>
    </row>
    <row r="88" spans="1:12" s="30" customFormat="1" x14ac:dyDescent="0.25">
      <c r="A88" s="19" t="s">
        <v>208</v>
      </c>
      <c r="B88" s="14">
        <v>1</v>
      </c>
      <c r="C88" s="14">
        <v>3</v>
      </c>
      <c r="D88" s="12">
        <v>87</v>
      </c>
      <c r="E88" s="11">
        <v>80</v>
      </c>
      <c r="F88" s="11">
        <v>30638318470</v>
      </c>
      <c r="G88" s="9" t="s">
        <v>31</v>
      </c>
      <c r="H88" s="10">
        <v>736626.00959999999</v>
      </c>
      <c r="I88" s="10">
        <v>154691.462016</v>
      </c>
      <c r="J88" s="10"/>
      <c r="K88" s="10"/>
      <c r="L88" s="8">
        <f t="shared" si="13"/>
        <v>891317.47161599994</v>
      </c>
    </row>
    <row r="89" spans="1:12" x14ac:dyDescent="0.25">
      <c r="A89" s="19" t="s">
        <v>208</v>
      </c>
      <c r="B89" s="14">
        <v>1</v>
      </c>
      <c r="C89" s="14">
        <v>3</v>
      </c>
      <c r="D89" s="12">
        <v>85</v>
      </c>
      <c r="E89" s="11">
        <v>80</v>
      </c>
      <c r="F89" s="11">
        <v>30638318470</v>
      </c>
      <c r="G89" s="9" t="s">
        <v>31</v>
      </c>
      <c r="H89" s="10">
        <v>6864858</v>
      </c>
      <c r="I89" s="10"/>
      <c r="J89" s="10">
        <v>720810.09</v>
      </c>
      <c r="K89" s="10"/>
      <c r="L89" s="8">
        <f t="shared" si="13"/>
        <v>7585668.0899999999</v>
      </c>
    </row>
    <row r="90" spans="1:12" s="30" customFormat="1" x14ac:dyDescent="0.25">
      <c r="A90" s="19" t="s">
        <v>208</v>
      </c>
      <c r="B90" s="14">
        <v>1</v>
      </c>
      <c r="C90" s="14">
        <v>3</v>
      </c>
      <c r="D90" s="12">
        <v>86</v>
      </c>
      <c r="E90" s="11">
        <v>80</v>
      </c>
      <c r="F90" s="11">
        <v>30638318470</v>
      </c>
      <c r="G90" s="9" t="s">
        <v>31</v>
      </c>
      <c r="H90" s="10">
        <v>613379.52</v>
      </c>
      <c r="I90" s="10">
        <v>71706.5622</v>
      </c>
      <c r="J90" s="10">
        <v>28551.568500000001</v>
      </c>
      <c r="K90" s="10"/>
      <c r="L90" s="8">
        <f t="shared" si="13"/>
        <v>713637.65070000011</v>
      </c>
    </row>
    <row r="91" spans="1:12" s="30" customFormat="1" x14ac:dyDescent="0.25">
      <c r="A91" s="19" t="s">
        <v>209</v>
      </c>
      <c r="B91" s="14">
        <v>1</v>
      </c>
      <c r="C91" s="14">
        <v>3</v>
      </c>
      <c r="D91" s="12">
        <v>88</v>
      </c>
      <c r="E91" s="11">
        <v>80</v>
      </c>
      <c r="F91" s="11">
        <v>30716041596</v>
      </c>
      <c r="G91" s="9" t="s">
        <v>43</v>
      </c>
      <c r="H91" s="10">
        <v>555037.5</v>
      </c>
      <c r="I91" s="10">
        <v>116557.875</v>
      </c>
      <c r="J91" s="10"/>
      <c r="K91" s="10"/>
      <c r="L91" s="8">
        <f t="shared" si="13"/>
        <v>671595.375</v>
      </c>
    </row>
    <row r="92" spans="1:12" s="30" customFormat="1" x14ac:dyDescent="0.25">
      <c r="A92" s="19" t="s">
        <v>210</v>
      </c>
      <c r="B92" s="14">
        <v>1</v>
      </c>
      <c r="C92" s="14">
        <v>3</v>
      </c>
      <c r="D92" s="12">
        <v>89</v>
      </c>
      <c r="E92" s="11">
        <v>80</v>
      </c>
      <c r="F92" s="11">
        <v>30638318470</v>
      </c>
      <c r="G92" s="9" t="s">
        <v>31</v>
      </c>
      <c r="H92" s="10">
        <v>6342242.6234999998</v>
      </c>
      <c r="I92" s="10">
        <v>90742.831200000001</v>
      </c>
      <c r="J92" s="10">
        <v>620564.17500000005</v>
      </c>
      <c r="K92" s="10"/>
      <c r="L92" s="8">
        <f t="shared" si="13"/>
        <v>7053549.6296999995</v>
      </c>
    </row>
    <row r="93" spans="1:12" s="30" customFormat="1" x14ac:dyDescent="0.25">
      <c r="A93" s="19" t="s">
        <v>211</v>
      </c>
      <c r="B93" s="14">
        <v>1</v>
      </c>
      <c r="C93" s="14">
        <v>3</v>
      </c>
      <c r="D93" s="12">
        <v>90</v>
      </c>
      <c r="E93" s="11">
        <v>80</v>
      </c>
      <c r="F93" s="11">
        <v>30628274327</v>
      </c>
      <c r="G93" s="9" t="s">
        <v>128</v>
      </c>
      <c r="H93" s="10">
        <v>3430948.5</v>
      </c>
      <c r="I93" s="10"/>
      <c r="J93" s="10">
        <v>360249.59249999997</v>
      </c>
      <c r="K93" s="10"/>
      <c r="L93" s="8">
        <f t="shared" si="13"/>
        <v>3791198.0924999998</v>
      </c>
    </row>
    <row r="94" spans="1:12" s="30" customFormat="1" x14ac:dyDescent="0.25">
      <c r="A94" s="19" t="s">
        <v>212</v>
      </c>
      <c r="B94" s="14">
        <v>1</v>
      </c>
      <c r="C94" s="14">
        <v>30</v>
      </c>
      <c r="D94" s="12">
        <v>11</v>
      </c>
      <c r="E94" s="11">
        <v>80</v>
      </c>
      <c r="F94" s="11"/>
      <c r="G94" s="9" t="s">
        <v>216</v>
      </c>
      <c r="H94" s="10">
        <v>0</v>
      </c>
      <c r="I94" s="10">
        <v>0</v>
      </c>
      <c r="J94" s="10"/>
      <c r="K94" s="10">
        <v>804430</v>
      </c>
      <c r="L94" s="8">
        <f t="shared" si="13"/>
        <v>804430</v>
      </c>
    </row>
    <row r="95" spans="1:12" x14ac:dyDescent="0.25">
      <c r="A95" s="19" t="s">
        <v>213</v>
      </c>
      <c r="B95" s="14">
        <v>1</v>
      </c>
      <c r="C95" s="14">
        <v>3</v>
      </c>
      <c r="D95" s="14">
        <v>91</v>
      </c>
      <c r="E95" s="11">
        <v>80</v>
      </c>
      <c r="F95" s="11">
        <v>20215856314</v>
      </c>
      <c r="G95" s="9" t="s">
        <v>217</v>
      </c>
      <c r="H95" s="10">
        <v>139851</v>
      </c>
      <c r="I95" s="10">
        <v>29368.71</v>
      </c>
      <c r="J95" s="10"/>
      <c r="K95" s="10"/>
      <c r="L95" s="8">
        <f t="shared" si="13"/>
        <v>169219.71</v>
      </c>
    </row>
    <row r="96" spans="1:12" ht="15.75" thickBot="1" x14ac:dyDescent="0.3">
      <c r="A96" s="84" t="s">
        <v>33</v>
      </c>
      <c r="B96" s="85"/>
      <c r="C96" s="85"/>
      <c r="D96" s="85"/>
      <c r="E96" s="85"/>
      <c r="F96" s="85"/>
      <c r="G96" s="86"/>
      <c r="H96" s="40">
        <f>SUM(H84:H95)</f>
        <v>24214965.153099999</v>
      </c>
      <c r="I96" s="40">
        <f>SUM(I84:I95)</f>
        <v>698271.64041599992</v>
      </c>
      <c r="J96" s="40">
        <f>SUM(J84:J95)</f>
        <v>2193435.6359999999</v>
      </c>
      <c r="K96" s="40">
        <f>SUM(K84:K95)</f>
        <v>804430</v>
      </c>
      <c r="L96" s="40">
        <f>SUM(L84:L95)</f>
        <v>27911102.429516003</v>
      </c>
    </row>
    <row r="97" spans="1:12" ht="15.75" thickBot="1" x14ac:dyDescent="0.3">
      <c r="A97" s="30"/>
      <c r="C97" s="30"/>
      <c r="D97" s="30"/>
      <c r="E97" s="30"/>
      <c r="F97" s="30"/>
      <c r="G97" s="30"/>
      <c r="H97" s="30"/>
      <c r="I97" s="80">
        <f>SUM(I96:J96)</f>
        <v>2891707.276416</v>
      </c>
      <c r="J97" s="81"/>
      <c r="K97" s="30"/>
    </row>
    <row r="98" spans="1:12" ht="24" thickBot="1" x14ac:dyDescent="0.4">
      <c r="A98" s="82" t="s">
        <v>219</v>
      </c>
      <c r="B98" s="82"/>
      <c r="C98" s="82"/>
      <c r="D98" s="82"/>
      <c r="E98" s="30"/>
      <c r="F98" s="30"/>
      <c r="G98" s="30"/>
      <c r="H98" s="30"/>
      <c r="I98" s="30"/>
      <c r="J98" s="83">
        <v>44835</v>
      </c>
      <c r="K98" s="83"/>
    </row>
    <row r="99" spans="1:12" ht="15.75" thickBot="1" x14ac:dyDescent="0.3">
      <c r="A99" s="3" t="s">
        <v>0</v>
      </c>
      <c r="B99" s="4" t="s">
        <v>1</v>
      </c>
      <c r="C99" s="4" t="s">
        <v>2</v>
      </c>
      <c r="D99" s="4" t="s">
        <v>54</v>
      </c>
      <c r="E99" s="4" t="s">
        <v>34</v>
      </c>
      <c r="F99" s="4" t="s">
        <v>4</v>
      </c>
      <c r="G99" s="5" t="s">
        <v>5</v>
      </c>
      <c r="H99" s="4" t="s">
        <v>29</v>
      </c>
      <c r="I99" s="4" t="s">
        <v>28</v>
      </c>
      <c r="J99" s="4" t="s">
        <v>9</v>
      </c>
      <c r="K99" s="4" t="s">
        <v>15</v>
      </c>
    </row>
    <row r="100" spans="1:12" x14ac:dyDescent="0.25">
      <c r="A100" s="17">
        <v>45205</v>
      </c>
      <c r="B100" s="13">
        <v>6</v>
      </c>
      <c r="C100" s="13">
        <v>3</v>
      </c>
      <c r="D100" s="11">
        <v>1</v>
      </c>
      <c r="E100" s="11"/>
      <c r="F100" s="7"/>
      <c r="G100" s="7"/>
      <c r="H100" s="8">
        <v>118723.41</v>
      </c>
      <c r="I100" s="8">
        <v>24931.916099999999</v>
      </c>
      <c r="J100" s="8"/>
      <c r="K100" s="8">
        <f>SUM(H100:J100)</f>
        <v>143655.32610000001</v>
      </c>
    </row>
    <row r="101" spans="1:12" ht="15.75" thickBot="1" x14ac:dyDescent="0.3">
      <c r="A101" s="84" t="s">
        <v>33</v>
      </c>
      <c r="B101" s="85"/>
      <c r="C101" s="85"/>
      <c r="D101" s="85"/>
      <c r="E101" s="85"/>
      <c r="F101" s="85"/>
      <c r="G101" s="86"/>
      <c r="H101" s="40">
        <f>SUM(H100:H100)</f>
        <v>118723.41</v>
      </c>
      <c r="I101" s="40">
        <f>SUM(I100:I100)</f>
        <v>24931.916099999999</v>
      </c>
      <c r="J101" s="40">
        <f>SUM(J100:J100)</f>
        <v>0</v>
      </c>
      <c r="K101" s="40">
        <f>SUM(K100:K100)</f>
        <v>143655.32610000001</v>
      </c>
    </row>
    <row r="102" spans="1:12" ht="15.75" thickBot="1" x14ac:dyDescent="0.3">
      <c r="A102" s="30"/>
      <c r="C102" s="30"/>
      <c r="D102" s="30"/>
      <c r="E102" s="30"/>
      <c r="F102" s="30"/>
      <c r="G102" s="30"/>
      <c r="H102" s="30"/>
      <c r="I102" s="80">
        <f>SUM(I101:J101)</f>
        <v>24931.916099999999</v>
      </c>
      <c r="J102" s="81"/>
      <c r="K102" s="30"/>
    </row>
    <row r="103" spans="1:12" ht="18.75" customHeight="1" x14ac:dyDescent="0.25">
      <c r="A103" s="87" t="s">
        <v>129</v>
      </c>
      <c r="B103" s="87"/>
      <c r="C103" s="30"/>
      <c r="D103" s="30"/>
      <c r="E103" s="30"/>
      <c r="F103" s="30"/>
      <c r="G103" s="30"/>
      <c r="H103" s="30"/>
    </row>
    <row r="104" spans="1:12" x14ac:dyDescent="0.25">
      <c r="A104" s="60" t="s">
        <v>0</v>
      </c>
      <c r="B104" s="54" t="s">
        <v>130</v>
      </c>
      <c r="C104" s="54" t="s">
        <v>4</v>
      </c>
      <c r="D104" s="54" t="s">
        <v>5</v>
      </c>
      <c r="E104" s="54" t="s">
        <v>131</v>
      </c>
      <c r="F104" s="54" t="s">
        <v>132</v>
      </c>
      <c r="G104" s="55" t="s">
        <v>44</v>
      </c>
      <c r="H104" s="55" t="s">
        <v>15</v>
      </c>
    </row>
    <row r="105" spans="1:12" s="30" customFormat="1" x14ac:dyDescent="0.25">
      <c r="A105" s="61">
        <v>44851</v>
      </c>
      <c r="B105" s="62">
        <v>50</v>
      </c>
      <c r="C105" s="62">
        <v>55000000050</v>
      </c>
      <c r="D105" s="63"/>
      <c r="E105" s="65">
        <v>5500</v>
      </c>
      <c r="F105" s="63"/>
      <c r="G105" s="63">
        <v>151.63999999999999</v>
      </c>
      <c r="H105" s="64">
        <f>Table_74[[#This Row],[USD]]*Table_74[[#This Row],[T. CAMBIO]]</f>
        <v>834019.99999999988</v>
      </c>
    </row>
    <row r="106" spans="1:12" s="30" customFormat="1" x14ac:dyDescent="0.25">
      <c r="A106" s="56">
        <v>44860</v>
      </c>
      <c r="B106" s="57">
        <v>51</v>
      </c>
      <c r="C106" s="57">
        <v>55000000050</v>
      </c>
      <c r="D106" s="58"/>
      <c r="E106" s="66">
        <v>5500</v>
      </c>
      <c r="F106" s="58"/>
      <c r="G106" s="58">
        <v>154.74</v>
      </c>
      <c r="H106" s="59">
        <f>Table_74[[#This Row],[USD]]*Table_74[[#This Row],[T. CAMBIO]]</f>
        <v>851070</v>
      </c>
    </row>
    <row r="107" spans="1:12" s="30" customFormat="1" x14ac:dyDescent="0.25">
      <c r="A107" s="56">
        <v>44860</v>
      </c>
      <c r="B107" s="57">
        <v>11</v>
      </c>
      <c r="C107" s="57">
        <v>55000000050</v>
      </c>
      <c r="D107" s="58"/>
      <c r="E107" s="66">
        <v>-5500</v>
      </c>
      <c r="F107" s="58"/>
      <c r="G107" s="58">
        <v>146.26</v>
      </c>
      <c r="H107" s="59">
        <f>Table_74[[#This Row],[USD]]*Table_74[[#This Row],[T. CAMBIO]]</f>
        <v>-804430</v>
      </c>
    </row>
    <row r="108" spans="1:12" s="30" customFormat="1" x14ac:dyDescent="0.25">
      <c r="A108" s="56">
        <v>44860</v>
      </c>
      <c r="B108" s="57">
        <v>12</v>
      </c>
      <c r="C108" s="57">
        <v>55000000050</v>
      </c>
      <c r="D108" s="58"/>
      <c r="E108" s="66">
        <v>-5500</v>
      </c>
      <c r="F108" s="58"/>
      <c r="G108" s="58">
        <v>151.63999999999999</v>
      </c>
      <c r="H108" s="59">
        <f>Table_74[[#This Row],[USD]]*Table_74[[#This Row],[T. CAMBIO]]</f>
        <v>-834019.99999999988</v>
      </c>
    </row>
    <row r="109" spans="1:12" s="30" customFormat="1" x14ac:dyDescent="0.25">
      <c r="A109" s="56">
        <v>44860</v>
      </c>
      <c r="B109" s="57">
        <v>13</v>
      </c>
      <c r="C109" s="57">
        <v>55000004072</v>
      </c>
      <c r="D109" s="58"/>
      <c r="E109" s="66">
        <v>-7935</v>
      </c>
      <c r="F109" s="58"/>
      <c r="G109" s="58">
        <v>129.58000000000001</v>
      </c>
      <c r="H109" s="59">
        <f>Table_74[[#This Row],[USD]]*Table_74[[#This Row],[T. CAMBIO]]</f>
        <v>-1028217.3</v>
      </c>
    </row>
    <row r="110" spans="1:12" ht="15.75" thickBot="1" x14ac:dyDescent="0.3">
      <c r="A110" s="46"/>
      <c r="B110" s="47" t="s">
        <v>15</v>
      </c>
      <c r="C110" s="45"/>
      <c r="D110" s="44"/>
      <c r="E110" s="40">
        <f>SUM(E105:E109)</f>
        <v>-7935</v>
      </c>
      <c r="F110" s="40">
        <f t="shared" ref="F110:H110" si="14">SUM(F105:F109)</f>
        <v>0</v>
      </c>
      <c r="G110" s="40">
        <f t="shared" si="14"/>
        <v>733.86</v>
      </c>
      <c r="H110" s="40">
        <f t="shared" si="14"/>
        <v>-981577.29999999993</v>
      </c>
    </row>
    <row r="112" spans="1:12" ht="24" thickBot="1" x14ac:dyDescent="0.4">
      <c r="A112" s="82" t="s">
        <v>114</v>
      </c>
      <c r="B112" s="82"/>
      <c r="C112" s="82"/>
      <c r="D112" s="82"/>
      <c r="E112" s="30"/>
      <c r="F112" s="30"/>
      <c r="G112" s="30"/>
      <c r="H112" s="30"/>
      <c r="I112" s="30"/>
      <c r="J112" s="83">
        <v>44866</v>
      </c>
      <c r="K112" s="83"/>
      <c r="L112" s="71"/>
    </row>
    <row r="113" spans="1:12" ht="15.75" thickBot="1" x14ac:dyDescent="0.3">
      <c r="A113" s="3" t="s">
        <v>0</v>
      </c>
      <c r="B113" s="4" t="s">
        <v>1</v>
      </c>
      <c r="C113" s="4" t="s">
        <v>2</v>
      </c>
      <c r="D113" s="4" t="s">
        <v>54</v>
      </c>
      <c r="E113" s="4" t="s">
        <v>34</v>
      </c>
      <c r="F113" s="4" t="s">
        <v>4</v>
      </c>
      <c r="G113" s="5" t="s">
        <v>5</v>
      </c>
      <c r="H113" s="4" t="s">
        <v>29</v>
      </c>
      <c r="I113" s="4" t="s">
        <v>28</v>
      </c>
      <c r="J113" s="4" t="s">
        <v>9</v>
      </c>
      <c r="K113" s="5" t="s">
        <v>15</v>
      </c>
      <c r="L113" s="69"/>
    </row>
    <row r="114" spans="1:12" x14ac:dyDescent="0.25">
      <c r="A114" s="17">
        <v>44866</v>
      </c>
      <c r="B114" s="13">
        <v>1</v>
      </c>
      <c r="C114" s="13">
        <v>3</v>
      </c>
      <c r="D114" s="11">
        <v>92</v>
      </c>
      <c r="E114" s="11">
        <v>80</v>
      </c>
      <c r="F114" s="11">
        <v>30638318470</v>
      </c>
      <c r="G114" s="7" t="s">
        <v>31</v>
      </c>
      <c r="H114" s="8">
        <v>6161855.7000000002</v>
      </c>
      <c r="I114" s="8"/>
      <c r="J114" s="8">
        <v>659681.022</v>
      </c>
      <c r="K114" s="8">
        <f t="shared" ref="K114:K121" si="15">SUM(H114:J114)</f>
        <v>6821536.7220000001</v>
      </c>
    </row>
    <row r="115" spans="1:12" x14ac:dyDescent="0.25">
      <c r="A115" s="19">
        <v>44866</v>
      </c>
      <c r="B115" s="14">
        <v>1</v>
      </c>
      <c r="C115" s="14">
        <v>3</v>
      </c>
      <c r="D115" s="12">
        <v>93</v>
      </c>
      <c r="E115" s="11">
        <v>80</v>
      </c>
      <c r="F115" s="11">
        <v>30638318470</v>
      </c>
      <c r="G115" s="9" t="s">
        <v>31</v>
      </c>
      <c r="H115" s="10">
        <v>1155067.8594</v>
      </c>
      <c r="I115" s="10">
        <v>242564.25047399997</v>
      </c>
      <c r="J115" s="10"/>
      <c r="K115" s="8">
        <f t="shared" si="15"/>
        <v>1397632.1098739998</v>
      </c>
    </row>
    <row r="116" spans="1:12" x14ac:dyDescent="0.25">
      <c r="A116" s="19">
        <v>44873</v>
      </c>
      <c r="B116" s="14">
        <v>1</v>
      </c>
      <c r="C116" s="14">
        <v>3</v>
      </c>
      <c r="D116" s="12">
        <v>94</v>
      </c>
      <c r="E116" s="11">
        <v>80</v>
      </c>
      <c r="F116" s="11">
        <v>30628274327</v>
      </c>
      <c r="G116" s="9" t="s">
        <v>128</v>
      </c>
      <c r="H116" s="10">
        <v>4274303.4000000004</v>
      </c>
      <c r="I116" s="10"/>
      <c r="J116" s="10">
        <v>448801.85700000002</v>
      </c>
      <c r="K116" s="8">
        <f t="shared" si="15"/>
        <v>4723105.2570000002</v>
      </c>
    </row>
    <row r="117" spans="1:12" x14ac:dyDescent="0.25">
      <c r="A117" s="19">
        <v>44881</v>
      </c>
      <c r="B117" s="14">
        <v>1</v>
      </c>
      <c r="C117" s="14">
        <v>3</v>
      </c>
      <c r="D117" s="12">
        <v>95</v>
      </c>
      <c r="E117" s="11">
        <v>80</v>
      </c>
      <c r="F117" s="11">
        <v>33717088269</v>
      </c>
      <c r="G117" s="9" t="s">
        <v>115</v>
      </c>
      <c r="H117" s="10">
        <v>661449.6</v>
      </c>
      <c r="I117" s="10">
        <v>138904.416</v>
      </c>
      <c r="J117" s="10"/>
      <c r="K117" s="8">
        <f t="shared" si="15"/>
        <v>800354.01599999995</v>
      </c>
    </row>
    <row r="118" spans="1:12" x14ac:dyDescent="0.25">
      <c r="A118" s="19">
        <v>44887</v>
      </c>
      <c r="B118" s="14">
        <v>1</v>
      </c>
      <c r="C118" s="14">
        <v>3</v>
      </c>
      <c r="D118" s="12">
        <v>96</v>
      </c>
      <c r="E118" s="11">
        <v>80</v>
      </c>
      <c r="F118" s="11">
        <v>30711569843</v>
      </c>
      <c r="G118" s="9" t="s">
        <v>256</v>
      </c>
      <c r="H118" s="10">
        <v>81590</v>
      </c>
      <c r="I118" s="10">
        <v>17133.899999999998</v>
      </c>
      <c r="J118" s="10"/>
      <c r="K118" s="8">
        <f t="shared" si="15"/>
        <v>98723.9</v>
      </c>
    </row>
    <row r="119" spans="1:12" x14ac:dyDescent="0.25">
      <c r="A119" s="19">
        <v>44887</v>
      </c>
      <c r="B119" s="14">
        <v>1</v>
      </c>
      <c r="C119" s="14">
        <v>3</v>
      </c>
      <c r="D119" s="12">
        <v>97</v>
      </c>
      <c r="E119" s="11">
        <v>80</v>
      </c>
      <c r="F119" s="11">
        <v>30638318470</v>
      </c>
      <c r="G119" s="9" t="s">
        <v>31</v>
      </c>
      <c r="H119" s="10">
        <v>169217.66</v>
      </c>
      <c r="I119" s="10">
        <v>35535.708599999998</v>
      </c>
      <c r="J119" s="10"/>
      <c r="K119" s="8">
        <f t="shared" si="15"/>
        <v>204753.36859999999</v>
      </c>
    </row>
    <row r="120" spans="1:12" x14ac:dyDescent="0.25">
      <c r="A120" s="19">
        <v>44887</v>
      </c>
      <c r="B120" s="14">
        <v>1</v>
      </c>
      <c r="C120" s="14">
        <v>3</v>
      </c>
      <c r="D120" s="12">
        <v>98</v>
      </c>
      <c r="E120" s="11">
        <v>80</v>
      </c>
      <c r="F120" s="11">
        <v>30638318470</v>
      </c>
      <c r="G120" s="9" t="s">
        <v>31</v>
      </c>
      <c r="H120" s="10">
        <v>2313947.8812000002</v>
      </c>
      <c r="I120" s="10"/>
      <c r="J120" s="10">
        <v>321454.80920000002</v>
      </c>
      <c r="K120" s="8">
        <f t="shared" si="15"/>
        <v>2635402.6904000002</v>
      </c>
    </row>
    <row r="121" spans="1:12" x14ac:dyDescent="0.25">
      <c r="A121" s="19">
        <v>44895</v>
      </c>
      <c r="B121" s="14">
        <v>3</v>
      </c>
      <c r="C121" s="14">
        <v>3</v>
      </c>
      <c r="D121" s="12">
        <v>14</v>
      </c>
      <c r="E121" s="11">
        <v>80</v>
      </c>
      <c r="F121" s="11">
        <v>30628274327</v>
      </c>
      <c r="G121" s="9" t="s">
        <v>128</v>
      </c>
      <c r="H121" s="10">
        <v>-4274303.4000000004</v>
      </c>
      <c r="I121" s="10"/>
      <c r="J121" s="10">
        <v>-448801.85700000002</v>
      </c>
      <c r="K121" s="8">
        <f t="shared" si="15"/>
        <v>-4723105.2570000002</v>
      </c>
    </row>
    <row r="122" spans="1:12" ht="15.75" thickBot="1" x14ac:dyDescent="0.3">
      <c r="A122" s="84" t="s">
        <v>33</v>
      </c>
      <c r="B122" s="85"/>
      <c r="C122" s="85"/>
      <c r="D122" s="85"/>
      <c r="E122" s="85"/>
      <c r="F122" s="85"/>
      <c r="G122" s="86"/>
      <c r="H122" s="40">
        <f>SUM(H114:H121)</f>
        <v>10543128.7006</v>
      </c>
      <c r="I122" s="40">
        <f>SUM(I114:I121)</f>
        <v>434138.275074</v>
      </c>
      <c r="J122" s="40">
        <f>SUM(J114:J121)</f>
        <v>981135.8311999999</v>
      </c>
      <c r="K122" s="40">
        <f>SUM(K114:K121)</f>
        <v>11958402.806874003</v>
      </c>
    </row>
    <row r="123" spans="1:12" ht="15.75" thickBot="1" x14ac:dyDescent="0.3">
      <c r="A123" s="30"/>
      <c r="C123" s="30"/>
      <c r="D123" s="30"/>
      <c r="E123" s="30"/>
      <c r="F123" s="30"/>
      <c r="G123" s="30"/>
      <c r="H123" s="30"/>
      <c r="I123" s="80">
        <f>SUM(I122:J122)</f>
        <v>1415274.1062739999</v>
      </c>
      <c r="J123" s="81"/>
      <c r="K123" s="30"/>
    </row>
    <row r="124" spans="1:12" ht="18" customHeight="1" x14ac:dyDescent="0.25">
      <c r="A124" s="87" t="s">
        <v>129</v>
      </c>
      <c r="B124" s="87"/>
      <c r="C124" s="30"/>
      <c r="D124" s="30"/>
      <c r="E124" s="30"/>
      <c r="F124" s="30"/>
      <c r="G124" s="30"/>
      <c r="H124" s="30"/>
    </row>
    <row r="125" spans="1:12" x14ac:dyDescent="0.25">
      <c r="A125" s="60" t="s">
        <v>0</v>
      </c>
      <c r="B125" s="54" t="s">
        <v>130</v>
      </c>
      <c r="C125" s="54" t="s">
        <v>4</v>
      </c>
      <c r="D125" s="54" t="s">
        <v>5</v>
      </c>
      <c r="E125" s="54" t="s">
        <v>131</v>
      </c>
      <c r="F125" s="54" t="s">
        <v>132</v>
      </c>
      <c r="G125" s="55" t="s">
        <v>44</v>
      </c>
      <c r="H125" s="55" t="s">
        <v>15</v>
      </c>
    </row>
    <row r="126" spans="1:12" x14ac:dyDescent="0.25">
      <c r="A126" s="61">
        <v>44872</v>
      </c>
      <c r="B126" s="62">
        <v>52</v>
      </c>
      <c r="C126" s="62"/>
      <c r="D126" s="63" t="s">
        <v>257</v>
      </c>
      <c r="E126" s="65">
        <v>1000</v>
      </c>
      <c r="F126" s="63"/>
      <c r="G126" s="63">
        <v>158.28</v>
      </c>
      <c r="H126" s="64">
        <f>Table_745[[#This Row],[USD]]*Table_745[[#This Row],[T. CAMBIO]]</f>
        <v>158280</v>
      </c>
    </row>
    <row r="127" spans="1:12" x14ac:dyDescent="0.25">
      <c r="A127" s="56">
        <v>44872</v>
      </c>
      <c r="B127" s="57">
        <v>53</v>
      </c>
      <c r="C127" s="57">
        <v>55000002223</v>
      </c>
      <c r="D127" s="58" t="s">
        <v>258</v>
      </c>
      <c r="E127" s="66">
        <v>2255</v>
      </c>
      <c r="F127" s="58"/>
      <c r="G127" s="58">
        <v>158.28</v>
      </c>
      <c r="H127" s="64">
        <f>Table_745[[#This Row],[USD]]*Table_745[[#This Row],[T. CAMBIO]]</f>
        <v>356921.4</v>
      </c>
    </row>
    <row r="128" spans="1:12" x14ac:dyDescent="0.25">
      <c r="A128" s="56">
        <v>44875</v>
      </c>
      <c r="B128" s="57">
        <v>54</v>
      </c>
      <c r="C128" s="57">
        <v>55000000050</v>
      </c>
      <c r="D128" s="58" t="s">
        <v>259</v>
      </c>
      <c r="E128" s="66">
        <v>6091.13</v>
      </c>
      <c r="F128" s="58"/>
      <c r="G128" s="58">
        <v>160.02000000000001</v>
      </c>
      <c r="H128" s="64">
        <f>Table_745[[#This Row],[USD]]*Table_745[[#This Row],[T. CAMBIO]]</f>
        <v>974702.62260000012</v>
      </c>
    </row>
    <row r="129" spans="1:11" x14ac:dyDescent="0.25">
      <c r="A129" s="56">
        <v>44875</v>
      </c>
      <c r="B129" s="57">
        <v>55</v>
      </c>
      <c r="C129" s="57">
        <v>55000000050</v>
      </c>
      <c r="D129" s="58" t="s">
        <v>259</v>
      </c>
      <c r="E129" s="66">
        <v>6091.13</v>
      </c>
      <c r="F129" s="58"/>
      <c r="G129" s="58">
        <v>161.78</v>
      </c>
      <c r="H129" s="64">
        <f>Table_745[[#This Row],[USD]]*Table_745[[#This Row],[T. CAMBIO]]</f>
        <v>985423.01140000008</v>
      </c>
    </row>
    <row r="130" spans="1:11" x14ac:dyDescent="0.25">
      <c r="A130" s="56">
        <v>44880</v>
      </c>
      <c r="B130" s="57">
        <v>14</v>
      </c>
      <c r="C130" s="57">
        <v>55000000050</v>
      </c>
      <c r="D130" s="58" t="s">
        <v>259</v>
      </c>
      <c r="E130" s="66">
        <v>-6091.13</v>
      </c>
      <c r="F130" s="58"/>
      <c r="G130" s="58">
        <v>161.78</v>
      </c>
      <c r="H130" s="64">
        <f>Table_745[[#This Row],[USD]]*Table_745[[#This Row],[T. CAMBIO]]</f>
        <v>-985423.01140000008</v>
      </c>
    </row>
    <row r="131" spans="1:11" ht="15.75" thickBot="1" x14ac:dyDescent="0.3">
      <c r="A131" s="46"/>
      <c r="B131" s="47" t="s">
        <v>15</v>
      </c>
      <c r="C131" s="45"/>
      <c r="D131" s="44"/>
      <c r="E131" s="40">
        <f>SUM(E126:E130)</f>
        <v>9346.130000000001</v>
      </c>
      <c r="F131" s="40">
        <f t="shared" ref="F131" si="16">SUM(F126:F130)</f>
        <v>0</v>
      </c>
      <c r="G131" s="40">
        <f t="shared" ref="G131" si="17">SUM(G126:G130)</f>
        <v>800.14</v>
      </c>
      <c r="H131" s="40">
        <f>Table_745[[#This Row],[USD]]*Table_745[[#This Row],[T. CAMBIO]]</f>
        <v>7478212.4582000002</v>
      </c>
    </row>
    <row r="132" spans="1:11" x14ac:dyDescent="0.25">
      <c r="A132" s="30"/>
      <c r="C132" s="30"/>
      <c r="D132" s="30"/>
      <c r="E132" s="30"/>
      <c r="F132" s="30"/>
      <c r="G132" s="30"/>
      <c r="H132" s="30"/>
    </row>
    <row r="133" spans="1:11" ht="24" thickBot="1" x14ac:dyDescent="0.4">
      <c r="A133" s="82" t="s">
        <v>114</v>
      </c>
      <c r="B133" s="82"/>
      <c r="C133" s="82"/>
      <c r="D133" s="82"/>
      <c r="E133" s="30"/>
      <c r="F133" s="30"/>
      <c r="G133" s="30"/>
      <c r="H133" s="30"/>
      <c r="I133" s="30"/>
      <c r="J133" s="83">
        <v>44896</v>
      </c>
      <c r="K133" s="83"/>
    </row>
    <row r="134" spans="1:11" ht="15.75" thickBot="1" x14ac:dyDescent="0.3">
      <c r="A134" s="3" t="s">
        <v>0</v>
      </c>
      <c r="B134" s="4" t="s">
        <v>1</v>
      </c>
      <c r="C134" s="4" t="s">
        <v>2</v>
      </c>
      <c r="D134" s="4" t="s">
        <v>54</v>
      </c>
      <c r="E134" s="4" t="s">
        <v>34</v>
      </c>
      <c r="F134" s="4" t="s">
        <v>4</v>
      </c>
      <c r="G134" s="5" t="s">
        <v>5</v>
      </c>
      <c r="H134" s="4" t="s">
        <v>29</v>
      </c>
      <c r="I134" s="4" t="s">
        <v>28</v>
      </c>
      <c r="J134" s="4" t="s">
        <v>9</v>
      </c>
      <c r="K134" s="5" t="s">
        <v>15</v>
      </c>
    </row>
    <row r="135" spans="1:11" x14ac:dyDescent="0.25">
      <c r="A135" s="17" t="s">
        <v>269</v>
      </c>
      <c r="B135" s="13">
        <v>1</v>
      </c>
      <c r="C135" s="13">
        <v>3</v>
      </c>
      <c r="D135" s="11">
        <v>99</v>
      </c>
      <c r="E135" s="11">
        <v>80</v>
      </c>
      <c r="F135" s="11">
        <v>30628274327</v>
      </c>
      <c r="G135" s="7" t="s">
        <v>128</v>
      </c>
      <c r="H135" s="8">
        <v>4477867.2</v>
      </c>
      <c r="I135" s="8"/>
      <c r="J135" s="8">
        <v>470176.05600000004</v>
      </c>
      <c r="K135" s="8">
        <f>SUM(H135:J135)</f>
        <v>4948043.2560000001</v>
      </c>
    </row>
    <row r="136" spans="1:11" x14ac:dyDescent="0.25">
      <c r="A136" s="19" t="s">
        <v>269</v>
      </c>
      <c r="B136" s="14">
        <v>1</v>
      </c>
      <c r="C136" s="14">
        <v>3</v>
      </c>
      <c r="D136" s="12">
        <v>100</v>
      </c>
      <c r="E136" s="11">
        <v>80</v>
      </c>
      <c r="F136" s="11">
        <v>30638318470</v>
      </c>
      <c r="G136" s="9" t="s">
        <v>31</v>
      </c>
      <c r="H136" s="10">
        <v>515222.4</v>
      </c>
      <c r="I136" s="10">
        <v>108196.704</v>
      </c>
      <c r="J136" s="10"/>
      <c r="K136" s="8">
        <f>SUM(H136:J136)</f>
        <v>623419.10400000005</v>
      </c>
    </row>
    <row r="137" spans="1:11" x14ac:dyDescent="0.25">
      <c r="A137" s="19" t="s">
        <v>269</v>
      </c>
      <c r="B137" s="14">
        <v>1</v>
      </c>
      <c r="C137" s="14">
        <v>3</v>
      </c>
      <c r="D137" s="12">
        <v>101</v>
      </c>
      <c r="E137" s="11">
        <v>80</v>
      </c>
      <c r="F137" s="11">
        <v>30715595105</v>
      </c>
      <c r="G137" s="9" t="s">
        <v>214</v>
      </c>
      <c r="H137" s="10">
        <v>66912</v>
      </c>
      <c r="I137" s="10">
        <v>14051.519999999999</v>
      </c>
      <c r="J137" s="10"/>
      <c r="K137" s="8">
        <f>SUM(H137:J137)</f>
        <v>80963.520000000004</v>
      </c>
    </row>
    <row r="138" spans="1:11" x14ac:dyDescent="0.25">
      <c r="A138" s="19" t="s">
        <v>270</v>
      </c>
      <c r="B138" s="14">
        <v>1</v>
      </c>
      <c r="C138" s="14">
        <v>3</v>
      </c>
      <c r="D138" s="12">
        <v>102</v>
      </c>
      <c r="E138" s="11">
        <v>80</v>
      </c>
      <c r="F138" s="11">
        <v>33717088269</v>
      </c>
      <c r="G138" s="9" t="s">
        <v>115</v>
      </c>
      <c r="H138" s="10">
        <v>902000</v>
      </c>
      <c r="I138" s="10">
        <v>189420</v>
      </c>
      <c r="J138" s="10"/>
      <c r="K138" s="8">
        <f>SUM(H138:J138)</f>
        <v>1091420</v>
      </c>
    </row>
    <row r="139" spans="1:11" x14ac:dyDescent="0.25">
      <c r="A139" s="19" t="s">
        <v>270</v>
      </c>
      <c r="B139" s="14">
        <v>1</v>
      </c>
      <c r="C139" s="14">
        <v>3</v>
      </c>
      <c r="D139" s="12">
        <v>103</v>
      </c>
      <c r="E139" s="11">
        <v>80</v>
      </c>
      <c r="F139" s="11">
        <v>30574668715</v>
      </c>
      <c r="G139" s="9" t="s">
        <v>164</v>
      </c>
      <c r="H139" s="10">
        <v>40659.4</v>
      </c>
      <c r="I139" s="10">
        <v>8538.4740000000002</v>
      </c>
      <c r="J139" s="10"/>
      <c r="K139" s="8">
        <f>SUM(H139:J139)</f>
        <v>49197.874000000003</v>
      </c>
    </row>
    <row r="140" spans="1:11" ht="15.75" thickBot="1" x14ac:dyDescent="0.3">
      <c r="A140" s="84" t="s">
        <v>33</v>
      </c>
      <c r="B140" s="85"/>
      <c r="C140" s="85"/>
      <c r="D140" s="85"/>
      <c r="E140" s="85"/>
      <c r="F140" s="85"/>
      <c r="G140" s="86"/>
      <c r="H140" s="40">
        <f>SUM(H135:H139)</f>
        <v>6002661.0000000009</v>
      </c>
      <c r="I140" s="40">
        <f>SUM(I135:I139)</f>
        <v>320206.69799999997</v>
      </c>
      <c r="J140" s="40">
        <f>SUM(J135:J139)</f>
        <v>470176.05600000004</v>
      </c>
      <c r="K140" s="40">
        <f>SUM(K135:K139)</f>
        <v>6793043.7539999997</v>
      </c>
    </row>
    <row r="141" spans="1:11" ht="15.75" thickBot="1" x14ac:dyDescent="0.3">
      <c r="A141" s="30"/>
      <c r="C141" s="30"/>
      <c r="D141" s="30"/>
      <c r="E141" s="30"/>
      <c r="F141" s="30"/>
      <c r="G141" s="30"/>
      <c r="H141" s="30"/>
      <c r="I141" s="80">
        <f>SUM(I140:J140)</f>
        <v>790382.75399999996</v>
      </c>
      <c r="J141" s="81"/>
      <c r="K141" s="30"/>
    </row>
    <row r="142" spans="1:11" ht="24" thickBot="1" x14ac:dyDescent="0.4">
      <c r="A142" s="82" t="s">
        <v>219</v>
      </c>
      <c r="B142" s="82"/>
      <c r="C142" s="82"/>
      <c r="D142" s="82"/>
      <c r="E142" s="30"/>
      <c r="F142" s="30"/>
      <c r="G142" s="30"/>
      <c r="H142" s="30"/>
      <c r="I142" s="30"/>
      <c r="J142" s="83">
        <v>44896</v>
      </c>
      <c r="K142" s="83"/>
    </row>
    <row r="143" spans="1:11" ht="15.75" thickBot="1" x14ac:dyDescent="0.3">
      <c r="A143" s="3" t="s">
        <v>0</v>
      </c>
      <c r="B143" s="4" t="s">
        <v>1</v>
      </c>
      <c r="C143" s="4" t="s">
        <v>2</v>
      </c>
      <c r="D143" s="4" t="s">
        <v>54</v>
      </c>
      <c r="E143" s="4" t="s">
        <v>34</v>
      </c>
      <c r="F143" s="4" t="s">
        <v>4</v>
      </c>
      <c r="G143" s="5" t="s">
        <v>5</v>
      </c>
      <c r="H143" s="4" t="s">
        <v>29</v>
      </c>
      <c r="I143" s="4" t="s">
        <v>28</v>
      </c>
      <c r="J143" s="4" t="s">
        <v>9</v>
      </c>
      <c r="K143" s="4" t="s">
        <v>15</v>
      </c>
    </row>
    <row r="144" spans="1:11" x14ac:dyDescent="0.25">
      <c r="A144" s="17" t="s">
        <v>271</v>
      </c>
      <c r="B144" s="13">
        <v>6</v>
      </c>
      <c r="C144" s="13">
        <v>3</v>
      </c>
      <c r="D144" s="11">
        <v>2</v>
      </c>
      <c r="E144" s="11"/>
      <c r="F144" s="7"/>
      <c r="G144" s="7"/>
      <c r="H144" s="8">
        <v>73341</v>
      </c>
      <c r="I144" s="8">
        <v>15401.609999999999</v>
      </c>
      <c r="J144" s="8"/>
      <c r="K144" s="8">
        <f>SUM(H144:J144)</f>
        <v>88742.61</v>
      </c>
    </row>
    <row r="145" spans="1:11" ht="15.75" thickBot="1" x14ac:dyDescent="0.3">
      <c r="A145" s="84" t="s">
        <v>33</v>
      </c>
      <c r="B145" s="85"/>
      <c r="C145" s="85"/>
      <c r="D145" s="85"/>
      <c r="E145" s="85"/>
      <c r="F145" s="85"/>
      <c r="G145" s="86"/>
      <c r="H145" s="40">
        <f>SUM(H144:H144)</f>
        <v>73341</v>
      </c>
      <c r="I145" s="40">
        <f>SUM(I144:I144)</f>
        <v>15401.609999999999</v>
      </c>
      <c r="J145" s="40">
        <f>SUM(J144:J144)</f>
        <v>0</v>
      </c>
      <c r="K145" s="40">
        <f>SUM(K144:K144)</f>
        <v>88742.61</v>
      </c>
    </row>
    <row r="146" spans="1:11" ht="15.75" thickBot="1" x14ac:dyDescent="0.3">
      <c r="A146" s="30"/>
      <c r="C146" s="30"/>
      <c r="D146" s="30"/>
      <c r="E146" s="30"/>
      <c r="F146" s="30"/>
      <c r="G146" s="30"/>
      <c r="H146" s="30"/>
      <c r="I146" s="80">
        <f>SUM(I145:J145)</f>
        <v>15401.609999999999</v>
      </c>
      <c r="J146" s="81"/>
      <c r="K146" s="30"/>
    </row>
    <row r="148" spans="1:11" x14ac:dyDescent="0.25">
      <c r="A148" s="87" t="s">
        <v>129</v>
      </c>
      <c r="B148" s="87"/>
      <c r="C148" s="30"/>
      <c r="D148" s="30"/>
      <c r="E148" s="30"/>
      <c r="F148" s="30"/>
      <c r="G148" s="30"/>
      <c r="H148" s="30"/>
    </row>
    <row r="149" spans="1:11" x14ac:dyDescent="0.25">
      <c r="A149" s="60" t="s">
        <v>0</v>
      </c>
      <c r="B149" s="54" t="s">
        <v>130</v>
      </c>
      <c r="C149" s="54" t="s">
        <v>4</v>
      </c>
      <c r="D149" s="54" t="s">
        <v>5</v>
      </c>
      <c r="E149" s="54" t="s">
        <v>131</v>
      </c>
      <c r="F149" s="54" t="s">
        <v>132</v>
      </c>
      <c r="G149" s="55" t="s">
        <v>44</v>
      </c>
      <c r="H149" s="55" t="s">
        <v>15</v>
      </c>
    </row>
    <row r="150" spans="1:11" x14ac:dyDescent="0.25">
      <c r="A150" s="61" t="s">
        <v>272</v>
      </c>
      <c r="B150" s="62">
        <v>56</v>
      </c>
      <c r="C150" s="62">
        <v>55000000050</v>
      </c>
      <c r="D150" s="63"/>
      <c r="E150" s="65">
        <v>11000</v>
      </c>
      <c r="F150" s="63"/>
      <c r="G150" s="63">
        <v>168.09</v>
      </c>
      <c r="H150" s="64">
        <f>Table_7456[[#This Row],[USD]]*Table_7456[[#This Row],[T. CAMBIO]]</f>
        <v>1848990</v>
      </c>
    </row>
    <row r="151" spans="1:11" x14ac:dyDescent="0.25">
      <c r="A151" s="56" t="s">
        <v>271</v>
      </c>
      <c r="B151" s="57">
        <v>57</v>
      </c>
      <c r="C151" s="57">
        <v>55000002223</v>
      </c>
      <c r="D151" s="58"/>
      <c r="E151" s="66">
        <v>2922.5</v>
      </c>
      <c r="F151" s="58"/>
      <c r="G151" s="58">
        <v>174.28</v>
      </c>
      <c r="H151" s="64">
        <f>Table_7456[[#This Row],[USD]]*Table_7456[[#This Row],[T. CAMBIO]]</f>
        <v>509333.3</v>
      </c>
    </row>
    <row r="152" spans="1:11" ht="15.75" thickBot="1" x14ac:dyDescent="0.3">
      <c r="A152" s="46"/>
      <c r="B152" s="47" t="s">
        <v>15</v>
      </c>
      <c r="C152" s="45"/>
      <c r="D152" s="44"/>
      <c r="E152" s="40">
        <f>SUM(E150:E151)</f>
        <v>13922.5</v>
      </c>
      <c r="F152" s="40">
        <f>SUM(F150:F151)</f>
        <v>0</v>
      </c>
      <c r="G152" s="40">
        <f>SUM(G150:G151)</f>
        <v>342.37</v>
      </c>
      <c r="H152" s="40">
        <f>SUM(H150:H151)</f>
        <v>2358323.2999999998</v>
      </c>
    </row>
  </sheetData>
  <mergeCells count="60">
    <mergeCell ref="A140:G140"/>
    <mergeCell ref="A148:B148"/>
    <mergeCell ref="A60:G60"/>
    <mergeCell ref="A75:D75"/>
    <mergeCell ref="A96:G96"/>
    <mergeCell ref="A7:G7"/>
    <mergeCell ref="A13:G13"/>
    <mergeCell ref="A22:G22"/>
    <mergeCell ref="I23:J23"/>
    <mergeCell ref="J9:K9"/>
    <mergeCell ref="J1:K1"/>
    <mergeCell ref="J15:K15"/>
    <mergeCell ref="A9:D9"/>
    <mergeCell ref="I8:J8"/>
    <mergeCell ref="I14:J14"/>
    <mergeCell ref="A1:E1"/>
    <mergeCell ref="A15:D15"/>
    <mergeCell ref="J36:K36"/>
    <mergeCell ref="I43:J43"/>
    <mergeCell ref="A44:D44"/>
    <mergeCell ref="J44:K44"/>
    <mergeCell ref="J24:K24"/>
    <mergeCell ref="A30:G30"/>
    <mergeCell ref="I31:J31"/>
    <mergeCell ref="A32:B32"/>
    <mergeCell ref="A42:G42"/>
    <mergeCell ref="A24:D24"/>
    <mergeCell ref="A36:D36"/>
    <mergeCell ref="I52:J52"/>
    <mergeCell ref="A51:G51"/>
    <mergeCell ref="A53:D53"/>
    <mergeCell ref="J53:K53"/>
    <mergeCell ref="I61:J61"/>
    <mergeCell ref="A63:D63"/>
    <mergeCell ref="J63:K63"/>
    <mergeCell ref="A73:G73"/>
    <mergeCell ref="I74:J74"/>
    <mergeCell ref="K82:L82"/>
    <mergeCell ref="A98:D98"/>
    <mergeCell ref="J98:K98"/>
    <mergeCell ref="A101:G101"/>
    <mergeCell ref="J75:K75"/>
    <mergeCell ref="A80:G80"/>
    <mergeCell ref="I81:J81"/>
    <mergeCell ref="A82:D82"/>
    <mergeCell ref="I102:J102"/>
    <mergeCell ref="A103:B103"/>
    <mergeCell ref="A112:D112"/>
    <mergeCell ref="A122:G122"/>
    <mergeCell ref="I97:J97"/>
    <mergeCell ref="I123:J123"/>
    <mergeCell ref="J112:K112"/>
    <mergeCell ref="A124:B124"/>
    <mergeCell ref="A133:D133"/>
    <mergeCell ref="J133:K133"/>
    <mergeCell ref="I141:J141"/>
    <mergeCell ref="A142:D142"/>
    <mergeCell ref="J142:K142"/>
    <mergeCell ref="A145:G145"/>
    <mergeCell ref="I146:J146"/>
  </mergeCells>
  <pageMargins left="0.7" right="0.7" top="0.75" bottom="0.75" header="0.3" footer="0.3"/>
  <pageSetup paperSize="5" scale="52" fitToHeight="0" orientation="portrait" horizontalDpi="0" verticalDpi="0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Compras</vt:lpstr>
      <vt:lpstr>Ventas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Usuario</cp:lastModifiedBy>
  <cp:lastPrinted>2023-10-30T15:12:39Z</cp:lastPrinted>
  <dcterms:created xsi:type="dcterms:W3CDTF">2022-05-31T16:33:21Z</dcterms:created>
  <dcterms:modified xsi:type="dcterms:W3CDTF">2023-10-30T15:14:41Z</dcterms:modified>
</cp:coreProperties>
</file>