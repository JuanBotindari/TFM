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CORITEC S.R.L\CPRA-VTAS 2022-2023\"/>
    </mc:Choice>
  </mc:AlternateContent>
  <xr:revisionPtr revIDLastSave="0" documentId="13_ncr:1_{8155CF68-B0DC-4FF0-AC81-446919181849}" xr6:coauthVersionLast="47" xr6:coauthVersionMax="47" xr10:uidLastSave="{00000000-0000-0000-0000-000000000000}"/>
  <bookViews>
    <workbookView xWindow="60" yWindow="60" windowWidth="14700" windowHeight="15405" tabRatio="670" firstSheet="8" activeTab="12" xr2:uid="{00000000-000D-0000-FFFF-FFFF00000000}"/>
  </bookViews>
  <sheets>
    <sheet name="Lista_CUIT" sheetId="1" r:id="rId1"/>
    <sheet name="Abr-22" sheetId="2" r:id="rId2"/>
    <sheet name="May-22" sheetId="3" r:id="rId3"/>
    <sheet name="Jun-22" sheetId="4" r:id="rId4"/>
    <sheet name="Jul-22" sheetId="5" r:id="rId5"/>
    <sheet name="Ago-22" sheetId="6" r:id="rId6"/>
    <sheet name="Sep-22" sheetId="7" r:id="rId7"/>
    <sheet name="Oct-22" sheetId="8" r:id="rId8"/>
    <sheet name="Nov-22" sheetId="9" r:id="rId9"/>
    <sheet name="Dic-22" sheetId="10" r:id="rId10"/>
    <sheet name="Ene-23" sheetId="11" r:id="rId11"/>
    <sheet name="Feb-23" sheetId="12" r:id="rId12"/>
    <sheet name="Mar-23" sheetId="13" r:id="rId13"/>
    <sheet name="Asto-Cpras" sheetId="14" r:id="rId14"/>
    <sheet name="Asto-Vta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8" l="1"/>
  <c r="I26" i="8"/>
  <c r="I34" i="8"/>
  <c r="I47" i="8"/>
  <c r="L172" i="14" l="1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M171" i="14"/>
  <c r="M169" i="14"/>
  <c r="H171" i="14"/>
  <c r="H169" i="14"/>
  <c r="C171" i="14"/>
  <c r="C169" i="14"/>
  <c r="G129" i="14"/>
  <c r="G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M126" i="14"/>
  <c r="C124" i="14"/>
  <c r="M124" i="14"/>
  <c r="H126" i="14"/>
  <c r="H124" i="14"/>
  <c r="B129" i="14"/>
  <c r="B128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G37" i="14"/>
  <c r="G36" i="14"/>
  <c r="G35" i="14"/>
  <c r="G34" i="14"/>
  <c r="G33" i="14"/>
  <c r="G32" i="14"/>
  <c r="G31" i="14"/>
  <c r="G30" i="14"/>
  <c r="G28" i="14"/>
  <c r="G27" i="14"/>
  <c r="G26" i="14"/>
  <c r="G25" i="14"/>
  <c r="G24" i="14"/>
  <c r="G23" i="14"/>
  <c r="G22" i="14"/>
  <c r="G21" i="14"/>
  <c r="G20" i="14"/>
  <c r="G13" i="14"/>
  <c r="G12" i="14"/>
  <c r="G11" i="14"/>
  <c r="G10" i="14"/>
  <c r="G9" i="14"/>
  <c r="G6" i="14"/>
  <c r="G7" i="14"/>
  <c r="G8" i="14"/>
  <c r="G14" i="14"/>
  <c r="G15" i="14"/>
  <c r="G16" i="14"/>
  <c r="G17" i="14"/>
  <c r="G18" i="14"/>
  <c r="G19" i="14"/>
  <c r="G29" i="14"/>
  <c r="M81" i="14"/>
  <c r="M79" i="14"/>
  <c r="H80" i="14"/>
  <c r="M36" i="14"/>
  <c r="H36" i="14"/>
  <c r="M34" i="14"/>
  <c r="H34" i="14"/>
  <c r="M172" i="14" l="1"/>
  <c r="M170" i="14"/>
  <c r="M168" i="14"/>
  <c r="M167" i="14"/>
  <c r="M166" i="14"/>
  <c r="M165" i="14"/>
  <c r="M164" i="14"/>
  <c r="M163" i="14"/>
  <c r="M162" i="14"/>
  <c r="M161" i="14"/>
  <c r="M160" i="14"/>
  <c r="M159" i="14"/>
  <c r="M158" i="14"/>
  <c r="M157" i="14"/>
  <c r="M156" i="14"/>
  <c r="M155" i="14"/>
  <c r="M154" i="14"/>
  <c r="M153" i="14"/>
  <c r="M152" i="14"/>
  <c r="M151" i="14"/>
  <c r="M150" i="14"/>
  <c r="M149" i="14"/>
  <c r="M148" i="14"/>
  <c r="M147" i="14"/>
  <c r="M146" i="14"/>
  <c r="M145" i="14"/>
  <c r="M144" i="14"/>
  <c r="M143" i="14"/>
  <c r="M142" i="14"/>
  <c r="M141" i="14"/>
  <c r="M140" i="14"/>
  <c r="H172" i="14"/>
  <c r="H170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C145" i="14"/>
  <c r="M100" i="14"/>
  <c r="H100" i="14"/>
  <c r="C100" i="14"/>
  <c r="M55" i="14"/>
  <c r="H55" i="14"/>
  <c r="C55" i="14"/>
  <c r="M10" i="14"/>
  <c r="H10" i="14"/>
  <c r="C172" i="14"/>
  <c r="C170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4" i="14"/>
  <c r="C143" i="14"/>
  <c r="C142" i="14"/>
  <c r="C141" i="14"/>
  <c r="C140" i="14"/>
  <c r="M127" i="14"/>
  <c r="M125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99" i="14"/>
  <c r="M98" i="14"/>
  <c r="M97" i="14"/>
  <c r="M96" i="14"/>
  <c r="M95" i="14"/>
  <c r="H127" i="14"/>
  <c r="H125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9" i="14"/>
  <c r="H98" i="14"/>
  <c r="H97" i="14"/>
  <c r="H96" i="14"/>
  <c r="H95" i="14"/>
  <c r="M25" i="14"/>
  <c r="M24" i="14"/>
  <c r="C74" i="14"/>
  <c r="C127" i="14"/>
  <c r="C125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99" i="14"/>
  <c r="C98" i="14"/>
  <c r="C97" i="14"/>
  <c r="C96" i="14"/>
  <c r="C95" i="14"/>
  <c r="M76" i="14"/>
  <c r="H76" i="14"/>
  <c r="C76" i="14"/>
  <c r="H50" i="14"/>
  <c r="H51" i="14"/>
  <c r="H52" i="14"/>
  <c r="H53" i="14"/>
  <c r="H54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7" i="14"/>
  <c r="H78" i="14"/>
  <c r="H82" i="14"/>
  <c r="G83" i="14"/>
  <c r="H83" i="14"/>
  <c r="M82" i="14"/>
  <c r="C82" i="14"/>
  <c r="M31" i="14"/>
  <c r="H31" i="14"/>
  <c r="M37" i="14"/>
  <c r="H37" i="14"/>
  <c r="M80" i="14"/>
  <c r="C80" i="14"/>
  <c r="M35" i="14"/>
  <c r="H35" i="14"/>
  <c r="M181" i="14"/>
  <c r="L181" i="14"/>
  <c r="H181" i="14"/>
  <c r="G181" i="14"/>
  <c r="C181" i="14"/>
  <c r="B181" i="14"/>
  <c r="M180" i="14"/>
  <c r="L180" i="14"/>
  <c r="H180" i="14"/>
  <c r="G180" i="14"/>
  <c r="C180" i="14"/>
  <c r="B180" i="14"/>
  <c r="M179" i="14"/>
  <c r="L179" i="14"/>
  <c r="H179" i="14"/>
  <c r="G179" i="14"/>
  <c r="C179" i="14"/>
  <c r="B179" i="14"/>
  <c r="M178" i="14"/>
  <c r="L178" i="14"/>
  <c r="H178" i="14"/>
  <c r="G178" i="14"/>
  <c r="C178" i="14"/>
  <c r="B178" i="14"/>
  <c r="M177" i="14"/>
  <c r="L177" i="14"/>
  <c r="H177" i="14"/>
  <c r="G177" i="14"/>
  <c r="C177" i="14"/>
  <c r="B177" i="14"/>
  <c r="M176" i="14"/>
  <c r="L176" i="14"/>
  <c r="H176" i="14"/>
  <c r="G176" i="14"/>
  <c r="C176" i="14"/>
  <c r="B176" i="14"/>
  <c r="M175" i="14"/>
  <c r="L175" i="14"/>
  <c r="H175" i="14"/>
  <c r="G175" i="14"/>
  <c r="C175" i="14"/>
  <c r="B175" i="14"/>
  <c r="M174" i="14"/>
  <c r="L174" i="14"/>
  <c r="H174" i="14"/>
  <c r="G174" i="14"/>
  <c r="C174" i="14"/>
  <c r="B174" i="14"/>
  <c r="M173" i="14"/>
  <c r="L173" i="14"/>
  <c r="H173" i="14"/>
  <c r="G173" i="14"/>
  <c r="C173" i="14"/>
  <c r="B173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H136" i="14"/>
  <c r="G136" i="14"/>
  <c r="H135" i="14"/>
  <c r="G135" i="14"/>
  <c r="H134" i="14"/>
  <c r="G134" i="14"/>
  <c r="H133" i="14"/>
  <c r="G133" i="14"/>
  <c r="H132" i="14"/>
  <c r="G132" i="14"/>
  <c r="H131" i="14"/>
  <c r="G131" i="14"/>
  <c r="H130" i="14"/>
  <c r="G130" i="14"/>
  <c r="H129" i="14"/>
  <c r="H128" i="14"/>
  <c r="C136" i="14"/>
  <c r="B136" i="14"/>
  <c r="C135" i="14"/>
  <c r="B135" i="14"/>
  <c r="C134" i="14"/>
  <c r="B134" i="14"/>
  <c r="C133" i="14"/>
  <c r="B133" i="14"/>
  <c r="C132" i="14"/>
  <c r="B132" i="14"/>
  <c r="C131" i="14"/>
  <c r="B131" i="14"/>
  <c r="C130" i="14"/>
  <c r="B130" i="14"/>
  <c r="C129" i="14"/>
  <c r="C128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78" i="14"/>
  <c r="M77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4" i="14"/>
  <c r="M53" i="14"/>
  <c r="M52" i="14"/>
  <c r="M51" i="14"/>
  <c r="M50" i="14"/>
  <c r="H91" i="14"/>
  <c r="G91" i="14"/>
  <c r="H90" i="14"/>
  <c r="G90" i="14"/>
  <c r="H89" i="14"/>
  <c r="G89" i="14"/>
  <c r="H88" i="14"/>
  <c r="G88" i="14"/>
  <c r="H87" i="14"/>
  <c r="G87" i="14"/>
  <c r="H86" i="14"/>
  <c r="G86" i="14"/>
  <c r="H85" i="14"/>
  <c r="G85" i="14"/>
  <c r="H84" i="14"/>
  <c r="G84" i="14"/>
  <c r="C91" i="14"/>
  <c r="B91" i="14"/>
  <c r="B90" i="14"/>
  <c r="C89" i="14"/>
  <c r="B89" i="14"/>
  <c r="C88" i="14"/>
  <c r="B88" i="14"/>
  <c r="C87" i="14"/>
  <c r="B87" i="14"/>
  <c r="C86" i="14"/>
  <c r="B86" i="14"/>
  <c r="C85" i="14"/>
  <c r="B85" i="14"/>
  <c r="C84" i="14"/>
  <c r="B84" i="14"/>
  <c r="C83" i="14"/>
  <c r="B83" i="14"/>
  <c r="C78" i="14"/>
  <c r="C77" i="14"/>
  <c r="C75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4" i="14"/>
  <c r="C53" i="14"/>
  <c r="C52" i="14"/>
  <c r="C51" i="14"/>
  <c r="C50" i="14"/>
  <c r="M30" i="14"/>
  <c r="H30" i="14"/>
  <c r="H25" i="14"/>
  <c r="M8" i="14"/>
  <c r="M33" i="14"/>
  <c r="M32" i="14"/>
  <c r="M29" i="14"/>
  <c r="M28" i="14"/>
  <c r="M27" i="14"/>
  <c r="M26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9" i="14"/>
  <c r="M7" i="14"/>
  <c r="M6" i="14"/>
  <c r="M5" i="14"/>
  <c r="H12" i="14"/>
  <c r="H11" i="14"/>
  <c r="H9" i="14"/>
  <c r="H22" i="14"/>
  <c r="H21" i="14"/>
  <c r="H20" i="14"/>
  <c r="H24" i="14"/>
  <c r="H26" i="14"/>
  <c r="H27" i="14"/>
  <c r="H28" i="14"/>
  <c r="H33" i="14" l="1"/>
  <c r="H32" i="14"/>
  <c r="I87" i="13" l="1"/>
  <c r="J87" i="13"/>
  <c r="K87" i="13"/>
  <c r="L87" i="13"/>
  <c r="H123" i="13"/>
  <c r="B4" i="15"/>
  <c r="L25" i="15" s="1"/>
  <c r="M46" i="14"/>
  <c r="L46" i="14"/>
  <c r="H46" i="14"/>
  <c r="G46" i="14"/>
  <c r="M45" i="14"/>
  <c r="L45" i="14"/>
  <c r="H45" i="14"/>
  <c r="G45" i="14"/>
  <c r="M44" i="14"/>
  <c r="L44" i="14"/>
  <c r="H44" i="14"/>
  <c r="G44" i="14"/>
  <c r="M43" i="14"/>
  <c r="L43" i="14"/>
  <c r="H43" i="14"/>
  <c r="G43" i="14"/>
  <c r="M42" i="14"/>
  <c r="L42" i="14"/>
  <c r="H42" i="14"/>
  <c r="G42" i="14"/>
  <c r="M41" i="14"/>
  <c r="L41" i="14"/>
  <c r="H41" i="14"/>
  <c r="G41" i="14"/>
  <c r="M40" i="14"/>
  <c r="L40" i="14"/>
  <c r="H40" i="14"/>
  <c r="G40" i="14"/>
  <c r="M39" i="14"/>
  <c r="L39" i="14"/>
  <c r="H39" i="14"/>
  <c r="G39" i="14"/>
  <c r="M38" i="14"/>
  <c r="L38" i="14"/>
  <c r="H38" i="14"/>
  <c r="G38" i="14"/>
  <c r="H29" i="14"/>
  <c r="H23" i="14"/>
  <c r="H19" i="14"/>
  <c r="H18" i="14"/>
  <c r="H17" i="14"/>
  <c r="H16" i="14"/>
  <c r="H15" i="14"/>
  <c r="H14" i="14"/>
  <c r="H13" i="14"/>
  <c r="H8" i="14"/>
  <c r="H7" i="14"/>
  <c r="H6" i="14"/>
  <c r="H5" i="14"/>
  <c r="G5" i="14"/>
  <c r="B4" i="14"/>
  <c r="G4" i="14" s="1"/>
  <c r="L4" i="14" s="1"/>
  <c r="G154" i="13"/>
  <c r="G153" i="13"/>
  <c r="G152" i="13"/>
  <c r="G151" i="13"/>
  <c r="G150" i="13"/>
  <c r="J144" i="13"/>
  <c r="J143" i="13"/>
  <c r="J142" i="13"/>
  <c r="J141" i="13"/>
  <c r="J140" i="13"/>
  <c r="J139" i="13"/>
  <c r="M134" i="13"/>
  <c r="K134" i="13"/>
  <c r="J134" i="13"/>
  <c r="I134" i="13"/>
  <c r="H134" i="13"/>
  <c r="J4" i="13" s="1"/>
  <c r="L133" i="13"/>
  <c r="L132" i="13"/>
  <c r="L131" i="13"/>
  <c r="L130" i="13"/>
  <c r="L129" i="13"/>
  <c r="L128" i="13"/>
  <c r="G128" i="13"/>
  <c r="M123" i="13"/>
  <c r="K123" i="13"/>
  <c r="J123" i="13"/>
  <c r="I122" i="13"/>
  <c r="L122" i="13" s="1"/>
  <c r="G122" i="13"/>
  <c r="I121" i="13"/>
  <c r="L121" i="13" s="1"/>
  <c r="G121" i="13"/>
  <c r="L120" i="13"/>
  <c r="G120" i="13"/>
  <c r="I110" i="13"/>
  <c r="K109" i="13"/>
  <c r="J109" i="13"/>
  <c r="H109" i="13"/>
  <c r="K108" i="13"/>
  <c r="J108" i="13"/>
  <c r="H108" i="13"/>
  <c r="K107" i="13"/>
  <c r="J107" i="13"/>
  <c r="H107" i="13"/>
  <c r="K106" i="13"/>
  <c r="J106" i="13"/>
  <c r="H106" i="13"/>
  <c r="K105" i="13"/>
  <c r="J105" i="13"/>
  <c r="H105" i="13"/>
  <c r="K104" i="13"/>
  <c r="J104" i="13"/>
  <c r="H104" i="13"/>
  <c r="K103" i="13"/>
  <c r="J103" i="13"/>
  <c r="H103" i="13"/>
  <c r="K102" i="13"/>
  <c r="J102" i="13"/>
  <c r="H102" i="13"/>
  <c r="K101" i="13"/>
  <c r="J101" i="13"/>
  <c r="H101" i="13"/>
  <c r="K100" i="13"/>
  <c r="J100" i="13"/>
  <c r="H100" i="13"/>
  <c r="K99" i="13"/>
  <c r="J99" i="13"/>
  <c r="H99" i="13"/>
  <c r="K98" i="13"/>
  <c r="J98" i="13"/>
  <c r="H98" i="13"/>
  <c r="K97" i="13"/>
  <c r="J97" i="13"/>
  <c r="H97" i="13"/>
  <c r="K96" i="13"/>
  <c r="J96" i="13"/>
  <c r="H96" i="13"/>
  <c r="K95" i="13"/>
  <c r="J95" i="13"/>
  <c r="H95" i="13"/>
  <c r="K94" i="13"/>
  <c r="J94" i="13"/>
  <c r="H94" i="13"/>
  <c r="K93" i="13"/>
  <c r="J93" i="13"/>
  <c r="H93" i="13"/>
  <c r="G87" i="13"/>
  <c r="H85" i="13"/>
  <c r="H84" i="13"/>
  <c r="H83" i="13"/>
  <c r="O76" i="13"/>
  <c r="N179" i="14" s="1"/>
  <c r="N76" i="13"/>
  <c r="N177" i="14" s="1"/>
  <c r="M76" i="13"/>
  <c r="N176" i="14" s="1"/>
  <c r="L76" i="13"/>
  <c r="N178" i="14" s="1"/>
  <c r="K76" i="13"/>
  <c r="N175" i="14" s="1"/>
  <c r="J76" i="13"/>
  <c r="N174" i="14" s="1"/>
  <c r="H76" i="13"/>
  <c r="B4" i="13" s="1"/>
  <c r="R75" i="13"/>
  <c r="Q75" i="13"/>
  <c r="P75" i="13"/>
  <c r="G75" i="13"/>
  <c r="R74" i="13"/>
  <c r="Q74" i="13"/>
  <c r="I74" i="13"/>
  <c r="P74" i="13" s="1"/>
  <c r="G74" i="13"/>
  <c r="R73" i="13"/>
  <c r="Q73" i="13"/>
  <c r="I73" i="13"/>
  <c r="P73" i="13" s="1"/>
  <c r="G73" i="13"/>
  <c r="R72" i="13"/>
  <c r="Q72" i="13"/>
  <c r="I72" i="13"/>
  <c r="P72" i="13" s="1"/>
  <c r="G72" i="13"/>
  <c r="R71" i="13"/>
  <c r="Q71" i="13"/>
  <c r="I71" i="13"/>
  <c r="P71" i="13" s="1"/>
  <c r="G71" i="13"/>
  <c r="R70" i="13"/>
  <c r="Q70" i="13"/>
  <c r="I70" i="13"/>
  <c r="P70" i="13" s="1"/>
  <c r="G70" i="13"/>
  <c r="R69" i="13"/>
  <c r="Q69" i="13"/>
  <c r="I69" i="13"/>
  <c r="P69" i="13" s="1"/>
  <c r="G69" i="13"/>
  <c r="R68" i="13"/>
  <c r="Q68" i="13"/>
  <c r="I68" i="13"/>
  <c r="P68" i="13" s="1"/>
  <c r="G68" i="13"/>
  <c r="R67" i="13"/>
  <c r="Q67" i="13"/>
  <c r="I67" i="13"/>
  <c r="P67" i="13" s="1"/>
  <c r="G67" i="13"/>
  <c r="R66" i="13"/>
  <c r="Q66" i="13"/>
  <c r="I66" i="13"/>
  <c r="P66" i="13" s="1"/>
  <c r="G66" i="13"/>
  <c r="R65" i="13"/>
  <c r="Q65" i="13"/>
  <c r="I65" i="13"/>
  <c r="P65" i="13" s="1"/>
  <c r="G65" i="13"/>
  <c r="R64" i="13"/>
  <c r="Q64" i="13"/>
  <c r="I64" i="13"/>
  <c r="P64" i="13" s="1"/>
  <c r="G64" i="13"/>
  <c r="R63" i="13"/>
  <c r="Q63" i="13"/>
  <c r="I63" i="13"/>
  <c r="P63" i="13" s="1"/>
  <c r="G63" i="13"/>
  <c r="R62" i="13"/>
  <c r="Q62" i="13"/>
  <c r="P62" i="13"/>
  <c r="G62" i="13"/>
  <c r="R61" i="13"/>
  <c r="Q61" i="13"/>
  <c r="I61" i="13"/>
  <c r="P61" i="13" s="1"/>
  <c r="G61" i="13"/>
  <c r="R60" i="13"/>
  <c r="Q60" i="13"/>
  <c r="P60" i="13"/>
  <c r="G60" i="13"/>
  <c r="R59" i="13"/>
  <c r="Q59" i="13"/>
  <c r="I59" i="13"/>
  <c r="P59" i="13" s="1"/>
  <c r="G59" i="13"/>
  <c r="R58" i="13"/>
  <c r="Q58" i="13"/>
  <c r="I58" i="13"/>
  <c r="P58" i="13" s="1"/>
  <c r="G58" i="13"/>
  <c r="R57" i="13"/>
  <c r="Q57" i="13"/>
  <c r="I57" i="13"/>
  <c r="P57" i="13" s="1"/>
  <c r="G57" i="13"/>
  <c r="R56" i="13"/>
  <c r="Q56" i="13"/>
  <c r="I56" i="13"/>
  <c r="P56" i="13" s="1"/>
  <c r="G56" i="13"/>
  <c r="R55" i="13"/>
  <c r="Q55" i="13"/>
  <c r="I55" i="13"/>
  <c r="P55" i="13" s="1"/>
  <c r="G55" i="13"/>
  <c r="R54" i="13"/>
  <c r="Q54" i="13"/>
  <c r="I54" i="13"/>
  <c r="P54" i="13" s="1"/>
  <c r="G54" i="13"/>
  <c r="R53" i="13"/>
  <c r="Q53" i="13"/>
  <c r="P53" i="13"/>
  <c r="G53" i="13"/>
  <c r="R52" i="13"/>
  <c r="Q52" i="13"/>
  <c r="I52" i="13"/>
  <c r="P52" i="13" s="1"/>
  <c r="G52" i="13"/>
  <c r="R51" i="13"/>
  <c r="Q51" i="13"/>
  <c r="P51" i="13"/>
  <c r="G51" i="13"/>
  <c r="R50" i="13"/>
  <c r="Q50" i="13"/>
  <c r="I50" i="13"/>
  <c r="P50" i="13" s="1"/>
  <c r="G50" i="13"/>
  <c r="R49" i="13"/>
  <c r="Q49" i="13"/>
  <c r="I49" i="13"/>
  <c r="P49" i="13" s="1"/>
  <c r="G49" i="13"/>
  <c r="R48" i="13"/>
  <c r="Q48" i="13"/>
  <c r="I48" i="13"/>
  <c r="P48" i="13" s="1"/>
  <c r="G48" i="13"/>
  <c r="R47" i="13"/>
  <c r="Q47" i="13"/>
  <c r="P47" i="13"/>
  <c r="G47" i="13"/>
  <c r="R46" i="13"/>
  <c r="Q46" i="13"/>
  <c r="I46" i="13"/>
  <c r="P46" i="13" s="1"/>
  <c r="G46" i="13"/>
  <c r="R45" i="13"/>
  <c r="Q45" i="13"/>
  <c r="P45" i="13"/>
  <c r="G45" i="13"/>
  <c r="R44" i="13"/>
  <c r="Q44" i="13"/>
  <c r="I44" i="13"/>
  <c r="P44" i="13" s="1"/>
  <c r="G44" i="13"/>
  <c r="R43" i="13"/>
  <c r="Q43" i="13"/>
  <c r="I43" i="13"/>
  <c r="P43" i="13" s="1"/>
  <c r="G43" i="13"/>
  <c r="R42" i="13"/>
  <c r="Q42" i="13"/>
  <c r="I42" i="13"/>
  <c r="P42" i="13" s="1"/>
  <c r="G42" i="13"/>
  <c r="R41" i="13"/>
  <c r="Q41" i="13"/>
  <c r="I41" i="13"/>
  <c r="P41" i="13" s="1"/>
  <c r="G41" i="13"/>
  <c r="R40" i="13"/>
  <c r="Q40" i="13"/>
  <c r="P40" i="13"/>
  <c r="G40" i="13"/>
  <c r="R39" i="13"/>
  <c r="Q39" i="13"/>
  <c r="I39" i="13"/>
  <c r="P39" i="13" s="1"/>
  <c r="G39" i="13"/>
  <c r="R38" i="13"/>
  <c r="Q38" i="13"/>
  <c r="I38" i="13"/>
  <c r="P38" i="13" s="1"/>
  <c r="G38" i="13"/>
  <c r="R37" i="13"/>
  <c r="Q37" i="13"/>
  <c r="P37" i="13"/>
  <c r="G37" i="13"/>
  <c r="R36" i="13"/>
  <c r="Q36" i="13"/>
  <c r="P36" i="13"/>
  <c r="G36" i="13"/>
  <c r="R35" i="13"/>
  <c r="Q35" i="13"/>
  <c r="I35" i="13"/>
  <c r="P35" i="13" s="1"/>
  <c r="G35" i="13"/>
  <c r="R34" i="13"/>
  <c r="Q34" i="13"/>
  <c r="I34" i="13"/>
  <c r="P34" i="13" s="1"/>
  <c r="G34" i="13"/>
  <c r="R33" i="13"/>
  <c r="Q33" i="13"/>
  <c r="I33" i="13"/>
  <c r="P33" i="13" s="1"/>
  <c r="G33" i="13"/>
  <c r="R32" i="13"/>
  <c r="Q32" i="13"/>
  <c r="P32" i="13"/>
  <c r="G32" i="13"/>
  <c r="R31" i="13"/>
  <c r="Q31" i="13"/>
  <c r="I31" i="13"/>
  <c r="P31" i="13" s="1"/>
  <c r="G31" i="13"/>
  <c r="R30" i="13"/>
  <c r="Q30" i="13"/>
  <c r="I30" i="13"/>
  <c r="P30" i="13" s="1"/>
  <c r="G30" i="13"/>
  <c r="R29" i="13"/>
  <c r="Q29" i="13"/>
  <c r="I29" i="13"/>
  <c r="P29" i="13" s="1"/>
  <c r="G29" i="13"/>
  <c r="R28" i="13"/>
  <c r="Q28" i="13"/>
  <c r="P28" i="13"/>
  <c r="G28" i="13"/>
  <c r="R27" i="13"/>
  <c r="Q27" i="13"/>
  <c r="I27" i="13"/>
  <c r="P27" i="13" s="1"/>
  <c r="G27" i="13"/>
  <c r="R26" i="13"/>
  <c r="Q26" i="13"/>
  <c r="I26" i="13"/>
  <c r="P26" i="13" s="1"/>
  <c r="G26" i="13"/>
  <c r="R25" i="13"/>
  <c r="Q25" i="13"/>
  <c r="I25" i="13"/>
  <c r="P25" i="13" s="1"/>
  <c r="G25" i="13"/>
  <c r="R24" i="13"/>
  <c r="Q24" i="13"/>
  <c r="I24" i="13"/>
  <c r="P24" i="13" s="1"/>
  <c r="G24" i="13"/>
  <c r="R23" i="13"/>
  <c r="Q23" i="13"/>
  <c r="I23" i="13"/>
  <c r="P23" i="13" s="1"/>
  <c r="G23" i="13"/>
  <c r="R22" i="13"/>
  <c r="Q22" i="13"/>
  <c r="I22" i="13"/>
  <c r="P22" i="13" s="1"/>
  <c r="G22" i="13"/>
  <c r="R21" i="13"/>
  <c r="Q21" i="13"/>
  <c r="I21" i="13"/>
  <c r="P21" i="13" s="1"/>
  <c r="G21" i="13"/>
  <c r="R20" i="13"/>
  <c r="Q20" i="13"/>
  <c r="I20" i="13"/>
  <c r="P20" i="13" s="1"/>
  <c r="G20" i="13"/>
  <c r="R19" i="13"/>
  <c r="Q19" i="13"/>
  <c r="I19" i="13"/>
  <c r="P19" i="13" s="1"/>
  <c r="G19" i="13"/>
  <c r="R18" i="13"/>
  <c r="Q18" i="13"/>
  <c r="I18" i="13"/>
  <c r="P18" i="13" s="1"/>
  <c r="G18" i="13"/>
  <c r="R17" i="13"/>
  <c r="Q17" i="13"/>
  <c r="I17" i="13"/>
  <c r="P17" i="13" s="1"/>
  <c r="G17" i="13"/>
  <c r="R16" i="13"/>
  <c r="Q16" i="13"/>
  <c r="I16" i="13"/>
  <c r="P16" i="13" s="1"/>
  <c r="G16" i="13"/>
  <c r="R15" i="13"/>
  <c r="Q15" i="13"/>
  <c r="I15" i="13"/>
  <c r="P15" i="13" s="1"/>
  <c r="G15" i="13"/>
  <c r="R14" i="13"/>
  <c r="Q14" i="13"/>
  <c r="P14" i="13"/>
  <c r="G14" i="13"/>
  <c r="R13" i="13"/>
  <c r="Q13" i="13"/>
  <c r="I13" i="13"/>
  <c r="P13" i="13" s="1"/>
  <c r="G13" i="13"/>
  <c r="R12" i="13"/>
  <c r="Q12" i="13"/>
  <c r="I12" i="13"/>
  <c r="P12" i="13" s="1"/>
  <c r="G12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G9" i="13"/>
  <c r="N1" i="13"/>
  <c r="K116" i="13" s="1"/>
  <c r="G1" i="13"/>
  <c r="G134" i="12"/>
  <c r="G133" i="12"/>
  <c r="G132" i="12"/>
  <c r="G131" i="12"/>
  <c r="G130" i="12"/>
  <c r="M120" i="12"/>
  <c r="K120" i="12"/>
  <c r="J120" i="12"/>
  <c r="I120" i="12"/>
  <c r="H120" i="12"/>
  <c r="L119" i="12"/>
  <c r="L118" i="12"/>
  <c r="L117" i="12"/>
  <c r="L116" i="12"/>
  <c r="L115" i="12"/>
  <c r="L114" i="12"/>
  <c r="G114" i="12"/>
  <c r="K109" i="12"/>
  <c r="J109" i="12"/>
  <c r="H109" i="12"/>
  <c r="I108" i="12"/>
  <c r="L108" i="12" s="1"/>
  <c r="G108" i="12"/>
  <c r="I107" i="12"/>
  <c r="L107" i="12" s="1"/>
  <c r="G107" i="12"/>
  <c r="I106" i="12"/>
  <c r="L106" i="12" s="1"/>
  <c r="G106" i="12"/>
  <c r="L105" i="12"/>
  <c r="G105" i="12"/>
  <c r="I104" i="12"/>
  <c r="G104" i="12"/>
  <c r="L103" i="12"/>
  <c r="G103" i="12"/>
  <c r="L102" i="12"/>
  <c r="G102" i="12"/>
  <c r="I101" i="12"/>
  <c r="L101" i="12" s="1"/>
  <c r="G101" i="12"/>
  <c r="L100" i="12"/>
  <c r="G100" i="12"/>
  <c r="I90" i="12"/>
  <c r="K89" i="12"/>
  <c r="J89" i="12"/>
  <c r="H89" i="12"/>
  <c r="K88" i="12"/>
  <c r="J88" i="12"/>
  <c r="H88" i="12"/>
  <c r="K87" i="12"/>
  <c r="J87" i="12"/>
  <c r="H87" i="12"/>
  <c r="K86" i="12"/>
  <c r="J86" i="12"/>
  <c r="H86" i="12"/>
  <c r="K85" i="12"/>
  <c r="J85" i="12"/>
  <c r="H85" i="12"/>
  <c r="K84" i="12"/>
  <c r="J84" i="12"/>
  <c r="H84" i="12"/>
  <c r="K83" i="12"/>
  <c r="J83" i="12"/>
  <c r="H83" i="12"/>
  <c r="K82" i="12"/>
  <c r="J82" i="12"/>
  <c r="H82" i="12"/>
  <c r="K81" i="12"/>
  <c r="J81" i="12"/>
  <c r="H81" i="12"/>
  <c r="K80" i="12"/>
  <c r="J80" i="12"/>
  <c r="H80" i="12"/>
  <c r="L74" i="12"/>
  <c r="K74" i="12"/>
  <c r="J74" i="12"/>
  <c r="I74" i="12"/>
  <c r="G74" i="12"/>
  <c r="H72" i="12"/>
  <c r="H71" i="12"/>
  <c r="H70" i="12"/>
  <c r="H69" i="12"/>
  <c r="H68" i="12"/>
  <c r="O60" i="12"/>
  <c r="I179" i="14" s="1"/>
  <c r="N60" i="12"/>
  <c r="I177" i="14" s="1"/>
  <c r="M60" i="12"/>
  <c r="I176" i="14" s="1"/>
  <c r="L60" i="12"/>
  <c r="I178" i="14" s="1"/>
  <c r="K60" i="12"/>
  <c r="I175" i="14" s="1"/>
  <c r="H60" i="12"/>
  <c r="R59" i="12"/>
  <c r="Q59" i="12"/>
  <c r="I59" i="12"/>
  <c r="P59" i="12" s="1"/>
  <c r="G59" i="12"/>
  <c r="R58" i="12"/>
  <c r="Q58" i="12"/>
  <c r="P58" i="12"/>
  <c r="G58" i="12"/>
  <c r="R57" i="12"/>
  <c r="Q57" i="12"/>
  <c r="I57" i="12"/>
  <c r="P57" i="12" s="1"/>
  <c r="G57" i="12"/>
  <c r="R56" i="12"/>
  <c r="Q56" i="12"/>
  <c r="I56" i="12"/>
  <c r="P56" i="12" s="1"/>
  <c r="G56" i="12"/>
  <c r="R55" i="12"/>
  <c r="Q55" i="12"/>
  <c r="I55" i="12"/>
  <c r="P55" i="12" s="1"/>
  <c r="G55" i="12"/>
  <c r="R54" i="12"/>
  <c r="Q54" i="12"/>
  <c r="I54" i="12"/>
  <c r="P54" i="12" s="1"/>
  <c r="G54" i="12"/>
  <c r="R53" i="12"/>
  <c r="Q53" i="12"/>
  <c r="I53" i="12"/>
  <c r="P53" i="12" s="1"/>
  <c r="G53" i="12"/>
  <c r="R52" i="12"/>
  <c r="Q52" i="12"/>
  <c r="I52" i="12"/>
  <c r="P52" i="12" s="1"/>
  <c r="G52" i="12"/>
  <c r="R51" i="12"/>
  <c r="Q51" i="12"/>
  <c r="I51" i="12"/>
  <c r="P51" i="12" s="1"/>
  <c r="G51" i="12"/>
  <c r="R50" i="12"/>
  <c r="Q50" i="12"/>
  <c r="J50" i="12"/>
  <c r="J60" i="12" s="1"/>
  <c r="I174" i="14" s="1"/>
  <c r="G50" i="12"/>
  <c r="R49" i="12"/>
  <c r="Q49" i="12"/>
  <c r="I49" i="12"/>
  <c r="P49" i="12" s="1"/>
  <c r="G49" i="12"/>
  <c r="R48" i="12"/>
  <c r="Q48" i="12"/>
  <c r="I48" i="12"/>
  <c r="P48" i="12" s="1"/>
  <c r="G48" i="12"/>
  <c r="R47" i="12"/>
  <c r="Q47" i="12"/>
  <c r="I47" i="12"/>
  <c r="P47" i="12" s="1"/>
  <c r="G47" i="12"/>
  <c r="R46" i="12"/>
  <c r="Q46" i="12"/>
  <c r="I46" i="12"/>
  <c r="P46" i="12" s="1"/>
  <c r="G46" i="12"/>
  <c r="R45" i="12"/>
  <c r="Q45" i="12"/>
  <c r="I45" i="12"/>
  <c r="P45" i="12" s="1"/>
  <c r="G45" i="12"/>
  <c r="R44" i="12"/>
  <c r="Q44" i="12"/>
  <c r="I44" i="12"/>
  <c r="P44" i="12" s="1"/>
  <c r="G44" i="12"/>
  <c r="R43" i="12"/>
  <c r="Q43" i="12"/>
  <c r="I43" i="12"/>
  <c r="P43" i="12" s="1"/>
  <c r="G43" i="12"/>
  <c r="R42" i="12"/>
  <c r="Q42" i="12"/>
  <c r="I42" i="12"/>
  <c r="P42" i="12" s="1"/>
  <c r="G42" i="12"/>
  <c r="R41" i="12"/>
  <c r="Q41" i="12"/>
  <c r="I41" i="12"/>
  <c r="P41" i="12" s="1"/>
  <c r="G41" i="12"/>
  <c r="R40" i="12"/>
  <c r="Q40" i="12"/>
  <c r="I40" i="12"/>
  <c r="P40" i="12" s="1"/>
  <c r="G40" i="12"/>
  <c r="R39" i="12"/>
  <c r="Q39" i="12"/>
  <c r="I39" i="12"/>
  <c r="P39" i="12" s="1"/>
  <c r="G39" i="12"/>
  <c r="R38" i="12"/>
  <c r="Q38" i="12"/>
  <c r="I38" i="12"/>
  <c r="P38" i="12" s="1"/>
  <c r="G38" i="12"/>
  <c r="R37" i="12"/>
  <c r="Q37" i="12"/>
  <c r="I37" i="12"/>
  <c r="P37" i="12" s="1"/>
  <c r="G37" i="12"/>
  <c r="R36" i="12"/>
  <c r="Q36" i="12"/>
  <c r="I36" i="12"/>
  <c r="P36" i="12" s="1"/>
  <c r="G36" i="12"/>
  <c r="R35" i="12"/>
  <c r="Q35" i="12"/>
  <c r="I35" i="12"/>
  <c r="P35" i="12" s="1"/>
  <c r="G35" i="12"/>
  <c r="R34" i="12"/>
  <c r="Q34" i="12"/>
  <c r="I34" i="12"/>
  <c r="P34" i="12" s="1"/>
  <c r="G34" i="12"/>
  <c r="R33" i="12"/>
  <c r="Q33" i="12"/>
  <c r="I33" i="12"/>
  <c r="P33" i="12" s="1"/>
  <c r="G33" i="12"/>
  <c r="R32" i="12"/>
  <c r="Q32" i="12"/>
  <c r="I32" i="12"/>
  <c r="P32" i="12" s="1"/>
  <c r="G32" i="12"/>
  <c r="R31" i="12"/>
  <c r="Q31" i="12"/>
  <c r="I31" i="12"/>
  <c r="P31" i="12" s="1"/>
  <c r="G31" i="12"/>
  <c r="R30" i="12"/>
  <c r="Q30" i="12"/>
  <c r="I30" i="12"/>
  <c r="P30" i="12" s="1"/>
  <c r="G30" i="12"/>
  <c r="R29" i="12"/>
  <c r="Q29" i="12"/>
  <c r="I29" i="12"/>
  <c r="P29" i="12" s="1"/>
  <c r="G29" i="12"/>
  <c r="R28" i="12"/>
  <c r="Q28" i="12"/>
  <c r="I28" i="12"/>
  <c r="P28" i="12" s="1"/>
  <c r="G28" i="12"/>
  <c r="R27" i="12"/>
  <c r="Q27" i="12"/>
  <c r="P27" i="12"/>
  <c r="G27" i="12"/>
  <c r="R26" i="12"/>
  <c r="Q26" i="12"/>
  <c r="I26" i="12"/>
  <c r="P26" i="12" s="1"/>
  <c r="G26" i="12"/>
  <c r="R25" i="12"/>
  <c r="Q25" i="12"/>
  <c r="I25" i="12"/>
  <c r="P25" i="12" s="1"/>
  <c r="G25" i="12"/>
  <c r="R24" i="12"/>
  <c r="Q24" i="12"/>
  <c r="I24" i="12"/>
  <c r="P24" i="12" s="1"/>
  <c r="G24" i="12"/>
  <c r="R23" i="12"/>
  <c r="Q23" i="12"/>
  <c r="I23" i="12"/>
  <c r="P23" i="12" s="1"/>
  <c r="G23" i="12"/>
  <c r="R22" i="12"/>
  <c r="Q22" i="12"/>
  <c r="I22" i="12"/>
  <c r="P22" i="12" s="1"/>
  <c r="G22" i="12"/>
  <c r="R21" i="12"/>
  <c r="Q21" i="12"/>
  <c r="I21" i="12"/>
  <c r="P21" i="12" s="1"/>
  <c r="G21" i="12"/>
  <c r="R20" i="12"/>
  <c r="Q20" i="12"/>
  <c r="I20" i="12"/>
  <c r="P20" i="12" s="1"/>
  <c r="G20" i="12"/>
  <c r="R19" i="12"/>
  <c r="Q19" i="12"/>
  <c r="I19" i="12"/>
  <c r="P19" i="12" s="1"/>
  <c r="G19" i="12"/>
  <c r="R18" i="12"/>
  <c r="Q18" i="12"/>
  <c r="I18" i="12"/>
  <c r="P18" i="12" s="1"/>
  <c r="G18" i="12"/>
  <c r="R17" i="12"/>
  <c r="Q17" i="12"/>
  <c r="I17" i="12"/>
  <c r="P17" i="12" s="1"/>
  <c r="G17" i="12"/>
  <c r="R16" i="12"/>
  <c r="Q16" i="12"/>
  <c r="I16" i="12"/>
  <c r="P16" i="12" s="1"/>
  <c r="G16" i="12"/>
  <c r="R15" i="12"/>
  <c r="Q15" i="12"/>
  <c r="I15" i="12"/>
  <c r="P15" i="12" s="1"/>
  <c r="G15" i="12"/>
  <c r="R14" i="12"/>
  <c r="Q14" i="12"/>
  <c r="I14" i="12"/>
  <c r="P14" i="12" s="1"/>
  <c r="G14" i="12"/>
  <c r="R13" i="12"/>
  <c r="Q13" i="12"/>
  <c r="I13" i="12"/>
  <c r="P13" i="12" s="1"/>
  <c r="G13" i="12"/>
  <c r="R12" i="12"/>
  <c r="Q12" i="12"/>
  <c r="I12" i="12"/>
  <c r="P12" i="12" s="1"/>
  <c r="G12" i="12"/>
  <c r="R11" i="12"/>
  <c r="Q11" i="12"/>
  <c r="I11" i="12"/>
  <c r="P11" i="12" s="1"/>
  <c r="G11" i="12"/>
  <c r="R10" i="12"/>
  <c r="Q10" i="12"/>
  <c r="I10" i="12"/>
  <c r="P10" i="12" s="1"/>
  <c r="G10" i="12"/>
  <c r="R9" i="12"/>
  <c r="Q9" i="12"/>
  <c r="I9" i="12"/>
  <c r="P9" i="12" s="1"/>
  <c r="G9" i="12"/>
  <c r="N1" i="12"/>
  <c r="K96" i="12" s="1"/>
  <c r="G1" i="12"/>
  <c r="G120" i="11"/>
  <c r="G119" i="11"/>
  <c r="G118" i="11"/>
  <c r="G117" i="11"/>
  <c r="G116" i="11"/>
  <c r="J109" i="11"/>
  <c r="J108" i="11"/>
  <c r="M103" i="11"/>
  <c r="K103" i="11"/>
  <c r="J103" i="11"/>
  <c r="I103" i="11"/>
  <c r="H103" i="11"/>
  <c r="L102" i="11"/>
  <c r="L101" i="11"/>
  <c r="L100" i="11"/>
  <c r="L99" i="11"/>
  <c r="L98" i="11"/>
  <c r="L97" i="11"/>
  <c r="G97" i="11"/>
  <c r="M92" i="11"/>
  <c r="K92" i="11"/>
  <c r="J92" i="11"/>
  <c r="H92" i="11"/>
  <c r="I91" i="11"/>
  <c r="L91" i="11" s="1"/>
  <c r="G91" i="11"/>
  <c r="I90" i="11"/>
  <c r="L90" i="11" s="1"/>
  <c r="G90" i="11"/>
  <c r="L89" i="11"/>
  <c r="G89" i="11"/>
  <c r="I88" i="11"/>
  <c r="L88" i="11" s="1"/>
  <c r="G88" i="11"/>
  <c r="L87" i="11"/>
  <c r="G87" i="11"/>
  <c r="L86" i="11"/>
  <c r="G86" i="11"/>
  <c r="L85" i="11"/>
  <c r="G85" i="11"/>
  <c r="I84" i="11"/>
  <c r="L84" i="11" s="1"/>
  <c r="G84" i="11"/>
  <c r="I83" i="11"/>
  <c r="L83" i="11" s="1"/>
  <c r="G83" i="11"/>
  <c r="I76" i="11"/>
  <c r="K75" i="11"/>
  <c r="J75" i="11"/>
  <c r="H75" i="11"/>
  <c r="K74" i="11"/>
  <c r="J74" i="11"/>
  <c r="H74" i="11"/>
  <c r="K73" i="11"/>
  <c r="J73" i="11"/>
  <c r="H73" i="11"/>
  <c r="K72" i="11"/>
  <c r="J72" i="11"/>
  <c r="H72" i="11"/>
  <c r="K71" i="11"/>
  <c r="J71" i="11"/>
  <c r="H71" i="11"/>
  <c r="K70" i="11"/>
  <c r="J70" i="11"/>
  <c r="H70" i="11"/>
  <c r="K69" i="11"/>
  <c r="J69" i="11"/>
  <c r="H69" i="11"/>
  <c r="K68" i="11"/>
  <c r="J68" i="11"/>
  <c r="H68" i="11"/>
  <c r="K67" i="11"/>
  <c r="J67" i="11"/>
  <c r="H67" i="11"/>
  <c r="K66" i="11"/>
  <c r="J66" i="11"/>
  <c r="H66" i="11"/>
  <c r="K65" i="11"/>
  <c r="J65" i="11"/>
  <c r="H65" i="11"/>
  <c r="K64" i="11"/>
  <c r="J64" i="11"/>
  <c r="H64" i="11"/>
  <c r="K63" i="11"/>
  <c r="J63" i="11"/>
  <c r="H63" i="11"/>
  <c r="K62" i="11"/>
  <c r="J62" i="11"/>
  <c r="H62" i="11"/>
  <c r="K61" i="11"/>
  <c r="J61" i="11"/>
  <c r="H61" i="11"/>
  <c r="L55" i="11"/>
  <c r="K55" i="11"/>
  <c r="J55" i="11"/>
  <c r="I55" i="11"/>
  <c r="G55" i="11"/>
  <c r="H54" i="11"/>
  <c r="H53" i="11"/>
  <c r="H52" i="11"/>
  <c r="O45" i="11"/>
  <c r="D179" i="14" s="1"/>
  <c r="N45" i="11"/>
  <c r="D177" i="14" s="1"/>
  <c r="M45" i="11"/>
  <c r="D176" i="14" s="1"/>
  <c r="L45" i="11"/>
  <c r="D178" i="14" s="1"/>
  <c r="K45" i="11"/>
  <c r="D175" i="14" s="1"/>
  <c r="J45" i="11"/>
  <c r="D174" i="14" s="1"/>
  <c r="H45" i="11"/>
  <c r="R44" i="11"/>
  <c r="Q44" i="11"/>
  <c r="I44" i="11"/>
  <c r="P44" i="11" s="1"/>
  <c r="G44" i="11"/>
  <c r="R43" i="11"/>
  <c r="Q43" i="11"/>
  <c r="I43" i="11"/>
  <c r="P43" i="11" s="1"/>
  <c r="G43" i="11"/>
  <c r="R42" i="11"/>
  <c r="Q42" i="11"/>
  <c r="I42" i="11"/>
  <c r="P42" i="11" s="1"/>
  <c r="G42" i="11"/>
  <c r="R41" i="11"/>
  <c r="Q41" i="11"/>
  <c r="I41" i="11"/>
  <c r="P41" i="11" s="1"/>
  <c r="G41" i="11"/>
  <c r="R40" i="11"/>
  <c r="Q40" i="11"/>
  <c r="I40" i="11"/>
  <c r="P40" i="11" s="1"/>
  <c r="G40" i="11"/>
  <c r="R39" i="11"/>
  <c r="Q39" i="11"/>
  <c r="I39" i="11"/>
  <c r="P39" i="11" s="1"/>
  <c r="G39" i="11"/>
  <c r="R38" i="11"/>
  <c r="Q38" i="11"/>
  <c r="I38" i="11"/>
  <c r="P38" i="11" s="1"/>
  <c r="G38" i="11"/>
  <c r="R37" i="11"/>
  <c r="Q37" i="11"/>
  <c r="P37" i="11"/>
  <c r="G37" i="11"/>
  <c r="R36" i="11"/>
  <c r="Q36" i="11"/>
  <c r="I36" i="11"/>
  <c r="P36" i="11" s="1"/>
  <c r="G36" i="11"/>
  <c r="R35" i="11"/>
  <c r="Q35" i="11"/>
  <c r="I35" i="11"/>
  <c r="P35" i="11" s="1"/>
  <c r="G35" i="11"/>
  <c r="R34" i="11"/>
  <c r="Q34" i="11"/>
  <c r="P34" i="11"/>
  <c r="G34" i="11"/>
  <c r="R33" i="11"/>
  <c r="Q33" i="11"/>
  <c r="I33" i="11"/>
  <c r="P33" i="11" s="1"/>
  <c r="G33" i="11"/>
  <c r="R32" i="11"/>
  <c r="Q32" i="11"/>
  <c r="I32" i="11"/>
  <c r="P32" i="11" s="1"/>
  <c r="G32" i="11"/>
  <c r="R31" i="11"/>
  <c r="Q31" i="11"/>
  <c r="I31" i="11"/>
  <c r="P31" i="11" s="1"/>
  <c r="G31" i="11"/>
  <c r="R30" i="11"/>
  <c r="Q30" i="11"/>
  <c r="I30" i="11"/>
  <c r="P30" i="11" s="1"/>
  <c r="G30" i="11"/>
  <c r="R29" i="11"/>
  <c r="Q29" i="11"/>
  <c r="I29" i="11"/>
  <c r="P29" i="11" s="1"/>
  <c r="G29" i="11"/>
  <c r="R28" i="11"/>
  <c r="Q28" i="11"/>
  <c r="I28" i="11"/>
  <c r="P28" i="11" s="1"/>
  <c r="G28" i="11"/>
  <c r="R27" i="11"/>
  <c r="Q27" i="11"/>
  <c r="I27" i="11"/>
  <c r="P27" i="11" s="1"/>
  <c r="G27" i="11"/>
  <c r="R26" i="11"/>
  <c r="Q26" i="11"/>
  <c r="I26" i="11"/>
  <c r="P26" i="11" s="1"/>
  <c r="G26" i="11"/>
  <c r="R25" i="11"/>
  <c r="Q25" i="11"/>
  <c r="I25" i="11"/>
  <c r="P25" i="11" s="1"/>
  <c r="G25" i="11"/>
  <c r="R24" i="11"/>
  <c r="Q24" i="11"/>
  <c r="I24" i="11"/>
  <c r="P24" i="11" s="1"/>
  <c r="G24" i="11"/>
  <c r="R23" i="11"/>
  <c r="Q23" i="11"/>
  <c r="I23" i="11"/>
  <c r="P23" i="11" s="1"/>
  <c r="G23" i="11"/>
  <c r="R22" i="11"/>
  <c r="Q22" i="11"/>
  <c r="I22" i="11"/>
  <c r="P22" i="11" s="1"/>
  <c r="G22" i="11"/>
  <c r="R21" i="11"/>
  <c r="Q21" i="11"/>
  <c r="I21" i="11"/>
  <c r="P21" i="11" s="1"/>
  <c r="G21" i="11"/>
  <c r="R20" i="11"/>
  <c r="Q20" i="11"/>
  <c r="I20" i="11"/>
  <c r="P20" i="11" s="1"/>
  <c r="G20" i="11"/>
  <c r="R19" i="11"/>
  <c r="Q19" i="11"/>
  <c r="P19" i="11"/>
  <c r="G19" i="11"/>
  <c r="R18" i="11"/>
  <c r="Q18" i="11"/>
  <c r="I18" i="11"/>
  <c r="P18" i="11" s="1"/>
  <c r="G18" i="11"/>
  <c r="R17" i="11"/>
  <c r="Q17" i="11"/>
  <c r="I17" i="11"/>
  <c r="P17" i="11" s="1"/>
  <c r="G17" i="11"/>
  <c r="R16" i="11"/>
  <c r="Q16" i="11"/>
  <c r="I16" i="11"/>
  <c r="P16" i="11" s="1"/>
  <c r="G16" i="11"/>
  <c r="R15" i="11"/>
  <c r="Q15" i="11"/>
  <c r="I15" i="11"/>
  <c r="P15" i="11" s="1"/>
  <c r="G15" i="11"/>
  <c r="R14" i="11"/>
  <c r="Q14" i="11"/>
  <c r="I14" i="11"/>
  <c r="P14" i="11" s="1"/>
  <c r="G14" i="11"/>
  <c r="R13" i="11"/>
  <c r="Q13" i="11"/>
  <c r="I13" i="11"/>
  <c r="P13" i="11" s="1"/>
  <c r="G13" i="11"/>
  <c r="R12" i="11"/>
  <c r="Q12" i="11"/>
  <c r="I12" i="11"/>
  <c r="P12" i="11" s="1"/>
  <c r="G12" i="11"/>
  <c r="R11" i="11"/>
  <c r="Q11" i="11"/>
  <c r="I11" i="11"/>
  <c r="P11" i="11" s="1"/>
  <c r="G11" i="11"/>
  <c r="R10" i="11"/>
  <c r="Q10" i="11"/>
  <c r="I10" i="11"/>
  <c r="P10" i="11" s="1"/>
  <c r="G10" i="11"/>
  <c r="R9" i="11"/>
  <c r="Q9" i="11"/>
  <c r="I9" i="11"/>
  <c r="G9" i="11"/>
  <c r="N1" i="11"/>
  <c r="K79" i="11" s="1"/>
  <c r="G1" i="11"/>
  <c r="G127" i="10"/>
  <c r="G126" i="10"/>
  <c r="G125" i="10"/>
  <c r="G124" i="10"/>
  <c r="G123" i="10"/>
  <c r="J112" i="10"/>
  <c r="J111" i="10"/>
  <c r="M107" i="10"/>
  <c r="K107" i="10"/>
  <c r="J107" i="10"/>
  <c r="H107" i="10"/>
  <c r="I106" i="10"/>
  <c r="L106" i="10" s="1"/>
  <c r="I105" i="10"/>
  <c r="L105" i="10" s="1"/>
  <c r="I104" i="10"/>
  <c r="L104" i="10" s="1"/>
  <c r="I103" i="10"/>
  <c r="L103" i="10" s="1"/>
  <c r="I102" i="10"/>
  <c r="I101" i="10"/>
  <c r="L101" i="10" s="1"/>
  <c r="G101" i="10"/>
  <c r="M96" i="10"/>
  <c r="K96" i="10"/>
  <c r="J96" i="10"/>
  <c r="H96" i="10"/>
  <c r="J4" i="10" s="1"/>
  <c r="I95" i="10"/>
  <c r="L95" i="10" s="1"/>
  <c r="G95" i="10"/>
  <c r="I94" i="10"/>
  <c r="L94" i="10" s="1"/>
  <c r="G94" i="10"/>
  <c r="I93" i="10"/>
  <c r="L93" i="10" s="1"/>
  <c r="G93" i="10"/>
  <c r="I92" i="10"/>
  <c r="G92" i="10"/>
  <c r="L91" i="10"/>
  <c r="G91" i="10"/>
  <c r="I81" i="10"/>
  <c r="K80" i="10"/>
  <c r="J80" i="10"/>
  <c r="H80" i="10"/>
  <c r="K79" i="10"/>
  <c r="J79" i="10"/>
  <c r="H79" i="10"/>
  <c r="K78" i="10"/>
  <c r="J78" i="10"/>
  <c r="H78" i="10"/>
  <c r="K77" i="10"/>
  <c r="J77" i="10"/>
  <c r="H77" i="10"/>
  <c r="K76" i="10"/>
  <c r="J76" i="10"/>
  <c r="H76" i="10"/>
  <c r="K75" i="10"/>
  <c r="J75" i="10"/>
  <c r="H75" i="10"/>
  <c r="K74" i="10"/>
  <c r="J74" i="10"/>
  <c r="H74" i="10"/>
  <c r="K73" i="10"/>
  <c r="J73" i="10"/>
  <c r="H73" i="10"/>
  <c r="K72" i="10"/>
  <c r="J72" i="10"/>
  <c r="H72" i="10"/>
  <c r="K71" i="10"/>
  <c r="J71" i="10"/>
  <c r="H71" i="10"/>
  <c r="K70" i="10"/>
  <c r="J70" i="10"/>
  <c r="H70" i="10"/>
  <c r="K69" i="10"/>
  <c r="J69" i="10"/>
  <c r="H69" i="10"/>
  <c r="K68" i="10"/>
  <c r="J68" i="10"/>
  <c r="H68" i="10"/>
  <c r="K67" i="10"/>
  <c r="J67" i="10"/>
  <c r="H67" i="10"/>
  <c r="K66" i="10"/>
  <c r="J66" i="10"/>
  <c r="H66" i="10"/>
  <c r="K65" i="10"/>
  <c r="J65" i="10"/>
  <c r="H65" i="10"/>
  <c r="K64" i="10"/>
  <c r="J64" i="10"/>
  <c r="H64" i="10"/>
  <c r="K63" i="10"/>
  <c r="J63" i="10"/>
  <c r="H63" i="10"/>
  <c r="L57" i="10"/>
  <c r="K57" i="10"/>
  <c r="J57" i="10"/>
  <c r="I57" i="10"/>
  <c r="H57" i="10"/>
  <c r="G57" i="10"/>
  <c r="O46" i="10"/>
  <c r="N134" i="14" s="1"/>
  <c r="N46" i="10"/>
  <c r="N132" i="14" s="1"/>
  <c r="M46" i="10"/>
  <c r="N131" i="14" s="1"/>
  <c r="L46" i="10"/>
  <c r="N133" i="14" s="1"/>
  <c r="K46" i="10"/>
  <c r="N130" i="14" s="1"/>
  <c r="J46" i="10"/>
  <c r="N129" i="14" s="1"/>
  <c r="H46" i="10"/>
  <c r="R45" i="10"/>
  <c r="Q45" i="10"/>
  <c r="I45" i="10"/>
  <c r="P45" i="10" s="1"/>
  <c r="G45" i="10"/>
  <c r="R44" i="10"/>
  <c r="Q44" i="10"/>
  <c r="I44" i="10"/>
  <c r="P44" i="10" s="1"/>
  <c r="G44" i="10"/>
  <c r="R43" i="10"/>
  <c r="Q43" i="10"/>
  <c r="I43" i="10"/>
  <c r="P43" i="10" s="1"/>
  <c r="G43" i="10"/>
  <c r="R42" i="10"/>
  <c r="Q42" i="10"/>
  <c r="I42" i="10"/>
  <c r="P42" i="10" s="1"/>
  <c r="G42" i="10"/>
  <c r="R41" i="10"/>
  <c r="Q41" i="10"/>
  <c r="I41" i="10"/>
  <c r="P41" i="10" s="1"/>
  <c r="G41" i="10"/>
  <c r="R40" i="10"/>
  <c r="Q40" i="10"/>
  <c r="I40" i="10"/>
  <c r="P40" i="10" s="1"/>
  <c r="G40" i="10"/>
  <c r="R39" i="10"/>
  <c r="Q39" i="10"/>
  <c r="I39" i="10"/>
  <c r="P39" i="10" s="1"/>
  <c r="G39" i="10"/>
  <c r="R38" i="10"/>
  <c r="Q38" i="10"/>
  <c r="I38" i="10"/>
  <c r="P38" i="10" s="1"/>
  <c r="G38" i="10"/>
  <c r="R37" i="10"/>
  <c r="Q37" i="10"/>
  <c r="I37" i="10"/>
  <c r="P37" i="10" s="1"/>
  <c r="G37" i="10"/>
  <c r="R36" i="10"/>
  <c r="Q36" i="10"/>
  <c r="P36" i="10"/>
  <c r="G36" i="10"/>
  <c r="R35" i="10"/>
  <c r="Q35" i="10"/>
  <c r="I35" i="10"/>
  <c r="P35" i="10" s="1"/>
  <c r="G35" i="10"/>
  <c r="R34" i="10"/>
  <c r="Q34" i="10"/>
  <c r="I34" i="10"/>
  <c r="P34" i="10" s="1"/>
  <c r="G34" i="10"/>
  <c r="R33" i="10"/>
  <c r="Q33" i="10"/>
  <c r="P33" i="10"/>
  <c r="G33" i="10"/>
  <c r="R32" i="10"/>
  <c r="Q32" i="10"/>
  <c r="I32" i="10"/>
  <c r="P32" i="10" s="1"/>
  <c r="G32" i="10"/>
  <c r="R31" i="10"/>
  <c r="Q31" i="10"/>
  <c r="I31" i="10"/>
  <c r="P31" i="10" s="1"/>
  <c r="G31" i="10"/>
  <c r="R30" i="10"/>
  <c r="Q30" i="10"/>
  <c r="I30" i="10"/>
  <c r="P30" i="10" s="1"/>
  <c r="G30" i="10"/>
  <c r="R29" i="10"/>
  <c r="Q29" i="10"/>
  <c r="P29" i="10"/>
  <c r="G29" i="10"/>
  <c r="R28" i="10"/>
  <c r="Q28" i="10"/>
  <c r="I28" i="10"/>
  <c r="P28" i="10" s="1"/>
  <c r="G28" i="10"/>
  <c r="R27" i="10"/>
  <c r="Q27" i="10"/>
  <c r="P27" i="10"/>
  <c r="G27" i="10"/>
  <c r="R26" i="10"/>
  <c r="Q26" i="10"/>
  <c r="I26" i="10"/>
  <c r="P26" i="10" s="1"/>
  <c r="G26" i="10"/>
  <c r="R25" i="10"/>
  <c r="Q25" i="10"/>
  <c r="P25" i="10"/>
  <c r="G25" i="10"/>
  <c r="R24" i="10"/>
  <c r="Q24" i="10"/>
  <c r="I24" i="10"/>
  <c r="P24" i="10" s="1"/>
  <c r="G24" i="10"/>
  <c r="R23" i="10"/>
  <c r="Q23" i="10"/>
  <c r="I23" i="10"/>
  <c r="P23" i="10" s="1"/>
  <c r="G23" i="10"/>
  <c r="R22" i="10"/>
  <c r="Q22" i="10"/>
  <c r="I22" i="10"/>
  <c r="P22" i="10" s="1"/>
  <c r="G22" i="10"/>
  <c r="R21" i="10"/>
  <c r="Q21" i="10"/>
  <c r="I21" i="10"/>
  <c r="P21" i="10" s="1"/>
  <c r="G21" i="10"/>
  <c r="R20" i="10"/>
  <c r="Q20" i="10"/>
  <c r="I20" i="10"/>
  <c r="P20" i="10" s="1"/>
  <c r="G20" i="10"/>
  <c r="R19" i="10"/>
  <c r="Q19" i="10"/>
  <c r="I19" i="10"/>
  <c r="P19" i="10" s="1"/>
  <c r="G19" i="10"/>
  <c r="R18" i="10"/>
  <c r="Q18" i="10"/>
  <c r="I18" i="10"/>
  <c r="P18" i="10" s="1"/>
  <c r="G18" i="10"/>
  <c r="R17" i="10"/>
  <c r="Q17" i="10"/>
  <c r="I17" i="10"/>
  <c r="P17" i="10" s="1"/>
  <c r="G17" i="10"/>
  <c r="R16" i="10"/>
  <c r="Q16" i="10"/>
  <c r="I16" i="10"/>
  <c r="P16" i="10" s="1"/>
  <c r="G16" i="10"/>
  <c r="R15" i="10"/>
  <c r="Q15" i="10"/>
  <c r="I15" i="10"/>
  <c r="P15" i="10" s="1"/>
  <c r="G15" i="10"/>
  <c r="R14" i="10"/>
  <c r="Q14" i="10"/>
  <c r="I14" i="10"/>
  <c r="P14" i="10" s="1"/>
  <c r="G14" i="10"/>
  <c r="R13" i="10"/>
  <c r="Q13" i="10"/>
  <c r="I13" i="10"/>
  <c r="P13" i="10" s="1"/>
  <c r="G13" i="10"/>
  <c r="R12" i="10"/>
  <c r="Q12" i="10"/>
  <c r="I12" i="10"/>
  <c r="P12" i="10" s="1"/>
  <c r="G12" i="10"/>
  <c r="R11" i="10"/>
  <c r="Q11" i="10"/>
  <c r="I11" i="10"/>
  <c r="P11" i="10" s="1"/>
  <c r="G11" i="10"/>
  <c r="R10" i="10"/>
  <c r="Q10" i="10"/>
  <c r="I10" i="10"/>
  <c r="P10" i="10" s="1"/>
  <c r="G10" i="10"/>
  <c r="R9" i="10"/>
  <c r="Q9" i="10"/>
  <c r="I9" i="10"/>
  <c r="G9" i="10"/>
  <c r="N1" i="10"/>
  <c r="K87" i="10" s="1"/>
  <c r="G1" i="10"/>
  <c r="G158" i="9"/>
  <c r="G157" i="9"/>
  <c r="G156" i="9"/>
  <c r="G155" i="9"/>
  <c r="G154" i="9"/>
  <c r="J148" i="9"/>
  <c r="H148" i="9"/>
  <c r="G148" i="9"/>
  <c r="I147" i="9"/>
  <c r="I146" i="9"/>
  <c r="I145" i="9"/>
  <c r="I144" i="9"/>
  <c r="I143" i="9"/>
  <c r="I142" i="9"/>
  <c r="M138" i="9"/>
  <c r="K138" i="9"/>
  <c r="J138" i="9"/>
  <c r="I138" i="9"/>
  <c r="H138" i="9"/>
  <c r="L137" i="9"/>
  <c r="L136" i="9"/>
  <c r="L135" i="9"/>
  <c r="L134" i="9"/>
  <c r="L133" i="9"/>
  <c r="L132" i="9"/>
  <c r="G132" i="9"/>
  <c r="M127" i="9"/>
  <c r="K127" i="9"/>
  <c r="J127" i="9"/>
  <c r="H127" i="9"/>
  <c r="I126" i="9"/>
  <c r="I127" i="9" s="1"/>
  <c r="G126" i="9"/>
  <c r="L125" i="9"/>
  <c r="G125" i="9"/>
  <c r="L124" i="9"/>
  <c r="G124" i="9"/>
  <c r="L123" i="9"/>
  <c r="G123" i="9"/>
  <c r="L122" i="9"/>
  <c r="G122" i="9"/>
  <c r="L121" i="9"/>
  <c r="G121" i="9"/>
  <c r="L120" i="9"/>
  <c r="G120" i="9"/>
  <c r="L119" i="9"/>
  <c r="G119" i="9"/>
  <c r="L118" i="9"/>
  <c r="G118" i="9"/>
  <c r="I110" i="9"/>
  <c r="K109" i="9"/>
  <c r="J109" i="9"/>
  <c r="H109" i="9"/>
  <c r="K108" i="9"/>
  <c r="J108" i="9"/>
  <c r="H108" i="9"/>
  <c r="K107" i="9"/>
  <c r="J107" i="9"/>
  <c r="H107" i="9"/>
  <c r="K106" i="9"/>
  <c r="J106" i="9"/>
  <c r="H106" i="9"/>
  <c r="K105" i="9"/>
  <c r="J105" i="9"/>
  <c r="H105" i="9"/>
  <c r="K104" i="9"/>
  <c r="J104" i="9"/>
  <c r="H104" i="9"/>
  <c r="K103" i="9"/>
  <c r="J103" i="9"/>
  <c r="H103" i="9"/>
  <c r="K102" i="9"/>
  <c r="J102" i="9"/>
  <c r="H102" i="9"/>
  <c r="K101" i="9"/>
  <c r="J101" i="9"/>
  <c r="H101" i="9"/>
  <c r="K100" i="9"/>
  <c r="J100" i="9"/>
  <c r="H100" i="9"/>
  <c r="K99" i="9"/>
  <c r="J99" i="9"/>
  <c r="H99" i="9"/>
  <c r="K98" i="9"/>
  <c r="J98" i="9"/>
  <c r="H98" i="9"/>
  <c r="K97" i="9"/>
  <c r="J97" i="9"/>
  <c r="H97" i="9"/>
  <c r="K96" i="9"/>
  <c r="J96" i="9"/>
  <c r="H96" i="9"/>
  <c r="K95" i="9"/>
  <c r="J95" i="9"/>
  <c r="H95" i="9"/>
  <c r="K94" i="9"/>
  <c r="J94" i="9"/>
  <c r="H94" i="9"/>
  <c r="K93" i="9"/>
  <c r="J93" i="9"/>
  <c r="H93" i="9"/>
  <c r="K92" i="9"/>
  <c r="J92" i="9"/>
  <c r="H92" i="9"/>
  <c r="K91" i="9"/>
  <c r="J91" i="9"/>
  <c r="H91" i="9"/>
  <c r="K90" i="9"/>
  <c r="J90" i="9"/>
  <c r="H90" i="9"/>
  <c r="K89" i="9"/>
  <c r="J89" i="9"/>
  <c r="H89" i="9"/>
  <c r="K88" i="9"/>
  <c r="J88" i="9"/>
  <c r="H88" i="9"/>
  <c r="K87" i="9"/>
  <c r="J87" i="9"/>
  <c r="H87" i="9"/>
  <c r="K86" i="9"/>
  <c r="J86" i="9"/>
  <c r="H86" i="9"/>
  <c r="L82" i="9"/>
  <c r="K82" i="9"/>
  <c r="J82" i="9"/>
  <c r="I82" i="9"/>
  <c r="H82" i="9"/>
  <c r="G82" i="9"/>
  <c r="O63" i="9"/>
  <c r="I134" i="14" s="1"/>
  <c r="N63" i="9"/>
  <c r="I132" i="14" s="1"/>
  <c r="M63" i="9"/>
  <c r="I131" i="14" s="1"/>
  <c r="L63" i="9"/>
  <c r="I133" i="14" s="1"/>
  <c r="K63" i="9"/>
  <c r="I130" i="14" s="1"/>
  <c r="J63" i="9"/>
  <c r="I129" i="14" s="1"/>
  <c r="H63" i="9"/>
  <c r="R62" i="9"/>
  <c r="Q62" i="9"/>
  <c r="I62" i="9"/>
  <c r="P62" i="9" s="1"/>
  <c r="G62" i="9"/>
  <c r="R61" i="9"/>
  <c r="Q61" i="9"/>
  <c r="I61" i="9"/>
  <c r="P61" i="9" s="1"/>
  <c r="G61" i="9"/>
  <c r="R60" i="9"/>
  <c r="Q60" i="9"/>
  <c r="I60" i="9"/>
  <c r="P60" i="9" s="1"/>
  <c r="G60" i="9"/>
  <c r="R59" i="9"/>
  <c r="Q59" i="9"/>
  <c r="I59" i="9"/>
  <c r="P59" i="9" s="1"/>
  <c r="G59" i="9"/>
  <c r="R58" i="9"/>
  <c r="Q58" i="9"/>
  <c r="I58" i="9"/>
  <c r="P58" i="9" s="1"/>
  <c r="G58" i="9"/>
  <c r="R57" i="9"/>
  <c r="Q57" i="9"/>
  <c r="I57" i="9"/>
  <c r="P57" i="9" s="1"/>
  <c r="G57" i="9"/>
  <c r="R56" i="9"/>
  <c r="Q56" i="9"/>
  <c r="I56" i="9"/>
  <c r="P56" i="9" s="1"/>
  <c r="G56" i="9"/>
  <c r="R55" i="9"/>
  <c r="Q55" i="9"/>
  <c r="I55" i="9"/>
  <c r="P55" i="9" s="1"/>
  <c r="G55" i="9"/>
  <c r="R54" i="9"/>
  <c r="Q54" i="9"/>
  <c r="I54" i="9"/>
  <c r="P54" i="9" s="1"/>
  <c r="G54" i="9"/>
  <c r="R53" i="9"/>
  <c r="Q53" i="9"/>
  <c r="I53" i="9"/>
  <c r="P53" i="9" s="1"/>
  <c r="G53" i="9"/>
  <c r="R52" i="9"/>
  <c r="Q52" i="9"/>
  <c r="P52" i="9"/>
  <c r="G52" i="9"/>
  <c r="R51" i="9"/>
  <c r="Q51" i="9"/>
  <c r="I51" i="9"/>
  <c r="P51" i="9" s="1"/>
  <c r="G51" i="9"/>
  <c r="R50" i="9"/>
  <c r="Q50" i="9"/>
  <c r="P50" i="9"/>
  <c r="G50" i="9"/>
  <c r="R49" i="9"/>
  <c r="Q49" i="9"/>
  <c r="I49" i="9"/>
  <c r="P49" i="9" s="1"/>
  <c r="G49" i="9"/>
  <c r="R48" i="9"/>
  <c r="Q48" i="9"/>
  <c r="I48" i="9"/>
  <c r="P48" i="9" s="1"/>
  <c r="G48" i="9"/>
  <c r="R47" i="9"/>
  <c r="Q47" i="9"/>
  <c r="P47" i="9"/>
  <c r="G47" i="9"/>
  <c r="R46" i="9"/>
  <c r="Q46" i="9"/>
  <c r="I46" i="9"/>
  <c r="P46" i="9" s="1"/>
  <c r="G46" i="9"/>
  <c r="R45" i="9"/>
  <c r="Q45" i="9"/>
  <c r="P45" i="9"/>
  <c r="G45" i="9"/>
  <c r="R44" i="9"/>
  <c r="Q44" i="9"/>
  <c r="I44" i="9"/>
  <c r="P44" i="9" s="1"/>
  <c r="G44" i="9"/>
  <c r="R43" i="9"/>
  <c r="Q43" i="9"/>
  <c r="I43" i="9"/>
  <c r="P43" i="9" s="1"/>
  <c r="G43" i="9"/>
  <c r="R42" i="9"/>
  <c r="Q42" i="9"/>
  <c r="I42" i="9"/>
  <c r="P42" i="9" s="1"/>
  <c r="G42" i="9"/>
  <c r="R41" i="9"/>
  <c r="Q41" i="9"/>
  <c r="P41" i="9"/>
  <c r="G41" i="9"/>
  <c r="R40" i="9"/>
  <c r="Q40" i="9"/>
  <c r="I40" i="9"/>
  <c r="P40" i="9" s="1"/>
  <c r="G40" i="9"/>
  <c r="R39" i="9"/>
  <c r="Q39" i="9"/>
  <c r="I39" i="9"/>
  <c r="P39" i="9" s="1"/>
  <c r="G39" i="9"/>
  <c r="R38" i="9"/>
  <c r="Q38" i="9"/>
  <c r="I38" i="9"/>
  <c r="P38" i="9" s="1"/>
  <c r="G38" i="9"/>
  <c r="R37" i="9"/>
  <c r="Q37" i="9"/>
  <c r="I37" i="9"/>
  <c r="P37" i="9" s="1"/>
  <c r="G37" i="9"/>
  <c r="R36" i="9"/>
  <c r="Q36" i="9"/>
  <c r="I36" i="9"/>
  <c r="P36" i="9" s="1"/>
  <c r="G36" i="9"/>
  <c r="R35" i="9"/>
  <c r="Q35" i="9"/>
  <c r="I35" i="9"/>
  <c r="P35" i="9" s="1"/>
  <c r="G35" i="9"/>
  <c r="R34" i="9"/>
  <c r="Q34" i="9"/>
  <c r="I34" i="9"/>
  <c r="P34" i="9" s="1"/>
  <c r="G34" i="9"/>
  <c r="R33" i="9"/>
  <c r="Q33" i="9"/>
  <c r="I33" i="9"/>
  <c r="P33" i="9" s="1"/>
  <c r="G33" i="9"/>
  <c r="R32" i="9"/>
  <c r="Q32" i="9"/>
  <c r="I32" i="9"/>
  <c r="P32" i="9" s="1"/>
  <c r="G32" i="9"/>
  <c r="R31" i="9"/>
  <c r="Q31" i="9"/>
  <c r="I31" i="9"/>
  <c r="P31" i="9" s="1"/>
  <c r="G31" i="9"/>
  <c r="R30" i="9"/>
  <c r="Q30" i="9"/>
  <c r="I30" i="9"/>
  <c r="P30" i="9" s="1"/>
  <c r="G30" i="9"/>
  <c r="R29" i="9"/>
  <c r="Q29" i="9"/>
  <c r="I29" i="9"/>
  <c r="P29" i="9" s="1"/>
  <c r="G29" i="9"/>
  <c r="R28" i="9"/>
  <c r="Q28" i="9"/>
  <c r="I28" i="9"/>
  <c r="P28" i="9" s="1"/>
  <c r="G28" i="9"/>
  <c r="R27" i="9"/>
  <c r="Q27" i="9"/>
  <c r="I27" i="9"/>
  <c r="P27" i="9" s="1"/>
  <c r="G27" i="9"/>
  <c r="R26" i="9"/>
  <c r="Q26" i="9"/>
  <c r="I26" i="9"/>
  <c r="P26" i="9" s="1"/>
  <c r="G26" i="9"/>
  <c r="R25" i="9"/>
  <c r="Q25" i="9"/>
  <c r="I25" i="9"/>
  <c r="P25" i="9" s="1"/>
  <c r="G25" i="9"/>
  <c r="R24" i="9"/>
  <c r="Q24" i="9"/>
  <c r="I24" i="9"/>
  <c r="P24" i="9" s="1"/>
  <c r="G24" i="9"/>
  <c r="R23" i="9"/>
  <c r="Q23" i="9"/>
  <c r="I23" i="9"/>
  <c r="P23" i="9" s="1"/>
  <c r="G23" i="9"/>
  <c r="R22" i="9"/>
  <c r="Q22" i="9"/>
  <c r="I22" i="9"/>
  <c r="P22" i="9" s="1"/>
  <c r="G22" i="9"/>
  <c r="R21" i="9"/>
  <c r="Q21" i="9"/>
  <c r="I21" i="9"/>
  <c r="P21" i="9" s="1"/>
  <c r="G21" i="9"/>
  <c r="R20" i="9"/>
  <c r="Q20" i="9"/>
  <c r="I20" i="9"/>
  <c r="P20" i="9" s="1"/>
  <c r="G20" i="9"/>
  <c r="R19" i="9"/>
  <c r="Q19" i="9"/>
  <c r="I19" i="9"/>
  <c r="P19" i="9" s="1"/>
  <c r="G19" i="9"/>
  <c r="R18" i="9"/>
  <c r="Q18" i="9"/>
  <c r="I18" i="9"/>
  <c r="P18" i="9" s="1"/>
  <c r="G18" i="9"/>
  <c r="R17" i="9"/>
  <c r="Q17" i="9"/>
  <c r="I17" i="9"/>
  <c r="P17" i="9" s="1"/>
  <c r="G17" i="9"/>
  <c r="R16" i="9"/>
  <c r="Q16" i="9"/>
  <c r="I16" i="9"/>
  <c r="P16" i="9" s="1"/>
  <c r="G16" i="9"/>
  <c r="R15" i="9"/>
  <c r="Q15" i="9"/>
  <c r="I15" i="9"/>
  <c r="P15" i="9" s="1"/>
  <c r="G15" i="9"/>
  <c r="R14" i="9"/>
  <c r="Q14" i="9"/>
  <c r="I14" i="9"/>
  <c r="P14" i="9" s="1"/>
  <c r="G14" i="9"/>
  <c r="R13" i="9"/>
  <c r="Q13" i="9"/>
  <c r="I13" i="9"/>
  <c r="P13" i="9" s="1"/>
  <c r="G13" i="9"/>
  <c r="R12" i="9"/>
  <c r="Q12" i="9"/>
  <c r="I12" i="9"/>
  <c r="P12" i="9" s="1"/>
  <c r="G12" i="9"/>
  <c r="R11" i="9"/>
  <c r="Q11" i="9"/>
  <c r="I11" i="9"/>
  <c r="P11" i="9" s="1"/>
  <c r="G11" i="9"/>
  <c r="R10" i="9"/>
  <c r="Q10" i="9"/>
  <c r="I10" i="9"/>
  <c r="P10" i="9" s="1"/>
  <c r="G10" i="9"/>
  <c r="R9" i="9"/>
  <c r="Q9" i="9"/>
  <c r="I9" i="9"/>
  <c r="G9" i="9"/>
  <c r="N1" i="9"/>
  <c r="K114" i="9" s="1"/>
  <c r="G1" i="9"/>
  <c r="G136" i="8"/>
  <c r="G135" i="8"/>
  <c r="G134" i="8"/>
  <c r="G133" i="8"/>
  <c r="G132" i="8"/>
  <c r="J127" i="8"/>
  <c r="H127" i="8"/>
  <c r="G127" i="8"/>
  <c r="I126" i="8"/>
  <c r="I125" i="8"/>
  <c r="I124" i="8"/>
  <c r="I123" i="8"/>
  <c r="I122" i="8"/>
  <c r="I121" i="8"/>
  <c r="M117" i="8"/>
  <c r="K117" i="8"/>
  <c r="J117" i="8"/>
  <c r="H117" i="8"/>
  <c r="I116" i="8"/>
  <c r="L116" i="8" s="1"/>
  <c r="I115" i="8"/>
  <c r="L115" i="8" s="1"/>
  <c r="I114" i="8"/>
  <c r="L114" i="8" s="1"/>
  <c r="I113" i="8"/>
  <c r="L113" i="8" s="1"/>
  <c r="I112" i="8"/>
  <c r="L112" i="8" s="1"/>
  <c r="G112" i="8"/>
  <c r="I111" i="8"/>
  <c r="G111" i="8"/>
  <c r="M106" i="8"/>
  <c r="K106" i="8"/>
  <c r="J106" i="8"/>
  <c r="H106" i="8"/>
  <c r="J4" i="8" s="1"/>
  <c r="I105" i="8"/>
  <c r="L105" i="8" s="1"/>
  <c r="G105" i="8"/>
  <c r="I104" i="8"/>
  <c r="L104" i="8" s="1"/>
  <c r="G104" i="8"/>
  <c r="L103" i="8"/>
  <c r="G103" i="8"/>
  <c r="L102" i="8"/>
  <c r="G102" i="8"/>
  <c r="I101" i="8"/>
  <c r="L101" i="8" s="1"/>
  <c r="G101" i="8"/>
  <c r="L100" i="8"/>
  <c r="G100" i="8"/>
  <c r="L99" i="8"/>
  <c r="G99" i="8"/>
  <c r="I98" i="8"/>
  <c r="L98" i="8" s="1"/>
  <c r="G98" i="8"/>
  <c r="L97" i="8"/>
  <c r="G97" i="8"/>
  <c r="L96" i="8"/>
  <c r="G96" i="8"/>
  <c r="I95" i="8"/>
  <c r="L95" i="8" s="1"/>
  <c r="G95" i="8"/>
  <c r="I94" i="8"/>
  <c r="G94" i="8"/>
  <c r="I84" i="8"/>
  <c r="K83" i="8"/>
  <c r="J83" i="8"/>
  <c r="H83" i="8"/>
  <c r="K82" i="8"/>
  <c r="J82" i="8"/>
  <c r="H82" i="8"/>
  <c r="K81" i="8"/>
  <c r="J81" i="8"/>
  <c r="H81" i="8"/>
  <c r="K80" i="8"/>
  <c r="J80" i="8"/>
  <c r="H80" i="8"/>
  <c r="K79" i="8"/>
  <c r="J79" i="8"/>
  <c r="H79" i="8"/>
  <c r="K78" i="8"/>
  <c r="J78" i="8"/>
  <c r="H78" i="8"/>
  <c r="K77" i="8"/>
  <c r="J77" i="8"/>
  <c r="H77" i="8"/>
  <c r="K76" i="8"/>
  <c r="J76" i="8"/>
  <c r="H76" i="8"/>
  <c r="K75" i="8"/>
  <c r="J75" i="8"/>
  <c r="H75" i="8"/>
  <c r="K74" i="8"/>
  <c r="J74" i="8"/>
  <c r="H74" i="8"/>
  <c r="K73" i="8"/>
  <c r="J73" i="8"/>
  <c r="H73" i="8"/>
  <c r="K72" i="8"/>
  <c r="J72" i="8"/>
  <c r="H72" i="8"/>
  <c r="K71" i="8"/>
  <c r="J71" i="8"/>
  <c r="H71" i="8"/>
  <c r="K70" i="8"/>
  <c r="J70" i="8"/>
  <c r="H70" i="8"/>
  <c r="K69" i="8"/>
  <c r="J69" i="8"/>
  <c r="H69" i="8"/>
  <c r="K68" i="8"/>
  <c r="J68" i="8"/>
  <c r="H68" i="8"/>
  <c r="L62" i="8"/>
  <c r="K62" i="8"/>
  <c r="J62" i="8"/>
  <c r="I62" i="8"/>
  <c r="H62" i="8"/>
  <c r="G62" i="8"/>
  <c r="O50" i="8"/>
  <c r="D134" i="14" s="1"/>
  <c r="N50" i="8"/>
  <c r="D132" i="14" s="1"/>
  <c r="M50" i="8"/>
  <c r="D131" i="14" s="1"/>
  <c r="L50" i="8"/>
  <c r="D133" i="14" s="1"/>
  <c r="K50" i="8"/>
  <c r="D130" i="14" s="1"/>
  <c r="J50" i="8"/>
  <c r="D129" i="14" s="1"/>
  <c r="H50" i="8"/>
  <c r="R49" i="8"/>
  <c r="Q49" i="8"/>
  <c r="P49" i="8"/>
  <c r="G49" i="8"/>
  <c r="R48" i="8"/>
  <c r="Q48" i="8"/>
  <c r="I48" i="8"/>
  <c r="P48" i="8" s="1"/>
  <c r="G48" i="8"/>
  <c r="R47" i="8"/>
  <c r="Q47" i="8"/>
  <c r="P47" i="8"/>
  <c r="G47" i="8"/>
  <c r="R46" i="8"/>
  <c r="Q46" i="8"/>
  <c r="P46" i="8"/>
  <c r="G46" i="8"/>
  <c r="R45" i="8"/>
  <c r="Q45" i="8"/>
  <c r="I45" i="8"/>
  <c r="P45" i="8" s="1"/>
  <c r="G45" i="8"/>
  <c r="R44" i="8"/>
  <c r="Q44" i="8"/>
  <c r="I44" i="8"/>
  <c r="P44" i="8" s="1"/>
  <c r="G44" i="8"/>
  <c r="R43" i="8"/>
  <c r="Q43" i="8"/>
  <c r="I43" i="8"/>
  <c r="P43" i="8" s="1"/>
  <c r="G43" i="8"/>
  <c r="R42" i="8"/>
  <c r="Q42" i="8"/>
  <c r="P42" i="8"/>
  <c r="G42" i="8"/>
  <c r="R41" i="8"/>
  <c r="Q41" i="8"/>
  <c r="I41" i="8"/>
  <c r="P41" i="8" s="1"/>
  <c r="G41" i="8"/>
  <c r="R40" i="8"/>
  <c r="Q40" i="8"/>
  <c r="P40" i="8"/>
  <c r="G40" i="8"/>
  <c r="R39" i="8"/>
  <c r="Q39" i="8"/>
  <c r="I39" i="8"/>
  <c r="P39" i="8" s="1"/>
  <c r="G39" i="8"/>
  <c r="R38" i="8"/>
  <c r="Q38" i="8"/>
  <c r="I38" i="8"/>
  <c r="P38" i="8" s="1"/>
  <c r="G38" i="8"/>
  <c r="R37" i="8"/>
  <c r="Q37" i="8"/>
  <c r="I37" i="8"/>
  <c r="P37" i="8" s="1"/>
  <c r="G37" i="8"/>
  <c r="R36" i="8"/>
  <c r="Q36" i="8"/>
  <c r="P36" i="8"/>
  <c r="G36" i="8"/>
  <c r="R35" i="8"/>
  <c r="Q35" i="8"/>
  <c r="P35" i="8"/>
  <c r="G35" i="8"/>
  <c r="R34" i="8"/>
  <c r="Q34" i="8"/>
  <c r="P34" i="8"/>
  <c r="G34" i="8"/>
  <c r="R33" i="8"/>
  <c r="Q33" i="8"/>
  <c r="I33" i="8"/>
  <c r="P33" i="8" s="1"/>
  <c r="G33" i="8"/>
  <c r="R32" i="8"/>
  <c r="Q32" i="8"/>
  <c r="I32" i="8"/>
  <c r="P32" i="8" s="1"/>
  <c r="G32" i="8"/>
  <c r="R31" i="8"/>
  <c r="Q31" i="8"/>
  <c r="I31" i="8"/>
  <c r="P31" i="8" s="1"/>
  <c r="G31" i="8"/>
  <c r="R30" i="8"/>
  <c r="Q30" i="8"/>
  <c r="I30" i="8"/>
  <c r="P30" i="8" s="1"/>
  <c r="G30" i="8"/>
  <c r="R29" i="8"/>
  <c r="Q29" i="8"/>
  <c r="I29" i="8"/>
  <c r="P29" i="8" s="1"/>
  <c r="G29" i="8"/>
  <c r="R28" i="8"/>
  <c r="Q28" i="8"/>
  <c r="I28" i="8"/>
  <c r="P28" i="8" s="1"/>
  <c r="G28" i="8"/>
  <c r="R27" i="8"/>
  <c r="Q27" i="8"/>
  <c r="I27" i="8"/>
  <c r="P27" i="8" s="1"/>
  <c r="G27" i="8"/>
  <c r="R26" i="8"/>
  <c r="Q26" i="8"/>
  <c r="P26" i="8"/>
  <c r="G26" i="8"/>
  <c r="R25" i="8"/>
  <c r="Q25" i="8"/>
  <c r="I25" i="8"/>
  <c r="P25" i="8" s="1"/>
  <c r="G25" i="8"/>
  <c r="R24" i="8"/>
  <c r="Q24" i="8"/>
  <c r="P24" i="8"/>
  <c r="G24" i="8"/>
  <c r="R23" i="8"/>
  <c r="Q23" i="8"/>
  <c r="I23" i="8"/>
  <c r="P23" i="8" s="1"/>
  <c r="G23" i="8"/>
  <c r="R22" i="8"/>
  <c r="Q22" i="8"/>
  <c r="I22" i="8"/>
  <c r="P22" i="8" s="1"/>
  <c r="G22" i="8"/>
  <c r="R21" i="8"/>
  <c r="Q21" i="8"/>
  <c r="I21" i="8"/>
  <c r="P21" i="8" s="1"/>
  <c r="G21" i="8"/>
  <c r="R20" i="8"/>
  <c r="Q20" i="8"/>
  <c r="I20" i="8"/>
  <c r="P20" i="8" s="1"/>
  <c r="G20" i="8"/>
  <c r="R19" i="8"/>
  <c r="Q19" i="8"/>
  <c r="I19" i="8"/>
  <c r="P19" i="8" s="1"/>
  <c r="G19" i="8"/>
  <c r="R18" i="8"/>
  <c r="Q18" i="8"/>
  <c r="I18" i="8"/>
  <c r="P18" i="8" s="1"/>
  <c r="G18" i="8"/>
  <c r="R17" i="8"/>
  <c r="Q17" i="8"/>
  <c r="P17" i="8"/>
  <c r="G17" i="8"/>
  <c r="R16" i="8"/>
  <c r="Q16" i="8"/>
  <c r="I16" i="8"/>
  <c r="P16" i="8" s="1"/>
  <c r="G16" i="8"/>
  <c r="R15" i="8"/>
  <c r="Q15" i="8"/>
  <c r="I15" i="8"/>
  <c r="P15" i="8" s="1"/>
  <c r="G15" i="8"/>
  <c r="R14" i="8"/>
  <c r="Q14" i="8"/>
  <c r="I14" i="8"/>
  <c r="P14" i="8" s="1"/>
  <c r="G14" i="8"/>
  <c r="R13" i="8"/>
  <c r="Q13" i="8"/>
  <c r="I13" i="8"/>
  <c r="P13" i="8" s="1"/>
  <c r="G13" i="8"/>
  <c r="R12" i="8"/>
  <c r="Q12" i="8"/>
  <c r="I12" i="8"/>
  <c r="P12" i="8" s="1"/>
  <c r="G12" i="8"/>
  <c r="R11" i="8"/>
  <c r="Q11" i="8"/>
  <c r="I11" i="8"/>
  <c r="P11" i="8" s="1"/>
  <c r="G11" i="8"/>
  <c r="R10" i="8"/>
  <c r="Q10" i="8"/>
  <c r="I10" i="8"/>
  <c r="P10" i="8" s="1"/>
  <c r="G10" i="8"/>
  <c r="R9" i="8"/>
  <c r="Q9" i="8"/>
  <c r="I9" i="8"/>
  <c r="G9" i="8"/>
  <c r="N1" i="8"/>
  <c r="K90" i="8" s="1"/>
  <c r="G1" i="8"/>
  <c r="G119" i="7"/>
  <c r="G118" i="7"/>
  <c r="G117" i="7"/>
  <c r="G116" i="7"/>
  <c r="G115" i="7"/>
  <c r="I110" i="7"/>
  <c r="I109" i="7"/>
  <c r="M105" i="7"/>
  <c r="K105" i="7"/>
  <c r="J105" i="7"/>
  <c r="H105" i="7"/>
  <c r="I104" i="7"/>
  <c r="L104" i="7" s="1"/>
  <c r="I103" i="7"/>
  <c r="L103" i="7" s="1"/>
  <c r="I102" i="7"/>
  <c r="L102" i="7" s="1"/>
  <c r="I101" i="7"/>
  <c r="L101" i="7" s="1"/>
  <c r="G101" i="7"/>
  <c r="I100" i="7"/>
  <c r="G100" i="7"/>
  <c r="I99" i="7"/>
  <c r="L99" i="7" s="1"/>
  <c r="G99" i="7"/>
  <c r="M94" i="7"/>
  <c r="K94" i="7"/>
  <c r="J94" i="7"/>
  <c r="H94" i="7"/>
  <c r="I93" i="7"/>
  <c r="L93" i="7" s="1"/>
  <c r="G93" i="7"/>
  <c r="I92" i="7"/>
  <c r="L92" i="7" s="1"/>
  <c r="G92" i="7"/>
  <c r="I91" i="7"/>
  <c r="L91" i="7" s="1"/>
  <c r="G91" i="7"/>
  <c r="I90" i="7"/>
  <c r="L90" i="7" s="1"/>
  <c r="G90" i="7"/>
  <c r="I89" i="7"/>
  <c r="L89" i="7" s="1"/>
  <c r="G89" i="7"/>
  <c r="I88" i="7"/>
  <c r="L88" i="7" s="1"/>
  <c r="G88" i="7"/>
  <c r="I87" i="7"/>
  <c r="G87" i="7"/>
  <c r="L86" i="7"/>
  <c r="G86" i="7"/>
  <c r="L85" i="7"/>
  <c r="G85" i="7"/>
  <c r="I75" i="7"/>
  <c r="K74" i="7"/>
  <c r="J74" i="7"/>
  <c r="H74" i="7"/>
  <c r="K73" i="7"/>
  <c r="J73" i="7"/>
  <c r="H73" i="7"/>
  <c r="K72" i="7"/>
  <c r="J72" i="7"/>
  <c r="H72" i="7"/>
  <c r="K71" i="7"/>
  <c r="J71" i="7"/>
  <c r="K70" i="7"/>
  <c r="J70" i="7"/>
  <c r="H70" i="7"/>
  <c r="K69" i="7"/>
  <c r="J69" i="7"/>
  <c r="H69" i="7"/>
  <c r="K68" i="7"/>
  <c r="J68" i="7"/>
  <c r="H68" i="7"/>
  <c r="K67" i="7"/>
  <c r="J67" i="7"/>
  <c r="H67" i="7"/>
  <c r="K66" i="7"/>
  <c r="J66" i="7"/>
  <c r="H66" i="7"/>
  <c r="K65" i="7"/>
  <c r="J65" i="7"/>
  <c r="H65" i="7"/>
  <c r="K64" i="7"/>
  <c r="J64" i="7"/>
  <c r="H64" i="7"/>
  <c r="K63" i="7"/>
  <c r="J63" i="7"/>
  <c r="H63" i="7"/>
  <c r="K62" i="7"/>
  <c r="J62" i="7"/>
  <c r="H62" i="7"/>
  <c r="K61" i="7"/>
  <c r="J61" i="7"/>
  <c r="H61" i="7"/>
  <c r="K60" i="7"/>
  <c r="J60" i="7"/>
  <c r="H60" i="7"/>
  <c r="K59" i="7"/>
  <c r="J59" i="7"/>
  <c r="H59" i="7"/>
  <c r="K58" i="7"/>
  <c r="J58" i="7"/>
  <c r="H58" i="7"/>
  <c r="K57" i="7"/>
  <c r="J57" i="7"/>
  <c r="H57" i="7"/>
  <c r="K56" i="7"/>
  <c r="J56" i="7"/>
  <c r="H56" i="7"/>
  <c r="K55" i="7"/>
  <c r="J55" i="7"/>
  <c r="H55" i="7"/>
  <c r="L50" i="7"/>
  <c r="K50" i="7"/>
  <c r="J50" i="7"/>
  <c r="I50" i="7"/>
  <c r="H50" i="7"/>
  <c r="G50" i="7"/>
  <c r="O39" i="7"/>
  <c r="N89" i="14" s="1"/>
  <c r="N39" i="7"/>
  <c r="N87" i="14" s="1"/>
  <c r="M39" i="7"/>
  <c r="N86" i="14" s="1"/>
  <c r="L39" i="7"/>
  <c r="N88" i="14" s="1"/>
  <c r="K39" i="7"/>
  <c r="N85" i="14" s="1"/>
  <c r="J39" i="7"/>
  <c r="N84" i="14" s="1"/>
  <c r="H39" i="7"/>
  <c r="R38" i="7"/>
  <c r="Q38" i="7"/>
  <c r="I38" i="7"/>
  <c r="P38" i="7" s="1"/>
  <c r="G38" i="7"/>
  <c r="R37" i="7"/>
  <c r="Q37" i="7"/>
  <c r="I37" i="7"/>
  <c r="P37" i="7" s="1"/>
  <c r="G37" i="7"/>
  <c r="R36" i="7"/>
  <c r="Q36" i="7"/>
  <c r="I36" i="7"/>
  <c r="P36" i="7" s="1"/>
  <c r="G36" i="7"/>
  <c r="R35" i="7"/>
  <c r="Q35" i="7"/>
  <c r="I35" i="7"/>
  <c r="P35" i="7" s="1"/>
  <c r="G35" i="7"/>
  <c r="R34" i="7"/>
  <c r="Q34" i="7"/>
  <c r="I34" i="7"/>
  <c r="P34" i="7" s="1"/>
  <c r="G34" i="7"/>
  <c r="R33" i="7"/>
  <c r="Q33" i="7"/>
  <c r="I33" i="7"/>
  <c r="P33" i="7" s="1"/>
  <c r="G33" i="7"/>
  <c r="R32" i="7"/>
  <c r="Q32" i="7"/>
  <c r="I32" i="7"/>
  <c r="P32" i="7" s="1"/>
  <c r="G32" i="7"/>
  <c r="R31" i="7"/>
  <c r="Q31" i="7"/>
  <c r="I31" i="7"/>
  <c r="P31" i="7" s="1"/>
  <c r="G31" i="7"/>
  <c r="R30" i="7"/>
  <c r="Q30" i="7"/>
  <c r="I30" i="7"/>
  <c r="P30" i="7" s="1"/>
  <c r="G30" i="7"/>
  <c r="R29" i="7"/>
  <c r="Q29" i="7"/>
  <c r="I29" i="7"/>
  <c r="P29" i="7" s="1"/>
  <c r="G29" i="7"/>
  <c r="R28" i="7"/>
  <c r="Q28" i="7"/>
  <c r="I28" i="7"/>
  <c r="P28" i="7" s="1"/>
  <c r="G28" i="7"/>
  <c r="R27" i="7"/>
  <c r="Q27" i="7"/>
  <c r="I27" i="7"/>
  <c r="P27" i="7" s="1"/>
  <c r="G27" i="7"/>
  <c r="R26" i="7"/>
  <c r="Q26" i="7"/>
  <c r="I26" i="7"/>
  <c r="P26" i="7" s="1"/>
  <c r="G26" i="7"/>
  <c r="R25" i="7"/>
  <c r="Q25" i="7"/>
  <c r="I25" i="7"/>
  <c r="P25" i="7" s="1"/>
  <c r="G25" i="7"/>
  <c r="R24" i="7"/>
  <c r="Q24" i="7"/>
  <c r="I24" i="7"/>
  <c r="P24" i="7" s="1"/>
  <c r="G24" i="7"/>
  <c r="R23" i="7"/>
  <c r="Q23" i="7"/>
  <c r="I23" i="7"/>
  <c r="P23" i="7" s="1"/>
  <c r="G23" i="7"/>
  <c r="R22" i="7"/>
  <c r="Q22" i="7"/>
  <c r="I22" i="7"/>
  <c r="P22" i="7" s="1"/>
  <c r="G22" i="7"/>
  <c r="R21" i="7"/>
  <c r="Q21" i="7"/>
  <c r="I21" i="7"/>
  <c r="P21" i="7" s="1"/>
  <c r="G21" i="7"/>
  <c r="R20" i="7"/>
  <c r="Q20" i="7"/>
  <c r="P20" i="7"/>
  <c r="G20" i="7"/>
  <c r="R19" i="7"/>
  <c r="Q19" i="7"/>
  <c r="I19" i="7"/>
  <c r="P19" i="7" s="1"/>
  <c r="G19" i="7"/>
  <c r="R18" i="7"/>
  <c r="Q18" i="7"/>
  <c r="I18" i="7"/>
  <c r="P18" i="7" s="1"/>
  <c r="G18" i="7"/>
  <c r="R17" i="7"/>
  <c r="Q17" i="7"/>
  <c r="I17" i="7"/>
  <c r="P17" i="7" s="1"/>
  <c r="G17" i="7"/>
  <c r="R16" i="7"/>
  <c r="Q16" i="7"/>
  <c r="I16" i="7"/>
  <c r="P16" i="7" s="1"/>
  <c r="G16" i="7"/>
  <c r="R15" i="7"/>
  <c r="Q15" i="7"/>
  <c r="I15" i="7"/>
  <c r="P15" i="7" s="1"/>
  <c r="G15" i="7"/>
  <c r="R14" i="7"/>
  <c r="Q14" i="7"/>
  <c r="I14" i="7"/>
  <c r="P14" i="7" s="1"/>
  <c r="G14" i="7"/>
  <c r="R13" i="7"/>
  <c r="Q13" i="7"/>
  <c r="I13" i="7"/>
  <c r="P13" i="7" s="1"/>
  <c r="G13" i="7"/>
  <c r="R12" i="7"/>
  <c r="Q12" i="7"/>
  <c r="I12" i="7"/>
  <c r="P12" i="7" s="1"/>
  <c r="G12" i="7"/>
  <c r="R11" i="7"/>
  <c r="Q11" i="7"/>
  <c r="I11" i="7"/>
  <c r="P11" i="7" s="1"/>
  <c r="G11" i="7"/>
  <c r="R10" i="7"/>
  <c r="Q10" i="7"/>
  <c r="I10" i="7"/>
  <c r="P10" i="7" s="1"/>
  <c r="G10" i="7"/>
  <c r="R9" i="7"/>
  <c r="Q9" i="7"/>
  <c r="I9" i="7"/>
  <c r="P9" i="7" s="1"/>
  <c r="G9" i="7"/>
  <c r="N1" i="7"/>
  <c r="K81" i="7" s="1"/>
  <c r="G1" i="7"/>
  <c r="G126" i="6"/>
  <c r="G125" i="6"/>
  <c r="G124" i="6"/>
  <c r="G123" i="6"/>
  <c r="G122" i="6"/>
  <c r="M112" i="6"/>
  <c r="K112" i="6"/>
  <c r="J112" i="6"/>
  <c r="H112" i="6"/>
  <c r="I111" i="6"/>
  <c r="L111" i="6" s="1"/>
  <c r="G111" i="6"/>
  <c r="I110" i="6"/>
  <c r="L110" i="6" s="1"/>
  <c r="G110" i="6"/>
  <c r="I109" i="6"/>
  <c r="L109" i="6" s="1"/>
  <c r="G109" i="6"/>
  <c r="I108" i="6"/>
  <c r="L108" i="6" s="1"/>
  <c r="G108" i="6"/>
  <c r="I107" i="6"/>
  <c r="L107" i="6" s="1"/>
  <c r="G107" i="6"/>
  <c r="I106" i="6"/>
  <c r="G106" i="6"/>
  <c r="M101" i="6"/>
  <c r="K101" i="6"/>
  <c r="J101" i="6"/>
  <c r="H101" i="6"/>
  <c r="I100" i="6"/>
  <c r="L100" i="6" s="1"/>
  <c r="G100" i="6"/>
  <c r="I99" i="6"/>
  <c r="L99" i="6" s="1"/>
  <c r="G99" i="6"/>
  <c r="L98" i="6"/>
  <c r="G98" i="6"/>
  <c r="I97" i="6"/>
  <c r="L97" i="6" s="1"/>
  <c r="G97" i="6"/>
  <c r="L96" i="6"/>
  <c r="G96" i="6"/>
  <c r="I95" i="6"/>
  <c r="G95" i="6"/>
  <c r="L94" i="6"/>
  <c r="G94" i="6"/>
  <c r="L93" i="6"/>
  <c r="G93" i="6"/>
  <c r="I83" i="6"/>
  <c r="K82" i="6"/>
  <c r="J82" i="6"/>
  <c r="H82" i="6"/>
  <c r="K81" i="6"/>
  <c r="J81" i="6"/>
  <c r="H81" i="6"/>
  <c r="K80" i="6"/>
  <c r="J80" i="6"/>
  <c r="H80" i="6"/>
  <c r="K79" i="6"/>
  <c r="J79" i="6"/>
  <c r="H79" i="6"/>
  <c r="K78" i="6"/>
  <c r="J78" i="6"/>
  <c r="H78" i="6"/>
  <c r="K77" i="6"/>
  <c r="J77" i="6"/>
  <c r="H77" i="6"/>
  <c r="K76" i="6"/>
  <c r="J76" i="6"/>
  <c r="H76" i="6"/>
  <c r="K75" i="6"/>
  <c r="J75" i="6"/>
  <c r="H75" i="6"/>
  <c r="K74" i="6"/>
  <c r="J74" i="6"/>
  <c r="H74" i="6"/>
  <c r="K73" i="6"/>
  <c r="J73" i="6"/>
  <c r="H73" i="6"/>
  <c r="K72" i="6"/>
  <c r="J72" i="6"/>
  <c r="H72" i="6"/>
  <c r="K71" i="6"/>
  <c r="J71" i="6"/>
  <c r="H71" i="6"/>
  <c r="K70" i="6"/>
  <c r="J70" i="6"/>
  <c r="H70" i="6"/>
  <c r="K69" i="6"/>
  <c r="J69" i="6"/>
  <c r="H69" i="6"/>
  <c r="L63" i="6"/>
  <c r="K63" i="6"/>
  <c r="J63" i="6"/>
  <c r="I63" i="6"/>
  <c r="H63" i="6"/>
  <c r="G63" i="6"/>
  <c r="O50" i="6"/>
  <c r="I89" i="14" s="1"/>
  <c r="N50" i="6"/>
  <c r="I87" i="14" s="1"/>
  <c r="M50" i="6"/>
  <c r="I86" i="14" s="1"/>
  <c r="L50" i="6"/>
  <c r="I88" i="14" s="1"/>
  <c r="K50" i="6"/>
  <c r="I85" i="14" s="1"/>
  <c r="J50" i="6"/>
  <c r="I84" i="14" s="1"/>
  <c r="H50" i="6"/>
  <c r="R49" i="6"/>
  <c r="Q49" i="6"/>
  <c r="I49" i="6"/>
  <c r="P49" i="6" s="1"/>
  <c r="G49" i="6"/>
  <c r="R48" i="6"/>
  <c r="Q48" i="6"/>
  <c r="I48" i="6"/>
  <c r="P48" i="6" s="1"/>
  <c r="G48" i="6"/>
  <c r="R47" i="6"/>
  <c r="Q47" i="6"/>
  <c r="I47" i="6"/>
  <c r="P47" i="6" s="1"/>
  <c r="G47" i="6"/>
  <c r="R46" i="6"/>
  <c r="Q46" i="6"/>
  <c r="I46" i="6"/>
  <c r="P46" i="6" s="1"/>
  <c r="G46" i="6"/>
  <c r="R45" i="6"/>
  <c r="Q45" i="6"/>
  <c r="I45" i="6"/>
  <c r="P45" i="6" s="1"/>
  <c r="G45" i="6"/>
  <c r="R44" i="6"/>
  <c r="Q44" i="6"/>
  <c r="I44" i="6"/>
  <c r="P44" i="6" s="1"/>
  <c r="G44" i="6"/>
  <c r="R43" i="6"/>
  <c r="Q43" i="6"/>
  <c r="I43" i="6"/>
  <c r="P43" i="6" s="1"/>
  <c r="G43" i="6"/>
  <c r="R42" i="6"/>
  <c r="Q42" i="6"/>
  <c r="P42" i="6"/>
  <c r="G42" i="6"/>
  <c r="R41" i="6"/>
  <c r="Q41" i="6"/>
  <c r="I41" i="6"/>
  <c r="P41" i="6" s="1"/>
  <c r="G41" i="6"/>
  <c r="R40" i="6"/>
  <c r="Q40" i="6"/>
  <c r="P40" i="6"/>
  <c r="G40" i="6"/>
  <c r="R39" i="6"/>
  <c r="Q39" i="6"/>
  <c r="I39" i="6"/>
  <c r="P39" i="6" s="1"/>
  <c r="G39" i="6"/>
  <c r="R38" i="6"/>
  <c r="Q38" i="6"/>
  <c r="I38" i="6"/>
  <c r="P38" i="6" s="1"/>
  <c r="G38" i="6"/>
  <c r="R37" i="6"/>
  <c r="Q37" i="6"/>
  <c r="I37" i="6"/>
  <c r="P37" i="6" s="1"/>
  <c r="G37" i="6"/>
  <c r="R36" i="6"/>
  <c r="Q36" i="6"/>
  <c r="I36" i="6"/>
  <c r="P36" i="6" s="1"/>
  <c r="G36" i="6"/>
  <c r="R35" i="6"/>
  <c r="Q35" i="6"/>
  <c r="I35" i="6"/>
  <c r="P35" i="6" s="1"/>
  <c r="G35" i="6"/>
  <c r="R34" i="6"/>
  <c r="Q34" i="6"/>
  <c r="I34" i="6"/>
  <c r="P34" i="6" s="1"/>
  <c r="G34" i="6"/>
  <c r="R33" i="6"/>
  <c r="Q33" i="6"/>
  <c r="I33" i="6"/>
  <c r="P33" i="6" s="1"/>
  <c r="G33" i="6"/>
  <c r="R32" i="6"/>
  <c r="Q32" i="6"/>
  <c r="I32" i="6"/>
  <c r="P32" i="6" s="1"/>
  <c r="G32" i="6"/>
  <c r="R31" i="6"/>
  <c r="Q31" i="6"/>
  <c r="I31" i="6"/>
  <c r="P31" i="6" s="1"/>
  <c r="G31" i="6"/>
  <c r="R30" i="6"/>
  <c r="Q30" i="6"/>
  <c r="I30" i="6"/>
  <c r="P30" i="6" s="1"/>
  <c r="G30" i="6"/>
  <c r="R29" i="6"/>
  <c r="Q29" i="6"/>
  <c r="I29" i="6"/>
  <c r="P29" i="6" s="1"/>
  <c r="G29" i="6"/>
  <c r="R28" i="6"/>
  <c r="Q28" i="6"/>
  <c r="I28" i="6"/>
  <c r="P28" i="6" s="1"/>
  <c r="G28" i="6"/>
  <c r="R27" i="6"/>
  <c r="Q27" i="6"/>
  <c r="I27" i="6"/>
  <c r="P27" i="6" s="1"/>
  <c r="G27" i="6"/>
  <c r="R26" i="6"/>
  <c r="Q26" i="6"/>
  <c r="I26" i="6"/>
  <c r="P26" i="6" s="1"/>
  <c r="G26" i="6"/>
  <c r="R25" i="6"/>
  <c r="Q25" i="6"/>
  <c r="I25" i="6"/>
  <c r="P25" i="6" s="1"/>
  <c r="G25" i="6"/>
  <c r="R24" i="6"/>
  <c r="Q24" i="6"/>
  <c r="I24" i="6"/>
  <c r="P24" i="6" s="1"/>
  <c r="G24" i="6"/>
  <c r="R23" i="6"/>
  <c r="Q23" i="6"/>
  <c r="P23" i="6"/>
  <c r="G23" i="6"/>
  <c r="R22" i="6"/>
  <c r="Q22" i="6"/>
  <c r="I22" i="6"/>
  <c r="P22" i="6" s="1"/>
  <c r="G22" i="6"/>
  <c r="R21" i="6"/>
  <c r="Q21" i="6"/>
  <c r="P21" i="6"/>
  <c r="G21" i="6"/>
  <c r="R20" i="6"/>
  <c r="Q20" i="6"/>
  <c r="I20" i="6"/>
  <c r="P20" i="6" s="1"/>
  <c r="G20" i="6"/>
  <c r="R19" i="6"/>
  <c r="Q19" i="6"/>
  <c r="P19" i="6"/>
  <c r="G19" i="6"/>
  <c r="R18" i="6"/>
  <c r="Q18" i="6"/>
  <c r="I18" i="6"/>
  <c r="P18" i="6" s="1"/>
  <c r="G18" i="6"/>
  <c r="R17" i="6"/>
  <c r="Q17" i="6"/>
  <c r="I17" i="6"/>
  <c r="P17" i="6" s="1"/>
  <c r="G17" i="6"/>
  <c r="R16" i="6"/>
  <c r="Q16" i="6"/>
  <c r="I16" i="6"/>
  <c r="P16" i="6" s="1"/>
  <c r="G16" i="6"/>
  <c r="R15" i="6"/>
  <c r="Q15" i="6"/>
  <c r="I15" i="6"/>
  <c r="P15" i="6" s="1"/>
  <c r="G15" i="6"/>
  <c r="R14" i="6"/>
  <c r="Q14" i="6"/>
  <c r="I14" i="6"/>
  <c r="P14" i="6" s="1"/>
  <c r="G14" i="6"/>
  <c r="R13" i="6"/>
  <c r="Q13" i="6"/>
  <c r="I13" i="6"/>
  <c r="P13" i="6" s="1"/>
  <c r="G13" i="6"/>
  <c r="R12" i="6"/>
  <c r="Q12" i="6"/>
  <c r="I12" i="6"/>
  <c r="P12" i="6" s="1"/>
  <c r="G12" i="6"/>
  <c r="R11" i="6"/>
  <c r="Q11" i="6"/>
  <c r="P11" i="6"/>
  <c r="G11" i="6"/>
  <c r="R10" i="6"/>
  <c r="Q10" i="6"/>
  <c r="I10" i="6"/>
  <c r="P10" i="6" s="1"/>
  <c r="G10" i="6"/>
  <c r="R9" i="6"/>
  <c r="Q9" i="6"/>
  <c r="I9" i="6"/>
  <c r="G9" i="6"/>
  <c r="N1" i="6"/>
  <c r="K89" i="6" s="1"/>
  <c r="G1" i="6"/>
  <c r="G144" i="5"/>
  <c r="G143" i="5"/>
  <c r="G142" i="5"/>
  <c r="G141" i="5"/>
  <c r="G140" i="5"/>
  <c r="J132" i="5"/>
  <c r="J131" i="5"/>
  <c r="J130" i="5"/>
  <c r="J129" i="5"/>
  <c r="M125" i="5"/>
  <c r="K125" i="5"/>
  <c r="J125" i="5"/>
  <c r="H125" i="5"/>
  <c r="I124" i="5"/>
  <c r="L124" i="5" s="1"/>
  <c r="I123" i="5"/>
  <c r="L123" i="5" s="1"/>
  <c r="I122" i="5"/>
  <c r="L122" i="5" s="1"/>
  <c r="I121" i="5"/>
  <c r="L121" i="5" s="1"/>
  <c r="I120" i="5"/>
  <c r="L120" i="5" s="1"/>
  <c r="G120" i="5"/>
  <c r="I119" i="5"/>
  <c r="L119" i="5" s="1"/>
  <c r="G119" i="5"/>
  <c r="M114" i="5"/>
  <c r="K114" i="5"/>
  <c r="J114" i="5"/>
  <c r="H114" i="5"/>
  <c r="J4" i="5" s="1"/>
  <c r="I113" i="5"/>
  <c r="L113" i="5" s="1"/>
  <c r="G113" i="5"/>
  <c r="L112" i="5"/>
  <c r="G112" i="5"/>
  <c r="I111" i="5"/>
  <c r="L111" i="5" s="1"/>
  <c r="G111" i="5"/>
  <c r="I110" i="5"/>
  <c r="L110" i="5" s="1"/>
  <c r="G110" i="5"/>
  <c r="I109" i="5"/>
  <c r="L109" i="5" s="1"/>
  <c r="G109" i="5"/>
  <c r="I99" i="5"/>
  <c r="K98" i="5"/>
  <c r="J98" i="5"/>
  <c r="H98" i="5"/>
  <c r="K97" i="5"/>
  <c r="J97" i="5"/>
  <c r="H97" i="5"/>
  <c r="K96" i="5"/>
  <c r="J96" i="5"/>
  <c r="H96" i="5"/>
  <c r="K95" i="5"/>
  <c r="J95" i="5"/>
  <c r="H95" i="5"/>
  <c r="K94" i="5"/>
  <c r="J94" i="5"/>
  <c r="H94" i="5"/>
  <c r="K93" i="5"/>
  <c r="J93" i="5"/>
  <c r="H93" i="5"/>
  <c r="K92" i="5"/>
  <c r="J92" i="5"/>
  <c r="H92" i="5"/>
  <c r="K91" i="5"/>
  <c r="J91" i="5"/>
  <c r="H91" i="5"/>
  <c r="K90" i="5"/>
  <c r="J90" i="5"/>
  <c r="H90" i="5"/>
  <c r="K89" i="5"/>
  <c r="J89" i="5"/>
  <c r="H89" i="5"/>
  <c r="K88" i="5"/>
  <c r="J88" i="5"/>
  <c r="H88" i="5"/>
  <c r="K87" i="5"/>
  <c r="J87" i="5"/>
  <c r="H87" i="5"/>
  <c r="K86" i="5"/>
  <c r="J86" i="5"/>
  <c r="H86" i="5"/>
  <c r="K85" i="5"/>
  <c r="J85" i="5"/>
  <c r="H85" i="5"/>
  <c r="K84" i="5"/>
  <c r="J84" i="5"/>
  <c r="H84" i="5"/>
  <c r="K83" i="5"/>
  <c r="J83" i="5"/>
  <c r="H83" i="5"/>
  <c r="K82" i="5"/>
  <c r="J82" i="5"/>
  <c r="H82" i="5"/>
  <c r="K81" i="5"/>
  <c r="J81" i="5"/>
  <c r="H81" i="5"/>
  <c r="K80" i="5"/>
  <c r="J80" i="5"/>
  <c r="H80" i="5"/>
  <c r="K79" i="5"/>
  <c r="J79" i="5"/>
  <c r="H79" i="5"/>
  <c r="K78" i="5"/>
  <c r="J78" i="5"/>
  <c r="H78" i="5"/>
  <c r="K77" i="5"/>
  <c r="J77" i="5"/>
  <c r="H77" i="5"/>
  <c r="K76" i="5"/>
  <c r="J76" i="5"/>
  <c r="H76" i="5"/>
  <c r="K75" i="5"/>
  <c r="J75" i="5"/>
  <c r="H75" i="5"/>
  <c r="K74" i="5"/>
  <c r="J74" i="5"/>
  <c r="H74" i="5"/>
  <c r="K73" i="5"/>
  <c r="J73" i="5"/>
  <c r="H73" i="5"/>
  <c r="K72" i="5"/>
  <c r="J72" i="5"/>
  <c r="H72" i="5"/>
  <c r="K71" i="5"/>
  <c r="J71" i="5"/>
  <c r="H71" i="5"/>
  <c r="K70" i="5"/>
  <c r="J70" i="5"/>
  <c r="H70" i="5"/>
  <c r="K69" i="5"/>
  <c r="J69" i="5"/>
  <c r="H69" i="5"/>
  <c r="K68" i="5"/>
  <c r="J68" i="5"/>
  <c r="H68" i="5"/>
  <c r="K67" i="5"/>
  <c r="J67" i="5"/>
  <c r="H67" i="5"/>
  <c r="L62" i="5"/>
  <c r="K62" i="5"/>
  <c r="J62" i="5"/>
  <c r="I62" i="5"/>
  <c r="H62" i="5"/>
  <c r="G62" i="5"/>
  <c r="O45" i="5"/>
  <c r="N45" i="5"/>
  <c r="D87" i="14" s="1"/>
  <c r="M45" i="5"/>
  <c r="D86" i="14" s="1"/>
  <c r="L45" i="5"/>
  <c r="D88" i="14" s="1"/>
  <c r="K45" i="5"/>
  <c r="D85" i="14" s="1"/>
  <c r="J45" i="5"/>
  <c r="D84" i="14" s="1"/>
  <c r="H45" i="5"/>
  <c r="R44" i="5"/>
  <c r="Q44" i="5"/>
  <c r="I44" i="5"/>
  <c r="P44" i="5" s="1"/>
  <c r="G44" i="5"/>
  <c r="R43" i="5"/>
  <c r="Q43" i="5"/>
  <c r="I43" i="5"/>
  <c r="P43" i="5" s="1"/>
  <c r="G43" i="5"/>
  <c r="R42" i="5"/>
  <c r="Q42" i="5"/>
  <c r="I42" i="5"/>
  <c r="P42" i="5" s="1"/>
  <c r="G42" i="5"/>
  <c r="R41" i="5"/>
  <c r="Q41" i="5"/>
  <c r="I41" i="5"/>
  <c r="P41" i="5" s="1"/>
  <c r="G41" i="5"/>
  <c r="R40" i="5"/>
  <c r="Q40" i="5"/>
  <c r="P40" i="5"/>
  <c r="G40" i="5"/>
  <c r="R39" i="5"/>
  <c r="Q39" i="5"/>
  <c r="I39" i="5"/>
  <c r="P39" i="5" s="1"/>
  <c r="G39" i="5"/>
  <c r="R38" i="5"/>
  <c r="Q38" i="5"/>
  <c r="I38" i="5"/>
  <c r="P38" i="5" s="1"/>
  <c r="G38" i="5"/>
  <c r="R37" i="5"/>
  <c r="Q37" i="5"/>
  <c r="I37" i="5"/>
  <c r="P37" i="5" s="1"/>
  <c r="G37" i="5"/>
  <c r="R36" i="5"/>
  <c r="Q36" i="5"/>
  <c r="I36" i="5"/>
  <c r="P36" i="5" s="1"/>
  <c r="G36" i="5"/>
  <c r="R35" i="5"/>
  <c r="Q35" i="5"/>
  <c r="P35" i="5"/>
  <c r="G35" i="5"/>
  <c r="R34" i="5"/>
  <c r="Q34" i="5"/>
  <c r="I34" i="5"/>
  <c r="P34" i="5" s="1"/>
  <c r="G34" i="5"/>
  <c r="R33" i="5"/>
  <c r="Q33" i="5"/>
  <c r="I33" i="5"/>
  <c r="P33" i="5" s="1"/>
  <c r="G33" i="5"/>
  <c r="R32" i="5"/>
  <c r="Q32" i="5"/>
  <c r="I32" i="5"/>
  <c r="P32" i="5" s="1"/>
  <c r="G32" i="5"/>
  <c r="R31" i="5"/>
  <c r="Q31" i="5"/>
  <c r="I31" i="5"/>
  <c r="P31" i="5" s="1"/>
  <c r="G31" i="5"/>
  <c r="R30" i="5"/>
  <c r="Q30" i="5"/>
  <c r="P30" i="5"/>
  <c r="G30" i="5"/>
  <c r="R29" i="5"/>
  <c r="Q29" i="5"/>
  <c r="I29" i="5"/>
  <c r="P29" i="5" s="1"/>
  <c r="G29" i="5"/>
  <c r="R28" i="5"/>
  <c r="Q28" i="5"/>
  <c r="I28" i="5"/>
  <c r="P28" i="5" s="1"/>
  <c r="G28" i="5"/>
  <c r="R27" i="5"/>
  <c r="Q27" i="5"/>
  <c r="I27" i="5"/>
  <c r="P27" i="5" s="1"/>
  <c r="G27" i="5"/>
  <c r="R26" i="5"/>
  <c r="Q26" i="5"/>
  <c r="I26" i="5"/>
  <c r="P26" i="5" s="1"/>
  <c r="G26" i="5"/>
  <c r="R25" i="5"/>
  <c r="Q25" i="5"/>
  <c r="I25" i="5"/>
  <c r="P25" i="5" s="1"/>
  <c r="G25" i="5"/>
  <c r="R24" i="5"/>
  <c r="Q24" i="5"/>
  <c r="P24" i="5"/>
  <c r="G24" i="5"/>
  <c r="R23" i="5"/>
  <c r="Q23" i="5"/>
  <c r="I23" i="5"/>
  <c r="P23" i="5" s="1"/>
  <c r="G23" i="5"/>
  <c r="R22" i="5"/>
  <c r="Q22" i="5"/>
  <c r="I22" i="5"/>
  <c r="P22" i="5" s="1"/>
  <c r="G22" i="5"/>
  <c r="R21" i="5"/>
  <c r="Q21" i="5"/>
  <c r="I21" i="5"/>
  <c r="P21" i="5" s="1"/>
  <c r="G21" i="5"/>
  <c r="R20" i="5"/>
  <c r="Q20" i="5"/>
  <c r="I20" i="5"/>
  <c r="P20" i="5" s="1"/>
  <c r="G20" i="5"/>
  <c r="R19" i="5"/>
  <c r="Q19" i="5"/>
  <c r="I19" i="5"/>
  <c r="P19" i="5" s="1"/>
  <c r="G19" i="5"/>
  <c r="R18" i="5"/>
  <c r="Q18" i="5"/>
  <c r="I18" i="5"/>
  <c r="P18" i="5" s="1"/>
  <c r="G18" i="5"/>
  <c r="R17" i="5"/>
  <c r="Q17" i="5"/>
  <c r="I17" i="5"/>
  <c r="P17" i="5" s="1"/>
  <c r="G17" i="5"/>
  <c r="R16" i="5"/>
  <c r="Q16" i="5"/>
  <c r="I16" i="5"/>
  <c r="P16" i="5" s="1"/>
  <c r="G16" i="5"/>
  <c r="R15" i="5"/>
  <c r="Q15" i="5"/>
  <c r="P15" i="5"/>
  <c r="G15" i="5"/>
  <c r="R14" i="5"/>
  <c r="Q14" i="5"/>
  <c r="I14" i="5"/>
  <c r="P14" i="5" s="1"/>
  <c r="G14" i="5"/>
  <c r="R13" i="5"/>
  <c r="Q13" i="5"/>
  <c r="I13" i="5"/>
  <c r="P13" i="5" s="1"/>
  <c r="G13" i="5"/>
  <c r="R12" i="5"/>
  <c r="Q12" i="5"/>
  <c r="I12" i="5"/>
  <c r="P12" i="5" s="1"/>
  <c r="G12" i="5"/>
  <c r="R11" i="5"/>
  <c r="Q11" i="5"/>
  <c r="I11" i="5"/>
  <c r="P11" i="5" s="1"/>
  <c r="G11" i="5"/>
  <c r="R10" i="5"/>
  <c r="Q10" i="5"/>
  <c r="I10" i="5"/>
  <c r="P10" i="5" s="1"/>
  <c r="G10" i="5"/>
  <c r="R9" i="5"/>
  <c r="Q9" i="5"/>
  <c r="I9" i="5"/>
  <c r="G9" i="5"/>
  <c r="N1" i="5"/>
  <c r="K105" i="5" s="1"/>
  <c r="G1" i="5"/>
  <c r="G118" i="4"/>
  <c r="G117" i="4"/>
  <c r="G116" i="4"/>
  <c r="G115" i="4"/>
  <c r="G114" i="4"/>
  <c r="M104" i="4"/>
  <c r="K104" i="4"/>
  <c r="J104" i="4"/>
  <c r="H104" i="4"/>
  <c r="I103" i="4"/>
  <c r="L103" i="4" s="1"/>
  <c r="I102" i="4"/>
  <c r="L102" i="4" s="1"/>
  <c r="I101" i="4"/>
  <c r="L101" i="4" s="1"/>
  <c r="I100" i="4"/>
  <c r="L100" i="4" s="1"/>
  <c r="G100" i="4"/>
  <c r="I99" i="4"/>
  <c r="G99" i="4"/>
  <c r="I98" i="4"/>
  <c r="L98" i="4" s="1"/>
  <c r="G98" i="4"/>
  <c r="M93" i="4"/>
  <c r="K93" i="4"/>
  <c r="J93" i="4"/>
  <c r="H93" i="4"/>
  <c r="I92" i="4"/>
  <c r="L92" i="4" s="1"/>
  <c r="G92" i="4"/>
  <c r="I91" i="4"/>
  <c r="L91" i="4" s="1"/>
  <c r="G91" i="4"/>
  <c r="I90" i="4"/>
  <c r="L90" i="4" s="1"/>
  <c r="G90" i="4"/>
  <c r="I89" i="4"/>
  <c r="L89" i="4" s="1"/>
  <c r="G89" i="4"/>
  <c r="L88" i="4"/>
  <c r="G88" i="4"/>
  <c r="L87" i="4"/>
  <c r="G87" i="4"/>
  <c r="I86" i="4"/>
  <c r="L86" i="4" s="1"/>
  <c r="G86" i="4"/>
  <c r="I85" i="4"/>
  <c r="L85" i="4" s="1"/>
  <c r="G85" i="4"/>
  <c r="I84" i="4"/>
  <c r="G84" i="4"/>
  <c r="I74" i="4"/>
  <c r="K73" i="4"/>
  <c r="J73" i="4"/>
  <c r="H73" i="4"/>
  <c r="K72" i="4"/>
  <c r="J72" i="4"/>
  <c r="H72" i="4"/>
  <c r="K71" i="4"/>
  <c r="J71" i="4"/>
  <c r="H71" i="4"/>
  <c r="K70" i="4"/>
  <c r="J70" i="4"/>
  <c r="H70" i="4"/>
  <c r="K69" i="4"/>
  <c r="J69" i="4"/>
  <c r="H69" i="4"/>
  <c r="K68" i="4"/>
  <c r="J68" i="4"/>
  <c r="H68" i="4"/>
  <c r="K67" i="4"/>
  <c r="J67" i="4"/>
  <c r="H67" i="4"/>
  <c r="K66" i="4"/>
  <c r="J66" i="4"/>
  <c r="H66" i="4"/>
  <c r="K65" i="4"/>
  <c r="J65" i="4"/>
  <c r="H65" i="4"/>
  <c r="K64" i="4"/>
  <c r="J64" i="4"/>
  <c r="H64" i="4"/>
  <c r="K63" i="4"/>
  <c r="J63" i="4"/>
  <c r="H63" i="4"/>
  <c r="K62" i="4"/>
  <c r="J62" i="4"/>
  <c r="H62" i="4"/>
  <c r="K61" i="4"/>
  <c r="J61" i="4"/>
  <c r="H61" i="4"/>
  <c r="K60" i="4"/>
  <c r="J60" i="4"/>
  <c r="H60" i="4"/>
  <c r="K59" i="4"/>
  <c r="J59" i="4"/>
  <c r="H59" i="4"/>
  <c r="K58" i="4"/>
  <c r="J58" i="4"/>
  <c r="H58" i="4"/>
  <c r="L52" i="4"/>
  <c r="K52" i="4"/>
  <c r="J52" i="4"/>
  <c r="I52" i="4"/>
  <c r="H52" i="4"/>
  <c r="G52" i="4"/>
  <c r="O39" i="4"/>
  <c r="N44" i="14" s="1"/>
  <c r="N39" i="4"/>
  <c r="N42" i="14" s="1"/>
  <c r="M39" i="4"/>
  <c r="N41" i="14" s="1"/>
  <c r="L39" i="4"/>
  <c r="N43" i="14" s="1"/>
  <c r="K39" i="4"/>
  <c r="N40" i="14" s="1"/>
  <c r="J39" i="4"/>
  <c r="N39" i="14" s="1"/>
  <c r="H39" i="4"/>
  <c r="R38" i="4"/>
  <c r="Q38" i="4"/>
  <c r="I38" i="4"/>
  <c r="P38" i="4" s="1"/>
  <c r="G38" i="4"/>
  <c r="R37" i="4"/>
  <c r="Q37" i="4"/>
  <c r="I37" i="4"/>
  <c r="P37" i="4" s="1"/>
  <c r="G37" i="4"/>
  <c r="R36" i="4"/>
  <c r="Q36" i="4"/>
  <c r="I36" i="4"/>
  <c r="P36" i="4" s="1"/>
  <c r="G36" i="4"/>
  <c r="R35" i="4"/>
  <c r="Q35" i="4"/>
  <c r="I35" i="4"/>
  <c r="P35" i="4" s="1"/>
  <c r="G35" i="4"/>
  <c r="R34" i="4"/>
  <c r="Q34" i="4"/>
  <c r="I34" i="4"/>
  <c r="P34" i="4" s="1"/>
  <c r="G34" i="4"/>
  <c r="R33" i="4"/>
  <c r="Q33" i="4"/>
  <c r="P33" i="4"/>
  <c r="G33" i="4"/>
  <c r="R32" i="4"/>
  <c r="Q32" i="4"/>
  <c r="P32" i="4"/>
  <c r="G32" i="4"/>
  <c r="R31" i="4"/>
  <c r="Q31" i="4"/>
  <c r="I31" i="4"/>
  <c r="P31" i="4" s="1"/>
  <c r="G31" i="4"/>
  <c r="R30" i="4"/>
  <c r="Q30" i="4"/>
  <c r="I30" i="4"/>
  <c r="P30" i="4" s="1"/>
  <c r="G30" i="4"/>
  <c r="R29" i="4"/>
  <c r="Q29" i="4"/>
  <c r="I29" i="4"/>
  <c r="P29" i="4" s="1"/>
  <c r="G29" i="4"/>
  <c r="R28" i="4"/>
  <c r="Q28" i="4"/>
  <c r="I28" i="4"/>
  <c r="P28" i="4" s="1"/>
  <c r="G28" i="4"/>
  <c r="R27" i="4"/>
  <c r="Q27" i="4"/>
  <c r="I27" i="4"/>
  <c r="P27" i="4" s="1"/>
  <c r="G27" i="4"/>
  <c r="R26" i="4"/>
  <c r="Q26" i="4"/>
  <c r="I26" i="4"/>
  <c r="P26" i="4" s="1"/>
  <c r="G26" i="4"/>
  <c r="R25" i="4"/>
  <c r="Q25" i="4"/>
  <c r="I25" i="4"/>
  <c r="P25" i="4" s="1"/>
  <c r="G25" i="4"/>
  <c r="R24" i="4"/>
  <c r="Q24" i="4"/>
  <c r="I24" i="4"/>
  <c r="P24" i="4" s="1"/>
  <c r="G24" i="4"/>
  <c r="R23" i="4"/>
  <c r="Q23" i="4"/>
  <c r="I23" i="4"/>
  <c r="P23" i="4" s="1"/>
  <c r="G23" i="4"/>
  <c r="R22" i="4"/>
  <c r="Q22" i="4"/>
  <c r="I22" i="4"/>
  <c r="P22" i="4" s="1"/>
  <c r="G22" i="4"/>
  <c r="R21" i="4"/>
  <c r="Q21" i="4"/>
  <c r="I21" i="4"/>
  <c r="P21" i="4" s="1"/>
  <c r="G21" i="4"/>
  <c r="R20" i="4"/>
  <c r="Q20" i="4"/>
  <c r="I20" i="4"/>
  <c r="P20" i="4" s="1"/>
  <c r="G20" i="4"/>
  <c r="R19" i="4"/>
  <c r="Q19" i="4"/>
  <c r="I19" i="4"/>
  <c r="P19" i="4" s="1"/>
  <c r="G19" i="4"/>
  <c r="R18" i="4"/>
  <c r="Q18" i="4"/>
  <c r="I18" i="4"/>
  <c r="P18" i="4" s="1"/>
  <c r="G18" i="4"/>
  <c r="R17" i="4"/>
  <c r="Q17" i="4"/>
  <c r="I17" i="4"/>
  <c r="P17" i="4" s="1"/>
  <c r="G17" i="4"/>
  <c r="R16" i="4"/>
  <c r="Q16" i="4"/>
  <c r="I16" i="4"/>
  <c r="P16" i="4" s="1"/>
  <c r="G16" i="4"/>
  <c r="R15" i="4"/>
  <c r="Q15" i="4"/>
  <c r="P15" i="4"/>
  <c r="G15" i="4"/>
  <c r="R14" i="4"/>
  <c r="Q14" i="4"/>
  <c r="I14" i="4"/>
  <c r="P14" i="4" s="1"/>
  <c r="G14" i="4"/>
  <c r="R13" i="4"/>
  <c r="Q13" i="4"/>
  <c r="I13" i="4"/>
  <c r="P13" i="4" s="1"/>
  <c r="G13" i="4"/>
  <c r="R12" i="4"/>
  <c r="Q12" i="4"/>
  <c r="I12" i="4"/>
  <c r="P12" i="4" s="1"/>
  <c r="G12" i="4"/>
  <c r="R11" i="4"/>
  <c r="Q11" i="4"/>
  <c r="I11" i="4"/>
  <c r="P11" i="4" s="1"/>
  <c r="G11" i="4"/>
  <c r="R10" i="4"/>
  <c r="Q10" i="4"/>
  <c r="I10" i="4"/>
  <c r="P10" i="4" s="1"/>
  <c r="G10" i="4"/>
  <c r="R9" i="4"/>
  <c r="Q9" i="4"/>
  <c r="I9" i="4"/>
  <c r="G9" i="4"/>
  <c r="N1" i="4"/>
  <c r="K80" i="4" s="1"/>
  <c r="G1" i="4"/>
  <c r="G129" i="3"/>
  <c r="G128" i="3"/>
  <c r="G127" i="3"/>
  <c r="G126" i="3"/>
  <c r="G125" i="3"/>
  <c r="M112" i="3"/>
  <c r="L112" i="3"/>
  <c r="K112" i="3"/>
  <c r="J112" i="3"/>
  <c r="I111" i="3"/>
  <c r="I110" i="3"/>
  <c r="I109" i="3"/>
  <c r="I108" i="3"/>
  <c r="I107" i="3"/>
  <c r="I106" i="3"/>
  <c r="I105" i="3"/>
  <c r="M100" i="3"/>
  <c r="K100" i="3"/>
  <c r="J100" i="3"/>
  <c r="H100" i="3"/>
  <c r="J4" i="3" s="1"/>
  <c r="I99" i="3"/>
  <c r="L99" i="3" s="1"/>
  <c r="G99" i="3"/>
  <c r="I98" i="3"/>
  <c r="L98" i="3" s="1"/>
  <c r="G98" i="3"/>
  <c r="I97" i="3"/>
  <c r="L97" i="3" s="1"/>
  <c r="G97" i="3"/>
  <c r="I96" i="3"/>
  <c r="L96" i="3" s="1"/>
  <c r="G96" i="3"/>
  <c r="I95" i="3"/>
  <c r="L95" i="3" s="1"/>
  <c r="G95" i="3"/>
  <c r="L94" i="3"/>
  <c r="G94" i="3"/>
  <c r="L93" i="3"/>
  <c r="G93" i="3"/>
  <c r="I92" i="3"/>
  <c r="G92" i="3"/>
  <c r="L91" i="3"/>
  <c r="G91" i="3"/>
  <c r="I84" i="3"/>
  <c r="K83" i="3"/>
  <c r="J83" i="3"/>
  <c r="H83" i="3"/>
  <c r="K82" i="3"/>
  <c r="J82" i="3"/>
  <c r="H82" i="3"/>
  <c r="K81" i="3"/>
  <c r="J81" i="3"/>
  <c r="H81" i="3"/>
  <c r="K80" i="3"/>
  <c r="J80" i="3"/>
  <c r="H80" i="3"/>
  <c r="K79" i="3"/>
  <c r="J79" i="3"/>
  <c r="H79" i="3"/>
  <c r="K78" i="3"/>
  <c r="J78" i="3"/>
  <c r="H78" i="3"/>
  <c r="K77" i="3"/>
  <c r="J77" i="3"/>
  <c r="H77" i="3"/>
  <c r="K76" i="3"/>
  <c r="J76" i="3"/>
  <c r="H76" i="3"/>
  <c r="K75" i="3"/>
  <c r="J75" i="3"/>
  <c r="H75" i="3"/>
  <c r="K74" i="3"/>
  <c r="J74" i="3"/>
  <c r="H74" i="3"/>
  <c r="K73" i="3"/>
  <c r="J73" i="3"/>
  <c r="H73" i="3"/>
  <c r="K72" i="3"/>
  <c r="J72" i="3"/>
  <c r="H72" i="3"/>
  <c r="K71" i="3"/>
  <c r="J71" i="3"/>
  <c r="H71" i="3"/>
  <c r="K70" i="3"/>
  <c r="J70" i="3"/>
  <c r="H70" i="3"/>
  <c r="K69" i="3"/>
  <c r="J69" i="3"/>
  <c r="H69" i="3"/>
  <c r="K68" i="3"/>
  <c r="J68" i="3"/>
  <c r="H68" i="3"/>
  <c r="K67" i="3"/>
  <c r="J67" i="3"/>
  <c r="H67" i="3"/>
  <c r="L63" i="3"/>
  <c r="K63" i="3"/>
  <c r="J63" i="3"/>
  <c r="I63" i="3"/>
  <c r="H63" i="3"/>
  <c r="G63" i="3"/>
  <c r="O51" i="3"/>
  <c r="I44" i="14" s="1"/>
  <c r="N51" i="3"/>
  <c r="I42" i="14" s="1"/>
  <c r="M51" i="3"/>
  <c r="I41" i="14" s="1"/>
  <c r="L51" i="3"/>
  <c r="I43" i="14" s="1"/>
  <c r="K51" i="3"/>
  <c r="I40" i="14" s="1"/>
  <c r="J51" i="3"/>
  <c r="I39" i="14" s="1"/>
  <c r="H51" i="3"/>
  <c r="R50" i="3"/>
  <c r="Q50" i="3"/>
  <c r="I50" i="3"/>
  <c r="P50" i="3" s="1"/>
  <c r="G50" i="3"/>
  <c r="R49" i="3"/>
  <c r="Q49" i="3"/>
  <c r="I49" i="3"/>
  <c r="P49" i="3" s="1"/>
  <c r="G49" i="3"/>
  <c r="R48" i="3"/>
  <c r="Q48" i="3"/>
  <c r="I48" i="3"/>
  <c r="P48" i="3" s="1"/>
  <c r="G48" i="3"/>
  <c r="R47" i="3"/>
  <c r="Q47" i="3"/>
  <c r="I47" i="3"/>
  <c r="P47" i="3" s="1"/>
  <c r="G47" i="3"/>
  <c r="R46" i="3"/>
  <c r="Q46" i="3"/>
  <c r="I46" i="3"/>
  <c r="P46" i="3" s="1"/>
  <c r="G46" i="3"/>
  <c r="R45" i="3"/>
  <c r="Q45" i="3"/>
  <c r="I45" i="3"/>
  <c r="P45" i="3" s="1"/>
  <c r="G45" i="3"/>
  <c r="R44" i="3"/>
  <c r="Q44" i="3"/>
  <c r="I44" i="3"/>
  <c r="P44" i="3" s="1"/>
  <c r="G44" i="3"/>
  <c r="R43" i="3"/>
  <c r="Q43" i="3"/>
  <c r="I43" i="3"/>
  <c r="P43" i="3" s="1"/>
  <c r="G43" i="3"/>
  <c r="R42" i="3"/>
  <c r="Q42" i="3"/>
  <c r="I42" i="3"/>
  <c r="P42" i="3" s="1"/>
  <c r="G42" i="3"/>
  <c r="R41" i="3"/>
  <c r="Q41" i="3"/>
  <c r="I41" i="3"/>
  <c r="P41" i="3" s="1"/>
  <c r="G41" i="3"/>
  <c r="R40" i="3"/>
  <c r="Q40" i="3"/>
  <c r="I40" i="3"/>
  <c r="P40" i="3" s="1"/>
  <c r="G40" i="3"/>
  <c r="R39" i="3"/>
  <c r="Q39" i="3"/>
  <c r="I39" i="3"/>
  <c r="P39" i="3" s="1"/>
  <c r="G39" i="3"/>
  <c r="R38" i="3"/>
  <c r="Q38" i="3"/>
  <c r="I38" i="3"/>
  <c r="P38" i="3" s="1"/>
  <c r="G38" i="3"/>
  <c r="R37" i="3"/>
  <c r="Q37" i="3"/>
  <c r="I37" i="3"/>
  <c r="P37" i="3" s="1"/>
  <c r="G37" i="3"/>
  <c r="R36" i="3"/>
  <c r="Q36" i="3"/>
  <c r="I36" i="3"/>
  <c r="P36" i="3" s="1"/>
  <c r="G36" i="3"/>
  <c r="R35" i="3"/>
  <c r="Q35" i="3"/>
  <c r="I35" i="3"/>
  <c r="P35" i="3" s="1"/>
  <c r="G35" i="3"/>
  <c r="R34" i="3"/>
  <c r="Q34" i="3"/>
  <c r="I34" i="3"/>
  <c r="P34" i="3" s="1"/>
  <c r="G34" i="3"/>
  <c r="R33" i="3"/>
  <c r="Q33" i="3"/>
  <c r="I33" i="3"/>
  <c r="P33" i="3" s="1"/>
  <c r="G33" i="3"/>
  <c r="R32" i="3"/>
  <c r="Q32" i="3"/>
  <c r="I32" i="3"/>
  <c r="P32" i="3" s="1"/>
  <c r="G32" i="3"/>
  <c r="R31" i="3"/>
  <c r="Q31" i="3"/>
  <c r="I31" i="3"/>
  <c r="P31" i="3" s="1"/>
  <c r="G31" i="3"/>
  <c r="R30" i="3"/>
  <c r="Q30" i="3"/>
  <c r="I30" i="3"/>
  <c r="P30" i="3" s="1"/>
  <c r="G30" i="3"/>
  <c r="R29" i="3"/>
  <c r="Q29" i="3"/>
  <c r="I29" i="3"/>
  <c r="P29" i="3" s="1"/>
  <c r="G29" i="3"/>
  <c r="R28" i="3"/>
  <c r="Q28" i="3"/>
  <c r="P28" i="3"/>
  <c r="G28" i="3"/>
  <c r="R27" i="3"/>
  <c r="Q27" i="3"/>
  <c r="I27" i="3"/>
  <c r="P27" i="3" s="1"/>
  <c r="G27" i="3"/>
  <c r="R26" i="3"/>
  <c r="Q26" i="3"/>
  <c r="I26" i="3"/>
  <c r="P26" i="3" s="1"/>
  <c r="G26" i="3"/>
  <c r="R25" i="3"/>
  <c r="Q25" i="3"/>
  <c r="I25" i="3"/>
  <c r="P25" i="3" s="1"/>
  <c r="G25" i="3"/>
  <c r="R24" i="3"/>
  <c r="Q24" i="3"/>
  <c r="I24" i="3"/>
  <c r="P24" i="3" s="1"/>
  <c r="G24" i="3"/>
  <c r="R23" i="3"/>
  <c r="Q23" i="3"/>
  <c r="P23" i="3"/>
  <c r="G23" i="3"/>
  <c r="R22" i="3"/>
  <c r="Q22" i="3"/>
  <c r="I22" i="3"/>
  <c r="P22" i="3" s="1"/>
  <c r="G22" i="3"/>
  <c r="R21" i="3"/>
  <c r="Q21" i="3"/>
  <c r="I21" i="3"/>
  <c r="P21" i="3" s="1"/>
  <c r="G21" i="3"/>
  <c r="R20" i="3"/>
  <c r="Q20" i="3"/>
  <c r="I20" i="3"/>
  <c r="P20" i="3" s="1"/>
  <c r="G20" i="3"/>
  <c r="R19" i="3"/>
  <c r="Q19" i="3"/>
  <c r="I19" i="3"/>
  <c r="P19" i="3" s="1"/>
  <c r="G19" i="3"/>
  <c r="R18" i="3"/>
  <c r="Q18" i="3"/>
  <c r="I18" i="3"/>
  <c r="P18" i="3" s="1"/>
  <c r="G18" i="3"/>
  <c r="R17" i="3"/>
  <c r="Q17" i="3"/>
  <c r="I17" i="3"/>
  <c r="P17" i="3" s="1"/>
  <c r="G17" i="3"/>
  <c r="R16" i="3"/>
  <c r="Q16" i="3"/>
  <c r="P16" i="3"/>
  <c r="G16" i="3"/>
  <c r="R15" i="3"/>
  <c r="Q15" i="3"/>
  <c r="I15" i="3"/>
  <c r="P15" i="3" s="1"/>
  <c r="G15" i="3"/>
  <c r="R14" i="3"/>
  <c r="Q14" i="3"/>
  <c r="I14" i="3"/>
  <c r="P14" i="3" s="1"/>
  <c r="G14" i="3"/>
  <c r="R13" i="3"/>
  <c r="Q13" i="3"/>
  <c r="P13" i="3"/>
  <c r="G13" i="3"/>
  <c r="R12" i="3"/>
  <c r="Q12" i="3"/>
  <c r="I12" i="3"/>
  <c r="P12" i="3" s="1"/>
  <c r="G12" i="3"/>
  <c r="R11" i="3"/>
  <c r="Q11" i="3"/>
  <c r="I11" i="3"/>
  <c r="P11" i="3" s="1"/>
  <c r="G11" i="3"/>
  <c r="R10" i="3"/>
  <c r="Q10" i="3"/>
  <c r="I10" i="3"/>
  <c r="P10" i="3" s="1"/>
  <c r="G10" i="3"/>
  <c r="R9" i="3"/>
  <c r="Q9" i="3"/>
  <c r="I9" i="3"/>
  <c r="G9" i="3"/>
  <c r="N1" i="3"/>
  <c r="K87" i="3" s="1"/>
  <c r="G1" i="3"/>
  <c r="G118" i="2"/>
  <c r="G117" i="2"/>
  <c r="G116" i="2"/>
  <c r="G115" i="2"/>
  <c r="G114" i="2"/>
  <c r="H109" i="2"/>
  <c r="G109" i="2"/>
  <c r="F109" i="2"/>
  <c r="I108" i="2"/>
  <c r="I107" i="2"/>
  <c r="I106" i="2"/>
  <c r="I105" i="2"/>
  <c r="I104" i="2"/>
  <c r="M100" i="2"/>
  <c r="K100" i="2"/>
  <c r="J100" i="2"/>
  <c r="I100" i="2"/>
  <c r="H100" i="2"/>
  <c r="L99" i="2"/>
  <c r="L98" i="2"/>
  <c r="M93" i="2"/>
  <c r="K93" i="2"/>
  <c r="J93" i="2"/>
  <c r="H93" i="2"/>
  <c r="I92" i="2"/>
  <c r="L92" i="2" s="1"/>
  <c r="G92" i="2"/>
  <c r="I91" i="2"/>
  <c r="L91" i="2" s="1"/>
  <c r="G91" i="2"/>
  <c r="I90" i="2"/>
  <c r="L90" i="2" s="1"/>
  <c r="G90" i="2"/>
  <c r="I89" i="2"/>
  <c r="L89" i="2" s="1"/>
  <c r="G89" i="2"/>
  <c r="I88" i="2"/>
  <c r="L88" i="2" s="1"/>
  <c r="G88" i="2"/>
  <c r="L87" i="2"/>
  <c r="G87" i="2"/>
  <c r="I86" i="2"/>
  <c r="L86" i="2" s="1"/>
  <c r="G86" i="2"/>
  <c r="I85" i="2"/>
  <c r="L85" i="2" s="1"/>
  <c r="G85" i="2"/>
  <c r="L84" i="2"/>
  <c r="G84" i="2"/>
  <c r="K80" i="2"/>
  <c r="I74" i="2"/>
  <c r="K73" i="2"/>
  <c r="J73" i="2"/>
  <c r="H73" i="2"/>
  <c r="K72" i="2"/>
  <c r="J72" i="2"/>
  <c r="H72" i="2"/>
  <c r="K71" i="2"/>
  <c r="J71" i="2"/>
  <c r="H71" i="2"/>
  <c r="K70" i="2"/>
  <c r="J70" i="2"/>
  <c r="H70" i="2"/>
  <c r="L64" i="2"/>
  <c r="K64" i="2"/>
  <c r="J64" i="2"/>
  <c r="I64" i="2"/>
  <c r="H64" i="2"/>
  <c r="G64" i="2"/>
  <c r="B4" i="2" s="1"/>
  <c r="O51" i="2"/>
  <c r="D44" i="14" s="1"/>
  <c r="N51" i="2"/>
  <c r="D42" i="14" s="1"/>
  <c r="M51" i="2"/>
  <c r="D41" i="14" s="1"/>
  <c r="L51" i="2"/>
  <c r="D43" i="14" s="1"/>
  <c r="K51" i="2"/>
  <c r="D40" i="14" s="1"/>
  <c r="J51" i="2"/>
  <c r="D39" i="14" s="1"/>
  <c r="H51" i="2"/>
  <c r="R50" i="2"/>
  <c r="Q50" i="2"/>
  <c r="P50" i="2"/>
  <c r="G50" i="2"/>
  <c r="R49" i="2"/>
  <c r="Q49" i="2"/>
  <c r="I49" i="2"/>
  <c r="P49" i="2" s="1"/>
  <c r="G49" i="2"/>
  <c r="R48" i="2"/>
  <c r="Q48" i="2"/>
  <c r="I48" i="2"/>
  <c r="P48" i="2" s="1"/>
  <c r="G48" i="2"/>
  <c r="R47" i="2"/>
  <c r="Q47" i="2"/>
  <c r="I47" i="2"/>
  <c r="P47" i="2" s="1"/>
  <c r="G47" i="2"/>
  <c r="R46" i="2"/>
  <c r="Q46" i="2"/>
  <c r="I46" i="2"/>
  <c r="P46" i="2" s="1"/>
  <c r="G46" i="2"/>
  <c r="R45" i="2"/>
  <c r="Q45" i="2"/>
  <c r="I45" i="2"/>
  <c r="P45" i="2" s="1"/>
  <c r="G45" i="2"/>
  <c r="R44" i="2"/>
  <c r="Q44" i="2"/>
  <c r="I44" i="2"/>
  <c r="P44" i="2" s="1"/>
  <c r="G44" i="2"/>
  <c r="R43" i="2"/>
  <c r="Q43" i="2"/>
  <c r="I43" i="2"/>
  <c r="P43" i="2" s="1"/>
  <c r="G43" i="2"/>
  <c r="R42" i="2"/>
  <c r="Q42" i="2"/>
  <c r="I42" i="2"/>
  <c r="P42" i="2" s="1"/>
  <c r="G42" i="2"/>
  <c r="R41" i="2"/>
  <c r="Q41" i="2"/>
  <c r="I41" i="2"/>
  <c r="P41" i="2" s="1"/>
  <c r="G41" i="2"/>
  <c r="R40" i="2"/>
  <c r="Q40" i="2"/>
  <c r="I40" i="2"/>
  <c r="P40" i="2" s="1"/>
  <c r="G40" i="2"/>
  <c r="R39" i="2"/>
  <c r="Q39" i="2"/>
  <c r="I39" i="2"/>
  <c r="P39" i="2" s="1"/>
  <c r="G39" i="2"/>
  <c r="R38" i="2"/>
  <c r="Q38" i="2"/>
  <c r="I38" i="2"/>
  <c r="P38" i="2" s="1"/>
  <c r="G38" i="2"/>
  <c r="R37" i="2"/>
  <c r="Q37" i="2"/>
  <c r="P37" i="2"/>
  <c r="G37" i="2"/>
  <c r="R36" i="2"/>
  <c r="Q36" i="2"/>
  <c r="P36" i="2"/>
  <c r="G36" i="2"/>
  <c r="R35" i="2"/>
  <c r="Q35" i="2"/>
  <c r="I35" i="2"/>
  <c r="P35" i="2" s="1"/>
  <c r="G35" i="2"/>
  <c r="R34" i="2"/>
  <c r="Q34" i="2"/>
  <c r="I34" i="2"/>
  <c r="P34" i="2" s="1"/>
  <c r="G34" i="2"/>
  <c r="R33" i="2"/>
  <c r="Q33" i="2"/>
  <c r="I33" i="2"/>
  <c r="P33" i="2" s="1"/>
  <c r="G33" i="2"/>
  <c r="R32" i="2"/>
  <c r="Q32" i="2"/>
  <c r="I32" i="2"/>
  <c r="P32" i="2" s="1"/>
  <c r="G32" i="2"/>
  <c r="R31" i="2"/>
  <c r="Q31" i="2"/>
  <c r="I31" i="2"/>
  <c r="P31" i="2" s="1"/>
  <c r="G31" i="2"/>
  <c r="R30" i="2"/>
  <c r="Q30" i="2"/>
  <c r="I30" i="2"/>
  <c r="P30" i="2" s="1"/>
  <c r="G30" i="2"/>
  <c r="R29" i="2"/>
  <c r="Q29" i="2"/>
  <c r="I29" i="2"/>
  <c r="P29" i="2" s="1"/>
  <c r="G29" i="2"/>
  <c r="R28" i="2"/>
  <c r="Q28" i="2"/>
  <c r="I28" i="2"/>
  <c r="P28" i="2" s="1"/>
  <c r="G28" i="2"/>
  <c r="R27" i="2"/>
  <c r="Q27" i="2"/>
  <c r="I27" i="2"/>
  <c r="P27" i="2" s="1"/>
  <c r="G27" i="2"/>
  <c r="R26" i="2"/>
  <c r="Q26" i="2"/>
  <c r="I26" i="2"/>
  <c r="P26" i="2" s="1"/>
  <c r="G26" i="2"/>
  <c r="R25" i="2"/>
  <c r="Q25" i="2"/>
  <c r="I25" i="2"/>
  <c r="P25" i="2" s="1"/>
  <c r="G25" i="2"/>
  <c r="R24" i="2"/>
  <c r="Q24" i="2"/>
  <c r="I24" i="2"/>
  <c r="P24" i="2" s="1"/>
  <c r="G24" i="2"/>
  <c r="R23" i="2"/>
  <c r="Q23" i="2"/>
  <c r="I23" i="2"/>
  <c r="P23" i="2" s="1"/>
  <c r="G23" i="2"/>
  <c r="R22" i="2"/>
  <c r="Q22" i="2"/>
  <c r="P22" i="2"/>
  <c r="G22" i="2"/>
  <c r="R21" i="2"/>
  <c r="Q21" i="2"/>
  <c r="I21" i="2"/>
  <c r="P21" i="2" s="1"/>
  <c r="G21" i="2"/>
  <c r="R20" i="2"/>
  <c r="Q20" i="2"/>
  <c r="I20" i="2"/>
  <c r="P20" i="2" s="1"/>
  <c r="G20" i="2"/>
  <c r="R19" i="2"/>
  <c r="Q19" i="2"/>
  <c r="I19" i="2"/>
  <c r="P19" i="2" s="1"/>
  <c r="G19" i="2"/>
  <c r="R18" i="2"/>
  <c r="Q18" i="2"/>
  <c r="I18" i="2"/>
  <c r="P18" i="2" s="1"/>
  <c r="G18" i="2"/>
  <c r="R17" i="2"/>
  <c r="Q17" i="2"/>
  <c r="I17" i="2"/>
  <c r="P17" i="2" s="1"/>
  <c r="G17" i="2"/>
  <c r="R16" i="2"/>
  <c r="Q16" i="2"/>
  <c r="P16" i="2"/>
  <c r="G16" i="2"/>
  <c r="R15" i="2"/>
  <c r="Q15" i="2"/>
  <c r="I15" i="2"/>
  <c r="P15" i="2" s="1"/>
  <c r="G15" i="2"/>
  <c r="R14" i="2"/>
  <c r="Q14" i="2"/>
  <c r="I14" i="2"/>
  <c r="P14" i="2" s="1"/>
  <c r="G14" i="2"/>
  <c r="R13" i="2"/>
  <c r="Q13" i="2"/>
  <c r="P13" i="2"/>
  <c r="G13" i="2"/>
  <c r="R12" i="2"/>
  <c r="Q12" i="2"/>
  <c r="I12" i="2"/>
  <c r="P12" i="2" s="1"/>
  <c r="G12" i="2"/>
  <c r="R11" i="2"/>
  <c r="Q11" i="2"/>
  <c r="I11" i="2"/>
  <c r="P11" i="2" s="1"/>
  <c r="G11" i="2"/>
  <c r="R10" i="2"/>
  <c r="Q10" i="2"/>
  <c r="I10" i="2"/>
  <c r="P10" i="2" s="1"/>
  <c r="G10" i="2"/>
  <c r="R9" i="2"/>
  <c r="Q9" i="2"/>
  <c r="I9" i="2"/>
  <c r="G9" i="2"/>
  <c r="I93" i="4" l="1"/>
  <c r="J4" i="4"/>
  <c r="J4" i="9"/>
  <c r="I127" i="8"/>
  <c r="N34" i="14"/>
  <c r="N36" i="14"/>
  <c r="N30" i="14"/>
  <c r="N11" i="14"/>
  <c r="N22" i="14"/>
  <c r="N26" i="14"/>
  <c r="N24" i="14"/>
  <c r="N10" i="14"/>
  <c r="N25" i="14"/>
  <c r="N31" i="14"/>
  <c r="N28" i="14"/>
  <c r="N12" i="14"/>
  <c r="N35" i="14"/>
  <c r="N21" i="14"/>
  <c r="N27" i="14"/>
  <c r="N37" i="14"/>
  <c r="N9" i="14"/>
  <c r="N33" i="14"/>
  <c r="N20" i="14"/>
  <c r="N81" i="14"/>
  <c r="N79" i="14"/>
  <c r="N52" i="14"/>
  <c r="N55" i="14"/>
  <c r="N50" i="14"/>
  <c r="N67" i="14"/>
  <c r="N57" i="14"/>
  <c r="N60" i="14"/>
  <c r="N77" i="14"/>
  <c r="N73" i="14"/>
  <c r="N82" i="14"/>
  <c r="N66" i="14"/>
  <c r="N54" i="14"/>
  <c r="N71" i="14"/>
  <c r="N64" i="14"/>
  <c r="N76" i="14"/>
  <c r="N61" i="14"/>
  <c r="N75" i="14"/>
  <c r="N78" i="14"/>
  <c r="N70" i="14"/>
  <c r="N53" i="14"/>
  <c r="N59" i="14"/>
  <c r="N56" i="14"/>
  <c r="N69" i="14"/>
  <c r="N62" i="14"/>
  <c r="N72" i="14"/>
  <c r="N63" i="14"/>
  <c r="N58" i="14"/>
  <c r="N68" i="14"/>
  <c r="N80" i="14"/>
  <c r="N74" i="14"/>
  <c r="N51" i="14"/>
  <c r="N65" i="14"/>
  <c r="J4" i="7"/>
  <c r="D126" i="14"/>
  <c r="D124" i="14"/>
  <c r="D117" i="14"/>
  <c r="D121" i="14"/>
  <c r="D104" i="14"/>
  <c r="D120" i="14"/>
  <c r="D110" i="14"/>
  <c r="D111" i="14"/>
  <c r="D127" i="14"/>
  <c r="D96" i="14"/>
  <c r="D125" i="14"/>
  <c r="D97" i="14"/>
  <c r="D100" i="14"/>
  <c r="D115" i="14"/>
  <c r="D105" i="14"/>
  <c r="D101" i="14"/>
  <c r="D108" i="14"/>
  <c r="D114" i="14"/>
  <c r="D98" i="14"/>
  <c r="D113" i="14"/>
  <c r="D99" i="14"/>
  <c r="D106" i="14"/>
  <c r="D107" i="14"/>
  <c r="D116" i="14"/>
  <c r="D122" i="14"/>
  <c r="D123" i="14"/>
  <c r="D109" i="14"/>
  <c r="D103" i="14"/>
  <c r="D112" i="14"/>
  <c r="D118" i="14"/>
  <c r="D119" i="14"/>
  <c r="D95" i="14"/>
  <c r="D102" i="14"/>
  <c r="B4" i="8"/>
  <c r="B4" i="10"/>
  <c r="I7" i="14"/>
  <c r="N7" i="14"/>
  <c r="I15" i="14"/>
  <c r="N15" i="14"/>
  <c r="I19" i="14"/>
  <c r="N19" i="14"/>
  <c r="I34" i="14"/>
  <c r="I36" i="14"/>
  <c r="I20" i="14"/>
  <c r="I11" i="14"/>
  <c r="I31" i="14"/>
  <c r="I26" i="14"/>
  <c r="I25" i="14"/>
  <c r="I37" i="14"/>
  <c r="I27" i="14"/>
  <c r="I21" i="14"/>
  <c r="I22" i="14"/>
  <c r="I24" i="14"/>
  <c r="I28" i="14"/>
  <c r="I12" i="14"/>
  <c r="I35" i="14"/>
  <c r="I30" i="14"/>
  <c r="I9" i="14"/>
  <c r="I10" i="14"/>
  <c r="D79" i="14"/>
  <c r="D81" i="14"/>
  <c r="D65" i="14"/>
  <c r="D62" i="14"/>
  <c r="D51" i="14"/>
  <c r="D69" i="14"/>
  <c r="D54" i="14"/>
  <c r="D71" i="14"/>
  <c r="D76" i="14"/>
  <c r="D56" i="14"/>
  <c r="D73" i="14"/>
  <c r="D66" i="14"/>
  <c r="D60" i="14"/>
  <c r="D80" i="14"/>
  <c r="D74" i="14"/>
  <c r="D59" i="14"/>
  <c r="D77" i="14"/>
  <c r="D68" i="14"/>
  <c r="D70" i="14"/>
  <c r="D64" i="14"/>
  <c r="D53" i="14"/>
  <c r="D52" i="14"/>
  <c r="D50" i="14"/>
  <c r="D57" i="14"/>
  <c r="D72" i="14"/>
  <c r="D67" i="14"/>
  <c r="D82" i="14"/>
  <c r="D78" i="14"/>
  <c r="D58" i="14"/>
  <c r="D63" i="14"/>
  <c r="D75" i="14"/>
  <c r="D55" i="14"/>
  <c r="D61" i="14"/>
  <c r="N124" i="14"/>
  <c r="N126" i="14"/>
  <c r="N114" i="14"/>
  <c r="N107" i="14"/>
  <c r="N118" i="14"/>
  <c r="N115" i="14"/>
  <c r="N108" i="14"/>
  <c r="N125" i="14"/>
  <c r="N96" i="14"/>
  <c r="N113" i="14"/>
  <c r="N111" i="14"/>
  <c r="N122" i="14"/>
  <c r="N123" i="14"/>
  <c r="N95" i="14"/>
  <c r="N117" i="14"/>
  <c r="N97" i="14"/>
  <c r="N119" i="14"/>
  <c r="N102" i="14"/>
  <c r="N100" i="14"/>
  <c r="N98" i="14"/>
  <c r="N112" i="14"/>
  <c r="N101" i="14"/>
  <c r="N103" i="14"/>
  <c r="N104" i="14"/>
  <c r="N109" i="14"/>
  <c r="N120" i="14"/>
  <c r="N127" i="14"/>
  <c r="N105" i="14"/>
  <c r="N110" i="14"/>
  <c r="N116" i="14"/>
  <c r="N121" i="14"/>
  <c r="N106" i="14"/>
  <c r="N99" i="14"/>
  <c r="J4" i="11"/>
  <c r="I171" i="14"/>
  <c r="I169" i="14"/>
  <c r="I154" i="14"/>
  <c r="I151" i="14"/>
  <c r="I167" i="14"/>
  <c r="I158" i="14"/>
  <c r="I148" i="14"/>
  <c r="I164" i="14"/>
  <c r="I153" i="14"/>
  <c r="I170" i="14"/>
  <c r="I166" i="14"/>
  <c r="I155" i="14"/>
  <c r="I162" i="14"/>
  <c r="I168" i="14"/>
  <c r="I157" i="14"/>
  <c r="I142" i="14"/>
  <c r="I159" i="14"/>
  <c r="I152" i="14"/>
  <c r="I141" i="14"/>
  <c r="I143" i="14"/>
  <c r="I172" i="14"/>
  <c r="I163" i="14"/>
  <c r="I146" i="14"/>
  <c r="I144" i="14"/>
  <c r="I149" i="14"/>
  <c r="I161" i="14"/>
  <c r="I160" i="14"/>
  <c r="I165" i="14"/>
  <c r="I145" i="14"/>
  <c r="I156" i="14"/>
  <c r="I150" i="14"/>
  <c r="I147" i="14"/>
  <c r="I140" i="14"/>
  <c r="I8" i="14"/>
  <c r="N8" i="14"/>
  <c r="I16" i="14"/>
  <c r="N16" i="14"/>
  <c r="I23" i="14"/>
  <c r="N23" i="14"/>
  <c r="I33" i="14"/>
  <c r="I5" i="14"/>
  <c r="N5" i="14"/>
  <c r="I13" i="14"/>
  <c r="N13" i="14"/>
  <c r="I17" i="14"/>
  <c r="N17" i="14"/>
  <c r="I29" i="14"/>
  <c r="N29" i="14"/>
  <c r="N32" i="14"/>
  <c r="D19" i="14"/>
  <c r="D23" i="14"/>
  <c r="D27" i="14"/>
  <c r="D31" i="14"/>
  <c r="D35" i="14"/>
  <c r="D6" i="14"/>
  <c r="D10" i="14"/>
  <c r="D14" i="14"/>
  <c r="D20" i="14"/>
  <c r="D24" i="14"/>
  <c r="D28" i="14"/>
  <c r="D32" i="14"/>
  <c r="D36" i="14"/>
  <c r="D7" i="14"/>
  <c r="D11" i="14"/>
  <c r="D15" i="14"/>
  <c r="D17" i="14"/>
  <c r="D21" i="14"/>
  <c r="D25" i="14"/>
  <c r="D29" i="14"/>
  <c r="D33" i="14"/>
  <c r="D37" i="14"/>
  <c r="D8" i="14"/>
  <c r="D12" i="14"/>
  <c r="D16" i="14"/>
  <c r="D18" i="14"/>
  <c r="D22" i="14"/>
  <c r="D26" i="14"/>
  <c r="D30" i="14"/>
  <c r="D34" i="14"/>
  <c r="D5" i="14"/>
  <c r="D9" i="14"/>
  <c r="D13" i="14"/>
  <c r="I81" i="14"/>
  <c r="I79" i="14"/>
  <c r="I80" i="14"/>
  <c r="I54" i="14"/>
  <c r="I59" i="14"/>
  <c r="I68" i="14"/>
  <c r="I51" i="14"/>
  <c r="I66" i="14"/>
  <c r="I65" i="14"/>
  <c r="I76" i="14"/>
  <c r="I50" i="14"/>
  <c r="I55" i="14"/>
  <c r="I64" i="14"/>
  <c r="I82" i="14"/>
  <c r="I78" i="14"/>
  <c r="I61" i="14"/>
  <c r="I75" i="14"/>
  <c r="I62" i="14"/>
  <c r="I71" i="14"/>
  <c r="I72" i="14"/>
  <c r="I70" i="14"/>
  <c r="I69" i="14"/>
  <c r="I63" i="14"/>
  <c r="I77" i="14"/>
  <c r="I74" i="14"/>
  <c r="I60" i="14"/>
  <c r="I58" i="14"/>
  <c r="I57" i="14"/>
  <c r="I56" i="14"/>
  <c r="I53" i="14"/>
  <c r="I52" i="14"/>
  <c r="I67" i="14"/>
  <c r="I73" i="14"/>
  <c r="D169" i="14"/>
  <c r="D171" i="14"/>
  <c r="D161" i="14"/>
  <c r="D146" i="14"/>
  <c r="D162" i="14"/>
  <c r="D165" i="14"/>
  <c r="D155" i="14"/>
  <c r="D143" i="14"/>
  <c r="D160" i="14"/>
  <c r="D140" i="14"/>
  <c r="D150" i="14"/>
  <c r="D166" i="14"/>
  <c r="D145" i="14"/>
  <c r="D170" i="14"/>
  <c r="D142" i="14"/>
  <c r="D164" i="14"/>
  <c r="D172" i="14"/>
  <c r="D159" i="14"/>
  <c r="D148" i="14"/>
  <c r="D144" i="14"/>
  <c r="D154" i="14"/>
  <c r="D149" i="14"/>
  <c r="D141" i="14"/>
  <c r="D151" i="14"/>
  <c r="D156" i="14"/>
  <c r="D157" i="14"/>
  <c r="D147" i="14"/>
  <c r="D158" i="14"/>
  <c r="D163" i="14"/>
  <c r="D168" i="14"/>
  <c r="D153" i="14"/>
  <c r="D167" i="14"/>
  <c r="D152" i="14"/>
  <c r="B4" i="5"/>
  <c r="I124" i="14"/>
  <c r="I126" i="14"/>
  <c r="I112" i="14"/>
  <c r="I116" i="14"/>
  <c r="I107" i="14"/>
  <c r="I123" i="14"/>
  <c r="I109" i="14"/>
  <c r="I127" i="14"/>
  <c r="I110" i="14"/>
  <c r="I100" i="14"/>
  <c r="I120" i="14"/>
  <c r="I125" i="14"/>
  <c r="I96" i="14"/>
  <c r="I114" i="14"/>
  <c r="I111" i="14"/>
  <c r="I113" i="14"/>
  <c r="I97" i="14"/>
  <c r="I99" i="14"/>
  <c r="I95" i="14"/>
  <c r="I108" i="14"/>
  <c r="I103" i="14"/>
  <c r="I105" i="14"/>
  <c r="I106" i="14"/>
  <c r="I98" i="14"/>
  <c r="I101" i="14"/>
  <c r="I104" i="14"/>
  <c r="I115" i="14"/>
  <c r="I117" i="14"/>
  <c r="I118" i="14"/>
  <c r="I119" i="14"/>
  <c r="I121" i="14"/>
  <c r="I122" i="14"/>
  <c r="I102" i="14"/>
  <c r="N171" i="14"/>
  <c r="N169" i="14"/>
  <c r="N159" i="14"/>
  <c r="N152" i="14"/>
  <c r="N168" i="14"/>
  <c r="N155" i="14"/>
  <c r="N149" i="14"/>
  <c r="N165" i="14"/>
  <c r="N154" i="14"/>
  <c r="N172" i="14"/>
  <c r="N167" i="14"/>
  <c r="N140" i="14"/>
  <c r="N156" i="14"/>
  <c r="N163" i="14"/>
  <c r="N170" i="14"/>
  <c r="N158" i="14"/>
  <c r="N143" i="14"/>
  <c r="N160" i="14"/>
  <c r="N153" i="14"/>
  <c r="N142" i="14"/>
  <c r="N144" i="14"/>
  <c r="N151" i="14"/>
  <c r="N145" i="14"/>
  <c r="N150" i="14"/>
  <c r="N164" i="14"/>
  <c r="N141" i="14"/>
  <c r="N148" i="14"/>
  <c r="N147" i="14"/>
  <c r="N157" i="14"/>
  <c r="N162" i="14"/>
  <c r="N161" i="14"/>
  <c r="N166" i="14"/>
  <c r="N146" i="14"/>
  <c r="I6" i="14"/>
  <c r="N6" i="14"/>
  <c r="I14" i="14"/>
  <c r="N14" i="14"/>
  <c r="I18" i="14"/>
  <c r="N18" i="14"/>
  <c r="I32" i="14"/>
  <c r="B49" i="14"/>
  <c r="G49" i="14" s="1"/>
  <c r="L49" i="14" s="1"/>
  <c r="B94" i="14" s="1"/>
  <c r="B4" i="9"/>
  <c r="B4" i="3"/>
  <c r="B4" i="11"/>
  <c r="J113" i="10"/>
  <c r="I107" i="10"/>
  <c r="J4" i="2"/>
  <c r="L92" i="11"/>
  <c r="H87" i="13"/>
  <c r="I112" i="3"/>
  <c r="J133" i="5"/>
  <c r="I96" i="10"/>
  <c r="L102" i="10"/>
  <c r="L107" i="10" s="1"/>
  <c r="H55" i="11"/>
  <c r="J4" i="12"/>
  <c r="J4" i="6"/>
  <c r="B4" i="7"/>
  <c r="L92" i="10"/>
  <c r="L96" i="10" s="1"/>
  <c r="I109" i="2"/>
  <c r="B4" i="4"/>
  <c r="I50" i="8"/>
  <c r="L103" i="11"/>
  <c r="B4" i="12"/>
  <c r="I100" i="3"/>
  <c r="B4" i="6"/>
  <c r="P39" i="7"/>
  <c r="I111" i="7"/>
  <c r="J145" i="13"/>
  <c r="L114" i="5"/>
  <c r="P9" i="8"/>
  <c r="P50" i="8" s="1"/>
  <c r="L138" i="9"/>
  <c r="I50" i="6"/>
  <c r="P9" i="6"/>
  <c r="P50" i="6" s="1"/>
  <c r="I106" i="8"/>
  <c r="M4" i="9"/>
  <c r="P50" i="12"/>
  <c r="P60" i="12" s="1"/>
  <c r="I76" i="13"/>
  <c r="I39" i="7"/>
  <c r="L123" i="13"/>
  <c r="L93" i="2"/>
  <c r="I51" i="3"/>
  <c r="L100" i="2"/>
  <c r="I39" i="4"/>
  <c r="I104" i="4"/>
  <c r="M4" i="4" s="1"/>
  <c r="I45" i="5"/>
  <c r="I101" i="6"/>
  <c r="I148" i="9"/>
  <c r="I45" i="11"/>
  <c r="H74" i="12"/>
  <c r="I76" i="12" s="1"/>
  <c r="I51" i="2"/>
  <c r="L95" i="6"/>
  <c r="L101" i="6" s="1"/>
  <c r="I63" i="9"/>
  <c r="P9" i="11"/>
  <c r="P45" i="11" s="1"/>
  <c r="L134" i="13"/>
  <c r="I117" i="8"/>
  <c r="I125" i="5"/>
  <c r="I112" i="6"/>
  <c r="I94" i="7"/>
  <c r="I105" i="7"/>
  <c r="L120" i="12"/>
  <c r="L106" i="6"/>
  <c r="L112" i="6" s="1"/>
  <c r="I46" i="10"/>
  <c r="I109" i="12"/>
  <c r="M4" i="12" s="1"/>
  <c r="I93" i="2"/>
  <c r="M4" i="2" s="1"/>
  <c r="P9" i="2"/>
  <c r="P51" i="2" s="1"/>
  <c r="P9" i="3"/>
  <c r="P51" i="3" s="1"/>
  <c r="L92" i="3"/>
  <c r="L100" i="3" s="1"/>
  <c r="P9" i="4"/>
  <c r="P39" i="4" s="1"/>
  <c r="L84" i="4"/>
  <c r="L93" i="4" s="1"/>
  <c r="L99" i="4"/>
  <c r="L104" i="4" s="1"/>
  <c r="P9" i="5"/>
  <c r="P45" i="5" s="1"/>
  <c r="I114" i="5"/>
  <c r="M4" i="5" s="1"/>
  <c r="L125" i="5"/>
  <c r="L87" i="7"/>
  <c r="L94" i="7" s="1"/>
  <c r="L100" i="7"/>
  <c r="L105" i="7" s="1"/>
  <c r="L94" i="8"/>
  <c r="L106" i="8" s="1"/>
  <c r="L111" i="8"/>
  <c r="L117" i="8" s="1"/>
  <c r="P9" i="9"/>
  <c r="P63" i="9" s="1"/>
  <c r="L126" i="9"/>
  <c r="L127" i="9" s="1"/>
  <c r="P9" i="10"/>
  <c r="P46" i="10" s="1"/>
  <c r="I92" i="11"/>
  <c r="M4" i="11" s="1"/>
  <c r="J110" i="11"/>
  <c r="I60" i="12"/>
  <c r="L104" i="12"/>
  <c r="L109" i="12" s="1"/>
  <c r="P9" i="13"/>
  <c r="P76" i="13" s="1"/>
  <c r="I123" i="13"/>
  <c r="M4" i="13" s="1"/>
  <c r="L4" i="15"/>
  <c r="G11" i="15"/>
  <c r="B18" i="15"/>
  <c r="L18" i="15"/>
  <c r="G25" i="15"/>
  <c r="G4" i="15"/>
  <c r="B11" i="15"/>
  <c r="L11" i="15"/>
  <c r="G18" i="15"/>
  <c r="B25" i="15"/>
  <c r="M4" i="3" l="1"/>
  <c r="G4" i="4"/>
  <c r="N38" i="14"/>
  <c r="G4" i="6"/>
  <c r="I83" i="14"/>
  <c r="G4" i="5"/>
  <c r="D83" i="14"/>
  <c r="G4" i="3"/>
  <c r="I38" i="14"/>
  <c r="G4" i="7"/>
  <c r="N83" i="14"/>
  <c r="O92" i="14" s="1"/>
  <c r="G4" i="9"/>
  <c r="I128" i="14"/>
  <c r="G4" i="11"/>
  <c r="D173" i="14"/>
  <c r="E182" i="14" s="1"/>
  <c r="G4" i="13"/>
  <c r="N173" i="14"/>
  <c r="O182" i="14" s="1"/>
  <c r="G4" i="8"/>
  <c r="D128" i="14"/>
  <c r="E137" i="14" s="1"/>
  <c r="G4" i="12"/>
  <c r="P4" i="12" s="1"/>
  <c r="I173" i="14"/>
  <c r="J182" i="14" s="1"/>
  <c r="G4" i="10"/>
  <c r="N128" i="14"/>
  <c r="O137" i="14" s="1"/>
  <c r="M4" i="7"/>
  <c r="P4" i="7" s="1"/>
  <c r="G4" i="2"/>
  <c r="P4" i="2" s="1"/>
  <c r="D38" i="14"/>
  <c r="E47" i="14" s="1"/>
  <c r="M4" i="10"/>
  <c r="P4" i="10" s="1"/>
  <c r="O47" i="14"/>
  <c r="J137" i="14"/>
  <c r="J92" i="14"/>
  <c r="E92" i="14"/>
  <c r="G94" i="14"/>
  <c r="L94" i="14" s="1"/>
  <c r="B139" i="14" s="1"/>
  <c r="G139" i="14" s="1"/>
  <c r="L139" i="14" s="1"/>
  <c r="J47" i="14"/>
  <c r="P4" i="5"/>
  <c r="P4" i="9"/>
  <c r="P4" i="11"/>
  <c r="M4" i="6"/>
  <c r="P4" i="13"/>
  <c r="P4" i="3"/>
  <c r="P4" i="4"/>
  <c r="M4" i="8"/>
  <c r="P4" i="6" l="1"/>
  <c r="P4" i="8"/>
</calcChain>
</file>

<file path=xl/sharedStrings.xml><?xml version="1.0" encoding="utf-8"?>
<sst xmlns="http://schemas.openxmlformats.org/spreadsheetml/2006/main" count="4097" uniqueCount="1768">
  <si>
    <t>CUIT</t>
  </si>
  <si>
    <t>RAZON SOCIAL</t>
  </si>
  <si>
    <t>Tipo de Gasto</t>
  </si>
  <si>
    <t>PROVINCIA</t>
  </si>
  <si>
    <t>100000 LAMPARAS SRL</t>
  </si>
  <si>
    <t>Mercaderia</t>
  </si>
  <si>
    <t>4KRC SA</t>
  </si>
  <si>
    <t>Mantenimiento</t>
  </si>
  <si>
    <t>Servicios Gas, Luz, etc.</t>
  </si>
  <si>
    <t>60 LIBRAS SRL</t>
  </si>
  <si>
    <t>Gastos catering</t>
  </si>
  <si>
    <t>A R C CONSTRUCCIONES S.A.</t>
  </si>
  <si>
    <t>Combustibe</t>
  </si>
  <si>
    <t>A. RUSSONIELLO SA</t>
  </si>
  <si>
    <t>Gastos Varios</t>
  </si>
  <si>
    <t>A.M. PESCIO S.C.A</t>
  </si>
  <si>
    <t>INSUMO</t>
  </si>
  <si>
    <t>Gastos seguridad</t>
  </si>
  <si>
    <t>ABAC SRL</t>
  </si>
  <si>
    <t>MAT. PRIM.</t>
  </si>
  <si>
    <t>Librería</t>
  </si>
  <si>
    <t>ABBS POINT DESING S.A.</t>
  </si>
  <si>
    <t xml:space="preserve">Gastos mantenimiento </t>
  </si>
  <si>
    <t>ABEL JAVIER KLAINER</t>
  </si>
  <si>
    <t xml:space="preserve">Gastos comercializacion </t>
  </si>
  <si>
    <t>ABELARDO ESTEBAN -VALVULAS</t>
  </si>
  <si>
    <t>Alquiler</t>
  </si>
  <si>
    <t>OPERADORA DE ESTACIONES DE SERVICIOS SA</t>
  </si>
  <si>
    <t>Honorarios contables</t>
  </si>
  <si>
    <t xml:space="preserve">ABELEDO AGUSTIN ENRIQUE </t>
  </si>
  <si>
    <t>HONOR. INGENIERO</t>
  </si>
  <si>
    <t>Gastos administrativos</t>
  </si>
  <si>
    <t xml:space="preserve">ABELEDO HORACIO </t>
  </si>
  <si>
    <t>Seguro</t>
  </si>
  <si>
    <t>ABELSON SA</t>
  </si>
  <si>
    <t>Extracto</t>
  </si>
  <si>
    <t>ACCESOR SRL</t>
  </si>
  <si>
    <t>Flete</t>
  </si>
  <si>
    <t>ACEROSALFA SA</t>
  </si>
  <si>
    <t>Honorarios Legales</t>
  </si>
  <si>
    <t>ACLOS ASOC. CIVIL PARA LA LONG</t>
  </si>
  <si>
    <t>Insumo</t>
  </si>
  <si>
    <t>ACPLIND - FELDMAN SH</t>
  </si>
  <si>
    <t>Muebles y Utiles</t>
  </si>
  <si>
    <t>ACRILICOS MESCH S.A.</t>
  </si>
  <si>
    <t>Otros</t>
  </si>
  <si>
    <t>ADSE S.A</t>
  </si>
  <si>
    <t>Telefonia</t>
  </si>
  <si>
    <t>ADUEARDO FRANCISCO NARDOMARINO</t>
  </si>
  <si>
    <t>Alojamiento-Varios</t>
  </si>
  <si>
    <t>AEROPUERTOS ARGENTINA 2000 SA</t>
  </si>
  <si>
    <t>GTOS IMP.</t>
  </si>
  <si>
    <t>AGH S.A</t>
  </si>
  <si>
    <t>AGILE SYSTEMS SA</t>
  </si>
  <si>
    <t>PALMA BITTI SA</t>
  </si>
  <si>
    <t>NUDELMAN GRACIELA MONICA</t>
  </si>
  <si>
    <t>AGIRA SA</t>
  </si>
  <si>
    <t>AGUA Y SANEAMIENTOS ARG SA</t>
  </si>
  <si>
    <t>AGUSTIN ABELEDO</t>
  </si>
  <si>
    <t>HONORARIOS</t>
  </si>
  <si>
    <t>AGUSTINA RODRIGUEZ DE LA FUENTE</t>
  </si>
  <si>
    <t xml:space="preserve">PAN AMERICAN ENERGY </t>
  </si>
  <si>
    <t>AKIAN GRAFICA EDITORA SA</t>
  </si>
  <si>
    <t>ALANAR S.R.L.</t>
  </si>
  <si>
    <t xml:space="preserve">ALEJANDRO DARIO LOPEZ </t>
  </si>
  <si>
    <t>ALEJANDRO MIGUEL DAUBLER</t>
  </si>
  <si>
    <t>ALETADOS ALVEAR SRL</t>
  </si>
  <si>
    <t>ALFABIS SRL.</t>
  </si>
  <si>
    <t xml:space="preserve">ALFREDO DANIEL FERNANDEZ </t>
  </si>
  <si>
    <t xml:space="preserve">ALFREDO OMAR POTENZA SRL </t>
  </si>
  <si>
    <t>ALI HERMANOS SRL</t>
  </si>
  <si>
    <t>ALKO SRL</t>
  </si>
  <si>
    <t>ALL FEDERAL SA.</t>
  </si>
  <si>
    <t>ALMAGRO REFRIGERAC. Y ASOC SA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</si>
  <si>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</si>
  <si>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</si>
  <si>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</si>
  <si>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</si>
  <si>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</si>
  <si>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</si>
  <si>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</si>
  <si>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</si>
  <si>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</si>
  <si>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</si>
  <si>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</si>
  <si>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</si>
  <si>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</si>
  <si>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</si>
  <si>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</si>
  <si>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</si>
  <si>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ARLEX S.A.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</si>
  <si>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</si>
  <si>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</si>
  <si>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</si>
  <si>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</si>
  <si>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</si>
  <si>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</si>
  <si>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</si>
  <si>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</si>
  <si>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</si>
  <si>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</si>
  <si>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</si>
  <si>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</si>
  <si>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</si>
  <si>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</si>
  <si>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AUTOGOMA BERNAL S.A</t>
  </si>
  <si>
    <t>AUTOMOTORES FIORASI Y CORRADI</t>
  </si>
  <si>
    <t>AUTOP. URBANAS SA</t>
  </si>
  <si>
    <t>AUTOPISTAS DEL SOL SA</t>
  </si>
  <si>
    <t> 30607371799</t>
  </si>
  <si>
    <t>AUTOSERVICIO DIARCO SA</t>
  </si>
  <si>
    <t>AUTOSTADT S.A.</t>
  </si>
  <si>
    <t>AUTOSTRASSE S.A.</t>
  </si>
  <si>
    <t>AVANCE-MAG</t>
  </si>
  <si>
    <t>AVILA MARTIN LEONARDO</t>
  </si>
  <si>
    <t>AVINO ROBERTO JORGE</t>
  </si>
  <si>
    <t>AXION ENERGY ARG SA</t>
  </si>
  <si>
    <t>COMBUSTIBLE</t>
  </si>
  <si>
    <t>AYUDA MUT. DEL PERS. DE GENDAR</t>
  </si>
  <si>
    <t>BAGUI S.A.</t>
  </si>
  <si>
    <t>LOPEZ LOPEZ FLAVIA</t>
  </si>
  <si>
    <t>BAIRES FULL TRADING S.A.</t>
  </si>
  <si>
    <t>BALANZE S.A.</t>
  </si>
  <si>
    <t>BALE JORGE CARLOS</t>
  </si>
  <si>
    <t>BALLERINI ATILIO Y SOTO RAUL C</t>
  </si>
  <si>
    <t>BANCO CREDICOOP</t>
  </si>
  <si>
    <t>M-ELEK SA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</si>
  <si>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</si>
  <si>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</si>
  <si>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</si>
  <si>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</si>
  <si>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</si>
  <si>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</si>
  <si>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</si>
  <si>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</si>
  <si>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</si>
  <si>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</si>
  <si>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</si>
  <si>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</si>
  <si>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</si>
  <si>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</si>
  <si>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</si>
  <si>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 xml:space="preserve">BOECHI JUAN </t>
  </si>
  <si>
    <t>BOSAN SA</t>
  </si>
  <si>
    <t>BOTINDARI JUAN IGNACIO</t>
  </si>
  <si>
    <t>BOYACA C.I.S.A</t>
  </si>
  <si>
    <t>BROGAS SA</t>
  </si>
  <si>
    <t>BRUBEN DUDAMERICANA</t>
  </si>
  <si>
    <t>BRUNETTE SRL</t>
  </si>
  <si>
    <t>BSMS SRL</t>
  </si>
  <si>
    <t>BULONERA ANSALDI SRL</t>
  </si>
  <si>
    <t xml:space="preserve">BULONERA HURLINGHAM </t>
  </si>
  <si>
    <t>BULONERA MATADEROS SRL</t>
  </si>
  <si>
    <t>BULONERA VIETRI SRL</t>
  </si>
  <si>
    <t>BUREAU VERITAS ARGENTINA SA</t>
  </si>
  <si>
    <t xml:space="preserve">BUSACCA PAOLA EDITH </t>
  </si>
  <si>
    <t>LIBRERÍA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</si>
  <si>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</si>
  <si>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</si>
  <si>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</si>
  <si>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</si>
  <si>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</si>
  <si>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</si>
  <si>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</si>
  <si>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</si>
  <si>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</si>
  <si>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</si>
  <si>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</si>
  <si>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CARMAS COMPOSITES SRL</t>
  </si>
  <si>
    <t>CARRERAS FERNANDO GABRIEL</t>
  </si>
  <si>
    <t>CARRIER SRL</t>
  </si>
  <si>
    <t>CASA HUTTON SACEI</t>
  </si>
  <si>
    <t xml:space="preserve">CASA SANTOS </t>
  </si>
  <si>
    <t>CASTAÑO AUTOVOX SRL</t>
  </si>
  <si>
    <t>CASTELLOTI CARLOS SANTIAGO</t>
  </si>
  <si>
    <t>CASTIGLIONI MATIAS EZEQUIEL</t>
  </si>
  <si>
    <t xml:space="preserve">CAZABET FRANCISCO </t>
  </si>
  <si>
    <t>CCYD SRL</t>
  </si>
  <si>
    <t>CEDAT SA</t>
  </si>
  <si>
    <t>CEMENTO FULMINANTE SA</t>
  </si>
  <si>
    <t>CENCOSUD S.A.</t>
  </si>
  <si>
    <t>CENTRO MEDICO AMENABAR SRL</t>
  </si>
  <si>
    <t>CENTRO SEC SRL</t>
  </si>
  <si>
    <t>CESAR ALBERTO MIGOYA</t>
  </si>
  <si>
    <t>CEVA-MED SRL</t>
  </si>
  <si>
    <t>CEVICHE PILAR S.A.</t>
  </si>
  <si>
    <t>CHICO ALEJANDRO</t>
  </si>
  <si>
    <t xml:space="preserve">CHICOTE SA </t>
  </si>
  <si>
    <t>FAMIQ SRL</t>
  </si>
  <si>
    <t>CHILLENI HNOS SRL</t>
  </si>
  <si>
    <t>CHIRINOS BENITES NALDY PAOLA</t>
  </si>
  <si>
    <t>CHRISTIAN MARTIN ESQUIVEL</t>
  </si>
  <si>
    <t>MOTO</t>
  </si>
  <si>
    <t>CIERRES ABROJO &amp; HERRAJES SRL</t>
  </si>
  <si>
    <t>CIKA ELECTRONICA SRL</t>
  </si>
  <si>
    <t>LAROCCA JUAN MARTIN</t>
  </si>
  <si>
    <t>CINFA SRL</t>
  </si>
  <si>
    <t>CINTAS OUTLET SA</t>
  </si>
  <si>
    <t>CIRO MAR S.A.</t>
  </si>
  <si>
    <t>CITI SHOP</t>
  </si>
  <si>
    <t>CITTADINI CLAUDIA MARCELA</t>
  </si>
  <si>
    <t>CLAUDIO O. GARCIA</t>
  </si>
  <si>
    <t>CLEVERS SRL</t>
  </si>
  <si>
    <t>CLUB ATLETICO TALLERES</t>
  </si>
  <si>
    <t>COCA COLA FEMSA DE BS AS SA</t>
  </si>
  <si>
    <t>COHUI SA</t>
  </si>
  <si>
    <t>COLAFRANCESCO RICARDO DANIEL</t>
  </si>
  <si>
    <t>COLTEX SRL</t>
  </si>
  <si>
    <t>COMERCIAL ALPACA SA</t>
  </si>
  <si>
    <t>Comercial e Industrial SRL</t>
  </si>
  <si>
    <t>COMERCIAL PALERMO</t>
  </si>
  <si>
    <t>COMPAÑÍA AMERICANA DE LAPICES S.R.L.</t>
  </si>
  <si>
    <t>COMPRESURT S.A.</t>
  </si>
  <si>
    <t>COMPUMUNDO</t>
  </si>
  <si>
    <t>CONSORCIO BTOME MITRE 2466</t>
  </si>
  <si>
    <t>ALQUILER</t>
  </si>
  <si>
    <t xml:space="preserve">CONSORCIO DE PROPIETARIOS </t>
  </si>
  <si>
    <t>SAMARAS MARIO</t>
  </si>
  <si>
    <t>CDTEK SRL</t>
  </si>
  <si>
    <t>CONSORCIO PROP YATAY 138/140</t>
  </si>
  <si>
    <t>CONSTRUC MAR SA</t>
  </si>
  <si>
    <t>CONSTRUCTORA SANTOS SRL</t>
  </si>
  <si>
    <t>CONTE SEBASTIAN Y CONTE MICAELA S.H.</t>
  </si>
  <si>
    <t>CONTERI EDGARDO MARCELO</t>
  </si>
  <si>
    <t>CONTROL SET ARGENTINA S.R.L.</t>
  </si>
  <si>
    <t>COPPENS SA</t>
  </si>
  <si>
    <t>Copy Max</t>
  </si>
  <si>
    <t>DETODONET S.A.</t>
  </si>
  <si>
    <t>CORE SDI SA</t>
  </si>
  <si>
    <t>CORRALON LAPRIDA S.R.L.</t>
  </si>
  <si>
    <t>CORREO ARGENTINO</t>
  </si>
  <si>
    <t>PETIT PET SHOP S.R.L</t>
  </si>
  <si>
    <t>COSTA DIEGO ALEJANDRO</t>
  </si>
  <si>
    <t>COTO CICSA</t>
  </si>
  <si>
    <t>CPDD SRL</t>
  </si>
  <si>
    <t>CRISTIAN D BRESSANI</t>
  </si>
  <si>
    <t>CRYSLAN SA</t>
  </si>
  <si>
    <t>CSKY S.A</t>
  </si>
  <si>
    <t>CUELLAR OMAR EDGARDO</t>
  </si>
  <si>
    <t>CUEROSUR</t>
  </si>
  <si>
    <t xml:space="preserve">CURITEC SRL </t>
  </si>
  <si>
    <t>D ACCORD SA</t>
  </si>
  <si>
    <t>D WINSTOCK SRL</t>
  </si>
  <si>
    <t>DALAMY S.A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</si>
  <si>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</si>
  <si>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</si>
  <si>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</si>
  <si>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</si>
  <si>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</si>
  <si>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</si>
  <si>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</si>
  <si>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</si>
  <si>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</si>
  <si>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</si>
  <si>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</si>
  <si>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DECORALUM SRL</t>
  </si>
  <si>
    <t>HOGAR ACTUAL SRL</t>
  </si>
  <si>
    <t>CLEMENTE LUCAS IVAN</t>
  </si>
  <si>
    <t>DEHEZA SAICFEI</t>
  </si>
  <si>
    <t>COMPUFAN SRL</t>
  </si>
  <si>
    <t>DEL DIESTRO MARIA PATRICIA</t>
  </si>
  <si>
    <t>DELTA COMPRESION S.R.L</t>
  </si>
  <si>
    <t>DEMON S.A.</t>
  </si>
  <si>
    <t>AJAVISION SAS</t>
  </si>
  <si>
    <t>DEPETRIS  VILLALBA GABRIEL</t>
  </si>
  <si>
    <t>DERECHO S.A.</t>
  </si>
  <si>
    <t>GOMEZ CHOQUE MARCOS JOEL</t>
  </si>
  <si>
    <t>DEVOTO STATION SA</t>
  </si>
  <si>
    <t>DGA SRL</t>
  </si>
  <si>
    <t>ANNEX S.A.</t>
  </si>
  <si>
    <t>GASTOS VARIOS</t>
  </si>
  <si>
    <t>DHL EXPRESS ARG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</si>
  <si>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</si>
  <si>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</si>
  <si>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</si>
  <si>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</si>
  <si>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</si>
  <si>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</si>
  <si>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</si>
  <si>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</si>
  <si>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</si>
  <si>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DISTELEC S.A</t>
  </si>
  <si>
    <t>PINTOS SHMIDT ALDANA MARCELA Y SACK ADRIANA CRISTINA SH</t>
  </si>
  <si>
    <t>DISTRIBUIDORA CIRYBAR</t>
  </si>
  <si>
    <t>DISTRIBUIDORA LISBOA</t>
  </si>
  <si>
    <t>DISTRIBUIDORA MILER</t>
  </si>
  <si>
    <t>DISTRIBUIDORA PLACASUR SA.</t>
  </si>
  <si>
    <t>DISTRIBUIDORA PSM SRL</t>
  </si>
  <si>
    <t>DISTRIBUIDORA SANITARIA JACOBO</t>
  </si>
  <si>
    <t>GRUPOS INTEGRADOS</t>
  </si>
  <si>
    <t>DMX S.R.L.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</si>
  <si>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</si>
  <si>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</si>
  <si>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</si>
  <si>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</si>
  <si>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</si>
  <si>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DUARTE VALERIA SABRINA</t>
  </si>
  <si>
    <t>FLETE</t>
  </si>
  <si>
    <t>IMPRENTA24 SRL</t>
  </si>
  <si>
    <t>DUFAU HNOS. DOS S.A.</t>
  </si>
  <si>
    <t>DUHAU ALBA NOEMI</t>
  </si>
  <si>
    <t>DULCE ESTILO S.A.</t>
  </si>
  <si>
    <t>DURWORKS SRL</t>
  </si>
  <si>
    <t>EBOX SA</t>
  </si>
  <si>
    <t>B M WEB SA</t>
  </si>
  <si>
    <t>EDENOR</t>
  </si>
  <si>
    <t>EDESUR</t>
  </si>
  <si>
    <t>EDUARDO BUENO SA</t>
  </si>
  <si>
    <t>MANTENIMIENTO</t>
  </si>
  <si>
    <t>EDUARDO TRAJTERMAN</t>
  </si>
  <si>
    <t>EL CRUCE S.A.</t>
  </si>
  <si>
    <t>El Surco Cia de Seguros</t>
  </si>
  <si>
    <t>ELECTRICIDAD BELTRAME  SA</t>
  </si>
  <si>
    <t>ELECTROCITY</t>
  </si>
  <si>
    <t>ELECTROCOMPONENTES SA</t>
  </si>
  <si>
    <t>CESPEDES BRANDON BRIAN</t>
  </si>
  <si>
    <t>ELECTROLOURDES SRL</t>
  </si>
  <si>
    <t>ELECTROMEC. CONELEC SA</t>
  </si>
  <si>
    <t>FERNANDO MARCELO SZUCHMAN</t>
  </si>
  <si>
    <t>OSINAGA PEREZ PEDRO</t>
  </si>
  <si>
    <t>ASPRO SERVICIOS PETROLEROS S.A.</t>
  </si>
  <si>
    <t>ELECTROMINGO SRL</t>
  </si>
  <si>
    <t>ELECTRONICA ELEMON SA</t>
  </si>
  <si>
    <t>LAS QUINAS S.A.</t>
  </si>
  <si>
    <t>ELECTRONICA MEGATONE SA</t>
  </si>
  <si>
    <t xml:space="preserve">ELECTROSHOWS </t>
  </si>
  <si>
    <t>ELI-MET S.R.L.</t>
  </si>
  <si>
    <t xml:space="preserve">EMPREN. SATELITALES SA </t>
  </si>
  <si>
    <t>GUGLIELMI GUSTAVO FABIAN</t>
  </si>
  <si>
    <t>GRAFICA Y FOTOGRABADOS LA PLAZA SRL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</si>
  <si>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</si>
  <si>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</si>
  <si>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</si>
  <si>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</si>
  <si>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</si>
  <si>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</si>
  <si>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ERNESTO MAYER S.A</t>
  </si>
  <si>
    <t>EIMAT S.R.L.</t>
  </si>
  <si>
    <t>ERPA SACIF</t>
  </si>
  <si>
    <t>ESCANORT SA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</si>
  <si>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</si>
  <si>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</si>
  <si>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</si>
  <si>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</si>
  <si>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</si>
  <si>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RAIMONDI FACUNDO ALBERTO</t>
  </si>
  <si>
    <t>EST. METALURGICO PSM S.R.L</t>
  </si>
  <si>
    <t>ESTACION DE AIRE SRL</t>
  </si>
  <si>
    <t>ESTACION DE SERV. NORTENA SRL</t>
  </si>
  <si>
    <t>ENDANIK SRL</t>
  </si>
  <si>
    <t>ESTACION DE SERVICIO</t>
  </si>
  <si>
    <t>ESTACION EL BOSQUE SA</t>
  </si>
  <si>
    <t>ESTEBAN URRESTI</t>
  </si>
  <si>
    <t>ESTEVEZ LUCIA MARIA</t>
  </si>
  <si>
    <t>ESTUDIO BOTINDARI</t>
  </si>
  <si>
    <t>HONORARIOS CONTABLES</t>
  </si>
  <si>
    <t>ETXEAN SALUD S.A.</t>
  </si>
  <si>
    <t>EUROFULL SRL</t>
  </si>
  <si>
    <t>EUROPACKAGING SA</t>
  </si>
  <si>
    <t>EXA COMPRESION SRL</t>
  </si>
  <si>
    <t>EXPRESO MAR DEL PLATA S.A.</t>
  </si>
  <si>
    <t xml:space="preserve">F BRIONES SRL </t>
  </si>
  <si>
    <t>FABIAN Y JORGE RODRIGUEZ VIAU</t>
  </si>
  <si>
    <t>FABORT SRL.</t>
  </si>
  <si>
    <t>FAGAS SA</t>
  </si>
  <si>
    <t>FALABELLA S.A.</t>
  </si>
  <si>
    <t>FAVICUR ICSA</t>
  </si>
  <si>
    <t>FEDERAC. PATRONAL SEG. SA</t>
  </si>
  <si>
    <t>SEGURO</t>
  </si>
  <si>
    <t>SWEDEN MOTORS SA</t>
  </si>
  <si>
    <t>FEDERICI NICOLAS JOSE</t>
  </si>
  <si>
    <t>GAMERS POR NATURALEZA</t>
  </si>
  <si>
    <t>FEDERICO BOTINDARI</t>
  </si>
  <si>
    <t>TRINCADO BRIAN</t>
  </si>
  <si>
    <t>FELRRO SRL</t>
  </si>
  <si>
    <t>FERNANDEZ BURZACO JUAN ROMAN</t>
  </si>
  <si>
    <t>ECOMOVE SRL</t>
  </si>
  <si>
    <t>FERNANDEZ EDUARDO SERGIO</t>
  </si>
  <si>
    <t>FERNANDEZ MARIA</t>
  </si>
  <si>
    <t>FERNANDEZ PATRICIO</t>
  </si>
  <si>
    <t>FERNANDO JAVIER COLOMBO</t>
  </si>
  <si>
    <t>REA PABLO</t>
  </si>
  <si>
    <t>FERRE MARIANO Y CASTRO ROB. SH</t>
  </si>
  <si>
    <t>FERREIRO ADRIAN DANIEL</t>
  </si>
  <si>
    <t>FERREIRO OSCAR Y VILLAROEL SH</t>
  </si>
  <si>
    <t>FERRETE. INDUSTRIAL DEL ABASTO</t>
  </si>
  <si>
    <t>ORTUÑO ALVAREZ HECTOR MANUEL</t>
  </si>
  <si>
    <t>FERRETERIA ALVAREZ DE PENNA</t>
  </si>
  <si>
    <t>FERRETERIA INDUS SRL</t>
  </si>
  <si>
    <t xml:space="preserve">FERRETERIA JC </t>
  </si>
  <si>
    <t>FERRETERIA POMPEYA S.R.L.</t>
  </si>
  <si>
    <t>FERREVIS SA</t>
  </si>
  <si>
    <t>FERRT.INDUS.ONCE SRL</t>
  </si>
  <si>
    <t>FERRUM SA</t>
  </si>
  <si>
    <t>FHAVILL SA</t>
  </si>
  <si>
    <t>FINANCAUCION SA</t>
  </si>
  <si>
    <t>CALVO FEDERICO LUIS</t>
  </si>
  <si>
    <t>FIORI HECTOR</t>
  </si>
  <si>
    <t>FISCHER ARGENTINA SA</t>
  </si>
  <si>
    <t>FIVELEV S.R.L.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</si>
  <si>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</si>
  <si>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</si>
  <si>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</si>
  <si>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</si>
  <si>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</si>
  <si>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</si>
  <si>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FREE WAY MOTO S.A.S.</t>
  </si>
  <si>
    <t>FREIER SANDRA DANIELA</t>
  </si>
  <si>
    <t>FULL BENEFITS S.A.</t>
  </si>
  <si>
    <t>FUNDAC EMPRESARIA MADERERA</t>
  </si>
  <si>
    <t>FUNDICION DELTA SRL</t>
  </si>
  <si>
    <t xml:space="preserve">FUNK HNOS DE FRANCISCO G </t>
  </si>
  <si>
    <t>DALLAS MORESI CAMILA</t>
  </si>
  <si>
    <t>PILISAR SOCIEDAD ANONIMA</t>
  </si>
  <si>
    <t>FUNK MATIAS NICOLAS</t>
  </si>
  <si>
    <t>DABRA SOCIEDAD ANONIMA</t>
  </si>
  <si>
    <t>FV SA</t>
  </si>
  <si>
    <t>OTROS</t>
  </si>
  <si>
    <t xml:space="preserve">GABINETES METALICOS Y TRAFOS </t>
  </si>
  <si>
    <t>GABRIEL GONZALEZ SAGASETA</t>
  </si>
  <si>
    <t>GAED S.H.</t>
  </si>
  <si>
    <t>GALANDER SA</t>
  </si>
  <si>
    <t>GALENO ARGENTINA S.A</t>
  </si>
  <si>
    <t>GALENO ART S.A</t>
  </si>
  <si>
    <t>GALUX</t>
  </si>
  <si>
    <t>GAM SRL</t>
  </si>
  <si>
    <t xml:space="preserve">GARAGE SAN JOSE </t>
  </si>
  <si>
    <t>GARAGES TIBOGAL SA</t>
  </si>
  <si>
    <t>GARAGE</t>
  </si>
  <si>
    <t>GARCIA JUAN IGNACIO</t>
  </si>
  <si>
    <t>GAREGNANI EDGARDO CLAUDIO</t>
  </si>
  <si>
    <t>GATA S.A</t>
  </si>
  <si>
    <t>GEDDIGITAL GROUP SRL</t>
  </si>
  <si>
    <t>GELFORM SRL</t>
  </si>
  <si>
    <t>GELSI LUCIANO</t>
  </si>
  <si>
    <t>GEMEZ SA</t>
  </si>
  <si>
    <t>GENDARMERIA NACIONAL ARG</t>
  </si>
  <si>
    <t>GEORGINA SALAZAR</t>
  </si>
  <si>
    <t>GITMED INSUMOS MEDICOS</t>
  </si>
  <si>
    <t>REDIN TRADING SA</t>
  </si>
  <si>
    <t>GLACYTER SRL</t>
  </si>
  <si>
    <t>MATEU SPORTS SOCIEDAD ANONIMA</t>
  </si>
  <si>
    <t>GLOBAL AGH S.A.</t>
  </si>
  <si>
    <t>GM ELECTRONICA SA</t>
  </si>
  <si>
    <t>GOMERIAS NEUMAN SA</t>
  </si>
  <si>
    <t>GONTEL S.A.C.I.F.</t>
  </si>
  <si>
    <t xml:space="preserve">GONZALEZ GIORDANO MIQUEAS </t>
  </si>
  <si>
    <t>GOTZL NICOLAS</t>
  </si>
  <si>
    <t>GPLAYERS SRL</t>
  </si>
  <si>
    <t>Grafika Producciones SRL</t>
  </si>
  <si>
    <t>GRAMTOR S.A</t>
  </si>
  <si>
    <t>GRANEROS DANIEL ROLANDO</t>
  </si>
  <si>
    <t>GRASSO ERNESTO CARLOS</t>
  </si>
  <si>
    <t>GRAVENT SA</t>
  </si>
  <si>
    <t>GREEN GARDEN MARKET S.A.</t>
  </si>
  <si>
    <t>GREEN GARDEN MARKET SA</t>
  </si>
  <si>
    <t>GRIFERIAS COBRA SRL</t>
  </si>
  <si>
    <t>GRUPO ALEAR SRL</t>
  </si>
  <si>
    <t>GRUPO CONCES. DEL OESTE SA</t>
  </si>
  <si>
    <t>GRUPO FRESHEN SRL</t>
  </si>
  <si>
    <t>GRUPO MAXIMUS S.R.L.</t>
  </si>
  <si>
    <t>GRUPO TORNADO SA</t>
  </si>
  <si>
    <t xml:space="preserve">GRUPPO PIETRABELLA </t>
  </si>
  <si>
    <t>GRUPPO PIETRABELLA SRL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</si>
  <si>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</si>
  <si>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</si>
  <si>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</si>
  <si>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</si>
  <si>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</si>
  <si>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</si>
  <si>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</si>
  <si>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</si>
  <si>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</si>
  <si>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</si>
  <si>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</si>
  <si>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</si>
  <si>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</si>
  <si>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</si>
  <si>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</si>
  <si>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</si>
  <si>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</si>
  <si>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HIDROAL S.A.</t>
  </si>
  <si>
    <t>HIDROMET</t>
  </si>
  <si>
    <t>HIERROS "JR" SRL</t>
  </si>
  <si>
    <t>HIERROS NACHO SRL</t>
  </si>
  <si>
    <t>HIERROTODO SA</t>
  </si>
  <si>
    <t xml:space="preserve">HIGH TEC ELECTRONICA </t>
  </si>
  <si>
    <t>HIPERPLASTICOS COLOMBRARO</t>
  </si>
  <si>
    <t>HORA FLET</t>
  </si>
  <si>
    <t>HOSPIMED SA</t>
  </si>
  <si>
    <t>HTS AR SA</t>
  </si>
  <si>
    <t>HUAMAN REYES WILLIAMS ALEX</t>
  </si>
  <si>
    <t xml:space="preserve">HUGO DE STEFANO </t>
  </si>
  <si>
    <t>HUMMENE TEXTIL S.A.</t>
  </si>
  <si>
    <t>HURLINGAS S.RL.</t>
  </si>
  <si>
    <t>I.N.T.I.</t>
  </si>
  <si>
    <t>IASSA SEGURIDAD</t>
  </si>
  <si>
    <t>IDAN SRL</t>
  </si>
  <si>
    <t>IFM ELECTRONIC  SRL</t>
  </si>
  <si>
    <t>IMPONET S.A.</t>
  </si>
  <si>
    <t>INCLUSUD</t>
  </si>
  <si>
    <t>INDAVER MIGUEL ANGEL</t>
  </si>
  <si>
    <t>INDEFLEX SA</t>
  </si>
  <si>
    <t>INDUSTRIA BAHIA S.A.</t>
  </si>
  <si>
    <t>INDUSTRIAL CONTROLES SRL</t>
  </si>
  <si>
    <t>TECNOLOGIA ELECTRODOMESTICOS E INSUMOS</t>
  </si>
  <si>
    <t>INDUSTRIAS FEMAN SRL</t>
  </si>
  <si>
    <t>INDUSTRIAS JQ S.A</t>
  </si>
  <si>
    <t>INDUSTRIAS MARTIN S.A.</t>
  </si>
  <si>
    <t>INGENIERIA GAMAR SA</t>
  </si>
  <si>
    <t>INOXIDABLES DEL SUR SA</t>
  </si>
  <si>
    <t>INSGHT GROUP SA.</t>
  </si>
  <si>
    <t>LANDRO FERNANDO GABRIEL</t>
  </si>
  <si>
    <t>INSUMARKET</t>
  </si>
  <si>
    <t>INSUMOS PLASTICOS SA</t>
  </si>
  <si>
    <t>INTEGRAL COMPRESION S.R.L.</t>
  </si>
  <si>
    <t>INTEGRAL MENDOZA S.A.</t>
  </si>
  <si>
    <t xml:space="preserve">INTEGRI SRL </t>
  </si>
  <si>
    <t>INTERCAFETAL SRL</t>
  </si>
  <si>
    <t>SANTA FE COMERCIAL SRL</t>
  </si>
  <si>
    <t>INTERCONTINENTAL CARGAS SRL</t>
  </si>
  <si>
    <t>CORPORACION SAN JUSTO SA</t>
  </si>
  <si>
    <t>INV. MINORISTA SA</t>
  </si>
  <si>
    <t xml:space="preserve">IRAOLA Y CIA SA </t>
  </si>
  <si>
    <t>IRIME SRL</t>
  </si>
  <si>
    <t>ITALOMED PRODUCTOS</t>
  </si>
  <si>
    <t>ITALSUR S.A.</t>
  </si>
  <si>
    <t xml:space="preserve">ITAR AMOBLAMIENTOS SRL </t>
  </si>
  <si>
    <t>ITPROUSER S.A.</t>
  </si>
  <si>
    <t>JANET W SA</t>
  </si>
  <si>
    <t>JARSE SA</t>
  </si>
  <si>
    <t>JAXTIL SOCIEDAD ANONIMA</t>
  </si>
  <si>
    <t>JBRUSCO</t>
  </si>
  <si>
    <t xml:space="preserve">JEFFERSON SUDAMERICANA SA </t>
  </si>
  <si>
    <t>JOEL GOMEZ BENITEZ</t>
  </si>
  <si>
    <t>JORGE MERIGGI E HIJOS SRL</t>
  </si>
  <si>
    <t>JORVICAL ACEROS SA</t>
  </si>
  <si>
    <t>JOSE LUI ARANA SRL</t>
  </si>
  <si>
    <t>ESTACION DE SERVICIOS LAURENCENA S R L</t>
  </si>
  <si>
    <t>JUAN B JUSTO 1333</t>
  </si>
  <si>
    <t>JUAN CARLOS AVALOS GRNACE</t>
  </si>
  <si>
    <t>JUAN CARLOS BOTINDARI</t>
  </si>
  <si>
    <t>JUAN CARLOS TABOADA</t>
  </si>
  <si>
    <t>JUAN D NAVARRO</t>
  </si>
  <si>
    <t>JUAN IGNACIO GARCIA</t>
  </si>
  <si>
    <t>JUAN MARTIN ALVAREZ</t>
  </si>
  <si>
    <t>JUAN PABLO ALONSO ABOGADO</t>
  </si>
  <si>
    <t>JUAN PABLO AYALA</t>
  </si>
  <si>
    <t>KALFAIAN HNOS. SRL</t>
  </si>
  <si>
    <t>KAMAY SRL</t>
  </si>
  <si>
    <t>KAMNIK SRL</t>
  </si>
  <si>
    <t>KARAKAS KIRIG</t>
  </si>
  <si>
    <t>KATEMBAL SRL</t>
  </si>
  <si>
    <t>KAVCIC SRL</t>
  </si>
  <si>
    <t>ONLINE MARKET SRL</t>
  </si>
  <si>
    <t>KEVORK TOUFENEDJIAN SA</t>
  </si>
  <si>
    <t xml:space="preserve">KINIG SMIT CLAUDIO GUSTAVO </t>
  </si>
  <si>
    <t>KINKA SA</t>
  </si>
  <si>
    <t>KLEM JOSE ALFREDO</t>
  </si>
  <si>
    <t>KNBA SRL</t>
  </si>
  <si>
    <t>KOMALIA SA</t>
  </si>
  <si>
    <t>LA CAMIONERA MENDOCINA SRL</t>
  </si>
  <si>
    <t>LA INDUSTRIAL ELECT. SA</t>
  </si>
  <si>
    <t>LA MERIDIONAL SEG. SA</t>
  </si>
  <si>
    <t xml:space="preserve">LAFONT SRL </t>
  </si>
  <si>
    <t>LAKAUT SA</t>
  </si>
  <si>
    <t>LANDRO RICARDO</t>
  </si>
  <si>
    <t>LARAIGNEE CARLOS HORACIO</t>
  </si>
  <si>
    <t>LASALVIA CARO MARIA BELEN</t>
  </si>
  <si>
    <t>LASERTEC INGENIERIA S.R.L.</t>
  </si>
  <si>
    <t>TABORDA DRA. NADIA J.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</si>
  <si>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</si>
  <si>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</si>
  <si>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</si>
  <si>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</si>
  <si>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</si>
  <si>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</si>
  <si>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</si>
  <si>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</si>
  <si>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</si>
  <si>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</si>
  <si>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CATALINAS</t>
  </si>
  <si>
    <t>LIBRERÍA DEL ONCE</t>
  </si>
  <si>
    <t>LIBRERÍA LOS PIBES</t>
  </si>
  <si>
    <t>LIBRERÍA PELUFFO SRL</t>
  </si>
  <si>
    <t>LIS GABRIEL HERNAN</t>
  </si>
  <si>
    <t>LISNIZER ISABEL JULIANA RUTH</t>
  </si>
  <si>
    <t xml:space="preserve">LIZA GOLD SA </t>
  </si>
  <si>
    <t>LNG OLIVIERI SA</t>
  </si>
  <si>
    <t>LOFI ON LINE</t>
  </si>
  <si>
    <t>LOFIEGO PEDRO ANTONIO</t>
  </si>
  <si>
    <t xml:space="preserve">LOFIEGO PEDRO ANTONIO </t>
  </si>
  <si>
    <t>LONCO HUE S.A</t>
  </si>
  <si>
    <t>LONGIVE SA</t>
  </si>
  <si>
    <t>LOPEZ ANGELA ROMINA</t>
  </si>
  <si>
    <t>LOPEZ JUAN MANUEL</t>
  </si>
  <si>
    <t>LORENZO A. TEJEDA S.C.A</t>
  </si>
  <si>
    <t>LUIS FAZIO E HIJOS SRL</t>
  </si>
  <si>
    <t>LUIS LUCANA YANCCE</t>
  </si>
  <si>
    <t>LUPO GUSTAVO ARTURO</t>
  </si>
  <si>
    <t>LUTERIA S.A.</t>
  </si>
  <si>
    <t xml:space="preserve">LUWAI SA </t>
  </si>
  <si>
    <t>MAQUINAS Y CONSUMIBLES S.A.</t>
  </si>
  <si>
    <t>MACROCAFE S.R.L.</t>
  </si>
  <si>
    <t>MACROPLAST SA</t>
  </si>
  <si>
    <t>MAKRO SA</t>
  </si>
  <si>
    <t>MALECKI OSCAR ANDRES</t>
  </si>
  <si>
    <t>MARCELO A. MUSMANNO</t>
  </si>
  <si>
    <t>MARCELO MMENAHEM</t>
  </si>
  <si>
    <t>MARIA ESPERANZA CORVALAN</t>
  </si>
  <si>
    <t>MARIA HAYDEE MOMDJIAN</t>
  </si>
  <si>
    <t>MARIA NATALIA OLIVERI</t>
  </si>
  <si>
    <t xml:space="preserve">MARIELA PIETRANGELO </t>
  </si>
  <si>
    <t>MARIÑO GERMAN</t>
  </si>
  <si>
    <t>MARIO JUAN SZWARC</t>
  </si>
  <si>
    <t>MARIO JUAN ZWARC - METALES</t>
  </si>
  <si>
    <t>MARIPEL S.A.</t>
  </si>
  <si>
    <t>MARKETCAR</t>
  </si>
  <si>
    <t xml:space="preserve">MARTIN CAVA </t>
  </si>
  <si>
    <t>MARTINO CARLOS ALBERTO</t>
  </si>
  <si>
    <t>MARTORELL CARLOS</t>
  </si>
  <si>
    <t>MASSUAR</t>
  </si>
  <si>
    <t>MAYCAR S.A</t>
  </si>
  <si>
    <t>MB Papeles SRL</t>
  </si>
  <si>
    <t>MBP PROVEEDORES INDUSTRIALES</t>
  </si>
  <si>
    <t>MD CARGAS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</si>
  <si>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</si>
  <si>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</si>
  <si>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</si>
  <si>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</si>
  <si>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</si>
  <si>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</si>
  <si>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MEGAH SRL</t>
  </si>
  <si>
    <t>MEGAPOL SUCESION DE PUPPIO J H</t>
  </si>
  <si>
    <t>MEGATOM SA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</si>
  <si>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</si>
  <si>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</si>
  <si>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</si>
  <si>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</si>
  <si>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</si>
  <si>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</si>
  <si>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</si>
  <si>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</si>
  <si>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MERMACO SA</t>
  </si>
  <si>
    <t>METALFORJA SRL</t>
  </si>
  <si>
    <t>METALURGICA ANTONINI SA</t>
  </si>
  <si>
    <t>METALURGICA KOLAR RODOLFO</t>
  </si>
  <si>
    <t>METALURGICA VICTORIA</t>
  </si>
  <si>
    <t>MGR IMPLANTES S.A</t>
  </si>
  <si>
    <t>MIATECH</t>
  </si>
  <si>
    <t>MICROELECTRONICA COMP. SRL</t>
  </si>
  <si>
    <t>MIGUEL CARLOS ACOSTA</t>
  </si>
  <si>
    <t>MIGUEL TOMA SACI</t>
  </si>
  <si>
    <t>MIRANDA ANTONIO MIGUEL</t>
  </si>
  <si>
    <t>MIRTA SUSANA AMERELLI</t>
  </si>
  <si>
    <t>MIRVAR SA</t>
  </si>
  <si>
    <t>MITSUKO ARGENTINA SRL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</si>
  <si>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</si>
  <si>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</si>
  <si>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</si>
  <si>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</si>
  <si>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MOLINOS RIO DE LA PLATA SA</t>
  </si>
  <si>
    <t>MONTENEGRO LUCIO FANDOR</t>
  </si>
  <si>
    <t>MORALES LUCAS HERNANDO</t>
  </si>
  <si>
    <t>MORELLI FRANCISCO</t>
  </si>
  <si>
    <t xml:space="preserve">MORON GOMA A </t>
  </si>
  <si>
    <t>MOTORVILLE SA</t>
  </si>
  <si>
    <t>Telefonica Moviles Argentina SA</t>
  </si>
  <si>
    <t>MR ALTER CORPORATION SRL</t>
  </si>
  <si>
    <t>MR CAVALIERI SA</t>
  </si>
  <si>
    <t>MULTI RADIO S.A</t>
  </si>
  <si>
    <t>MULTIPLES SRL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</si>
  <si>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</si>
  <si>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</si>
  <si>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</si>
  <si>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</si>
  <si>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</si>
  <si>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</si>
  <si>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NATURAL GAS SERVICE SRL</t>
  </si>
  <si>
    <t>NELIDA B. TAUMEHIMER</t>
  </si>
  <si>
    <t>NEOGAME SA</t>
  </si>
  <si>
    <t>NEPLASTIC SRL</t>
  </si>
  <si>
    <t>NESTLE ARG S.A</t>
  </si>
  <si>
    <t>NESTOR LUIS VINAGRE</t>
  </si>
  <si>
    <t>NEUMATICOS PILAR SRL</t>
  </si>
  <si>
    <t>NIC ARGENTINA</t>
  </si>
  <si>
    <t>TAMURA ROBERTO</t>
  </si>
  <si>
    <t xml:space="preserve">NICOLAS ARMANDO CENTURION </t>
  </si>
  <si>
    <t>NICOLAS LUCERO - CLINICA DISEÑO</t>
  </si>
  <si>
    <t>NICOTRONIC S.A.</t>
  </si>
  <si>
    <t>NOGUAL SRL</t>
  </si>
  <si>
    <t>TECNOLOGIA EN SEMICONDUCTORES S</t>
  </si>
  <si>
    <t>BADARACCO FRANCO ALEJANDRO ARIEL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</si>
  <si>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</si>
  <si>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</si>
  <si>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</si>
  <si>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</si>
  <si>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</si>
  <si>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</si>
  <si>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</si>
  <si>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</si>
  <si>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</si>
  <si>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</si>
  <si>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</si>
  <si>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</si>
  <si>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>NYLTEF SAICFI</t>
  </si>
  <si>
    <t>LIBRERÍA INTERNACIONAL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</si>
  <si>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</si>
  <si>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</si>
  <si>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</si>
  <si>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</si>
  <si>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</si>
  <si>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</si>
  <si>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</si>
  <si>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</si>
  <si>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</si>
  <si>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</si>
  <si>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</si>
  <si>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</si>
  <si>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OFIT SRL</t>
  </si>
  <si>
    <t>OGUS SH</t>
  </si>
  <si>
    <t>OHM S.R.L.</t>
  </si>
  <si>
    <t>OLGA REBRYK</t>
  </si>
  <si>
    <t>OLGUIN CAMILA LIDIA</t>
  </si>
  <si>
    <t>OLIVARES HNOS SA</t>
  </si>
  <si>
    <t>OMINT ART SA</t>
  </si>
  <si>
    <t>OMINT SA</t>
  </si>
  <si>
    <t>ONS SRL</t>
  </si>
  <si>
    <t>OPER. DE EST. DE SERV. SA</t>
  </si>
  <si>
    <t>OPER. DE EST. SERV. S.A.</t>
  </si>
  <si>
    <t>ORBIS MERTIG SAIC</t>
  </si>
  <si>
    <t>ORG COORDINADORA ARG SRL</t>
  </si>
  <si>
    <t>ORIGEN BEBE S.A.</t>
  </si>
  <si>
    <t>ORTIZ DE GUINEA DIEGO</t>
  </si>
  <si>
    <t>ORTOPEDIA GULLONE SRL</t>
  </si>
  <si>
    <t>ORTOPEDICOS ALFOLATEX S.A</t>
  </si>
  <si>
    <t>ORTOPEDICOS SAN ANDRES SRL</t>
  </si>
  <si>
    <t>OSPADEP</t>
  </si>
  <si>
    <t xml:space="preserve">OTERO NORTE SRL </t>
  </si>
  <si>
    <t>OTTO BOCK ARG. S.A</t>
  </si>
  <si>
    <t>OUTLANDISH SRL</t>
  </si>
  <si>
    <t>OXIGENO DORREGO</t>
  </si>
  <si>
    <t>OYOLI SA</t>
  </si>
  <si>
    <t>PABLO DANIEL SPADAVACCHIA</t>
  </si>
  <si>
    <t>PAESANO CARLOS CHAVEZ RUBEN SH</t>
  </si>
  <si>
    <t>PAN AMERICAN  ENERGY LLC. SUC.</t>
  </si>
  <si>
    <t>PAN AMERICAN ENERGY LLC</t>
  </si>
  <si>
    <t>PANTYMED S.A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</si>
  <si>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</si>
  <si>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</si>
  <si>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</si>
  <si>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</si>
  <si>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</si>
  <si>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</si>
  <si>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</si>
  <si>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</si>
  <si>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</si>
  <si>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PATRICIA MARCELA RIZZI</t>
  </si>
  <si>
    <t>PELUSO DANIELA ANGELICA</t>
  </si>
  <si>
    <t>PENSO CLAUDIO</t>
  </si>
  <si>
    <t>ALBERTO IVAN SIRTAUTAS</t>
  </si>
  <si>
    <t>PEREZ GUSTAVO FABIAN</t>
  </si>
  <si>
    <t xml:space="preserve">PEREZ HORACIO HUGO </t>
  </si>
  <si>
    <t>PERFILES Y TECNO SRL</t>
  </si>
  <si>
    <t>PERILLI ALEJANDRO ADRIAN</t>
  </si>
  <si>
    <t xml:space="preserve">PETIT CABILDO </t>
  </si>
  <si>
    <t>PETLIFE S.A.</t>
  </si>
  <si>
    <t>PEUGEOT CITROEN ARG SA</t>
  </si>
  <si>
    <t>PICOLILLO R Y OTROS</t>
  </si>
  <si>
    <t>PIETRUSZKA ALBERTO</t>
  </si>
  <si>
    <t>PILKINGTON AUTOMOTIVE SA</t>
  </si>
  <si>
    <t xml:space="preserve">PINDELEC SA </t>
  </si>
  <si>
    <t>PINTO LEONEL EMILIANO</t>
  </si>
  <si>
    <t xml:space="preserve">PINTURERIA REX </t>
  </si>
  <si>
    <t>PINTURERIA</t>
  </si>
  <si>
    <t>PINTURERIAS PRESTIGIO SA</t>
  </si>
  <si>
    <t>PINTURERIAS SAGITARIO SA</t>
  </si>
  <si>
    <t>PLIN METAL SA</t>
  </si>
  <si>
    <t>POBERAJ SA</t>
  </si>
  <si>
    <t>POLISKY DANIEL HERNAN</t>
  </si>
  <si>
    <t>POLYFILM SRL</t>
  </si>
  <si>
    <t>PORTA GUSTAVO Y PORTA M. SH</t>
  </si>
  <si>
    <t>PORTAL SACI</t>
  </si>
  <si>
    <t>POSTA PILAR SA</t>
  </si>
  <si>
    <t>POTENZA ALEJANDRA CRISTINA</t>
  </si>
  <si>
    <t>CASATI ENRIQUE ARIEL</t>
  </si>
  <si>
    <t>POWER SITE SA</t>
  </si>
  <si>
    <t>POWER TEKNIC S.A.</t>
  </si>
  <si>
    <t>PRENTEX</t>
  </si>
  <si>
    <t>PRETE ROSSO SA</t>
  </si>
  <si>
    <t>PRINCIPE SRL.</t>
  </si>
  <si>
    <t>PRIND-CO SRL</t>
  </si>
  <si>
    <t>PRO. CA. TA. SRL.</t>
  </si>
  <si>
    <t>PRODUCTOS ELECTRONICOS SRL</t>
  </si>
  <si>
    <t>PROSMARTS S.R.L.</t>
  </si>
  <si>
    <t>PROVEFRIO SRL</t>
  </si>
  <si>
    <t>PROYECCION PUBLICIDAD SRL</t>
  </si>
  <si>
    <t xml:space="preserve">PYFER SA </t>
  </si>
  <si>
    <t>QUAGLIA EDIT LUJAN</t>
  </si>
  <si>
    <t>QUIMICA OESTE S.A.</t>
  </si>
  <si>
    <t>RABE CRISTIAN ALEJANDRO C</t>
  </si>
  <si>
    <t>RADRIZZANI GABRIELA</t>
  </si>
  <si>
    <t>MEVAVE SAS</t>
  </si>
  <si>
    <t>RAFAEL KURZROK</t>
  </si>
  <si>
    <t>RAICO SA</t>
  </si>
  <si>
    <t>GTOS MENSAJERIA</t>
  </si>
  <si>
    <t>RAKE SA</t>
  </si>
  <si>
    <t>RALDUA SILVIA CECILIA</t>
  </si>
  <si>
    <t>RAMIREZEI SRL</t>
  </si>
  <si>
    <t>MUEBLES Y UTILES</t>
  </si>
  <si>
    <t>RANDOM SISTEM SRL.</t>
  </si>
  <si>
    <t xml:space="preserve">RAPOSO GERARDO ANSELMO </t>
  </si>
  <si>
    <t>RC RADIOLOGIA CASTELAR SRL</t>
  </si>
  <si>
    <t>RECUBRIMIENTOS COLOR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</si>
  <si>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</si>
  <si>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</si>
  <si>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</si>
  <si>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</si>
  <si>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</si>
  <si>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</si>
  <si>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</si>
  <si>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</si>
  <si>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</si>
  <si>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</si>
  <si>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RERIFE SA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</si>
  <si>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</si>
  <si>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</si>
  <si>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</si>
  <si>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</si>
  <si>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</si>
  <si>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</si>
  <si>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</si>
  <si>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>RIO 265 SRL</t>
  </si>
  <si>
    <t>GTOS VARIOS-ESTACIONAMIENTO HORACIO</t>
  </si>
  <si>
    <t xml:space="preserve">RIO DE JANEIRO SA </t>
  </si>
  <si>
    <t>RIOS GOMEZ JOSE ANTONIO</t>
  </si>
  <si>
    <t xml:space="preserve">RIOS RUBEN ALBERTO </t>
  </si>
  <si>
    <t>RITTAL SA</t>
  </si>
  <si>
    <t>RIVADAVIA 2550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</si>
  <si>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</si>
  <si>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</si>
  <si>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</si>
  <si>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</si>
  <si>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</si>
  <si>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</si>
  <si>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ROCCO LILIANA Y ROCCO GRAC. SH</t>
  </si>
  <si>
    <t>RODADOS UNIVERSO SRL</t>
  </si>
  <si>
    <t>RODOLFO O MEYER</t>
  </si>
  <si>
    <t>RODONES SERGIO RAMON</t>
  </si>
  <si>
    <t>RODRIGUEZ DE LA FUEN HECTOR MARCELO</t>
  </si>
  <si>
    <t>Honorarios Administrativos-Cobranzas y Gestion Clientes</t>
  </si>
  <si>
    <t>RODRIGUEZ JOSE LUIS Y RAFAEL</t>
  </si>
  <si>
    <t>ROGER  WILCO S.R.L.</t>
  </si>
  <si>
    <t>ROLANDO IVAN LEONEL</t>
  </si>
  <si>
    <t>ROLON LUIS ALBERTO</t>
  </si>
  <si>
    <t>ROMAN CARLOS ANTONIO</t>
  </si>
  <si>
    <t>ROMAN Y TERPIN SH</t>
  </si>
  <si>
    <t>ROSIGNUOLO BEATRIZ</t>
  </si>
  <si>
    <t>MENTA GRANIZADA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</si>
  <si>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</si>
  <si>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</si>
  <si>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</si>
  <si>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</si>
  <si>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</si>
  <si>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</si>
  <si>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</si>
  <si>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</si>
  <si>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SALOMON MARIA ELENA</t>
  </si>
  <si>
    <t>SALPARK SRL</t>
  </si>
  <si>
    <t>SALUD TEX S.A</t>
  </si>
  <si>
    <t>SAN MIGUEL JOSE MARCELO</t>
  </si>
  <si>
    <t xml:space="preserve">SANCHEZ GAMARRA CANDIDA </t>
  </si>
  <si>
    <t>SANIGE SANITARIOS SRL</t>
  </si>
  <si>
    <t>SARJUR SA</t>
  </si>
  <si>
    <t>SAUBIETTE ANDREA KARINA</t>
  </si>
  <si>
    <t>SCI S.RL.</t>
  </si>
  <si>
    <t>SCIS SA.</t>
  </si>
  <si>
    <t>SEMICONDUC. Y COMPON. SRL</t>
  </si>
  <si>
    <t>SEMM ACOMPAÑANTES DE SALUD SA</t>
  </si>
  <si>
    <t>SENASA SA</t>
  </si>
  <si>
    <t>SENDECO</t>
  </si>
  <si>
    <t>SERGIO TREPAT AUTOMOVILES S.A.</t>
  </si>
  <si>
    <t>SERV. SALUD MENTAL SRL</t>
  </si>
  <si>
    <t>SERVICE OESTE GNC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</si>
  <si>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</si>
  <si>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</si>
  <si>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</si>
  <si>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</si>
  <si>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</si>
  <si>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</si>
  <si>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</si>
  <si>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</si>
  <si>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</si>
  <si>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</si>
  <si>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</si>
  <si>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</si>
  <si>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</si>
  <si>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</si>
  <si>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SOLUCIONES TECNICAS GENERALES</t>
  </si>
  <si>
    <t>SOMMIERCENTER</t>
  </si>
  <si>
    <t>SOMOZA JUAN JOSE Y PALMA CAR</t>
  </si>
  <si>
    <t>SOSA MIRIAM DEL CARMEN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</si>
  <si>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</si>
  <si>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</si>
  <si>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</si>
  <si>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</si>
  <si>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</si>
  <si>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</si>
  <si>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</si>
  <si>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</si>
  <si>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</si>
  <si>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</si>
  <si>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</si>
  <si>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SUELOCOR S.R.L.</t>
  </si>
  <si>
    <t>SULDAL SA</t>
  </si>
  <si>
    <t xml:space="preserve">SULTANI VICTOR JOSE </t>
  </si>
  <si>
    <t>SUPER NUEVA COLON SRL</t>
  </si>
  <si>
    <t>SUR LOGISTICA Y DISTRIBUCION</t>
  </si>
  <si>
    <t>SURIANO S.A.</t>
  </si>
  <si>
    <t>SUTIL SILVIA EDITH</t>
  </si>
  <si>
    <t>SWISS MEDICAL S.A.</t>
  </si>
  <si>
    <t>SYMONDS SA.</t>
  </si>
  <si>
    <t xml:space="preserve">SZYRMAN ROMINA 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</si>
  <si>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</si>
  <si>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</si>
  <si>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</si>
  <si>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</si>
  <si>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</si>
  <si>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</si>
  <si>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</si>
  <si>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TEBY SRL</t>
  </si>
  <si>
    <t>TECNIPRAX S.R.L.</t>
  </si>
  <si>
    <t>TECNO BAZAR SRL</t>
  </si>
  <si>
    <t xml:space="preserve">TECNO BAZAR SRL </t>
  </si>
  <si>
    <t>TECNOAUTOMAT</t>
  </si>
  <si>
    <t>TEKNOVENTILACION SRL</t>
  </si>
  <si>
    <t>TELECENTRO SA</t>
  </si>
  <si>
    <t>TELECOM ARG SA</t>
  </si>
  <si>
    <t>TELECOM ARG. S.A.</t>
  </si>
  <si>
    <t>TELECOM ARGENTINA SA</t>
  </si>
  <si>
    <t>TELEFONICA DE ARG S.A.</t>
  </si>
  <si>
    <t>TELEFONICA MOVILES ARG</t>
  </si>
  <si>
    <t>TELMEX ARGENTINA S.A.</t>
  </si>
  <si>
    <t>TERMINACIONES GRAFICAS SA</t>
  </si>
  <si>
    <t>TEXTIL ESPARTILLO SA.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</si>
  <si>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</si>
  <si>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</si>
  <si>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</si>
  <si>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</si>
  <si>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</si>
  <si>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</si>
  <si>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</si>
  <si>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</si>
  <si>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</si>
  <si>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</si>
  <si>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</si>
  <si>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</si>
  <si>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</si>
  <si>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</si>
  <si>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</si>
  <si>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</si>
  <si>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</si>
  <si>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</si>
  <si>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</si>
  <si>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</si>
  <si>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</si>
  <si>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</si>
  <si>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</si>
  <si>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</si>
  <si>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</si>
  <si>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</si>
  <si>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</si>
  <si>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</si>
  <si>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</si>
  <si>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LIBECOM SRL</t>
  </si>
  <si>
    <t>TYDAL SRL</t>
  </si>
  <si>
    <t>UBR S.A</t>
  </si>
  <si>
    <t>UNIFORMES SA</t>
  </si>
  <si>
    <t>UNION AGRICOLA DE AVELALNEDA COOP LTDA</t>
  </si>
  <si>
    <t>UPS de ARGENTINA SA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</si>
  <si>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</si>
  <si>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</si>
  <si>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</si>
  <si>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</si>
  <si>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</si>
  <si>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</si>
  <si>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</si>
  <si>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VENTO HUGO GABRIEL</t>
  </si>
  <si>
    <t>VERA RICARDO</t>
  </si>
  <si>
    <t>VERBA GERMAN WALTER</t>
  </si>
  <si>
    <t>VERGARA COMBUSTIBLES SRL</t>
  </si>
  <si>
    <t>VERONICA RECKITT</t>
  </si>
  <si>
    <t>VERTOLINI NORBERTO LUIS</t>
  </si>
  <si>
    <t>VETERINARIA JUAREZ</t>
  </si>
  <si>
    <t>VIA BARILOCHE SA</t>
  </si>
  <si>
    <t>VIA CARGO SA</t>
  </si>
  <si>
    <t>VICTOR DI GISI E HIJOS SA</t>
  </si>
  <si>
    <t>VICTOR HERNAN PAZZI</t>
  </si>
  <si>
    <t>VICTOR HUGO WASSOUF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</si>
  <si>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</si>
  <si>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</si>
  <si>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</si>
  <si>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</si>
  <si>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</si>
  <si>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</si>
  <si>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</si>
  <si>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</si>
  <si>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</si>
  <si>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 xml:space="preserve">VORTICE TECNO </t>
  </si>
  <si>
    <t>VOSTOKE CONSTRUC SA</t>
  </si>
  <si>
    <t>VTV CABA SA.</t>
  </si>
  <si>
    <t>VTV METROPOLITANA SA</t>
  </si>
  <si>
    <t>OLOCCO JUAN ADRIAN</t>
  </si>
  <si>
    <t>WAINMANN PABLO MARIANO</t>
  </si>
  <si>
    <t>WAY COMPUTER S.R.L.</t>
  </si>
  <si>
    <t>WESTAFLEX SA ARGENTINA</t>
  </si>
  <si>
    <t>YAGMOUR SRL</t>
  </si>
  <si>
    <t>YAPAY SRL</t>
  </si>
  <si>
    <t>YEL S.R.L.</t>
  </si>
  <si>
    <t>YOCARANT S.A.</t>
  </si>
  <si>
    <t>YPF SA</t>
  </si>
  <si>
    <t>AFIP</t>
  </si>
  <si>
    <t>Despacho Impo</t>
  </si>
  <si>
    <t>LONGO CLAUDIO OSCAR</t>
  </si>
  <si>
    <t>IGLESIAS MARTIN NAHUEL</t>
  </si>
  <si>
    <t>DONATO ANTONACCI E HIJOS SRL</t>
  </si>
  <si>
    <t>PROYECTO22 SA</t>
  </si>
  <si>
    <t>A.S &amp; S.A</t>
  </si>
  <si>
    <t>PASION DISTRIBUCIONES SRL</t>
  </si>
  <si>
    <t>EVENTO</t>
  </si>
  <si>
    <t>TECNO POINT</t>
  </si>
  <si>
    <t>ESPACIO DE INNOVACION SRL</t>
  </si>
  <si>
    <t>IGNACIO JOSE SAUER</t>
  </si>
  <si>
    <t xml:space="preserve">TIENDA SUR </t>
  </si>
  <si>
    <t xml:space="preserve">SUMINISTROS Y TUBERIAS </t>
  </si>
  <si>
    <t>FEDERAL EXPRESS CORPORATION</t>
  </si>
  <si>
    <t>ELINDAR SRL</t>
  </si>
  <si>
    <t>COMPONENTES ELECTRICOS SA</t>
  </si>
  <si>
    <t>VAZQUEZ DANIEL OSCAR</t>
  </si>
  <si>
    <t xml:space="preserve">SHOW STORE </t>
  </si>
  <si>
    <t>ROLLS Y EMPANADAS SA</t>
  </si>
  <si>
    <t>CATERING</t>
  </si>
  <si>
    <t>AC EASTWAY SA</t>
  </si>
  <si>
    <t>EMPRENDIMIENTOS L&amp;L SRL</t>
  </si>
  <si>
    <t>GALEANO QUIÑONEZ ROQUE EULOGIO</t>
  </si>
  <si>
    <t>GASTOS LIBRERÍA</t>
  </si>
  <si>
    <t>EMANUEL LEHMANN</t>
  </si>
  <si>
    <t>CORREAS AUTO-CORD SA</t>
  </si>
  <si>
    <t>MEDICI SILVIA ALICIA</t>
  </si>
  <si>
    <t>RUIZ FERNANDO JAVIER</t>
  </si>
  <si>
    <t>COCHERA</t>
  </si>
  <si>
    <t>GILBARCO LATIN AMERICA SRL</t>
  </si>
  <si>
    <t>SE TEK SERVICIOS INTEGRALES SA</t>
  </si>
  <si>
    <t>GERK &amp; CIA S.A.</t>
  </si>
  <si>
    <t>ELECTRO IND SRL</t>
  </si>
  <si>
    <t>OPORTUTEK</t>
  </si>
  <si>
    <t>MARCELLINO ESTELA ELISA</t>
  </si>
  <si>
    <t>LORENZO TOOLS</t>
  </si>
  <si>
    <t>ELECTROLAND TECNOLOGIA SRL</t>
  </si>
  <si>
    <t>TIENDA PEPINO</t>
  </si>
  <si>
    <t>DI FEO HORACIO</t>
  </si>
  <si>
    <t>ESTACIO DE SERVICIO YPF</t>
  </si>
  <si>
    <t>CITILAN ARGENTINA SA</t>
  </si>
  <si>
    <t>SERVICIOS INTERNET</t>
  </si>
  <si>
    <t>GS REPRESENTACIONES SRL</t>
  </si>
  <si>
    <t>LUPERCIO MARTIN DARIO</t>
  </si>
  <si>
    <t>LASARTE HNOS SRL</t>
  </si>
  <si>
    <t>NOVA INFORMATICA S A</t>
  </si>
  <si>
    <t>KURIABE S. A.</t>
  </si>
  <si>
    <t>ALVAREZ DO BOMFIM HERNAN</t>
  </si>
  <si>
    <t>ROUSSEAU PABLO ANDRES</t>
  </si>
  <si>
    <t>KITA S.R.L.</t>
  </si>
  <si>
    <t>NAKAIMA SERGIO ADRIAN</t>
  </si>
  <si>
    <t>GARCIA ESTEBAN HERNAN</t>
  </si>
  <si>
    <t>ABELEDO ENRIQUE</t>
  </si>
  <si>
    <t xml:space="preserve">AMARILLA PEDRO ANTONIO </t>
  </si>
  <si>
    <t>LOPEZ LEONARDO ANTONIO</t>
  </si>
  <si>
    <t>BOGGINO MAXIMILIANO HERNAN</t>
  </si>
  <si>
    <t xml:space="preserve">VITALE GRACIELA </t>
  </si>
  <si>
    <t xml:space="preserve">POLILUX MERCOSUR SRL </t>
  </si>
  <si>
    <t>ASM MOTOS SRL</t>
  </si>
  <si>
    <t>SK DISTRIBUTORS S.R.L.</t>
  </si>
  <si>
    <t>EL BAZAR DIGITAL .COM S.R.L.</t>
  </si>
  <si>
    <t>LIMA CAPITAO SRL</t>
  </si>
  <si>
    <t xml:space="preserve">KENNEL SEBASTIAN </t>
  </si>
  <si>
    <t>RIAL PABLO EMANUEL</t>
  </si>
  <si>
    <t>ALTOS DEL VALLE SRL</t>
  </si>
  <si>
    <t>MARIA ELSA FARFAN</t>
  </si>
  <si>
    <t>BANCHERO SANITARIOS SA</t>
  </si>
  <si>
    <t>PEREMATEU GASTON</t>
  </si>
  <si>
    <t>CONTERGAS SA</t>
  </si>
  <si>
    <t>COMERCIAL BAHIA BLANCA SA</t>
  </si>
  <si>
    <t>GOMEZ MIGUEL ANGEL OMAR</t>
  </si>
  <si>
    <t>REPUESTO AUTO</t>
  </si>
  <si>
    <t>BIG MARKET</t>
  </si>
  <si>
    <t>DONATO ALFREDO ENRIQUE Y PENSEL FRANCISCO JAVIER SH</t>
  </si>
  <si>
    <t>LA JUNIOR SRL</t>
  </si>
  <si>
    <t>SUMINISTROS WHITE SA</t>
  </si>
  <si>
    <t>VIVALDA FABIAN VITO</t>
  </si>
  <si>
    <t>Espacio Marketing SRL</t>
  </si>
  <si>
    <t>ESPACIO ELECTRONICA</t>
  </si>
  <si>
    <t xml:space="preserve">GASTOS COMPUTACION </t>
  </si>
  <si>
    <t>MF GROUP CONSULTORES ESPECIALIZADOS S.R.L</t>
  </si>
  <si>
    <t>MISTER KOOK ONLINE</t>
  </si>
  <si>
    <t>DISTRIBUIDORA BIG BANG VIP SRL</t>
  </si>
  <si>
    <t>FEOLI MARCELO OMAR</t>
  </si>
  <si>
    <t>EVA MAGIC SA</t>
  </si>
  <si>
    <t>LUQUE ADRIAN ULISES</t>
  </si>
  <si>
    <t>HALUZA ANDRES</t>
  </si>
  <si>
    <t>NICKNAT SRL</t>
  </si>
  <si>
    <t>ABAKSHA SRL</t>
  </si>
  <si>
    <t>LBM HOME &amp; HOTEL S.A.</t>
  </si>
  <si>
    <t>DE LUCA SUSANA MARGARITA</t>
  </si>
  <si>
    <t xml:space="preserve">OUTDOOR EXTREMO </t>
  </si>
  <si>
    <t>FCG ENERGIA SRL</t>
  </si>
  <si>
    <t xml:space="preserve">MULTIPOINT </t>
  </si>
  <si>
    <t xml:space="preserve">COMPRA DE CELULAR </t>
  </si>
  <si>
    <t>ABADI SEBASTIAN</t>
  </si>
  <si>
    <t xml:space="preserve">CASA MENENDEZ </t>
  </si>
  <si>
    <t>FERRETERIA</t>
  </si>
  <si>
    <t>CAPRI SA</t>
  </si>
  <si>
    <t>Los Tres Reyes SAS</t>
  </si>
  <si>
    <t>HUMANA ROSANA LORENA</t>
  </si>
  <si>
    <t>MEDRANO CONSTRUCCIONES SA</t>
  </si>
  <si>
    <t>Ferreteria</t>
  </si>
  <si>
    <t>GATES ARGENTINA SA</t>
  </si>
  <si>
    <t>COMPAÑÍA MARTEC SA</t>
  </si>
  <si>
    <t>ALVAREZ SERGIO DANIEL</t>
  </si>
  <si>
    <t>LEONARDO ANDRES TOBIO Y CAROLINA ALJANDRA TOBIO SH</t>
  </si>
  <si>
    <t>SIDERPLAST SA</t>
  </si>
  <si>
    <t>Mantenimiento-Baños Oficina</t>
  </si>
  <si>
    <t>DOUBLE G</t>
  </si>
  <si>
    <t>MASTER LEADER MUNDIAL S.A.</t>
  </si>
  <si>
    <t>LINKEDSTORE ARGENTINA S.R.L.</t>
  </si>
  <si>
    <t>MACHADO ELIANA NOEMI</t>
  </si>
  <si>
    <t>Mantenimiento-Sillones Oficina</t>
  </si>
  <si>
    <t>SABELLI ARIEL OSCAR</t>
  </si>
  <si>
    <t>TAXI</t>
  </si>
  <si>
    <t>DHARMA DE SANTOS Y VACCARO</t>
  </si>
  <si>
    <t>FERRETERIA DEL PARQUE</t>
  </si>
  <si>
    <t>COLUS FERNANDO CARLOS</t>
  </si>
  <si>
    <t>NUBBEO SRL</t>
  </si>
  <si>
    <t>VENTISERVICE SRL</t>
  </si>
  <si>
    <t>NEOTRENDS</t>
  </si>
  <si>
    <t>ADATTO MARCELO ADRIAN</t>
  </si>
  <si>
    <t xml:space="preserve">SILICONBAIRES SRL </t>
  </si>
  <si>
    <t xml:space="preserve">Compra de monitor samsung </t>
  </si>
  <si>
    <t>E-LABSHOP</t>
  </si>
  <si>
    <t>FEMEN SA</t>
  </si>
  <si>
    <t>CARRO PORTA HERRAMIENTAS</t>
  </si>
  <si>
    <t>TOTAL HOME SA</t>
  </si>
  <si>
    <t>LAZARTE PALAZIOL, SEBASTIAN OSCAR</t>
  </si>
  <si>
    <t>CARLOS ANDRETICH SA</t>
  </si>
  <si>
    <t>SOLUCIONES MRO S A I C</t>
  </si>
  <si>
    <t>LOPEZ PAOLO ANTONIO</t>
  </si>
  <si>
    <t>DISTRIBUIDOR TOTAL MAYORISTA Y ASOCIADOS S.R.L.</t>
  </si>
  <si>
    <t>INSTRUMENTAL PASTEUR S R L</t>
  </si>
  <si>
    <t>FIORENTINO JORGE IGNACIO</t>
  </si>
  <si>
    <t>FIRST LABEL SRL</t>
  </si>
  <si>
    <t>OLEOHIDRAULICA CAMINO S.A.</t>
  </si>
  <si>
    <t>PIETRANTUONO SALVADOR</t>
  </si>
  <si>
    <t>INDUSTRIAL LIZONDO SAS</t>
  </si>
  <si>
    <t>VERZINO GUSTAVO ARIEL</t>
  </si>
  <si>
    <t>PAHR GUSTAVO ORLANDO</t>
  </si>
  <si>
    <t>DOMINGUEZ LAGANA GONZALO FABIAN</t>
  </si>
  <si>
    <t>SHOPNOW SRL</t>
  </si>
  <si>
    <t>HIDRAULICA FENIX S.A.</t>
  </si>
  <si>
    <t>SERVIGAS SA</t>
  </si>
  <si>
    <t>GONZALEZ MATIAS LIONEL</t>
  </si>
  <si>
    <t>DULBECO INYECCION</t>
  </si>
  <si>
    <t>MUEBLES LA JUANA SA</t>
  </si>
  <si>
    <t>NEUMATICOS CORRAL SA</t>
  </si>
  <si>
    <t>Mantenimiento-Auto</t>
  </si>
  <si>
    <t>DAMARFU SA</t>
  </si>
  <si>
    <t>Roberto A Caffaro</t>
  </si>
  <si>
    <t>MOPAS Y PRODUCTOS SRL</t>
  </si>
  <si>
    <t>DITECAR SA</t>
  </si>
  <si>
    <t>Mantenimiento auto</t>
  </si>
  <si>
    <t>ACOSTA MARIA EUGENIA</t>
  </si>
  <si>
    <t>TRIANDA SA</t>
  </si>
  <si>
    <t>FAVARA SA</t>
  </si>
  <si>
    <t>MITE DECO</t>
  </si>
  <si>
    <t>FIGARO CARLA SILVINA</t>
  </si>
  <si>
    <t>CRAFTERS ARG SAS</t>
  </si>
  <si>
    <t>MARTIN LUNGARZO</t>
  </si>
  <si>
    <t>ALEGRE MARIA JULIETA</t>
  </si>
  <si>
    <t>OCE INTERNACIONAL SA</t>
  </si>
  <si>
    <t>FLUODINAMICA S A</t>
  </si>
  <si>
    <t>30-70094095-7</t>
  </si>
  <si>
    <t>UPS DE ARGENTINA S A</t>
  </si>
  <si>
    <t>CABRERA SERGIO GABRIEL</t>
  </si>
  <si>
    <t>CREMONTE GUSTAVO RICARDO</t>
  </si>
  <si>
    <t>Servicios juridicos</t>
  </si>
  <si>
    <t>ITUARTE ANA DANIELA VANESA</t>
  </si>
  <si>
    <t>CARRASCO GUSTAVO ALBERTO</t>
  </si>
  <si>
    <t>GARCIA SOLCA GASTON ALEXIS</t>
  </si>
  <si>
    <t>MENEHEM MOHAMED ARIEL</t>
  </si>
  <si>
    <t>WELCOMETANO SRL</t>
  </si>
  <si>
    <t>SUPERFOTO SRL</t>
  </si>
  <si>
    <t>FLORES  VIDARTE DIANA ESMERALD</t>
  </si>
  <si>
    <t>LIAO YU TING</t>
  </si>
  <si>
    <t>LO PRIMO SA</t>
  </si>
  <si>
    <t>SERVICIOS DE ALMACENAMIENTO Y DEPOSITO</t>
  </si>
  <si>
    <t>LOGISTICA SAONA SRL</t>
  </si>
  <si>
    <t>ARTURI RAUL</t>
  </si>
  <si>
    <t>TUTTO CERAMICAS SRL</t>
  </si>
  <si>
    <t xml:space="preserve">MATERIALES CONSTRUCCION </t>
  </si>
  <si>
    <t xml:space="preserve">ALISSING </t>
  </si>
  <si>
    <t>THE GLIMMER TWINS S.R.L.</t>
  </si>
  <si>
    <t>FRANKFULL S.R.L</t>
  </si>
  <si>
    <t>FAS MOTOS</t>
  </si>
  <si>
    <t>BENSABAT GRACIELA NOEMI</t>
  </si>
  <si>
    <t>DIGITAL SALE SRL</t>
  </si>
  <si>
    <t>PEDRO CALDERON DE LA BARCA 614</t>
  </si>
  <si>
    <t>ELECTRO TOOLS SRL</t>
  </si>
  <si>
    <t>FUERTES DAMIAN MATIAS</t>
  </si>
  <si>
    <t>BELOTTI JUAN PABLO</t>
  </si>
  <si>
    <t>2G RACING SRL</t>
  </si>
  <si>
    <t>GNC MAIPU S.A</t>
  </si>
  <si>
    <t>CICCOLO LEONARDO DAMIAN</t>
  </si>
  <si>
    <t>GRUPO BABYSTORE S.R.L.</t>
  </si>
  <si>
    <t>IT BROKERS S.A.</t>
  </si>
  <si>
    <t>DUAITEK SRL</t>
  </si>
  <si>
    <t>ANTONIO LUQUIN S A C I F E I</t>
  </si>
  <si>
    <t>DANSKY ULLMANN VIVIANA EVA YOLANDA</t>
  </si>
  <si>
    <t>CHAMEN LAIR EILAN</t>
  </si>
  <si>
    <t>MUGELLO SRL</t>
  </si>
  <si>
    <t>TORRES IADAROLA JULIANA</t>
  </si>
  <si>
    <t>CASELEIRO ARIEL FERNANDO</t>
  </si>
  <si>
    <t>LEMATE SA</t>
  </si>
  <si>
    <t>RIOS ALDANA SOFIA</t>
  </si>
  <si>
    <t>DE BONIS IGNACIO LUIS</t>
  </si>
  <si>
    <t>FERABOLI OSPAL SANTIAGO HERNAN</t>
  </si>
  <si>
    <t>LEAL FUENTES FRANCISCO JAVIER</t>
  </si>
  <si>
    <t>LIPANOVICH JUAN CRUZ</t>
  </si>
  <si>
    <t>2BK SRL</t>
  </si>
  <si>
    <t>PROINCO SA</t>
  </si>
  <si>
    <t>OTELLO SA</t>
  </si>
  <si>
    <t>NORMA CARRERA Y ANDRES PLANT S.S.</t>
  </si>
  <si>
    <t>TREJO MARTIN DANIEL</t>
  </si>
  <si>
    <t>SHREMWOOD S.R.L.</t>
  </si>
  <si>
    <t>GRIDEL WALTER DIEGO</t>
  </si>
  <si>
    <t>NEXT SERVICE GNC S.R.L.</t>
  </si>
  <si>
    <t>CARDENAS TORRES CARLOS DAVID</t>
  </si>
  <si>
    <t>DIGAS SRL</t>
  </si>
  <si>
    <t>IMPORTADORA FOTOGRAFICA SA</t>
  </si>
  <si>
    <t>LONCO HUE SA</t>
  </si>
  <si>
    <t>MALAGA GROUP SRL</t>
  </si>
  <si>
    <t>NEUMATICOS VERONA SA</t>
  </si>
  <si>
    <t>VELASCO LEIVA DEMIAN</t>
  </si>
  <si>
    <t>DISTRI AIRES SRL</t>
  </si>
  <si>
    <t>DANIEL Y LUCIO RIAL SOCIEDAD SIMPLE</t>
  </si>
  <si>
    <t>QUIWI SRL</t>
  </si>
  <si>
    <t>DERPLO SA</t>
  </si>
  <si>
    <t>CAISEN S.R.L.</t>
  </si>
  <si>
    <t>PEREZ SEBASTIAN LUCAS</t>
  </si>
  <si>
    <t>STERLING TRADE S.R.L.</t>
  </si>
  <si>
    <t>ASOCIACION MUTUAL PARA EL PERSONAL Y-O ADHERENTE DE LA DGI, MINISTERIO DE ECONOMIA, MINISTERIO DE TR</t>
  </si>
  <si>
    <t>SALAS  ARIEL ALFREDO</t>
  </si>
  <si>
    <t>UDACHI SRL</t>
  </si>
  <si>
    <t>BOJORGE ROMINA VALERIA</t>
  </si>
  <si>
    <t>COMERCIAL MGM SRL</t>
  </si>
  <si>
    <t>ARCHMAR SRL</t>
  </si>
  <si>
    <t>DIXON TOOLS SA</t>
  </si>
  <si>
    <t>DELTAGAS SA</t>
  </si>
  <si>
    <t>NAYA COMUNICACIONES SA</t>
  </si>
  <si>
    <t>NEGOCIOS E INVERSIONES INMOBILIARIAS S A</t>
  </si>
  <si>
    <t>NEO GROUP S.A.</t>
  </si>
  <si>
    <t>NERY JAVIER AIMLE</t>
  </si>
  <si>
    <t>NESTOR PABLO MATARASSO</t>
  </si>
  <si>
    <t>NETCONS S.A.</t>
  </si>
  <si>
    <t>NEYCI</t>
  </si>
  <si>
    <t>NICARAGUA 5001 S.R.L.</t>
  </si>
  <si>
    <t>NICATEL S.R.L.</t>
  </si>
  <si>
    <t>NICOLAS REPETTO 1289 S.R.L.</t>
  </si>
  <si>
    <t>NIETO FACUNDO JOSE</t>
  </si>
  <si>
    <t>NIPPOM EXTREME TEHNOLOGY S.A.</t>
  </si>
  <si>
    <t>NOBS S.A.</t>
  </si>
  <si>
    <t>NOE DRUCKER SOCIEDAD ANONIMA</t>
  </si>
  <si>
    <t>NOMAD FOOD SRL</t>
  </si>
  <si>
    <t>NORFRIG SRL</t>
  </si>
  <si>
    <t>NORTE - MARTIN S.R.L.</t>
  </si>
  <si>
    <t>NORWALK  S A</t>
  </si>
  <si>
    <t>NORWALK S.A.</t>
  </si>
  <si>
    <t>NUEVA COSTANERA SRL</t>
  </si>
  <si>
    <t>NUEVA SERRANIA S R L</t>
  </si>
  <si>
    <t>NUÑEZ AUTOS S.A.</t>
  </si>
  <si>
    <t>OBISPO SA</t>
  </si>
  <si>
    <t>OBLIGADO 7070 S.R.L.</t>
  </si>
  <si>
    <t>OBRAS PRIVADAS S.R.L.</t>
  </si>
  <si>
    <t>OJEDA ISMAEL NESTOR</t>
  </si>
  <si>
    <t>OLD ROPE S.R.L.</t>
  </si>
  <si>
    <t>OLD ROPE SRL</t>
  </si>
  <si>
    <t xml:space="preserve">OLGUIN CAMILA LIDIA </t>
  </si>
  <si>
    <t>OLIVERA VICTOR MANUEL</t>
  </si>
  <si>
    <t>OMEGA III S R L</t>
  </si>
  <si>
    <t>OPEN CLUB SRL</t>
  </si>
  <si>
    <t>OPERADORA FERROVIARIA SOCIEDAD DEL ESTADO</t>
  </si>
  <si>
    <t>ORBIS MERTIG SAN LUIS SAIC</t>
  </si>
  <si>
    <t>ORTIZ RICARDO ALFREDO</t>
  </si>
  <si>
    <t>ORUGA FILMS SA</t>
  </si>
  <si>
    <t>OSCAR BERNAL</t>
  </si>
  <si>
    <t>OSOPPO SA</t>
  </si>
  <si>
    <t>OSTERA LILIANA IRMA</t>
  </si>
  <si>
    <t>OSVALDO GAROFALO</t>
  </si>
  <si>
    <t>OTERO CARLOS ALBERTO</t>
  </si>
  <si>
    <t>P&amp;C ASOCIADOS SRL</t>
  </si>
  <si>
    <t>P.R.V. S.A.</t>
  </si>
  <si>
    <t xml:space="preserve">PABLO FERREYRA </t>
  </si>
  <si>
    <t>PACANROL</t>
  </si>
  <si>
    <t>PACO LAURA HUMBERTO JAIME</t>
  </si>
  <si>
    <t>PAEZ ESTEBAN</t>
  </si>
  <si>
    <t>PALERMO MATERIALES</t>
  </si>
  <si>
    <t>PALMISANO LUCIANO PABLO</t>
  </si>
  <si>
    <t>PAMPA LUNA S.A.</t>
  </si>
  <si>
    <t>PANZER S A</t>
  </si>
  <si>
    <t>PANZITTA HECTOR MIGUEL</t>
  </si>
  <si>
    <t>PARAMPARA S.A.</t>
  </si>
  <si>
    <t>PARASCO MARTA ADRIANA</t>
  </si>
  <si>
    <t>PARQUIZAR MANTELECTRIC I.C.I.S.A. - SES  S.A.  U.T.E.</t>
  </si>
  <si>
    <t xml:space="preserve">PASION DISTRIBUCIONES SRL </t>
  </si>
  <si>
    <t>PATAGONIA BEVERAGE SRL</t>
  </si>
  <si>
    <t>PATIÑO LAURA EUGENIA</t>
  </si>
  <si>
    <t>PAZZAGLIA MARIA SUSANA</t>
  </si>
  <si>
    <t>PEACE CITY FACTORY S.R.L.</t>
  </si>
  <si>
    <t>PECHO DORADO</t>
  </si>
  <si>
    <t>PEGRACE S.A.</t>
  </si>
  <si>
    <t>PENNISI OSVALDO DARIO</t>
  </si>
  <si>
    <t>PEÑA HUARITA RICARDO WALBERTO</t>
  </si>
  <si>
    <t>PEPE HUGO DANIEL</t>
  </si>
  <si>
    <t>PEREZ DIAZ MARIO ANGEL ADRIAN</t>
  </si>
  <si>
    <t>PEREZ HUGO JAVIER</t>
  </si>
  <si>
    <t>PEREZ JOSE ANTONIO</t>
  </si>
  <si>
    <t>PEREZ QUESADA LORENZO</t>
  </si>
  <si>
    <t>PEREZ SAEZ JOSE ANTONIO</t>
  </si>
  <si>
    <t xml:space="preserve">PERIK ANTONIO </t>
  </si>
  <si>
    <t>PERIK MARTIN HORACIO</t>
  </si>
  <si>
    <t>PERRO SALCHICHA S.A.</t>
  </si>
  <si>
    <t>PERSICO FEDERICO CARLOS</t>
  </si>
  <si>
    <t>PERZONALIZACIONES GROUP SA</t>
  </si>
  <si>
    <t xml:space="preserve">PESCHIERA HNOS </t>
  </si>
  <si>
    <t>PETRINI MONICA MERCEDES</t>
  </si>
  <si>
    <t>PINILLOS RODOLFO LEONARDO</t>
  </si>
  <si>
    <t>PINTO MARTIN LISANDRO</t>
  </si>
  <si>
    <t>PINTURA Y OBRA S.R.L.</t>
  </si>
  <si>
    <t>PIPER EDUARDO MIGUEL</t>
  </si>
  <si>
    <t>PIXEL CONSTRUCCIONES S.R.L.</t>
  </si>
  <si>
    <t>PIZZANI PABLO GABRIEL</t>
  </si>
  <si>
    <t>PLASTIFERRO INFRAESTRUCTURA SA</t>
  </si>
  <si>
    <t xml:space="preserve">PONCE CLAUDIA GRACIELA </t>
  </si>
  <si>
    <t>PONCE DE LEON</t>
  </si>
  <si>
    <t>POOSH SRL</t>
  </si>
  <si>
    <t>PORFIDO S.R.L.</t>
  </si>
  <si>
    <t>POSNET SRL</t>
  </si>
  <si>
    <t>POST MEDIA S.R.L.</t>
  </si>
  <si>
    <t>PRAMART SRL</t>
  </si>
  <si>
    <t>PRANERS S A</t>
  </si>
  <si>
    <t>PRIETO ALFREDO ANTONINO</t>
  </si>
  <si>
    <t>PRIETO PEDRO ALEJANDRO</t>
  </si>
  <si>
    <t>PRIOTTI NANCY MARIA</t>
  </si>
  <si>
    <t>PROANALISIS S.A.</t>
  </si>
  <si>
    <t>PROANALISIS SA</t>
  </si>
  <si>
    <t>PRODERA S.A.</t>
  </si>
  <si>
    <t>PRODUCCIONES LA MAQUINA SRL</t>
  </si>
  <si>
    <t>PRODUCIENTO ROPA</t>
  </si>
  <si>
    <t>PRONEW S.A.</t>
  </si>
  <si>
    <t>PROVEEDORA DE CARNE S.A.</t>
  </si>
  <si>
    <t>PROYECTOS DE COMUNICACIONES SA</t>
  </si>
  <si>
    <t>PUCHETA PABLO ANGEL</t>
  </si>
  <si>
    <t>PUEYRREDON 2042</t>
  </si>
  <si>
    <t>PUGLIESE FRANCICSCO PABLO A</t>
  </si>
  <si>
    <t>PUJANTE ALFREDO</t>
  </si>
  <si>
    <t>PUNTO DE FUGA S.R.L.</t>
  </si>
  <si>
    <t>PUNTO HOME S.R.L.</t>
  </si>
  <si>
    <t>QACTIONS SYSTEM S.R.L.</t>
  </si>
  <si>
    <t>QUEIJA S.A.</t>
  </si>
  <si>
    <t>QUIROZ NICOLAS ALBERTO</t>
  </si>
  <si>
    <t>QUITO 4242 SRL</t>
  </si>
  <si>
    <t>R LESCANO S R L</t>
  </si>
  <si>
    <t>RADIC MILENA ELIZABETH</t>
  </si>
  <si>
    <t>RADRIZZANI GABRIELA ALEJANDRA</t>
  </si>
  <si>
    <t>RAIMONDI ADRIANA LUISA</t>
  </si>
  <si>
    <t>RAIMONDI HORACIO ANGEL</t>
  </si>
  <si>
    <t>RANDO NICOLAS ALBERTO</t>
  </si>
  <si>
    <t>RCAVELL S.A.S.</t>
  </si>
  <si>
    <t>REDD S A C I A</t>
  </si>
  <si>
    <t>REINADO GONZALO HERNAN</t>
  </si>
  <si>
    <t>REMIBRE SRL</t>
  </si>
  <si>
    <t>REPETTO MIGUEL</t>
  </si>
  <si>
    <t>REPROFERT SRL</t>
  </si>
  <si>
    <t>REPUESTOS LA UNIVERSAL S A C I F E I</t>
  </si>
  <si>
    <t>RESTOJESUS S.A.</t>
  </si>
  <si>
    <t>REYCEL S.R.L.</t>
  </si>
  <si>
    <t>RICARDO LEOPOLDO Y ZULMA ARACELI MASCARETTI SOC DE HECHO</t>
  </si>
  <si>
    <t>RICHARDSOON DE HAENEN REMY</t>
  </si>
  <si>
    <t>RIMOLI EMILIANO JAVIER</t>
  </si>
  <si>
    <t>RINALDI GERARDO</t>
  </si>
  <si>
    <t>RINGO PUBLICIDAD S.R.L.</t>
  </si>
  <si>
    <t>RIO CHAIN S.R.L.</t>
  </si>
  <si>
    <t>RIOTORNO SRL</t>
  </si>
  <si>
    <t>RISSOLAR PILAR S.A.</t>
  </si>
  <si>
    <t>RODHESAL 96 S A</t>
  </si>
  <si>
    <t>RODRIGUEZ WALTER HERNAN</t>
  </si>
  <si>
    <t>ROLANDI LUCAS MARTIN</t>
  </si>
  <si>
    <t>ROLON JUAN PABLO</t>
  </si>
  <si>
    <t>ROMANO LEONARDO ALBERTO</t>
  </si>
  <si>
    <t>ROMARIO S R L</t>
  </si>
  <si>
    <t>ROMARIO S.R.L.</t>
  </si>
  <si>
    <t>ROMERO GRACIELA YOLANDA</t>
  </si>
  <si>
    <t>ROMERO WALTER ALEJANDRO</t>
  </si>
  <si>
    <t>ROSEDAL AUTOMOTORES SRL</t>
  </si>
  <si>
    <t>RUD SOLANGE MONICA</t>
  </si>
  <si>
    <t>RUIZ GUSTAVO ANDRES</t>
  </si>
  <si>
    <t>RUIZ LUIS ANGEL</t>
  </si>
  <si>
    <t>RULOLOGOS</t>
  </si>
  <si>
    <t>RUN BAR S.R.L.</t>
  </si>
  <si>
    <t>S A IMPORTADORA Y EXPORTADORA DE LA PATAGONIA</t>
  </si>
  <si>
    <t>S I S CONSTRUCCIONES S A</t>
  </si>
  <si>
    <t>SAAD FEDERICO</t>
  </si>
  <si>
    <t>SADEC</t>
  </si>
  <si>
    <t>SAJNIN CHRISTIAN DARIO</t>
  </si>
  <si>
    <t>SALADILLO S.A.</t>
  </si>
  <si>
    <t>SALMON TROUT SA</t>
  </si>
  <si>
    <t>SALTO DE EJE PRODUCCIONES S.R.L.</t>
  </si>
  <si>
    <t>SALVADOR 5801 S.A.</t>
  </si>
  <si>
    <t>SALVATIERRA JOSE MARIANO</t>
  </si>
  <si>
    <t>SAN MARCOS E.  S.A.</t>
  </si>
  <si>
    <t>SANABRIA S.A.</t>
  </si>
  <si>
    <t>SANCHEZ DIEGO HERNAN</t>
  </si>
  <si>
    <t>SANCHEZ POMA JOSE</t>
  </si>
  <si>
    <t>SANIOBRAS S.A.</t>
  </si>
  <si>
    <t>SANITARIOS GLOBAL S.A</t>
  </si>
  <si>
    <t>SANITY CARE INTERNACION DOMICILIARIA S.R.L.</t>
  </si>
  <si>
    <t>SANTILLAN LORENZO ANTONIO</t>
  </si>
  <si>
    <t>SANTORO CLAUDIO ALEJANDRO</t>
  </si>
  <si>
    <t>SAPIENZA S.R.L.</t>
  </si>
  <si>
    <t>SASSAROLI PAULA LILIAN</t>
  </si>
  <si>
    <t>SATRINCHA S.A.</t>
  </si>
  <si>
    <t>SAUL JACOBO ARIEL</t>
  </si>
  <si>
    <t>SAUL VICTOR BOROWSKI</t>
  </si>
  <si>
    <t>SC ACONCAGUA S.R.L.</t>
  </si>
  <si>
    <t>SCALA MARIA ANA</t>
  </si>
  <si>
    <t>SCANIA ARGENTINA S A U</t>
  </si>
  <si>
    <t>SCATTOLINI VIVIANA MARCELA</t>
  </si>
  <si>
    <t>SCHIAVONI PABLO MARCELO</t>
  </si>
  <si>
    <t>SCHULZ ALFREDO ANASTACIO</t>
  </si>
  <si>
    <t>SCHURMANN DANIEL RICARDO</t>
  </si>
  <si>
    <t>SEGGIARO MARCELA ANA</t>
  </si>
  <si>
    <t>SEHOS S.A.</t>
  </si>
  <si>
    <t>SEHOS SA</t>
  </si>
  <si>
    <t>SEINAR S.R.L.</t>
  </si>
  <si>
    <t>SELINA OPERATIONS ARGENTINA S.R.L.</t>
  </si>
  <si>
    <t>SENDOYA HECTOR AUGUSTO</t>
  </si>
  <si>
    <t>SES S.A.</t>
  </si>
  <si>
    <t>SES SA</t>
  </si>
  <si>
    <t>SEVASGO</t>
  </si>
  <si>
    <t>SHIMURA S.A.</t>
  </si>
  <si>
    <t>SIALLE HECTOR ALEJANDRO</t>
  </si>
  <si>
    <t>SID ANDREA MARCELA</t>
  </si>
  <si>
    <t>SIERRA DEL SUR S A</t>
  </si>
  <si>
    <t>SIGHMA GLOBAL SOLUTIONS S.R.L</t>
  </si>
  <si>
    <t>SILVESTRI JUAN PABLO</t>
  </si>
  <si>
    <t>SIMMONS DE ARGENTINA SAIC</t>
  </si>
  <si>
    <t>SIMONIAN ALBERTO MARCELO</t>
  </si>
  <si>
    <t>SINCLAIR 2929 SOCIEDAD ANONIMA</t>
  </si>
  <si>
    <t>SITZ GERMAN</t>
  </si>
  <si>
    <t>SOBRAL ADRIAN OSCAR</t>
  </si>
  <si>
    <t>SOCIEDAD ARGENTINA DE CARDIOLOGIA</t>
  </si>
  <si>
    <t>SOCIREP SOL SRL</t>
  </si>
  <si>
    <t>SOJO LUIS RICARDO</t>
  </si>
  <si>
    <t>SOLA CARLOS NORBERTO</t>
  </si>
  <si>
    <t>SOLER 5881 SRL</t>
  </si>
  <si>
    <t>SOLSAN SOCIEDAD ANONIMA</t>
  </si>
  <si>
    <t>SON DE OESTE S.R.L</t>
  </si>
  <si>
    <t>SOULTEC INDUSTRIAL SRL</t>
  </si>
  <si>
    <t>STALTARI ARIEL DOMINGO</t>
  </si>
  <si>
    <t>LEPORT SH DE PORTELA JORGE FERNANDO Y LEAL JORGE ANGEL</t>
  </si>
  <si>
    <t>TERFICO SA</t>
  </si>
  <si>
    <t>SATDJIAN GUSTAVO ARTURO</t>
  </si>
  <si>
    <t>ROVLAN S.A.</t>
  </si>
  <si>
    <t>PINTURERIAS MAFER SOCIEDAD ANONIMA</t>
  </si>
  <si>
    <t>ELECTRODESCUENTO S.A.</t>
  </si>
  <si>
    <t>LOMIR SA</t>
  </si>
  <si>
    <t>ORLANDO MARTIN ELIAS</t>
  </si>
  <si>
    <t>TAU DANIELA LEONOR</t>
  </si>
  <si>
    <t>LIPANOVICH MARIA SOL</t>
  </si>
  <si>
    <t>BIANCHI CRISTIAN MAXIMILIANO</t>
  </si>
  <si>
    <t>CURA BERNARDO</t>
  </si>
  <si>
    <t>SMUTT ERICA FERNANDA</t>
  </si>
  <si>
    <t>VINOLOGOS S.A.</t>
  </si>
  <si>
    <t>MR DOG GROUP S.A.</t>
  </si>
  <si>
    <t>STORAGE COMPAT S.A.</t>
  </si>
  <si>
    <t>BERTOLINA SPORTS SOCIEDAD POR ACCIONES SIMPLIFICADA</t>
  </si>
  <si>
    <t>MURIEGA CECILIA SOLEDAD</t>
  </si>
  <si>
    <t>ALDERETE GUILLERMO RAUL</t>
  </si>
  <si>
    <t>MAQUINAS E INSUMOS S.R.L.</t>
  </si>
  <si>
    <t>VESCOVO CARLOS EDUARDO</t>
  </si>
  <si>
    <t>SERVICIO INTEGRAL DE LIMPIEZA SRL</t>
  </si>
  <si>
    <t>UBINET S.A.</t>
  </si>
  <si>
    <t>BIKE GROUP SA</t>
  </si>
  <si>
    <t>ULTRALIGHT SRL</t>
  </si>
  <si>
    <t>RMAC SOCIEDAD ANONIMA</t>
  </si>
  <si>
    <t>INTERBAT SRL</t>
  </si>
  <si>
    <t>SANCHEZ DI MARE DANIEL FERNANDO</t>
  </si>
  <si>
    <t>HIERROS TORRENT S.A.</t>
  </si>
  <si>
    <t>TODOPLASTIC DE HECTOR HALABE Y OTROS</t>
  </si>
  <si>
    <t>PECTAGAR  S R L</t>
  </si>
  <si>
    <t>SICCBA S.R.L.</t>
  </si>
  <si>
    <t>SOBRINO LEANDRO HUGO</t>
  </si>
  <si>
    <t>COMPRESORES SERVICIO TECNICO S A</t>
  </si>
  <si>
    <t>DIONE S.A.</t>
  </si>
  <si>
    <t>HZ ELECTRICIDAD SRL</t>
  </si>
  <si>
    <t>HERRAMIENTAS DEL SUR S.A.</t>
  </si>
  <si>
    <t>COMEX MARIA SA</t>
  </si>
  <si>
    <t>TITAN SELLER S.R.L.</t>
  </si>
  <si>
    <t>FERNANDEZ NATALIA S. Y FERNANDEZ HERNAN P. S.H.</t>
  </si>
  <si>
    <t>DURAN MARCELO ALEJANDRO Y FIOROTTO AMERICO ANTONIO SH</t>
  </si>
  <si>
    <t>HIPERCOM SRL</t>
  </si>
  <si>
    <t>AGUJUL SRL</t>
  </si>
  <si>
    <t>GRUPO COLORADO SA</t>
  </si>
  <si>
    <t>BULONERA SUR S.A.</t>
  </si>
  <si>
    <t>EVALUACION MEDIOAMBIENTAL S.R.L.</t>
  </si>
  <si>
    <t>TC TIENDAS AR S.R.L.</t>
  </si>
  <si>
    <t>NORCEL STORE SRL</t>
  </si>
  <si>
    <t>LIBRO IVA COMPRAS</t>
  </si>
  <si>
    <t>CORITEC S.R.L.</t>
  </si>
  <si>
    <t xml:space="preserve">TOTAL COMPRAS </t>
  </si>
  <si>
    <t xml:space="preserve">TOTAL CREDITO FISCAL </t>
  </si>
  <si>
    <t>TOTAL VENTAS NETAS</t>
  </si>
  <si>
    <t>TOTAL DEBITO FISCAL</t>
  </si>
  <si>
    <t>RESULTADO</t>
  </si>
  <si>
    <t>no esta configurado para q esten en negativo</t>
  </si>
  <si>
    <t>FECHA</t>
  </si>
  <si>
    <t>TIPO</t>
  </si>
  <si>
    <t>PTO VTA</t>
  </si>
  <si>
    <t>NRO. CPTE</t>
  </si>
  <si>
    <t>NETO GRAVADO</t>
  </si>
  <si>
    <t>IVA 21 %</t>
  </si>
  <si>
    <t>IVA 27%</t>
  </si>
  <si>
    <t>IVA 10,5%</t>
  </si>
  <si>
    <t>PERC. IVA</t>
  </si>
  <si>
    <t>PERC IIBB 
BS AS</t>
  </si>
  <si>
    <t>PERC. IIBB CABA</t>
  </si>
  <si>
    <t>Otros / No Grav.</t>
  </si>
  <si>
    <t>TOTAL</t>
  </si>
  <si>
    <t>Provincia</t>
  </si>
  <si>
    <t>Total</t>
  </si>
  <si>
    <t>LIQUIDACION EXTRACTOS BANCARIOS-TARJETAS</t>
  </si>
  <si>
    <t>NRO CPTE</t>
  </si>
  <si>
    <t>BANCO</t>
  </si>
  <si>
    <t>NETO</t>
  </si>
  <si>
    <t>IVA 21%</t>
  </si>
  <si>
    <t>RET IIBB CABA</t>
  </si>
  <si>
    <t>PERC IVA</t>
  </si>
  <si>
    <t>PERC IIBB</t>
  </si>
  <si>
    <t xml:space="preserve">BANCO CREDICOOP </t>
  </si>
  <si>
    <t>Liq. Importacion</t>
  </si>
  <si>
    <t>617-475137</t>
  </si>
  <si>
    <t>617-474384</t>
  </si>
  <si>
    <t>VISA CREDITO</t>
  </si>
  <si>
    <t>FACTURAS C</t>
  </si>
  <si>
    <t>FC Nº</t>
  </si>
  <si>
    <t>TIPO DE GASTO</t>
  </si>
  <si>
    <t xml:space="preserve">LIBRO IVA VENTAS  </t>
  </si>
  <si>
    <t>VENTAS "A"</t>
  </si>
  <si>
    <t>PTO VENTA</t>
  </si>
  <si>
    <t>Nº FACTURA</t>
  </si>
  <si>
    <t>IMPORTE NETO</t>
  </si>
  <si>
    <t>EXENTO</t>
  </si>
  <si>
    <t>VENTAS "B"</t>
  </si>
  <si>
    <t xml:space="preserve">VENTAS EXPORTACION </t>
  </si>
  <si>
    <t>Nº FACTRA</t>
  </si>
  <si>
    <t>USD</t>
  </si>
  <si>
    <t>EUR</t>
  </si>
  <si>
    <t>T. CAMBIO</t>
  </si>
  <si>
    <t>RETENCIONES</t>
  </si>
  <si>
    <t xml:space="preserve">FECHA </t>
  </si>
  <si>
    <t>COMP Nº</t>
  </si>
  <si>
    <t>Columna1</t>
  </si>
  <si>
    <t>Ganancias</t>
  </si>
  <si>
    <t>IVA</t>
  </si>
  <si>
    <t>SUSS</t>
  </si>
  <si>
    <t>IIBB BSAS</t>
  </si>
  <si>
    <t>IIBB CABA</t>
  </si>
  <si>
    <t>no esta configurado para que este en negativo</t>
  </si>
  <si>
    <t>617-47869</t>
  </si>
  <si>
    <t>Liq. C. i. Vista (mostrador)</t>
  </si>
  <si>
    <t>617-478691</t>
  </si>
  <si>
    <t>947-86</t>
  </si>
  <si>
    <t>Cobro Exportacion</t>
  </si>
  <si>
    <t>AMEX</t>
  </si>
  <si>
    <t>617-484161</t>
  </si>
  <si>
    <t>Liq. C.i. vista (mostrador)</t>
  </si>
  <si>
    <t>Liq.Registracion</t>
  </si>
  <si>
    <t>Liq. Pagos Anticipados</t>
  </si>
  <si>
    <t>Liq. MSD</t>
  </si>
  <si>
    <t>Anticipos- Fin ext</t>
  </si>
  <si>
    <t>TOTAL PESOS</t>
  </si>
  <si>
    <t>NSYA Ltd.</t>
  </si>
  <si>
    <t>TVAJA CNG s.r.o</t>
  </si>
  <si>
    <t>617-489658000</t>
  </si>
  <si>
    <t>Liq. C. i Vista (mostrador)</t>
  </si>
  <si>
    <t>617-489599000</t>
  </si>
  <si>
    <t>617-488742000</t>
  </si>
  <si>
    <t>993-721000</t>
  </si>
  <si>
    <t>Seg. permisos embarque</t>
  </si>
  <si>
    <t>01/08/2022</t>
  </si>
  <si>
    <t>05/08/2022</t>
  </si>
  <si>
    <t>16/08/2022</t>
  </si>
  <si>
    <t>22/08/2022</t>
  </si>
  <si>
    <t>25/08/2022</t>
  </si>
  <si>
    <t>Anticipos - Fin Ext</t>
  </si>
  <si>
    <t>617-492518000</t>
  </si>
  <si>
    <t>Liq. Pagos Antic.</t>
  </si>
  <si>
    <t>Extracto Credicoop</t>
  </si>
  <si>
    <t>01/09/2022</t>
  </si>
  <si>
    <t>05/09/2022</t>
  </si>
  <si>
    <t>06/09/2022</t>
  </si>
  <si>
    <t>08/09/2022</t>
  </si>
  <si>
    <t>16/09/2022</t>
  </si>
  <si>
    <t>19/09/2022</t>
  </si>
  <si>
    <t>20/09/2022</t>
  </si>
  <si>
    <t>21/09/2022</t>
  </si>
  <si>
    <t>26/09/2022</t>
  </si>
  <si>
    <t>27/09/2022</t>
  </si>
  <si>
    <t>29/09/2022</t>
  </si>
  <si>
    <t>14/09/2022</t>
  </si>
  <si>
    <t>30-49</t>
  </si>
  <si>
    <t>no se subieron a afip</t>
  </si>
  <si>
    <t>825-834187</t>
  </si>
  <si>
    <t>Liq. Comision por Nominacion</t>
  </si>
  <si>
    <t>100-2027</t>
  </si>
  <si>
    <t>Seguim. Permisos de Embarque</t>
  </si>
  <si>
    <t>100-1708</t>
  </si>
  <si>
    <t>Importacion-Oficializacion</t>
  </si>
  <si>
    <t>Extracto visa</t>
  </si>
  <si>
    <t xml:space="preserve">EXTRACTO </t>
  </si>
  <si>
    <t>03/10/2022</t>
  </si>
  <si>
    <t>04/10/2022</t>
  </si>
  <si>
    <t>17/10/2022</t>
  </si>
  <si>
    <t>20/10/2022</t>
  </si>
  <si>
    <t>21/10/2022</t>
  </si>
  <si>
    <t>26/10/2022</t>
  </si>
  <si>
    <t>27/10/2022</t>
  </si>
  <si>
    <t>VENTAS Exportacion</t>
  </si>
  <si>
    <t>CUIT PAIS</t>
  </si>
  <si>
    <t>TOTAL USD</t>
  </si>
  <si>
    <t>TOTAL $$$</t>
  </si>
  <si>
    <t>PAIS</t>
  </si>
  <si>
    <t>AGREGADAS A AFIP</t>
  </si>
  <si>
    <t>02/11/2022</t>
  </si>
  <si>
    <t>14/11/2022</t>
  </si>
  <si>
    <t>29/11/2022</t>
  </si>
  <si>
    <t>10/11/2022</t>
  </si>
  <si>
    <t>15/11/2022</t>
  </si>
  <si>
    <t>24/11/2022</t>
  </si>
  <si>
    <t>09/11/2022</t>
  </si>
  <si>
    <t>16/11/2022</t>
  </si>
  <si>
    <t>30/11/2022</t>
  </si>
  <si>
    <t>01/11/2022</t>
  </si>
  <si>
    <t>23/11/2022</t>
  </si>
  <si>
    <t>03/11/2022</t>
  </si>
  <si>
    <t>21/11/2022</t>
  </si>
  <si>
    <t>07/11/2022</t>
  </si>
  <si>
    <t>06/11/2022</t>
  </si>
  <si>
    <t>19/11/2022</t>
  </si>
  <si>
    <t>22/11/2022</t>
  </si>
  <si>
    <t>28/11/2022</t>
  </si>
  <si>
    <t>11/11/2022</t>
  </si>
  <si>
    <t>17/11/2022</t>
  </si>
  <si>
    <t>04/11/2022</t>
  </si>
  <si>
    <t>6111-43</t>
  </si>
  <si>
    <t>LIQ. Comision por NOMINACION</t>
  </si>
  <si>
    <t>1006-98</t>
  </si>
  <si>
    <t>SEGUIMIENTO PERMISOS DE EMBARQUE</t>
  </si>
  <si>
    <t>825-836307</t>
  </si>
  <si>
    <t>972-595</t>
  </si>
  <si>
    <t>COMISION POR AFECTACION SAOFE</t>
  </si>
  <si>
    <t>972-594</t>
  </si>
  <si>
    <t>825-8357771</t>
  </si>
  <si>
    <t>Bienes Exportados</t>
  </si>
  <si>
    <t>1004-96</t>
  </si>
  <si>
    <t>825-835113</t>
  </si>
  <si>
    <t>825-834908</t>
  </si>
  <si>
    <t>972-539</t>
  </si>
  <si>
    <t>Extracto VISA</t>
  </si>
  <si>
    <t>22001IC04247048Z</t>
  </si>
  <si>
    <t>OFICIALIZACION IMPO AFIP</t>
  </si>
  <si>
    <t>TIENEN IVA EN AFIP</t>
  </si>
  <si>
    <t>CONTROLAR CON AFIP</t>
  </si>
  <si>
    <t>GRIFOS ESPINOZA SA</t>
  </si>
  <si>
    <t>GAS FUTURO SISTEMAS</t>
  </si>
  <si>
    <t>no da el total</t>
  </si>
  <si>
    <t>BCO CREDICOOP</t>
  </si>
  <si>
    <t>825-839508</t>
  </si>
  <si>
    <t>Anticipos- Fin Ext</t>
  </si>
  <si>
    <t>617-500366</t>
  </si>
  <si>
    <t>LIC. C.i Vista (mostrador)</t>
  </si>
  <si>
    <t>825-838413</t>
  </si>
  <si>
    <t>Anticipos-Fin Ext</t>
  </si>
  <si>
    <t>Tarjeta visa</t>
  </si>
  <si>
    <t>01/12/2022</t>
  </si>
  <si>
    <t>29/12/2022</t>
  </si>
  <si>
    <t>22/12/2022</t>
  </si>
  <si>
    <t>05/12/2022</t>
  </si>
  <si>
    <t xml:space="preserve">Total </t>
  </si>
  <si>
    <t>hay q cargar bcos a afip</t>
  </si>
  <si>
    <t>101-2415</t>
  </si>
  <si>
    <t>SEGUIMIENTO PERMISOS EMBARQUE</t>
  </si>
  <si>
    <t>617-502104</t>
  </si>
  <si>
    <t>LIQ. C.i. Vista</t>
  </si>
  <si>
    <t>ya estan agregados</t>
  </si>
  <si>
    <t>Extracto Visa</t>
  </si>
  <si>
    <t>825-845406</t>
  </si>
  <si>
    <t>Ant - Fin Ext</t>
  </si>
  <si>
    <t>101-812</t>
  </si>
  <si>
    <t>Seguimiento permisos de embarque</t>
  </si>
  <si>
    <t>101-8121</t>
  </si>
  <si>
    <t>101-8118</t>
  </si>
  <si>
    <t>617-505358</t>
  </si>
  <si>
    <t>Liq. C.i Vista</t>
  </si>
  <si>
    <t>EXTRACTO</t>
  </si>
  <si>
    <t>TOTAL BANCOS</t>
  </si>
  <si>
    <t>s</t>
  </si>
  <si>
    <t xml:space="preserve">quedo del mes pasado </t>
  </si>
  <si>
    <t>617-508800000</t>
  </si>
  <si>
    <t>BCO CREDICOOP (LIQ C.I. MOSTRADOR)</t>
  </si>
  <si>
    <t>858-845933000</t>
  </si>
  <si>
    <t>ANTIC.-FIN EXT</t>
  </si>
  <si>
    <t>VISA CREDICOOP</t>
  </si>
  <si>
    <t>BALANCE GRUPO RIDIGAS 2022 - CPRAS S/LIBRO IVA</t>
  </si>
  <si>
    <t>SERVICIOS GAS, LUZ, ETC</t>
  </si>
  <si>
    <t>Regalos Empresariales</t>
  </si>
  <si>
    <t>PERC IIBB BS AS</t>
  </si>
  <si>
    <t>PERC IIBB CABA</t>
  </si>
  <si>
    <t>PROVEEDORES</t>
  </si>
  <si>
    <t>BALANCE GRUPO RIDIGAS 2021 - VENTAS S/LIBRO IVA</t>
  </si>
  <si>
    <t>Caja</t>
  </si>
  <si>
    <t>Iva DF</t>
  </si>
  <si>
    <t>Ventas "A"</t>
  </si>
  <si>
    <t>Ventas "B"</t>
  </si>
  <si>
    <t>Mantenimiento Rodados</t>
  </si>
  <si>
    <t>Gastos Oficina</t>
  </si>
  <si>
    <t>Fotograbados</t>
  </si>
  <si>
    <t>ISO 9001</t>
  </si>
  <si>
    <t>Honorarios Profesionales</t>
  </si>
  <si>
    <t>Control medidores masicos</t>
  </si>
  <si>
    <t>Servicios Informatica</t>
  </si>
  <si>
    <t>30-67877449-5</t>
  </si>
  <si>
    <t>Servicios Juridicos?</t>
  </si>
  <si>
    <t>Servicios de Publicidad</t>
  </si>
  <si>
    <t>PRIMALCO SA</t>
  </si>
  <si>
    <t>ESPOSITO PABLO JOSE</t>
  </si>
  <si>
    <t>BIKE CLUB SRL</t>
  </si>
  <si>
    <t xml:space="preserve">Papeleria e Impresos </t>
  </si>
  <si>
    <t>mantenimiento</t>
  </si>
  <si>
    <t>ASOCIACION DE IMPORTADORES Y EXPORTADORES DE LA REPUBLICA ARGENTINA</t>
  </si>
  <si>
    <t>NO GRAVADO</t>
  </si>
  <si>
    <t>GASTOS OFICINA</t>
  </si>
  <si>
    <t>SERVICIO</t>
  </si>
  <si>
    <t>FOTOGRABADOS</t>
  </si>
  <si>
    <t>HONORARIOS LEGALES</t>
  </si>
  <si>
    <t>SERVICIOS DE PUBLICIDAD</t>
  </si>
  <si>
    <t>BIENES DE USO</t>
  </si>
  <si>
    <t>EQ COMPUTACION</t>
  </si>
  <si>
    <t>SOFTWARE MANTENIMIENTO</t>
  </si>
  <si>
    <t>Servicios Torneria</t>
  </si>
  <si>
    <t>Software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</si>
</sst>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##\-########\-#"/>
    <numFmt numFmtId="167" formatCode="[$-C0A]mmmm\-yy"/>
    <numFmt numFmtId="168" formatCode="[$$-2C0A]\ #,##0.00;\-[$$-2C0A]\ #,##0.00"/>
    <numFmt numFmtId="169" formatCode="_-[$$-2C0A]\ * #,##0.00_-;\-[$$-2C0A]\ * #,##0.00_-;_-[$$-2C0A]\ * &quot;-&quot;??_-;_-@"/>
    <numFmt numFmtId="170" formatCode="&quot;$&quot;\ #,##0.00;&quot;$&quot;\ \-#,##0.00"/>
    <numFmt numFmtId="171" formatCode="dd\-mm\-yy"/>
    <numFmt numFmtId="172" formatCode="000"/>
    <numFmt numFmtId="173" formatCode="0000"/>
    <numFmt numFmtId="174" formatCode="00000000"/>
    <numFmt numFmtId="175" formatCode="#,##0.00_ ;[Red]\-#,##0.00\ "/>
    <numFmt numFmtId="176" formatCode="dd\-mm\-yyyy"/>
    <numFmt numFmtId="177" formatCode="d/mm/yyyy"/>
    <numFmt numFmtId="178" formatCode="#,##0.000"/>
    <numFmt numFmtId="179" formatCode="_-* #,##0.00_-;\-* #,##0.00_-;_-* &quot;-&quot;??_-;_-@"/>
    <numFmt numFmtId="180" formatCode="_ * #,##0.00_ ;_ * \-#,##0.00_ ;_ * &quot;-&quot;??_ ;_ @_ "/>
    <numFmt numFmtId="181" formatCode="0.000"/>
    <numFmt numFmtId="182" formatCode="_ &quot;$&quot;\ * #,##0.00_ ;_ &quot;$&quot;\ * \-#,##0.00_ ;_ &quot;$&quot;\ * &quot;-&quot;??_ ;_ @_ 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sz val="11"/>
      <name val="Calibri"/>
      <family val="2"/>
    </font>
    <font>
      <b/>
      <sz val="22"/>
      <color theme="0"/>
      <name val="Calibri"/>
      <family val="2"/>
    </font>
    <font>
      <b/>
      <sz val="13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Calibri"/>
      <family val="2"/>
    </font>
    <font>
      <b/>
      <sz val="24"/>
      <color theme="0"/>
      <name val="Calibri"/>
      <family val="2"/>
    </font>
    <font>
      <b/>
      <sz val="22"/>
      <color theme="1"/>
      <name val="Arial"/>
      <family val="2"/>
    </font>
    <font>
      <b/>
      <sz val="14"/>
      <color theme="0"/>
      <name val="Calibri"/>
      <family val="2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sz val="9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6C09"/>
        <bgColor rgb="FFE36C09"/>
      </patternFill>
    </fill>
    <fill>
      <patternFill patternType="solid">
        <fgColor rgb="FF76923C"/>
        <bgColor rgb="FF76923C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CCFF99"/>
        <bgColor rgb="FFCCFF99"/>
      </patternFill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  <fill>
      <patternFill patternType="solid">
        <fgColor rgb="FF4F6128"/>
        <bgColor rgb="FF4F6128"/>
      </patternFill>
    </fill>
    <fill>
      <patternFill patternType="solid">
        <fgColor rgb="FFD6E3BC"/>
        <bgColor rgb="FFD6E3BC"/>
      </patternFill>
    </fill>
    <fill>
      <patternFill patternType="solid">
        <fgColor rgb="FFFFFF99"/>
        <bgColor rgb="FFFFFF99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  <fill>
      <patternFill patternType="solid">
        <fgColor rgb="FFFBD4B4"/>
        <bgColor rgb="FFFBD4B4"/>
      </patternFill>
    </fill>
    <fill>
      <patternFill patternType="solid">
        <fgColor rgb="FFFF99FF"/>
        <bgColor rgb="FFFF99FF"/>
      </patternFill>
    </fill>
    <fill>
      <patternFill patternType="solid">
        <fgColor theme="6"/>
        <bgColor theme="6"/>
      </patternFill>
    </fill>
    <fill>
      <patternFill patternType="solid">
        <fgColor rgb="FFB6DDE8"/>
        <bgColor rgb="FFB6DDE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theme="2"/>
        <bgColor rgb="FFB6DDE8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5117038483843"/>
        <bgColor theme="0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9">
    <xf numFmtId="0" fontId="0" fillId="0" borderId="0"/>
    <xf numFmtId="0" fontId="1" fillId="0" borderId="4"/>
    <xf numFmtId="44" fontId="1" fillId="0" borderId="4" applyFont="0" applyFill="0" applyBorder="0" applyAlignment="0" applyProtection="0"/>
    <xf numFmtId="0" fontId="26" fillId="30" borderId="4" applyNumberFormat="0" applyBorder="0" applyAlignment="0" applyProtection="0"/>
    <xf numFmtId="0" fontId="27" fillId="0" borderId="4"/>
    <xf numFmtId="0" fontId="27" fillId="0" borderId="4"/>
    <xf numFmtId="0" fontId="26" fillId="29" borderId="4" applyNumberFormat="0" applyBorder="0" applyAlignment="0" applyProtection="0"/>
    <xf numFmtId="0" fontId="27" fillId="0" borderId="4"/>
    <xf numFmtId="0" fontId="1" fillId="33" borderId="55" applyAlignment="0">
      <alignment horizontal="center" vertical="center"/>
    </xf>
    <xf numFmtId="0" fontId="29" fillId="31" borderId="4" applyNumberFormat="0" applyBorder="0" applyAlignment="0" applyProtection="0"/>
    <xf numFmtId="180" fontId="27" fillId="0" borderId="4" applyFont="0" applyFill="0" applyBorder="0" applyAlignment="0" applyProtection="0"/>
    <xf numFmtId="182" fontId="1" fillId="0" borderId="4" applyFont="0" applyFill="0" applyBorder="0" applyAlignment="0" applyProtection="0"/>
    <xf numFmtId="0" fontId="28" fillId="32" borderId="4" applyNumberFormat="0" applyBorder="0" applyAlignment="0" applyProtection="0"/>
    <xf numFmtId="0" fontId="27" fillId="0" borderId="4"/>
    <xf numFmtId="0" fontId="27" fillId="0" borderId="4"/>
    <xf numFmtId="0" fontId="1" fillId="0" borderId="4"/>
    <xf numFmtId="0" fontId="31" fillId="34" borderId="4" applyNumberFormat="0" applyBorder="0" applyAlignment="0" applyProtection="0"/>
    <xf numFmtId="165" fontId="30" fillId="0" borderId="4" applyFont="0" applyFill="0" applyBorder="0" applyAlignment="0" applyProtection="0"/>
    <xf numFmtId="0" fontId="32" fillId="35" borderId="4" applyNumberFormat="0" applyBorder="0" applyAlignment="0" applyProtection="0"/>
    <xf numFmtId="0" fontId="27" fillId="0" borderId="4"/>
    <xf numFmtId="164" fontId="1" fillId="0" borderId="4" applyFont="0" applyFill="0" applyBorder="0" applyAlignment="0" applyProtection="0"/>
    <xf numFmtId="0" fontId="6" fillId="0" borderId="4"/>
    <xf numFmtId="0" fontId="6" fillId="0" borderId="4"/>
    <xf numFmtId="164" fontId="1" fillId="0" borderId="4" applyFont="0" applyFill="0" applyBorder="0" applyAlignment="0" applyProtection="0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</cellStyleXfs>
  <cellXfs count="385">
    <xf numFmtId="0" fontId="0" fillId="0" borderId="0" xfId="0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/>
    <xf numFmtId="0" fontId="8" fillId="0" borderId="0" xfId="0" applyFont="1"/>
    <xf numFmtId="0" fontId="10" fillId="0" borderId="0" xfId="0" applyFont="1"/>
    <xf numFmtId="0" fontId="3" fillId="0" borderId="0" xfId="0" applyFont="1" applyAlignment="1">
      <alignment wrapText="1"/>
    </xf>
    <xf numFmtId="171" fontId="11" fillId="0" borderId="0" xfId="0" applyNumberFormat="1" applyFont="1" applyAlignment="1">
      <alignment horizontal="center" vertical="center"/>
    </xf>
    <xf numFmtId="172" fontId="11" fillId="0" borderId="0" xfId="0" applyNumberFormat="1" applyFont="1" applyAlignment="1">
      <alignment horizontal="center" vertical="center"/>
    </xf>
    <xf numFmtId="173" fontId="11" fillId="0" borderId="0" xfId="0" applyNumberFormat="1" applyFont="1" applyAlignment="1">
      <alignment horizontal="center" vertical="center"/>
    </xf>
    <xf numFmtId="174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0" fontId="12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center" vertical="center" wrapText="1"/>
    </xf>
    <xf numFmtId="40" fontId="11" fillId="10" borderId="1" xfId="0" applyNumberFormat="1" applyFont="1" applyFill="1" applyBorder="1" applyAlignment="1">
      <alignment horizontal="center" vertical="center" wrapText="1"/>
    </xf>
    <xf numFmtId="40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40" fontId="12" fillId="0" borderId="0" xfId="0" applyNumberFormat="1" applyFont="1" applyAlignment="1">
      <alignment vertical="center"/>
    </xf>
    <xf numFmtId="171" fontId="11" fillId="12" borderId="1" xfId="0" applyNumberFormat="1" applyFont="1" applyFill="1" applyBorder="1" applyAlignment="1">
      <alignment horizontal="center" vertical="center"/>
    </xf>
    <xf numFmtId="172" fontId="11" fillId="12" borderId="1" xfId="0" applyNumberFormat="1" applyFont="1" applyFill="1" applyBorder="1" applyAlignment="1">
      <alignment horizontal="center" vertical="center"/>
    </xf>
    <xf numFmtId="173" fontId="11" fillId="12" borderId="1" xfId="0" applyNumberFormat="1" applyFont="1" applyFill="1" applyBorder="1" applyAlignment="1">
      <alignment horizontal="center" vertical="center"/>
    </xf>
    <xf numFmtId="174" fontId="11" fillId="12" borderId="1" xfId="0" applyNumberFormat="1" applyFont="1" applyFill="1" applyBorder="1" applyAlignment="1">
      <alignment horizontal="center" vertical="center"/>
    </xf>
    <xf numFmtId="166" fontId="11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40" fontId="12" fillId="12" borderId="1" xfId="0" applyNumberFormat="1" applyFont="1" applyFill="1" applyBorder="1" applyAlignment="1">
      <alignment horizontal="right" vertical="center"/>
    </xf>
    <xf numFmtId="40" fontId="12" fillId="12" borderId="1" xfId="0" applyNumberFormat="1" applyFont="1" applyFill="1" applyBorder="1" applyAlignment="1">
      <alignment vertical="center"/>
    </xf>
    <xf numFmtId="40" fontId="12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40" fontId="12" fillId="10" borderId="1" xfId="0" applyNumberFormat="1" applyFont="1" applyFill="1" applyBorder="1" applyAlignment="1">
      <alignment vertical="center"/>
    </xf>
    <xf numFmtId="40" fontId="11" fillId="12" borderId="1" xfId="0" applyNumberFormat="1" applyFont="1" applyFill="1" applyBorder="1" applyAlignment="1">
      <alignment horizontal="right" vertical="center"/>
    </xf>
    <xf numFmtId="14" fontId="14" fillId="14" borderId="5" xfId="0" applyNumberFormat="1" applyFont="1" applyFill="1" applyBorder="1" applyAlignment="1">
      <alignment horizontal="center" vertical="center"/>
    </xf>
    <xf numFmtId="14" fontId="14" fillId="14" borderId="6" xfId="0" applyNumberFormat="1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171" fontId="15" fillId="0" borderId="8" xfId="0" applyNumberFormat="1" applyFont="1" applyBorder="1" applyAlignment="1">
      <alignment horizontal="center"/>
    </xf>
    <xf numFmtId="171" fontId="15" fillId="0" borderId="9" xfId="0" applyNumberFormat="1" applyFont="1" applyBorder="1" applyAlignment="1">
      <alignment horizontal="center"/>
    </xf>
    <xf numFmtId="4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4" fontId="16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14" fillId="8" borderId="12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171" fontId="16" fillId="0" borderId="0" xfId="0" applyNumberFormat="1" applyFont="1" applyAlignment="1">
      <alignment horizontal="center"/>
    </xf>
    <xf numFmtId="174" fontId="16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166" fontId="11" fillId="0" borderId="15" xfId="0" applyNumberFormat="1" applyFont="1" applyBorder="1" applyAlignment="1">
      <alignment horizontal="center"/>
    </xf>
    <xf numFmtId="175" fontId="11" fillId="0" borderId="15" xfId="0" applyNumberFormat="1" applyFont="1" applyBorder="1"/>
    <xf numFmtId="175" fontId="11" fillId="0" borderId="15" xfId="0" applyNumberFormat="1" applyFont="1" applyBorder="1" applyAlignment="1">
      <alignment horizontal="right"/>
    </xf>
    <xf numFmtId="175" fontId="11" fillId="0" borderId="15" xfId="0" applyNumberFormat="1" applyFont="1" applyBorder="1" applyAlignment="1">
      <alignment horizontal="right" vertical="center"/>
    </xf>
    <xf numFmtId="40" fontId="11" fillId="0" borderId="16" xfId="0" applyNumberFormat="1" applyFont="1" applyBorder="1" applyAlignment="1">
      <alignment horizontal="right" vertical="center"/>
    </xf>
    <xf numFmtId="40" fontId="11" fillId="0" borderId="17" xfId="0" applyNumberFormat="1" applyFont="1" applyBorder="1" applyAlignment="1">
      <alignment horizontal="right" vertical="center"/>
    </xf>
    <xf numFmtId="171" fontId="11" fillId="0" borderId="18" xfId="0" applyNumberFormat="1" applyFont="1" applyBorder="1" applyAlignment="1">
      <alignment horizontal="center"/>
    </xf>
    <xf numFmtId="172" fontId="11" fillId="0" borderId="19" xfId="0" applyNumberFormat="1" applyFont="1" applyBorder="1" applyAlignment="1">
      <alignment horizontal="center"/>
    </xf>
    <xf numFmtId="173" fontId="11" fillId="0" borderId="19" xfId="0" applyNumberFormat="1" applyFont="1" applyBorder="1" applyAlignment="1">
      <alignment horizontal="center"/>
    </xf>
    <xf numFmtId="174" fontId="11" fillId="0" borderId="19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75" fontId="11" fillId="0" borderId="19" xfId="0" applyNumberFormat="1" applyFont="1" applyBorder="1"/>
    <xf numFmtId="175" fontId="11" fillId="0" borderId="19" xfId="0" applyNumberFormat="1" applyFont="1" applyBorder="1" applyAlignment="1">
      <alignment horizontal="right"/>
    </xf>
    <xf numFmtId="175" fontId="11" fillId="0" borderId="19" xfId="0" applyNumberFormat="1" applyFont="1" applyBorder="1" applyAlignment="1">
      <alignment horizontal="right" vertical="center"/>
    </xf>
    <xf numFmtId="171" fontId="11" fillId="0" borderId="8" xfId="0" applyNumberFormat="1" applyFont="1" applyBorder="1" applyAlignment="1">
      <alignment horizontal="center"/>
    </xf>
    <xf numFmtId="172" fontId="11" fillId="0" borderId="15" xfId="0" applyNumberFormat="1" applyFont="1" applyBorder="1" applyAlignment="1">
      <alignment horizontal="center"/>
    </xf>
    <xf numFmtId="173" fontId="11" fillId="0" borderId="15" xfId="0" applyNumberFormat="1" applyFont="1" applyBorder="1" applyAlignment="1">
      <alignment horizontal="center"/>
    </xf>
    <xf numFmtId="174" fontId="11" fillId="0" borderId="15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175" fontId="16" fillId="0" borderId="19" xfId="0" applyNumberFormat="1" applyFont="1" applyBorder="1"/>
    <xf numFmtId="175" fontId="3" fillId="0" borderId="19" xfId="0" applyNumberFormat="1" applyFont="1" applyBorder="1" applyAlignment="1">
      <alignment horizontal="right"/>
    </xf>
    <xf numFmtId="0" fontId="11" fillId="0" borderId="17" xfId="0" applyFont="1" applyBorder="1" applyAlignment="1">
      <alignment horizontal="right" vertical="center"/>
    </xf>
    <xf numFmtId="166" fontId="16" fillId="0" borderId="15" xfId="0" applyNumberFormat="1" applyFont="1" applyBorder="1" applyAlignment="1">
      <alignment horizontal="center"/>
    </xf>
    <xf numFmtId="175" fontId="16" fillId="0" borderId="15" xfId="0" applyNumberFormat="1" applyFont="1" applyBorder="1"/>
    <xf numFmtId="40" fontId="3" fillId="0" borderId="19" xfId="0" applyNumberFormat="1" applyFont="1" applyBorder="1" applyAlignment="1">
      <alignment horizontal="right"/>
    </xf>
    <xf numFmtId="40" fontId="11" fillId="0" borderId="19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176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19" fillId="0" borderId="0" xfId="0" applyFont="1"/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/>
    </xf>
    <xf numFmtId="40" fontId="16" fillId="0" borderId="0" xfId="0" applyNumberFormat="1" applyFont="1" applyAlignment="1">
      <alignment horizontal="right"/>
    </xf>
    <xf numFmtId="40" fontId="3" fillId="0" borderId="0" xfId="0" applyNumberFormat="1" applyFont="1"/>
    <xf numFmtId="40" fontId="11" fillId="16" borderId="1" xfId="0" applyNumberFormat="1" applyFont="1" applyFill="1" applyBorder="1" applyAlignment="1">
      <alignment horizontal="center" vertical="center" wrapText="1"/>
    </xf>
    <xf numFmtId="40" fontId="11" fillId="16" borderId="1" xfId="0" applyNumberFormat="1" applyFont="1" applyFill="1" applyBorder="1" applyAlignment="1">
      <alignment horizontal="right" vertical="center"/>
    </xf>
    <xf numFmtId="14" fontId="11" fillId="0" borderId="0" xfId="0" applyNumberFormat="1" applyFont="1" applyAlignment="1">
      <alignment horizontal="center"/>
    </xf>
    <xf numFmtId="177" fontId="11" fillId="0" borderId="0" xfId="0" applyNumberFormat="1" applyFont="1" applyAlignment="1">
      <alignment horizontal="center"/>
    </xf>
    <xf numFmtId="171" fontId="16" fillId="0" borderId="24" xfId="0" applyNumberFormat="1" applyFont="1" applyBorder="1" applyAlignment="1">
      <alignment horizontal="center"/>
    </xf>
    <xf numFmtId="173" fontId="16" fillId="0" borderId="25" xfId="0" applyNumberFormat="1" applyFont="1" applyBorder="1" applyAlignment="1">
      <alignment horizontal="center"/>
    </xf>
    <xf numFmtId="174" fontId="16" fillId="0" borderId="26" xfId="0" applyNumberFormat="1" applyFont="1" applyBorder="1" applyAlignment="1">
      <alignment horizontal="center"/>
    </xf>
    <xf numFmtId="171" fontId="16" fillId="0" borderId="27" xfId="0" applyNumberFormat="1" applyFont="1" applyBorder="1" applyAlignment="1">
      <alignment horizontal="center"/>
    </xf>
    <xf numFmtId="173" fontId="16" fillId="0" borderId="17" xfId="0" applyNumberFormat="1" applyFont="1" applyBorder="1" applyAlignment="1">
      <alignment horizontal="center"/>
    </xf>
    <xf numFmtId="174" fontId="16" fillId="0" borderId="17" xfId="0" applyNumberFormat="1" applyFont="1" applyBorder="1" applyAlignment="1">
      <alignment horizontal="center"/>
    </xf>
    <xf numFmtId="171" fontId="16" fillId="0" borderId="28" xfId="0" applyNumberFormat="1" applyFont="1" applyBorder="1" applyAlignment="1">
      <alignment horizontal="center"/>
    </xf>
    <xf numFmtId="172" fontId="16" fillId="0" borderId="15" xfId="0" applyNumberFormat="1" applyFont="1" applyBorder="1" applyAlignment="1">
      <alignment horizontal="center"/>
    </xf>
    <xf numFmtId="173" fontId="16" fillId="0" borderId="8" xfId="0" applyNumberFormat="1" applyFont="1" applyBorder="1" applyAlignment="1">
      <alignment horizontal="center"/>
    </xf>
    <xf numFmtId="174" fontId="16" fillId="0" borderId="15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75" fontId="16" fillId="0" borderId="15" xfId="0" applyNumberFormat="1" applyFont="1" applyBorder="1" applyAlignment="1">
      <alignment horizontal="right"/>
    </xf>
    <xf numFmtId="175" fontId="16" fillId="0" borderId="15" xfId="0" applyNumberFormat="1" applyFont="1" applyBorder="1" applyAlignment="1">
      <alignment horizontal="right" vertical="center"/>
    </xf>
    <xf numFmtId="0" fontId="15" fillId="8" borderId="13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/>
    </xf>
    <xf numFmtId="0" fontId="3" fillId="8" borderId="20" xfId="0" applyFont="1" applyFill="1" applyBorder="1"/>
    <xf numFmtId="40" fontId="12" fillId="17" borderId="1" xfId="0" applyNumberFormat="1" applyFont="1" applyFill="1" applyBorder="1" applyAlignment="1">
      <alignment vertical="center"/>
    </xf>
    <xf numFmtId="171" fontId="16" fillId="0" borderId="15" xfId="0" applyNumberFormat="1" applyFont="1" applyBorder="1" applyAlignment="1">
      <alignment horizontal="center"/>
    </xf>
    <xf numFmtId="171" fontId="16" fillId="18" borderId="15" xfId="0" applyNumberFormat="1" applyFont="1" applyFill="1" applyBorder="1" applyAlignment="1">
      <alignment horizontal="center"/>
    </xf>
    <xf numFmtId="173" fontId="16" fillId="0" borderId="15" xfId="0" applyNumberFormat="1" applyFont="1" applyBorder="1" applyAlignment="1">
      <alignment horizontal="center"/>
    </xf>
    <xf numFmtId="0" fontId="16" fillId="0" borderId="15" xfId="0" applyFont="1" applyBorder="1"/>
    <xf numFmtId="0" fontId="15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15" fillId="8" borderId="1" xfId="0" applyFont="1" applyFill="1" applyBorder="1"/>
    <xf numFmtId="175" fontId="11" fillId="0" borderId="19" xfId="0" applyNumberFormat="1" applyFont="1" applyBorder="1" applyAlignment="1">
      <alignment horizontal="center" vertical="center"/>
    </xf>
    <xf numFmtId="171" fontId="11" fillId="19" borderId="15" xfId="0" applyNumberFormat="1" applyFont="1" applyFill="1" applyBorder="1" applyAlignment="1">
      <alignment horizontal="center" vertical="center"/>
    </xf>
    <xf numFmtId="172" fontId="11" fillId="19" borderId="13" xfId="0" applyNumberFormat="1" applyFont="1" applyFill="1" applyBorder="1" applyAlignment="1">
      <alignment horizontal="center" vertical="center"/>
    </xf>
    <xf numFmtId="173" fontId="11" fillId="19" borderId="13" xfId="0" applyNumberFormat="1" applyFont="1" applyFill="1" applyBorder="1" applyAlignment="1">
      <alignment horizontal="center" vertical="center"/>
    </xf>
    <xf numFmtId="174" fontId="11" fillId="19" borderId="13" xfId="0" applyNumberFormat="1" applyFont="1" applyFill="1" applyBorder="1" applyAlignment="1">
      <alignment horizontal="center" vertical="center"/>
    </xf>
    <xf numFmtId="166" fontId="11" fillId="19" borderId="13" xfId="0" applyNumberFormat="1" applyFont="1" applyFill="1" applyBorder="1" applyAlignment="1">
      <alignment horizontal="center" vertical="center"/>
    </xf>
    <xf numFmtId="173" fontId="11" fillId="19" borderId="15" xfId="0" applyNumberFormat="1" applyFont="1" applyFill="1" applyBorder="1" applyAlignment="1">
      <alignment horizontal="center" vertical="center"/>
    </xf>
    <xf numFmtId="174" fontId="11" fillId="19" borderId="15" xfId="0" applyNumberFormat="1" applyFont="1" applyFill="1" applyBorder="1" applyAlignment="1">
      <alignment horizontal="center" vertical="center"/>
    </xf>
    <xf numFmtId="166" fontId="11" fillId="19" borderId="15" xfId="0" applyNumberFormat="1" applyFont="1" applyFill="1" applyBorder="1" applyAlignment="1">
      <alignment horizontal="center" vertical="center"/>
    </xf>
    <xf numFmtId="177" fontId="11" fillId="12" borderId="1" xfId="0" applyNumberFormat="1" applyFont="1" applyFill="1" applyBorder="1" applyAlignment="1">
      <alignment horizontal="center"/>
    </xf>
    <xf numFmtId="14" fontId="11" fillId="12" borderId="1" xfId="0" applyNumberFormat="1" applyFont="1" applyFill="1" applyBorder="1" applyAlignment="1">
      <alignment horizontal="center"/>
    </xf>
    <xf numFmtId="4" fontId="11" fillId="12" borderId="1" xfId="0" applyNumberFormat="1" applyFont="1" applyFill="1" applyBorder="1" applyAlignment="1">
      <alignment horizontal="right" vertical="center"/>
    </xf>
    <xf numFmtId="4" fontId="11" fillId="17" borderId="1" xfId="0" applyNumberFormat="1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center"/>
    </xf>
    <xf numFmtId="0" fontId="15" fillId="8" borderId="12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171" fontId="16" fillId="0" borderId="29" xfId="0" applyNumberFormat="1" applyFont="1" applyBorder="1" applyAlignment="1">
      <alignment horizontal="center"/>
    </xf>
    <xf numFmtId="1" fontId="3" fillId="0" borderId="0" xfId="0" applyNumberFormat="1" applyFont="1"/>
    <xf numFmtId="2" fontId="12" fillId="0" borderId="15" xfId="0" applyNumberFormat="1" applyFont="1" applyBorder="1" applyAlignment="1">
      <alignment horizontal="right" vertical="center"/>
    </xf>
    <xf numFmtId="40" fontId="16" fillId="0" borderId="15" xfId="0" applyNumberFormat="1" applyFont="1" applyBorder="1" applyAlignment="1">
      <alignment horizontal="right"/>
    </xf>
    <xf numFmtId="0" fontId="12" fillId="20" borderId="1" xfId="0" applyFont="1" applyFill="1" applyBorder="1" applyAlignment="1">
      <alignment horizontal="center" vertical="center"/>
    </xf>
    <xf numFmtId="171" fontId="11" fillId="20" borderId="1" xfId="0" applyNumberFormat="1" applyFont="1" applyFill="1" applyBorder="1" applyAlignment="1">
      <alignment horizontal="center" vertical="center"/>
    </xf>
    <xf numFmtId="172" fontId="11" fillId="20" borderId="1" xfId="0" applyNumberFormat="1" applyFont="1" applyFill="1" applyBorder="1" applyAlignment="1">
      <alignment horizontal="center" vertical="center"/>
    </xf>
    <xf numFmtId="173" fontId="11" fillId="20" borderId="1" xfId="0" applyNumberFormat="1" applyFont="1" applyFill="1" applyBorder="1" applyAlignment="1">
      <alignment horizontal="center" vertical="center"/>
    </xf>
    <xf numFmtId="174" fontId="11" fillId="20" borderId="1" xfId="0" applyNumberFormat="1" applyFont="1" applyFill="1" applyBorder="1" applyAlignment="1">
      <alignment horizontal="center" vertical="center"/>
    </xf>
    <xf numFmtId="166" fontId="11" fillId="20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left" vertical="center"/>
    </xf>
    <xf numFmtId="40" fontId="12" fillId="20" borderId="1" xfId="0" applyNumberFormat="1" applyFont="1" applyFill="1" applyBorder="1" applyAlignment="1">
      <alignment horizontal="right" vertical="center"/>
    </xf>
    <xf numFmtId="40" fontId="12" fillId="20" borderId="1" xfId="0" applyNumberFormat="1" applyFont="1" applyFill="1" applyBorder="1" applyAlignment="1">
      <alignment vertical="center"/>
    </xf>
    <xf numFmtId="40" fontId="12" fillId="20" borderId="1" xfId="0" applyNumberFormat="1" applyFont="1" applyFill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/>
    </xf>
    <xf numFmtId="171" fontId="15" fillId="0" borderId="15" xfId="0" applyNumberFormat="1" applyFont="1" applyBorder="1" applyAlignment="1">
      <alignment horizontal="left"/>
    </xf>
    <xf numFmtId="14" fontId="3" fillId="0" borderId="30" xfId="0" applyNumberFormat="1" applyFont="1" applyBorder="1" applyAlignment="1">
      <alignment horizontal="center"/>
    </xf>
    <xf numFmtId="0" fontId="16" fillId="0" borderId="15" xfId="0" applyFont="1" applyBorder="1" applyAlignment="1">
      <alignment horizontal="left"/>
    </xf>
    <xf numFmtId="166" fontId="16" fillId="0" borderId="15" xfId="0" applyNumberFormat="1" applyFont="1" applyBorder="1" applyAlignment="1">
      <alignment horizontal="left"/>
    </xf>
    <xf numFmtId="178" fontId="20" fillId="21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71" fontId="11" fillId="0" borderId="15" xfId="0" applyNumberFormat="1" applyFont="1" applyBorder="1" applyAlignment="1">
      <alignment horizontal="center" vertical="center"/>
    </xf>
    <xf numFmtId="172" fontId="11" fillId="0" borderId="15" xfId="0" applyNumberFormat="1" applyFont="1" applyBorder="1" applyAlignment="1">
      <alignment horizontal="center" vertical="center"/>
    </xf>
    <xf numFmtId="40" fontId="11" fillId="19" borderId="15" xfId="0" applyNumberFormat="1" applyFont="1" applyFill="1" applyBorder="1" applyAlignment="1">
      <alignment horizontal="right" vertical="center"/>
    </xf>
    <xf numFmtId="171" fontId="11" fillId="21" borderId="15" xfId="0" applyNumberFormat="1" applyFont="1" applyFill="1" applyBorder="1" applyAlignment="1">
      <alignment horizontal="center" vertical="center"/>
    </xf>
    <xf numFmtId="172" fontId="11" fillId="21" borderId="15" xfId="0" applyNumberFormat="1" applyFont="1" applyFill="1" applyBorder="1" applyAlignment="1">
      <alignment horizontal="center" vertical="center"/>
    </xf>
    <xf numFmtId="173" fontId="11" fillId="21" borderId="1" xfId="0" applyNumberFormat="1" applyFont="1" applyFill="1" applyBorder="1" applyAlignment="1">
      <alignment horizontal="center" vertical="center"/>
    </xf>
    <xf numFmtId="174" fontId="11" fillId="21" borderId="1" xfId="0" applyNumberFormat="1" applyFont="1" applyFill="1" applyBorder="1" applyAlignment="1">
      <alignment horizontal="center" vertical="center"/>
    </xf>
    <xf numFmtId="166" fontId="11" fillId="21" borderId="1" xfId="0" applyNumberFormat="1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left" vertical="center"/>
    </xf>
    <xf numFmtId="171" fontId="11" fillId="21" borderId="20" xfId="0" applyNumberFormat="1" applyFont="1" applyFill="1" applyBorder="1" applyAlignment="1">
      <alignment horizontal="center" vertical="center"/>
    </xf>
    <xf numFmtId="172" fontId="11" fillId="21" borderId="20" xfId="0" applyNumberFormat="1" applyFont="1" applyFill="1" applyBorder="1" applyAlignment="1">
      <alignment horizontal="center" vertical="center"/>
    </xf>
    <xf numFmtId="4" fontId="3" fillId="0" borderId="0" xfId="0" applyNumberFormat="1" applyFont="1"/>
    <xf numFmtId="14" fontId="3" fillId="0" borderId="8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14" fontId="3" fillId="0" borderId="28" xfId="0" applyNumberFormat="1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right"/>
    </xf>
    <xf numFmtId="174" fontId="11" fillId="22" borderId="1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/>
    </xf>
    <xf numFmtId="4" fontId="16" fillId="12" borderId="1" xfId="0" applyNumberFormat="1" applyFont="1" applyFill="1" applyBorder="1" applyAlignment="1">
      <alignment horizontal="right" vertical="center"/>
    </xf>
    <xf numFmtId="0" fontId="16" fillId="1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1" fontId="11" fillId="7" borderId="1" xfId="0" applyNumberFormat="1" applyFont="1" applyFill="1" applyBorder="1" applyAlignment="1">
      <alignment horizontal="center" vertical="center"/>
    </xf>
    <xf numFmtId="172" fontId="11" fillId="7" borderId="1" xfId="0" applyNumberFormat="1" applyFont="1" applyFill="1" applyBorder="1" applyAlignment="1">
      <alignment horizontal="center" vertical="center"/>
    </xf>
    <xf numFmtId="173" fontId="11" fillId="7" borderId="1" xfId="0" applyNumberFormat="1" applyFont="1" applyFill="1" applyBorder="1" applyAlignment="1">
      <alignment horizontal="center" vertical="center"/>
    </xf>
    <xf numFmtId="174" fontId="11" fillId="7" borderId="1" xfId="0" applyNumberFormat="1" applyFont="1" applyFill="1" applyBorder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 vertical="center"/>
    </xf>
    <xf numFmtId="166" fontId="11" fillId="7" borderId="15" xfId="0" applyNumberFormat="1" applyFont="1" applyFill="1" applyBorder="1" applyAlignment="1">
      <alignment horizontal="left"/>
    </xf>
    <xf numFmtId="175" fontId="11" fillId="7" borderId="15" xfId="0" applyNumberFormat="1" applyFont="1" applyFill="1" applyBorder="1"/>
    <xf numFmtId="175" fontId="11" fillId="7" borderId="15" xfId="0" applyNumberFormat="1" applyFont="1" applyFill="1" applyBorder="1" applyAlignment="1">
      <alignment horizontal="right"/>
    </xf>
    <xf numFmtId="175" fontId="11" fillId="7" borderId="15" xfId="0" applyNumberFormat="1" applyFont="1" applyFill="1" applyBorder="1" applyAlignment="1">
      <alignment horizontal="right" vertical="center"/>
    </xf>
    <xf numFmtId="166" fontId="11" fillId="0" borderId="15" xfId="0" applyNumberFormat="1" applyFont="1" applyBorder="1" applyAlignment="1">
      <alignment horizontal="left"/>
    </xf>
    <xf numFmtId="0" fontId="3" fillId="19" borderId="1" xfId="0" applyFont="1" applyFill="1" applyBorder="1" applyAlignment="1">
      <alignment horizontal="left" vertical="center"/>
    </xf>
    <xf numFmtId="171" fontId="11" fillId="23" borderId="1" xfId="0" applyNumberFormat="1" applyFont="1" applyFill="1" applyBorder="1" applyAlignment="1">
      <alignment horizontal="center" vertical="center"/>
    </xf>
    <xf numFmtId="172" fontId="11" fillId="23" borderId="1" xfId="0" applyNumberFormat="1" applyFont="1" applyFill="1" applyBorder="1" applyAlignment="1">
      <alignment horizontal="center" vertical="center"/>
    </xf>
    <xf numFmtId="173" fontId="11" fillId="23" borderId="1" xfId="0" applyNumberFormat="1" applyFont="1" applyFill="1" applyBorder="1" applyAlignment="1">
      <alignment horizontal="center" vertical="center"/>
    </xf>
    <xf numFmtId="174" fontId="11" fillId="23" borderId="1" xfId="0" applyNumberFormat="1" applyFont="1" applyFill="1" applyBorder="1" applyAlignment="1">
      <alignment horizontal="center" vertical="center"/>
    </xf>
    <xf numFmtId="166" fontId="11" fillId="23" borderId="1" xfId="0" applyNumberFormat="1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left" vertical="center"/>
    </xf>
    <xf numFmtId="40" fontId="12" fillId="23" borderId="1" xfId="0" applyNumberFormat="1" applyFont="1" applyFill="1" applyBorder="1" applyAlignment="1">
      <alignment horizontal="right" vertical="center"/>
    </xf>
    <xf numFmtId="40" fontId="12" fillId="23" borderId="1" xfId="0" applyNumberFormat="1" applyFont="1" applyFill="1" applyBorder="1" applyAlignment="1">
      <alignment vertical="center"/>
    </xf>
    <xf numFmtId="40" fontId="12" fillId="23" borderId="1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171" fontId="15" fillId="0" borderId="15" xfId="0" applyNumberFormat="1" applyFont="1" applyBorder="1" applyAlignment="1">
      <alignment horizontal="center"/>
    </xf>
    <xf numFmtId="2" fontId="11" fillId="0" borderId="0" xfId="0" applyNumberFormat="1" applyFont="1"/>
    <xf numFmtId="175" fontId="15" fillId="0" borderId="19" xfId="0" applyNumberFormat="1" applyFont="1" applyBorder="1" applyAlignment="1">
      <alignment horizontal="right" vertical="center"/>
    </xf>
    <xf numFmtId="0" fontId="11" fillId="0" borderId="31" xfId="0" applyFont="1" applyBorder="1"/>
    <xf numFmtId="40" fontId="15" fillId="0" borderId="19" xfId="0" applyNumberFormat="1" applyFont="1" applyBorder="1" applyAlignment="1">
      <alignment horizontal="right" vertical="center"/>
    </xf>
    <xf numFmtId="0" fontId="16" fillId="0" borderId="0" xfId="0" applyFont="1" applyAlignment="1">
      <alignment horizontal="center"/>
    </xf>
    <xf numFmtId="40" fontId="3" fillId="0" borderId="0" xfId="0" applyNumberFormat="1" applyFont="1" applyAlignment="1">
      <alignment horizontal="right"/>
    </xf>
    <xf numFmtId="40" fontId="15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15" xfId="0" applyFont="1" applyBorder="1"/>
    <xf numFmtId="0" fontId="11" fillId="0" borderId="0" xfId="0" applyFont="1"/>
    <xf numFmtId="40" fontId="16" fillId="0" borderId="15" xfId="0" applyNumberFormat="1" applyFont="1" applyBorder="1" applyAlignment="1">
      <alignment horizontal="right" vertical="center"/>
    </xf>
    <xf numFmtId="0" fontId="21" fillId="8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40" fontId="3" fillId="8" borderId="1" xfId="0" applyNumberFormat="1" applyFont="1" applyFill="1" applyBorder="1" applyAlignment="1">
      <alignment horizontal="right"/>
    </xf>
    <xf numFmtId="40" fontId="15" fillId="8" borderId="1" xfId="0" applyNumberFormat="1" applyFont="1" applyFill="1" applyBorder="1" applyAlignment="1">
      <alignment horizontal="right"/>
    </xf>
    <xf numFmtId="171" fontId="11" fillId="18" borderId="1" xfId="0" applyNumberFormat="1" applyFont="1" applyFill="1" applyBorder="1" applyAlignment="1">
      <alignment horizontal="center" vertical="center"/>
    </xf>
    <xf numFmtId="172" fontId="11" fillId="18" borderId="1" xfId="0" applyNumberFormat="1" applyFont="1" applyFill="1" applyBorder="1" applyAlignment="1">
      <alignment horizontal="center" vertical="center"/>
    </xf>
    <xf numFmtId="173" fontId="11" fillId="18" borderId="1" xfId="0" applyNumberFormat="1" applyFont="1" applyFill="1" applyBorder="1" applyAlignment="1">
      <alignment horizontal="center" vertical="center"/>
    </xf>
    <xf numFmtId="174" fontId="11" fillId="18" borderId="1" xfId="0" applyNumberFormat="1" applyFont="1" applyFill="1" applyBorder="1" applyAlignment="1">
      <alignment horizontal="center" vertical="center"/>
    </xf>
    <xf numFmtId="166" fontId="11" fillId="18" borderId="1" xfId="0" applyNumberFormat="1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left" vertical="center"/>
    </xf>
    <xf numFmtId="40" fontId="12" fillId="18" borderId="1" xfId="0" applyNumberFormat="1" applyFont="1" applyFill="1" applyBorder="1" applyAlignment="1">
      <alignment horizontal="right" vertical="center"/>
    </xf>
    <xf numFmtId="40" fontId="12" fillId="18" borderId="1" xfId="0" applyNumberFormat="1" applyFont="1" applyFill="1" applyBorder="1" applyAlignment="1">
      <alignment vertical="center"/>
    </xf>
    <xf numFmtId="40" fontId="12" fillId="18" borderId="1" xfId="0" applyNumberFormat="1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173" fontId="11" fillId="0" borderId="0" xfId="0" applyNumberFormat="1" applyFont="1" applyAlignment="1">
      <alignment vertical="center"/>
    </xf>
    <xf numFmtId="174" fontId="16" fillId="18" borderId="1" xfId="0" applyNumberFormat="1" applyFont="1" applyFill="1" applyBorder="1" applyAlignment="1">
      <alignment horizontal="center"/>
    </xf>
    <xf numFmtId="166" fontId="16" fillId="18" borderId="1" xfId="0" applyNumberFormat="1" applyFont="1" applyFill="1" applyBorder="1" applyAlignment="1">
      <alignment horizontal="center"/>
    </xf>
    <xf numFmtId="0" fontId="16" fillId="18" borderId="1" xfId="0" applyFont="1" applyFill="1" applyBorder="1" applyAlignment="1">
      <alignment horizontal="left"/>
    </xf>
    <xf numFmtId="4" fontId="16" fillId="18" borderId="1" xfId="0" applyNumberFormat="1" applyFont="1" applyFill="1" applyBorder="1" applyAlignment="1">
      <alignment horizontal="right" vertical="center"/>
    </xf>
    <xf numFmtId="0" fontId="16" fillId="18" borderId="1" xfId="0" applyFont="1" applyFill="1" applyBorder="1" applyAlignment="1">
      <alignment horizontal="center" vertical="center"/>
    </xf>
    <xf numFmtId="4" fontId="11" fillId="18" borderId="1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14" fontId="3" fillId="18" borderId="1" xfId="0" applyNumberFormat="1" applyFont="1" applyFill="1" applyBorder="1"/>
    <xf numFmtId="14" fontId="3" fillId="0" borderId="0" xfId="0" applyNumberFormat="1" applyFont="1"/>
    <xf numFmtId="14" fontId="3" fillId="24" borderId="1" xfId="0" applyNumberFormat="1" applyFont="1" applyFill="1" applyBorder="1"/>
    <xf numFmtId="172" fontId="11" fillId="24" borderId="1" xfId="0" applyNumberFormat="1" applyFont="1" applyFill="1" applyBorder="1" applyAlignment="1">
      <alignment horizontal="center" vertical="center"/>
    </xf>
    <xf numFmtId="173" fontId="11" fillId="24" borderId="1" xfId="0" applyNumberFormat="1" applyFont="1" applyFill="1" applyBorder="1" applyAlignment="1">
      <alignment horizontal="center" vertical="center"/>
    </xf>
    <xf numFmtId="174" fontId="11" fillId="24" borderId="1" xfId="0" applyNumberFormat="1" applyFont="1" applyFill="1" applyBorder="1" applyAlignment="1">
      <alignment horizontal="center" vertical="center"/>
    </xf>
    <xf numFmtId="166" fontId="11" fillId="24" borderId="1" xfId="0" applyNumberFormat="1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left" vertical="center"/>
    </xf>
    <xf numFmtId="40" fontId="12" fillId="24" borderId="1" xfId="0" applyNumberFormat="1" applyFont="1" applyFill="1" applyBorder="1" applyAlignment="1">
      <alignment horizontal="right" vertical="center"/>
    </xf>
    <xf numFmtId="40" fontId="12" fillId="24" borderId="1" xfId="0" applyNumberFormat="1" applyFont="1" applyFill="1" applyBorder="1" applyAlignment="1">
      <alignment vertical="center"/>
    </xf>
    <xf numFmtId="40" fontId="12" fillId="24" borderId="1" xfId="0" applyNumberFormat="1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4" fillId="7" borderId="32" xfId="0" applyFont="1" applyFill="1" applyBorder="1" applyAlignment="1">
      <alignment horizontal="left" vertical="center"/>
    </xf>
    <xf numFmtId="179" fontId="3" fillId="22" borderId="33" xfId="0" applyNumberFormat="1" applyFont="1" applyFill="1" applyBorder="1" applyAlignment="1">
      <alignment horizontal="center" vertical="center"/>
    </xf>
    <xf numFmtId="175" fontId="3" fillId="0" borderId="19" xfId="0" applyNumberFormat="1" applyFont="1" applyBorder="1"/>
    <xf numFmtId="171" fontId="11" fillId="24" borderId="1" xfId="0" applyNumberFormat="1" applyFont="1" applyFill="1" applyBorder="1" applyAlignment="1">
      <alignment horizontal="center" vertical="center"/>
    </xf>
    <xf numFmtId="171" fontId="11" fillId="19" borderId="1" xfId="0" applyNumberFormat="1" applyFont="1" applyFill="1" applyBorder="1" applyAlignment="1">
      <alignment horizontal="center" vertical="center"/>
    </xf>
    <xf numFmtId="172" fontId="11" fillId="19" borderId="1" xfId="0" applyNumberFormat="1" applyFont="1" applyFill="1" applyBorder="1" applyAlignment="1">
      <alignment horizontal="center" vertical="center"/>
    </xf>
    <xf numFmtId="173" fontId="11" fillId="19" borderId="1" xfId="0" applyNumberFormat="1" applyFont="1" applyFill="1" applyBorder="1" applyAlignment="1">
      <alignment horizontal="center" vertical="center"/>
    </xf>
    <xf numFmtId="166" fontId="11" fillId="19" borderId="1" xfId="0" applyNumberFormat="1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left" vertical="center"/>
    </xf>
    <xf numFmtId="40" fontId="12" fillId="19" borderId="1" xfId="0" applyNumberFormat="1" applyFont="1" applyFill="1" applyBorder="1" applyAlignment="1">
      <alignment horizontal="right" vertical="center"/>
    </xf>
    <xf numFmtId="40" fontId="12" fillId="19" borderId="1" xfId="0" applyNumberFormat="1" applyFont="1" applyFill="1" applyBorder="1" applyAlignment="1">
      <alignment vertical="center"/>
    </xf>
    <xf numFmtId="40" fontId="12" fillId="19" borderId="1" xfId="0" applyNumberFormat="1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171" fontId="11" fillId="25" borderId="1" xfId="0" applyNumberFormat="1" applyFont="1" applyFill="1" applyBorder="1" applyAlignment="1">
      <alignment horizontal="center" vertical="center"/>
    </xf>
    <xf numFmtId="172" fontId="11" fillId="25" borderId="1" xfId="0" applyNumberFormat="1" applyFont="1" applyFill="1" applyBorder="1" applyAlignment="1">
      <alignment horizontal="center" vertical="center"/>
    </xf>
    <xf numFmtId="173" fontId="11" fillId="25" borderId="1" xfId="0" applyNumberFormat="1" applyFont="1" applyFill="1" applyBorder="1" applyAlignment="1">
      <alignment horizontal="center" vertical="center"/>
    </xf>
    <xf numFmtId="174" fontId="11" fillId="25" borderId="1" xfId="0" applyNumberFormat="1" applyFont="1" applyFill="1" applyBorder="1" applyAlignment="1">
      <alignment horizontal="center" vertical="center"/>
    </xf>
    <xf numFmtId="166" fontId="11" fillId="25" borderId="1" xfId="0" applyNumberFormat="1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left" vertical="center"/>
    </xf>
    <xf numFmtId="40" fontId="12" fillId="25" borderId="1" xfId="0" applyNumberFormat="1" applyFont="1" applyFill="1" applyBorder="1" applyAlignment="1">
      <alignment horizontal="right" vertical="center"/>
    </xf>
    <xf numFmtId="40" fontId="12" fillId="25" borderId="1" xfId="0" applyNumberFormat="1" applyFont="1" applyFill="1" applyBorder="1" applyAlignment="1">
      <alignment vertical="center"/>
    </xf>
    <xf numFmtId="40" fontId="12" fillId="25" borderId="1" xfId="0" applyNumberFormat="1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2" fontId="3" fillId="19" borderId="1" xfId="0" applyNumberFormat="1" applyFont="1" applyFill="1" applyBorder="1"/>
    <xf numFmtId="174" fontId="11" fillId="19" borderId="1" xfId="0" applyNumberFormat="1" applyFont="1" applyFill="1" applyBorder="1" applyAlignment="1">
      <alignment horizontal="center" vertical="center"/>
    </xf>
    <xf numFmtId="14" fontId="11" fillId="19" borderId="1" xfId="0" applyNumberFormat="1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4" fontId="11" fillId="19" borderId="1" xfId="0" applyNumberFormat="1" applyFont="1" applyFill="1" applyBorder="1" applyAlignment="1">
      <alignment horizontal="right" vertical="center"/>
    </xf>
    <xf numFmtId="171" fontId="16" fillId="25" borderId="1" xfId="0" applyNumberFormat="1" applyFont="1" applyFill="1" applyBorder="1" applyAlignment="1">
      <alignment horizontal="center"/>
    </xf>
    <xf numFmtId="174" fontId="16" fillId="25" borderId="1" xfId="0" applyNumberFormat="1" applyFont="1" applyFill="1" applyBorder="1" applyAlignment="1">
      <alignment horizontal="center"/>
    </xf>
    <xf numFmtId="166" fontId="16" fillId="25" borderId="1" xfId="0" applyNumberFormat="1" applyFont="1" applyFill="1" applyBorder="1" applyAlignment="1">
      <alignment horizontal="center"/>
    </xf>
    <xf numFmtId="0" fontId="16" fillId="25" borderId="1" xfId="0" applyFont="1" applyFill="1" applyBorder="1" applyAlignment="1">
      <alignment horizontal="left"/>
    </xf>
    <xf numFmtId="4" fontId="16" fillId="25" borderId="1" xfId="0" applyNumberFormat="1" applyFont="1" applyFill="1" applyBorder="1" applyAlignment="1">
      <alignment horizontal="right" vertical="center"/>
    </xf>
    <xf numFmtId="0" fontId="16" fillId="25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/>
    <xf numFmtId="178" fontId="20" fillId="2" borderId="37" xfId="0" applyNumberFormat="1" applyFont="1" applyFill="1" applyBorder="1" applyAlignment="1">
      <alignment horizontal="center"/>
    </xf>
    <xf numFmtId="0" fontId="20" fillId="2" borderId="38" xfId="0" applyFont="1" applyFill="1" applyBorder="1" applyAlignment="1">
      <alignment horizontal="left"/>
    </xf>
    <xf numFmtId="4" fontId="19" fillId="0" borderId="39" xfId="0" applyNumberFormat="1" applyFont="1" applyBorder="1" applyAlignment="1">
      <alignment horizontal="center"/>
    </xf>
    <xf numFmtId="178" fontId="20" fillId="2" borderId="40" xfId="0" applyNumberFormat="1" applyFont="1" applyFill="1" applyBorder="1" applyAlignment="1">
      <alignment horizontal="center"/>
    </xf>
    <xf numFmtId="0" fontId="20" fillId="2" borderId="41" xfId="0" applyFont="1" applyFill="1" applyBorder="1" applyAlignment="1">
      <alignment horizontal="left"/>
    </xf>
    <xf numFmtId="180" fontId="19" fillId="0" borderId="42" xfId="0" applyNumberFormat="1" applyFont="1" applyBorder="1" applyAlignment="1">
      <alignment horizontal="center"/>
    </xf>
    <xf numFmtId="4" fontId="19" fillId="0" borderId="43" xfId="0" applyNumberFormat="1" applyFont="1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180" fontId="19" fillId="0" borderId="15" xfId="0" applyNumberFormat="1" applyFont="1" applyBorder="1" applyAlignment="1">
      <alignment horizontal="center"/>
    </xf>
    <xf numFmtId="4" fontId="19" fillId="0" borderId="44" xfId="0" applyNumberFormat="1" applyFont="1" applyBorder="1" applyAlignment="1">
      <alignment horizontal="center"/>
    </xf>
    <xf numFmtId="180" fontId="19" fillId="0" borderId="16" xfId="0" applyNumberFormat="1" applyFont="1" applyBorder="1" applyAlignment="1">
      <alignment horizontal="center"/>
    </xf>
    <xf numFmtId="178" fontId="20" fillId="2" borderId="45" xfId="0" applyNumberFormat="1" applyFont="1" applyFill="1" applyBorder="1" applyAlignment="1">
      <alignment horizontal="center"/>
    </xf>
    <xf numFmtId="0" fontId="20" fillId="2" borderId="29" xfId="0" applyFont="1" applyFill="1" applyBorder="1" applyAlignment="1">
      <alignment horizontal="left"/>
    </xf>
    <xf numFmtId="4" fontId="19" fillId="27" borderId="1" xfId="0" applyNumberFormat="1" applyFont="1" applyFill="1" applyBorder="1" applyAlignment="1">
      <alignment horizontal="center"/>
    </xf>
    <xf numFmtId="178" fontId="20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181" fontId="21" fillId="2" borderId="29" xfId="0" applyNumberFormat="1" applyFont="1" applyFill="1" applyBorder="1" applyAlignment="1">
      <alignment horizontal="center"/>
    </xf>
    <xf numFmtId="181" fontId="21" fillId="2" borderId="15" xfId="0" applyNumberFormat="1" applyFont="1" applyFill="1" applyBorder="1" applyAlignment="1">
      <alignment horizontal="left"/>
    </xf>
    <xf numFmtId="4" fontId="16" fillId="0" borderId="15" xfId="0" applyNumberFormat="1" applyFont="1" applyBorder="1"/>
    <xf numFmtId="4" fontId="16" fillId="0" borderId="44" xfId="0" applyNumberFormat="1" applyFont="1" applyBorder="1"/>
    <xf numFmtId="181" fontId="21" fillId="2" borderId="46" xfId="0" applyNumberFormat="1" applyFont="1" applyFill="1" applyBorder="1" applyAlignment="1">
      <alignment horizontal="center"/>
    </xf>
    <xf numFmtId="181" fontId="21" fillId="2" borderId="47" xfId="0" applyNumberFormat="1" applyFont="1" applyFill="1" applyBorder="1" applyAlignment="1">
      <alignment horizontal="left"/>
    </xf>
    <xf numFmtId="4" fontId="16" fillId="0" borderId="48" xfId="0" applyNumberFormat="1" applyFont="1" applyBorder="1"/>
    <xf numFmtId="181" fontId="25" fillId="0" borderId="0" xfId="0" applyNumberFormat="1" applyFont="1"/>
    <xf numFmtId="0" fontId="25" fillId="27" borderId="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171" fontId="11" fillId="28" borderId="1" xfId="0" applyNumberFormat="1" applyFont="1" applyFill="1" applyBorder="1" applyAlignment="1">
      <alignment horizontal="center" vertical="center"/>
    </xf>
    <xf numFmtId="172" fontId="11" fillId="28" borderId="1" xfId="0" applyNumberFormat="1" applyFont="1" applyFill="1" applyBorder="1" applyAlignment="1">
      <alignment horizontal="center" vertical="center"/>
    </xf>
    <xf numFmtId="173" fontId="11" fillId="28" borderId="1" xfId="0" applyNumberFormat="1" applyFont="1" applyFill="1" applyBorder="1" applyAlignment="1">
      <alignment horizontal="center" vertical="center"/>
    </xf>
    <xf numFmtId="174" fontId="11" fillId="28" borderId="1" xfId="0" applyNumberFormat="1" applyFont="1" applyFill="1" applyBorder="1" applyAlignment="1">
      <alignment horizontal="center" vertical="center"/>
    </xf>
    <xf numFmtId="166" fontId="11" fillId="28" borderId="1" xfId="0" applyNumberFormat="1" applyFont="1" applyFill="1" applyBorder="1" applyAlignment="1">
      <alignment horizontal="center" vertical="center"/>
    </xf>
    <xf numFmtId="0" fontId="11" fillId="28" borderId="1" xfId="0" applyFont="1" applyFill="1" applyBorder="1" applyAlignment="1">
      <alignment horizontal="left" vertical="center"/>
    </xf>
    <xf numFmtId="40" fontId="12" fillId="28" borderId="1" xfId="0" applyNumberFormat="1" applyFont="1" applyFill="1" applyBorder="1" applyAlignment="1">
      <alignment horizontal="right" vertical="center"/>
    </xf>
    <xf numFmtId="40" fontId="12" fillId="28" borderId="1" xfId="0" applyNumberFormat="1" applyFont="1" applyFill="1" applyBorder="1" applyAlignment="1">
      <alignment vertical="center"/>
    </xf>
    <xf numFmtId="40" fontId="12" fillId="28" borderId="1" xfId="0" applyNumberFormat="1" applyFont="1" applyFill="1" applyBorder="1" applyAlignment="1">
      <alignment horizontal="center" vertical="center"/>
    </xf>
    <xf numFmtId="0" fontId="11" fillId="28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3" fillId="11" borderId="1" xfId="0" applyFont="1" applyFill="1" applyBorder="1" applyAlignment="1">
      <alignment horizontal="left" vertical="center" wrapText="1"/>
    </xf>
    <xf numFmtId="171" fontId="11" fillId="19" borderId="4" xfId="0" applyNumberFormat="1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/>
    </xf>
    <xf numFmtId="4" fontId="11" fillId="19" borderId="4" xfId="0" applyNumberFormat="1" applyFont="1" applyFill="1" applyBorder="1" applyAlignment="1">
      <alignment horizontal="right" vertical="center"/>
    </xf>
    <xf numFmtId="14" fontId="11" fillId="0" borderId="15" xfId="0" applyNumberFormat="1" applyFont="1" applyBorder="1"/>
    <xf numFmtId="171" fontId="11" fillId="0" borderId="1" xfId="0" applyNumberFormat="1" applyFont="1" applyBorder="1" applyAlignment="1">
      <alignment horizontal="center" vertical="center"/>
    </xf>
    <xf numFmtId="172" fontId="11" fillId="0" borderId="1" xfId="0" applyNumberFormat="1" applyFont="1" applyBorder="1" applyAlignment="1">
      <alignment horizontal="center" vertical="center"/>
    </xf>
    <xf numFmtId="173" fontId="11" fillId="0" borderId="1" xfId="0" applyNumberFormat="1" applyFont="1" applyBorder="1" applyAlignment="1">
      <alignment horizontal="center" vertical="center"/>
    </xf>
    <xf numFmtId="17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40" fontId="12" fillId="0" borderId="1" xfId="0" applyNumberFormat="1" applyFont="1" applyBorder="1" applyAlignment="1">
      <alignment horizontal="right" vertical="center"/>
    </xf>
    <xf numFmtId="40" fontId="12" fillId="0" borderId="1" xfId="0" applyNumberFormat="1" applyFont="1" applyBorder="1" applyAlignment="1">
      <alignment vertical="center"/>
    </xf>
    <xf numFmtId="40" fontId="12" fillId="0" borderId="1" xfId="0" applyNumberFormat="1" applyFont="1" applyBorder="1" applyAlignment="1">
      <alignment horizontal="center" vertical="center"/>
    </xf>
    <xf numFmtId="4" fontId="21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0" fontId="2" fillId="0" borderId="0" xfId="0" applyFont="1"/>
    <xf numFmtId="0" fontId="20" fillId="2" borderId="50" xfId="0" applyFont="1" applyFill="1" applyBorder="1" applyAlignment="1">
      <alignment horizontal="left"/>
    </xf>
    <xf numFmtId="4" fontId="19" fillId="0" borderId="51" xfId="0" applyNumberFormat="1" applyFont="1" applyBorder="1" applyAlignment="1">
      <alignment horizontal="center"/>
    </xf>
    <xf numFmtId="4" fontId="19" fillId="0" borderId="52" xfId="0" applyNumberFormat="1" applyFont="1" applyBorder="1" applyAlignment="1">
      <alignment horizontal="center"/>
    </xf>
    <xf numFmtId="180" fontId="19" fillId="0" borderId="53" xfId="0" applyNumberFormat="1" applyFont="1" applyBorder="1" applyAlignment="1">
      <alignment horizontal="center"/>
    </xf>
    <xf numFmtId="180" fontId="19" fillId="0" borderId="49" xfId="0" applyNumberFormat="1" applyFont="1" applyBorder="1" applyAlignment="1">
      <alignment horizontal="center"/>
    </xf>
    <xf numFmtId="180" fontId="27" fillId="0" borderId="54" xfId="0" applyNumberFormat="1" applyFont="1" applyBorder="1" applyAlignment="1">
      <alignment horizontal="center"/>
    </xf>
    <xf numFmtId="0" fontId="33" fillId="0" borderId="0" xfId="0" applyFont="1" applyAlignment="1">
      <alignment horizontal="left"/>
    </xf>
    <xf numFmtId="43" fontId="19" fillId="27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5" fillId="3" borderId="2" xfId="0" applyFont="1" applyFill="1" applyBorder="1" applyAlignment="1">
      <alignment horizontal="center" vertical="center"/>
    </xf>
    <xf numFmtId="167" fontId="7" fillId="3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69" fontId="10" fillId="9" borderId="2" xfId="0" applyNumberFormat="1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vertical="center"/>
    </xf>
    <xf numFmtId="0" fontId="15" fillId="11" borderId="21" xfId="0" applyFont="1" applyFill="1" applyBorder="1" applyAlignment="1">
      <alignment horizontal="center" vertical="center"/>
    </xf>
    <xf numFmtId="0" fontId="6" fillId="0" borderId="22" xfId="0" applyFont="1" applyBorder="1"/>
    <xf numFmtId="0" fontId="6" fillId="0" borderId="23" xfId="0" applyFont="1" applyBorder="1"/>
    <xf numFmtId="168" fontId="9" fillId="7" borderId="2" xfId="0" applyNumberFormat="1" applyFont="1" applyFill="1" applyBorder="1" applyAlignment="1">
      <alignment horizontal="center" vertical="center"/>
    </xf>
    <xf numFmtId="169" fontId="9" fillId="7" borderId="2" xfId="0" applyNumberFormat="1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167" fontId="18" fillId="15" borderId="2" xfId="0" applyNumberFormat="1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6" fillId="0" borderId="11" xfId="0" applyFont="1" applyBorder="1"/>
    <xf numFmtId="170" fontId="9" fillId="8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center" vertical="center" wrapText="1"/>
    </xf>
    <xf numFmtId="173" fontId="11" fillId="0" borderId="0" xfId="0" applyNumberFormat="1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40" fontId="12" fillId="0" borderId="0" xfId="0" applyNumberFormat="1" applyFont="1" applyAlignment="1">
      <alignment horizontal="center" vertical="center"/>
    </xf>
    <xf numFmtId="178" fontId="20" fillId="0" borderId="27" xfId="0" applyNumberFormat="1" applyFont="1" applyBorder="1" applyAlignment="1">
      <alignment horizontal="center"/>
    </xf>
    <xf numFmtId="0" fontId="6" fillId="0" borderId="27" xfId="0" applyFont="1" applyBorder="1"/>
    <xf numFmtId="17" fontId="24" fillId="26" borderId="34" xfId="0" applyNumberFormat="1" applyFont="1" applyFill="1" applyBorder="1" applyAlignment="1">
      <alignment horizontal="center" vertical="center"/>
    </xf>
    <xf numFmtId="17" fontId="24" fillId="26" borderId="35" xfId="0" applyNumberFormat="1" applyFont="1" applyFill="1" applyBorder="1" applyAlignment="1">
      <alignment horizontal="center" vertical="center"/>
    </xf>
    <xf numFmtId="17" fontId="24" fillId="26" borderId="36" xfId="0" applyNumberFormat="1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22" fillId="13" borderId="2" xfId="0" applyFont="1" applyFill="1" applyBorder="1" applyAlignment="1">
      <alignment horizontal="center" vertical="center"/>
    </xf>
  </cellXfs>
  <cellStyles count="29">
    <cellStyle name="Car" xfId="8" xr:uid="{00000000-0005-0000-0000-000000000000}"/>
    <cellStyle name="Énfasis1 2" xfId="6" xr:uid="{00000000-0005-0000-0000-000001000000}"/>
    <cellStyle name="Énfasis2 2" xfId="3" xr:uid="{00000000-0005-0000-0000-000002000000}"/>
    <cellStyle name="Error" xfId="9" xr:uid="{00000000-0005-0000-0000-000003000000}"/>
    <cellStyle name="Error 2" xfId="16" xr:uid="{00000000-0005-0000-0000-000004000000}"/>
    <cellStyle name="Millares 2" xfId="10" xr:uid="{00000000-0005-0000-0000-000005000000}"/>
    <cellStyle name="Millares 2 2" xfId="17" xr:uid="{00000000-0005-0000-0000-000006000000}"/>
    <cellStyle name="Moneda 2" xfId="11" xr:uid="{00000000-0005-0000-0000-000007000000}"/>
    <cellStyle name="Moneda 2 2" xfId="20" xr:uid="{00000000-0005-0000-0000-000008000000}"/>
    <cellStyle name="Moneda 3" xfId="23" xr:uid="{00000000-0005-0000-0000-000009000000}"/>
    <cellStyle name="Moneda 4" xfId="2" xr:uid="{00000000-0005-0000-0000-00000A000000}"/>
    <cellStyle name="No completar" xfId="12" xr:uid="{00000000-0005-0000-0000-00000B000000}"/>
    <cellStyle name="No completar 2" xfId="18" xr:uid="{00000000-0005-0000-0000-00000C000000}"/>
    <cellStyle name="Normal" xfId="0" builtinId="0"/>
    <cellStyle name="Normal 10" xfId="26" xr:uid="{00000000-0005-0000-0000-00000E000000}"/>
    <cellStyle name="Normal 11" xfId="28" xr:uid="{00000000-0005-0000-0000-00000F000000}"/>
    <cellStyle name="Normal 12" xfId="27" xr:uid="{00000000-0005-0000-0000-000010000000}"/>
    <cellStyle name="Normal 13" xfId="1" xr:uid="{00000000-0005-0000-0000-000011000000}"/>
    <cellStyle name="Normal 2" xfId="5" xr:uid="{00000000-0005-0000-0000-000012000000}"/>
    <cellStyle name="Normal 2 2" xfId="19" xr:uid="{00000000-0005-0000-0000-000013000000}"/>
    <cellStyle name="Normal 3" xfId="4" xr:uid="{00000000-0005-0000-0000-000014000000}"/>
    <cellStyle name="Normal 4" xfId="13" xr:uid="{00000000-0005-0000-0000-000015000000}"/>
    <cellStyle name="Normal 5" xfId="14" xr:uid="{00000000-0005-0000-0000-000016000000}"/>
    <cellStyle name="Normal 6" xfId="15" xr:uid="{00000000-0005-0000-0000-000017000000}"/>
    <cellStyle name="Normal 6 2" xfId="21" xr:uid="{00000000-0005-0000-0000-000018000000}"/>
    <cellStyle name="Normal 7" xfId="7" xr:uid="{00000000-0005-0000-0000-000019000000}"/>
    <cellStyle name="Normal 7 2" xfId="22" xr:uid="{00000000-0005-0000-0000-00001A000000}"/>
    <cellStyle name="Normal 8" xfId="24" xr:uid="{00000000-0005-0000-0000-00001B000000}"/>
    <cellStyle name="Normal 9" xfId="25" xr:uid="{00000000-0005-0000-0000-00001C000000}"/>
  </cellStyles>
  <dxfs count="323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7"/>
          <bgColor theme="7"/>
        </patternFill>
      </fill>
    </dxf>
  </dxfs>
  <tableStyles count="84">
    <tableStyle name="Lista_CUIT-style" pivot="0" count="3" xr9:uid="{00000000-0011-0000-FFFF-FFFF00000000}">
      <tableStyleElement type="headerRow" dxfId="322"/>
      <tableStyleElement type="firstRowStripe" dxfId="321"/>
      <tableStyleElement type="secondRowStripe" dxfId="320"/>
    </tableStyle>
    <tableStyle name="Abr-22-style" pivot="0" count="4" xr9:uid="{00000000-0011-0000-FFFF-FFFF01000000}">
      <tableStyleElement type="headerRow" dxfId="319"/>
      <tableStyleElement type="totalRow" dxfId="318"/>
      <tableStyleElement type="firstRowStripe" dxfId="317"/>
      <tableStyleElement type="secondRowStripe" dxfId="316"/>
    </tableStyle>
    <tableStyle name="Abr-22-style 2" pivot="0" count="4" xr9:uid="{00000000-0011-0000-FFFF-FFFF02000000}">
      <tableStyleElement type="headerRow" dxfId="315"/>
      <tableStyleElement type="totalRow" dxfId="314"/>
      <tableStyleElement type="firstRowStripe" dxfId="313"/>
      <tableStyleElement type="secondRowStripe" dxfId="312"/>
    </tableStyle>
    <tableStyle name="Abr-22-style 3" pivot="0" count="4" xr9:uid="{00000000-0011-0000-FFFF-FFFF03000000}">
      <tableStyleElement type="headerRow" dxfId="311"/>
      <tableStyleElement type="totalRow" dxfId="310"/>
      <tableStyleElement type="firstRowStripe" dxfId="309"/>
      <tableStyleElement type="secondRowStripe" dxfId="308"/>
    </tableStyle>
    <tableStyle name="Abr-22-style 4" pivot="0" count="4" xr9:uid="{00000000-0011-0000-FFFF-FFFF04000000}">
      <tableStyleElement type="headerRow" dxfId="307"/>
      <tableStyleElement type="totalRow" dxfId="306"/>
      <tableStyleElement type="firstRowStripe" dxfId="305"/>
      <tableStyleElement type="secondRowStripe" dxfId="304"/>
    </tableStyle>
    <tableStyle name="Abr-22-style 5" pivot="0" count="4" xr9:uid="{00000000-0011-0000-FFFF-FFFF05000000}">
      <tableStyleElement type="headerRow" dxfId="303"/>
      <tableStyleElement type="totalRow" dxfId="302"/>
      <tableStyleElement type="firstRowStripe" dxfId="301"/>
      <tableStyleElement type="secondRowStripe" dxfId="300"/>
    </tableStyle>
    <tableStyle name="Abr-22-style 6" pivot="0" count="3" xr9:uid="{00000000-0011-0000-FFFF-FFFF06000000}">
      <tableStyleElement type="headerRow" dxfId="299"/>
      <tableStyleElement type="firstRowStripe" dxfId="298"/>
      <tableStyleElement type="secondRowStripe" dxfId="297"/>
    </tableStyle>
    <tableStyle name="Abr-22-style 7" pivot="0" count="3" xr9:uid="{00000000-0011-0000-FFFF-FFFF07000000}">
      <tableStyleElement type="headerRow" dxfId="296"/>
      <tableStyleElement type="firstRowStripe" dxfId="295"/>
      <tableStyleElement type="secondRowStripe" dxfId="294"/>
    </tableStyle>
    <tableStyle name="May-22-style" pivot="0" count="4" xr9:uid="{00000000-0011-0000-FFFF-FFFF08000000}">
      <tableStyleElement type="headerRow" dxfId="293"/>
      <tableStyleElement type="totalRow" dxfId="292"/>
      <tableStyleElement type="firstRowStripe" dxfId="291"/>
      <tableStyleElement type="secondRowStripe" dxfId="290"/>
    </tableStyle>
    <tableStyle name="May-22-style 2" pivot="0" count="4" xr9:uid="{00000000-0011-0000-FFFF-FFFF09000000}">
      <tableStyleElement type="headerRow" dxfId="289"/>
      <tableStyleElement type="totalRow" dxfId="288"/>
      <tableStyleElement type="firstRowStripe" dxfId="287"/>
      <tableStyleElement type="secondRowStripe" dxfId="286"/>
    </tableStyle>
    <tableStyle name="May-22-style 3" pivot="0" count="4" xr9:uid="{00000000-0011-0000-FFFF-FFFF0A000000}">
      <tableStyleElement type="headerRow" dxfId="285"/>
      <tableStyleElement type="totalRow" dxfId="284"/>
      <tableStyleElement type="firstRowStripe" dxfId="283"/>
      <tableStyleElement type="secondRowStripe" dxfId="282"/>
    </tableStyle>
    <tableStyle name="May-22-style 4" pivot="0" count="4" xr9:uid="{00000000-0011-0000-FFFF-FFFF0B000000}">
      <tableStyleElement type="headerRow" dxfId="281"/>
      <tableStyleElement type="totalRow" dxfId="280"/>
      <tableStyleElement type="firstRowStripe" dxfId="279"/>
      <tableStyleElement type="secondRowStripe" dxfId="278"/>
    </tableStyle>
    <tableStyle name="May-22-style 5" pivot="0" count="4" xr9:uid="{00000000-0011-0000-FFFF-FFFF0C000000}">
      <tableStyleElement type="headerRow" dxfId="277"/>
      <tableStyleElement type="totalRow" dxfId="276"/>
      <tableStyleElement type="firstRowStripe" dxfId="275"/>
      <tableStyleElement type="secondRowStripe" dxfId="274"/>
    </tableStyle>
    <tableStyle name="May-22-style 6" pivot="0" count="3" xr9:uid="{00000000-0011-0000-FFFF-FFFF0D000000}">
      <tableStyleElement type="headerRow" dxfId="273"/>
      <tableStyleElement type="firstRowStripe" dxfId="272"/>
      <tableStyleElement type="secondRowStripe" dxfId="271"/>
    </tableStyle>
    <tableStyle name="May-22-style 7" pivot="0" count="3" xr9:uid="{00000000-0011-0000-FFFF-FFFF0E000000}">
      <tableStyleElement type="headerRow" dxfId="270"/>
      <tableStyleElement type="firstRowStripe" dxfId="269"/>
      <tableStyleElement type="secondRowStripe" dxfId="268"/>
    </tableStyle>
    <tableStyle name="Jun-22-style" pivot="0" count="4" xr9:uid="{00000000-0011-0000-FFFF-FFFF0F000000}">
      <tableStyleElement type="headerRow" dxfId="267"/>
      <tableStyleElement type="totalRow" dxfId="266"/>
      <tableStyleElement type="firstRowStripe" dxfId="265"/>
      <tableStyleElement type="secondRowStripe" dxfId="264"/>
    </tableStyle>
    <tableStyle name="Jun-22-style 2" pivot="0" count="4" xr9:uid="{00000000-0011-0000-FFFF-FFFF10000000}">
      <tableStyleElement type="headerRow" dxfId="263"/>
      <tableStyleElement type="totalRow" dxfId="262"/>
      <tableStyleElement type="firstRowStripe" dxfId="261"/>
      <tableStyleElement type="secondRowStripe" dxfId="260"/>
    </tableStyle>
    <tableStyle name="Jun-22-style 3" pivot="0" count="4" xr9:uid="{00000000-0011-0000-FFFF-FFFF11000000}">
      <tableStyleElement type="headerRow" dxfId="259"/>
      <tableStyleElement type="totalRow" dxfId="258"/>
      <tableStyleElement type="firstRowStripe" dxfId="257"/>
      <tableStyleElement type="secondRowStripe" dxfId="256"/>
    </tableStyle>
    <tableStyle name="Jun-22-style 4" pivot="0" count="4" xr9:uid="{00000000-0011-0000-FFFF-FFFF12000000}">
      <tableStyleElement type="headerRow" dxfId="255"/>
      <tableStyleElement type="totalRow" dxfId="254"/>
      <tableStyleElement type="firstRowStripe" dxfId="253"/>
      <tableStyleElement type="secondRowStripe" dxfId="252"/>
    </tableStyle>
    <tableStyle name="Jun-22-style 5" pivot="0" count="4" xr9:uid="{00000000-0011-0000-FFFF-FFFF13000000}">
      <tableStyleElement type="headerRow" dxfId="251"/>
      <tableStyleElement type="totalRow" dxfId="250"/>
      <tableStyleElement type="firstRowStripe" dxfId="249"/>
      <tableStyleElement type="secondRowStripe" dxfId="248"/>
    </tableStyle>
    <tableStyle name="Jun-22-style 6" pivot="0" count="3" xr9:uid="{00000000-0011-0000-FFFF-FFFF14000000}">
      <tableStyleElement type="headerRow" dxfId="247"/>
      <tableStyleElement type="firstRowStripe" dxfId="246"/>
      <tableStyleElement type="secondRowStripe" dxfId="245"/>
    </tableStyle>
    <tableStyle name="Jul-22-style" pivot="0" count="4" xr9:uid="{00000000-0011-0000-FFFF-FFFF15000000}">
      <tableStyleElement type="headerRow" dxfId="244"/>
      <tableStyleElement type="totalRow" dxfId="243"/>
      <tableStyleElement type="firstRowStripe" dxfId="242"/>
      <tableStyleElement type="secondRowStripe" dxfId="241"/>
    </tableStyle>
    <tableStyle name="Jul-22-style 2" pivot="0" count="4" xr9:uid="{00000000-0011-0000-FFFF-FFFF16000000}">
      <tableStyleElement type="headerRow" dxfId="240"/>
      <tableStyleElement type="totalRow" dxfId="239"/>
      <tableStyleElement type="firstRowStripe" dxfId="238"/>
      <tableStyleElement type="secondRowStripe" dxfId="237"/>
    </tableStyle>
    <tableStyle name="Jul-22-style 3" pivot="0" count="4" xr9:uid="{00000000-0011-0000-FFFF-FFFF17000000}">
      <tableStyleElement type="headerRow" dxfId="236"/>
      <tableStyleElement type="totalRow" dxfId="235"/>
      <tableStyleElement type="firstRowStripe" dxfId="234"/>
      <tableStyleElement type="secondRowStripe" dxfId="233"/>
    </tableStyle>
    <tableStyle name="Jul-22-style 4" pivot="0" count="4" xr9:uid="{00000000-0011-0000-FFFF-FFFF18000000}">
      <tableStyleElement type="headerRow" dxfId="232"/>
      <tableStyleElement type="totalRow" dxfId="231"/>
      <tableStyleElement type="firstRowStripe" dxfId="230"/>
      <tableStyleElement type="secondRowStripe" dxfId="229"/>
    </tableStyle>
    <tableStyle name="Jul-22-style 5" pivot="0" count="4" xr9:uid="{00000000-0011-0000-FFFF-FFFF19000000}">
      <tableStyleElement type="headerRow" dxfId="228"/>
      <tableStyleElement type="totalRow" dxfId="227"/>
      <tableStyleElement type="firstRowStripe" dxfId="226"/>
      <tableStyleElement type="secondRowStripe" dxfId="225"/>
    </tableStyle>
    <tableStyle name="Jul-22-style 6" pivot="0" count="3" xr9:uid="{00000000-0011-0000-FFFF-FFFF1A000000}">
      <tableStyleElement type="headerRow" dxfId="224"/>
      <tableStyleElement type="firstRowStripe" dxfId="223"/>
      <tableStyleElement type="secondRowStripe" dxfId="222"/>
    </tableStyle>
    <tableStyle name="Jul-22-style 7" pivot="0" count="3" xr9:uid="{00000000-0011-0000-FFFF-FFFF1B000000}">
      <tableStyleElement type="headerRow" dxfId="221"/>
      <tableStyleElement type="firstRowStripe" dxfId="220"/>
      <tableStyleElement type="secondRowStripe" dxfId="219"/>
    </tableStyle>
    <tableStyle name="Ago-22-style" pivot="0" count="4" xr9:uid="{00000000-0011-0000-FFFF-FFFF1C000000}">
      <tableStyleElement type="headerRow" dxfId="218"/>
      <tableStyleElement type="totalRow" dxfId="217"/>
      <tableStyleElement type="firstRowStripe" dxfId="216"/>
      <tableStyleElement type="secondRowStripe" dxfId="215"/>
    </tableStyle>
    <tableStyle name="Ago-22-style 2" pivot="0" count="4" xr9:uid="{00000000-0011-0000-FFFF-FFFF1D000000}">
      <tableStyleElement type="headerRow" dxfId="214"/>
      <tableStyleElement type="totalRow" dxfId="213"/>
      <tableStyleElement type="firstRowStripe" dxfId="212"/>
      <tableStyleElement type="secondRowStripe" dxfId="211"/>
    </tableStyle>
    <tableStyle name="Ago-22-style 3" pivot="0" count="4" xr9:uid="{00000000-0011-0000-FFFF-FFFF1E000000}">
      <tableStyleElement type="headerRow" dxfId="210"/>
      <tableStyleElement type="totalRow" dxfId="209"/>
      <tableStyleElement type="firstRowStripe" dxfId="208"/>
      <tableStyleElement type="secondRowStripe" dxfId="207"/>
    </tableStyle>
    <tableStyle name="Ago-22-style 4" pivot="0" count="4" xr9:uid="{00000000-0011-0000-FFFF-FFFF1F000000}">
      <tableStyleElement type="headerRow" dxfId="206"/>
      <tableStyleElement type="totalRow" dxfId="205"/>
      <tableStyleElement type="firstRowStripe" dxfId="204"/>
      <tableStyleElement type="secondRowStripe" dxfId="203"/>
    </tableStyle>
    <tableStyle name="Ago-22-style 5" pivot="0" count="4" xr9:uid="{00000000-0011-0000-FFFF-FFFF20000000}">
      <tableStyleElement type="headerRow" dxfId="202"/>
      <tableStyleElement type="totalRow" dxfId="201"/>
      <tableStyleElement type="firstRowStripe" dxfId="200"/>
      <tableStyleElement type="secondRowStripe" dxfId="199"/>
    </tableStyle>
    <tableStyle name="Ago-22-style 6" pivot="0" count="3" xr9:uid="{00000000-0011-0000-FFFF-FFFF21000000}">
      <tableStyleElement type="headerRow" dxfId="198"/>
      <tableStyleElement type="firstRowStripe" dxfId="197"/>
      <tableStyleElement type="secondRowStripe" dxfId="196"/>
    </tableStyle>
    <tableStyle name="Sep-22-style" pivot="0" count="4" xr9:uid="{00000000-0011-0000-FFFF-FFFF22000000}">
      <tableStyleElement type="headerRow" dxfId="195"/>
      <tableStyleElement type="totalRow" dxfId="194"/>
      <tableStyleElement type="firstRowStripe" dxfId="193"/>
      <tableStyleElement type="secondRowStripe" dxfId="192"/>
    </tableStyle>
    <tableStyle name="Sep-22-style 2" pivot="0" count="4" xr9:uid="{00000000-0011-0000-FFFF-FFFF23000000}">
      <tableStyleElement type="headerRow" dxfId="191"/>
      <tableStyleElement type="totalRow" dxfId="190"/>
      <tableStyleElement type="firstRowStripe" dxfId="189"/>
      <tableStyleElement type="secondRowStripe" dxfId="188"/>
    </tableStyle>
    <tableStyle name="Sep-22-style 3" pivot="0" count="4" xr9:uid="{00000000-0011-0000-FFFF-FFFF24000000}">
      <tableStyleElement type="headerRow" dxfId="187"/>
      <tableStyleElement type="totalRow" dxfId="186"/>
      <tableStyleElement type="firstRowStripe" dxfId="185"/>
      <tableStyleElement type="secondRowStripe" dxfId="184"/>
    </tableStyle>
    <tableStyle name="Sep-22-style 4" pivot="0" count="4" xr9:uid="{00000000-0011-0000-FFFF-FFFF25000000}">
      <tableStyleElement type="headerRow" dxfId="183"/>
      <tableStyleElement type="totalRow" dxfId="182"/>
      <tableStyleElement type="firstRowStripe" dxfId="181"/>
      <tableStyleElement type="secondRowStripe" dxfId="180"/>
    </tableStyle>
    <tableStyle name="Sep-22-style 5" pivot="0" count="4" xr9:uid="{00000000-0011-0000-FFFF-FFFF26000000}">
      <tableStyleElement type="headerRow" dxfId="179"/>
      <tableStyleElement type="totalRow" dxfId="178"/>
      <tableStyleElement type="firstRowStripe" dxfId="177"/>
      <tableStyleElement type="secondRowStripe" dxfId="176"/>
    </tableStyle>
    <tableStyle name="Sep-22-style 6" pivot="0" count="3" xr9:uid="{00000000-0011-0000-FFFF-FFFF27000000}">
      <tableStyleElement type="headerRow" dxfId="175"/>
      <tableStyleElement type="firstRowStripe" dxfId="174"/>
      <tableStyleElement type="secondRowStripe" dxfId="173"/>
    </tableStyle>
    <tableStyle name="Sep-22-style 7" pivot="0" count="3" xr9:uid="{00000000-0011-0000-FFFF-FFFF28000000}">
      <tableStyleElement type="headerRow" dxfId="172"/>
      <tableStyleElement type="firstRowStripe" dxfId="171"/>
      <tableStyleElement type="secondRowStripe" dxfId="170"/>
    </tableStyle>
    <tableStyle name="Oct-22-style" pivot="0" count="4" xr9:uid="{00000000-0011-0000-FFFF-FFFF29000000}">
      <tableStyleElement type="headerRow" dxfId="169"/>
      <tableStyleElement type="totalRow" dxfId="168"/>
      <tableStyleElement type="firstRowStripe" dxfId="167"/>
      <tableStyleElement type="secondRowStripe" dxfId="166"/>
    </tableStyle>
    <tableStyle name="Oct-22-style 2" pivot="0" count="4" xr9:uid="{00000000-0011-0000-FFFF-FFFF2A000000}">
      <tableStyleElement type="headerRow" dxfId="165"/>
      <tableStyleElement type="totalRow" dxfId="164"/>
      <tableStyleElement type="firstRowStripe" dxfId="163"/>
      <tableStyleElement type="secondRowStripe" dxfId="162"/>
    </tableStyle>
    <tableStyle name="Oct-22-style 3" pivot="0" count="4" xr9:uid="{00000000-0011-0000-FFFF-FFFF2B000000}">
      <tableStyleElement type="headerRow" dxfId="161"/>
      <tableStyleElement type="totalRow" dxfId="160"/>
      <tableStyleElement type="firstRowStripe" dxfId="159"/>
      <tableStyleElement type="secondRowStripe" dxfId="158"/>
    </tableStyle>
    <tableStyle name="Oct-22-style 4" pivot="0" count="4" xr9:uid="{00000000-0011-0000-FFFF-FFFF2C000000}">
      <tableStyleElement type="headerRow" dxfId="157"/>
      <tableStyleElement type="totalRow" dxfId="156"/>
      <tableStyleElement type="firstRowStripe" dxfId="155"/>
      <tableStyleElement type="secondRowStripe" dxfId="154"/>
    </tableStyle>
    <tableStyle name="Oct-22-style 5" pivot="0" count="4" xr9:uid="{00000000-0011-0000-FFFF-FFFF2D000000}">
      <tableStyleElement type="headerRow" dxfId="153"/>
      <tableStyleElement type="totalRow" dxfId="152"/>
      <tableStyleElement type="firstRowStripe" dxfId="151"/>
      <tableStyleElement type="secondRowStripe" dxfId="150"/>
    </tableStyle>
    <tableStyle name="Oct-22-style 6" pivot="0" count="4" xr9:uid="{00000000-0011-0000-FFFF-FFFF2E000000}">
      <tableStyleElement type="headerRow" dxfId="149"/>
      <tableStyleElement type="totalRow" dxfId="148"/>
      <tableStyleElement type="firstRowStripe" dxfId="147"/>
      <tableStyleElement type="secondRowStripe" dxfId="146"/>
    </tableStyle>
    <tableStyle name="Oct-22-style 7" pivot="0" count="3" xr9:uid="{00000000-0011-0000-FFFF-FFFF2F000000}">
      <tableStyleElement type="headerRow" dxfId="145"/>
      <tableStyleElement type="firstRowStripe" dxfId="144"/>
      <tableStyleElement type="secondRowStripe" dxfId="143"/>
    </tableStyle>
    <tableStyle name="Nov-22-style" pivot="0" count="4" xr9:uid="{00000000-0011-0000-FFFF-FFFF30000000}">
      <tableStyleElement type="headerRow" dxfId="142"/>
      <tableStyleElement type="totalRow" dxfId="141"/>
      <tableStyleElement type="firstRowStripe" dxfId="140"/>
      <tableStyleElement type="secondRowStripe" dxfId="139"/>
    </tableStyle>
    <tableStyle name="Nov-22-style 2" pivot="0" count="4" xr9:uid="{00000000-0011-0000-FFFF-FFFF31000000}">
      <tableStyleElement type="headerRow" dxfId="138"/>
      <tableStyleElement type="totalRow" dxfId="137"/>
      <tableStyleElement type="firstRowStripe" dxfId="136"/>
      <tableStyleElement type="secondRowStripe" dxfId="135"/>
    </tableStyle>
    <tableStyle name="Nov-22-style 3" pivot="0" count="4" xr9:uid="{00000000-0011-0000-FFFF-FFFF32000000}">
      <tableStyleElement type="headerRow" dxfId="134"/>
      <tableStyleElement type="totalRow" dxfId="133"/>
      <tableStyleElement type="firstRowStripe" dxfId="132"/>
      <tableStyleElement type="secondRowStripe" dxfId="131"/>
    </tableStyle>
    <tableStyle name="Nov-22-style 4" pivot="0" count="4" xr9:uid="{00000000-0011-0000-FFFF-FFFF33000000}">
      <tableStyleElement type="headerRow" dxfId="130"/>
      <tableStyleElement type="totalRow" dxfId="129"/>
      <tableStyleElement type="firstRowStripe" dxfId="128"/>
      <tableStyleElement type="secondRowStripe" dxfId="127"/>
    </tableStyle>
    <tableStyle name="Nov-22-style 5" pivot="0" count="4" xr9:uid="{00000000-0011-0000-FFFF-FFFF34000000}">
      <tableStyleElement type="headerRow" dxfId="126"/>
      <tableStyleElement type="totalRow" dxfId="125"/>
      <tableStyleElement type="firstRowStripe" dxfId="124"/>
      <tableStyleElement type="secondRowStripe" dxfId="123"/>
    </tableStyle>
    <tableStyle name="Nov-22-style 6" pivot="0" count="4" xr9:uid="{00000000-0011-0000-FFFF-FFFF35000000}">
      <tableStyleElement type="headerRow" dxfId="122"/>
      <tableStyleElement type="totalRow" dxfId="121"/>
      <tableStyleElement type="firstRowStripe" dxfId="120"/>
      <tableStyleElement type="secondRowStripe" dxfId="119"/>
    </tableStyle>
    <tableStyle name="Nov-22-style 7" pivot="0" count="3" xr9:uid="{00000000-0011-0000-FFFF-FFFF36000000}">
      <tableStyleElement type="headerRow" dxfId="118"/>
      <tableStyleElement type="firstRowStripe" dxfId="117"/>
      <tableStyleElement type="secondRowStripe" dxfId="116"/>
    </tableStyle>
    <tableStyle name="Dic-22-style" pivot="0" count="4" xr9:uid="{00000000-0011-0000-FFFF-FFFF37000000}">
      <tableStyleElement type="headerRow" dxfId="115"/>
      <tableStyleElement type="totalRow" dxfId="114"/>
      <tableStyleElement type="firstRowStripe" dxfId="113"/>
      <tableStyleElement type="secondRowStripe" dxfId="112"/>
    </tableStyle>
    <tableStyle name="Dic-22-style 2" pivot="0" count="4" xr9:uid="{00000000-0011-0000-FFFF-FFFF38000000}">
      <tableStyleElement type="headerRow" dxfId="111"/>
      <tableStyleElement type="totalRow" dxfId="110"/>
      <tableStyleElement type="firstRowStripe" dxfId="109"/>
      <tableStyleElement type="secondRowStripe" dxfId="108"/>
    </tableStyle>
    <tableStyle name="Dic-22-style 3" pivot="0" count="4" xr9:uid="{00000000-0011-0000-FFFF-FFFF39000000}">
      <tableStyleElement type="headerRow" dxfId="107"/>
      <tableStyleElement type="totalRow" dxfId="106"/>
      <tableStyleElement type="firstRowStripe" dxfId="105"/>
      <tableStyleElement type="secondRowStripe" dxfId="104"/>
    </tableStyle>
    <tableStyle name="Dic-22-style 4" pivot="0" count="4" xr9:uid="{00000000-0011-0000-FFFF-FFFF3A000000}">
      <tableStyleElement type="headerRow" dxfId="103"/>
      <tableStyleElement type="totalRow" dxfId="102"/>
      <tableStyleElement type="firstRowStripe" dxfId="101"/>
      <tableStyleElement type="secondRowStripe" dxfId="100"/>
    </tableStyle>
    <tableStyle name="Dic-22-style 5" pivot="0" count="4" xr9:uid="{00000000-0011-0000-FFFF-FFFF3B000000}">
      <tableStyleElement type="headerRow" dxfId="99"/>
      <tableStyleElement type="totalRow" dxfId="98"/>
      <tableStyleElement type="firstRowStripe" dxfId="97"/>
      <tableStyleElement type="secondRowStripe" dxfId="96"/>
    </tableStyle>
    <tableStyle name="Dic-22-style 6" pivot="0" count="3" xr9:uid="{00000000-0011-0000-FFFF-FFFF3C000000}">
      <tableStyleElement type="headerRow" dxfId="95"/>
      <tableStyleElement type="firstRowStripe" dxfId="94"/>
      <tableStyleElement type="secondRowStripe" dxfId="93"/>
    </tableStyle>
    <tableStyle name="Dic-22-style 7" pivot="0" count="3" xr9:uid="{00000000-0011-0000-FFFF-FFFF3D000000}">
      <tableStyleElement type="headerRow" dxfId="92"/>
      <tableStyleElement type="firstRowStripe" dxfId="91"/>
      <tableStyleElement type="secondRowStripe" dxfId="90"/>
    </tableStyle>
    <tableStyle name="Ene-23-style" pivot="0" count="4" xr9:uid="{00000000-0011-0000-FFFF-FFFF3E000000}">
      <tableStyleElement type="headerRow" dxfId="89"/>
      <tableStyleElement type="totalRow" dxfId="88"/>
      <tableStyleElement type="firstRowStripe" dxfId="87"/>
      <tableStyleElement type="secondRowStripe" dxfId="86"/>
    </tableStyle>
    <tableStyle name="Ene-23-style 2" pivot="0" count="4" xr9:uid="{00000000-0011-0000-FFFF-FFFF3F000000}">
      <tableStyleElement type="headerRow" dxfId="85"/>
      <tableStyleElement type="totalRow" dxfId="84"/>
      <tableStyleElement type="firstRowStripe" dxfId="83"/>
      <tableStyleElement type="secondRowStripe" dxfId="82"/>
    </tableStyle>
    <tableStyle name="Ene-23-style 3" pivot="0" count="4" xr9:uid="{00000000-0011-0000-FFFF-FFFF40000000}">
      <tableStyleElement type="headerRow" dxfId="81"/>
      <tableStyleElement type="totalRow" dxfId="80"/>
      <tableStyleElement type="firstRowStripe" dxfId="79"/>
      <tableStyleElement type="secondRowStripe" dxfId="78"/>
    </tableStyle>
    <tableStyle name="Ene-23-style 4" pivot="0" count="4" xr9:uid="{00000000-0011-0000-FFFF-FFFF41000000}">
      <tableStyleElement type="headerRow" dxfId="77"/>
      <tableStyleElement type="totalRow" dxfId="76"/>
      <tableStyleElement type="firstRowStripe" dxfId="75"/>
      <tableStyleElement type="secondRowStripe" dxfId="74"/>
    </tableStyle>
    <tableStyle name="Ene-23-style 5" pivot="0" count="4" xr9:uid="{00000000-0011-0000-FFFF-FFFF42000000}">
      <tableStyleElement type="headerRow" dxfId="73"/>
      <tableStyleElement type="totalRow" dxfId="72"/>
      <tableStyleElement type="firstRowStripe" dxfId="71"/>
      <tableStyleElement type="secondRowStripe" dxfId="70"/>
    </tableStyle>
    <tableStyle name="Ene-23-style 6" pivot="0" count="3" xr9:uid="{00000000-0011-0000-FFFF-FFFF43000000}">
      <tableStyleElement type="headerRow" dxfId="69"/>
      <tableStyleElement type="firstRowStripe" dxfId="68"/>
      <tableStyleElement type="secondRowStripe" dxfId="67"/>
    </tableStyle>
    <tableStyle name="Ene-23-style 7" pivot="0" count="3" xr9:uid="{00000000-0011-0000-FFFF-FFFF44000000}">
      <tableStyleElement type="headerRow" dxfId="66"/>
      <tableStyleElement type="firstRowStripe" dxfId="65"/>
      <tableStyleElement type="secondRowStripe" dxfId="64"/>
    </tableStyle>
    <tableStyle name="Feb-23-style" pivot="0" count="4" xr9:uid="{00000000-0011-0000-FFFF-FFFF45000000}">
      <tableStyleElement type="headerRow" dxfId="63"/>
      <tableStyleElement type="totalRow" dxfId="62"/>
      <tableStyleElement type="firstRowStripe" dxfId="61"/>
      <tableStyleElement type="secondRowStripe" dxfId="60"/>
    </tableStyle>
    <tableStyle name="Feb-23-style 2" pivot="0" count="4" xr9:uid="{00000000-0011-0000-FFFF-FFFF46000000}">
      <tableStyleElement type="headerRow" dxfId="59"/>
      <tableStyleElement type="totalRow" dxfId="58"/>
      <tableStyleElement type="firstRowStripe" dxfId="57"/>
      <tableStyleElement type="secondRowStripe" dxfId="56"/>
    </tableStyle>
    <tableStyle name="Feb-23-style 3" pivot="0" count="4" xr9:uid="{00000000-0011-0000-FFFF-FFFF47000000}">
      <tableStyleElement type="headerRow" dxfId="55"/>
      <tableStyleElement type="totalRow" dxfId="54"/>
      <tableStyleElement type="firstRowStripe" dxfId="53"/>
      <tableStyleElement type="secondRowStripe" dxfId="52"/>
    </tableStyle>
    <tableStyle name="Feb-23-style 4" pivot="0" count="4" xr9:uid="{00000000-0011-0000-FFFF-FFFF48000000}">
      <tableStyleElement type="headerRow" dxfId="51"/>
      <tableStyleElement type="totalRow" dxfId="50"/>
      <tableStyleElement type="firstRowStripe" dxfId="49"/>
      <tableStyleElement type="secondRowStripe" dxfId="48"/>
    </tableStyle>
    <tableStyle name="Feb-23-style 5" pivot="0" count="4" xr9:uid="{00000000-0011-0000-FFFF-FFFF49000000}">
      <tableStyleElement type="headerRow" dxfId="47"/>
      <tableStyleElement type="totalRow" dxfId="46"/>
      <tableStyleElement type="firstRowStripe" dxfId="45"/>
      <tableStyleElement type="secondRowStripe" dxfId="44"/>
    </tableStyle>
    <tableStyle name="Feb-23-style 6" pivot="0" count="3" xr9:uid="{00000000-0011-0000-FFFF-FFFF4A000000}">
      <tableStyleElement type="headerRow" dxfId="43"/>
      <tableStyleElement type="firstRowStripe" dxfId="42"/>
      <tableStyleElement type="secondRowStripe" dxfId="41"/>
    </tableStyle>
    <tableStyle name="Mar-23-style" pivot="0" count="4" xr9:uid="{00000000-0011-0000-FFFF-FFFF4B000000}">
      <tableStyleElement type="headerRow" dxfId="40"/>
      <tableStyleElement type="totalRow" dxfId="39"/>
      <tableStyleElement type="firstRowStripe" dxfId="38"/>
      <tableStyleElement type="secondRowStripe" dxfId="37"/>
    </tableStyle>
    <tableStyle name="Mar-23-style 2" pivot="0" count="4" xr9:uid="{00000000-0011-0000-FFFF-FFFF4C000000}">
      <tableStyleElement type="headerRow" dxfId="36"/>
      <tableStyleElement type="totalRow" dxfId="35"/>
      <tableStyleElement type="firstRowStripe" dxfId="34"/>
      <tableStyleElement type="secondRowStripe" dxfId="33"/>
    </tableStyle>
    <tableStyle name="Mar-23-style 3" pivot="0" count="4" xr9:uid="{00000000-0011-0000-FFFF-FFFF4D000000}">
      <tableStyleElement type="headerRow" dxfId="32"/>
      <tableStyleElement type="totalRow" dxfId="31"/>
      <tableStyleElement type="firstRowStripe" dxfId="30"/>
      <tableStyleElement type="secondRowStripe" dxfId="29"/>
    </tableStyle>
    <tableStyle name="Mar-23-style 4" pivot="0" count="4" xr9:uid="{00000000-0011-0000-FFFF-FFFF4E000000}">
      <tableStyleElement type="headerRow" dxfId="28"/>
      <tableStyleElement type="totalRow" dxfId="27"/>
      <tableStyleElement type="firstRowStripe" dxfId="26"/>
      <tableStyleElement type="secondRowStripe" dxfId="25"/>
    </tableStyle>
    <tableStyle name="Mar-23-style 5" pivot="0" count="4" xr9:uid="{00000000-0011-0000-FFFF-FFFF4F000000}">
      <tableStyleElement type="headerRow" dxfId="24"/>
      <tableStyleElement type="totalRow" dxfId="23"/>
      <tableStyleElement type="firstRowStripe" dxfId="22"/>
      <tableStyleElement type="secondRowStripe" dxfId="21"/>
    </tableStyle>
    <tableStyle name="Mar-23-style 6" pivot="0" count="3" xr9:uid="{00000000-0011-0000-FFFF-FFFF50000000}">
      <tableStyleElement type="headerRow" dxfId="20"/>
      <tableStyleElement type="firstRowStripe" dxfId="19"/>
      <tableStyleElement type="secondRowStripe" dxfId="18"/>
    </tableStyle>
    <tableStyle name="Mar-23-style 7" pivot="0" count="3" xr9:uid="{00000000-0011-0000-FFFF-FFFF51000000}">
      <tableStyleElement type="headerRow" dxfId="17"/>
      <tableStyleElement type="firstRowStripe" dxfId="16"/>
      <tableStyleElement type="secondRowStripe" dxfId="15"/>
    </tableStyle>
    <tableStyle name="Estilo de tabla 1" pivot="0" count="4" xr9:uid="{00000000-0011-0000-FFFF-FFFF52000000}">
      <tableStyleElement type="wholeTable" dxfId="14"/>
      <tableStyleElement type="headerRow" dxfId="13"/>
      <tableStyleElement type="totalRow" dxfId="12"/>
      <tableStyleElement type="firstRowStripe" dxfId="11"/>
    </tableStyle>
    <tableStyle name="Tabla Ventas" pivot="0" count="5" xr9:uid="{00000000-0011-0000-FFFF-FFFF53000000}">
      <tableStyleElement type="wholeTable" dxfId="10"/>
      <tableStyleElement type="headerRow" dxfId="9"/>
      <tableStyleElement type="total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228600</xdr:colOff>
      <xdr:row>2</xdr:row>
      <xdr:rowOff>38100</xdr:rowOff>
    </xdr:from>
    <xdr:ext cx="2162175" cy="1790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15</xdr:row>
      <xdr:rowOff>133350</xdr:rowOff>
    </xdr:from>
    <xdr:ext cx="2143125" cy="371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872" totalsRowCount="1">
  <autoFilter ref="A1:D1871" xr:uid="{00000000-0009-0000-0100-000001000000}"/>
  <sortState xmlns:xlrd2="http://schemas.microsoft.com/office/spreadsheetml/2017/richdata2" ref="A2:D1871">
    <sortCondition ref="C1:C1871"/>
  </sortState>
  <tableColumns count="4">
    <tableColumn id="1" xr3:uid="{00000000-0010-0000-0000-000001000000}" name="CUIT"/>
    <tableColumn id="2" xr3:uid="{00000000-0010-0000-0000-000002000000}" name="RAZON SOCIAL"/>
    <tableColumn id="3" xr3:uid="{00000000-0010-0000-0000-000003000000}" name="Tipo de Gasto" totalsRowDxfId="5"/>
    <tableColumn id="4" xr3:uid="{00000000-0010-0000-0000-000004000000}" name="PROVINCIA"/>
  </tableColumns>
  <tableStyleInfo name="Lista_CUI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8:R51">
  <tableColumns count="17">
    <tableColumn id="1" xr3:uid="{00000000-0010-0000-0100-000001000000}" name="FECHA"/>
    <tableColumn id="2" xr3:uid="{00000000-0010-0000-0100-000002000000}" name="TIPO"/>
    <tableColumn id="3" xr3:uid="{00000000-0010-0000-0100-000003000000}" name="PTO VTA"/>
    <tableColumn id="4" xr3:uid="{00000000-0010-0000-0100-000004000000}" name="NRO. CPTE"/>
    <tableColumn id="5" xr3:uid="{00000000-0010-0000-0100-000005000000}" name="CUIT"/>
    <tableColumn id="6" xr3:uid="{00000000-0010-0000-0100-000006000000}" name="RAZON SOCIAL"/>
    <tableColumn id="7" xr3:uid="{00000000-0010-0000-0100-000007000000}" name="NETO GRAVADO"/>
    <tableColumn id="8" xr3:uid="{00000000-0010-0000-0100-000008000000}" name="IVA 21 %"/>
    <tableColumn id="9" xr3:uid="{00000000-0010-0000-0100-000009000000}" name="IVA 27%"/>
    <tableColumn id="10" xr3:uid="{00000000-0010-0000-0100-00000A000000}" name="IVA 10,5%"/>
    <tableColumn id="11" xr3:uid="{00000000-0010-0000-0100-00000B000000}" name="PERC. IVA"/>
    <tableColumn id="12" xr3:uid="{00000000-0010-0000-0100-00000C000000}" name="PERC IIBB _x000a_BS AS"/>
    <tableColumn id="13" xr3:uid="{00000000-0010-0000-0100-00000D000000}" name="PERC. IIBB CABA"/>
    <tableColumn id="14" xr3:uid="{00000000-0010-0000-0100-00000E000000}" name="Otros / No Grav."/>
    <tableColumn id="15" xr3:uid="{00000000-0010-0000-0100-00000F000000}" name="TOTAL"/>
    <tableColumn id="16" xr3:uid="{00000000-0010-0000-0100-000010000000}" name="Tipo de Gasto" dataDxfId="4"/>
    <tableColumn id="17" xr3:uid="{00000000-0010-0000-0100-000011000000}" name="Provincia"/>
  </tableColumns>
  <tableStyleInfo name="Abr-2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57:L64">
  <tableColumns count="9">
    <tableColumn id="1" xr3:uid="{00000000-0010-0000-0200-000001000000}" name="FECHA"/>
    <tableColumn id="2" xr3:uid="{00000000-0010-0000-0200-000002000000}" name="NRO CPTE"/>
    <tableColumn id="3" xr3:uid="{00000000-0010-0000-0200-000003000000}" name="BANCO"/>
    <tableColumn id="4" xr3:uid="{00000000-0010-0000-0200-000004000000}" name="NETO"/>
    <tableColumn id="5" xr3:uid="{00000000-0010-0000-0200-000005000000}" name="IVA 21%"/>
    <tableColumn id="6" xr3:uid="{00000000-0010-0000-0200-000006000000}" name="IVA 10,5%"/>
    <tableColumn id="7" xr3:uid="{00000000-0010-0000-0200-000007000000}" name="RET IIBB CABA"/>
    <tableColumn id="8" xr3:uid="{00000000-0010-0000-0200-000008000000}" name="PERC IVA"/>
    <tableColumn id="9" xr3:uid="{00000000-0010-0000-0200-000009000000}" name="PERC IIBB"/>
  </tableColumns>
  <tableStyleInfo name="Abr-22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69:K74">
  <tableColumns count="8">
    <tableColumn id="1" xr3:uid="{00000000-0010-0000-0300-000001000000}" name="FECHA"/>
    <tableColumn id="2" xr3:uid="{00000000-0010-0000-0300-000002000000}" name="PTO VTA"/>
    <tableColumn id="3" xr3:uid="{00000000-0010-0000-0300-000003000000}" name="FC Nº"/>
    <tableColumn id="4" xr3:uid="{00000000-0010-0000-0300-000004000000}" name="CUIT"/>
    <tableColumn id="5" xr3:uid="{00000000-0010-0000-0300-000005000000}" name="RAZON SOCIAL"/>
    <tableColumn id="6" xr3:uid="{00000000-0010-0000-0300-000006000000}" name="TOTAL"/>
    <tableColumn id="7" xr3:uid="{00000000-0010-0000-0300-000007000000}" name="TIPO DE GASTO"/>
    <tableColumn id="8" xr3:uid="{00000000-0010-0000-0300-000008000000}" name="Provincia"/>
  </tableColumns>
  <tableStyleInfo name="Abr-22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83:M93">
  <tableColumns count="12">
    <tableColumn id="1" xr3:uid="{00000000-0010-0000-0400-000001000000}" name="FECHA"/>
    <tableColumn id="2" xr3:uid="{00000000-0010-0000-0400-000002000000}" name="TIPO"/>
    <tableColumn id="3" xr3:uid="{00000000-0010-0000-0400-000003000000}" name="PTO VENTA"/>
    <tableColumn id="4" xr3:uid="{00000000-0010-0000-0400-000004000000}" name="Nº FACTURA"/>
    <tableColumn id="5" xr3:uid="{00000000-0010-0000-0400-000005000000}" name="CUIT"/>
    <tableColumn id="6" xr3:uid="{00000000-0010-0000-0400-000006000000}" name="RAZON SOCIAL"/>
    <tableColumn id="7" xr3:uid="{00000000-0010-0000-0400-000007000000}" name="IMPORTE NETO"/>
    <tableColumn id="8" xr3:uid="{00000000-0010-0000-0400-000008000000}" name="IVA 21%"/>
    <tableColumn id="9" xr3:uid="{00000000-0010-0000-0400-000009000000}" name="IVA 10,5%"/>
    <tableColumn id="10" xr3:uid="{00000000-0010-0000-0400-00000A000000}" name="EXENTO"/>
    <tableColumn id="11" xr3:uid="{00000000-0010-0000-0400-00000B000000}" name="TOTAL"/>
    <tableColumn id="12" xr3:uid="{00000000-0010-0000-0400-00000C000000}" name="Provincia"/>
  </tableColumns>
  <tableStyleInfo name="Abr-22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97:M100">
  <tableColumns count="12">
    <tableColumn id="1" xr3:uid="{00000000-0010-0000-0500-000001000000}" name="FECHA"/>
    <tableColumn id="2" xr3:uid="{00000000-0010-0000-0500-000002000000}" name="TIPO"/>
    <tableColumn id="3" xr3:uid="{00000000-0010-0000-0500-000003000000}" name="PTO VENTA"/>
    <tableColumn id="4" xr3:uid="{00000000-0010-0000-0500-000004000000}" name="Nº FACTURA"/>
    <tableColumn id="5" xr3:uid="{00000000-0010-0000-0500-000005000000}" name="CUIT"/>
    <tableColumn id="6" xr3:uid="{00000000-0010-0000-0500-000006000000}" name="RAZON SOCIAL"/>
    <tableColumn id="7" xr3:uid="{00000000-0010-0000-0500-000007000000}" name="IMPORTE NETO"/>
    <tableColumn id="8" xr3:uid="{00000000-0010-0000-0500-000008000000}" name="IVA 21%"/>
    <tableColumn id="9" xr3:uid="{00000000-0010-0000-0500-000009000000}" name="IVA 10,5%"/>
    <tableColumn id="10" xr3:uid="{00000000-0010-0000-0500-00000A000000}" name="EXENTO"/>
    <tableColumn id="11" xr3:uid="{00000000-0010-0000-0500-00000B000000}" name="TOTAL"/>
    <tableColumn id="12" xr3:uid="{00000000-0010-0000-0500-00000C000000}" name="Provincia"/>
  </tableColumns>
  <tableStyleInfo name="Abr-22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03:I109">
  <tableColumns count="8">
    <tableColumn id="1" xr3:uid="{00000000-0010-0000-0600-000001000000}" name="FECHA"/>
    <tableColumn id="2" xr3:uid="{00000000-0010-0000-0600-000002000000}" name="Nº FACTRA"/>
    <tableColumn id="3" xr3:uid="{00000000-0010-0000-0600-000003000000}" name="CUIT"/>
    <tableColumn id="4" xr3:uid="{00000000-0010-0000-0600-000004000000}" name="RAZON SOCIAL"/>
    <tableColumn id="5" xr3:uid="{00000000-0010-0000-0600-000005000000}" name="USD"/>
    <tableColumn id="6" xr3:uid="{00000000-0010-0000-0600-000006000000}" name="EUR"/>
    <tableColumn id="7" xr3:uid="{00000000-0010-0000-0600-000007000000}" name="T. CAMBIO"/>
    <tableColumn id="8" xr3:uid="{00000000-0010-0000-0600-000008000000}" name="TOTAL"/>
  </tableColumns>
  <tableStyleInfo name="Abr-22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13:L118">
  <tableColumns count="10">
    <tableColumn id="1" xr3:uid="{00000000-0010-0000-0700-000001000000}" name="FECHA "/>
    <tableColumn id="2" xr3:uid="{00000000-0010-0000-0700-000002000000}" name="COMP Nº"/>
    <tableColumn id="3" xr3:uid="{00000000-0010-0000-0700-000003000000}" name="Columna1"/>
    <tableColumn id="4" xr3:uid="{00000000-0010-0000-0700-000004000000}" name="CUIT"/>
    <tableColumn id="5" xr3:uid="{00000000-0010-0000-0700-000005000000}" name="RAZON SOCIAL"/>
    <tableColumn id="6" xr3:uid="{00000000-0010-0000-0700-000006000000}" name="Ganancias"/>
    <tableColumn id="7" xr3:uid="{00000000-0010-0000-0700-000007000000}" name="IVA"/>
    <tableColumn id="8" xr3:uid="{00000000-0010-0000-0700-000008000000}" name="SUSS"/>
    <tableColumn id="9" xr3:uid="{00000000-0010-0000-0700-000009000000}" name="IIBB BSAS"/>
    <tableColumn id="10" xr3:uid="{00000000-0010-0000-0700-00000A000000}" name="IIBB CABA"/>
  </tableColumns>
  <tableStyleInfo name="Abr-22-style 7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8:R51">
  <tableColumns count="17">
    <tableColumn id="1" xr3:uid="{00000000-0010-0000-0800-000001000000}" name="FECHA"/>
    <tableColumn id="2" xr3:uid="{00000000-0010-0000-0800-000002000000}" name="TIPO"/>
    <tableColumn id="3" xr3:uid="{00000000-0010-0000-0800-000003000000}" name="PTO VTA"/>
    <tableColumn id="4" xr3:uid="{00000000-0010-0000-0800-000004000000}" name="NRO. CPTE"/>
    <tableColumn id="5" xr3:uid="{00000000-0010-0000-0800-000005000000}" name="CUIT"/>
    <tableColumn id="6" xr3:uid="{00000000-0010-0000-0800-000006000000}" name="RAZON SOCIAL"/>
    <tableColumn id="7" xr3:uid="{00000000-0010-0000-0800-000007000000}" name="NETO GRAVADO"/>
    <tableColumn id="8" xr3:uid="{00000000-0010-0000-0800-000008000000}" name="IVA 21 %"/>
    <tableColumn id="9" xr3:uid="{00000000-0010-0000-0800-000009000000}" name="IVA 27%"/>
    <tableColumn id="10" xr3:uid="{00000000-0010-0000-0800-00000A000000}" name="IVA 10,5%"/>
    <tableColumn id="11" xr3:uid="{00000000-0010-0000-0800-00000B000000}" name="PERC. IVA"/>
    <tableColumn id="12" xr3:uid="{00000000-0010-0000-0800-00000C000000}" name="PERC IIBB _x000a_BS AS"/>
    <tableColumn id="13" xr3:uid="{00000000-0010-0000-0800-00000D000000}" name="PERC. IIBB CABA"/>
    <tableColumn id="14" xr3:uid="{00000000-0010-0000-0800-00000E000000}" name="Otros / No Grav."/>
    <tableColumn id="15" xr3:uid="{00000000-0010-0000-0800-00000F000000}" name="TOTAL"/>
    <tableColumn id="16" xr3:uid="{00000000-0010-0000-0800-000010000000}" name="Tipo de Gasto" dataDxfId="3"/>
    <tableColumn id="17" xr3:uid="{00000000-0010-0000-0800-000011000000}" name="Provincia"/>
  </tableColumns>
  <tableStyleInfo name="May-22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D57:L63">
  <tableColumns count="9">
    <tableColumn id="1" xr3:uid="{00000000-0010-0000-0900-000001000000}" name="FECHA"/>
    <tableColumn id="2" xr3:uid="{00000000-0010-0000-0900-000002000000}" name="NRO CPTE"/>
    <tableColumn id="3" xr3:uid="{00000000-0010-0000-0900-000003000000}" name="BANCO"/>
    <tableColumn id="4" xr3:uid="{00000000-0010-0000-0900-000004000000}" name="NETO"/>
    <tableColumn id="5" xr3:uid="{00000000-0010-0000-0900-000005000000}" name="IVA 21%"/>
    <tableColumn id="6" xr3:uid="{00000000-0010-0000-0900-000006000000}" name="IVA 10,5%"/>
    <tableColumn id="7" xr3:uid="{00000000-0010-0000-0900-000007000000}" name="RET IIBB CABA"/>
    <tableColumn id="8" xr3:uid="{00000000-0010-0000-0900-000008000000}" name="PERC IVA"/>
    <tableColumn id="9" xr3:uid="{00000000-0010-0000-0900-000009000000}" name="PERC IIBB"/>
  </tableColumns>
  <tableStyleInfo name="May-22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D66:K84">
  <tableColumns count="8">
    <tableColumn id="1" xr3:uid="{00000000-0010-0000-0A00-000001000000}" name="FECHA"/>
    <tableColumn id="2" xr3:uid="{00000000-0010-0000-0A00-000002000000}" name="PTO VTA"/>
    <tableColumn id="3" xr3:uid="{00000000-0010-0000-0A00-000003000000}" name="FC Nº"/>
    <tableColumn id="4" xr3:uid="{00000000-0010-0000-0A00-000004000000}" name="CUIT"/>
    <tableColumn id="5" xr3:uid="{00000000-0010-0000-0A00-000005000000}" name="RAZON SOCIAL"/>
    <tableColumn id="6" xr3:uid="{00000000-0010-0000-0A00-000006000000}" name="TOTAL"/>
    <tableColumn id="7" xr3:uid="{00000000-0010-0000-0A00-000007000000}" name="TIPO DE GASTO"/>
    <tableColumn id="8" xr3:uid="{00000000-0010-0000-0A00-000008000000}" name="Provincia"/>
  </tableColumns>
  <tableStyleInfo name="May-22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90:M100">
  <tableColumns count="12">
    <tableColumn id="1" xr3:uid="{00000000-0010-0000-0B00-000001000000}" name="FECHA"/>
    <tableColumn id="2" xr3:uid="{00000000-0010-0000-0B00-000002000000}" name="TIPO"/>
    <tableColumn id="3" xr3:uid="{00000000-0010-0000-0B00-000003000000}" name="PTO VENTA"/>
    <tableColumn id="4" xr3:uid="{00000000-0010-0000-0B00-000004000000}" name="Nº FACTURA"/>
    <tableColumn id="5" xr3:uid="{00000000-0010-0000-0B00-000005000000}" name="CUIT"/>
    <tableColumn id="6" xr3:uid="{00000000-0010-0000-0B00-000006000000}" name="RAZON SOCIAL"/>
    <tableColumn id="7" xr3:uid="{00000000-0010-0000-0B00-000007000000}" name="IMPORTE NETO"/>
    <tableColumn id="8" xr3:uid="{00000000-0010-0000-0B00-000008000000}" name="IVA 21%"/>
    <tableColumn id="9" xr3:uid="{00000000-0010-0000-0B00-000009000000}" name="IVA 10,5%"/>
    <tableColumn id="10" xr3:uid="{00000000-0010-0000-0B00-00000A000000}" name="EXENTO"/>
    <tableColumn id="11" xr3:uid="{00000000-0010-0000-0B00-00000B000000}" name="TOTAL"/>
    <tableColumn id="12" xr3:uid="{00000000-0010-0000-0B00-00000C000000}" name="Provincia"/>
  </tableColumns>
  <tableStyleInfo name="May-22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04:M112">
  <tableColumns count="12">
    <tableColumn id="1" xr3:uid="{00000000-0010-0000-0C00-000001000000}" name="FECHA"/>
    <tableColumn id="2" xr3:uid="{00000000-0010-0000-0C00-000002000000}" name="TIPO"/>
    <tableColumn id="3" xr3:uid="{00000000-0010-0000-0C00-000003000000}" name="PTO VENTA"/>
    <tableColumn id="4" xr3:uid="{00000000-0010-0000-0C00-000004000000}" name="Nº FACTURA"/>
    <tableColumn id="5" xr3:uid="{00000000-0010-0000-0C00-000005000000}" name="CUIT"/>
    <tableColumn id="6" xr3:uid="{00000000-0010-0000-0C00-000006000000}" name="RAZON SOCIAL"/>
    <tableColumn id="7" xr3:uid="{00000000-0010-0000-0C00-000007000000}" name="IMPORTE NETO"/>
    <tableColumn id="8" xr3:uid="{00000000-0010-0000-0C00-000008000000}" name="IVA 21%"/>
    <tableColumn id="9" xr3:uid="{00000000-0010-0000-0C00-000009000000}" name="IVA 10,5%"/>
    <tableColumn id="10" xr3:uid="{00000000-0010-0000-0C00-00000A000000}" name="EXENTO"/>
    <tableColumn id="11" xr3:uid="{00000000-0010-0000-0C00-00000B000000}" name="TOTAL"/>
    <tableColumn id="12" xr3:uid="{00000000-0010-0000-0C00-00000C000000}" name="Provincia"/>
  </tableColumns>
  <tableStyleInfo name="May-22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15:I119">
  <tableColumns count="8">
    <tableColumn id="1" xr3:uid="{00000000-0010-0000-0D00-000001000000}" name="FECHA"/>
    <tableColumn id="2" xr3:uid="{00000000-0010-0000-0D00-000002000000}" name="Nº FACTRA"/>
    <tableColumn id="3" xr3:uid="{00000000-0010-0000-0D00-000003000000}" name="CUIT"/>
    <tableColumn id="4" xr3:uid="{00000000-0010-0000-0D00-000004000000}" name="RAZON SOCIAL"/>
    <tableColumn id="5" xr3:uid="{00000000-0010-0000-0D00-000005000000}" name="USD"/>
    <tableColumn id="6" xr3:uid="{00000000-0010-0000-0D00-000006000000}" name="EUR"/>
    <tableColumn id="7" xr3:uid="{00000000-0010-0000-0D00-000007000000}" name="T. CAMBIO"/>
    <tableColumn id="8" xr3:uid="{00000000-0010-0000-0D00-000008000000}" name="TOTAL"/>
  </tableColumns>
  <tableStyleInfo name="May-22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C124:L129">
  <tableColumns count="10">
    <tableColumn id="1" xr3:uid="{00000000-0010-0000-0E00-000001000000}" name="FECHA "/>
    <tableColumn id="2" xr3:uid="{00000000-0010-0000-0E00-000002000000}" name="COMP Nº"/>
    <tableColumn id="3" xr3:uid="{00000000-0010-0000-0E00-000003000000}" name="Columna1"/>
    <tableColumn id="4" xr3:uid="{00000000-0010-0000-0E00-000004000000}" name="CUIT"/>
    <tableColumn id="5" xr3:uid="{00000000-0010-0000-0E00-000005000000}" name="RAZON SOCIAL"/>
    <tableColumn id="6" xr3:uid="{00000000-0010-0000-0E00-000006000000}" name="Ganancias"/>
    <tableColumn id="7" xr3:uid="{00000000-0010-0000-0E00-000007000000}" name="IVA"/>
    <tableColumn id="8" xr3:uid="{00000000-0010-0000-0E00-000008000000}" name="SUSS"/>
    <tableColumn id="9" xr3:uid="{00000000-0010-0000-0E00-000009000000}" name="IIBB BSAS"/>
    <tableColumn id="10" xr3:uid="{00000000-0010-0000-0E00-00000A000000}" name="IIBB CABA"/>
  </tableColumns>
  <tableStyleInfo name="May-22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8:R39">
  <tableColumns count="17">
    <tableColumn id="1" xr3:uid="{00000000-0010-0000-0F00-000001000000}" name="FECHA"/>
    <tableColumn id="2" xr3:uid="{00000000-0010-0000-0F00-000002000000}" name="TIPO"/>
    <tableColumn id="3" xr3:uid="{00000000-0010-0000-0F00-000003000000}" name="PTO VTA"/>
    <tableColumn id="4" xr3:uid="{00000000-0010-0000-0F00-000004000000}" name="NRO. CPTE"/>
    <tableColumn id="5" xr3:uid="{00000000-0010-0000-0F00-000005000000}" name="CUIT"/>
    <tableColumn id="6" xr3:uid="{00000000-0010-0000-0F00-000006000000}" name="RAZON SOCIAL"/>
    <tableColumn id="7" xr3:uid="{00000000-0010-0000-0F00-000007000000}" name="NETO GRAVADO"/>
    <tableColumn id="8" xr3:uid="{00000000-0010-0000-0F00-000008000000}" name="IVA 21 %"/>
    <tableColumn id="9" xr3:uid="{00000000-0010-0000-0F00-000009000000}" name="IVA 27%"/>
    <tableColumn id="10" xr3:uid="{00000000-0010-0000-0F00-00000A000000}" name="IVA 10,5%"/>
    <tableColumn id="11" xr3:uid="{00000000-0010-0000-0F00-00000B000000}" name="PERC. IVA"/>
    <tableColumn id="12" xr3:uid="{00000000-0010-0000-0F00-00000C000000}" name="PERC IIBB _x000a_BS AS"/>
    <tableColumn id="13" xr3:uid="{00000000-0010-0000-0F00-00000D000000}" name="PERC. IIBB CABA"/>
    <tableColumn id="14" xr3:uid="{00000000-0010-0000-0F00-00000E000000}" name="Otros / No Grav."/>
    <tableColumn id="15" xr3:uid="{00000000-0010-0000-0F00-00000F000000}" name="TOTAL"/>
    <tableColumn id="16" xr3:uid="{00000000-0010-0000-0F00-000010000000}" name="Tipo de Gasto"/>
    <tableColumn id="17" xr3:uid="{00000000-0010-0000-0F00-000011000000}" name="Provincia"/>
  </tableColumns>
  <tableStyleInfo name="Jun-22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D45:L52">
  <tableColumns count="9">
    <tableColumn id="1" xr3:uid="{00000000-0010-0000-1000-000001000000}" name="FECHA"/>
    <tableColumn id="2" xr3:uid="{00000000-0010-0000-1000-000002000000}" name="NRO CPTE"/>
    <tableColumn id="3" xr3:uid="{00000000-0010-0000-1000-000003000000}" name="BANCO"/>
    <tableColumn id="4" xr3:uid="{00000000-0010-0000-1000-000004000000}" name="NETO"/>
    <tableColumn id="5" xr3:uid="{00000000-0010-0000-1000-000005000000}" name="IVA 21%"/>
    <tableColumn id="6" xr3:uid="{00000000-0010-0000-1000-000006000000}" name="IVA 10,5%"/>
    <tableColumn id="7" xr3:uid="{00000000-0010-0000-1000-000007000000}" name="RET IIBB CABA"/>
    <tableColumn id="8" xr3:uid="{00000000-0010-0000-1000-000008000000}" name="PERC IVA"/>
    <tableColumn id="9" xr3:uid="{00000000-0010-0000-1000-000009000000}" name="PERC IIBB"/>
  </tableColumns>
  <tableStyleInfo name="Jun-22-style 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D57:K74">
  <tableColumns count="8">
    <tableColumn id="1" xr3:uid="{00000000-0010-0000-1100-000001000000}" name="FECHA"/>
    <tableColumn id="2" xr3:uid="{00000000-0010-0000-1100-000002000000}" name="PTO VTA"/>
    <tableColumn id="3" xr3:uid="{00000000-0010-0000-1100-000003000000}" name="FC Nº"/>
    <tableColumn id="4" xr3:uid="{00000000-0010-0000-1100-000004000000}" name="CUIT"/>
    <tableColumn id="5" xr3:uid="{00000000-0010-0000-1100-000005000000}" name="RAZON SOCIAL"/>
    <tableColumn id="6" xr3:uid="{00000000-0010-0000-1100-000006000000}" name="TOTAL"/>
    <tableColumn id="7" xr3:uid="{00000000-0010-0000-1100-000007000000}" name="TIPO DE GASTO"/>
    <tableColumn id="8" xr3:uid="{00000000-0010-0000-1100-000008000000}" name="Provincia"/>
  </tableColumns>
  <tableStyleInfo name="Jun-22-style 3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83:M93">
  <tableColumns count="12">
    <tableColumn id="1" xr3:uid="{00000000-0010-0000-1200-000001000000}" name="FECHA"/>
    <tableColumn id="2" xr3:uid="{00000000-0010-0000-1200-000002000000}" name="TIPO"/>
    <tableColumn id="3" xr3:uid="{00000000-0010-0000-1200-000003000000}" name="PTO VENTA"/>
    <tableColumn id="4" xr3:uid="{00000000-0010-0000-1200-000004000000}" name="Nº FACTURA"/>
    <tableColumn id="5" xr3:uid="{00000000-0010-0000-1200-000005000000}" name="CUIT"/>
    <tableColumn id="6" xr3:uid="{00000000-0010-0000-1200-000006000000}" name="RAZON SOCIAL"/>
    <tableColumn id="7" xr3:uid="{00000000-0010-0000-1200-000007000000}" name="IMPORTE NETO"/>
    <tableColumn id="8" xr3:uid="{00000000-0010-0000-1200-000008000000}" name="IVA 21%"/>
    <tableColumn id="9" xr3:uid="{00000000-0010-0000-1200-000009000000}" name="IVA 10,5%"/>
    <tableColumn id="10" xr3:uid="{00000000-0010-0000-1200-00000A000000}" name="EXENTO"/>
    <tableColumn id="11" xr3:uid="{00000000-0010-0000-1200-00000B000000}" name="TOTAL"/>
    <tableColumn id="12" xr3:uid="{00000000-0010-0000-1200-00000C000000}" name="Provincia"/>
  </tableColumns>
  <tableStyleInfo name="Jun-22-style 4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97:M104">
  <tableColumns count="12">
    <tableColumn id="1" xr3:uid="{00000000-0010-0000-1300-000001000000}" name="FECHA"/>
    <tableColumn id="2" xr3:uid="{00000000-0010-0000-1300-000002000000}" name="TIPO"/>
    <tableColumn id="3" xr3:uid="{00000000-0010-0000-1300-000003000000}" name="PTO VENTA"/>
    <tableColumn id="4" xr3:uid="{00000000-0010-0000-1300-000004000000}" name="Nº FACTURA"/>
    <tableColumn id="5" xr3:uid="{00000000-0010-0000-1300-000005000000}" name="CUIT"/>
    <tableColumn id="6" xr3:uid="{00000000-0010-0000-1300-000006000000}" name="RAZON SOCIAL"/>
    <tableColumn id="7" xr3:uid="{00000000-0010-0000-1300-000007000000}" name="IMPORTE NETO"/>
    <tableColumn id="8" xr3:uid="{00000000-0010-0000-1300-000008000000}" name="IVA 21%"/>
    <tableColumn id="9" xr3:uid="{00000000-0010-0000-1300-000009000000}" name="IVA 10,5%"/>
    <tableColumn id="10" xr3:uid="{00000000-0010-0000-1300-00000A000000}" name="EXENTO"/>
    <tableColumn id="11" xr3:uid="{00000000-0010-0000-1300-00000B000000}" name="TOTAL"/>
    <tableColumn id="12" xr3:uid="{00000000-0010-0000-1300-00000C000000}" name="Provincia"/>
  </tableColumns>
  <tableStyleInfo name="Jun-22-style 5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C113:L118">
  <tableColumns count="10">
    <tableColumn id="1" xr3:uid="{00000000-0010-0000-1400-000001000000}" name="FECHA "/>
    <tableColumn id="2" xr3:uid="{00000000-0010-0000-1400-000002000000}" name="COMP Nº"/>
    <tableColumn id="3" xr3:uid="{00000000-0010-0000-1400-000003000000}" name="Columna1"/>
    <tableColumn id="4" xr3:uid="{00000000-0010-0000-1400-000004000000}" name="CUIT"/>
    <tableColumn id="5" xr3:uid="{00000000-0010-0000-1400-000005000000}" name="RAZON SOCIAL"/>
    <tableColumn id="6" xr3:uid="{00000000-0010-0000-1400-000006000000}" name="Ganancias"/>
    <tableColumn id="7" xr3:uid="{00000000-0010-0000-1400-000007000000}" name="IVA"/>
    <tableColumn id="8" xr3:uid="{00000000-0010-0000-1400-000008000000}" name="SUSS"/>
    <tableColumn id="9" xr3:uid="{00000000-0010-0000-1400-000009000000}" name="IIBB BSAS"/>
    <tableColumn id="10" xr3:uid="{00000000-0010-0000-1400-00000A000000}" name="IIBB CABA"/>
  </tableColumns>
  <tableStyleInfo name="Jun-22-style 6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8:R45">
  <tableColumns count="17">
    <tableColumn id="1" xr3:uid="{00000000-0010-0000-1500-000001000000}" name="FECHA"/>
    <tableColumn id="2" xr3:uid="{00000000-0010-0000-1500-000002000000}" name="TIPO"/>
    <tableColumn id="3" xr3:uid="{00000000-0010-0000-1500-000003000000}" name="PTO VTA"/>
    <tableColumn id="4" xr3:uid="{00000000-0010-0000-1500-000004000000}" name="NRO. CPTE"/>
    <tableColumn id="5" xr3:uid="{00000000-0010-0000-1500-000005000000}" name="CUIT"/>
    <tableColumn id="6" xr3:uid="{00000000-0010-0000-1500-000006000000}" name="RAZON SOCIAL"/>
    <tableColumn id="7" xr3:uid="{00000000-0010-0000-1500-000007000000}" name="NETO GRAVADO"/>
    <tableColumn id="8" xr3:uid="{00000000-0010-0000-1500-000008000000}" name="IVA 21 %"/>
    <tableColumn id="9" xr3:uid="{00000000-0010-0000-1500-000009000000}" name="IVA 27%"/>
    <tableColumn id="10" xr3:uid="{00000000-0010-0000-1500-00000A000000}" name="IVA 10,5%"/>
    <tableColumn id="11" xr3:uid="{00000000-0010-0000-1500-00000B000000}" name="PERC. IVA"/>
    <tableColumn id="12" xr3:uid="{00000000-0010-0000-1500-00000C000000}" name="PERC IIBB _x000a_BS AS"/>
    <tableColumn id="13" xr3:uid="{00000000-0010-0000-1500-00000D000000}" name="PERC. IIBB CABA"/>
    <tableColumn id="14" xr3:uid="{00000000-0010-0000-1500-00000E000000}" name="Otros / No Grav."/>
    <tableColumn id="15" xr3:uid="{00000000-0010-0000-1500-00000F000000}" name="TOTAL"/>
    <tableColumn id="16" xr3:uid="{00000000-0010-0000-1500-000010000000}" name="Tipo de Gasto"/>
    <tableColumn id="17" xr3:uid="{00000000-0010-0000-1500-000011000000}" name="Provincia"/>
  </tableColumns>
  <tableStyleInfo name="Jul-22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D51:L62">
  <tableColumns count="9">
    <tableColumn id="1" xr3:uid="{00000000-0010-0000-1600-000001000000}" name="FECHA"/>
    <tableColumn id="2" xr3:uid="{00000000-0010-0000-1600-000002000000}" name="NRO CPTE"/>
    <tableColumn id="3" xr3:uid="{00000000-0010-0000-1600-000003000000}" name="BANCO"/>
    <tableColumn id="4" xr3:uid="{00000000-0010-0000-1600-000004000000}" name="NETO"/>
    <tableColumn id="5" xr3:uid="{00000000-0010-0000-1600-000005000000}" name="IVA 21%"/>
    <tableColumn id="6" xr3:uid="{00000000-0010-0000-1600-000006000000}" name="IVA 10,5%"/>
    <tableColumn id="7" xr3:uid="{00000000-0010-0000-1600-000007000000}" name="RET IIBB CABA"/>
    <tableColumn id="8" xr3:uid="{00000000-0010-0000-1600-000008000000}" name="PERC IVA"/>
    <tableColumn id="9" xr3:uid="{00000000-0010-0000-1600-000009000000}" name="PERC IIBB"/>
  </tableColumns>
  <tableStyleInfo name="Jul-22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D66:K99">
  <tableColumns count="8">
    <tableColumn id="1" xr3:uid="{00000000-0010-0000-1700-000001000000}" name="FECHA"/>
    <tableColumn id="2" xr3:uid="{00000000-0010-0000-1700-000002000000}" name="PTO VTA"/>
    <tableColumn id="3" xr3:uid="{00000000-0010-0000-1700-000003000000}" name="FC Nº"/>
    <tableColumn id="4" xr3:uid="{00000000-0010-0000-1700-000004000000}" name="CUIT"/>
    <tableColumn id="5" xr3:uid="{00000000-0010-0000-1700-000005000000}" name="RAZON SOCIAL"/>
    <tableColumn id="6" xr3:uid="{00000000-0010-0000-1700-000006000000}" name="TOTAL"/>
    <tableColumn id="7" xr3:uid="{00000000-0010-0000-1700-000007000000}" name="TIPO DE GASTO"/>
    <tableColumn id="8" xr3:uid="{00000000-0010-0000-1700-000008000000}" name="Provincia"/>
  </tableColumns>
  <tableStyleInfo name="Jul-22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108:M114">
  <tableColumns count="12">
    <tableColumn id="1" xr3:uid="{00000000-0010-0000-1800-000001000000}" name="FECHA"/>
    <tableColumn id="2" xr3:uid="{00000000-0010-0000-1800-000002000000}" name="TIPO"/>
    <tableColumn id="3" xr3:uid="{00000000-0010-0000-1800-000003000000}" name="PTO VENTA"/>
    <tableColumn id="4" xr3:uid="{00000000-0010-0000-1800-000004000000}" name="Nº FACTURA"/>
    <tableColumn id="5" xr3:uid="{00000000-0010-0000-1800-000005000000}" name="CUIT"/>
    <tableColumn id="6" xr3:uid="{00000000-0010-0000-1800-000006000000}" name="RAZON SOCIAL"/>
    <tableColumn id="7" xr3:uid="{00000000-0010-0000-1800-000007000000}" name="IMPORTE NETO"/>
    <tableColumn id="8" xr3:uid="{00000000-0010-0000-1800-000008000000}" name="IVA 21%"/>
    <tableColumn id="9" xr3:uid="{00000000-0010-0000-1800-000009000000}" name="IVA 10,5%"/>
    <tableColumn id="10" xr3:uid="{00000000-0010-0000-1800-00000A000000}" name="EXENTO"/>
    <tableColumn id="11" xr3:uid="{00000000-0010-0000-1800-00000B000000}" name="TOTAL"/>
    <tableColumn id="12" xr3:uid="{00000000-0010-0000-1800-00000C000000}" name="Provincia"/>
  </tableColumns>
  <tableStyleInfo name="Jul-22-style 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118:M125">
  <tableColumns count="12">
    <tableColumn id="1" xr3:uid="{00000000-0010-0000-1900-000001000000}" name="FECHA"/>
    <tableColumn id="2" xr3:uid="{00000000-0010-0000-1900-000002000000}" name="TIPO"/>
    <tableColumn id="3" xr3:uid="{00000000-0010-0000-1900-000003000000}" name="PTO VENTA"/>
    <tableColumn id="4" xr3:uid="{00000000-0010-0000-1900-000004000000}" name="Nº FACTURA"/>
    <tableColumn id="5" xr3:uid="{00000000-0010-0000-1900-000005000000}" name="CUIT"/>
    <tableColumn id="6" xr3:uid="{00000000-0010-0000-1900-000006000000}" name="RAZON SOCIAL"/>
    <tableColumn id="7" xr3:uid="{00000000-0010-0000-1900-000007000000}" name="IMPORTE NETO"/>
    <tableColumn id="8" xr3:uid="{00000000-0010-0000-1900-000008000000}" name="IVA 21%"/>
    <tableColumn id="9" xr3:uid="{00000000-0010-0000-1900-000009000000}" name="IVA 10,5%"/>
    <tableColumn id="10" xr3:uid="{00000000-0010-0000-1900-00000A000000}" name="EXENTO"/>
    <tableColumn id="11" xr3:uid="{00000000-0010-0000-1900-00000B000000}" name="TOTAL"/>
    <tableColumn id="12" xr3:uid="{00000000-0010-0000-1900-00000C000000}" name="Provincia"/>
  </tableColumns>
  <tableStyleInfo name="Jul-22-style 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128:J133">
  <tableColumns count="9">
    <tableColumn id="1" xr3:uid="{00000000-0010-0000-1A00-000001000000}" name="FECHA"/>
    <tableColumn id="2" xr3:uid="{00000000-0010-0000-1A00-000002000000}" name="PTO VENTA"/>
    <tableColumn id="3" xr3:uid="{00000000-0010-0000-1A00-000003000000}" name="Nº FACTRA"/>
    <tableColumn id="4" xr3:uid="{00000000-0010-0000-1A00-000004000000}" name="CUIT"/>
    <tableColumn id="5" xr3:uid="{00000000-0010-0000-1A00-000005000000}" name="RAZON SOCIAL"/>
    <tableColumn id="6" xr3:uid="{00000000-0010-0000-1A00-000006000000}" name="USD"/>
    <tableColumn id="7" xr3:uid="{00000000-0010-0000-1A00-000007000000}" name="EUR"/>
    <tableColumn id="8" xr3:uid="{00000000-0010-0000-1A00-000008000000}" name="T. CAMBIO"/>
    <tableColumn id="9" xr3:uid="{00000000-0010-0000-1A00-000009000000}" name="TOTAL PESOS"/>
  </tableColumns>
  <tableStyleInfo name="Jul-22-style 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C139:L144">
  <tableColumns count="10">
    <tableColumn id="1" xr3:uid="{00000000-0010-0000-1B00-000001000000}" name="FECHA "/>
    <tableColumn id="2" xr3:uid="{00000000-0010-0000-1B00-000002000000}" name="COMP Nº"/>
    <tableColumn id="3" xr3:uid="{00000000-0010-0000-1B00-000003000000}" name="Columna1"/>
    <tableColumn id="4" xr3:uid="{00000000-0010-0000-1B00-000004000000}" name="CUIT"/>
    <tableColumn id="5" xr3:uid="{00000000-0010-0000-1B00-000005000000}" name="RAZON SOCIAL"/>
    <tableColumn id="6" xr3:uid="{00000000-0010-0000-1B00-000006000000}" name="Ganancias"/>
    <tableColumn id="7" xr3:uid="{00000000-0010-0000-1B00-000007000000}" name="IVA"/>
    <tableColumn id="8" xr3:uid="{00000000-0010-0000-1B00-000008000000}" name="SUSS"/>
    <tableColumn id="9" xr3:uid="{00000000-0010-0000-1B00-000009000000}" name="IIBB BSAS"/>
    <tableColumn id="10" xr3:uid="{00000000-0010-0000-1B00-00000A000000}" name="IIBB CABA"/>
  </tableColumns>
  <tableStyleInfo name="Jul-22-style 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8:R50">
  <tableColumns count="17">
    <tableColumn id="1" xr3:uid="{00000000-0010-0000-1C00-000001000000}" name="FECHA"/>
    <tableColumn id="2" xr3:uid="{00000000-0010-0000-1C00-000002000000}" name="TIPO"/>
    <tableColumn id="3" xr3:uid="{00000000-0010-0000-1C00-000003000000}" name="PTO VTA"/>
    <tableColumn id="4" xr3:uid="{00000000-0010-0000-1C00-000004000000}" name="NRO. CPTE"/>
    <tableColumn id="5" xr3:uid="{00000000-0010-0000-1C00-000005000000}" name="CUIT"/>
    <tableColumn id="6" xr3:uid="{00000000-0010-0000-1C00-000006000000}" name="RAZON SOCIAL"/>
    <tableColumn id="7" xr3:uid="{00000000-0010-0000-1C00-000007000000}" name="NETO GRAVADO"/>
    <tableColumn id="8" xr3:uid="{00000000-0010-0000-1C00-000008000000}" name="IVA 21 %"/>
    <tableColumn id="9" xr3:uid="{00000000-0010-0000-1C00-000009000000}" name="IVA 27%"/>
    <tableColumn id="10" xr3:uid="{00000000-0010-0000-1C00-00000A000000}" name="IVA 10,5%"/>
    <tableColumn id="11" xr3:uid="{00000000-0010-0000-1C00-00000B000000}" name="PERC. IVA"/>
    <tableColumn id="12" xr3:uid="{00000000-0010-0000-1C00-00000C000000}" name="PERC IIBB _x000a_BS AS"/>
    <tableColumn id="13" xr3:uid="{00000000-0010-0000-1C00-00000D000000}" name="PERC. IIBB CABA"/>
    <tableColumn id="14" xr3:uid="{00000000-0010-0000-1C00-00000E000000}" name="Otros / No Grav."/>
    <tableColumn id="15" xr3:uid="{00000000-0010-0000-1C00-00000F000000}" name="TOTAL"/>
    <tableColumn id="16" xr3:uid="{00000000-0010-0000-1C00-000010000000}" name="Tipo de Gasto"/>
    <tableColumn id="17" xr3:uid="{00000000-0010-0000-1C00-000011000000}" name="Provincia"/>
  </tableColumns>
  <tableStyleInfo name="Ago-22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D56:L63">
  <tableColumns count="9">
    <tableColumn id="1" xr3:uid="{00000000-0010-0000-1D00-000001000000}" name="FECHA"/>
    <tableColumn id="2" xr3:uid="{00000000-0010-0000-1D00-000002000000}" name="NRO CPTE"/>
    <tableColumn id="3" xr3:uid="{00000000-0010-0000-1D00-000003000000}" name="BANCO"/>
    <tableColumn id="4" xr3:uid="{00000000-0010-0000-1D00-000004000000}" name="NETO"/>
    <tableColumn id="5" xr3:uid="{00000000-0010-0000-1D00-000005000000}" name="IVA 21%"/>
    <tableColumn id="6" xr3:uid="{00000000-0010-0000-1D00-000006000000}" name="IVA 10,5%"/>
    <tableColumn id="7" xr3:uid="{00000000-0010-0000-1D00-000007000000}" name="RET IIBB CABA"/>
    <tableColumn id="8" xr3:uid="{00000000-0010-0000-1D00-000008000000}" name="PERC IVA"/>
    <tableColumn id="9" xr3:uid="{00000000-0010-0000-1D00-000009000000}" name="PERC IIBB"/>
  </tableColumns>
  <tableStyleInfo name="Ago-22-style 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D68:K83">
  <tableColumns count="8">
    <tableColumn id="1" xr3:uid="{00000000-0010-0000-1E00-000001000000}" name="FECHA"/>
    <tableColumn id="2" xr3:uid="{00000000-0010-0000-1E00-000002000000}" name="PTO VTA"/>
    <tableColumn id="3" xr3:uid="{00000000-0010-0000-1E00-000003000000}" name="FC Nº"/>
    <tableColumn id="4" xr3:uid="{00000000-0010-0000-1E00-000004000000}" name="CUIT"/>
    <tableColumn id="5" xr3:uid="{00000000-0010-0000-1E00-000005000000}" name="RAZON SOCIAL"/>
    <tableColumn id="6" xr3:uid="{00000000-0010-0000-1E00-000006000000}" name="TOTAL"/>
    <tableColumn id="7" xr3:uid="{00000000-0010-0000-1E00-000007000000}" name="TIPO DE GASTO"/>
    <tableColumn id="8" xr3:uid="{00000000-0010-0000-1E00-000008000000}" name="Provincia"/>
  </tableColumns>
  <tableStyleInfo name="Ago-22-style 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92:M101">
  <tableColumns count="12">
    <tableColumn id="1" xr3:uid="{00000000-0010-0000-1F00-000001000000}" name="FECHA"/>
    <tableColumn id="2" xr3:uid="{00000000-0010-0000-1F00-000002000000}" name="TIPO"/>
    <tableColumn id="3" xr3:uid="{00000000-0010-0000-1F00-000003000000}" name="PTO VENTA"/>
    <tableColumn id="4" xr3:uid="{00000000-0010-0000-1F00-000004000000}" name="Nº FACTURA"/>
    <tableColumn id="5" xr3:uid="{00000000-0010-0000-1F00-000005000000}" name="CUIT"/>
    <tableColumn id="6" xr3:uid="{00000000-0010-0000-1F00-000006000000}" name="RAZON SOCIAL"/>
    <tableColumn id="7" xr3:uid="{00000000-0010-0000-1F00-000007000000}" name="IMPORTE NETO"/>
    <tableColumn id="8" xr3:uid="{00000000-0010-0000-1F00-000008000000}" name="IVA 21%"/>
    <tableColumn id="9" xr3:uid="{00000000-0010-0000-1F00-000009000000}" name="IVA 10,5%"/>
    <tableColumn id="10" xr3:uid="{00000000-0010-0000-1F00-00000A000000}" name="EXENTO"/>
    <tableColumn id="11" xr3:uid="{00000000-0010-0000-1F00-00000B000000}" name="TOTAL"/>
    <tableColumn id="12" xr3:uid="{00000000-0010-0000-1F00-00000C000000}" name="Provincia"/>
  </tableColumns>
  <tableStyleInfo name="Ago-22-style 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105:M112">
  <tableColumns count="12">
    <tableColumn id="1" xr3:uid="{00000000-0010-0000-2000-000001000000}" name="FECHA"/>
    <tableColumn id="2" xr3:uid="{00000000-0010-0000-2000-000002000000}" name="TIPO"/>
    <tableColumn id="3" xr3:uid="{00000000-0010-0000-2000-000003000000}" name="PTO VENTA"/>
    <tableColumn id="4" xr3:uid="{00000000-0010-0000-2000-000004000000}" name="Nº FACTURA"/>
    <tableColumn id="5" xr3:uid="{00000000-0010-0000-2000-000005000000}" name="CUIT"/>
    <tableColumn id="6" xr3:uid="{00000000-0010-0000-2000-000006000000}" name="RAZON SOCIAL"/>
    <tableColumn id="7" xr3:uid="{00000000-0010-0000-2000-000007000000}" name="IMPORTE NETO"/>
    <tableColumn id="8" xr3:uid="{00000000-0010-0000-2000-000008000000}" name="IVA 21%"/>
    <tableColumn id="9" xr3:uid="{00000000-0010-0000-2000-000009000000}" name="IVA 10,5%"/>
    <tableColumn id="10" xr3:uid="{00000000-0010-0000-2000-00000A000000}" name="EXENTO"/>
    <tableColumn id="11" xr3:uid="{00000000-0010-0000-2000-00000B000000}" name="TOTAL"/>
    <tableColumn id="12" xr3:uid="{00000000-0010-0000-2000-00000C000000}" name="Provincia"/>
  </tableColumns>
  <tableStyleInfo name="Ago-22-style 5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C121:L126">
  <tableColumns count="10">
    <tableColumn id="1" xr3:uid="{00000000-0010-0000-2100-000001000000}" name="FECHA "/>
    <tableColumn id="2" xr3:uid="{00000000-0010-0000-2100-000002000000}" name="COMP Nº"/>
    <tableColumn id="3" xr3:uid="{00000000-0010-0000-2100-000003000000}" name="Columna1"/>
    <tableColumn id="4" xr3:uid="{00000000-0010-0000-2100-000004000000}" name="CUIT"/>
    <tableColumn id="5" xr3:uid="{00000000-0010-0000-2100-000005000000}" name="RAZON SOCIAL"/>
    <tableColumn id="6" xr3:uid="{00000000-0010-0000-2100-000006000000}" name="Ganancias"/>
    <tableColumn id="7" xr3:uid="{00000000-0010-0000-2100-000007000000}" name="IVA"/>
    <tableColumn id="8" xr3:uid="{00000000-0010-0000-2100-000008000000}" name="SUSS"/>
    <tableColumn id="9" xr3:uid="{00000000-0010-0000-2100-000009000000}" name="IIBB BSAS"/>
    <tableColumn id="10" xr3:uid="{00000000-0010-0000-2100-00000A000000}" name="IIBB CABA"/>
  </tableColumns>
  <tableStyleInfo name="Ago-22-style 6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8:R39">
  <tableColumns count="17">
    <tableColumn id="1" xr3:uid="{00000000-0010-0000-2200-000001000000}" name="FECHA"/>
    <tableColumn id="2" xr3:uid="{00000000-0010-0000-2200-000002000000}" name="TIPO"/>
    <tableColumn id="3" xr3:uid="{00000000-0010-0000-2200-000003000000}" name="PTO VTA"/>
    <tableColumn id="4" xr3:uid="{00000000-0010-0000-2200-000004000000}" name="NRO. CPTE"/>
    <tableColumn id="5" xr3:uid="{00000000-0010-0000-2200-000005000000}" name="CUIT"/>
    <tableColumn id="6" xr3:uid="{00000000-0010-0000-2200-000006000000}" name="RAZON SOCIAL"/>
    <tableColumn id="7" xr3:uid="{00000000-0010-0000-2200-000007000000}" name="NETO GRAVADO"/>
    <tableColumn id="8" xr3:uid="{00000000-0010-0000-2200-000008000000}" name="IVA 21 %"/>
    <tableColumn id="9" xr3:uid="{00000000-0010-0000-2200-000009000000}" name="IVA 27%"/>
    <tableColumn id="10" xr3:uid="{00000000-0010-0000-2200-00000A000000}" name="IVA 10,5%"/>
    <tableColumn id="11" xr3:uid="{00000000-0010-0000-2200-00000B000000}" name="PERC. IVA"/>
    <tableColumn id="12" xr3:uid="{00000000-0010-0000-2200-00000C000000}" name="PERC IIBB _x000a_BS AS"/>
    <tableColumn id="13" xr3:uid="{00000000-0010-0000-2200-00000D000000}" name="PERC. IIBB CABA"/>
    <tableColumn id="14" xr3:uid="{00000000-0010-0000-2200-00000E000000}" name="Otros / No Grav."/>
    <tableColumn id="15" xr3:uid="{00000000-0010-0000-2200-00000F000000}" name="TOTAL"/>
    <tableColumn id="16" xr3:uid="{00000000-0010-0000-2200-000010000000}" name="Tipo de Gasto"/>
    <tableColumn id="17" xr3:uid="{00000000-0010-0000-2200-000011000000}" name="Provincia"/>
  </tableColumns>
  <tableStyleInfo name="Sep-22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D45:L50">
  <tableColumns count="9">
    <tableColumn id="1" xr3:uid="{00000000-0010-0000-2300-000001000000}" name="FECHA"/>
    <tableColumn id="2" xr3:uid="{00000000-0010-0000-2300-000002000000}" name="NRO CPTE"/>
    <tableColumn id="3" xr3:uid="{00000000-0010-0000-2300-000003000000}" name="BANCO"/>
    <tableColumn id="4" xr3:uid="{00000000-0010-0000-2300-000004000000}" name="NETO"/>
    <tableColumn id="5" xr3:uid="{00000000-0010-0000-2300-000005000000}" name="IVA 21%"/>
    <tableColumn id="6" xr3:uid="{00000000-0010-0000-2300-000006000000}" name="IVA 10,5%"/>
    <tableColumn id="7" xr3:uid="{00000000-0010-0000-2300-000007000000}" name="RET IIBB CABA"/>
    <tableColumn id="8" xr3:uid="{00000000-0010-0000-2300-000008000000}" name="PERC IVA"/>
    <tableColumn id="9" xr3:uid="{00000000-0010-0000-2300-000009000000}" name="PERC IIBB"/>
  </tableColumns>
  <tableStyleInfo name="Sep-22-style 2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D54:K75">
  <tableColumns count="8">
    <tableColumn id="1" xr3:uid="{00000000-0010-0000-2400-000001000000}" name="FECHA"/>
    <tableColumn id="2" xr3:uid="{00000000-0010-0000-2400-000002000000}" name="PTO VTA"/>
    <tableColumn id="3" xr3:uid="{00000000-0010-0000-2400-000003000000}" name="FC Nº"/>
    <tableColumn id="4" xr3:uid="{00000000-0010-0000-2400-000004000000}" name="CUIT"/>
    <tableColumn id="5" xr3:uid="{00000000-0010-0000-2400-000005000000}" name="RAZON SOCIAL"/>
    <tableColumn id="6" xr3:uid="{00000000-0010-0000-2400-000006000000}" name="TOTAL"/>
    <tableColumn id="7" xr3:uid="{00000000-0010-0000-2400-000007000000}" name="TIPO DE GASTO"/>
    <tableColumn id="8" xr3:uid="{00000000-0010-0000-2400-000008000000}" name="Provincia"/>
  </tableColumns>
  <tableStyleInfo name="Sep-22-style 3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84:M94">
  <tableColumns count="12">
    <tableColumn id="1" xr3:uid="{00000000-0010-0000-2500-000001000000}" name="FECHA"/>
    <tableColumn id="2" xr3:uid="{00000000-0010-0000-2500-000002000000}" name="TIPO"/>
    <tableColumn id="3" xr3:uid="{00000000-0010-0000-2500-000003000000}" name="PTO VENTA"/>
    <tableColumn id="4" xr3:uid="{00000000-0010-0000-2500-000004000000}" name="Nº FACTURA"/>
    <tableColumn id="5" xr3:uid="{00000000-0010-0000-2500-000005000000}" name="CUIT"/>
    <tableColumn id="6" xr3:uid="{00000000-0010-0000-2500-000006000000}" name="RAZON SOCIAL"/>
    <tableColumn id="7" xr3:uid="{00000000-0010-0000-2500-000007000000}" name="IMPORTE NETO"/>
    <tableColumn id="8" xr3:uid="{00000000-0010-0000-2500-000008000000}" name="IVA 21%"/>
    <tableColumn id="9" xr3:uid="{00000000-0010-0000-2500-000009000000}" name="IVA 10,5%"/>
    <tableColumn id="10" xr3:uid="{00000000-0010-0000-2500-00000A000000}" name="EXENTO"/>
    <tableColumn id="11" xr3:uid="{00000000-0010-0000-2500-00000B000000}" name="TOTAL"/>
    <tableColumn id="12" xr3:uid="{00000000-0010-0000-2500-00000C000000}" name="Provincia"/>
  </tableColumns>
  <tableStyleInfo name="Sep-22-style 4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98:M105">
  <tableColumns count="12">
    <tableColumn id="1" xr3:uid="{00000000-0010-0000-2600-000001000000}" name="FECHA"/>
    <tableColumn id="2" xr3:uid="{00000000-0010-0000-2600-000002000000}" name="TIPO"/>
    <tableColumn id="3" xr3:uid="{00000000-0010-0000-2600-000003000000}" name="PTO VENTA"/>
    <tableColumn id="4" xr3:uid="{00000000-0010-0000-2600-000004000000}" name="Nº FACTURA"/>
    <tableColumn id="5" xr3:uid="{00000000-0010-0000-2600-000005000000}" name="CUIT"/>
    <tableColumn id="6" xr3:uid="{00000000-0010-0000-2600-000006000000}" name="RAZON SOCIAL"/>
    <tableColumn id="7" xr3:uid="{00000000-0010-0000-2600-000007000000}" name="IMPORTE NETO"/>
    <tableColumn id="8" xr3:uid="{00000000-0010-0000-2600-000008000000}" name="IVA 21%"/>
    <tableColumn id="9" xr3:uid="{00000000-0010-0000-2600-000009000000}" name="IVA 10,5%"/>
    <tableColumn id="10" xr3:uid="{00000000-0010-0000-2600-00000A000000}" name="EXENTO"/>
    <tableColumn id="11" xr3:uid="{00000000-0010-0000-2600-00000B000000}" name="TOTAL"/>
    <tableColumn id="12" xr3:uid="{00000000-0010-0000-2600-00000C000000}" name="Provincia"/>
  </tableColumns>
  <tableStyleInfo name="Sep-22-style 5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108:I111">
  <tableColumns count="8">
    <tableColumn id="1" xr3:uid="{00000000-0010-0000-2700-000001000000}" name="FECHA"/>
    <tableColumn id="2" xr3:uid="{00000000-0010-0000-2700-000002000000}" name="Nº FACTRA"/>
    <tableColumn id="3" xr3:uid="{00000000-0010-0000-2700-000003000000}" name="CUIT"/>
    <tableColumn id="4" xr3:uid="{00000000-0010-0000-2700-000004000000}" name="RAZON SOCIAL"/>
    <tableColumn id="5" xr3:uid="{00000000-0010-0000-2700-000005000000}" name="USD"/>
    <tableColumn id="6" xr3:uid="{00000000-0010-0000-2700-000006000000}" name="EUR"/>
    <tableColumn id="7" xr3:uid="{00000000-0010-0000-2700-000007000000}" name="T. CAMBIO"/>
    <tableColumn id="8" xr3:uid="{00000000-0010-0000-2700-000008000000}" name="TOTAL"/>
  </tableColumns>
  <tableStyleInfo name="Sep-22-style 6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C114:L119">
  <tableColumns count="10">
    <tableColumn id="1" xr3:uid="{00000000-0010-0000-2800-000001000000}" name="FECHA "/>
    <tableColumn id="2" xr3:uid="{00000000-0010-0000-2800-000002000000}" name="COMP Nº"/>
    <tableColumn id="3" xr3:uid="{00000000-0010-0000-2800-000003000000}" name="Columna1"/>
    <tableColumn id="4" xr3:uid="{00000000-0010-0000-2800-000004000000}" name="CUIT"/>
    <tableColumn id="5" xr3:uid="{00000000-0010-0000-2800-000005000000}" name="RAZON SOCIAL"/>
    <tableColumn id="6" xr3:uid="{00000000-0010-0000-2800-000006000000}" name="Ganancias"/>
    <tableColumn id="7" xr3:uid="{00000000-0010-0000-2800-000007000000}" name="IVA"/>
    <tableColumn id="8" xr3:uid="{00000000-0010-0000-2800-000008000000}" name="SUSS"/>
    <tableColumn id="9" xr3:uid="{00000000-0010-0000-2800-000009000000}" name="IIBB BSAS"/>
    <tableColumn id="10" xr3:uid="{00000000-0010-0000-2800-00000A000000}" name="IIBB CABA"/>
  </tableColumns>
  <tableStyleInfo name="Sep-22-style 7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8:R50">
  <tableColumns count="17">
    <tableColumn id="1" xr3:uid="{00000000-0010-0000-2900-000001000000}" name="FECHA"/>
    <tableColumn id="2" xr3:uid="{00000000-0010-0000-2900-000002000000}" name="TIPO"/>
    <tableColumn id="3" xr3:uid="{00000000-0010-0000-2900-000003000000}" name="PTO VTA"/>
    <tableColumn id="4" xr3:uid="{00000000-0010-0000-2900-000004000000}" name="NRO. CPTE"/>
    <tableColumn id="5" xr3:uid="{00000000-0010-0000-2900-000005000000}" name="CUIT"/>
    <tableColumn id="6" xr3:uid="{00000000-0010-0000-2900-000006000000}" name="RAZON SOCIAL"/>
    <tableColumn id="7" xr3:uid="{00000000-0010-0000-2900-000007000000}" name="NETO GRAVADO"/>
    <tableColumn id="8" xr3:uid="{00000000-0010-0000-2900-000008000000}" name="IVA 21 %"/>
    <tableColumn id="9" xr3:uid="{00000000-0010-0000-2900-000009000000}" name="IVA 27%"/>
    <tableColumn id="10" xr3:uid="{00000000-0010-0000-2900-00000A000000}" name="IVA 10,5%"/>
    <tableColumn id="11" xr3:uid="{00000000-0010-0000-2900-00000B000000}" name="PERC. IVA"/>
    <tableColumn id="12" xr3:uid="{00000000-0010-0000-2900-00000C000000}" name="PERC IIBB _x000a_BS AS"/>
    <tableColumn id="13" xr3:uid="{00000000-0010-0000-2900-00000D000000}" name="PERC. IIBB CABA"/>
    <tableColumn id="14" xr3:uid="{00000000-0010-0000-2900-00000E000000}" name="Otros / No Grav."/>
    <tableColumn id="15" xr3:uid="{00000000-0010-0000-2900-00000F000000}" name="TOTAL"/>
    <tableColumn id="16" xr3:uid="{00000000-0010-0000-2900-000010000000}" name="Tipo de Gasto"/>
    <tableColumn id="17" xr3:uid="{00000000-0010-0000-2900-000011000000}" name="Provincia"/>
  </tableColumns>
  <tableStyleInfo name="Oct-22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D56:L62">
  <tableColumns count="9">
    <tableColumn id="1" xr3:uid="{00000000-0010-0000-2A00-000001000000}" name="FECHA"/>
    <tableColumn id="2" xr3:uid="{00000000-0010-0000-2A00-000002000000}" name="NRO CPTE"/>
    <tableColumn id="3" xr3:uid="{00000000-0010-0000-2A00-000003000000}" name="BANCO"/>
    <tableColumn id="4" xr3:uid="{00000000-0010-0000-2A00-000004000000}" name="NETO"/>
    <tableColumn id="5" xr3:uid="{00000000-0010-0000-2A00-000005000000}" name="IVA 21%"/>
    <tableColumn id="6" xr3:uid="{00000000-0010-0000-2A00-000006000000}" name="IVA 10,5%"/>
    <tableColumn id="7" xr3:uid="{00000000-0010-0000-2A00-000007000000}" name="RET IIBB CABA"/>
    <tableColumn id="8" xr3:uid="{00000000-0010-0000-2A00-000008000000}" name="PERC IVA"/>
    <tableColumn id="9" xr3:uid="{00000000-0010-0000-2A00-000009000000}" name="PERC IIBB"/>
  </tableColumns>
  <tableStyleInfo name="Oct-22-style 2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D67:K84">
  <tableColumns count="8">
    <tableColumn id="1" xr3:uid="{00000000-0010-0000-2B00-000001000000}" name="FECHA"/>
    <tableColumn id="2" xr3:uid="{00000000-0010-0000-2B00-000002000000}" name="PTO VTA"/>
    <tableColumn id="3" xr3:uid="{00000000-0010-0000-2B00-000003000000}" name="FC Nº"/>
    <tableColumn id="4" xr3:uid="{00000000-0010-0000-2B00-000004000000}" name="CUIT"/>
    <tableColumn id="5" xr3:uid="{00000000-0010-0000-2B00-000005000000}" name="RAZON SOCIAL"/>
    <tableColumn id="6" xr3:uid="{00000000-0010-0000-2B00-000006000000}" name="TOTAL"/>
    <tableColumn id="7" xr3:uid="{00000000-0010-0000-2B00-000007000000}" name="TIPO DE GASTO"/>
    <tableColumn id="8" xr3:uid="{00000000-0010-0000-2B00-000008000000}" name="Provincia"/>
  </tableColumns>
  <tableStyleInfo name="Oct-22-style 3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93:M106">
  <tableColumns count="12">
    <tableColumn id="1" xr3:uid="{00000000-0010-0000-2C00-000001000000}" name="FECHA"/>
    <tableColumn id="2" xr3:uid="{00000000-0010-0000-2C00-000002000000}" name="TIPO"/>
    <tableColumn id="3" xr3:uid="{00000000-0010-0000-2C00-000003000000}" name="PTO VENTA"/>
    <tableColumn id="4" xr3:uid="{00000000-0010-0000-2C00-000004000000}" name="Nº FACTURA"/>
    <tableColumn id="5" xr3:uid="{00000000-0010-0000-2C00-000005000000}" name="CUIT"/>
    <tableColumn id="6" xr3:uid="{00000000-0010-0000-2C00-000006000000}" name="RAZON SOCIAL"/>
    <tableColumn id="7" xr3:uid="{00000000-0010-0000-2C00-000007000000}" name="IMPORTE NETO"/>
    <tableColumn id="8" xr3:uid="{00000000-0010-0000-2C00-000008000000}" name="IVA 21%"/>
    <tableColumn id="9" xr3:uid="{00000000-0010-0000-2C00-000009000000}" name="IVA 10,5%"/>
    <tableColumn id="10" xr3:uid="{00000000-0010-0000-2C00-00000A000000}" name="EXENTO"/>
    <tableColumn id="11" xr3:uid="{00000000-0010-0000-2C00-00000B000000}" name="TOTAL"/>
    <tableColumn id="12" xr3:uid="{00000000-0010-0000-2C00-00000C000000}" name="Provincia"/>
  </tableColumns>
  <tableStyleInfo name="Oct-22-style 4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110:M117">
  <tableColumns count="12">
    <tableColumn id="1" xr3:uid="{00000000-0010-0000-2D00-000001000000}" name="FECHA"/>
    <tableColumn id="2" xr3:uid="{00000000-0010-0000-2D00-000002000000}" name="TIPO"/>
    <tableColumn id="3" xr3:uid="{00000000-0010-0000-2D00-000003000000}" name="PTO VENTA"/>
    <tableColumn id="4" xr3:uid="{00000000-0010-0000-2D00-000004000000}" name="Nº FACTURA"/>
    <tableColumn id="5" xr3:uid="{00000000-0010-0000-2D00-000005000000}" name="CUIT"/>
    <tableColumn id="6" xr3:uid="{00000000-0010-0000-2D00-000006000000}" name="RAZON SOCIAL"/>
    <tableColumn id="7" xr3:uid="{00000000-0010-0000-2D00-000007000000}" name="IMPORTE NETO"/>
    <tableColumn id="8" xr3:uid="{00000000-0010-0000-2D00-000008000000}" name="IVA 21%"/>
    <tableColumn id="9" xr3:uid="{00000000-0010-0000-2D00-000009000000}" name="IVA 10,5%"/>
    <tableColumn id="10" xr3:uid="{00000000-0010-0000-2D00-00000A000000}" name="EXENTO"/>
    <tableColumn id="11" xr3:uid="{00000000-0010-0000-2D00-00000B000000}" name="TOTAL"/>
    <tableColumn id="12" xr3:uid="{00000000-0010-0000-2D00-00000C000000}" name="Provincia"/>
  </tableColumns>
  <tableStyleInfo name="Oct-22-style 5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120:J127">
  <tableColumns count="9">
    <tableColumn id="1" xr3:uid="{00000000-0010-0000-2E00-000001000000}" name="FECHA"/>
    <tableColumn id="2" xr3:uid="{00000000-0010-0000-2E00-000002000000}" name="PTO VENTA"/>
    <tableColumn id="3" xr3:uid="{00000000-0010-0000-2E00-000003000000}" name="Nº FACTURA"/>
    <tableColumn id="4" xr3:uid="{00000000-0010-0000-2E00-000004000000}" name="CUIT PAIS"/>
    <tableColumn id="5" xr3:uid="{00000000-0010-0000-2E00-000005000000}" name="RAZON SOCIAL"/>
    <tableColumn id="6" xr3:uid="{00000000-0010-0000-2E00-000006000000}" name="TOTAL USD"/>
    <tableColumn id="7" xr3:uid="{00000000-0010-0000-2E00-000007000000}" name="T. CAMBIO"/>
    <tableColumn id="8" xr3:uid="{00000000-0010-0000-2E00-000008000000}" name="TOTAL $$$"/>
    <tableColumn id="9" xr3:uid="{00000000-0010-0000-2E00-000009000000}" name="PAIS"/>
  </tableColumns>
  <tableStyleInfo name="Oct-22-style 6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C131:L136">
  <tableColumns count="10">
    <tableColumn id="1" xr3:uid="{00000000-0010-0000-2F00-000001000000}" name="FECHA "/>
    <tableColumn id="2" xr3:uid="{00000000-0010-0000-2F00-000002000000}" name="COMP Nº"/>
    <tableColumn id="3" xr3:uid="{00000000-0010-0000-2F00-000003000000}" name="Columna1"/>
    <tableColumn id="4" xr3:uid="{00000000-0010-0000-2F00-000004000000}" name="CUIT"/>
    <tableColumn id="5" xr3:uid="{00000000-0010-0000-2F00-000005000000}" name="RAZON SOCIAL"/>
    <tableColumn id="6" xr3:uid="{00000000-0010-0000-2F00-000006000000}" name="Ganancias"/>
    <tableColumn id="7" xr3:uid="{00000000-0010-0000-2F00-000007000000}" name="IVA"/>
    <tableColumn id="8" xr3:uid="{00000000-0010-0000-2F00-000008000000}" name="SUSS"/>
    <tableColumn id="9" xr3:uid="{00000000-0010-0000-2F00-000009000000}" name="IIBB BSAS"/>
    <tableColumn id="10" xr3:uid="{00000000-0010-0000-2F00-00000A000000}" name="IIBB CABA"/>
  </tableColumns>
  <tableStyleInfo name="Oct-22-style 7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8:R63">
  <tableColumns count="17">
    <tableColumn id="1" xr3:uid="{00000000-0010-0000-3000-000001000000}" name="FECHA"/>
    <tableColumn id="2" xr3:uid="{00000000-0010-0000-3000-000002000000}" name="TIPO"/>
    <tableColumn id="3" xr3:uid="{00000000-0010-0000-3000-000003000000}" name="PTO VTA"/>
    <tableColumn id="4" xr3:uid="{00000000-0010-0000-3000-000004000000}" name="NRO. CPTE"/>
    <tableColumn id="5" xr3:uid="{00000000-0010-0000-3000-000005000000}" name="CUIT"/>
    <tableColumn id="6" xr3:uid="{00000000-0010-0000-3000-000006000000}" name="RAZON SOCIAL"/>
    <tableColumn id="7" xr3:uid="{00000000-0010-0000-3000-000007000000}" name="NETO GRAVADO"/>
    <tableColumn id="8" xr3:uid="{00000000-0010-0000-3000-000008000000}" name="IVA 21 %"/>
    <tableColumn id="9" xr3:uid="{00000000-0010-0000-3000-000009000000}" name="IVA 27%"/>
    <tableColumn id="10" xr3:uid="{00000000-0010-0000-3000-00000A000000}" name="IVA 10,5%"/>
    <tableColumn id="11" xr3:uid="{00000000-0010-0000-3000-00000B000000}" name="PERC. IVA"/>
    <tableColumn id="12" xr3:uid="{00000000-0010-0000-3000-00000C000000}" name="PERC IIBB _x000a_BS AS"/>
    <tableColumn id="13" xr3:uid="{00000000-0010-0000-3000-00000D000000}" name="PERC. IIBB CABA"/>
    <tableColumn id="14" xr3:uid="{00000000-0010-0000-3000-00000E000000}" name="Otros / No Grav."/>
    <tableColumn id="15" xr3:uid="{00000000-0010-0000-3000-00000F000000}" name="TOTAL"/>
    <tableColumn id="16" xr3:uid="{00000000-0010-0000-3000-000010000000}" name="Tipo de Gasto"/>
    <tableColumn id="17" xr3:uid="{00000000-0010-0000-3000-000011000000}" name="Provincia"/>
  </tableColumns>
  <tableStyleInfo name="Nov-22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D69:L82">
  <tableColumns count="9">
    <tableColumn id="1" xr3:uid="{00000000-0010-0000-3100-000001000000}" name="FECHA"/>
    <tableColumn id="2" xr3:uid="{00000000-0010-0000-3100-000002000000}" name="NRO CPTE"/>
    <tableColumn id="3" xr3:uid="{00000000-0010-0000-3100-000003000000}" name="BANCO"/>
    <tableColumn id="4" xr3:uid="{00000000-0010-0000-3100-000004000000}" name="NETO"/>
    <tableColumn id="5" xr3:uid="{00000000-0010-0000-3100-000005000000}" name="IVA 21%"/>
    <tableColumn id="6" xr3:uid="{00000000-0010-0000-3100-000006000000}" name="IVA 10,5%"/>
    <tableColumn id="7" xr3:uid="{00000000-0010-0000-3100-000007000000}" name="RET IIBB CABA"/>
    <tableColumn id="8" xr3:uid="{00000000-0010-0000-3100-000008000000}" name="PERC IVA"/>
    <tableColumn id="9" xr3:uid="{00000000-0010-0000-3100-000009000000}" name="PERC IIBB"/>
  </tableColumns>
  <tableStyleInfo name="Nov-22-style 2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D85:K110">
  <tableColumns count="8">
    <tableColumn id="1" xr3:uid="{00000000-0010-0000-3200-000001000000}" name="FECHA"/>
    <tableColumn id="2" xr3:uid="{00000000-0010-0000-3200-000002000000}" name="PTO VTA"/>
    <tableColumn id="3" xr3:uid="{00000000-0010-0000-3200-000003000000}" name="FC Nº"/>
    <tableColumn id="4" xr3:uid="{00000000-0010-0000-3200-000004000000}" name="CUIT"/>
    <tableColumn id="5" xr3:uid="{00000000-0010-0000-3200-000005000000}" name="RAZON SOCIAL"/>
    <tableColumn id="6" xr3:uid="{00000000-0010-0000-3200-000006000000}" name="TOTAL"/>
    <tableColumn id="7" xr3:uid="{00000000-0010-0000-3200-000007000000}" name="TIPO DE GASTO"/>
    <tableColumn id="8" xr3:uid="{00000000-0010-0000-3200-000008000000}" name="Provincia"/>
  </tableColumns>
  <tableStyleInfo name="Nov-22-style 3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117:M127">
  <tableColumns count="12">
    <tableColumn id="1" xr3:uid="{00000000-0010-0000-3300-000001000000}" name="FECHA"/>
    <tableColumn id="2" xr3:uid="{00000000-0010-0000-3300-000002000000}" name="TIPO"/>
    <tableColumn id="3" xr3:uid="{00000000-0010-0000-3300-000003000000}" name="PTO VENTA"/>
    <tableColumn id="4" xr3:uid="{00000000-0010-0000-3300-000004000000}" name="Nº FACTURA"/>
    <tableColumn id="5" xr3:uid="{00000000-0010-0000-3300-000005000000}" name="CUIT"/>
    <tableColumn id="6" xr3:uid="{00000000-0010-0000-3300-000006000000}" name="RAZON SOCIAL"/>
    <tableColumn id="7" xr3:uid="{00000000-0010-0000-3300-000007000000}" name="IMPORTE NETO"/>
    <tableColumn id="8" xr3:uid="{00000000-0010-0000-3300-000008000000}" name="IVA 21%"/>
    <tableColumn id="9" xr3:uid="{00000000-0010-0000-3300-000009000000}" name="IVA 10,5%"/>
    <tableColumn id="10" xr3:uid="{00000000-0010-0000-3300-00000A000000}" name="EXENTO"/>
    <tableColumn id="11" xr3:uid="{00000000-0010-0000-3300-00000B000000}" name="TOTAL"/>
    <tableColumn id="12" xr3:uid="{00000000-0010-0000-3300-00000C000000}" name="Provincia"/>
  </tableColumns>
  <tableStyleInfo name="Nov-22-style 4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131:M138">
  <tableColumns count="12">
    <tableColumn id="1" xr3:uid="{00000000-0010-0000-3400-000001000000}" name="FECHA"/>
    <tableColumn id="2" xr3:uid="{00000000-0010-0000-3400-000002000000}" name="TIPO"/>
    <tableColumn id="3" xr3:uid="{00000000-0010-0000-3400-000003000000}" name="PTO VENTA"/>
    <tableColumn id="4" xr3:uid="{00000000-0010-0000-3400-000004000000}" name="Nº FACTURA"/>
    <tableColumn id="5" xr3:uid="{00000000-0010-0000-3400-000005000000}" name="CUIT"/>
    <tableColumn id="6" xr3:uid="{00000000-0010-0000-3400-000006000000}" name="RAZON SOCIAL"/>
    <tableColumn id="7" xr3:uid="{00000000-0010-0000-3400-000007000000}" name="IMPORTE NETO"/>
    <tableColumn id="8" xr3:uid="{00000000-0010-0000-3400-000008000000}" name="IVA 21%"/>
    <tableColumn id="9" xr3:uid="{00000000-0010-0000-3400-000009000000}" name="IVA 10,5%"/>
    <tableColumn id="10" xr3:uid="{00000000-0010-0000-3400-00000A000000}" name="EXENTO"/>
    <tableColumn id="11" xr3:uid="{00000000-0010-0000-3400-00000B000000}" name="TOTAL"/>
    <tableColumn id="12" xr3:uid="{00000000-0010-0000-3400-00000C000000}" name="Provincia"/>
  </tableColumns>
  <tableStyleInfo name="Nov-22-style 5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141:J148">
  <tableColumns count="9">
    <tableColumn id="1" xr3:uid="{00000000-0010-0000-3500-000001000000}" name="FECHA"/>
    <tableColumn id="2" xr3:uid="{00000000-0010-0000-3500-000002000000}" name="PTO VENTA"/>
    <tableColumn id="3" xr3:uid="{00000000-0010-0000-3500-000003000000}" name="Nº FACTURA"/>
    <tableColumn id="4" xr3:uid="{00000000-0010-0000-3500-000004000000}" name="CUIT PAIS"/>
    <tableColumn id="5" xr3:uid="{00000000-0010-0000-3500-000005000000}" name="RAZON SOCIAL"/>
    <tableColumn id="6" xr3:uid="{00000000-0010-0000-3500-000006000000}" name="TOTAL USD"/>
    <tableColumn id="7" xr3:uid="{00000000-0010-0000-3500-000007000000}" name="T. CAMBIO"/>
    <tableColumn id="8" xr3:uid="{00000000-0010-0000-3500-000008000000}" name="TOTAL $$$"/>
    <tableColumn id="9" xr3:uid="{00000000-0010-0000-3500-000009000000}" name="PAIS"/>
  </tableColumns>
  <tableStyleInfo name="Nov-22-style 6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C153:L158">
  <tableColumns count="10">
    <tableColumn id="1" xr3:uid="{00000000-0010-0000-3600-000001000000}" name="FECHA "/>
    <tableColumn id="2" xr3:uid="{00000000-0010-0000-3600-000002000000}" name="COMP Nº"/>
    <tableColumn id="3" xr3:uid="{00000000-0010-0000-3600-000003000000}" name="Columna1"/>
    <tableColumn id="4" xr3:uid="{00000000-0010-0000-3600-000004000000}" name="CUIT"/>
    <tableColumn id="5" xr3:uid="{00000000-0010-0000-3600-000005000000}" name="RAZON SOCIAL"/>
    <tableColumn id="6" xr3:uid="{00000000-0010-0000-3600-000006000000}" name="Ganancias"/>
    <tableColumn id="7" xr3:uid="{00000000-0010-0000-3600-000007000000}" name="IVA"/>
    <tableColumn id="8" xr3:uid="{00000000-0010-0000-3600-000008000000}" name="SUSS"/>
    <tableColumn id="9" xr3:uid="{00000000-0010-0000-3600-000009000000}" name="IIBB BSAS"/>
    <tableColumn id="10" xr3:uid="{00000000-0010-0000-3600-00000A000000}" name="IIBB CABA"/>
  </tableColumns>
  <tableStyleInfo name="Nov-22-style 7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B8:R46">
  <tableColumns count="17">
    <tableColumn id="1" xr3:uid="{00000000-0010-0000-3700-000001000000}" name="FECHA"/>
    <tableColumn id="2" xr3:uid="{00000000-0010-0000-3700-000002000000}" name="TIPO"/>
    <tableColumn id="3" xr3:uid="{00000000-0010-0000-3700-000003000000}" name="PTO VTA"/>
    <tableColumn id="4" xr3:uid="{00000000-0010-0000-3700-000004000000}" name="NRO. CPTE"/>
    <tableColumn id="5" xr3:uid="{00000000-0010-0000-3700-000005000000}" name="CUIT"/>
    <tableColumn id="6" xr3:uid="{00000000-0010-0000-3700-000006000000}" name="RAZON SOCIAL"/>
    <tableColumn id="7" xr3:uid="{00000000-0010-0000-3700-000007000000}" name="NETO GRAVADO"/>
    <tableColumn id="8" xr3:uid="{00000000-0010-0000-3700-000008000000}" name="IVA 21 %"/>
    <tableColumn id="9" xr3:uid="{00000000-0010-0000-3700-000009000000}" name="IVA 27%"/>
    <tableColumn id="10" xr3:uid="{00000000-0010-0000-3700-00000A000000}" name="IVA 10,5%"/>
    <tableColumn id="11" xr3:uid="{00000000-0010-0000-3700-00000B000000}" name="PERC. IVA"/>
    <tableColumn id="12" xr3:uid="{00000000-0010-0000-3700-00000C000000}" name="PERC IIBB _x000a_BS AS"/>
    <tableColumn id="13" xr3:uid="{00000000-0010-0000-3700-00000D000000}" name="PERC. IIBB CABA"/>
    <tableColumn id="14" xr3:uid="{00000000-0010-0000-3700-00000E000000}" name="Otros / No Grav."/>
    <tableColumn id="15" xr3:uid="{00000000-0010-0000-3700-00000F000000}" name="TOTAL"/>
    <tableColumn id="16" xr3:uid="{00000000-0010-0000-3700-000010000000}" name="Tipo de Gasto" dataDxfId="2"/>
    <tableColumn id="17" xr3:uid="{00000000-0010-0000-3700-000011000000}" name="Provincia"/>
  </tableColumns>
  <tableStyleInfo name="Dic-22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D52:L57">
  <tableColumns count="9">
    <tableColumn id="1" xr3:uid="{00000000-0010-0000-3800-000001000000}" name="FECHA"/>
    <tableColumn id="2" xr3:uid="{00000000-0010-0000-3800-000002000000}" name="NRO CPTE"/>
    <tableColumn id="3" xr3:uid="{00000000-0010-0000-3800-000003000000}" name="BANCO"/>
    <tableColumn id="4" xr3:uid="{00000000-0010-0000-3800-000004000000}" name="NETO"/>
    <tableColumn id="5" xr3:uid="{00000000-0010-0000-3800-000005000000}" name="IVA 21%"/>
    <tableColumn id="6" xr3:uid="{00000000-0010-0000-3800-000006000000}" name="IVA 10,5%"/>
    <tableColumn id="7" xr3:uid="{00000000-0010-0000-3800-000007000000}" name="RET IIBB CABA"/>
    <tableColumn id="8" xr3:uid="{00000000-0010-0000-3800-000008000000}" name="PERC IVA"/>
    <tableColumn id="9" xr3:uid="{00000000-0010-0000-3800-000009000000}" name="PERC IIBB"/>
  </tableColumns>
  <tableStyleInfo name="Dic-22-style 2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D62:K81">
  <tableColumns count="8">
    <tableColumn id="1" xr3:uid="{00000000-0010-0000-3900-000001000000}" name="FECHA"/>
    <tableColumn id="2" xr3:uid="{00000000-0010-0000-3900-000002000000}" name="PTO VTA"/>
    <tableColumn id="3" xr3:uid="{00000000-0010-0000-3900-000003000000}" name="FC Nº"/>
    <tableColumn id="4" xr3:uid="{00000000-0010-0000-3900-000004000000}" name="CUIT"/>
    <tableColumn id="5" xr3:uid="{00000000-0010-0000-3900-000005000000}" name="RAZON SOCIAL"/>
    <tableColumn id="6" xr3:uid="{00000000-0010-0000-3900-000006000000}" name="TOTAL"/>
    <tableColumn id="7" xr3:uid="{00000000-0010-0000-3900-000007000000}" name="TIPO DE GASTO"/>
    <tableColumn id="8" xr3:uid="{00000000-0010-0000-3900-000008000000}" name="Provincia"/>
  </tableColumns>
  <tableStyleInfo name="Dic-22-style 3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90:M96">
  <tableColumns count="12">
    <tableColumn id="1" xr3:uid="{00000000-0010-0000-3A00-000001000000}" name="FECHA"/>
    <tableColumn id="2" xr3:uid="{00000000-0010-0000-3A00-000002000000}" name="TIPO"/>
    <tableColumn id="3" xr3:uid="{00000000-0010-0000-3A00-000003000000}" name="PTO VENTA"/>
    <tableColumn id="4" xr3:uid="{00000000-0010-0000-3A00-000004000000}" name="Nº FACTURA"/>
    <tableColumn id="5" xr3:uid="{00000000-0010-0000-3A00-000005000000}" name="CUIT"/>
    <tableColumn id="6" xr3:uid="{00000000-0010-0000-3A00-000006000000}" name="RAZON SOCIAL"/>
    <tableColumn id="7" xr3:uid="{00000000-0010-0000-3A00-000007000000}" name="IMPORTE NETO"/>
    <tableColumn id="8" xr3:uid="{00000000-0010-0000-3A00-000008000000}" name="IVA 21%"/>
    <tableColumn id="9" xr3:uid="{00000000-0010-0000-3A00-000009000000}" name="IVA 10,5%"/>
    <tableColumn id="10" xr3:uid="{00000000-0010-0000-3A00-00000A000000}" name="EXENTO"/>
    <tableColumn id="11" xr3:uid="{00000000-0010-0000-3A00-00000B000000}" name="TOTAL"/>
    <tableColumn id="12" xr3:uid="{00000000-0010-0000-3A00-00000C000000}" name="Provincia"/>
  </tableColumns>
  <tableStyleInfo name="Dic-22-style 4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100:M107">
  <tableColumns count="12">
    <tableColumn id="1" xr3:uid="{00000000-0010-0000-3B00-000001000000}" name="FECHA"/>
    <tableColumn id="2" xr3:uid="{00000000-0010-0000-3B00-000002000000}" name="TIPO"/>
    <tableColumn id="3" xr3:uid="{00000000-0010-0000-3B00-000003000000}" name="PTO VENTA"/>
    <tableColumn id="4" xr3:uid="{00000000-0010-0000-3B00-000004000000}" name="Nº FACTURA"/>
    <tableColumn id="5" xr3:uid="{00000000-0010-0000-3B00-000005000000}" name="CUIT"/>
    <tableColumn id="6" xr3:uid="{00000000-0010-0000-3B00-000006000000}" name="RAZON SOCIAL"/>
    <tableColumn id="7" xr3:uid="{00000000-0010-0000-3B00-000007000000}" name="IMPORTE NETO"/>
    <tableColumn id="8" xr3:uid="{00000000-0010-0000-3B00-000008000000}" name="IVA 21%"/>
    <tableColumn id="9" xr3:uid="{00000000-0010-0000-3B00-000009000000}" name="IVA 10,5%"/>
    <tableColumn id="10" xr3:uid="{00000000-0010-0000-3B00-00000A000000}" name="EXENTO"/>
    <tableColumn id="11" xr3:uid="{00000000-0010-0000-3B00-00000B000000}" name="TOTAL"/>
    <tableColumn id="12" xr3:uid="{00000000-0010-0000-3B00-00000C000000}" name="Provincia"/>
  </tableColumns>
  <tableStyleInfo name="Dic-22-style 5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110:J113">
  <tableColumns count="9">
    <tableColumn id="1" xr3:uid="{00000000-0010-0000-3C00-000001000000}" name="FECHA"/>
    <tableColumn id="2" xr3:uid="{00000000-0010-0000-3C00-000002000000}" name="PTO VENTA"/>
    <tableColumn id="3" xr3:uid="{00000000-0010-0000-3C00-000003000000}" name="Nº FACTRA"/>
    <tableColumn id="4" xr3:uid="{00000000-0010-0000-3C00-000004000000}" name="CUIT"/>
    <tableColumn id="5" xr3:uid="{00000000-0010-0000-3C00-000005000000}" name="RAZON SOCIAL"/>
    <tableColumn id="6" xr3:uid="{00000000-0010-0000-3C00-000006000000}" name="USD"/>
    <tableColumn id="7" xr3:uid="{00000000-0010-0000-3C00-000007000000}" name="EUR"/>
    <tableColumn id="8" xr3:uid="{00000000-0010-0000-3C00-000008000000}" name="T. CAMBIO"/>
    <tableColumn id="9" xr3:uid="{00000000-0010-0000-3C00-000009000000}" name="TOTAL"/>
  </tableColumns>
  <tableStyleInfo name="Dic-22-style 6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C122:L127">
  <tableColumns count="10">
    <tableColumn id="1" xr3:uid="{00000000-0010-0000-3D00-000001000000}" name="FECHA "/>
    <tableColumn id="2" xr3:uid="{00000000-0010-0000-3D00-000002000000}" name="COMP Nº"/>
    <tableColumn id="3" xr3:uid="{00000000-0010-0000-3D00-000003000000}" name="Columna1"/>
    <tableColumn id="4" xr3:uid="{00000000-0010-0000-3D00-000004000000}" name="CUIT"/>
    <tableColumn id="5" xr3:uid="{00000000-0010-0000-3D00-000005000000}" name="RAZON SOCIAL"/>
    <tableColumn id="6" xr3:uid="{00000000-0010-0000-3D00-000006000000}" name="Ganancias"/>
    <tableColumn id="7" xr3:uid="{00000000-0010-0000-3D00-000007000000}" name="IVA"/>
    <tableColumn id="8" xr3:uid="{00000000-0010-0000-3D00-000008000000}" name="SUSS"/>
    <tableColumn id="9" xr3:uid="{00000000-0010-0000-3D00-000009000000}" name="IIBB BSAS"/>
    <tableColumn id="10" xr3:uid="{00000000-0010-0000-3D00-00000A000000}" name="IIBB CABA"/>
  </tableColumns>
  <tableStyleInfo name="Dic-22-style 7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B8:R45">
  <tableColumns count="17">
    <tableColumn id="1" xr3:uid="{00000000-0010-0000-3E00-000001000000}" name="FECHA"/>
    <tableColumn id="2" xr3:uid="{00000000-0010-0000-3E00-000002000000}" name="TIPO"/>
    <tableColumn id="3" xr3:uid="{00000000-0010-0000-3E00-000003000000}" name="PTO VTA"/>
    <tableColumn id="4" xr3:uid="{00000000-0010-0000-3E00-000004000000}" name="NRO. CPTE"/>
    <tableColumn id="5" xr3:uid="{00000000-0010-0000-3E00-000005000000}" name="CUIT"/>
    <tableColumn id="6" xr3:uid="{00000000-0010-0000-3E00-000006000000}" name="RAZON SOCIAL"/>
    <tableColumn id="7" xr3:uid="{00000000-0010-0000-3E00-000007000000}" name="NETO GRAVADO"/>
    <tableColumn id="8" xr3:uid="{00000000-0010-0000-3E00-000008000000}" name="IVA 21 %"/>
    <tableColumn id="9" xr3:uid="{00000000-0010-0000-3E00-000009000000}" name="IVA 27%"/>
    <tableColumn id="10" xr3:uid="{00000000-0010-0000-3E00-00000A000000}" name="IVA 10,5%"/>
    <tableColumn id="11" xr3:uid="{00000000-0010-0000-3E00-00000B000000}" name="PERC. IVA"/>
    <tableColumn id="12" xr3:uid="{00000000-0010-0000-3E00-00000C000000}" name="PERC IIBB _x000a_BS AS"/>
    <tableColumn id="13" xr3:uid="{00000000-0010-0000-3E00-00000D000000}" name="PERC. IIBB CABA"/>
    <tableColumn id="14" xr3:uid="{00000000-0010-0000-3E00-00000E000000}" name="Otros / No Grav."/>
    <tableColumn id="15" xr3:uid="{00000000-0010-0000-3E00-00000F000000}" name="TOTAL"/>
    <tableColumn id="16" xr3:uid="{00000000-0010-0000-3E00-000010000000}" name="Tipo de Gasto"/>
    <tableColumn id="17" xr3:uid="{00000000-0010-0000-3E00-000011000000}" name="Provincia"/>
  </tableColumns>
  <tableStyleInfo name="Ene-23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D51:L55">
  <tableColumns count="9">
    <tableColumn id="1" xr3:uid="{00000000-0010-0000-3F00-000001000000}" name="FECHA"/>
    <tableColumn id="2" xr3:uid="{00000000-0010-0000-3F00-000002000000}" name="NRO CPTE"/>
    <tableColumn id="3" xr3:uid="{00000000-0010-0000-3F00-000003000000}" name="BANCO"/>
    <tableColumn id="4" xr3:uid="{00000000-0010-0000-3F00-000004000000}" name="NETO"/>
    <tableColumn id="5" xr3:uid="{00000000-0010-0000-3F00-000005000000}" name="IVA 21%"/>
    <tableColumn id="6" xr3:uid="{00000000-0010-0000-3F00-000006000000}" name="IVA 10,5%"/>
    <tableColumn id="7" xr3:uid="{00000000-0010-0000-3F00-000007000000}" name="RET IIBB CABA"/>
    <tableColumn id="8" xr3:uid="{00000000-0010-0000-3F00-000008000000}" name="PERC IVA"/>
    <tableColumn id="9" xr3:uid="{00000000-0010-0000-3F00-000009000000}" name="PERC IIBB"/>
  </tableColumns>
  <tableStyleInfo name="Ene-23-style 2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D60:K76">
  <tableColumns count="8">
    <tableColumn id="1" xr3:uid="{00000000-0010-0000-4000-000001000000}" name="FECHA"/>
    <tableColumn id="2" xr3:uid="{00000000-0010-0000-4000-000002000000}" name="PTO VTA"/>
    <tableColumn id="3" xr3:uid="{00000000-0010-0000-4000-000003000000}" name="FC Nº"/>
    <tableColumn id="4" xr3:uid="{00000000-0010-0000-4000-000004000000}" name="CUIT"/>
    <tableColumn id="5" xr3:uid="{00000000-0010-0000-4000-000005000000}" name="RAZON SOCIAL"/>
    <tableColumn id="6" xr3:uid="{00000000-0010-0000-4000-000006000000}" name="TOTAL"/>
    <tableColumn id="7" xr3:uid="{00000000-0010-0000-4000-000007000000}" name="TIPO DE GASTO"/>
    <tableColumn id="8" xr3:uid="{00000000-0010-0000-4000-000008000000}" name="Provincia"/>
  </tableColumns>
  <tableStyleInfo name="Ene-23-style 3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82:M92">
  <tableColumns count="12">
    <tableColumn id="1" xr3:uid="{00000000-0010-0000-4100-000001000000}" name="FECHA"/>
    <tableColumn id="2" xr3:uid="{00000000-0010-0000-4100-000002000000}" name="TIPO"/>
    <tableColumn id="3" xr3:uid="{00000000-0010-0000-4100-000003000000}" name="PTO VENTA"/>
    <tableColumn id="4" xr3:uid="{00000000-0010-0000-4100-000004000000}" name="Nº FACTURA"/>
    <tableColumn id="5" xr3:uid="{00000000-0010-0000-4100-000005000000}" name="CUIT"/>
    <tableColumn id="6" xr3:uid="{00000000-0010-0000-4100-000006000000}" name="RAZON SOCIAL"/>
    <tableColumn id="7" xr3:uid="{00000000-0010-0000-4100-000007000000}" name="IMPORTE NETO"/>
    <tableColumn id="8" xr3:uid="{00000000-0010-0000-4100-000008000000}" name="IVA 21%"/>
    <tableColumn id="9" xr3:uid="{00000000-0010-0000-4100-000009000000}" name="IVA 10,5%"/>
    <tableColumn id="10" xr3:uid="{00000000-0010-0000-4100-00000A000000}" name="EXENTO"/>
    <tableColumn id="11" xr3:uid="{00000000-0010-0000-4100-00000B000000}" name="TOTAL"/>
    <tableColumn id="12" xr3:uid="{00000000-0010-0000-4100-00000C000000}" name="Provincia"/>
  </tableColumns>
  <tableStyleInfo name="Ene-23-style 4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B96:M103">
  <tableColumns count="12">
    <tableColumn id="1" xr3:uid="{00000000-0010-0000-4200-000001000000}" name="FECHA"/>
    <tableColumn id="2" xr3:uid="{00000000-0010-0000-4200-000002000000}" name="TIPO"/>
    <tableColumn id="3" xr3:uid="{00000000-0010-0000-4200-000003000000}" name="PTO VENTA"/>
    <tableColumn id="4" xr3:uid="{00000000-0010-0000-4200-000004000000}" name="Nº FACTURA"/>
    <tableColumn id="5" xr3:uid="{00000000-0010-0000-4200-000005000000}" name="CUIT"/>
    <tableColumn id="6" xr3:uid="{00000000-0010-0000-4200-000006000000}" name="RAZON SOCIAL"/>
    <tableColumn id="7" xr3:uid="{00000000-0010-0000-4200-000007000000}" name="IMPORTE NETO"/>
    <tableColumn id="8" xr3:uid="{00000000-0010-0000-4200-000008000000}" name="IVA 21%"/>
    <tableColumn id="9" xr3:uid="{00000000-0010-0000-4200-000009000000}" name="IVA 10,5%"/>
    <tableColumn id="10" xr3:uid="{00000000-0010-0000-4200-00000A000000}" name="EXENTO"/>
    <tableColumn id="11" xr3:uid="{00000000-0010-0000-4200-00000B000000}" name="TOTAL"/>
    <tableColumn id="12" xr3:uid="{00000000-0010-0000-4200-00000C000000}" name="Provincia"/>
  </tableColumns>
  <tableStyleInfo name="Ene-23-style 5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B107:J110">
  <tableColumns count="9">
    <tableColumn id="1" xr3:uid="{00000000-0010-0000-4300-000001000000}" name="FECHA"/>
    <tableColumn id="2" xr3:uid="{00000000-0010-0000-4300-000002000000}" name="PTO VENTA"/>
    <tableColumn id="3" xr3:uid="{00000000-0010-0000-4300-000003000000}" name="Nº FACTRA"/>
    <tableColumn id="4" xr3:uid="{00000000-0010-0000-4300-000004000000}" name="CUIT"/>
    <tableColumn id="5" xr3:uid="{00000000-0010-0000-4300-000005000000}" name="RAZON SOCIAL"/>
    <tableColumn id="6" xr3:uid="{00000000-0010-0000-4300-000006000000}" name="USD"/>
    <tableColumn id="7" xr3:uid="{00000000-0010-0000-4300-000007000000}" name="EUR"/>
    <tableColumn id="8" xr3:uid="{00000000-0010-0000-4300-000008000000}" name="T. CAMBIO"/>
    <tableColumn id="9" xr3:uid="{00000000-0010-0000-4300-000009000000}" name="TOTAL"/>
  </tableColumns>
  <tableStyleInfo name="Ene-23-style 6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C115:L120">
  <tableColumns count="10">
    <tableColumn id="1" xr3:uid="{00000000-0010-0000-4400-000001000000}" name="FECHA "/>
    <tableColumn id="2" xr3:uid="{00000000-0010-0000-4400-000002000000}" name="COMP Nº"/>
    <tableColumn id="3" xr3:uid="{00000000-0010-0000-4400-000003000000}" name="Columna1"/>
    <tableColumn id="4" xr3:uid="{00000000-0010-0000-4400-000004000000}" name="CUIT"/>
    <tableColumn id="5" xr3:uid="{00000000-0010-0000-4400-000005000000}" name="RAZON SOCIAL"/>
    <tableColumn id="6" xr3:uid="{00000000-0010-0000-4400-000006000000}" name="Ganancias"/>
    <tableColumn id="7" xr3:uid="{00000000-0010-0000-4400-000007000000}" name="IVA"/>
    <tableColumn id="8" xr3:uid="{00000000-0010-0000-4400-000008000000}" name="SUSS"/>
    <tableColumn id="9" xr3:uid="{00000000-0010-0000-4400-000009000000}" name="IIBB BSAS"/>
    <tableColumn id="10" xr3:uid="{00000000-0010-0000-4400-00000A000000}" name="IIBB CABA"/>
  </tableColumns>
  <tableStyleInfo name="Ene-23-style 7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B8:R60">
  <tableColumns count="17">
    <tableColumn id="1" xr3:uid="{00000000-0010-0000-4500-000001000000}" name="FECHA"/>
    <tableColumn id="2" xr3:uid="{00000000-0010-0000-4500-000002000000}" name="TIPO"/>
    <tableColumn id="3" xr3:uid="{00000000-0010-0000-4500-000003000000}" name="PTO VTA"/>
    <tableColumn id="4" xr3:uid="{00000000-0010-0000-4500-000004000000}" name="NRO. CPTE"/>
    <tableColumn id="5" xr3:uid="{00000000-0010-0000-4500-000005000000}" name="CUIT"/>
    <tableColumn id="6" xr3:uid="{00000000-0010-0000-4500-000006000000}" name="RAZON SOCIAL"/>
    <tableColumn id="7" xr3:uid="{00000000-0010-0000-4500-000007000000}" name="NETO GRAVADO"/>
    <tableColumn id="8" xr3:uid="{00000000-0010-0000-4500-000008000000}" name="IVA 21 %"/>
    <tableColumn id="9" xr3:uid="{00000000-0010-0000-4500-000009000000}" name="IVA 27%"/>
    <tableColumn id="10" xr3:uid="{00000000-0010-0000-4500-00000A000000}" name="IVA 10,5%"/>
    <tableColumn id="11" xr3:uid="{00000000-0010-0000-4500-00000B000000}" name="PERC. IVA"/>
    <tableColumn id="12" xr3:uid="{00000000-0010-0000-4500-00000C000000}" name="PERC IIBB _x000a_BS AS"/>
    <tableColumn id="13" xr3:uid="{00000000-0010-0000-4500-00000D000000}" name="PERC. IIBB CABA"/>
    <tableColumn id="14" xr3:uid="{00000000-0010-0000-4500-00000E000000}" name="Otros / No Grav."/>
    <tableColumn id="15" xr3:uid="{00000000-0010-0000-4500-00000F000000}" name="TOTAL"/>
    <tableColumn id="16" xr3:uid="{00000000-0010-0000-4500-000010000000}" name="Tipo de Gasto" dataDxfId="1"/>
    <tableColumn id="17" xr3:uid="{00000000-0010-0000-4500-000011000000}" name="Provincia"/>
  </tableColumns>
  <tableStyleInfo name="Feb-23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D66:L74">
  <tableColumns count="9">
    <tableColumn id="1" xr3:uid="{00000000-0010-0000-4600-000001000000}" name="FECHA"/>
    <tableColumn id="2" xr3:uid="{00000000-0010-0000-4600-000002000000}" name="NRO CPTE"/>
    <tableColumn id="3" xr3:uid="{00000000-0010-0000-4600-000003000000}" name="BANCO"/>
    <tableColumn id="4" xr3:uid="{00000000-0010-0000-4600-000004000000}" name="NETO"/>
    <tableColumn id="5" xr3:uid="{00000000-0010-0000-4600-000005000000}" name="IVA 21%"/>
    <tableColumn id="6" xr3:uid="{00000000-0010-0000-4600-000006000000}" name="IVA 10,5%"/>
    <tableColumn id="7" xr3:uid="{00000000-0010-0000-4600-000007000000}" name="RET IIBB CABA"/>
    <tableColumn id="8" xr3:uid="{00000000-0010-0000-4600-000008000000}" name="PERC IVA"/>
    <tableColumn id="9" xr3:uid="{00000000-0010-0000-4600-000009000000}" name="PERC IIBB"/>
  </tableColumns>
  <tableStyleInfo name="Feb-23-style 2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D79:K90">
  <tableColumns count="8">
    <tableColumn id="1" xr3:uid="{00000000-0010-0000-4700-000001000000}" name="FECHA"/>
    <tableColumn id="2" xr3:uid="{00000000-0010-0000-4700-000002000000}" name="PTO VTA"/>
    <tableColumn id="3" xr3:uid="{00000000-0010-0000-4700-000003000000}" name="FC Nº"/>
    <tableColumn id="4" xr3:uid="{00000000-0010-0000-4700-000004000000}" name="CUIT"/>
    <tableColumn id="5" xr3:uid="{00000000-0010-0000-4700-000005000000}" name="RAZON SOCIAL"/>
    <tableColumn id="6" xr3:uid="{00000000-0010-0000-4700-000006000000}" name="TOTAL"/>
    <tableColumn id="7" xr3:uid="{00000000-0010-0000-4700-000007000000}" name="TIPO DE GASTO"/>
    <tableColumn id="8" xr3:uid="{00000000-0010-0000-4700-000008000000}" name="Provincia"/>
  </tableColumns>
  <tableStyleInfo name="Feb-23-style 3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B99:M109">
  <tableColumns count="12">
    <tableColumn id="1" xr3:uid="{00000000-0010-0000-4800-000001000000}" name="FECHA"/>
    <tableColumn id="2" xr3:uid="{00000000-0010-0000-4800-000002000000}" name="TIPO"/>
    <tableColumn id="3" xr3:uid="{00000000-0010-0000-4800-000003000000}" name="PTO VENTA"/>
    <tableColumn id="4" xr3:uid="{00000000-0010-0000-4800-000004000000}" name="Nº FACTURA"/>
    <tableColumn id="5" xr3:uid="{00000000-0010-0000-4800-000005000000}" name="CUIT"/>
    <tableColumn id="6" xr3:uid="{00000000-0010-0000-4800-000006000000}" name="RAZON SOCIAL"/>
    <tableColumn id="7" xr3:uid="{00000000-0010-0000-4800-000007000000}" name="IMPORTE NETO"/>
    <tableColumn id="8" xr3:uid="{00000000-0010-0000-4800-000008000000}" name="IVA 21%"/>
    <tableColumn id="9" xr3:uid="{00000000-0010-0000-4800-000009000000}" name="IVA 10,5%"/>
    <tableColumn id="10" xr3:uid="{00000000-0010-0000-4800-00000A000000}" name="EXENTO"/>
    <tableColumn id="11" xr3:uid="{00000000-0010-0000-4800-00000B000000}" name="TOTAL"/>
    <tableColumn id="12" xr3:uid="{00000000-0010-0000-4800-00000C000000}" name="Provincia"/>
  </tableColumns>
  <tableStyleInfo name="Feb-23-style 4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B113:M120">
  <tableColumns count="12">
    <tableColumn id="1" xr3:uid="{00000000-0010-0000-4900-000001000000}" name="FECHA"/>
    <tableColumn id="2" xr3:uid="{00000000-0010-0000-4900-000002000000}" name="TIPO"/>
    <tableColumn id="3" xr3:uid="{00000000-0010-0000-4900-000003000000}" name="PTO VENTA"/>
    <tableColumn id="4" xr3:uid="{00000000-0010-0000-4900-000004000000}" name="Nº FACTURA"/>
    <tableColumn id="5" xr3:uid="{00000000-0010-0000-4900-000005000000}" name="CUIT"/>
    <tableColumn id="6" xr3:uid="{00000000-0010-0000-4900-000006000000}" name="RAZON SOCIAL"/>
    <tableColumn id="7" xr3:uid="{00000000-0010-0000-4900-000007000000}" name="IMPORTE NETO"/>
    <tableColumn id="8" xr3:uid="{00000000-0010-0000-4900-000008000000}" name="IVA 21%"/>
    <tableColumn id="9" xr3:uid="{00000000-0010-0000-4900-000009000000}" name="IVA 10,5%"/>
    <tableColumn id="10" xr3:uid="{00000000-0010-0000-4900-00000A000000}" name="EXENTO"/>
    <tableColumn id="11" xr3:uid="{00000000-0010-0000-4900-00000B000000}" name="TOTAL"/>
    <tableColumn id="12" xr3:uid="{00000000-0010-0000-4900-00000C000000}" name="Provincia"/>
  </tableColumns>
  <tableStyleInfo name="Feb-23-style 5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C129:L134">
  <tableColumns count="10">
    <tableColumn id="1" xr3:uid="{00000000-0010-0000-4A00-000001000000}" name="FECHA "/>
    <tableColumn id="2" xr3:uid="{00000000-0010-0000-4A00-000002000000}" name="COMP Nº"/>
    <tableColumn id="3" xr3:uid="{00000000-0010-0000-4A00-000003000000}" name="Columna1"/>
    <tableColumn id="4" xr3:uid="{00000000-0010-0000-4A00-000004000000}" name="CUIT"/>
    <tableColumn id="5" xr3:uid="{00000000-0010-0000-4A00-000005000000}" name="RAZON SOCIAL"/>
    <tableColumn id="6" xr3:uid="{00000000-0010-0000-4A00-000006000000}" name="Ganancias"/>
    <tableColumn id="7" xr3:uid="{00000000-0010-0000-4A00-000007000000}" name="IVA"/>
    <tableColumn id="8" xr3:uid="{00000000-0010-0000-4A00-000008000000}" name="SUSS"/>
    <tableColumn id="9" xr3:uid="{00000000-0010-0000-4A00-000009000000}" name="IIBB BSAS"/>
    <tableColumn id="10" xr3:uid="{00000000-0010-0000-4A00-00000A000000}" name="IIBB CABA"/>
  </tableColumns>
  <tableStyleInfo name="Feb-23-style 6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B8:R76">
  <autoFilter ref="B8:R76" xr:uid="{00000000-0009-0000-0100-00004C000000}"/>
  <tableColumns count="17">
    <tableColumn id="1" xr3:uid="{00000000-0010-0000-4B00-000001000000}" name="FECHA"/>
    <tableColumn id="2" xr3:uid="{00000000-0010-0000-4B00-000002000000}" name="TIPO"/>
    <tableColumn id="3" xr3:uid="{00000000-0010-0000-4B00-000003000000}" name="PTO VTA"/>
    <tableColumn id="4" xr3:uid="{00000000-0010-0000-4B00-000004000000}" name="NRO. CPTE"/>
    <tableColumn id="5" xr3:uid="{00000000-0010-0000-4B00-000005000000}" name="CUIT"/>
    <tableColumn id="6" xr3:uid="{00000000-0010-0000-4B00-000006000000}" name="RAZON SOCIAL"/>
    <tableColumn id="7" xr3:uid="{00000000-0010-0000-4B00-000007000000}" name="NETO GRAVADO"/>
    <tableColumn id="8" xr3:uid="{00000000-0010-0000-4B00-000008000000}" name="IVA 21 %"/>
    <tableColumn id="9" xr3:uid="{00000000-0010-0000-4B00-000009000000}" name="IVA 27%"/>
    <tableColumn id="10" xr3:uid="{00000000-0010-0000-4B00-00000A000000}" name="IVA 10,5%"/>
    <tableColumn id="11" xr3:uid="{00000000-0010-0000-4B00-00000B000000}" name="PERC. IVA"/>
    <tableColumn id="12" xr3:uid="{00000000-0010-0000-4B00-00000C000000}" name="PERC IIBB _x000a_BS AS"/>
    <tableColumn id="13" xr3:uid="{00000000-0010-0000-4B00-00000D000000}" name="PERC. IIBB CABA"/>
    <tableColumn id="14" xr3:uid="{00000000-0010-0000-4B00-00000E000000}" name="Otros / No Grav."/>
    <tableColumn id="15" xr3:uid="{00000000-0010-0000-4B00-00000F000000}" name="TOTAL"/>
    <tableColumn id="16" xr3:uid="{00000000-0010-0000-4B00-000010000000}" name="Tipo de Gasto" dataDxfId="0"/>
    <tableColumn id="17" xr3:uid="{00000000-0010-0000-4B00-000011000000}" name="Provincia"/>
  </tableColumns>
  <tableStyleInfo name="Mar-23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D82:L88">
  <tableColumns count="9">
    <tableColumn id="1" xr3:uid="{00000000-0010-0000-4C00-000001000000}" name="FECHA"/>
    <tableColumn id="2" xr3:uid="{00000000-0010-0000-4C00-000002000000}" name="NRO CPTE"/>
    <tableColumn id="3" xr3:uid="{00000000-0010-0000-4C00-000003000000}" name="BANCO"/>
    <tableColumn id="4" xr3:uid="{00000000-0010-0000-4C00-000004000000}" name="NETO"/>
    <tableColumn id="5" xr3:uid="{00000000-0010-0000-4C00-000005000000}" name="IVA 21%"/>
    <tableColumn id="6" xr3:uid="{00000000-0010-0000-4C00-000006000000}" name="IVA 10,5%"/>
    <tableColumn id="7" xr3:uid="{00000000-0010-0000-4C00-000007000000}" name="RET IIBB CABA"/>
    <tableColumn id="8" xr3:uid="{00000000-0010-0000-4C00-000008000000}" name="PERC IVA"/>
    <tableColumn id="9" xr3:uid="{00000000-0010-0000-4C00-000009000000}" name="PERC IIBB"/>
  </tableColumns>
  <tableStyleInfo name="Mar-23-style 2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D92:K110">
  <tableColumns count="8">
    <tableColumn id="1" xr3:uid="{00000000-0010-0000-4D00-000001000000}" name="FECHA"/>
    <tableColumn id="2" xr3:uid="{00000000-0010-0000-4D00-000002000000}" name="PTO VTA"/>
    <tableColumn id="3" xr3:uid="{00000000-0010-0000-4D00-000003000000}" name="FC Nº"/>
    <tableColumn id="4" xr3:uid="{00000000-0010-0000-4D00-000004000000}" name="CUIT"/>
    <tableColumn id="5" xr3:uid="{00000000-0010-0000-4D00-000005000000}" name="RAZON SOCIAL"/>
    <tableColumn id="6" xr3:uid="{00000000-0010-0000-4D00-000006000000}" name="TOTAL"/>
    <tableColumn id="7" xr3:uid="{00000000-0010-0000-4D00-000007000000}" name="TIPO DE GASTO"/>
    <tableColumn id="8" xr3:uid="{00000000-0010-0000-4D00-000008000000}" name="Provincia"/>
  </tableColumns>
  <tableStyleInfo name="Mar-23-style 3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B119:M123">
  <tableColumns count="12">
    <tableColumn id="1" xr3:uid="{00000000-0010-0000-4E00-000001000000}" name="FECHA"/>
    <tableColumn id="2" xr3:uid="{00000000-0010-0000-4E00-000002000000}" name="TIPO"/>
    <tableColumn id="3" xr3:uid="{00000000-0010-0000-4E00-000003000000}" name="PTO VENTA"/>
    <tableColumn id="4" xr3:uid="{00000000-0010-0000-4E00-000004000000}" name="Nº FACTURA"/>
    <tableColumn id="5" xr3:uid="{00000000-0010-0000-4E00-000005000000}" name="CUIT"/>
    <tableColumn id="6" xr3:uid="{00000000-0010-0000-4E00-000006000000}" name="RAZON SOCIAL"/>
    <tableColumn id="7" xr3:uid="{00000000-0010-0000-4E00-000007000000}" name="IMPORTE NETO"/>
    <tableColumn id="8" xr3:uid="{00000000-0010-0000-4E00-000008000000}" name="IVA 21%"/>
    <tableColumn id="9" xr3:uid="{00000000-0010-0000-4E00-000009000000}" name="IVA 10,5%"/>
    <tableColumn id="10" xr3:uid="{00000000-0010-0000-4E00-00000A000000}" name="EXENTO"/>
    <tableColumn id="11" xr3:uid="{00000000-0010-0000-4E00-00000B000000}" name="TOTAL"/>
    <tableColumn id="12" xr3:uid="{00000000-0010-0000-4E00-00000C000000}" name="Provincia"/>
  </tableColumns>
  <tableStyleInfo name="Mar-23-style 4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B127:M134">
  <tableColumns count="12">
    <tableColumn id="1" xr3:uid="{00000000-0010-0000-4F00-000001000000}" name="FECHA"/>
    <tableColumn id="2" xr3:uid="{00000000-0010-0000-4F00-000002000000}" name="TIPO"/>
    <tableColumn id="3" xr3:uid="{00000000-0010-0000-4F00-000003000000}" name="PTO VENTA"/>
    <tableColumn id="4" xr3:uid="{00000000-0010-0000-4F00-000004000000}" name="Nº FACTURA"/>
    <tableColumn id="5" xr3:uid="{00000000-0010-0000-4F00-000005000000}" name="CUIT"/>
    <tableColumn id="6" xr3:uid="{00000000-0010-0000-4F00-000006000000}" name="RAZON SOCIAL"/>
    <tableColumn id="7" xr3:uid="{00000000-0010-0000-4F00-000007000000}" name="IMPORTE NETO"/>
    <tableColumn id="8" xr3:uid="{00000000-0010-0000-4F00-000008000000}" name="IVA 21%"/>
    <tableColumn id="9" xr3:uid="{00000000-0010-0000-4F00-000009000000}" name="IVA 10,5%"/>
    <tableColumn id="10" xr3:uid="{00000000-0010-0000-4F00-00000A000000}" name="EXENTO"/>
    <tableColumn id="11" xr3:uid="{00000000-0010-0000-4F00-00000B000000}" name="TOTAL"/>
    <tableColumn id="12" xr3:uid="{00000000-0010-0000-4F00-00000C000000}" name="Provincia"/>
  </tableColumns>
  <tableStyleInfo name="Mar-23-style 5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B138:J145">
  <tableColumns count="9">
    <tableColumn id="1" xr3:uid="{00000000-0010-0000-5000-000001000000}" name="FECHA"/>
    <tableColumn id="2" xr3:uid="{00000000-0010-0000-5000-000002000000}" name="PTO VENTA"/>
    <tableColumn id="3" xr3:uid="{00000000-0010-0000-5000-000003000000}" name="Nº FACTRA"/>
    <tableColumn id="4" xr3:uid="{00000000-0010-0000-5000-000004000000}" name="CUIT"/>
    <tableColumn id="5" xr3:uid="{00000000-0010-0000-5000-000005000000}" name="RAZON SOCIAL"/>
    <tableColumn id="6" xr3:uid="{00000000-0010-0000-5000-000006000000}" name="USD"/>
    <tableColumn id="7" xr3:uid="{00000000-0010-0000-5000-000007000000}" name="EUR"/>
    <tableColumn id="8" xr3:uid="{00000000-0010-0000-5000-000008000000}" name="T. CAMBIO"/>
    <tableColumn id="9" xr3:uid="{00000000-0010-0000-5000-000009000000}" name="TOTAL"/>
  </tableColumns>
  <tableStyleInfo name="Mar-23-style 6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C149:L154">
  <tableColumns count="10">
    <tableColumn id="1" xr3:uid="{00000000-0010-0000-5100-000001000000}" name="FECHA "/>
    <tableColumn id="2" xr3:uid="{00000000-0010-0000-5100-000002000000}" name="COMP Nº"/>
    <tableColumn id="3" xr3:uid="{00000000-0010-0000-5100-000003000000}" name="Columna1"/>
    <tableColumn id="4" xr3:uid="{00000000-0010-0000-5100-000004000000}" name="CUIT"/>
    <tableColumn id="5" xr3:uid="{00000000-0010-0000-5100-000005000000}" name="RAZON SOCIAL"/>
    <tableColumn id="6" xr3:uid="{00000000-0010-0000-5100-000006000000}" name="Ganancias"/>
    <tableColumn id="7" xr3:uid="{00000000-0010-0000-5100-000007000000}" name="IVA"/>
    <tableColumn id="8" xr3:uid="{00000000-0010-0000-5100-000008000000}" name="SUSS"/>
    <tableColumn id="9" xr3:uid="{00000000-0010-0000-5100-000009000000}" name="IIBB BSAS"/>
    <tableColumn id="10" xr3:uid="{00000000-0010-0000-5100-00000A000000}" name="IIBB CABA"/>
  </tableColumns>
  <tableStyleInfo name="Mar-23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5.xml"/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8.xml"/><Relationship Id="rId7" Type="http://schemas.openxmlformats.org/officeDocument/2006/relationships/table" Target="../tables/table62.xml"/><Relationship Id="rId2" Type="http://schemas.openxmlformats.org/officeDocument/2006/relationships/table" Target="../tables/table57.xml"/><Relationship Id="rId1" Type="http://schemas.openxmlformats.org/officeDocument/2006/relationships/table" Target="../tables/table56.xml"/><Relationship Id="rId6" Type="http://schemas.openxmlformats.org/officeDocument/2006/relationships/table" Target="../tables/table61.xml"/><Relationship Id="rId5" Type="http://schemas.openxmlformats.org/officeDocument/2006/relationships/table" Target="../tables/table60.xml"/><Relationship Id="rId4" Type="http://schemas.openxmlformats.org/officeDocument/2006/relationships/table" Target="../tables/table5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7" Type="http://schemas.openxmlformats.org/officeDocument/2006/relationships/table" Target="../tables/table69.xml"/><Relationship Id="rId2" Type="http://schemas.openxmlformats.org/officeDocument/2006/relationships/table" Target="../tables/table64.xml"/><Relationship Id="rId1" Type="http://schemas.openxmlformats.org/officeDocument/2006/relationships/table" Target="../tables/table63.xml"/><Relationship Id="rId6" Type="http://schemas.openxmlformats.org/officeDocument/2006/relationships/table" Target="../tables/table68.xml"/><Relationship Id="rId5" Type="http://schemas.openxmlformats.org/officeDocument/2006/relationships/table" Target="../tables/table67.xml"/><Relationship Id="rId4" Type="http://schemas.openxmlformats.org/officeDocument/2006/relationships/table" Target="../tables/table6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2.xml"/><Relationship Id="rId2" Type="http://schemas.openxmlformats.org/officeDocument/2006/relationships/table" Target="../tables/table71.xml"/><Relationship Id="rId1" Type="http://schemas.openxmlformats.org/officeDocument/2006/relationships/table" Target="../tables/table70.xml"/><Relationship Id="rId6" Type="http://schemas.openxmlformats.org/officeDocument/2006/relationships/table" Target="../tables/table75.xml"/><Relationship Id="rId5" Type="http://schemas.openxmlformats.org/officeDocument/2006/relationships/table" Target="../tables/table74.xml"/><Relationship Id="rId4" Type="http://schemas.openxmlformats.org/officeDocument/2006/relationships/table" Target="../tables/table7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7" Type="http://schemas.openxmlformats.org/officeDocument/2006/relationships/table" Target="../tables/table82.xml"/><Relationship Id="rId2" Type="http://schemas.openxmlformats.org/officeDocument/2006/relationships/table" Target="../tables/table77.xml"/><Relationship Id="rId1" Type="http://schemas.openxmlformats.org/officeDocument/2006/relationships/table" Target="../tables/table76.xml"/><Relationship Id="rId6" Type="http://schemas.openxmlformats.org/officeDocument/2006/relationships/table" Target="../tables/table81.xml"/><Relationship Id="rId5" Type="http://schemas.openxmlformats.org/officeDocument/2006/relationships/table" Target="../tables/table80.xml"/><Relationship Id="rId4" Type="http://schemas.openxmlformats.org/officeDocument/2006/relationships/table" Target="../tables/table7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2"/>
  <sheetViews>
    <sheetView workbookViewId="0">
      <selection activeCell="B5" sqref="B5"/>
    </sheetView>
  </sheetViews>
  <sheetFormatPr baseColWidth="10" defaultColWidth="14.42578125" defaultRowHeight="15" customHeight="1" x14ac:dyDescent="0.25"/>
  <cols>
    <col min="1" max="1" width="13.42578125" customWidth="1"/>
    <col min="2" max="2" width="81.140625" customWidth="1"/>
    <col min="3" max="3" width="21.85546875" customWidth="1"/>
    <col min="4" max="4" width="15.5703125" customWidth="1"/>
    <col min="5" max="6" width="10.7109375" customWidth="1"/>
    <col min="7" max="7" width="20.5703125" customWidth="1"/>
    <col min="8" max="26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>
        <v>30605344352</v>
      </c>
      <c r="B2" s="3" t="s">
        <v>214</v>
      </c>
      <c r="C2" s="1" t="s">
        <v>215</v>
      </c>
      <c r="D2" s="3"/>
      <c r="G2" s="4" t="s">
        <v>5</v>
      </c>
    </row>
    <row r="3" spans="1:7" x14ac:dyDescent="0.25">
      <c r="A3" s="2">
        <v>30717029336</v>
      </c>
      <c r="B3" s="3" t="s">
        <v>376</v>
      </c>
      <c r="C3" s="1" t="s">
        <v>1763</v>
      </c>
      <c r="D3" s="3"/>
      <c r="G3" s="5" t="s">
        <v>8</v>
      </c>
    </row>
    <row r="4" spans="1:7" x14ac:dyDescent="0.25">
      <c r="A4" s="2">
        <v>30650600238</v>
      </c>
      <c r="B4" s="3" t="s">
        <v>1506</v>
      </c>
      <c r="C4" s="1" t="s">
        <v>1763</v>
      </c>
      <c r="D4" s="3"/>
      <c r="G4" s="4" t="s">
        <v>10</v>
      </c>
    </row>
    <row r="5" spans="1:7" x14ac:dyDescent="0.25">
      <c r="A5" s="2">
        <v>30709317101</v>
      </c>
      <c r="B5" s="3" t="s">
        <v>218</v>
      </c>
      <c r="C5" s="1" t="s">
        <v>1763</v>
      </c>
      <c r="D5" s="3"/>
      <c r="G5" s="5" t="s">
        <v>12</v>
      </c>
    </row>
    <row r="6" spans="1:7" x14ac:dyDescent="0.25">
      <c r="A6" s="2">
        <v>30716701820</v>
      </c>
      <c r="B6" s="3" t="s">
        <v>858</v>
      </c>
      <c r="C6" s="1" t="s">
        <v>1763</v>
      </c>
      <c r="D6" s="3"/>
      <c r="G6" s="4" t="s">
        <v>14</v>
      </c>
    </row>
    <row r="7" spans="1:7" x14ac:dyDescent="0.25">
      <c r="A7" s="2">
        <v>33708543409</v>
      </c>
      <c r="B7" s="3" t="s">
        <v>1173</v>
      </c>
      <c r="C7" s="1" t="s">
        <v>1763</v>
      </c>
      <c r="D7" s="3"/>
      <c r="G7" s="5" t="s">
        <v>17</v>
      </c>
    </row>
    <row r="8" spans="1:7" x14ac:dyDescent="0.25">
      <c r="A8" s="2">
        <v>30715053744</v>
      </c>
      <c r="B8" s="3" t="s">
        <v>1148</v>
      </c>
      <c r="C8" s="1" t="s">
        <v>1149</v>
      </c>
      <c r="D8" s="3"/>
      <c r="G8" s="4" t="s">
        <v>20</v>
      </c>
    </row>
    <row r="9" spans="1:7" x14ac:dyDescent="0.25">
      <c r="A9" s="2">
        <v>30715048066</v>
      </c>
      <c r="B9" s="3" t="s">
        <v>1040</v>
      </c>
      <c r="C9" s="1" t="s">
        <v>1041</v>
      </c>
      <c r="D9" s="3"/>
      <c r="G9" s="5" t="s">
        <v>22</v>
      </c>
    </row>
    <row r="10" spans="1:7" x14ac:dyDescent="0.25">
      <c r="A10" s="2">
        <v>20214752868</v>
      </c>
      <c r="B10" s="3" t="s">
        <v>1049</v>
      </c>
      <c r="C10" s="1" t="s">
        <v>1050</v>
      </c>
      <c r="D10" s="3"/>
      <c r="G10" s="4" t="s">
        <v>24</v>
      </c>
    </row>
    <row r="11" spans="1:7" x14ac:dyDescent="0.25">
      <c r="A11" s="2">
        <v>30678774495</v>
      </c>
      <c r="B11" s="3" t="s">
        <v>728</v>
      </c>
      <c r="C11" s="1" t="s">
        <v>117</v>
      </c>
      <c r="D11" s="3"/>
      <c r="G11" s="5" t="s">
        <v>26</v>
      </c>
    </row>
    <row r="12" spans="1:7" x14ac:dyDescent="0.25">
      <c r="A12" s="2">
        <v>30695542476</v>
      </c>
      <c r="B12" s="3" t="s">
        <v>746</v>
      </c>
      <c r="C12" s="1" t="s">
        <v>117</v>
      </c>
      <c r="D12" s="3"/>
      <c r="G12" s="4" t="s">
        <v>28</v>
      </c>
    </row>
    <row r="13" spans="1:7" x14ac:dyDescent="0.25">
      <c r="A13" s="2">
        <v>30574300858</v>
      </c>
      <c r="B13" s="3" t="s">
        <v>885</v>
      </c>
      <c r="C13" s="1" t="s">
        <v>117</v>
      </c>
      <c r="D13" s="3"/>
      <c r="G13" s="5" t="s">
        <v>31</v>
      </c>
    </row>
    <row r="14" spans="1:7" x14ac:dyDescent="0.25">
      <c r="A14" s="2">
        <v>30506919009</v>
      </c>
      <c r="B14" s="3" t="s">
        <v>116</v>
      </c>
      <c r="C14" s="1" t="s">
        <v>117</v>
      </c>
      <c r="D14" s="3"/>
      <c r="G14" s="4" t="s">
        <v>33</v>
      </c>
    </row>
    <row r="15" spans="1:7" x14ac:dyDescent="0.25">
      <c r="A15" s="2">
        <v>30537387870</v>
      </c>
      <c r="B15" s="3" t="s">
        <v>145</v>
      </c>
      <c r="C15" s="1" t="s">
        <v>117</v>
      </c>
      <c r="D15" s="3"/>
      <c r="G15" s="5" t="s">
        <v>35</v>
      </c>
    </row>
    <row r="16" spans="1:7" x14ac:dyDescent="0.25">
      <c r="A16" s="2">
        <v>30596357233</v>
      </c>
      <c r="B16" s="3" t="s">
        <v>198</v>
      </c>
      <c r="C16" s="1" t="s">
        <v>117</v>
      </c>
      <c r="D16" s="3"/>
      <c r="G16" s="4" t="s">
        <v>37</v>
      </c>
    </row>
    <row r="17" spans="1:7" x14ac:dyDescent="0.25">
      <c r="A17" s="2">
        <v>30516186670</v>
      </c>
      <c r="B17" s="3" t="s">
        <v>258</v>
      </c>
      <c r="C17" s="1" t="s">
        <v>117</v>
      </c>
      <c r="D17" s="3"/>
      <c r="G17" s="5" t="s">
        <v>39</v>
      </c>
    </row>
    <row r="18" spans="1:7" x14ac:dyDescent="0.25">
      <c r="A18" s="2">
        <v>30537781323</v>
      </c>
      <c r="B18" s="3" t="s">
        <v>348</v>
      </c>
      <c r="C18" s="1" t="s">
        <v>117</v>
      </c>
      <c r="D18" s="3"/>
      <c r="G18" s="4" t="s">
        <v>41</v>
      </c>
    </row>
    <row r="19" spans="1:7" x14ac:dyDescent="0.25">
      <c r="A19" s="2">
        <v>30715717863</v>
      </c>
      <c r="B19" s="3" t="s">
        <v>349</v>
      </c>
      <c r="C19" s="1" t="s">
        <v>117</v>
      </c>
      <c r="D19" s="3"/>
      <c r="G19" s="5" t="s">
        <v>43</v>
      </c>
    </row>
    <row r="20" spans="1:7" x14ac:dyDescent="0.25">
      <c r="A20" s="2">
        <v>30643827197</v>
      </c>
      <c r="B20" s="3" t="s">
        <v>494</v>
      </c>
      <c r="C20" s="1" t="s">
        <v>117</v>
      </c>
      <c r="D20" s="3"/>
      <c r="G20" s="4" t="s">
        <v>45</v>
      </c>
    </row>
    <row r="21" spans="1:7" ht="15.75" customHeight="1" x14ac:dyDescent="0.25">
      <c r="A21" s="2">
        <v>30615530065</v>
      </c>
      <c r="B21" s="3" t="s">
        <v>557</v>
      </c>
      <c r="C21" s="1" t="s">
        <v>117</v>
      </c>
      <c r="D21" s="3"/>
      <c r="G21" s="5" t="s">
        <v>47</v>
      </c>
    </row>
    <row r="22" spans="1:7" ht="15.75" customHeight="1" x14ac:dyDescent="0.25">
      <c r="A22" s="2">
        <v>30615530065</v>
      </c>
      <c r="B22" s="3" t="s">
        <v>557</v>
      </c>
      <c r="C22" s="1" t="s">
        <v>117</v>
      </c>
      <c r="D22" s="3"/>
      <c r="G22" s="4" t="s">
        <v>49</v>
      </c>
    </row>
    <row r="23" spans="1:7" ht="15.75" customHeight="1" x14ac:dyDescent="0.25">
      <c r="A23" s="2">
        <v>20217165114</v>
      </c>
      <c r="B23" s="3" t="s">
        <v>619</v>
      </c>
      <c r="C23" s="1" t="s">
        <v>117</v>
      </c>
      <c r="D23" s="3"/>
    </row>
    <row r="24" spans="1:7" ht="15.75" customHeight="1" x14ac:dyDescent="0.25">
      <c r="A24" s="2">
        <v>30685116657</v>
      </c>
      <c r="B24" s="3" t="s">
        <v>655</v>
      </c>
      <c r="C24" s="1" t="s">
        <v>117</v>
      </c>
      <c r="D24" s="3"/>
    </row>
    <row r="25" spans="1:7" ht="15.75" customHeight="1" x14ac:dyDescent="0.25">
      <c r="A25" s="2">
        <v>33608724279</v>
      </c>
      <c r="B25" s="3" t="s">
        <v>672</v>
      </c>
      <c r="C25" s="1" t="s">
        <v>117</v>
      </c>
      <c r="D25" s="3"/>
    </row>
    <row r="26" spans="1:7" ht="15.75" customHeight="1" x14ac:dyDescent="0.25">
      <c r="A26" s="2">
        <v>30707983732</v>
      </c>
      <c r="B26" s="3" t="s">
        <v>673</v>
      </c>
      <c r="C26" s="1" t="s">
        <v>117</v>
      </c>
      <c r="D26" s="3"/>
    </row>
    <row r="27" spans="1:7" ht="15.75" customHeight="1" x14ac:dyDescent="0.25">
      <c r="A27" s="2">
        <v>30678774495</v>
      </c>
      <c r="B27" s="3" t="s">
        <v>728</v>
      </c>
      <c r="C27" s="1" t="s">
        <v>117</v>
      </c>
      <c r="D27" s="3"/>
    </row>
    <row r="28" spans="1:7" ht="15.75" customHeight="1" x14ac:dyDescent="0.25">
      <c r="A28" s="2">
        <v>30678774495</v>
      </c>
      <c r="B28" s="3" t="s">
        <v>729</v>
      </c>
      <c r="C28" s="1" t="s">
        <v>117</v>
      </c>
      <c r="D28" s="3"/>
    </row>
    <row r="29" spans="1:7" ht="15.75" customHeight="1" x14ac:dyDescent="0.25">
      <c r="A29" s="2">
        <v>30678774495</v>
      </c>
      <c r="B29" s="3" t="s">
        <v>729</v>
      </c>
      <c r="C29" s="1" t="s">
        <v>117</v>
      </c>
      <c r="D29" s="3"/>
    </row>
    <row r="30" spans="1:7" ht="15.75" customHeight="1" x14ac:dyDescent="0.25">
      <c r="A30" s="2">
        <v>30695542476</v>
      </c>
      <c r="B30" s="3" t="s">
        <v>745</v>
      </c>
      <c r="C30" s="1" t="s">
        <v>117</v>
      </c>
      <c r="D30" s="3"/>
    </row>
    <row r="31" spans="1:7" ht="15.75" customHeight="1" x14ac:dyDescent="0.25">
      <c r="A31" s="2">
        <v>30692317951</v>
      </c>
      <c r="B31" s="3" t="s">
        <v>783</v>
      </c>
      <c r="C31" s="1" t="s">
        <v>117</v>
      </c>
      <c r="D31" s="3"/>
    </row>
    <row r="32" spans="1:7" ht="15.75" customHeight="1" x14ac:dyDescent="0.25">
      <c r="A32" s="2">
        <v>30677909001</v>
      </c>
      <c r="B32" s="3" t="s">
        <v>824</v>
      </c>
      <c r="C32" s="1" t="s">
        <v>117</v>
      </c>
      <c r="D32" s="3"/>
    </row>
    <row r="33" spans="1:4" ht="15.75" customHeight="1" x14ac:dyDescent="0.25">
      <c r="A33" s="2">
        <v>30538456876</v>
      </c>
      <c r="B33" s="3" t="s">
        <v>834</v>
      </c>
      <c r="C33" s="1" t="s">
        <v>117</v>
      </c>
      <c r="D33" s="3"/>
    </row>
    <row r="34" spans="1:4" ht="15.75" customHeight="1" x14ac:dyDescent="0.25">
      <c r="A34" s="2">
        <v>30574300858</v>
      </c>
      <c r="B34" s="3" t="s">
        <v>885</v>
      </c>
      <c r="C34" s="1" t="s">
        <v>117</v>
      </c>
      <c r="D34" s="3"/>
    </row>
    <row r="35" spans="1:4" ht="15.75" customHeight="1" x14ac:dyDescent="0.25">
      <c r="A35" s="2">
        <v>30517264160</v>
      </c>
      <c r="B35" s="3" t="s">
        <v>964</v>
      </c>
      <c r="C35" s="1" t="s">
        <v>117</v>
      </c>
      <c r="D35" s="3"/>
    </row>
    <row r="36" spans="1:4" ht="15.75" customHeight="1" x14ac:dyDescent="0.25">
      <c r="A36" s="2">
        <v>30707918302</v>
      </c>
      <c r="B36" s="3" t="s">
        <v>976</v>
      </c>
      <c r="C36" s="1" t="s">
        <v>117</v>
      </c>
      <c r="D36" s="3"/>
    </row>
    <row r="37" spans="1:4" ht="15.75" customHeight="1" x14ac:dyDescent="0.25">
      <c r="A37" s="2">
        <v>30707918302</v>
      </c>
      <c r="B37" s="3" t="s">
        <v>976</v>
      </c>
      <c r="C37" s="1" t="s">
        <v>117</v>
      </c>
      <c r="D37" s="3"/>
    </row>
    <row r="38" spans="1:4" ht="15.75" customHeight="1" x14ac:dyDescent="0.25">
      <c r="A38" s="2">
        <v>30707918302</v>
      </c>
      <c r="B38" s="3" t="s">
        <v>976</v>
      </c>
      <c r="C38" s="1" t="s">
        <v>117</v>
      </c>
      <c r="D38" s="3"/>
    </row>
    <row r="39" spans="1:4" ht="15.75" customHeight="1" x14ac:dyDescent="0.25">
      <c r="A39" s="2">
        <v>30546689979</v>
      </c>
      <c r="B39" s="3" t="s">
        <v>1020</v>
      </c>
      <c r="C39" s="1" t="s">
        <v>117</v>
      </c>
      <c r="D39" s="3"/>
    </row>
    <row r="40" spans="1:4" ht="15.75" customHeight="1" x14ac:dyDescent="0.25">
      <c r="A40" s="2">
        <v>30522854758</v>
      </c>
      <c r="B40" s="3" t="s">
        <v>1061</v>
      </c>
      <c r="C40" s="1" t="s">
        <v>117</v>
      </c>
      <c r="D40" s="3"/>
    </row>
    <row r="41" spans="1:4" ht="15.75" customHeight="1" x14ac:dyDescent="0.25">
      <c r="A41" s="2">
        <v>30695512476</v>
      </c>
      <c r="B41" s="3" t="s">
        <v>61</v>
      </c>
      <c r="C41" s="1" t="s">
        <v>117</v>
      </c>
      <c r="D41" s="3"/>
    </row>
    <row r="42" spans="1:4" ht="15.75" customHeight="1" x14ac:dyDescent="0.25">
      <c r="A42" s="2">
        <v>33677414419</v>
      </c>
      <c r="B42" s="3" t="s">
        <v>1115</v>
      </c>
      <c r="C42" s="1" t="s">
        <v>1116</v>
      </c>
      <c r="D42" s="3"/>
    </row>
    <row r="43" spans="1:4" ht="15.75" customHeight="1" x14ac:dyDescent="0.25">
      <c r="A43" s="2">
        <v>30715078100</v>
      </c>
      <c r="B43" s="3" t="s">
        <v>1145</v>
      </c>
      <c r="C43" s="1" t="s">
        <v>1146</v>
      </c>
      <c r="D43" s="3"/>
    </row>
    <row r="44" spans="1:4" ht="15.75" customHeight="1" x14ac:dyDescent="0.25">
      <c r="A44" s="2">
        <v>23326777269</v>
      </c>
      <c r="B44" s="3" t="s">
        <v>1231</v>
      </c>
      <c r="C44" s="1" t="s">
        <v>1746</v>
      </c>
      <c r="D44" s="3"/>
    </row>
    <row r="45" spans="1:4" ht="15.75" customHeight="1" x14ac:dyDescent="0.25">
      <c r="A45" s="2">
        <v>20417805878</v>
      </c>
      <c r="B45" s="3" t="s">
        <v>1232</v>
      </c>
      <c r="C45" s="1" t="s">
        <v>1746</v>
      </c>
      <c r="D45" s="3"/>
    </row>
    <row r="46" spans="1:4" ht="15.75" customHeight="1" x14ac:dyDescent="0.25">
      <c r="A46" s="2">
        <v>33693450239</v>
      </c>
      <c r="B46" s="3" t="s">
        <v>1021</v>
      </c>
      <c r="C46" s="1" t="s">
        <v>1022</v>
      </c>
      <c r="D46" s="3"/>
    </row>
    <row r="47" spans="1:4" ht="15.75" customHeight="1" x14ac:dyDescent="0.25">
      <c r="A47" s="2">
        <v>20318964557</v>
      </c>
      <c r="B47" s="3" t="s">
        <v>1483</v>
      </c>
      <c r="C47" s="1" t="s">
        <v>1764</v>
      </c>
      <c r="D47" s="3"/>
    </row>
    <row r="48" spans="1:4" ht="15.75" customHeight="1" x14ac:dyDescent="0.25">
      <c r="A48" s="2">
        <v>30715413678</v>
      </c>
      <c r="B48" s="3" t="s">
        <v>1028</v>
      </c>
      <c r="C48" s="1" t="s">
        <v>1029</v>
      </c>
      <c r="D48" s="3"/>
    </row>
    <row r="49" spans="1:4" ht="15.75" customHeight="1" x14ac:dyDescent="0.25">
      <c r="A49" s="2">
        <v>30571421352</v>
      </c>
      <c r="B49" s="3" t="s">
        <v>125</v>
      </c>
      <c r="C49" s="1" t="s">
        <v>35</v>
      </c>
      <c r="D49" s="3"/>
    </row>
    <row r="50" spans="1:4" ht="15.75" customHeight="1" x14ac:dyDescent="0.25">
      <c r="A50" s="2">
        <v>30500008454</v>
      </c>
      <c r="B50" s="3" t="s">
        <v>128</v>
      </c>
      <c r="C50" s="1" t="s">
        <v>35</v>
      </c>
      <c r="D50" s="3"/>
    </row>
    <row r="51" spans="1:4" ht="15.75" customHeight="1" x14ac:dyDescent="0.25">
      <c r="A51" s="2">
        <v>27126668150</v>
      </c>
      <c r="B51" s="3" t="s">
        <v>1118</v>
      </c>
      <c r="C51" s="1" t="s">
        <v>1119</v>
      </c>
      <c r="D51" s="3"/>
    </row>
    <row r="52" spans="1:4" ht="15.75" customHeight="1" x14ac:dyDescent="0.25">
      <c r="A52" s="2">
        <v>30708405228</v>
      </c>
      <c r="B52" s="3" t="s">
        <v>1123</v>
      </c>
      <c r="C52" s="1" t="s">
        <v>1124</v>
      </c>
      <c r="D52" s="3"/>
    </row>
    <row r="53" spans="1:4" ht="15.75" customHeight="1" x14ac:dyDescent="0.25">
      <c r="A53" s="2">
        <v>30714471429</v>
      </c>
      <c r="B53" s="3" t="s">
        <v>1128</v>
      </c>
      <c r="C53" s="1" t="s">
        <v>1119</v>
      </c>
      <c r="D53" s="3"/>
    </row>
    <row r="54" spans="1:4" ht="15.75" customHeight="1" x14ac:dyDescent="0.25">
      <c r="A54" s="2">
        <v>30715002848</v>
      </c>
      <c r="B54" s="3" t="s">
        <v>1132</v>
      </c>
      <c r="C54" s="1" t="s">
        <v>1119</v>
      </c>
      <c r="D54" s="3"/>
    </row>
    <row r="55" spans="1:4" ht="15.75" customHeight="1" x14ac:dyDescent="0.25">
      <c r="A55" s="2">
        <v>30715535471</v>
      </c>
      <c r="B55" s="3" t="s">
        <v>1138</v>
      </c>
      <c r="C55" s="1" t="s">
        <v>1119</v>
      </c>
      <c r="D55" s="3"/>
    </row>
    <row r="56" spans="1:4" ht="15.75" customHeight="1" x14ac:dyDescent="0.25">
      <c r="A56" s="2">
        <v>27066610018</v>
      </c>
      <c r="B56" s="3" t="s">
        <v>1139</v>
      </c>
      <c r="C56" s="1" t="s">
        <v>1119</v>
      </c>
      <c r="D56" s="3"/>
    </row>
    <row r="57" spans="1:4" ht="15.75" customHeight="1" x14ac:dyDescent="0.25">
      <c r="A57" s="2">
        <v>30711930899</v>
      </c>
      <c r="B57" s="3" t="s">
        <v>1481</v>
      </c>
      <c r="C57" s="1" t="s">
        <v>1119</v>
      </c>
      <c r="D57" s="3"/>
    </row>
    <row r="58" spans="1:4" ht="15.75" customHeight="1" x14ac:dyDescent="0.25">
      <c r="A58" s="2">
        <v>27282311882</v>
      </c>
      <c r="B58" s="3" t="s">
        <v>296</v>
      </c>
      <c r="C58" s="1" t="s">
        <v>297</v>
      </c>
      <c r="D58" s="3"/>
    </row>
    <row r="59" spans="1:4" ht="15.75" customHeight="1" x14ac:dyDescent="0.25">
      <c r="A59" s="2">
        <v>27234394113</v>
      </c>
      <c r="B59" s="3" t="s">
        <v>378</v>
      </c>
      <c r="C59" s="1" t="s">
        <v>297</v>
      </c>
      <c r="D59" s="3"/>
    </row>
    <row r="60" spans="1:4" ht="15.75" customHeight="1" x14ac:dyDescent="0.25">
      <c r="A60" s="2">
        <v>23117264289</v>
      </c>
      <c r="B60" s="3" t="s">
        <v>488</v>
      </c>
      <c r="C60" s="1" t="s">
        <v>297</v>
      </c>
      <c r="D60" s="3"/>
    </row>
    <row r="61" spans="1:4" ht="15.75" customHeight="1" x14ac:dyDescent="0.25">
      <c r="A61" s="2">
        <v>20082726080</v>
      </c>
      <c r="B61" s="3" t="s">
        <v>542</v>
      </c>
      <c r="C61" s="1" t="s">
        <v>297</v>
      </c>
      <c r="D61" s="3"/>
    </row>
    <row r="62" spans="1:4" ht="15.75" customHeight="1" x14ac:dyDescent="0.25">
      <c r="A62" s="2">
        <v>30711731217</v>
      </c>
      <c r="B62" s="3" t="s">
        <v>625</v>
      </c>
      <c r="C62" s="1" t="s">
        <v>297</v>
      </c>
      <c r="D62" s="3"/>
    </row>
    <row r="63" spans="1:4" ht="15.75" customHeight="1" x14ac:dyDescent="0.25">
      <c r="A63" s="2">
        <v>23117264289</v>
      </c>
      <c r="B63" s="3" t="s">
        <v>653</v>
      </c>
      <c r="C63" s="1" t="s">
        <v>297</v>
      </c>
      <c r="D63" s="3"/>
    </row>
    <row r="64" spans="1:4" ht="15.75" customHeight="1" x14ac:dyDescent="0.25">
      <c r="A64" s="2">
        <v>30707215689</v>
      </c>
      <c r="B64" s="3" t="s">
        <v>704</v>
      </c>
      <c r="C64" s="1" t="s">
        <v>297</v>
      </c>
      <c r="D64" s="3"/>
    </row>
    <row r="65" spans="1:4" ht="15.75" customHeight="1" x14ac:dyDescent="0.25">
      <c r="A65" s="2">
        <v>30683612916</v>
      </c>
      <c r="B65" s="3" t="s">
        <v>960</v>
      </c>
      <c r="C65" s="1" t="s">
        <v>297</v>
      </c>
      <c r="D65" s="3"/>
    </row>
    <row r="66" spans="1:4" ht="15.75" customHeight="1" x14ac:dyDescent="0.25">
      <c r="A66" s="2">
        <v>20141513177</v>
      </c>
      <c r="B66" s="3" t="s">
        <v>963</v>
      </c>
      <c r="C66" s="1" t="s">
        <v>297</v>
      </c>
      <c r="D66" s="3"/>
    </row>
    <row r="67" spans="1:4" ht="15.75" customHeight="1" x14ac:dyDescent="0.25">
      <c r="A67" s="2">
        <v>30643922157</v>
      </c>
      <c r="B67" s="3" t="s">
        <v>994</v>
      </c>
      <c r="C67" s="1" t="s">
        <v>297</v>
      </c>
      <c r="D67" s="3"/>
    </row>
    <row r="68" spans="1:4" ht="15.75" customHeight="1" x14ac:dyDescent="0.25">
      <c r="A68" s="2">
        <v>33711043069</v>
      </c>
      <c r="B68" s="3" t="s">
        <v>995</v>
      </c>
      <c r="C68" s="1" t="s">
        <v>297</v>
      </c>
      <c r="D68" s="3"/>
    </row>
    <row r="69" spans="1:4" ht="15.75" customHeight="1" x14ac:dyDescent="0.25">
      <c r="A69" s="2">
        <v>20277466172</v>
      </c>
      <c r="B69" s="3" t="s">
        <v>998</v>
      </c>
      <c r="C69" s="1" t="s">
        <v>297</v>
      </c>
      <c r="D69" s="3"/>
    </row>
    <row r="70" spans="1:4" ht="15.75" customHeight="1" x14ac:dyDescent="0.25">
      <c r="A70" s="2">
        <v>30713173602</v>
      </c>
      <c r="B70" s="3" t="s">
        <v>1203</v>
      </c>
      <c r="C70" s="1" t="s">
        <v>297</v>
      </c>
      <c r="D70" s="3"/>
    </row>
    <row r="71" spans="1:4" ht="15.75" customHeight="1" x14ac:dyDescent="0.25">
      <c r="A71" s="2">
        <v>30707215689</v>
      </c>
      <c r="B71" s="3" t="s">
        <v>704</v>
      </c>
      <c r="C71" s="1" t="s">
        <v>297</v>
      </c>
      <c r="D71" s="3"/>
    </row>
    <row r="72" spans="1:4" ht="15.75" customHeight="1" x14ac:dyDescent="0.25">
      <c r="A72" s="2">
        <v>30716331349</v>
      </c>
      <c r="B72" s="3" t="s">
        <v>1256</v>
      </c>
      <c r="C72" s="1" t="s">
        <v>297</v>
      </c>
      <c r="D72" s="3"/>
    </row>
    <row r="73" spans="1:4" ht="15.75" customHeight="1" x14ac:dyDescent="0.25">
      <c r="A73" s="2">
        <v>27925308884</v>
      </c>
      <c r="B73" s="3" t="s">
        <v>120</v>
      </c>
      <c r="C73" s="1" t="s">
        <v>297</v>
      </c>
      <c r="D73" s="3"/>
    </row>
    <row r="74" spans="1:4" ht="15.75" customHeight="1" x14ac:dyDescent="0.25">
      <c r="A74" s="2">
        <v>30716358646</v>
      </c>
      <c r="B74" s="3" t="s">
        <v>54</v>
      </c>
      <c r="C74" s="1" t="s">
        <v>297</v>
      </c>
      <c r="D74" s="3"/>
    </row>
    <row r="75" spans="1:4" ht="15.75" customHeight="1" x14ac:dyDescent="0.25">
      <c r="A75" s="2">
        <v>30712179909</v>
      </c>
      <c r="B75" s="3" t="s">
        <v>1476</v>
      </c>
      <c r="C75" s="1" t="s">
        <v>297</v>
      </c>
      <c r="D75" s="3"/>
    </row>
    <row r="76" spans="1:4" ht="15.75" customHeight="1" x14ac:dyDescent="0.25">
      <c r="A76" s="2">
        <v>30710759061</v>
      </c>
      <c r="B76" s="3" t="s">
        <v>1477</v>
      </c>
      <c r="C76" s="1" t="s">
        <v>297</v>
      </c>
      <c r="D76" s="3"/>
    </row>
    <row r="77" spans="1:4" ht="15.75" customHeight="1" x14ac:dyDescent="0.25">
      <c r="A77" s="2">
        <v>30554466806</v>
      </c>
      <c r="B77" s="3" t="s">
        <v>1756</v>
      </c>
      <c r="C77" s="1" t="s">
        <v>297</v>
      </c>
      <c r="D77" s="3"/>
    </row>
    <row r="78" spans="1:4" ht="15.75" customHeight="1" x14ac:dyDescent="0.25">
      <c r="A78" s="2">
        <v>30707397256</v>
      </c>
      <c r="B78" s="3" t="s">
        <v>329</v>
      </c>
      <c r="C78" s="1" t="s">
        <v>1743</v>
      </c>
      <c r="D78" s="3"/>
    </row>
    <row r="79" spans="1:4" ht="15.75" customHeight="1" x14ac:dyDescent="0.25">
      <c r="A79" s="2">
        <v>30715445529</v>
      </c>
      <c r="B79" s="3" t="s">
        <v>427</v>
      </c>
      <c r="C79" s="1" t="s">
        <v>428</v>
      </c>
      <c r="D79" s="3"/>
    </row>
    <row r="80" spans="1:4" ht="15.75" customHeight="1" x14ac:dyDescent="0.25">
      <c r="A80" s="2">
        <v>30716292319</v>
      </c>
      <c r="B80" s="3" t="s">
        <v>1100</v>
      </c>
      <c r="C80" s="1" t="s">
        <v>1101</v>
      </c>
      <c r="D80" s="3"/>
    </row>
    <row r="81" spans="1:4" ht="15.75" customHeight="1" x14ac:dyDescent="0.25">
      <c r="A81" s="2">
        <v>20148172138</v>
      </c>
      <c r="B81" s="3" t="s">
        <v>1044</v>
      </c>
      <c r="C81" s="1" t="s">
        <v>1045</v>
      </c>
      <c r="D81" s="3"/>
    </row>
    <row r="82" spans="1:4" ht="15.75" customHeight="1" x14ac:dyDescent="0.25">
      <c r="A82" s="2">
        <v>30710640072</v>
      </c>
      <c r="B82" s="3" t="s">
        <v>1064</v>
      </c>
      <c r="C82" s="1" t="s">
        <v>1045</v>
      </c>
      <c r="D82" s="3"/>
    </row>
    <row r="83" spans="1:4" ht="15.75" customHeight="1" x14ac:dyDescent="0.25">
      <c r="A83" s="2">
        <v>30714654701</v>
      </c>
      <c r="B83" s="3" t="s">
        <v>852</v>
      </c>
      <c r="C83" s="1" t="s">
        <v>22</v>
      </c>
      <c r="D83" s="3"/>
    </row>
    <row r="84" spans="1:4" ht="15.75" customHeight="1" x14ac:dyDescent="0.25">
      <c r="A84" s="2">
        <v>30645922715</v>
      </c>
      <c r="B84" s="3" t="s">
        <v>1421</v>
      </c>
      <c r="C84" s="1" t="s">
        <v>22</v>
      </c>
      <c r="D84" s="3"/>
    </row>
    <row r="85" spans="1:4" ht="15.75" customHeight="1" x14ac:dyDescent="0.25">
      <c r="A85" s="2">
        <v>30631515815</v>
      </c>
      <c r="B85" s="3" t="s">
        <v>126</v>
      </c>
      <c r="C85" s="1" t="s">
        <v>1742</v>
      </c>
      <c r="D85" s="3"/>
    </row>
    <row r="86" spans="1:4" ht="15.75" customHeight="1" x14ac:dyDescent="0.25">
      <c r="A86" s="2">
        <v>20289190148</v>
      </c>
      <c r="B86" s="3" t="s">
        <v>195</v>
      </c>
      <c r="C86" s="1" t="s">
        <v>1742</v>
      </c>
      <c r="D86" s="3"/>
    </row>
    <row r="87" spans="1:4" ht="15.75" customHeight="1" x14ac:dyDescent="0.25">
      <c r="A87" s="2">
        <v>30716993376</v>
      </c>
      <c r="B87" s="3" t="s">
        <v>227</v>
      </c>
      <c r="C87" s="1" t="s">
        <v>1742</v>
      </c>
      <c r="D87" s="3"/>
    </row>
    <row r="88" spans="1:4" ht="15.75" customHeight="1" x14ac:dyDescent="0.25">
      <c r="A88" s="2">
        <v>30710571801</v>
      </c>
      <c r="B88" s="3" t="s">
        <v>256</v>
      </c>
      <c r="C88" s="1" t="s">
        <v>1742</v>
      </c>
      <c r="D88" s="3"/>
    </row>
    <row r="89" spans="1:4" ht="15.75" customHeight="1" x14ac:dyDescent="0.25">
      <c r="A89" s="2">
        <v>30711398992</v>
      </c>
      <c r="B89" s="3" t="s">
        <v>259</v>
      </c>
      <c r="C89" s="1" t="s">
        <v>1742</v>
      </c>
      <c r="D89" s="3"/>
    </row>
    <row r="90" spans="1:4" ht="15.75" customHeight="1" x14ac:dyDescent="0.25">
      <c r="A90" s="2">
        <v>30710373414</v>
      </c>
      <c r="B90" s="3" t="s">
        <v>289</v>
      </c>
      <c r="C90" s="1" t="s">
        <v>1742</v>
      </c>
      <c r="D90" s="3"/>
    </row>
    <row r="91" spans="1:4" ht="15.75" customHeight="1" x14ac:dyDescent="0.25">
      <c r="A91" s="2">
        <v>30715012835</v>
      </c>
      <c r="B91" s="3" t="s">
        <v>304</v>
      </c>
      <c r="C91" s="1" t="s">
        <v>1742</v>
      </c>
      <c r="D91" s="3"/>
    </row>
    <row r="92" spans="1:4" ht="15.75" customHeight="1" x14ac:dyDescent="0.25">
      <c r="A92" s="2">
        <v>20182998908</v>
      </c>
      <c r="B92" s="3" t="s">
        <v>318</v>
      </c>
      <c r="C92" s="1" t="s">
        <v>1742</v>
      </c>
      <c r="D92" s="3"/>
    </row>
    <row r="93" spans="1:4" ht="15.75" customHeight="1" x14ac:dyDescent="0.25">
      <c r="A93" s="2">
        <v>20187460570</v>
      </c>
      <c r="B93" s="3" t="s">
        <v>319</v>
      </c>
      <c r="C93" s="1" t="s">
        <v>1742</v>
      </c>
      <c r="D93" s="3"/>
    </row>
    <row r="94" spans="1:4" ht="15.75" customHeight="1" x14ac:dyDescent="0.25">
      <c r="A94" s="2">
        <v>30716932245</v>
      </c>
      <c r="B94" s="3" t="s">
        <v>371</v>
      </c>
      <c r="C94" s="1" t="s">
        <v>1742</v>
      </c>
      <c r="D94" s="3"/>
    </row>
    <row r="95" spans="1:4" ht="15.75" customHeight="1" x14ac:dyDescent="0.25">
      <c r="A95" s="2">
        <v>23275937959</v>
      </c>
      <c r="B95" s="341" t="s">
        <v>1752</v>
      </c>
      <c r="C95" s="1" t="s">
        <v>1742</v>
      </c>
      <c r="D95" s="3"/>
    </row>
    <row r="96" spans="1:4" ht="15.75" customHeight="1" x14ac:dyDescent="0.25">
      <c r="A96" s="2">
        <v>30716146509</v>
      </c>
      <c r="B96" s="3" t="s">
        <v>554</v>
      </c>
      <c r="C96" s="1" t="s">
        <v>1742</v>
      </c>
      <c r="D96" s="3"/>
    </row>
    <row r="97" spans="1:4" ht="15.75" customHeight="1" x14ac:dyDescent="0.25">
      <c r="A97" s="2">
        <v>20200310412</v>
      </c>
      <c r="B97" s="3" t="s">
        <v>686</v>
      </c>
      <c r="C97" s="1" t="s">
        <v>1742</v>
      </c>
      <c r="D97" s="3"/>
    </row>
    <row r="98" spans="1:4" ht="15.75" customHeight="1" x14ac:dyDescent="0.25">
      <c r="A98" s="2">
        <v>30714049123</v>
      </c>
      <c r="B98" s="3" t="s">
        <v>691</v>
      </c>
      <c r="C98" s="1" t="s">
        <v>1742</v>
      </c>
      <c r="D98" s="3"/>
    </row>
    <row r="99" spans="1:4" ht="15.75" customHeight="1" x14ac:dyDescent="0.25">
      <c r="A99" s="2">
        <v>20289114212</v>
      </c>
      <c r="B99" s="3" t="s">
        <v>692</v>
      </c>
      <c r="C99" s="1" t="s">
        <v>1742</v>
      </c>
      <c r="D99" s="3"/>
    </row>
    <row r="100" spans="1:4" ht="15.75" customHeight="1" x14ac:dyDescent="0.25">
      <c r="A100" s="2">
        <v>30716807084</v>
      </c>
      <c r="B100" s="3" t="s">
        <v>802</v>
      </c>
      <c r="C100" s="1" t="s">
        <v>1742</v>
      </c>
      <c r="D100" s="3"/>
    </row>
    <row r="101" spans="1:4" ht="15.75" customHeight="1" x14ac:dyDescent="0.25">
      <c r="A101" s="2">
        <v>30715357255</v>
      </c>
      <c r="B101" s="3" t="s">
        <v>974</v>
      </c>
      <c r="C101" s="1" t="s">
        <v>1742</v>
      </c>
      <c r="D101" s="3"/>
    </row>
    <row r="102" spans="1:4" ht="15.75" customHeight="1" x14ac:dyDescent="0.25">
      <c r="A102" s="2">
        <v>20181426846</v>
      </c>
      <c r="B102" s="3" t="s">
        <v>1241</v>
      </c>
      <c r="C102" s="1" t="s">
        <v>1742</v>
      </c>
      <c r="D102" s="3"/>
    </row>
    <row r="103" spans="1:4" ht="15.75" customHeight="1" x14ac:dyDescent="0.25">
      <c r="A103" s="2">
        <v>30604942051</v>
      </c>
      <c r="B103" s="3" t="s">
        <v>1245</v>
      </c>
      <c r="C103" s="1" t="s">
        <v>1742</v>
      </c>
      <c r="D103" s="3"/>
    </row>
    <row r="104" spans="1:4" ht="15.75" customHeight="1" x14ac:dyDescent="0.25">
      <c r="A104" s="2">
        <v>27332519633</v>
      </c>
      <c r="B104" s="3" t="s">
        <v>1260</v>
      </c>
      <c r="C104" s="1" t="s">
        <v>1742</v>
      </c>
      <c r="D104" s="3"/>
    </row>
    <row r="105" spans="1:4" ht="15.75" customHeight="1" x14ac:dyDescent="0.25">
      <c r="A105" s="2">
        <v>30716675447</v>
      </c>
      <c r="B105" s="3" t="s">
        <v>1263</v>
      </c>
      <c r="C105" s="1" t="s">
        <v>1742</v>
      </c>
      <c r="D105" s="3"/>
    </row>
    <row r="106" spans="1:4" ht="15.75" customHeight="1" x14ac:dyDescent="0.25">
      <c r="A106" s="2">
        <v>30662533072</v>
      </c>
      <c r="B106" s="3" t="s">
        <v>1500</v>
      </c>
      <c r="C106" s="1" t="s">
        <v>1742</v>
      </c>
      <c r="D106" s="3"/>
    </row>
    <row r="107" spans="1:4" ht="15.75" customHeight="1" x14ac:dyDescent="0.25">
      <c r="A107" s="2">
        <v>20247521764</v>
      </c>
      <c r="B107" s="3" t="s">
        <v>1508</v>
      </c>
      <c r="C107" s="1" t="s">
        <v>14</v>
      </c>
      <c r="D107" s="3" t="s">
        <v>1508</v>
      </c>
    </row>
    <row r="108" spans="1:4" ht="15.75" customHeight="1" x14ac:dyDescent="0.25">
      <c r="A108" s="2" t="s">
        <v>1748</v>
      </c>
      <c r="B108" s="3" t="s">
        <v>27</v>
      </c>
      <c r="C108" s="1" t="s">
        <v>14</v>
      </c>
      <c r="D108" s="3"/>
    </row>
    <row r="109" spans="1:4" ht="15.75" customHeight="1" x14ac:dyDescent="0.25">
      <c r="A109" s="2">
        <v>30690536079</v>
      </c>
      <c r="B109" s="3" t="s">
        <v>36</v>
      </c>
      <c r="C109" s="1" t="s">
        <v>14</v>
      </c>
      <c r="D109" s="3"/>
    </row>
    <row r="110" spans="1:4" ht="15.75" customHeight="1" x14ac:dyDescent="0.25">
      <c r="A110" s="2">
        <v>27184156658</v>
      </c>
      <c r="B110" s="3" t="s">
        <v>55</v>
      </c>
      <c r="C110" s="1" t="s">
        <v>14</v>
      </c>
      <c r="D110" s="3"/>
    </row>
    <row r="111" spans="1:4" ht="15.75" customHeight="1" x14ac:dyDescent="0.25">
      <c r="A111" s="2">
        <v>20083925680</v>
      </c>
      <c r="B111" s="3" t="s">
        <v>68</v>
      </c>
      <c r="C111" s="1" t="s">
        <v>14</v>
      </c>
      <c r="D111" s="3"/>
    </row>
    <row r="112" spans="1:4" ht="15.75" customHeight="1" x14ac:dyDescent="0.25">
      <c r="A112" s="2">
        <v>23945042079</v>
      </c>
      <c r="B112" s="3" t="s">
        <v>74</v>
      </c>
      <c r="C112" s="1" t="s">
        <v>14</v>
      </c>
      <c r="D112" s="3"/>
    </row>
    <row r="113" spans="1:4" ht="15.75" customHeight="1" x14ac:dyDescent="0.25">
      <c r="A113" s="2">
        <v>20927832136</v>
      </c>
      <c r="B113" s="3" t="s">
        <v>86</v>
      </c>
      <c r="C113" s="1" t="s">
        <v>14</v>
      </c>
      <c r="D113" s="3"/>
    </row>
    <row r="114" spans="1:4" ht="15.75" customHeight="1" x14ac:dyDescent="0.25">
      <c r="A114" s="2">
        <v>20045180620</v>
      </c>
      <c r="B114" s="3" t="s">
        <v>97</v>
      </c>
      <c r="C114" s="1" t="s">
        <v>14</v>
      </c>
      <c r="D114" s="3"/>
    </row>
    <row r="115" spans="1:4" ht="15.75" customHeight="1" x14ac:dyDescent="0.25">
      <c r="A115" s="2">
        <v>30712458468</v>
      </c>
      <c r="B115" s="3" t="s">
        <v>130</v>
      </c>
      <c r="C115" s="1" t="s">
        <v>14</v>
      </c>
      <c r="D115" s="3"/>
    </row>
    <row r="116" spans="1:4" ht="15.75" customHeight="1" x14ac:dyDescent="0.25">
      <c r="A116" s="2">
        <v>30712387315</v>
      </c>
      <c r="B116" s="3" t="s">
        <v>138</v>
      </c>
      <c r="C116" s="1" t="s">
        <v>14</v>
      </c>
      <c r="D116" s="3"/>
    </row>
    <row r="117" spans="1:4" ht="15.75" customHeight="1" x14ac:dyDescent="0.25">
      <c r="A117" s="2">
        <v>30590360763</v>
      </c>
      <c r="B117" s="3" t="s">
        <v>180</v>
      </c>
      <c r="C117" s="1" t="s">
        <v>14</v>
      </c>
      <c r="D117" s="3"/>
    </row>
    <row r="118" spans="1:4" ht="15.75" customHeight="1" x14ac:dyDescent="0.25">
      <c r="A118" s="2">
        <v>30702286987</v>
      </c>
      <c r="B118" s="3" t="s">
        <v>197</v>
      </c>
      <c r="C118" s="1" t="s">
        <v>14</v>
      </c>
      <c r="D118" s="3"/>
    </row>
    <row r="119" spans="1:4" ht="15.75" customHeight="1" x14ac:dyDescent="0.25">
      <c r="A119" s="2">
        <v>30548345525</v>
      </c>
      <c r="B119" s="3" t="s">
        <v>226</v>
      </c>
      <c r="C119" s="1" t="s">
        <v>14</v>
      </c>
      <c r="D119" s="3"/>
    </row>
    <row r="120" spans="1:4" ht="15.75" customHeight="1" x14ac:dyDescent="0.25">
      <c r="A120" s="2">
        <v>30715619055</v>
      </c>
      <c r="B120" s="3" t="s">
        <v>231</v>
      </c>
      <c r="C120" s="1" t="s">
        <v>14</v>
      </c>
      <c r="D120" s="3"/>
    </row>
    <row r="121" spans="1:4" ht="15.75" customHeight="1" x14ac:dyDescent="0.25">
      <c r="A121" s="2">
        <v>30548083156</v>
      </c>
      <c r="B121" s="3" t="s">
        <v>233</v>
      </c>
      <c r="C121" s="1" t="s">
        <v>14</v>
      </c>
      <c r="D121" s="3"/>
    </row>
    <row r="122" spans="1:4" ht="15.75" customHeight="1" x14ac:dyDescent="0.25">
      <c r="A122" s="2">
        <v>30715406043</v>
      </c>
      <c r="B122" s="3" t="s">
        <v>237</v>
      </c>
      <c r="C122" s="1" t="s">
        <v>14</v>
      </c>
      <c r="D122" s="3"/>
    </row>
    <row r="123" spans="1:4" ht="15.75" customHeight="1" x14ac:dyDescent="0.25">
      <c r="A123" s="2">
        <v>27308260440</v>
      </c>
      <c r="B123" s="3" t="s">
        <v>250</v>
      </c>
      <c r="C123" s="1" t="s">
        <v>14</v>
      </c>
      <c r="D123" s="3"/>
    </row>
    <row r="124" spans="1:4" ht="15.75" customHeight="1" x14ac:dyDescent="0.25">
      <c r="A124" s="2">
        <v>20418255537</v>
      </c>
      <c r="B124" s="3" t="s">
        <v>266</v>
      </c>
      <c r="C124" s="1" t="s">
        <v>14</v>
      </c>
      <c r="D124" s="3"/>
    </row>
    <row r="125" spans="1:4" ht="15.75" customHeight="1" x14ac:dyDescent="0.25">
      <c r="A125" s="2">
        <v>30710194927</v>
      </c>
      <c r="B125" s="3" t="s">
        <v>269</v>
      </c>
      <c r="C125" s="1" t="s">
        <v>14</v>
      </c>
      <c r="D125" s="3"/>
    </row>
    <row r="126" spans="1:4" ht="15.75" customHeight="1" x14ac:dyDescent="0.25">
      <c r="A126" s="2">
        <v>27149042488</v>
      </c>
      <c r="B126" s="3" t="s">
        <v>300</v>
      </c>
      <c r="C126" s="1" t="s">
        <v>14</v>
      </c>
      <c r="D126" s="3"/>
    </row>
    <row r="127" spans="1:4" ht="15.75" customHeight="1" x14ac:dyDescent="0.25">
      <c r="A127" s="2">
        <v>30711727236</v>
      </c>
      <c r="B127" s="3" t="s">
        <v>301</v>
      </c>
      <c r="C127" s="1" t="s">
        <v>14</v>
      </c>
      <c r="D127" s="3"/>
    </row>
    <row r="128" spans="1:4" ht="15.75" customHeight="1" x14ac:dyDescent="0.25">
      <c r="A128" s="2">
        <v>30707791728</v>
      </c>
      <c r="B128" s="3" t="s">
        <v>302</v>
      </c>
      <c r="C128" s="1" t="s">
        <v>14</v>
      </c>
      <c r="D128" s="3"/>
    </row>
    <row r="129" spans="1:4" ht="15.75" customHeight="1" x14ac:dyDescent="0.25">
      <c r="A129" s="2">
        <v>20399085013</v>
      </c>
      <c r="B129" s="3" t="s">
        <v>315</v>
      </c>
      <c r="C129" s="1" t="s">
        <v>14</v>
      </c>
      <c r="D129" s="3"/>
    </row>
    <row r="130" spans="1:4" ht="15.75" customHeight="1" x14ac:dyDescent="0.25">
      <c r="A130" s="2">
        <v>27290073419</v>
      </c>
      <c r="B130" s="3" t="s">
        <v>325</v>
      </c>
      <c r="C130" s="1" t="s">
        <v>14</v>
      </c>
      <c r="D130" s="3"/>
    </row>
    <row r="131" spans="1:4" ht="15.75" customHeight="1" x14ac:dyDescent="0.25">
      <c r="A131" s="2">
        <v>30614104712</v>
      </c>
      <c r="B131" s="3" t="s">
        <v>333</v>
      </c>
      <c r="C131" s="1" t="s">
        <v>14</v>
      </c>
      <c r="D131" s="3"/>
    </row>
    <row r="132" spans="1:4" ht="15.75" customHeight="1" x14ac:dyDescent="0.25">
      <c r="A132" s="2">
        <v>27134817858</v>
      </c>
      <c r="B132" s="3" t="s">
        <v>344</v>
      </c>
      <c r="C132" s="1" t="s">
        <v>14</v>
      </c>
      <c r="D132" s="3"/>
    </row>
    <row r="133" spans="1:4" ht="15.75" customHeight="1" x14ac:dyDescent="0.25">
      <c r="A133" s="2">
        <v>20341013691</v>
      </c>
      <c r="B133" s="3" t="s">
        <v>345</v>
      </c>
      <c r="C133" s="1" t="s">
        <v>14</v>
      </c>
      <c r="D133" s="3"/>
    </row>
    <row r="134" spans="1:4" ht="15.75" customHeight="1" x14ac:dyDescent="0.25">
      <c r="A134" s="2">
        <v>20378345465</v>
      </c>
      <c r="B134" s="3" t="s">
        <v>373</v>
      </c>
      <c r="C134" s="1" t="s">
        <v>14</v>
      </c>
      <c r="D134" s="3"/>
    </row>
    <row r="135" spans="1:4" ht="15.75" customHeight="1" x14ac:dyDescent="0.25">
      <c r="A135" s="2">
        <v>20319700081</v>
      </c>
      <c r="B135" s="3" t="s">
        <v>381</v>
      </c>
      <c r="C135" s="1" t="s">
        <v>14</v>
      </c>
      <c r="D135" s="3"/>
    </row>
    <row r="136" spans="1:4" ht="15.75" customHeight="1" x14ac:dyDescent="0.25">
      <c r="A136" s="2">
        <v>30540918364</v>
      </c>
      <c r="B136" s="3" t="s">
        <v>388</v>
      </c>
      <c r="C136" s="1" t="s">
        <v>14</v>
      </c>
      <c r="D136" s="3"/>
    </row>
    <row r="137" spans="1:4" ht="15.75" customHeight="1" x14ac:dyDescent="0.25">
      <c r="A137" s="2">
        <v>30526874249</v>
      </c>
      <c r="B137" s="3" t="s">
        <v>405</v>
      </c>
      <c r="C137" s="1" t="s">
        <v>14</v>
      </c>
      <c r="D137" s="3"/>
    </row>
    <row r="138" spans="1:4" ht="15.75" customHeight="1" x14ac:dyDescent="0.25">
      <c r="A138" s="2">
        <v>27444868088</v>
      </c>
      <c r="B138" s="3" t="s">
        <v>412</v>
      </c>
      <c r="C138" s="1" t="s">
        <v>14</v>
      </c>
      <c r="D138" s="3"/>
    </row>
    <row r="139" spans="1:4" ht="15.75" customHeight="1" x14ac:dyDescent="0.25">
      <c r="A139" s="2">
        <v>23920485979</v>
      </c>
      <c r="B139" s="3" t="s">
        <v>419</v>
      </c>
      <c r="C139" s="1" t="s">
        <v>14</v>
      </c>
      <c r="D139" s="3"/>
    </row>
    <row r="140" spans="1:4" ht="15.75" customHeight="1" x14ac:dyDescent="0.25">
      <c r="A140" s="2">
        <v>20214688590</v>
      </c>
      <c r="B140" s="3" t="s">
        <v>424</v>
      </c>
      <c r="C140" s="1" t="s">
        <v>14</v>
      </c>
      <c r="D140" s="3"/>
    </row>
    <row r="141" spans="1:4" ht="15.75" customHeight="1" x14ac:dyDescent="0.25">
      <c r="A141" s="2">
        <v>30639782383</v>
      </c>
      <c r="B141" s="3" t="s">
        <v>425</v>
      </c>
      <c r="C141" s="1" t="s">
        <v>14</v>
      </c>
      <c r="D141" s="3"/>
    </row>
    <row r="142" spans="1:4" ht="15.75" customHeight="1" x14ac:dyDescent="0.25">
      <c r="A142" s="2">
        <v>30709737348</v>
      </c>
      <c r="B142" s="3" t="s">
        <v>432</v>
      </c>
      <c r="C142" s="1" t="s">
        <v>14</v>
      </c>
      <c r="D142" s="3"/>
    </row>
    <row r="143" spans="1:4" ht="15.75" customHeight="1" x14ac:dyDescent="0.25">
      <c r="A143" s="2">
        <v>27217642464</v>
      </c>
      <c r="B143" s="3" t="s">
        <v>437</v>
      </c>
      <c r="C143" s="1" t="s">
        <v>14</v>
      </c>
      <c r="D143" s="3"/>
    </row>
    <row r="144" spans="1:4" ht="15.75" customHeight="1" x14ac:dyDescent="0.25">
      <c r="A144" s="2">
        <v>20361501722</v>
      </c>
      <c r="B144" s="3" t="s">
        <v>446</v>
      </c>
      <c r="C144" s="1" t="s">
        <v>14</v>
      </c>
      <c r="D144" s="3"/>
    </row>
    <row r="145" spans="1:4" ht="15.75" customHeight="1" x14ac:dyDescent="0.25">
      <c r="A145" s="2">
        <v>20275447057</v>
      </c>
      <c r="B145" s="3" t="s">
        <v>474</v>
      </c>
      <c r="C145" s="1" t="s">
        <v>14</v>
      </c>
      <c r="D145" s="3"/>
    </row>
    <row r="146" spans="1:4" ht="15.75" customHeight="1" x14ac:dyDescent="0.25">
      <c r="A146" s="2">
        <v>30586172308</v>
      </c>
      <c r="B146" s="3" t="s">
        <v>519</v>
      </c>
      <c r="C146" s="1" t="s">
        <v>14</v>
      </c>
      <c r="D146" s="3"/>
    </row>
    <row r="147" spans="1:4" ht="15.75" customHeight="1" x14ac:dyDescent="0.25">
      <c r="A147" s="2">
        <v>30711849587</v>
      </c>
      <c r="B147" s="3" t="s">
        <v>521</v>
      </c>
      <c r="C147" s="1" t="s">
        <v>14</v>
      </c>
      <c r="D147" s="3"/>
    </row>
    <row r="148" spans="1:4" ht="15.75" customHeight="1" x14ac:dyDescent="0.25">
      <c r="A148" s="2">
        <v>20183380231</v>
      </c>
      <c r="B148" s="3" t="s">
        <v>543</v>
      </c>
      <c r="C148" s="1" t="s">
        <v>14</v>
      </c>
      <c r="D148" s="3"/>
    </row>
    <row r="149" spans="1:4" ht="15.75" customHeight="1" x14ac:dyDescent="0.25">
      <c r="A149" s="2">
        <v>33531122599</v>
      </c>
      <c r="B149" s="3" t="s">
        <v>561</v>
      </c>
      <c r="C149" s="1" t="s">
        <v>14</v>
      </c>
      <c r="D149" s="3"/>
    </row>
    <row r="150" spans="1:4" ht="15.75" customHeight="1" x14ac:dyDescent="0.25">
      <c r="A150" s="2">
        <v>30710374801</v>
      </c>
      <c r="B150" s="3" t="s">
        <v>573</v>
      </c>
      <c r="C150" s="1" t="s">
        <v>14</v>
      </c>
      <c r="D150" s="3"/>
    </row>
    <row r="151" spans="1:4" ht="15.75" customHeight="1" x14ac:dyDescent="0.25">
      <c r="A151" s="2">
        <v>20041802082</v>
      </c>
      <c r="B151" s="3" t="s">
        <v>577</v>
      </c>
      <c r="C151" s="1" t="s">
        <v>14</v>
      </c>
      <c r="D151" s="3"/>
    </row>
    <row r="152" spans="1:4" ht="15.75" customHeight="1" x14ac:dyDescent="0.25">
      <c r="A152" s="2">
        <v>30715148958</v>
      </c>
      <c r="B152" s="3" t="s">
        <v>583</v>
      </c>
      <c r="C152" s="1" t="s">
        <v>14</v>
      </c>
      <c r="D152" s="3"/>
    </row>
    <row r="153" spans="1:4" ht="15.75" customHeight="1" x14ac:dyDescent="0.25">
      <c r="A153" s="2">
        <v>20262808557</v>
      </c>
      <c r="B153" s="3" t="s">
        <v>585</v>
      </c>
      <c r="C153" s="1" t="s">
        <v>14</v>
      </c>
      <c r="D153" s="3"/>
    </row>
    <row r="154" spans="1:4" ht="15.75" customHeight="1" x14ac:dyDescent="0.25">
      <c r="A154" s="2">
        <v>20345836404</v>
      </c>
      <c r="B154" s="3" t="s">
        <v>595</v>
      </c>
      <c r="C154" s="1" t="s">
        <v>14</v>
      </c>
      <c r="D154" s="3"/>
    </row>
    <row r="155" spans="1:4" ht="15.75" customHeight="1" x14ac:dyDescent="0.25">
      <c r="A155" s="2">
        <v>20932821851</v>
      </c>
      <c r="B155" s="3" t="s">
        <v>598</v>
      </c>
      <c r="C155" s="1" t="s">
        <v>14</v>
      </c>
      <c r="D155" s="3"/>
    </row>
    <row r="156" spans="1:4" ht="15.75" customHeight="1" x14ac:dyDescent="0.25">
      <c r="A156" s="2">
        <v>30711561494</v>
      </c>
      <c r="B156" s="3" t="s">
        <v>601</v>
      </c>
      <c r="C156" s="1" t="s">
        <v>14</v>
      </c>
      <c r="D156" s="3"/>
    </row>
    <row r="157" spans="1:4" ht="15.75" customHeight="1" x14ac:dyDescent="0.25">
      <c r="A157" s="2">
        <v>30716668750</v>
      </c>
      <c r="B157" s="341" t="s">
        <v>1753</v>
      </c>
      <c r="C157" s="1" t="s">
        <v>14</v>
      </c>
      <c r="D157" s="3"/>
    </row>
    <row r="158" spans="1:4" ht="15.75" customHeight="1" x14ac:dyDescent="0.25">
      <c r="A158" s="2">
        <v>20131581298</v>
      </c>
      <c r="B158" s="3" t="s">
        <v>626</v>
      </c>
      <c r="C158" s="1" t="s">
        <v>14</v>
      </c>
      <c r="D158" s="3"/>
    </row>
    <row r="159" spans="1:4" ht="15.75" customHeight="1" x14ac:dyDescent="0.25">
      <c r="A159" s="2">
        <v>27101205733</v>
      </c>
      <c r="B159" s="3" t="s">
        <v>654</v>
      </c>
      <c r="C159" s="1" t="s">
        <v>14</v>
      </c>
      <c r="D159" s="3"/>
    </row>
    <row r="160" spans="1:4" ht="15.75" customHeight="1" x14ac:dyDescent="0.25">
      <c r="A160" s="2">
        <v>30652010489</v>
      </c>
      <c r="B160" s="3" t="s">
        <v>677</v>
      </c>
      <c r="C160" s="1" t="s">
        <v>14</v>
      </c>
      <c r="D160" s="3"/>
    </row>
    <row r="161" spans="1:4" ht="15.75" customHeight="1" x14ac:dyDescent="0.25">
      <c r="A161" s="2">
        <v>20171082464</v>
      </c>
      <c r="B161" s="3" t="s">
        <v>693</v>
      </c>
      <c r="C161" s="1" t="s">
        <v>14</v>
      </c>
      <c r="D161" s="3"/>
    </row>
    <row r="162" spans="1:4" ht="15.75" customHeight="1" x14ac:dyDescent="0.25">
      <c r="A162" s="2">
        <v>30707092781</v>
      </c>
      <c r="B162" s="3" t="s">
        <v>721</v>
      </c>
      <c r="C162" s="1" t="s">
        <v>14</v>
      </c>
      <c r="D162" s="3"/>
    </row>
    <row r="163" spans="1:4" ht="15.75" customHeight="1" x14ac:dyDescent="0.25">
      <c r="A163" s="2">
        <v>27937907473</v>
      </c>
      <c r="B163" s="3" t="s">
        <v>722</v>
      </c>
      <c r="C163" s="1" t="s">
        <v>14</v>
      </c>
      <c r="D163" s="3"/>
    </row>
    <row r="164" spans="1:4" ht="15.75" customHeight="1" x14ac:dyDescent="0.25">
      <c r="A164" s="2">
        <v>30603810550</v>
      </c>
      <c r="B164" s="3" t="s">
        <v>724</v>
      </c>
      <c r="C164" s="1" t="s">
        <v>14</v>
      </c>
      <c r="D164" s="3"/>
    </row>
    <row r="165" spans="1:4" ht="15.75" customHeight="1" x14ac:dyDescent="0.25">
      <c r="A165" s="2">
        <v>30605041287</v>
      </c>
      <c r="B165" s="3" t="s">
        <v>751</v>
      </c>
      <c r="C165" s="1" t="s">
        <v>14</v>
      </c>
      <c r="D165" s="3"/>
    </row>
    <row r="166" spans="1:4" ht="15.75" customHeight="1" x14ac:dyDescent="0.25">
      <c r="A166" s="2">
        <v>20299039367</v>
      </c>
      <c r="B166" s="3" t="s">
        <v>760</v>
      </c>
      <c r="C166" s="1" t="s">
        <v>14</v>
      </c>
      <c r="D166" s="3"/>
    </row>
    <row r="167" spans="1:4" ht="15.75" customHeight="1" x14ac:dyDescent="0.25">
      <c r="A167" s="2">
        <v>20113613646</v>
      </c>
      <c r="B167" s="3" t="s">
        <v>769</v>
      </c>
      <c r="C167" s="1" t="s">
        <v>14</v>
      </c>
      <c r="D167" s="3"/>
    </row>
    <row r="168" spans="1:4" ht="15.75" customHeight="1" x14ac:dyDescent="0.25">
      <c r="A168" s="2">
        <v>20103565309</v>
      </c>
      <c r="B168" s="3" t="s">
        <v>785</v>
      </c>
      <c r="C168" s="1" t="s">
        <v>14</v>
      </c>
      <c r="D168" s="3"/>
    </row>
    <row r="169" spans="1:4" ht="15.75" customHeight="1" x14ac:dyDescent="0.25">
      <c r="A169" s="2">
        <v>33708793219</v>
      </c>
      <c r="B169" s="3" t="s">
        <v>812</v>
      </c>
      <c r="C169" s="1" t="s">
        <v>14</v>
      </c>
      <c r="D169" s="3"/>
    </row>
    <row r="170" spans="1:4" ht="15.75" customHeight="1" x14ac:dyDescent="0.25">
      <c r="A170" s="2">
        <v>20162253310</v>
      </c>
      <c r="B170" s="3" t="s">
        <v>839</v>
      </c>
      <c r="C170" s="1" t="s">
        <v>14</v>
      </c>
      <c r="D170" s="3"/>
    </row>
    <row r="171" spans="1:4" ht="15.75" customHeight="1" x14ac:dyDescent="0.25">
      <c r="A171" s="2">
        <v>30710444877</v>
      </c>
      <c r="B171" s="3" t="s">
        <v>861</v>
      </c>
      <c r="C171" s="1" t="s">
        <v>14</v>
      </c>
      <c r="D171" s="3"/>
    </row>
    <row r="172" spans="1:4" ht="15.75" customHeight="1" x14ac:dyDescent="0.25">
      <c r="A172" s="2">
        <v>33709108129</v>
      </c>
      <c r="B172" s="3" t="s">
        <v>862</v>
      </c>
      <c r="C172" s="1" t="s">
        <v>14</v>
      </c>
      <c r="D172" s="3"/>
    </row>
    <row r="173" spans="1:4" ht="15.75" customHeight="1" x14ac:dyDescent="0.25">
      <c r="A173" s="2">
        <v>30699419245</v>
      </c>
      <c r="B173" s="3" t="s">
        <v>886</v>
      </c>
      <c r="C173" s="1" t="s">
        <v>14</v>
      </c>
      <c r="D173" s="3"/>
    </row>
    <row r="174" spans="1:4" ht="15.75" customHeight="1" x14ac:dyDescent="0.25">
      <c r="A174" s="2">
        <v>20926929128</v>
      </c>
      <c r="B174" s="3" t="s">
        <v>889</v>
      </c>
      <c r="C174" s="1" t="s">
        <v>14</v>
      </c>
      <c r="D174" s="3"/>
    </row>
    <row r="175" spans="1:4" ht="15.75" customHeight="1" x14ac:dyDescent="0.25">
      <c r="A175" s="2">
        <v>30695303978</v>
      </c>
      <c r="B175" s="3" t="s">
        <v>916</v>
      </c>
      <c r="C175" s="1" t="s">
        <v>14</v>
      </c>
      <c r="D175" s="3"/>
    </row>
    <row r="176" spans="1:4" ht="15.75" customHeight="1" x14ac:dyDescent="0.25">
      <c r="A176" s="2">
        <v>30654855168</v>
      </c>
      <c r="B176" s="3" t="s">
        <v>920</v>
      </c>
      <c r="C176" s="1" t="s">
        <v>14</v>
      </c>
      <c r="D176" s="3"/>
    </row>
    <row r="177" spans="1:4" ht="15.75" customHeight="1" x14ac:dyDescent="0.25">
      <c r="A177" s="2">
        <v>30676683867</v>
      </c>
      <c r="B177" s="3" t="s">
        <v>928</v>
      </c>
      <c r="C177" s="1" t="s">
        <v>14</v>
      </c>
      <c r="D177" s="3"/>
    </row>
    <row r="178" spans="1:4" ht="15.75" customHeight="1" x14ac:dyDescent="0.25">
      <c r="A178" s="2">
        <v>30694592526</v>
      </c>
      <c r="B178" s="3" t="s">
        <v>947</v>
      </c>
      <c r="C178" s="1" t="s">
        <v>14</v>
      </c>
      <c r="D178" s="3"/>
    </row>
    <row r="179" spans="1:4" ht="15.75" customHeight="1" x14ac:dyDescent="0.25">
      <c r="A179" s="2">
        <v>30708765356</v>
      </c>
      <c r="B179" s="3" t="s">
        <v>957</v>
      </c>
      <c r="C179" s="1" t="s">
        <v>14</v>
      </c>
      <c r="D179" s="3"/>
    </row>
    <row r="180" spans="1:4" ht="15.75" customHeight="1" x14ac:dyDescent="0.25">
      <c r="A180" s="2">
        <v>30611156045</v>
      </c>
      <c r="B180" s="3" t="s">
        <v>970</v>
      </c>
      <c r="C180" s="1" t="s">
        <v>14</v>
      </c>
      <c r="D180" s="3"/>
    </row>
    <row r="181" spans="1:4" ht="15.75" customHeight="1" x14ac:dyDescent="0.25">
      <c r="A181" s="2">
        <v>30689759684</v>
      </c>
      <c r="B181" s="3" t="s">
        <v>977</v>
      </c>
      <c r="C181" s="1" t="s">
        <v>14</v>
      </c>
      <c r="D181" s="3"/>
    </row>
    <row r="182" spans="1:4" ht="15.75" customHeight="1" x14ac:dyDescent="0.25">
      <c r="A182" s="2">
        <v>27208252386</v>
      </c>
      <c r="B182" s="3" t="s">
        <v>984</v>
      </c>
      <c r="C182" s="1" t="s">
        <v>14</v>
      </c>
      <c r="D182" s="3"/>
    </row>
    <row r="183" spans="1:4" ht="15.75" customHeight="1" x14ac:dyDescent="0.25">
      <c r="A183" s="2">
        <v>27221281557</v>
      </c>
      <c r="B183" s="3" t="s">
        <v>1008</v>
      </c>
      <c r="C183" s="1" t="s">
        <v>14</v>
      </c>
      <c r="D183" s="3"/>
    </row>
    <row r="184" spans="1:4" ht="15.75" customHeight="1" x14ac:dyDescent="0.25">
      <c r="A184" s="2">
        <v>30710545665</v>
      </c>
      <c r="B184" s="3" t="s">
        <v>1042</v>
      </c>
      <c r="C184" s="1" t="s">
        <v>14</v>
      </c>
      <c r="D184" s="3"/>
    </row>
    <row r="185" spans="1:4" ht="15.75" customHeight="1" x14ac:dyDescent="0.25">
      <c r="A185" s="2">
        <v>20265681051</v>
      </c>
      <c r="B185" s="3" t="s">
        <v>1065</v>
      </c>
      <c r="C185" s="1" t="s">
        <v>14</v>
      </c>
      <c r="D185" s="3"/>
    </row>
    <row r="186" spans="1:4" ht="15.75" customHeight="1" x14ac:dyDescent="0.25">
      <c r="A186" s="2">
        <v>30709511846</v>
      </c>
      <c r="B186" s="3" t="s">
        <v>1068</v>
      </c>
      <c r="C186" s="1" t="s">
        <v>14</v>
      </c>
      <c r="D186" s="3"/>
    </row>
    <row r="187" spans="1:4" ht="15.75" customHeight="1" x14ac:dyDescent="0.25">
      <c r="A187" s="2">
        <v>20306971817</v>
      </c>
      <c r="B187" s="3" t="s">
        <v>1077</v>
      </c>
      <c r="C187" s="1" t="s">
        <v>14</v>
      </c>
      <c r="D187" s="3"/>
    </row>
    <row r="188" spans="1:4" ht="15.75" customHeight="1" x14ac:dyDescent="0.25">
      <c r="A188" s="2">
        <v>27107548837</v>
      </c>
      <c r="B188" s="3" t="s">
        <v>1078</v>
      </c>
      <c r="C188" s="1" t="s">
        <v>14</v>
      </c>
      <c r="D188" s="3"/>
    </row>
    <row r="189" spans="1:4" ht="15.75" customHeight="1" x14ac:dyDescent="0.25">
      <c r="A189" s="2">
        <v>30708422300</v>
      </c>
      <c r="B189" s="3" t="s">
        <v>1080</v>
      </c>
      <c r="C189" s="1" t="s">
        <v>14</v>
      </c>
      <c r="D189" s="3"/>
    </row>
    <row r="190" spans="1:4" ht="15.75" customHeight="1" x14ac:dyDescent="0.25">
      <c r="A190" s="2">
        <v>30712739106</v>
      </c>
      <c r="B190" s="3" t="s">
        <v>1083</v>
      </c>
      <c r="C190" s="1" t="s">
        <v>14</v>
      </c>
      <c r="D190" s="3"/>
    </row>
    <row r="191" spans="1:4" ht="15.75" customHeight="1" x14ac:dyDescent="0.25">
      <c r="A191" s="2">
        <v>27178797935</v>
      </c>
      <c r="B191" s="3" t="s">
        <v>1087</v>
      </c>
      <c r="C191" s="1" t="s">
        <v>14</v>
      </c>
      <c r="D191" s="3"/>
    </row>
    <row r="192" spans="1:4" ht="15.75" customHeight="1" x14ac:dyDescent="0.25">
      <c r="A192" s="2">
        <v>33711293189</v>
      </c>
      <c r="B192" s="3" t="s">
        <v>1088</v>
      </c>
      <c r="C192" s="1" t="s">
        <v>14</v>
      </c>
      <c r="D192" s="3"/>
    </row>
    <row r="193" spans="1:4" ht="15.75" customHeight="1" x14ac:dyDescent="0.25">
      <c r="A193" s="2">
        <v>30714712604</v>
      </c>
      <c r="B193" s="3" t="s">
        <v>1095</v>
      </c>
      <c r="C193" s="1" t="s">
        <v>14</v>
      </c>
      <c r="D193" s="3"/>
    </row>
    <row r="194" spans="1:4" ht="15.75" customHeight="1" x14ac:dyDescent="0.25">
      <c r="A194" s="2">
        <v>30709459399</v>
      </c>
      <c r="B194" s="3" t="s">
        <v>1096</v>
      </c>
      <c r="C194" s="1" t="s">
        <v>14</v>
      </c>
      <c r="D194" s="3"/>
    </row>
    <row r="195" spans="1:4" ht="15.75" customHeight="1" x14ac:dyDescent="0.25">
      <c r="A195" s="2">
        <v>30708166673</v>
      </c>
      <c r="B195" s="3" t="s">
        <v>1097</v>
      </c>
      <c r="C195" s="1" t="s">
        <v>14</v>
      </c>
      <c r="D195" s="3"/>
    </row>
    <row r="196" spans="1:4" ht="15.75" customHeight="1" x14ac:dyDescent="0.25">
      <c r="A196" s="2">
        <v>33710186079</v>
      </c>
      <c r="B196" s="3" t="s">
        <v>1103</v>
      </c>
      <c r="C196" s="1" t="s">
        <v>14</v>
      </c>
      <c r="D196" s="3"/>
    </row>
    <row r="197" spans="1:4" ht="15.75" customHeight="1" x14ac:dyDescent="0.25">
      <c r="A197" s="2">
        <v>30715768921</v>
      </c>
      <c r="B197" s="3" t="s">
        <v>1104</v>
      </c>
      <c r="C197" s="1" t="s">
        <v>14</v>
      </c>
      <c r="D197" s="3"/>
    </row>
    <row r="198" spans="1:4" ht="15.75" customHeight="1" x14ac:dyDescent="0.25">
      <c r="A198" s="2">
        <v>20184146801</v>
      </c>
      <c r="B198" s="3" t="s">
        <v>1105</v>
      </c>
      <c r="C198" s="1" t="s">
        <v>14</v>
      </c>
      <c r="D198" s="3"/>
    </row>
    <row r="199" spans="1:4" ht="15.75" customHeight="1" x14ac:dyDescent="0.25">
      <c r="A199" s="2">
        <v>30710007949</v>
      </c>
      <c r="B199" s="3" t="s">
        <v>1106</v>
      </c>
      <c r="C199" s="1" t="s">
        <v>14</v>
      </c>
      <c r="D199" s="3"/>
    </row>
    <row r="200" spans="1:4" ht="15.75" customHeight="1" x14ac:dyDescent="0.25">
      <c r="A200" s="2">
        <v>30715577956</v>
      </c>
      <c r="B200" s="3" t="s">
        <v>1109</v>
      </c>
      <c r="C200" s="1" t="s">
        <v>14</v>
      </c>
      <c r="D200" s="3"/>
    </row>
    <row r="201" spans="1:4" ht="15.75" customHeight="1" x14ac:dyDescent="0.25">
      <c r="A201" s="2">
        <v>30711493596</v>
      </c>
      <c r="B201" s="3" t="s">
        <v>1111</v>
      </c>
      <c r="C201" s="1" t="s">
        <v>14</v>
      </c>
      <c r="D201" s="3"/>
    </row>
    <row r="202" spans="1:4" ht="15.75" customHeight="1" x14ac:dyDescent="0.25">
      <c r="A202" s="2">
        <v>27061892171</v>
      </c>
      <c r="B202" s="3" t="s">
        <v>1112</v>
      </c>
      <c r="C202" s="1" t="s">
        <v>14</v>
      </c>
      <c r="D202" s="3"/>
    </row>
    <row r="203" spans="1:4" ht="15.75" customHeight="1" x14ac:dyDescent="0.25">
      <c r="A203" s="2">
        <v>20307790344</v>
      </c>
      <c r="B203" s="3" t="s">
        <v>1113</v>
      </c>
      <c r="C203" s="1" t="s">
        <v>14</v>
      </c>
      <c r="D203" s="3"/>
    </row>
    <row r="204" spans="1:4" ht="15.75" customHeight="1" x14ac:dyDescent="0.25">
      <c r="A204" s="2">
        <v>30716370727</v>
      </c>
      <c r="B204" s="3" t="s">
        <v>1114</v>
      </c>
      <c r="C204" s="1" t="s">
        <v>14</v>
      </c>
      <c r="D204" s="3"/>
    </row>
    <row r="205" spans="1:4" ht="15.75" customHeight="1" x14ac:dyDescent="0.25">
      <c r="A205" s="2">
        <v>20348009622</v>
      </c>
      <c r="B205" s="3" t="s">
        <v>1117</v>
      </c>
      <c r="C205" s="1" t="s">
        <v>14</v>
      </c>
      <c r="D205" s="3"/>
    </row>
    <row r="206" spans="1:4" ht="15.75" customHeight="1" x14ac:dyDescent="0.25">
      <c r="A206" s="2">
        <v>30716831066</v>
      </c>
      <c r="B206" s="3" t="s">
        <v>1131</v>
      </c>
      <c r="C206" s="1" t="s">
        <v>14</v>
      </c>
      <c r="D206" s="3"/>
    </row>
    <row r="207" spans="1:4" ht="15.75" customHeight="1" x14ac:dyDescent="0.25">
      <c r="A207" s="2">
        <v>30712019359</v>
      </c>
      <c r="B207" s="3" t="s">
        <v>1133</v>
      </c>
      <c r="C207" s="1" t="s">
        <v>14</v>
      </c>
      <c r="D207" s="3"/>
    </row>
    <row r="208" spans="1:4" ht="15.75" customHeight="1" x14ac:dyDescent="0.25">
      <c r="A208" s="2">
        <v>30714481513</v>
      </c>
      <c r="B208" s="3" t="s">
        <v>1141</v>
      </c>
      <c r="C208" s="1" t="s">
        <v>14</v>
      </c>
      <c r="D208" s="3"/>
    </row>
    <row r="209" spans="1:4" ht="15.75" customHeight="1" x14ac:dyDescent="0.25">
      <c r="A209" s="2">
        <v>30715835335</v>
      </c>
      <c r="B209" s="3" t="s">
        <v>1142</v>
      </c>
      <c r="C209" s="1" t="s">
        <v>14</v>
      </c>
      <c r="D209" s="3"/>
    </row>
    <row r="210" spans="1:4" ht="15.75" customHeight="1" x14ac:dyDescent="0.25">
      <c r="A210" s="2">
        <v>20296324206</v>
      </c>
      <c r="B210" s="3" t="s">
        <v>1154</v>
      </c>
      <c r="C210" s="1" t="s">
        <v>14</v>
      </c>
      <c r="D210" s="3"/>
    </row>
    <row r="211" spans="1:4" ht="15.75" customHeight="1" x14ac:dyDescent="0.25">
      <c r="A211" s="2">
        <v>30708138165</v>
      </c>
      <c r="B211" s="3" t="s">
        <v>1155</v>
      </c>
      <c r="C211" s="1" t="s">
        <v>14</v>
      </c>
      <c r="D211" s="3"/>
    </row>
    <row r="212" spans="1:4" ht="15.75" customHeight="1" x14ac:dyDescent="0.25">
      <c r="A212" s="2">
        <v>30626629942</v>
      </c>
      <c r="B212" s="3" t="s">
        <v>1156</v>
      </c>
      <c r="C212" s="1" t="s">
        <v>14</v>
      </c>
      <c r="D212" s="3"/>
    </row>
    <row r="213" spans="1:4" ht="15.75" customHeight="1" x14ac:dyDescent="0.25">
      <c r="A213" s="2">
        <v>30716620634</v>
      </c>
      <c r="B213" s="3" t="s">
        <v>1158</v>
      </c>
      <c r="C213" s="1" t="s">
        <v>14</v>
      </c>
      <c r="D213" s="3"/>
    </row>
    <row r="214" spans="1:4" ht="15.75" customHeight="1" x14ac:dyDescent="0.25">
      <c r="A214" s="2">
        <v>30714808083</v>
      </c>
      <c r="B214" s="3" t="s">
        <v>1175</v>
      </c>
      <c r="C214" s="1" t="s">
        <v>14</v>
      </c>
      <c r="D214" s="3"/>
    </row>
    <row r="215" spans="1:4" ht="15.75" customHeight="1" x14ac:dyDescent="0.25">
      <c r="A215" s="2">
        <v>27325155804</v>
      </c>
      <c r="B215" s="3" t="s">
        <v>1178</v>
      </c>
      <c r="C215" s="1" t="s">
        <v>14</v>
      </c>
      <c r="D215" s="3"/>
    </row>
    <row r="216" spans="1:4" ht="15.75" customHeight="1" x14ac:dyDescent="0.25">
      <c r="A216" s="2">
        <v>30646717619</v>
      </c>
      <c r="B216" s="3" t="s">
        <v>1179</v>
      </c>
      <c r="C216" s="1" t="s">
        <v>14</v>
      </c>
      <c r="D216" s="3"/>
    </row>
    <row r="217" spans="1:4" ht="15.75" customHeight="1" x14ac:dyDescent="0.25">
      <c r="A217" s="2">
        <v>30714576247</v>
      </c>
      <c r="B217" s="3" t="s">
        <v>1180</v>
      </c>
      <c r="C217" s="1" t="s">
        <v>14</v>
      </c>
      <c r="D217" s="3"/>
    </row>
    <row r="218" spans="1:4" ht="15.75" customHeight="1" x14ac:dyDescent="0.25">
      <c r="A218" s="2">
        <v>30716784254</v>
      </c>
      <c r="B218" s="3" t="s">
        <v>1181</v>
      </c>
      <c r="C218" s="1" t="s">
        <v>14</v>
      </c>
      <c r="D218" s="3"/>
    </row>
    <row r="219" spans="1:4" ht="15.75" customHeight="1" x14ac:dyDescent="0.25">
      <c r="A219" s="2">
        <v>27325554121</v>
      </c>
      <c r="B219" s="3" t="s">
        <v>1193</v>
      </c>
      <c r="C219" s="1" t="s">
        <v>14</v>
      </c>
      <c r="D219" s="3"/>
    </row>
    <row r="220" spans="1:4" ht="15.75" customHeight="1" x14ac:dyDescent="0.25">
      <c r="A220" s="2">
        <v>20161125017</v>
      </c>
      <c r="B220" s="3" t="s">
        <v>1194</v>
      </c>
      <c r="C220" s="1" t="s">
        <v>14</v>
      </c>
      <c r="D220" s="3"/>
    </row>
    <row r="221" spans="1:4" ht="15.75" customHeight="1" x14ac:dyDescent="0.25">
      <c r="A221" s="2">
        <v>20316597239</v>
      </c>
      <c r="B221" s="3" t="s">
        <v>1195</v>
      </c>
      <c r="C221" s="1" t="s">
        <v>14</v>
      </c>
      <c r="D221" s="3"/>
    </row>
    <row r="222" spans="1:4" ht="15.75" customHeight="1" x14ac:dyDescent="0.25">
      <c r="A222" s="2">
        <v>20238432724</v>
      </c>
      <c r="B222" s="3" t="s">
        <v>1196</v>
      </c>
      <c r="C222" s="1" t="s">
        <v>14</v>
      </c>
      <c r="D222" s="3"/>
    </row>
    <row r="223" spans="1:4" ht="15.75" customHeight="1" x14ac:dyDescent="0.25">
      <c r="A223" s="2">
        <v>30716006391</v>
      </c>
      <c r="B223" s="3" t="s">
        <v>1207</v>
      </c>
      <c r="C223" s="1" t="s">
        <v>14</v>
      </c>
      <c r="D223" s="3"/>
    </row>
    <row r="224" spans="1:4" ht="15.75" customHeight="1" x14ac:dyDescent="0.25">
      <c r="A224" s="2">
        <v>33715571639</v>
      </c>
      <c r="B224" s="3" t="s">
        <v>1222</v>
      </c>
      <c r="C224" s="1" t="s">
        <v>14</v>
      </c>
      <c r="D224" s="3"/>
    </row>
    <row r="225" spans="1:4" ht="15.75" customHeight="1" x14ac:dyDescent="0.25">
      <c r="A225" s="2">
        <v>30715713272</v>
      </c>
      <c r="B225" s="3" t="s">
        <v>1247</v>
      </c>
      <c r="C225" s="1" t="s">
        <v>14</v>
      </c>
      <c r="D225" s="3"/>
    </row>
    <row r="226" spans="1:4" ht="15.75" customHeight="1" x14ac:dyDescent="0.25">
      <c r="A226" s="2">
        <v>20217293791</v>
      </c>
      <c r="B226" s="3" t="s">
        <v>1249</v>
      </c>
      <c r="C226" s="1" t="s">
        <v>14</v>
      </c>
      <c r="D226" s="3"/>
    </row>
    <row r="227" spans="1:4" ht="15.75" customHeight="1" x14ac:dyDescent="0.25">
      <c r="A227" s="2">
        <v>30715461540</v>
      </c>
      <c r="B227" s="3" t="s">
        <v>1254</v>
      </c>
      <c r="C227" s="1" t="s">
        <v>14</v>
      </c>
      <c r="D227" s="3"/>
    </row>
    <row r="228" spans="1:4" ht="15.75" customHeight="1" x14ac:dyDescent="0.25">
      <c r="A228" s="2">
        <v>23319824979</v>
      </c>
      <c r="B228" s="3" t="s">
        <v>1255</v>
      </c>
      <c r="C228" s="1" t="s">
        <v>14</v>
      </c>
      <c r="D228" s="3"/>
    </row>
    <row r="229" spans="1:4" ht="15.75" customHeight="1" x14ac:dyDescent="0.25">
      <c r="A229" s="2">
        <v>30713546808</v>
      </c>
      <c r="B229" s="3" t="s">
        <v>1257</v>
      </c>
      <c r="C229" s="1" t="s">
        <v>14</v>
      </c>
      <c r="D229" s="3"/>
    </row>
    <row r="230" spans="1:4" ht="15.75" customHeight="1" x14ac:dyDescent="0.25">
      <c r="A230" s="2">
        <v>20235490251</v>
      </c>
      <c r="B230" s="3" t="s">
        <v>1258</v>
      </c>
      <c r="C230" s="1" t="s">
        <v>14</v>
      </c>
      <c r="D230" s="3"/>
    </row>
    <row r="231" spans="1:4" ht="15.75" customHeight="1" x14ac:dyDescent="0.25">
      <c r="A231" s="2">
        <v>30716872463</v>
      </c>
      <c r="B231" s="3" t="s">
        <v>1261</v>
      </c>
      <c r="C231" s="1" t="s">
        <v>14</v>
      </c>
      <c r="D231" s="3"/>
    </row>
    <row r="232" spans="1:4" ht="15.75" customHeight="1" x14ac:dyDescent="0.25">
      <c r="A232" s="2">
        <v>30715267450</v>
      </c>
      <c r="B232" s="3" t="s">
        <v>1262</v>
      </c>
      <c r="C232" s="1" t="s">
        <v>14</v>
      </c>
      <c r="D232" s="3"/>
    </row>
    <row r="233" spans="1:4" ht="15.75" customHeight="1" x14ac:dyDescent="0.25">
      <c r="A233" s="2">
        <v>30546764040</v>
      </c>
      <c r="B233" s="3" t="s">
        <v>682</v>
      </c>
      <c r="C233" s="1" t="s">
        <v>14</v>
      </c>
      <c r="D233" s="3"/>
    </row>
    <row r="234" spans="1:4" ht="15.75" customHeight="1" x14ac:dyDescent="0.25">
      <c r="A234" s="2">
        <v>20171082464</v>
      </c>
      <c r="B234" s="3" t="s">
        <v>693</v>
      </c>
      <c r="C234" s="1" t="s">
        <v>14</v>
      </c>
      <c r="D234" s="3"/>
    </row>
    <row r="235" spans="1:4" ht="15.75" customHeight="1" x14ac:dyDescent="0.25">
      <c r="A235" s="2">
        <v>30707092781</v>
      </c>
      <c r="B235" s="3" t="s">
        <v>721</v>
      </c>
      <c r="C235" s="1" t="s">
        <v>14</v>
      </c>
      <c r="D235" s="3"/>
    </row>
    <row r="236" spans="1:4" ht="15.75" customHeight="1" x14ac:dyDescent="0.25">
      <c r="A236" s="2">
        <v>27937907473</v>
      </c>
      <c r="B236" s="3" t="s">
        <v>722</v>
      </c>
      <c r="C236" s="1" t="s">
        <v>14</v>
      </c>
      <c r="D236" s="3"/>
    </row>
    <row r="237" spans="1:4" ht="15.75" customHeight="1" x14ac:dyDescent="0.25">
      <c r="A237" s="2">
        <v>30603810550</v>
      </c>
      <c r="B237" s="3" t="s">
        <v>724</v>
      </c>
      <c r="C237" s="1" t="s">
        <v>14</v>
      </c>
      <c r="D237" s="3"/>
    </row>
    <row r="238" spans="1:4" ht="15.75" customHeight="1" x14ac:dyDescent="0.25">
      <c r="A238" s="2">
        <v>30536259194</v>
      </c>
      <c r="B238" s="3" t="s">
        <v>731</v>
      </c>
      <c r="C238" s="1" t="s">
        <v>14</v>
      </c>
      <c r="D238" s="3"/>
    </row>
    <row r="239" spans="1:4" ht="15.75" customHeight="1" x14ac:dyDescent="0.25">
      <c r="A239" s="2">
        <v>30605041287</v>
      </c>
      <c r="B239" s="3" t="s">
        <v>751</v>
      </c>
      <c r="C239" s="1" t="s">
        <v>14</v>
      </c>
      <c r="D239" s="3"/>
    </row>
    <row r="240" spans="1:4" ht="15.75" customHeight="1" x14ac:dyDescent="0.25">
      <c r="A240" s="2">
        <v>20113613646</v>
      </c>
      <c r="B240" s="3" t="s">
        <v>769</v>
      </c>
      <c r="C240" s="1" t="s">
        <v>14</v>
      </c>
      <c r="D240" s="3"/>
    </row>
    <row r="241" spans="1:4" ht="15.75" customHeight="1" x14ac:dyDescent="0.25">
      <c r="A241" s="2">
        <v>30601399446</v>
      </c>
      <c r="B241" s="3" t="s">
        <v>780</v>
      </c>
      <c r="C241" s="1" t="s">
        <v>14</v>
      </c>
      <c r="D241" s="3"/>
    </row>
    <row r="242" spans="1:4" ht="15.75" customHeight="1" x14ac:dyDescent="0.25">
      <c r="A242" s="2">
        <v>23177941034</v>
      </c>
      <c r="B242" s="3" t="s">
        <v>1349</v>
      </c>
      <c r="C242" s="1" t="s">
        <v>14</v>
      </c>
      <c r="D242" s="3"/>
    </row>
    <row r="243" spans="1:4" ht="15.75" customHeight="1" x14ac:dyDescent="0.25">
      <c r="A243" s="2">
        <v>20174240125</v>
      </c>
      <c r="B243" s="3" t="s">
        <v>1369</v>
      </c>
      <c r="C243" s="1" t="s">
        <v>14</v>
      </c>
      <c r="D243" s="3"/>
    </row>
    <row r="244" spans="1:4" ht="15.75" customHeight="1" x14ac:dyDescent="0.25">
      <c r="A244" s="2">
        <v>33708793219</v>
      </c>
      <c r="B244" s="3" t="s">
        <v>812</v>
      </c>
      <c r="C244" s="1" t="s">
        <v>14</v>
      </c>
      <c r="D244" s="3"/>
    </row>
    <row r="245" spans="1:4" ht="15.75" customHeight="1" x14ac:dyDescent="0.25">
      <c r="A245" s="2">
        <v>20162253310</v>
      </c>
      <c r="B245" s="3" t="s">
        <v>839</v>
      </c>
      <c r="C245" s="1" t="s">
        <v>14</v>
      </c>
      <c r="D245" s="3"/>
    </row>
    <row r="246" spans="1:4" ht="15.75" customHeight="1" x14ac:dyDescent="0.25">
      <c r="A246" s="2">
        <v>30710444877</v>
      </c>
      <c r="B246" s="3" t="s">
        <v>861</v>
      </c>
      <c r="C246" s="1" t="s">
        <v>14</v>
      </c>
      <c r="D246" s="3"/>
    </row>
    <row r="247" spans="1:4" ht="15.75" customHeight="1" x14ac:dyDescent="0.25">
      <c r="A247" s="2">
        <v>33709108129</v>
      </c>
      <c r="B247" s="3" t="s">
        <v>862</v>
      </c>
      <c r="C247" s="1" t="s">
        <v>14</v>
      </c>
      <c r="D247" s="3"/>
    </row>
    <row r="248" spans="1:4" ht="15.75" customHeight="1" x14ac:dyDescent="0.25">
      <c r="A248" s="2">
        <v>20123154445</v>
      </c>
      <c r="B248" s="3" t="s">
        <v>1439</v>
      </c>
      <c r="C248" s="1" t="s">
        <v>14</v>
      </c>
      <c r="D248" s="3"/>
    </row>
    <row r="249" spans="1:4" ht="15.75" customHeight="1" x14ac:dyDescent="0.25">
      <c r="A249" s="2">
        <v>30699419245</v>
      </c>
      <c r="B249" s="3" t="s">
        <v>886</v>
      </c>
      <c r="C249" s="1" t="s">
        <v>14</v>
      </c>
      <c r="D249" s="3"/>
    </row>
    <row r="250" spans="1:4" ht="15.75" customHeight="1" x14ac:dyDescent="0.25">
      <c r="A250" s="2">
        <v>20926929128</v>
      </c>
      <c r="B250" s="3" t="s">
        <v>889</v>
      </c>
      <c r="C250" s="1" t="s">
        <v>14</v>
      </c>
      <c r="D250" s="3"/>
    </row>
    <row r="251" spans="1:4" ht="15.75" customHeight="1" x14ac:dyDescent="0.25">
      <c r="A251" s="2">
        <v>30624066827</v>
      </c>
      <c r="B251" s="3" t="s">
        <v>1505</v>
      </c>
      <c r="C251" s="1" t="s">
        <v>14</v>
      </c>
      <c r="D251" s="3"/>
    </row>
    <row r="252" spans="1:4" ht="15.75" customHeight="1" x14ac:dyDescent="0.25">
      <c r="A252" s="2">
        <v>30715606808</v>
      </c>
      <c r="B252" s="3" t="s">
        <v>1523</v>
      </c>
      <c r="C252" s="1" t="s">
        <v>14</v>
      </c>
      <c r="D252" s="3"/>
    </row>
    <row r="253" spans="1:4" ht="15.75" customHeight="1" x14ac:dyDescent="0.25">
      <c r="A253" s="2">
        <v>30707153675</v>
      </c>
      <c r="B253" s="3" t="s">
        <v>290</v>
      </c>
      <c r="C253" s="1" t="s">
        <v>14</v>
      </c>
      <c r="D253" s="3"/>
    </row>
    <row r="254" spans="1:4" ht="15.75" customHeight="1" x14ac:dyDescent="0.25">
      <c r="A254" s="2">
        <v>30709131865</v>
      </c>
      <c r="B254" s="3" t="s">
        <v>327</v>
      </c>
      <c r="C254" s="1" t="s">
        <v>14</v>
      </c>
      <c r="D254" s="3"/>
    </row>
    <row r="255" spans="1:4" ht="15.75" customHeight="1" x14ac:dyDescent="0.25">
      <c r="A255" s="2">
        <v>30715804235</v>
      </c>
      <c r="B255" s="3" t="s">
        <v>390</v>
      </c>
      <c r="C255" s="1" t="s">
        <v>14</v>
      </c>
      <c r="D255" s="3"/>
    </row>
    <row r="256" spans="1:4" ht="15.75" customHeight="1" x14ac:dyDescent="0.25">
      <c r="A256" s="2">
        <v>33710719549</v>
      </c>
      <c r="B256" s="3" t="s">
        <v>399</v>
      </c>
      <c r="C256" s="1" t="s">
        <v>14</v>
      </c>
      <c r="D256" s="3"/>
    </row>
    <row r="257" spans="1:4" ht="15.75" customHeight="1" x14ac:dyDescent="0.25">
      <c r="A257" s="2">
        <v>30715123483</v>
      </c>
      <c r="B257" s="3" t="s">
        <v>528</v>
      </c>
      <c r="C257" s="1" t="s">
        <v>14</v>
      </c>
      <c r="D257" s="3"/>
    </row>
    <row r="258" spans="1:4" ht="15.75" customHeight="1" x14ac:dyDescent="0.25">
      <c r="A258" s="2">
        <v>27221454826</v>
      </c>
      <c r="B258" s="3" t="s">
        <v>612</v>
      </c>
      <c r="C258" s="1" t="s">
        <v>14</v>
      </c>
      <c r="D258" s="3"/>
    </row>
    <row r="259" spans="1:4" ht="15.75" customHeight="1" x14ac:dyDescent="0.25">
      <c r="A259" s="2">
        <v>20226535765</v>
      </c>
      <c r="B259" s="3" t="s">
        <v>733</v>
      </c>
      <c r="C259" s="1" t="s">
        <v>14</v>
      </c>
      <c r="D259" s="3"/>
    </row>
    <row r="260" spans="1:4" ht="15.75" customHeight="1" x14ac:dyDescent="0.25">
      <c r="A260" s="2">
        <v>30711603553</v>
      </c>
      <c r="B260" s="3" t="s">
        <v>898</v>
      </c>
      <c r="C260" s="1" t="s">
        <v>14</v>
      </c>
      <c r="D260" s="3"/>
    </row>
    <row r="261" spans="1:4" ht="15.75" customHeight="1" x14ac:dyDescent="0.25">
      <c r="A261" s="2">
        <v>27261572775</v>
      </c>
      <c r="B261" s="3" t="s">
        <v>922</v>
      </c>
      <c r="C261" s="1" t="s">
        <v>14</v>
      </c>
      <c r="D261" s="3"/>
    </row>
    <row r="262" spans="1:4" ht="15.75" customHeight="1" x14ac:dyDescent="0.25">
      <c r="A262" s="2">
        <v>20292055847</v>
      </c>
      <c r="B262" s="3" t="s">
        <v>1076</v>
      </c>
      <c r="C262" s="1" t="s">
        <v>14</v>
      </c>
      <c r="D262" s="3"/>
    </row>
    <row r="263" spans="1:4" ht="15.75" customHeight="1" x14ac:dyDescent="0.25">
      <c r="A263" s="2">
        <v>30714020222</v>
      </c>
      <c r="B263" s="3" t="s">
        <v>1110</v>
      </c>
      <c r="C263" s="1" t="s">
        <v>14</v>
      </c>
      <c r="D263" s="3"/>
    </row>
    <row r="264" spans="1:4" ht="15.75" customHeight="1" x14ac:dyDescent="0.25">
      <c r="A264" s="2">
        <v>30711790426</v>
      </c>
      <c r="B264" s="3" t="s">
        <v>1150</v>
      </c>
      <c r="C264" s="1" t="s">
        <v>14</v>
      </c>
      <c r="D264" s="3"/>
    </row>
    <row r="265" spans="1:4" ht="15.75" customHeight="1" x14ac:dyDescent="0.25">
      <c r="A265" s="2">
        <v>20251977322</v>
      </c>
      <c r="B265" s="3" t="s">
        <v>1151</v>
      </c>
      <c r="C265" s="1" t="s">
        <v>14</v>
      </c>
      <c r="D265" s="3"/>
    </row>
    <row r="266" spans="1:4" ht="15.75" customHeight="1" x14ac:dyDescent="0.25">
      <c r="A266" s="2">
        <v>23310108359</v>
      </c>
      <c r="B266" s="3" t="s">
        <v>1184</v>
      </c>
      <c r="C266" s="1" t="s">
        <v>14</v>
      </c>
      <c r="D266" s="3"/>
    </row>
    <row r="267" spans="1:4" ht="15.75" customHeight="1" x14ac:dyDescent="0.25">
      <c r="A267" s="2">
        <v>30709653780</v>
      </c>
      <c r="B267" s="3" t="s">
        <v>44</v>
      </c>
      <c r="C267" s="1" t="s">
        <v>14</v>
      </c>
      <c r="D267" s="3"/>
    </row>
    <row r="268" spans="1:4" ht="15.75" customHeight="1" x14ac:dyDescent="0.25">
      <c r="A268" s="2">
        <v>30538068841</v>
      </c>
      <c r="B268" s="3" t="s">
        <v>188</v>
      </c>
      <c r="C268" s="1" t="s">
        <v>14</v>
      </c>
      <c r="D268" s="3"/>
    </row>
    <row r="269" spans="1:4" ht="15.75" customHeight="1" x14ac:dyDescent="0.25">
      <c r="A269" s="2">
        <v>30694497701</v>
      </c>
      <c r="B269" s="3" t="s">
        <v>255</v>
      </c>
      <c r="C269" s="1" t="s">
        <v>14</v>
      </c>
      <c r="D269" s="3"/>
    </row>
    <row r="270" spans="1:4" ht="15.75" customHeight="1" x14ac:dyDescent="0.25">
      <c r="A270" s="2">
        <v>30710526598</v>
      </c>
      <c r="B270" s="3" t="s">
        <v>262</v>
      </c>
      <c r="C270" s="1" t="s">
        <v>14</v>
      </c>
      <c r="D270" s="3"/>
    </row>
    <row r="271" spans="1:4" ht="15.75" customHeight="1" x14ac:dyDescent="0.25">
      <c r="A271" s="2">
        <v>30714749206</v>
      </c>
      <c r="B271" s="3" t="s">
        <v>303</v>
      </c>
      <c r="C271" s="1" t="s">
        <v>14</v>
      </c>
      <c r="D271" s="3"/>
    </row>
    <row r="272" spans="1:4" ht="15.75" customHeight="1" x14ac:dyDescent="0.25">
      <c r="A272" s="2">
        <v>30712045554</v>
      </c>
      <c r="B272" s="3" t="s">
        <v>316</v>
      </c>
      <c r="C272" s="1" t="s">
        <v>14</v>
      </c>
      <c r="D272" s="3"/>
    </row>
    <row r="273" spans="1:4" ht="15.75" customHeight="1" x14ac:dyDescent="0.25">
      <c r="A273" s="2">
        <v>20181410206</v>
      </c>
      <c r="B273" s="3" t="s">
        <v>375</v>
      </c>
      <c r="C273" s="1" t="s">
        <v>14</v>
      </c>
      <c r="D273" s="3"/>
    </row>
    <row r="274" spans="1:4" ht="15.75" customHeight="1" x14ac:dyDescent="0.25">
      <c r="A274" s="2">
        <v>30527269586</v>
      </c>
      <c r="B274" s="3" t="s">
        <v>387</v>
      </c>
      <c r="C274" s="1" t="s">
        <v>14</v>
      </c>
      <c r="D274" s="3"/>
    </row>
    <row r="275" spans="1:4" ht="15.75" customHeight="1" x14ac:dyDescent="0.25">
      <c r="A275" s="2">
        <v>30712269142</v>
      </c>
      <c r="B275" s="3" t="s">
        <v>395</v>
      </c>
      <c r="C275" s="1" t="s">
        <v>14</v>
      </c>
      <c r="D275" s="3"/>
    </row>
    <row r="276" spans="1:4" ht="15.75" customHeight="1" x14ac:dyDescent="0.25">
      <c r="A276" s="2">
        <v>20042321703</v>
      </c>
      <c r="B276" s="3" t="s">
        <v>426</v>
      </c>
      <c r="C276" s="1" t="s">
        <v>14</v>
      </c>
      <c r="D276" s="3"/>
    </row>
    <row r="277" spans="1:4" ht="15.75" customHeight="1" x14ac:dyDescent="0.25">
      <c r="A277" s="2">
        <v>30626885981</v>
      </c>
      <c r="B277" s="3" t="s">
        <v>440</v>
      </c>
      <c r="C277" s="1" t="s">
        <v>14</v>
      </c>
      <c r="D277" s="3"/>
    </row>
    <row r="278" spans="1:4" ht="15.75" customHeight="1" x14ac:dyDescent="0.25">
      <c r="A278" s="2">
        <v>30640079378</v>
      </c>
      <c r="B278" s="3" t="s">
        <v>444</v>
      </c>
      <c r="C278" s="1" t="s">
        <v>14</v>
      </c>
      <c r="D278" s="3"/>
    </row>
    <row r="279" spans="1:4" ht="15.75" customHeight="1" x14ac:dyDescent="0.25">
      <c r="A279" s="2">
        <v>20933717624</v>
      </c>
      <c r="B279" s="3" t="s">
        <v>486</v>
      </c>
      <c r="C279" s="1" t="s">
        <v>14</v>
      </c>
      <c r="D279" s="3"/>
    </row>
    <row r="280" spans="1:4" ht="15.75" customHeight="1" x14ac:dyDescent="0.25">
      <c r="A280" s="2">
        <v>30711678529</v>
      </c>
      <c r="B280" s="3" t="s">
        <v>518</v>
      </c>
      <c r="C280" s="1" t="s">
        <v>14</v>
      </c>
      <c r="D280" s="3"/>
    </row>
    <row r="281" spans="1:4" ht="15.75" customHeight="1" x14ac:dyDescent="0.25">
      <c r="A281" s="2">
        <v>20268667297</v>
      </c>
      <c r="B281" s="3" t="s">
        <v>547</v>
      </c>
      <c r="C281" s="1" t="s">
        <v>14</v>
      </c>
      <c r="D281" s="3"/>
    </row>
    <row r="282" spans="1:4" ht="15.75" customHeight="1" x14ac:dyDescent="0.25">
      <c r="A282" s="2">
        <v>30708261110</v>
      </c>
      <c r="B282" s="3" t="s">
        <v>671</v>
      </c>
      <c r="C282" s="1" t="s">
        <v>14</v>
      </c>
      <c r="D282" s="3"/>
    </row>
    <row r="283" spans="1:4" ht="15.75" customHeight="1" x14ac:dyDescent="0.25">
      <c r="A283" s="2">
        <v>30709924172</v>
      </c>
      <c r="B283" s="3" t="s">
        <v>680</v>
      </c>
      <c r="C283" s="1" t="s">
        <v>14</v>
      </c>
      <c r="D283" s="3"/>
    </row>
    <row r="284" spans="1:4" ht="15.75" customHeight="1" x14ac:dyDescent="0.25">
      <c r="A284" s="2">
        <v>20168925582</v>
      </c>
      <c r="B284" s="3" t="s">
        <v>741</v>
      </c>
      <c r="C284" s="1" t="s">
        <v>14</v>
      </c>
      <c r="D284" s="3"/>
    </row>
    <row r="285" spans="1:4" ht="15.75" customHeight="1" x14ac:dyDescent="0.25">
      <c r="A285" s="2">
        <v>30709075639</v>
      </c>
      <c r="B285" s="3" t="s">
        <v>883</v>
      </c>
      <c r="C285" s="1" t="s">
        <v>14</v>
      </c>
      <c r="D285" s="3"/>
    </row>
    <row r="286" spans="1:4" ht="15.75" customHeight="1" x14ac:dyDescent="0.25">
      <c r="A286" s="2">
        <v>20294907174</v>
      </c>
      <c r="B286" s="3" t="s">
        <v>386</v>
      </c>
      <c r="C286" s="1" t="s">
        <v>14</v>
      </c>
      <c r="D286" s="3"/>
    </row>
    <row r="287" spans="1:4" ht="15.75" customHeight="1" x14ac:dyDescent="0.25">
      <c r="A287" s="2">
        <v>30715891154</v>
      </c>
      <c r="B287" s="3" t="s">
        <v>1280</v>
      </c>
      <c r="C287" s="1" t="s">
        <v>14</v>
      </c>
      <c r="D287" s="3"/>
    </row>
    <row r="288" spans="1:4" ht="15.75" customHeight="1" x14ac:dyDescent="0.25">
      <c r="A288" s="2">
        <v>20241271235</v>
      </c>
      <c r="B288" s="3" t="s">
        <v>1478</v>
      </c>
      <c r="C288" s="1" t="s">
        <v>14</v>
      </c>
      <c r="D288" s="3"/>
    </row>
    <row r="289" spans="1:4" ht="15.75" customHeight="1" x14ac:dyDescent="0.25">
      <c r="A289" s="2">
        <v>30711379521</v>
      </c>
      <c r="B289" s="3" t="s">
        <v>1479</v>
      </c>
      <c r="C289" s="1" t="s">
        <v>14</v>
      </c>
      <c r="D289" s="3"/>
    </row>
    <row r="290" spans="1:4" ht="15.75" customHeight="1" x14ac:dyDescent="0.25">
      <c r="A290" s="2">
        <v>30708003316</v>
      </c>
      <c r="B290" s="3" t="s">
        <v>1482</v>
      </c>
      <c r="C290" s="1" t="s">
        <v>14</v>
      </c>
      <c r="D290" s="3"/>
    </row>
    <row r="291" spans="1:4" ht="15.75" customHeight="1" x14ac:dyDescent="0.25">
      <c r="A291" s="2">
        <v>27268654017</v>
      </c>
      <c r="B291" s="3" t="s">
        <v>1484</v>
      </c>
      <c r="C291" s="1" t="s">
        <v>14</v>
      </c>
      <c r="D291" s="3"/>
    </row>
    <row r="292" spans="1:4" ht="15.75" customHeight="1" x14ac:dyDescent="0.25">
      <c r="A292" s="2">
        <v>30696170580</v>
      </c>
      <c r="B292" s="3" t="s">
        <v>50</v>
      </c>
      <c r="C292" s="1" t="s">
        <v>51</v>
      </c>
      <c r="D292" s="3"/>
    </row>
    <row r="293" spans="1:4" ht="15.75" customHeight="1" x14ac:dyDescent="0.25">
      <c r="A293" s="2">
        <v>30620415606</v>
      </c>
      <c r="B293" s="3" t="s">
        <v>520</v>
      </c>
      <c r="C293" s="1" t="s">
        <v>51</v>
      </c>
      <c r="D293" s="3"/>
    </row>
    <row r="294" spans="1:4" ht="15.75" customHeight="1" x14ac:dyDescent="0.25">
      <c r="A294" s="2">
        <v>30710964277</v>
      </c>
      <c r="B294" s="3" t="s">
        <v>565</v>
      </c>
      <c r="C294" s="1" t="s">
        <v>51</v>
      </c>
      <c r="D294" s="3"/>
    </row>
    <row r="295" spans="1:4" ht="15.75" customHeight="1" x14ac:dyDescent="0.25">
      <c r="A295" s="2">
        <v>30661792015</v>
      </c>
      <c r="B295" s="3" t="s">
        <v>634</v>
      </c>
      <c r="C295" s="1" t="s">
        <v>51</v>
      </c>
      <c r="D295" s="3"/>
    </row>
    <row r="296" spans="1:4" ht="15.75" customHeight="1" x14ac:dyDescent="0.25">
      <c r="A296" s="2">
        <v>30661792015</v>
      </c>
      <c r="B296" s="3" t="s">
        <v>634</v>
      </c>
      <c r="C296" s="1" t="s">
        <v>51</v>
      </c>
      <c r="D296" s="3"/>
    </row>
    <row r="297" spans="1:4" ht="15.75" customHeight="1" x14ac:dyDescent="0.25">
      <c r="A297" s="2">
        <v>30580111315</v>
      </c>
      <c r="B297" s="3" t="s">
        <v>271</v>
      </c>
      <c r="C297" s="1" t="s">
        <v>51</v>
      </c>
      <c r="D297" s="3"/>
    </row>
    <row r="298" spans="1:4" ht="15.75" customHeight="1" x14ac:dyDescent="0.25">
      <c r="A298" s="2">
        <v>30700940957</v>
      </c>
      <c r="B298" s="3" t="s">
        <v>979</v>
      </c>
      <c r="C298" s="1" t="s">
        <v>51</v>
      </c>
      <c r="D298" s="3"/>
    </row>
    <row r="299" spans="1:4" ht="15.75" customHeight="1" x14ac:dyDescent="0.25">
      <c r="A299" s="2">
        <v>30700940957</v>
      </c>
      <c r="B299" s="3" t="s">
        <v>979</v>
      </c>
      <c r="C299" s="1" t="s">
        <v>51</v>
      </c>
      <c r="D299" s="3"/>
    </row>
    <row r="300" spans="1:4" ht="15.75" customHeight="1" x14ac:dyDescent="0.25">
      <c r="A300" s="2">
        <v>30700940957</v>
      </c>
      <c r="B300" s="3" t="s">
        <v>979</v>
      </c>
      <c r="C300" s="1" t="s">
        <v>51</v>
      </c>
      <c r="D300" s="3"/>
    </row>
    <row r="301" spans="1:4" ht="15.75" customHeight="1" x14ac:dyDescent="0.25">
      <c r="A301" s="2">
        <v>30594494187</v>
      </c>
      <c r="B301" s="3" t="s">
        <v>1035</v>
      </c>
      <c r="C301" s="1" t="s">
        <v>51</v>
      </c>
      <c r="D301" s="3"/>
    </row>
    <row r="302" spans="1:4" ht="15.75" customHeight="1" x14ac:dyDescent="0.25">
      <c r="A302" s="2">
        <v>30677784144</v>
      </c>
      <c r="B302" s="3" t="s">
        <v>1125</v>
      </c>
      <c r="C302" s="1" t="s">
        <v>51</v>
      </c>
      <c r="D302" s="3"/>
    </row>
    <row r="303" spans="1:4" ht="15.75" customHeight="1" x14ac:dyDescent="0.25">
      <c r="A303" s="2">
        <v>30713967005</v>
      </c>
      <c r="B303" s="3" t="s">
        <v>1186</v>
      </c>
      <c r="C303" s="1" t="s">
        <v>51</v>
      </c>
      <c r="D303" s="3"/>
    </row>
    <row r="304" spans="1:4" ht="15.75" customHeight="1" x14ac:dyDescent="0.25">
      <c r="A304" s="2">
        <v>30623356856</v>
      </c>
      <c r="B304" s="3" t="s">
        <v>804</v>
      </c>
      <c r="C304" s="1" t="s">
        <v>805</v>
      </c>
      <c r="D304" s="3"/>
    </row>
    <row r="305" spans="1:4" ht="15.75" customHeight="1" x14ac:dyDescent="0.25">
      <c r="A305" s="2">
        <v>30715402765</v>
      </c>
      <c r="B305" s="3" t="s">
        <v>832</v>
      </c>
      <c r="C305" s="1" t="s">
        <v>833</v>
      </c>
      <c r="D305" s="3"/>
    </row>
    <row r="306" spans="1:4" ht="15.75" customHeight="1" x14ac:dyDescent="0.25">
      <c r="A306" s="2">
        <v>20341465134</v>
      </c>
      <c r="B306" s="3" t="s">
        <v>29</v>
      </c>
      <c r="C306" s="1" t="s">
        <v>30</v>
      </c>
      <c r="D306" s="3"/>
    </row>
    <row r="307" spans="1:4" ht="15.75" customHeight="1" x14ac:dyDescent="0.25">
      <c r="A307" s="2">
        <v>20941496963</v>
      </c>
      <c r="B307" s="3" t="s">
        <v>32</v>
      </c>
      <c r="C307" s="1" t="s">
        <v>30</v>
      </c>
      <c r="D307" s="3"/>
    </row>
    <row r="308" spans="1:4" ht="15.75" customHeight="1" x14ac:dyDescent="0.25">
      <c r="A308" s="2">
        <v>20341465134</v>
      </c>
      <c r="B308" s="3" t="s">
        <v>58</v>
      </c>
      <c r="C308" s="1" t="s">
        <v>59</v>
      </c>
      <c r="D308" s="3"/>
    </row>
    <row r="309" spans="1:4" ht="15.75" customHeight="1" x14ac:dyDescent="0.25">
      <c r="A309" s="2">
        <v>20168239328</v>
      </c>
      <c r="B309" s="3" t="s">
        <v>115</v>
      </c>
      <c r="C309" s="1" t="s">
        <v>59</v>
      </c>
      <c r="D309" s="3"/>
    </row>
    <row r="310" spans="1:4" ht="15.75" customHeight="1" x14ac:dyDescent="0.25">
      <c r="A310" s="2">
        <v>20389908569</v>
      </c>
      <c r="B310" s="3" t="s">
        <v>144</v>
      </c>
      <c r="C310" s="1" t="s">
        <v>59</v>
      </c>
      <c r="D310" s="3"/>
    </row>
    <row r="311" spans="1:4" ht="15.75" customHeight="1" x14ac:dyDescent="0.25">
      <c r="A311" s="2">
        <v>20075959134</v>
      </c>
      <c r="B311" s="3" t="s">
        <v>352</v>
      </c>
      <c r="C311" s="1" t="s">
        <v>59</v>
      </c>
      <c r="D311" s="3"/>
    </row>
    <row r="312" spans="1:4" ht="15.75" customHeight="1" x14ac:dyDescent="0.25">
      <c r="A312" s="2">
        <v>20400104094</v>
      </c>
      <c r="B312" s="3" t="s">
        <v>372</v>
      </c>
      <c r="C312" s="1" t="s">
        <v>59</v>
      </c>
      <c r="D312" s="3"/>
    </row>
    <row r="313" spans="1:4" ht="15.75" customHeight="1" x14ac:dyDescent="0.25">
      <c r="A313" s="2">
        <v>27173820866</v>
      </c>
      <c r="B313" s="3" t="s">
        <v>407</v>
      </c>
      <c r="C313" s="1" t="s">
        <v>59</v>
      </c>
      <c r="D313" s="3"/>
    </row>
    <row r="314" spans="1:4" ht="15.75" customHeight="1" x14ac:dyDescent="0.25">
      <c r="A314" s="2">
        <v>20086277523</v>
      </c>
      <c r="B314" s="3" t="s">
        <v>541</v>
      </c>
      <c r="C314" s="1" t="s">
        <v>59</v>
      </c>
      <c r="D314" s="3"/>
    </row>
    <row r="315" spans="1:4" ht="15.75" customHeight="1" x14ac:dyDescent="0.25">
      <c r="A315" s="2">
        <v>20086277523</v>
      </c>
      <c r="B315" s="3" t="s">
        <v>541</v>
      </c>
      <c r="C315" s="1" t="s">
        <v>59</v>
      </c>
      <c r="D315" s="3"/>
    </row>
    <row r="316" spans="1:4" ht="15.75" customHeight="1" x14ac:dyDescent="0.25">
      <c r="A316" s="2">
        <v>27405786066</v>
      </c>
      <c r="B316" s="3" t="s">
        <v>723</v>
      </c>
      <c r="C316" s="1" t="s">
        <v>59</v>
      </c>
      <c r="D316" s="3"/>
    </row>
    <row r="317" spans="1:4" ht="15.75" customHeight="1" x14ac:dyDescent="0.25">
      <c r="A317" s="2">
        <v>27233748205</v>
      </c>
      <c r="B317" s="3" t="s">
        <v>801</v>
      </c>
      <c r="C317" s="1" t="s">
        <v>59</v>
      </c>
      <c r="D317" s="3"/>
    </row>
    <row r="318" spans="1:4" ht="15.75" customHeight="1" x14ac:dyDescent="0.25">
      <c r="A318" s="2">
        <v>23145783224</v>
      </c>
      <c r="B318" s="3" t="s">
        <v>919</v>
      </c>
      <c r="C318" s="1" t="s">
        <v>59</v>
      </c>
      <c r="D318" s="3"/>
    </row>
    <row r="319" spans="1:4" ht="15.75" customHeight="1" x14ac:dyDescent="0.25">
      <c r="A319" s="2">
        <v>30715906542</v>
      </c>
      <c r="B319" s="3" t="s">
        <v>1102</v>
      </c>
      <c r="C319" s="1" t="s">
        <v>59</v>
      </c>
      <c r="D319" s="3"/>
    </row>
    <row r="320" spans="1:4" ht="15.75" customHeight="1" x14ac:dyDescent="0.25">
      <c r="A320" s="2">
        <v>27118169951</v>
      </c>
      <c r="B320" s="3" t="s">
        <v>757</v>
      </c>
      <c r="C320" s="1" t="s">
        <v>59</v>
      </c>
      <c r="D320" s="3"/>
    </row>
    <row r="321" spans="1:4" ht="15.75" customHeight="1" x14ac:dyDescent="0.25">
      <c r="A321" s="2">
        <v>20403931420</v>
      </c>
      <c r="B321" s="3" t="s">
        <v>1157</v>
      </c>
      <c r="C321" s="1" t="s">
        <v>850</v>
      </c>
      <c r="D321" s="3"/>
    </row>
    <row r="322" spans="1:4" ht="15.75" customHeight="1" x14ac:dyDescent="0.25">
      <c r="A322" s="2">
        <v>20136544625</v>
      </c>
      <c r="B322" s="3" t="s">
        <v>849</v>
      </c>
      <c r="C322" s="1" t="s">
        <v>850</v>
      </c>
      <c r="D322" s="3"/>
    </row>
    <row r="323" spans="1:4" ht="15.75" customHeight="1" x14ac:dyDescent="0.25">
      <c r="A323" s="2">
        <v>27206941419</v>
      </c>
      <c r="B323" s="3" t="s">
        <v>291</v>
      </c>
      <c r="C323" s="1" t="s">
        <v>355</v>
      </c>
      <c r="D323" s="3"/>
    </row>
    <row r="324" spans="1:4" ht="15.75" customHeight="1" x14ac:dyDescent="0.25">
      <c r="A324" s="2">
        <v>20086277523</v>
      </c>
      <c r="B324" s="3" t="s">
        <v>354</v>
      </c>
      <c r="C324" s="1" t="s">
        <v>355</v>
      </c>
      <c r="D324" s="3"/>
    </row>
    <row r="325" spans="1:4" ht="15.75" customHeight="1" x14ac:dyDescent="0.25">
      <c r="A325" s="2">
        <v>27314756121</v>
      </c>
      <c r="B325" s="3" t="s">
        <v>570</v>
      </c>
      <c r="C325" s="1" t="s">
        <v>39</v>
      </c>
      <c r="D325" s="3"/>
    </row>
    <row r="326" spans="1:4" ht="15.75" customHeight="1" x14ac:dyDescent="0.25">
      <c r="A326" s="2">
        <v>27125997835</v>
      </c>
      <c r="B326" s="3" t="s">
        <v>1224</v>
      </c>
      <c r="C326" s="1" t="s">
        <v>39</v>
      </c>
      <c r="D326" s="3"/>
    </row>
    <row r="327" spans="1:4" ht="15.75" customHeight="1" x14ac:dyDescent="0.25">
      <c r="A327" s="2">
        <v>27397607602</v>
      </c>
      <c r="B327" s="3" t="s">
        <v>1230</v>
      </c>
      <c r="C327" s="1" t="s">
        <v>1745</v>
      </c>
      <c r="D327" s="3"/>
    </row>
    <row r="328" spans="1:4" ht="15.75" customHeight="1" x14ac:dyDescent="0.25">
      <c r="A328" s="2">
        <v>30503874497</v>
      </c>
      <c r="B328" s="3" t="s">
        <v>15</v>
      </c>
      <c r="C328" s="1" t="s">
        <v>16</v>
      </c>
      <c r="D328" s="3"/>
    </row>
    <row r="329" spans="1:4" ht="15.75" customHeight="1" x14ac:dyDescent="0.25">
      <c r="A329" s="2">
        <v>20182999661</v>
      </c>
      <c r="B329" s="3" t="s">
        <v>23</v>
      </c>
      <c r="C329" s="1" t="s">
        <v>16</v>
      </c>
      <c r="D329" s="3"/>
    </row>
    <row r="330" spans="1:4" ht="15.75" customHeight="1" x14ac:dyDescent="0.25">
      <c r="A330" s="2">
        <v>30652000076</v>
      </c>
      <c r="B330" s="3" t="s">
        <v>34</v>
      </c>
      <c r="C330" s="1" t="s">
        <v>16</v>
      </c>
      <c r="D330" s="3"/>
    </row>
    <row r="331" spans="1:4" ht="15.75" customHeight="1" x14ac:dyDescent="0.25">
      <c r="A331" s="2">
        <v>30515585415</v>
      </c>
      <c r="B331" s="3" t="s">
        <v>38</v>
      </c>
      <c r="C331" s="1" t="s">
        <v>16</v>
      </c>
      <c r="D331" s="3"/>
    </row>
    <row r="332" spans="1:4" ht="15.75" customHeight="1" x14ac:dyDescent="0.25">
      <c r="A332" s="2">
        <v>33711942659</v>
      </c>
      <c r="B332" s="3" t="s">
        <v>40</v>
      </c>
      <c r="C332" s="1" t="s">
        <v>16</v>
      </c>
      <c r="D332" s="3"/>
    </row>
    <row r="333" spans="1:4" ht="15.75" customHeight="1" x14ac:dyDescent="0.25">
      <c r="A333" s="2">
        <v>20174004146</v>
      </c>
      <c r="B333" s="3" t="s">
        <v>48</v>
      </c>
      <c r="C333" s="1" t="s">
        <v>16</v>
      </c>
      <c r="D333" s="3"/>
    </row>
    <row r="334" spans="1:4" ht="15.75" customHeight="1" x14ac:dyDescent="0.25">
      <c r="A334" s="2">
        <v>30708555548</v>
      </c>
      <c r="B334" s="3" t="s">
        <v>52</v>
      </c>
      <c r="C334" s="1" t="s">
        <v>16</v>
      </c>
      <c r="D334" s="3"/>
    </row>
    <row r="335" spans="1:4" ht="15.75" customHeight="1" x14ac:dyDescent="0.25">
      <c r="A335" s="2">
        <v>30500229973</v>
      </c>
      <c r="B335" s="3" t="s">
        <v>62</v>
      </c>
      <c r="C335" s="1" t="s">
        <v>16</v>
      </c>
      <c r="D335" s="3"/>
    </row>
    <row r="336" spans="1:4" ht="15.75" customHeight="1" x14ac:dyDescent="0.25">
      <c r="A336" s="2">
        <v>30656038752</v>
      </c>
      <c r="B336" s="3" t="s">
        <v>69</v>
      </c>
      <c r="C336" s="1" t="s">
        <v>16</v>
      </c>
      <c r="D336" s="3"/>
    </row>
    <row r="337" spans="1:4" ht="15.75" customHeight="1" x14ac:dyDescent="0.25">
      <c r="A337" s="2">
        <v>30504563894</v>
      </c>
      <c r="B337" s="3" t="s">
        <v>70</v>
      </c>
      <c r="C337" s="1" t="s">
        <v>16</v>
      </c>
      <c r="D337" s="3"/>
    </row>
    <row r="338" spans="1:4" ht="15.75" customHeight="1" x14ac:dyDescent="0.25">
      <c r="A338" s="2">
        <v>30709948667</v>
      </c>
      <c r="B338" s="3" t="s">
        <v>81</v>
      </c>
      <c r="C338" s="1" t="s">
        <v>16</v>
      </c>
      <c r="D338" s="3"/>
    </row>
    <row r="339" spans="1:4" ht="15.75" customHeight="1" x14ac:dyDescent="0.25">
      <c r="A339" s="2">
        <v>30683702060</v>
      </c>
      <c r="B339" s="3" t="s">
        <v>82</v>
      </c>
      <c r="C339" s="1" t="s">
        <v>16</v>
      </c>
      <c r="D339" s="3"/>
    </row>
    <row r="340" spans="1:4" ht="15.75" customHeight="1" x14ac:dyDescent="0.25">
      <c r="A340" s="2">
        <v>30712000372</v>
      </c>
      <c r="B340" s="3" t="s">
        <v>84</v>
      </c>
      <c r="C340" s="1" t="s">
        <v>16</v>
      </c>
      <c r="D340" s="3"/>
    </row>
    <row r="341" spans="1:4" ht="15.75" customHeight="1" x14ac:dyDescent="0.25">
      <c r="A341" s="2">
        <v>27276671109</v>
      </c>
      <c r="B341" s="3" t="s">
        <v>88</v>
      </c>
      <c r="C341" s="1" t="s">
        <v>16</v>
      </c>
      <c r="D341" s="3"/>
    </row>
    <row r="342" spans="1:4" ht="15.75" customHeight="1" x14ac:dyDescent="0.25">
      <c r="A342" s="2">
        <v>30708973501</v>
      </c>
      <c r="B342" s="3" t="s">
        <v>99</v>
      </c>
      <c r="C342" s="1" t="s">
        <v>16</v>
      </c>
      <c r="D342" s="3"/>
    </row>
    <row r="343" spans="1:4" ht="15.75" customHeight="1" x14ac:dyDescent="0.25">
      <c r="A343" s="2">
        <v>30544712833</v>
      </c>
      <c r="B343" s="3" t="s">
        <v>102</v>
      </c>
      <c r="C343" s="1" t="s">
        <v>16</v>
      </c>
      <c r="D343" s="3"/>
    </row>
    <row r="344" spans="1:4" ht="15.75" customHeight="1" x14ac:dyDescent="0.25">
      <c r="A344" s="2">
        <v>33711430879</v>
      </c>
      <c r="B344" s="3" t="s">
        <v>122</v>
      </c>
      <c r="C344" s="1" t="s">
        <v>16</v>
      </c>
      <c r="D344" s="3"/>
    </row>
    <row r="345" spans="1:4" ht="15.75" customHeight="1" x14ac:dyDescent="0.25">
      <c r="A345" s="2">
        <v>30711941718</v>
      </c>
      <c r="B345" s="3" t="s">
        <v>124</v>
      </c>
      <c r="C345" s="1" t="s">
        <v>16</v>
      </c>
      <c r="D345" s="3"/>
    </row>
    <row r="346" spans="1:4" ht="15.75" customHeight="1" x14ac:dyDescent="0.25">
      <c r="A346" s="2">
        <v>30715210637</v>
      </c>
      <c r="B346" s="3" t="s">
        <v>139</v>
      </c>
      <c r="C346" s="1" t="s">
        <v>16</v>
      </c>
      <c r="D346" s="3"/>
    </row>
    <row r="347" spans="1:4" ht="15.75" customHeight="1" x14ac:dyDescent="0.25">
      <c r="A347" s="2">
        <v>30712230459</v>
      </c>
      <c r="B347" s="3" t="s">
        <v>140</v>
      </c>
      <c r="C347" s="1" t="s">
        <v>16</v>
      </c>
      <c r="D347" s="3"/>
    </row>
    <row r="348" spans="1:4" ht="15.75" customHeight="1" x14ac:dyDescent="0.25">
      <c r="A348" s="2">
        <v>30655186693</v>
      </c>
      <c r="B348" s="3" t="s">
        <v>143</v>
      </c>
      <c r="C348" s="1" t="s">
        <v>16</v>
      </c>
      <c r="D348" s="3"/>
    </row>
    <row r="349" spans="1:4" ht="15.75" customHeight="1" x14ac:dyDescent="0.25">
      <c r="A349" s="2">
        <v>30515676178</v>
      </c>
      <c r="B349" s="3" t="s">
        <v>146</v>
      </c>
      <c r="C349" s="1" t="s">
        <v>16</v>
      </c>
      <c r="D349" s="3"/>
    </row>
    <row r="350" spans="1:4" ht="15.75" customHeight="1" x14ac:dyDescent="0.25">
      <c r="A350" s="2">
        <v>20085280512</v>
      </c>
      <c r="B350" s="3" t="s">
        <v>151</v>
      </c>
      <c r="C350" s="1" t="s">
        <v>16</v>
      </c>
      <c r="D350" s="3"/>
    </row>
    <row r="351" spans="1:4" ht="15.75" customHeight="1" x14ac:dyDescent="0.25">
      <c r="A351" s="2">
        <v>30595442369</v>
      </c>
      <c r="B351" s="3" t="s">
        <v>152</v>
      </c>
      <c r="C351" s="1" t="s">
        <v>16</v>
      </c>
      <c r="D351" s="3"/>
    </row>
    <row r="352" spans="1:4" ht="15.75" customHeight="1" x14ac:dyDescent="0.25">
      <c r="A352" s="2">
        <v>30604413482</v>
      </c>
      <c r="B352" s="3" t="s">
        <v>153</v>
      </c>
      <c r="C352" s="1" t="s">
        <v>16</v>
      </c>
      <c r="D352" s="3"/>
    </row>
    <row r="353" spans="1:4" ht="15.75" customHeight="1" x14ac:dyDescent="0.25">
      <c r="A353" s="2">
        <v>30606248519</v>
      </c>
      <c r="B353" s="3" t="s">
        <v>159</v>
      </c>
      <c r="C353" s="1" t="s">
        <v>16</v>
      </c>
      <c r="D353" s="3"/>
    </row>
    <row r="354" spans="1:4" ht="15.75" customHeight="1" x14ac:dyDescent="0.25">
      <c r="A354" s="2">
        <v>30685020633</v>
      </c>
      <c r="B354" s="3" t="s">
        <v>162</v>
      </c>
      <c r="C354" s="1" t="s">
        <v>16</v>
      </c>
      <c r="D354" s="3"/>
    </row>
    <row r="355" spans="1:4" ht="15.75" customHeight="1" x14ac:dyDescent="0.25">
      <c r="A355" s="2">
        <v>30709876135</v>
      </c>
      <c r="B355" s="3" t="s">
        <v>163</v>
      </c>
      <c r="C355" s="1" t="s">
        <v>16</v>
      </c>
      <c r="D355" s="3"/>
    </row>
    <row r="356" spans="1:4" ht="15.75" customHeight="1" x14ac:dyDescent="0.25">
      <c r="A356" s="2">
        <v>20182721787</v>
      </c>
      <c r="B356" s="3" t="s">
        <v>164</v>
      </c>
      <c r="C356" s="1" t="s">
        <v>16</v>
      </c>
      <c r="D356" s="3"/>
    </row>
    <row r="357" spans="1:4" ht="15.75" customHeight="1" x14ac:dyDescent="0.25">
      <c r="A357" s="2">
        <v>20101384412</v>
      </c>
      <c r="B357" s="3" t="s">
        <v>166</v>
      </c>
      <c r="C357" s="1" t="s">
        <v>16</v>
      </c>
      <c r="D357" s="3"/>
    </row>
    <row r="358" spans="1:4" ht="15.75" customHeight="1" x14ac:dyDescent="0.25">
      <c r="A358" s="2">
        <v>20129871947</v>
      </c>
      <c r="B358" s="3" t="s">
        <v>167</v>
      </c>
      <c r="C358" s="1" t="s">
        <v>16</v>
      </c>
      <c r="D358" s="3"/>
    </row>
    <row r="359" spans="1:4" ht="15.75" customHeight="1" x14ac:dyDescent="0.25">
      <c r="A359" s="2">
        <v>33503921249</v>
      </c>
      <c r="B359" s="3" t="s">
        <v>170</v>
      </c>
      <c r="C359" s="1" t="s">
        <v>16</v>
      </c>
      <c r="D359" s="3"/>
    </row>
    <row r="360" spans="1:4" ht="15.75" customHeight="1" x14ac:dyDescent="0.25">
      <c r="A360" s="2">
        <v>33712276539</v>
      </c>
      <c r="B360" s="3" t="s">
        <v>173</v>
      </c>
      <c r="C360" s="1" t="s">
        <v>16</v>
      </c>
      <c r="D360" s="3"/>
    </row>
    <row r="361" spans="1:4" ht="15.75" customHeight="1" x14ac:dyDescent="0.25">
      <c r="A361" s="2">
        <v>30708741562</v>
      </c>
      <c r="B361" s="3" t="s">
        <v>184</v>
      </c>
      <c r="C361" s="1" t="s">
        <v>16</v>
      </c>
      <c r="D361" s="3"/>
    </row>
    <row r="362" spans="1:4" ht="15.75" customHeight="1" x14ac:dyDescent="0.25">
      <c r="A362" s="2">
        <v>27945274110</v>
      </c>
      <c r="B362" s="3" t="s">
        <v>190</v>
      </c>
      <c r="C362" s="1" t="s">
        <v>16</v>
      </c>
      <c r="D362" s="3"/>
    </row>
    <row r="363" spans="1:4" ht="15.75" customHeight="1" x14ac:dyDescent="0.25">
      <c r="A363" s="2">
        <v>30707986189</v>
      </c>
      <c r="B363" s="3" t="s">
        <v>193</v>
      </c>
      <c r="C363" s="1" t="s">
        <v>16</v>
      </c>
      <c r="D363" s="3"/>
    </row>
    <row r="364" spans="1:4" ht="15.75" customHeight="1" x14ac:dyDescent="0.25">
      <c r="A364" s="2">
        <v>23117888169</v>
      </c>
      <c r="B364" s="3" t="s">
        <v>206</v>
      </c>
      <c r="C364" s="1" t="s">
        <v>16</v>
      </c>
      <c r="D364" s="3"/>
    </row>
    <row r="365" spans="1:4" ht="15.75" customHeight="1" x14ac:dyDescent="0.25">
      <c r="A365" s="2">
        <v>30688140923</v>
      </c>
      <c r="B365" s="3" t="s">
        <v>207</v>
      </c>
      <c r="C365" s="1" t="s">
        <v>16</v>
      </c>
      <c r="D365" s="3"/>
    </row>
    <row r="366" spans="1:4" ht="15.75" customHeight="1" x14ac:dyDescent="0.25">
      <c r="A366" s="2">
        <v>30707212698</v>
      </c>
      <c r="B366" s="3" t="s">
        <v>208</v>
      </c>
      <c r="C366" s="1" t="s">
        <v>16</v>
      </c>
      <c r="D366" s="3"/>
    </row>
    <row r="367" spans="1:4" ht="15.75" customHeight="1" x14ac:dyDescent="0.25">
      <c r="A367" s="2">
        <v>30519492136</v>
      </c>
      <c r="B367" s="3" t="s">
        <v>209</v>
      </c>
      <c r="C367" s="1" t="s">
        <v>16</v>
      </c>
      <c r="D367" s="3"/>
    </row>
    <row r="368" spans="1:4" ht="15.75" customHeight="1" x14ac:dyDescent="0.25">
      <c r="A368" s="2">
        <v>20136342283</v>
      </c>
      <c r="B368" s="3" t="s">
        <v>217</v>
      </c>
      <c r="C368" s="1" t="s">
        <v>16</v>
      </c>
      <c r="D368" s="3"/>
    </row>
    <row r="369" spans="1:4" ht="15.75" customHeight="1" x14ac:dyDescent="0.25">
      <c r="A369" s="2">
        <v>30714510092</v>
      </c>
      <c r="B369" s="3" t="s">
        <v>220</v>
      </c>
      <c r="C369" s="1" t="s">
        <v>16</v>
      </c>
      <c r="D369" s="3"/>
    </row>
    <row r="370" spans="1:4" ht="15.75" customHeight="1" x14ac:dyDescent="0.25">
      <c r="A370" s="2">
        <v>20134281783</v>
      </c>
      <c r="B370" s="3" t="s">
        <v>223</v>
      </c>
      <c r="C370" s="1" t="s">
        <v>16</v>
      </c>
      <c r="D370" s="3"/>
    </row>
    <row r="371" spans="1:4" ht="15.75" customHeight="1" x14ac:dyDescent="0.25">
      <c r="A371" s="2">
        <v>30610255783</v>
      </c>
      <c r="B371" s="3" t="s">
        <v>236</v>
      </c>
      <c r="C371" s="1" t="s">
        <v>16</v>
      </c>
      <c r="D371" s="3"/>
    </row>
    <row r="372" spans="1:4" ht="15.75" customHeight="1" x14ac:dyDescent="0.25">
      <c r="A372" s="2">
        <v>30710986416</v>
      </c>
      <c r="B372" s="3" t="s">
        <v>239</v>
      </c>
      <c r="C372" s="1" t="s">
        <v>16</v>
      </c>
      <c r="D372" s="3"/>
    </row>
    <row r="373" spans="1:4" ht="15.75" customHeight="1" x14ac:dyDescent="0.25">
      <c r="A373" s="2">
        <v>30648270417</v>
      </c>
      <c r="B373" s="3" t="s">
        <v>241</v>
      </c>
      <c r="C373" s="1" t="s">
        <v>16</v>
      </c>
      <c r="D373" s="3"/>
    </row>
    <row r="374" spans="1:4" ht="15.75" customHeight="1" x14ac:dyDescent="0.25">
      <c r="A374" s="2">
        <v>27216710253</v>
      </c>
      <c r="B374" s="3" t="s">
        <v>249</v>
      </c>
      <c r="C374" s="1" t="s">
        <v>16</v>
      </c>
      <c r="D374" s="3"/>
    </row>
    <row r="375" spans="1:4" ht="15.75" customHeight="1" x14ac:dyDescent="0.25">
      <c r="A375" s="2">
        <v>33715370269</v>
      </c>
      <c r="B375" s="3" t="s">
        <v>253</v>
      </c>
      <c r="C375" s="1" t="s">
        <v>16</v>
      </c>
      <c r="D375" s="3"/>
    </row>
    <row r="376" spans="1:4" ht="15.75" customHeight="1" x14ac:dyDescent="0.25">
      <c r="A376" s="2">
        <v>27340766445</v>
      </c>
      <c r="B376" s="3" t="s">
        <v>260</v>
      </c>
      <c r="C376" s="1" t="s">
        <v>16</v>
      </c>
      <c r="D376" s="3"/>
    </row>
    <row r="377" spans="1:4" ht="15.75" customHeight="1" x14ac:dyDescent="0.25">
      <c r="A377" s="2">
        <v>33700851279</v>
      </c>
      <c r="B377" s="3" t="s">
        <v>267</v>
      </c>
      <c r="C377" s="1" t="s">
        <v>16</v>
      </c>
      <c r="D377" s="3"/>
    </row>
    <row r="378" spans="1:4" ht="15.75" customHeight="1" x14ac:dyDescent="0.25">
      <c r="A378" s="2">
        <v>20045615473</v>
      </c>
      <c r="B378" s="3" t="s">
        <v>272</v>
      </c>
      <c r="C378" s="1" t="s">
        <v>16</v>
      </c>
      <c r="D378" s="3"/>
    </row>
    <row r="379" spans="1:4" ht="15.75" customHeight="1" x14ac:dyDescent="0.25">
      <c r="A379" s="2">
        <v>20271532483</v>
      </c>
      <c r="B379" s="3" t="s">
        <v>274</v>
      </c>
      <c r="C379" s="1" t="s">
        <v>16</v>
      </c>
      <c r="D379" s="3"/>
    </row>
    <row r="380" spans="1:4" ht="15.75" customHeight="1" x14ac:dyDescent="0.25">
      <c r="A380" s="2">
        <v>30522536748</v>
      </c>
      <c r="B380" s="3" t="s">
        <v>275</v>
      </c>
      <c r="C380" s="1" t="s">
        <v>16</v>
      </c>
      <c r="D380" s="3"/>
    </row>
    <row r="381" spans="1:4" ht="15.75" customHeight="1" x14ac:dyDescent="0.25">
      <c r="A381" s="2">
        <v>30505345793</v>
      </c>
      <c r="B381" s="3" t="s">
        <v>278</v>
      </c>
      <c r="C381" s="1" t="s">
        <v>16</v>
      </c>
      <c r="D381" s="3"/>
    </row>
    <row r="382" spans="1:4" ht="15.75" customHeight="1" x14ac:dyDescent="0.25">
      <c r="A382" s="2">
        <v>30663011746</v>
      </c>
      <c r="B382" s="3" t="s">
        <v>279</v>
      </c>
      <c r="C382" s="1" t="s">
        <v>16</v>
      </c>
      <c r="D382" s="3"/>
    </row>
    <row r="383" spans="1:4" ht="15.75" customHeight="1" x14ac:dyDescent="0.25">
      <c r="A383" s="2">
        <v>30694549817</v>
      </c>
      <c r="B383" s="3" t="s">
        <v>280</v>
      </c>
      <c r="C383" s="1" t="s">
        <v>16</v>
      </c>
      <c r="D383" s="3"/>
    </row>
    <row r="384" spans="1:4" ht="15.75" customHeight="1" x14ac:dyDescent="0.25">
      <c r="A384" s="2">
        <v>30714971782</v>
      </c>
      <c r="B384" s="3" t="s">
        <v>282</v>
      </c>
      <c r="C384" s="1" t="s">
        <v>16</v>
      </c>
      <c r="D384" s="3"/>
    </row>
    <row r="385" spans="1:4" ht="15.75" customHeight="1" x14ac:dyDescent="0.25">
      <c r="A385" s="2">
        <v>23117702529</v>
      </c>
      <c r="B385" s="3" t="s">
        <v>283</v>
      </c>
      <c r="C385" s="1" t="s">
        <v>16</v>
      </c>
      <c r="D385" s="3"/>
    </row>
    <row r="386" spans="1:4" ht="15.75" customHeight="1" x14ac:dyDescent="0.25">
      <c r="A386" s="2">
        <v>30709410144</v>
      </c>
      <c r="B386" s="3" t="s">
        <v>284</v>
      </c>
      <c r="C386" s="1" t="s">
        <v>16</v>
      </c>
      <c r="D386" s="3"/>
    </row>
    <row r="387" spans="1:4" ht="15.75" customHeight="1" x14ac:dyDescent="0.25">
      <c r="A387" s="2">
        <v>33714212589</v>
      </c>
      <c r="B387" s="3" t="s">
        <v>287</v>
      </c>
      <c r="C387" s="1" t="s">
        <v>16</v>
      </c>
      <c r="D387" s="3"/>
    </row>
    <row r="388" spans="1:4" ht="15.75" customHeight="1" x14ac:dyDescent="0.25">
      <c r="A388" s="2">
        <v>20068864934</v>
      </c>
      <c r="B388" s="3" t="s">
        <v>288</v>
      </c>
      <c r="C388" s="1" t="s">
        <v>16</v>
      </c>
      <c r="D388" s="3"/>
    </row>
    <row r="389" spans="1:4" ht="15.75" customHeight="1" x14ac:dyDescent="0.25">
      <c r="A389" s="2">
        <v>30696881576</v>
      </c>
      <c r="B389" s="341" t="s">
        <v>1751</v>
      </c>
      <c r="C389" s="1" t="s">
        <v>16</v>
      </c>
      <c r="D389" s="3"/>
    </row>
    <row r="390" spans="1:4" ht="15.75" customHeight="1" x14ac:dyDescent="0.25">
      <c r="A390" s="2">
        <v>30702966066</v>
      </c>
      <c r="B390" s="3" t="s">
        <v>295</v>
      </c>
      <c r="C390" s="1" t="s">
        <v>16</v>
      </c>
      <c r="D390" s="3"/>
    </row>
    <row r="391" spans="1:4" ht="15.75" customHeight="1" x14ac:dyDescent="0.25">
      <c r="A391" s="2">
        <v>20045397506</v>
      </c>
      <c r="B391" s="3" t="s">
        <v>309</v>
      </c>
      <c r="C391" s="1" t="s">
        <v>16</v>
      </c>
      <c r="D391" s="3"/>
    </row>
    <row r="392" spans="1:4" ht="15.75" customHeight="1" x14ac:dyDescent="0.25">
      <c r="A392" s="2">
        <v>33644560509</v>
      </c>
      <c r="B392" s="3" t="s">
        <v>312</v>
      </c>
      <c r="C392" s="1" t="s">
        <v>16</v>
      </c>
      <c r="D392" s="3"/>
    </row>
    <row r="393" spans="1:4" ht="15.75" customHeight="1" x14ac:dyDescent="0.25">
      <c r="A393" s="2">
        <v>30517613165</v>
      </c>
      <c r="B393" s="3" t="s">
        <v>331</v>
      </c>
      <c r="C393" s="1" t="s">
        <v>16</v>
      </c>
      <c r="D393" s="3"/>
    </row>
    <row r="394" spans="1:4" ht="15.75" customHeight="1" x14ac:dyDescent="0.25">
      <c r="A394" s="2">
        <v>30711861552</v>
      </c>
      <c r="B394" s="3" t="s">
        <v>334</v>
      </c>
      <c r="C394" s="1" t="s">
        <v>16</v>
      </c>
      <c r="D394" s="3"/>
    </row>
    <row r="395" spans="1:4" ht="15.75" customHeight="1" x14ac:dyDescent="0.25">
      <c r="A395" s="2">
        <v>33714662819</v>
      </c>
      <c r="B395" s="3" t="s">
        <v>335</v>
      </c>
      <c r="C395" s="1" t="s">
        <v>16</v>
      </c>
      <c r="D395" s="3"/>
    </row>
    <row r="396" spans="1:4" ht="15.75" customHeight="1" x14ac:dyDescent="0.25">
      <c r="A396" s="2">
        <v>30717029271</v>
      </c>
      <c r="B396" s="3" t="s">
        <v>337</v>
      </c>
      <c r="C396" s="1" t="s">
        <v>16</v>
      </c>
      <c r="D396" s="3"/>
    </row>
    <row r="397" spans="1:4" ht="15.75" customHeight="1" x14ac:dyDescent="0.25">
      <c r="A397" s="2">
        <v>33502734259</v>
      </c>
      <c r="B397" s="3" t="s">
        <v>338</v>
      </c>
      <c r="C397" s="1" t="s">
        <v>16</v>
      </c>
      <c r="D397" s="3"/>
    </row>
    <row r="398" spans="1:4" ht="15.75" customHeight="1" x14ac:dyDescent="0.25">
      <c r="A398" s="2">
        <v>30503255533</v>
      </c>
      <c r="B398" s="3" t="s">
        <v>340</v>
      </c>
      <c r="C398" s="1" t="s">
        <v>16</v>
      </c>
      <c r="D398" s="3"/>
    </row>
    <row r="399" spans="1:4" ht="15.75" customHeight="1" x14ac:dyDescent="0.25">
      <c r="A399" s="2">
        <v>20140958213</v>
      </c>
      <c r="B399" s="3" t="s">
        <v>341</v>
      </c>
      <c r="C399" s="1" t="s">
        <v>16</v>
      </c>
      <c r="D399" s="3"/>
    </row>
    <row r="400" spans="1:4" ht="15.75" customHeight="1" x14ac:dyDescent="0.25">
      <c r="A400" s="2">
        <v>30708007761</v>
      </c>
      <c r="B400" s="3" t="s">
        <v>361</v>
      </c>
      <c r="C400" s="1" t="s">
        <v>16</v>
      </c>
      <c r="D400" s="3"/>
    </row>
    <row r="401" spans="1:4" ht="15.75" customHeight="1" x14ac:dyDescent="0.25">
      <c r="A401" s="2">
        <v>30709001554</v>
      </c>
      <c r="B401" s="3" t="s">
        <v>362</v>
      </c>
      <c r="C401" s="1" t="s">
        <v>16</v>
      </c>
      <c r="D401" s="3"/>
    </row>
    <row r="402" spans="1:4" ht="15.75" customHeight="1" x14ac:dyDescent="0.25">
      <c r="A402" s="2">
        <v>30502443719</v>
      </c>
      <c r="B402" s="3" t="s">
        <v>364</v>
      </c>
      <c r="C402" s="1" t="s">
        <v>16</v>
      </c>
      <c r="D402" s="3"/>
    </row>
    <row r="403" spans="1:4" ht="15.75" customHeight="1" x14ac:dyDescent="0.25">
      <c r="A403" s="2">
        <v>30517914874</v>
      </c>
      <c r="B403" s="3" t="s">
        <v>366</v>
      </c>
      <c r="C403" s="1" t="s">
        <v>16</v>
      </c>
      <c r="D403" s="3"/>
    </row>
    <row r="404" spans="1:4" ht="15.75" customHeight="1" x14ac:dyDescent="0.25">
      <c r="A404" s="2">
        <v>30708802855</v>
      </c>
      <c r="B404" s="3" t="s">
        <v>369</v>
      </c>
      <c r="C404" s="1" t="s">
        <v>16</v>
      </c>
      <c r="D404" s="3"/>
    </row>
    <row r="405" spans="1:4" ht="15.75" customHeight="1" x14ac:dyDescent="0.25">
      <c r="A405" s="2">
        <v>20125142851</v>
      </c>
      <c r="B405" s="3" t="s">
        <v>370</v>
      </c>
      <c r="C405" s="1" t="s">
        <v>16</v>
      </c>
      <c r="D405" s="3"/>
    </row>
    <row r="406" spans="1:4" ht="15.75" customHeight="1" x14ac:dyDescent="0.25">
      <c r="A406" s="2">
        <v>30661667822</v>
      </c>
      <c r="B406" s="3" t="s">
        <v>384</v>
      </c>
      <c r="C406" s="1" t="s">
        <v>16</v>
      </c>
      <c r="D406" s="3"/>
    </row>
    <row r="407" spans="1:4" ht="15.75" customHeight="1" x14ac:dyDescent="0.25">
      <c r="A407" s="2">
        <v>30525341263</v>
      </c>
      <c r="B407" s="3" t="s">
        <v>393</v>
      </c>
      <c r="C407" s="1" t="s">
        <v>16</v>
      </c>
      <c r="D407" s="3"/>
    </row>
    <row r="408" spans="1:4" ht="15.75" customHeight="1" x14ac:dyDescent="0.25">
      <c r="A408" s="2">
        <v>33707529879</v>
      </c>
      <c r="B408" s="3" t="s">
        <v>394</v>
      </c>
      <c r="C408" s="1" t="s">
        <v>16</v>
      </c>
      <c r="D408" s="3"/>
    </row>
    <row r="409" spans="1:4" ht="15.75" customHeight="1" x14ac:dyDescent="0.25">
      <c r="A409" s="2">
        <v>30516348727</v>
      </c>
      <c r="B409" s="3" t="s">
        <v>398</v>
      </c>
      <c r="C409" s="1" t="s">
        <v>16</v>
      </c>
      <c r="D409" s="3"/>
    </row>
    <row r="410" spans="1:4" ht="15.75" customHeight="1" x14ac:dyDescent="0.25">
      <c r="A410" s="2">
        <v>30535302606</v>
      </c>
      <c r="B410" s="3" t="s">
        <v>410</v>
      </c>
      <c r="C410" s="1" t="s">
        <v>16</v>
      </c>
      <c r="D410" s="3"/>
    </row>
    <row r="411" spans="1:4" ht="15.75" customHeight="1" x14ac:dyDescent="0.25">
      <c r="A411" s="2">
        <v>30638485733</v>
      </c>
      <c r="B411" s="3" t="s">
        <v>415</v>
      </c>
      <c r="C411" s="1" t="s">
        <v>16</v>
      </c>
      <c r="D411" s="3"/>
    </row>
    <row r="412" spans="1:4" ht="15.75" customHeight="1" x14ac:dyDescent="0.25">
      <c r="A412" s="2">
        <v>30544052027</v>
      </c>
      <c r="B412" s="3" t="s">
        <v>431</v>
      </c>
      <c r="C412" s="1" t="s">
        <v>16</v>
      </c>
      <c r="D412" s="3"/>
    </row>
    <row r="413" spans="1:4" ht="15.75" customHeight="1" x14ac:dyDescent="0.25">
      <c r="A413" s="2">
        <v>30708855975</v>
      </c>
      <c r="B413" s="3" t="s">
        <v>433</v>
      </c>
      <c r="C413" s="1" t="s">
        <v>16</v>
      </c>
      <c r="D413" s="3"/>
    </row>
    <row r="414" spans="1:4" ht="15.75" customHeight="1" x14ac:dyDescent="0.25">
      <c r="A414" s="2">
        <v>20225327638</v>
      </c>
      <c r="B414" s="3" t="s">
        <v>434</v>
      </c>
      <c r="C414" s="1" t="s">
        <v>16</v>
      </c>
      <c r="D414" s="3"/>
    </row>
    <row r="415" spans="1:4" ht="15.75" customHeight="1" x14ac:dyDescent="0.25">
      <c r="A415" s="2">
        <v>30711950113</v>
      </c>
      <c r="B415" s="3" t="s">
        <v>438</v>
      </c>
      <c r="C415" s="1" t="s">
        <v>16</v>
      </c>
      <c r="D415" s="3"/>
    </row>
    <row r="416" spans="1:4" ht="15.75" customHeight="1" x14ac:dyDescent="0.25">
      <c r="A416" s="2">
        <v>30711069573</v>
      </c>
      <c r="B416" s="3" t="s">
        <v>442</v>
      </c>
      <c r="C416" s="1" t="s">
        <v>16</v>
      </c>
      <c r="D416" s="3"/>
    </row>
    <row r="417" spans="1:4" ht="15.75" customHeight="1" x14ac:dyDescent="0.25">
      <c r="A417" s="2">
        <v>3368716053.9000001</v>
      </c>
      <c r="B417" s="3" t="s">
        <v>449</v>
      </c>
      <c r="C417" s="1" t="s">
        <v>16</v>
      </c>
      <c r="D417" s="3"/>
    </row>
    <row r="418" spans="1:4" ht="15.75" customHeight="1" x14ac:dyDescent="0.25">
      <c r="A418" s="2">
        <v>33687160539</v>
      </c>
      <c r="B418" s="3" t="s">
        <v>449</v>
      </c>
      <c r="C418" s="1" t="s">
        <v>16</v>
      </c>
      <c r="D418" s="3"/>
    </row>
    <row r="419" spans="1:4" ht="15.75" customHeight="1" x14ac:dyDescent="0.25">
      <c r="A419" s="2">
        <v>30541849307</v>
      </c>
      <c r="B419" s="3" t="s">
        <v>466</v>
      </c>
      <c r="C419" s="1" t="s">
        <v>16</v>
      </c>
      <c r="D419" s="3"/>
    </row>
    <row r="420" spans="1:4" ht="15.75" customHeight="1" x14ac:dyDescent="0.25">
      <c r="A420" s="2">
        <v>20270084304</v>
      </c>
      <c r="B420" s="3" t="s">
        <v>468</v>
      </c>
      <c r="C420" s="1" t="s">
        <v>16</v>
      </c>
      <c r="D420" s="3"/>
    </row>
    <row r="421" spans="1:4" ht="15.75" customHeight="1" x14ac:dyDescent="0.25">
      <c r="A421" s="2">
        <v>20108381508</v>
      </c>
      <c r="B421" s="3" t="s">
        <v>470</v>
      </c>
      <c r="C421" s="1" t="s">
        <v>16</v>
      </c>
      <c r="D421" s="3"/>
    </row>
    <row r="422" spans="1:4" ht="15.75" customHeight="1" x14ac:dyDescent="0.25">
      <c r="A422" s="2">
        <v>20253264390</v>
      </c>
      <c r="B422" s="3" t="s">
        <v>471</v>
      </c>
      <c r="C422" s="1" t="s">
        <v>16</v>
      </c>
      <c r="D422" s="3"/>
    </row>
    <row r="423" spans="1:4" ht="15.75" customHeight="1" x14ac:dyDescent="0.25">
      <c r="A423" s="2">
        <v>23219640269</v>
      </c>
      <c r="B423" s="3" t="s">
        <v>475</v>
      </c>
      <c r="C423" s="1" t="s">
        <v>16</v>
      </c>
      <c r="D423" s="3"/>
    </row>
    <row r="424" spans="1:4" ht="15.75" customHeight="1" x14ac:dyDescent="0.25">
      <c r="A424" s="2">
        <v>30699407476</v>
      </c>
      <c r="B424" s="3" t="s">
        <v>476</v>
      </c>
      <c r="C424" s="1" t="s">
        <v>16</v>
      </c>
      <c r="D424" s="3"/>
    </row>
    <row r="425" spans="1:4" ht="15.75" customHeight="1" x14ac:dyDescent="0.25">
      <c r="A425" s="2">
        <v>30551450445</v>
      </c>
      <c r="B425" s="3" t="s">
        <v>478</v>
      </c>
      <c r="C425" s="1" t="s">
        <v>16</v>
      </c>
      <c r="D425" s="3"/>
    </row>
    <row r="426" spans="1:4" ht="15.75" customHeight="1" x14ac:dyDescent="0.25">
      <c r="A426" s="2">
        <v>30714254533</v>
      </c>
      <c r="B426" s="3" t="s">
        <v>483</v>
      </c>
      <c r="C426" s="1" t="s">
        <v>16</v>
      </c>
      <c r="D426" s="3"/>
    </row>
    <row r="427" spans="1:4" ht="15.75" customHeight="1" x14ac:dyDescent="0.25">
      <c r="A427" s="2">
        <v>30712354409</v>
      </c>
      <c r="B427" s="3" t="s">
        <v>484</v>
      </c>
      <c r="C427" s="1" t="s">
        <v>16</v>
      </c>
      <c r="D427" s="3"/>
    </row>
    <row r="428" spans="1:4" ht="15.75" customHeight="1" x14ac:dyDescent="0.25">
      <c r="A428" s="2">
        <v>30576631665</v>
      </c>
      <c r="B428" s="3" t="s">
        <v>485</v>
      </c>
      <c r="C428" s="1" t="s">
        <v>16</v>
      </c>
      <c r="D428" s="3"/>
    </row>
    <row r="429" spans="1:4" ht="15.75" customHeight="1" x14ac:dyDescent="0.25">
      <c r="A429" s="2">
        <v>30714696153</v>
      </c>
      <c r="B429" s="3" t="s">
        <v>489</v>
      </c>
      <c r="C429" s="1" t="s">
        <v>16</v>
      </c>
      <c r="D429" s="3"/>
    </row>
    <row r="430" spans="1:4" ht="15.75" customHeight="1" x14ac:dyDescent="0.25">
      <c r="A430" s="2">
        <v>30709443220</v>
      </c>
      <c r="B430" s="3" t="s">
        <v>497</v>
      </c>
      <c r="C430" s="1" t="s">
        <v>16</v>
      </c>
      <c r="D430" s="3"/>
    </row>
    <row r="431" spans="1:4" ht="15.75" customHeight="1" x14ac:dyDescent="0.25">
      <c r="A431" s="2">
        <v>30651822021</v>
      </c>
      <c r="B431" s="3" t="s">
        <v>502</v>
      </c>
      <c r="C431" s="1" t="s">
        <v>16</v>
      </c>
      <c r="D431" s="3"/>
    </row>
    <row r="432" spans="1:4" ht="15.75" customHeight="1" x14ac:dyDescent="0.25">
      <c r="A432" s="2">
        <v>30710018479</v>
      </c>
      <c r="B432" s="3" t="s">
        <v>505</v>
      </c>
      <c r="C432" s="1" t="s">
        <v>16</v>
      </c>
      <c r="D432" s="3"/>
    </row>
    <row r="433" spans="1:4" ht="15.75" customHeight="1" x14ac:dyDescent="0.25">
      <c r="A433" s="2">
        <v>30710149468</v>
      </c>
      <c r="B433" s="3" t="s">
        <v>507</v>
      </c>
      <c r="C433" s="1" t="s">
        <v>16</v>
      </c>
      <c r="D433" s="3"/>
    </row>
    <row r="434" spans="1:4" ht="15.75" customHeight="1" x14ac:dyDescent="0.25">
      <c r="A434" s="2">
        <v>30697770069</v>
      </c>
      <c r="B434" s="3" t="s">
        <v>514</v>
      </c>
      <c r="C434" s="1" t="s">
        <v>16</v>
      </c>
      <c r="D434" s="3"/>
    </row>
    <row r="435" spans="1:4" ht="15.75" customHeight="1" x14ac:dyDescent="0.25">
      <c r="A435" s="2">
        <v>33715678689</v>
      </c>
      <c r="B435" s="3" t="s">
        <v>517</v>
      </c>
      <c r="C435" s="1" t="s">
        <v>16</v>
      </c>
      <c r="D435" s="3"/>
    </row>
    <row r="436" spans="1:4" ht="15.75" customHeight="1" x14ac:dyDescent="0.25">
      <c r="A436" s="2">
        <v>30559807970</v>
      </c>
      <c r="B436" s="3" t="s">
        <v>523</v>
      </c>
      <c r="C436" s="1" t="s">
        <v>16</v>
      </c>
      <c r="D436" s="3"/>
    </row>
    <row r="437" spans="1:4" ht="15.75" customHeight="1" x14ac:dyDescent="0.25">
      <c r="A437" s="2">
        <v>30708214813</v>
      </c>
      <c r="B437" s="3" t="s">
        <v>524</v>
      </c>
      <c r="C437" s="1" t="s">
        <v>16</v>
      </c>
      <c r="D437" s="3"/>
    </row>
    <row r="438" spans="1:4" ht="15.75" customHeight="1" x14ac:dyDescent="0.25">
      <c r="A438" s="2">
        <v>30707249001</v>
      </c>
      <c r="B438" s="3" t="s">
        <v>529</v>
      </c>
      <c r="C438" s="1" t="s">
        <v>16</v>
      </c>
      <c r="D438" s="3"/>
    </row>
    <row r="439" spans="1:4" ht="15.75" customHeight="1" x14ac:dyDescent="0.25">
      <c r="A439" s="2">
        <v>30709273465</v>
      </c>
      <c r="B439" s="3" t="s">
        <v>530</v>
      </c>
      <c r="C439" s="1" t="s">
        <v>16</v>
      </c>
      <c r="D439" s="3"/>
    </row>
    <row r="440" spans="1:4" ht="15.75" customHeight="1" x14ac:dyDescent="0.25">
      <c r="A440" s="2">
        <v>30550095714</v>
      </c>
      <c r="B440" s="3" t="s">
        <v>530</v>
      </c>
      <c r="C440" s="1" t="s">
        <v>16</v>
      </c>
      <c r="D440" s="3"/>
    </row>
    <row r="441" spans="1:4" ht="15.75" customHeight="1" x14ac:dyDescent="0.25">
      <c r="A441" s="2">
        <v>20236755526</v>
      </c>
      <c r="B441" s="3" t="s">
        <v>545</v>
      </c>
      <c r="C441" s="1" t="s">
        <v>16</v>
      </c>
      <c r="D441" s="3"/>
    </row>
    <row r="442" spans="1:4" ht="15.75" customHeight="1" x14ac:dyDescent="0.25">
      <c r="A442" s="2">
        <v>30678264969</v>
      </c>
      <c r="B442" s="3" t="s">
        <v>548</v>
      </c>
      <c r="C442" s="1" t="s">
        <v>16</v>
      </c>
      <c r="D442" s="3"/>
    </row>
    <row r="443" spans="1:4" ht="15.75" customHeight="1" x14ac:dyDescent="0.25">
      <c r="A443" s="2">
        <v>30707682279</v>
      </c>
      <c r="B443" s="3" t="s">
        <v>549</v>
      </c>
      <c r="C443" s="1" t="s">
        <v>16</v>
      </c>
      <c r="D443" s="3"/>
    </row>
    <row r="444" spans="1:4" ht="15.75" customHeight="1" x14ac:dyDescent="0.25">
      <c r="A444" s="2">
        <v>30500805222</v>
      </c>
      <c r="B444" s="3" t="s">
        <v>553</v>
      </c>
      <c r="C444" s="1" t="s">
        <v>16</v>
      </c>
      <c r="D444" s="3"/>
    </row>
    <row r="445" spans="1:4" ht="15.75" customHeight="1" x14ac:dyDescent="0.25">
      <c r="A445" s="2">
        <v>33709050589</v>
      </c>
      <c r="B445" s="3" t="s">
        <v>555</v>
      </c>
      <c r="C445" s="1" t="s">
        <v>16</v>
      </c>
      <c r="D445" s="3"/>
    </row>
    <row r="446" spans="1:4" ht="15.75" customHeight="1" x14ac:dyDescent="0.25">
      <c r="A446" s="2">
        <v>30707468161</v>
      </c>
      <c r="B446" s="3" t="s">
        <v>569</v>
      </c>
      <c r="C446" s="1" t="s">
        <v>16</v>
      </c>
      <c r="D446" s="3"/>
    </row>
    <row r="447" spans="1:4" ht="15.75" customHeight="1" x14ac:dyDescent="0.25">
      <c r="A447" s="2">
        <v>30709153095</v>
      </c>
      <c r="B447" s="3" t="s">
        <v>572</v>
      </c>
      <c r="C447" s="1" t="s">
        <v>16</v>
      </c>
      <c r="D447" s="3"/>
    </row>
    <row r="448" spans="1:4" ht="15.75" customHeight="1" x14ac:dyDescent="0.25">
      <c r="A448" s="2">
        <v>30710386559</v>
      </c>
      <c r="B448" s="3" t="s">
        <v>574</v>
      </c>
      <c r="C448" s="1" t="s">
        <v>16</v>
      </c>
      <c r="D448" s="3"/>
    </row>
    <row r="449" spans="1:4" ht="15.75" customHeight="1" x14ac:dyDescent="0.25">
      <c r="A449" s="2">
        <v>20162031326</v>
      </c>
      <c r="B449" s="3" t="s">
        <v>576</v>
      </c>
      <c r="C449" s="1" t="s">
        <v>16</v>
      </c>
      <c r="D449" s="3"/>
    </row>
    <row r="450" spans="1:4" ht="15.75" customHeight="1" x14ac:dyDescent="0.25">
      <c r="A450" s="2">
        <v>20115545397</v>
      </c>
      <c r="B450" s="3" t="s">
        <v>582</v>
      </c>
      <c r="C450" s="1" t="s">
        <v>16</v>
      </c>
      <c r="D450" s="3"/>
    </row>
    <row r="451" spans="1:4" ht="15.75" customHeight="1" x14ac:dyDescent="0.25">
      <c r="A451" s="2">
        <v>30679067431</v>
      </c>
      <c r="B451" s="3" t="s">
        <v>584</v>
      </c>
      <c r="C451" s="1" t="s">
        <v>16</v>
      </c>
      <c r="D451" s="3"/>
    </row>
    <row r="452" spans="1:4" ht="15.75" customHeight="1" x14ac:dyDescent="0.25">
      <c r="A452" s="2">
        <v>30500833781</v>
      </c>
      <c r="B452" s="3" t="s">
        <v>593</v>
      </c>
      <c r="C452" s="1" t="s">
        <v>16</v>
      </c>
      <c r="D452" s="3"/>
    </row>
    <row r="453" spans="1:4" ht="15.75" customHeight="1" x14ac:dyDescent="0.25">
      <c r="A453" s="2">
        <v>27345827841</v>
      </c>
      <c r="B453" s="3" t="s">
        <v>594</v>
      </c>
      <c r="C453" s="1" t="s">
        <v>16</v>
      </c>
      <c r="D453" s="3"/>
    </row>
    <row r="454" spans="1:4" ht="15.75" customHeight="1" x14ac:dyDescent="0.25">
      <c r="A454" s="2">
        <v>30708600187</v>
      </c>
      <c r="B454" s="3" t="s">
        <v>602</v>
      </c>
      <c r="C454" s="1" t="s">
        <v>16</v>
      </c>
      <c r="D454" s="3"/>
    </row>
    <row r="455" spans="1:4" ht="15.75" customHeight="1" x14ac:dyDescent="0.25">
      <c r="A455" s="2">
        <v>30651861299</v>
      </c>
      <c r="B455" s="3" t="s">
        <v>604</v>
      </c>
      <c r="C455" s="1" t="s">
        <v>16</v>
      </c>
      <c r="D455" s="3"/>
    </row>
    <row r="456" spans="1:4" ht="15.75" customHeight="1" x14ac:dyDescent="0.25">
      <c r="A456" s="2">
        <v>27101420391</v>
      </c>
      <c r="B456" s="3" t="s">
        <v>609</v>
      </c>
      <c r="C456" s="1" t="s">
        <v>16</v>
      </c>
      <c r="D456" s="3"/>
    </row>
    <row r="457" spans="1:4" ht="15.75" customHeight="1" x14ac:dyDescent="0.25">
      <c r="A457" s="2">
        <v>20044447437</v>
      </c>
      <c r="B457" s="3" t="s">
        <v>614</v>
      </c>
      <c r="C457" s="1" t="s">
        <v>16</v>
      </c>
      <c r="D457" s="3"/>
    </row>
    <row r="458" spans="1:4" ht="15.75" customHeight="1" x14ac:dyDescent="0.25">
      <c r="A458" s="2">
        <v>23233422029</v>
      </c>
      <c r="B458" s="3" t="s">
        <v>621</v>
      </c>
      <c r="C458" s="1" t="s">
        <v>16</v>
      </c>
      <c r="D458" s="3"/>
    </row>
    <row r="459" spans="1:4" ht="15.75" customHeight="1" x14ac:dyDescent="0.25">
      <c r="A459" s="2">
        <v>30715672290</v>
      </c>
      <c r="B459" s="3" t="s">
        <v>627</v>
      </c>
      <c r="C459" s="1" t="s">
        <v>16</v>
      </c>
      <c r="D459" s="3"/>
    </row>
    <row r="460" spans="1:4" ht="15.75" customHeight="1" x14ac:dyDescent="0.25">
      <c r="A460" s="2">
        <v>30707042679</v>
      </c>
      <c r="B460" s="3" t="s">
        <v>628</v>
      </c>
      <c r="C460" s="1" t="s">
        <v>16</v>
      </c>
      <c r="D460" s="3"/>
    </row>
    <row r="461" spans="1:4" ht="15.75" customHeight="1" x14ac:dyDescent="0.25">
      <c r="A461" s="2">
        <v>20077901370</v>
      </c>
      <c r="B461" s="3" t="s">
        <v>633</v>
      </c>
      <c r="C461" s="1" t="s">
        <v>16</v>
      </c>
      <c r="D461" s="3"/>
    </row>
    <row r="462" spans="1:4" ht="15.75" customHeight="1" x14ac:dyDescent="0.25">
      <c r="A462" s="2">
        <v>30710816049</v>
      </c>
      <c r="B462" s="3" t="s">
        <v>637</v>
      </c>
      <c r="C462" s="1" t="s">
        <v>16</v>
      </c>
      <c r="D462" s="3"/>
    </row>
    <row r="463" spans="1:4" ht="15.75" customHeight="1" x14ac:dyDescent="0.25">
      <c r="A463" s="2">
        <v>30679139122</v>
      </c>
      <c r="B463" s="3" t="s">
        <v>643</v>
      </c>
      <c r="C463" s="1" t="s">
        <v>16</v>
      </c>
      <c r="D463" s="3"/>
    </row>
    <row r="464" spans="1:4" ht="15.75" customHeight="1" x14ac:dyDescent="0.25">
      <c r="A464" s="2">
        <v>30708469986</v>
      </c>
      <c r="B464" s="3" t="s">
        <v>649</v>
      </c>
      <c r="C464" s="1" t="s">
        <v>16</v>
      </c>
      <c r="D464" s="3"/>
    </row>
    <row r="465" spans="1:4" ht="15.75" customHeight="1" x14ac:dyDescent="0.25">
      <c r="A465" s="2">
        <v>30715772783</v>
      </c>
      <c r="B465" s="3" t="s">
        <v>657</v>
      </c>
      <c r="C465" s="1" t="s">
        <v>16</v>
      </c>
      <c r="D465" s="3"/>
    </row>
    <row r="466" spans="1:4" ht="15.75" customHeight="1" x14ac:dyDescent="0.25">
      <c r="A466" s="2">
        <v>20269013746</v>
      </c>
      <c r="B466" s="3" t="s">
        <v>659</v>
      </c>
      <c r="C466" s="1" t="s">
        <v>16</v>
      </c>
      <c r="D466" s="3"/>
    </row>
    <row r="467" spans="1:4" ht="15.75" customHeight="1" x14ac:dyDescent="0.25">
      <c r="A467" s="2">
        <v>20291935401</v>
      </c>
      <c r="B467" s="3" t="s">
        <v>660</v>
      </c>
      <c r="C467" s="1" t="s">
        <v>16</v>
      </c>
      <c r="D467" s="3"/>
    </row>
    <row r="468" spans="1:4" ht="15.75" customHeight="1" x14ac:dyDescent="0.25">
      <c r="A468" s="2">
        <v>20081262897</v>
      </c>
      <c r="B468" s="3" t="s">
        <v>662</v>
      </c>
      <c r="C468" s="1" t="s">
        <v>16</v>
      </c>
      <c r="D468" s="3"/>
    </row>
    <row r="469" spans="1:4" ht="15.75" customHeight="1" x14ac:dyDescent="0.25">
      <c r="A469" s="2">
        <v>30713979704</v>
      </c>
      <c r="B469" s="3" t="s">
        <v>675</v>
      </c>
      <c r="C469" s="1" t="s">
        <v>16</v>
      </c>
      <c r="D469" s="3"/>
    </row>
    <row r="470" spans="1:4" ht="15.75" customHeight="1" x14ac:dyDescent="0.25">
      <c r="A470" s="2">
        <v>30598946694</v>
      </c>
      <c r="B470" s="3" t="s">
        <v>681</v>
      </c>
      <c r="C470" s="1" t="s">
        <v>16</v>
      </c>
      <c r="D470" s="3"/>
    </row>
    <row r="471" spans="1:4" ht="15.75" customHeight="1" x14ac:dyDescent="0.25">
      <c r="A471" s="2">
        <v>20232991527</v>
      </c>
      <c r="B471" s="3" t="s">
        <v>683</v>
      </c>
      <c r="C471" s="1" t="s">
        <v>16</v>
      </c>
      <c r="D471" s="3"/>
    </row>
    <row r="472" spans="1:4" ht="15.75" customHeight="1" x14ac:dyDescent="0.25">
      <c r="A472" s="2">
        <v>30715564749</v>
      </c>
      <c r="B472" s="3" t="s">
        <v>696</v>
      </c>
      <c r="C472" s="1" t="s">
        <v>16</v>
      </c>
      <c r="D472" s="3"/>
    </row>
    <row r="473" spans="1:4" ht="15.75" customHeight="1" x14ac:dyDescent="0.25">
      <c r="A473" s="2">
        <v>30625911334</v>
      </c>
      <c r="B473" s="3" t="s">
        <v>697</v>
      </c>
      <c r="C473" s="1" t="s">
        <v>16</v>
      </c>
      <c r="D473" s="3"/>
    </row>
    <row r="474" spans="1:4" ht="15.75" customHeight="1" x14ac:dyDescent="0.25">
      <c r="A474" s="2">
        <v>30714187658</v>
      </c>
      <c r="B474" s="3" t="s">
        <v>703</v>
      </c>
      <c r="C474" s="1" t="s">
        <v>16</v>
      </c>
      <c r="D474" s="3"/>
    </row>
    <row r="475" spans="1:4" ht="15.75" customHeight="1" x14ac:dyDescent="0.25">
      <c r="A475" s="2">
        <v>30504854023</v>
      </c>
      <c r="B475" s="3" t="s">
        <v>707</v>
      </c>
      <c r="C475" s="1" t="s">
        <v>16</v>
      </c>
      <c r="D475" s="3"/>
    </row>
    <row r="476" spans="1:4" ht="15.75" customHeight="1" x14ac:dyDescent="0.25">
      <c r="A476" s="2">
        <v>30714911976</v>
      </c>
      <c r="B476" s="3" t="s">
        <v>715</v>
      </c>
      <c r="C476" s="1" t="s">
        <v>16</v>
      </c>
      <c r="D476" s="3"/>
    </row>
    <row r="477" spans="1:4" ht="15.75" customHeight="1" x14ac:dyDescent="0.25">
      <c r="A477" s="2">
        <v>30708387114</v>
      </c>
      <c r="B477" s="3" t="s">
        <v>717</v>
      </c>
      <c r="C477" s="1" t="s">
        <v>16</v>
      </c>
      <c r="D477" s="3"/>
    </row>
    <row r="478" spans="1:4" ht="15.75" customHeight="1" x14ac:dyDescent="0.25">
      <c r="A478" s="2">
        <v>30709059471</v>
      </c>
      <c r="B478" s="3" t="s">
        <v>718</v>
      </c>
      <c r="C478" s="1" t="s">
        <v>16</v>
      </c>
      <c r="D478" s="3"/>
    </row>
    <row r="479" spans="1:4" ht="15.75" customHeight="1" x14ac:dyDescent="0.25">
      <c r="A479" s="2">
        <v>30702843576</v>
      </c>
      <c r="B479" s="3" t="s">
        <v>720</v>
      </c>
      <c r="C479" s="1" t="s">
        <v>16</v>
      </c>
      <c r="D479" s="3"/>
    </row>
    <row r="480" spans="1:4" ht="15.75" customHeight="1" x14ac:dyDescent="0.25">
      <c r="A480" s="2">
        <v>30611371213</v>
      </c>
      <c r="B480" s="3" t="s">
        <v>730</v>
      </c>
      <c r="C480" s="1" t="s">
        <v>16</v>
      </c>
      <c r="D480" s="3"/>
    </row>
    <row r="481" spans="1:4" ht="15.75" customHeight="1" x14ac:dyDescent="0.25">
      <c r="A481" s="2">
        <v>30500597557</v>
      </c>
      <c r="B481" s="3" t="s">
        <v>730</v>
      </c>
      <c r="C481" s="1" t="s">
        <v>16</v>
      </c>
      <c r="D481" s="3"/>
    </row>
    <row r="482" spans="1:4" ht="15.75" customHeight="1" x14ac:dyDescent="0.25">
      <c r="A482" s="2">
        <v>30661498575</v>
      </c>
      <c r="B482" s="3" t="s">
        <v>734</v>
      </c>
      <c r="C482" s="1" t="s">
        <v>16</v>
      </c>
      <c r="D482" s="3"/>
    </row>
    <row r="483" spans="1:4" ht="15.75" customHeight="1" x14ac:dyDescent="0.25">
      <c r="A483" s="2">
        <v>33709738459</v>
      </c>
      <c r="B483" s="3" t="s">
        <v>735</v>
      </c>
      <c r="C483" s="1" t="s">
        <v>16</v>
      </c>
      <c r="D483" s="3"/>
    </row>
    <row r="484" spans="1:4" ht="15.75" customHeight="1" x14ac:dyDescent="0.25">
      <c r="A484" s="2">
        <v>30696246234</v>
      </c>
      <c r="B484" s="3" t="s">
        <v>736</v>
      </c>
      <c r="C484" s="1" t="s">
        <v>16</v>
      </c>
      <c r="D484" s="3"/>
    </row>
    <row r="485" spans="1:4" ht="15.75" customHeight="1" x14ac:dyDescent="0.25">
      <c r="A485" s="2">
        <v>30707080198</v>
      </c>
      <c r="B485" s="3" t="s">
        <v>739</v>
      </c>
      <c r="C485" s="1" t="s">
        <v>16</v>
      </c>
      <c r="D485" s="3"/>
    </row>
    <row r="486" spans="1:4" ht="15.75" customHeight="1" x14ac:dyDescent="0.25">
      <c r="A486" s="2">
        <v>30643862928</v>
      </c>
      <c r="B486" s="3" t="s">
        <v>740</v>
      </c>
      <c r="C486" s="1" t="s">
        <v>16</v>
      </c>
      <c r="D486" s="3"/>
    </row>
    <row r="487" spans="1:4" ht="15.75" customHeight="1" x14ac:dyDescent="0.25">
      <c r="A487" s="2">
        <v>30591633984</v>
      </c>
      <c r="B487" s="3" t="s">
        <v>747</v>
      </c>
      <c r="C487" s="1" t="s">
        <v>16</v>
      </c>
      <c r="D487" s="3"/>
    </row>
    <row r="488" spans="1:4" ht="15.75" customHeight="1" x14ac:dyDescent="0.25">
      <c r="A488" s="2">
        <v>30588917157</v>
      </c>
      <c r="B488" s="3" t="s">
        <v>749</v>
      </c>
      <c r="C488" s="1" t="s">
        <v>16</v>
      </c>
      <c r="D488" s="3"/>
    </row>
    <row r="489" spans="1:4" ht="15.75" customHeight="1" x14ac:dyDescent="0.25">
      <c r="A489" s="2">
        <v>30715401114</v>
      </c>
      <c r="B489" s="3" t="s">
        <v>752</v>
      </c>
      <c r="C489" s="1" t="s">
        <v>16</v>
      </c>
      <c r="D489" s="3"/>
    </row>
    <row r="490" spans="1:4" ht="15.75" customHeight="1" x14ac:dyDescent="0.25">
      <c r="A490" s="2">
        <v>20277890306</v>
      </c>
      <c r="B490" s="3" t="s">
        <v>764</v>
      </c>
      <c r="C490" s="1" t="s">
        <v>16</v>
      </c>
      <c r="D490" s="3"/>
    </row>
    <row r="491" spans="1:4" ht="15.75" customHeight="1" x14ac:dyDescent="0.25">
      <c r="A491" s="2">
        <v>30502174904</v>
      </c>
      <c r="B491" s="3" t="s">
        <v>770</v>
      </c>
      <c r="C491" s="1" t="s">
        <v>16</v>
      </c>
      <c r="D491" s="3"/>
    </row>
    <row r="492" spans="1:4" ht="15.75" customHeight="1" x14ac:dyDescent="0.25">
      <c r="A492" s="2">
        <v>30577428618</v>
      </c>
      <c r="B492" s="3" t="s">
        <v>775</v>
      </c>
      <c r="C492" s="1" t="s">
        <v>16</v>
      </c>
      <c r="D492" s="3"/>
    </row>
    <row r="493" spans="1:4" ht="15.75" customHeight="1" x14ac:dyDescent="0.25">
      <c r="A493" s="2">
        <v>20304493039</v>
      </c>
      <c r="B493" s="3" t="s">
        <v>779</v>
      </c>
      <c r="C493" s="1" t="s">
        <v>16</v>
      </c>
      <c r="D493" s="3"/>
    </row>
    <row r="494" spans="1:4" ht="15.75" customHeight="1" x14ac:dyDescent="0.25">
      <c r="A494" s="2">
        <v>33517024819</v>
      </c>
      <c r="B494" s="3" t="s">
        <v>782</v>
      </c>
      <c r="C494" s="1" t="s">
        <v>16</v>
      </c>
      <c r="D494" s="3"/>
    </row>
    <row r="495" spans="1:4" ht="15.75" customHeight="1" x14ac:dyDescent="0.25">
      <c r="A495" s="2">
        <v>30709568260</v>
      </c>
      <c r="B495" s="3" t="s">
        <v>791</v>
      </c>
      <c r="C495" s="1" t="s">
        <v>16</v>
      </c>
      <c r="D495" s="3"/>
    </row>
    <row r="496" spans="1:4" ht="15.75" customHeight="1" x14ac:dyDescent="0.25">
      <c r="A496" s="2">
        <v>27163348190</v>
      </c>
      <c r="B496" s="3" t="s">
        <v>798</v>
      </c>
      <c r="C496" s="1" t="s">
        <v>16</v>
      </c>
      <c r="D496" s="3"/>
    </row>
    <row r="497" spans="1:4" ht="15.75" customHeight="1" x14ac:dyDescent="0.25">
      <c r="A497" s="2">
        <v>30517345039</v>
      </c>
      <c r="B497" s="3" t="s">
        <v>799</v>
      </c>
      <c r="C497" s="1" t="s">
        <v>16</v>
      </c>
      <c r="D497" s="3"/>
    </row>
    <row r="498" spans="1:4" ht="15.75" customHeight="1" x14ac:dyDescent="0.25">
      <c r="A498" s="2">
        <v>20082988786</v>
      </c>
      <c r="B498" s="3" t="s">
        <v>803</v>
      </c>
      <c r="C498" s="1" t="s">
        <v>16</v>
      </c>
      <c r="D498" s="3"/>
    </row>
    <row r="499" spans="1:4" ht="15.75" customHeight="1" x14ac:dyDescent="0.25">
      <c r="A499" s="2">
        <v>30707370552</v>
      </c>
      <c r="B499" s="3" t="s">
        <v>806</v>
      </c>
      <c r="C499" s="1" t="s">
        <v>16</v>
      </c>
      <c r="D499" s="3"/>
    </row>
    <row r="500" spans="1:4" ht="15.75" customHeight="1" x14ac:dyDescent="0.25">
      <c r="A500" s="2">
        <v>30715645579</v>
      </c>
      <c r="B500" s="3" t="s">
        <v>810</v>
      </c>
      <c r="C500" s="1" t="s">
        <v>16</v>
      </c>
      <c r="D500" s="3"/>
    </row>
    <row r="501" spans="1:4" ht="15.75" customHeight="1" x14ac:dyDescent="0.25">
      <c r="A501" s="2">
        <v>30709836230</v>
      </c>
      <c r="B501" s="3" t="s">
        <v>814</v>
      </c>
      <c r="C501" s="1" t="s">
        <v>16</v>
      </c>
      <c r="D501" s="3"/>
    </row>
    <row r="502" spans="1:4" ht="15.75" customHeight="1" x14ac:dyDescent="0.25">
      <c r="A502" s="2">
        <v>23181104589</v>
      </c>
      <c r="B502" s="3" t="s">
        <v>816</v>
      </c>
      <c r="C502" s="1" t="s">
        <v>16</v>
      </c>
      <c r="D502" s="3"/>
    </row>
    <row r="503" spans="1:4" ht="15.75" customHeight="1" x14ac:dyDescent="0.25">
      <c r="A503" s="2">
        <v>30711713138</v>
      </c>
      <c r="B503" s="3" t="s">
        <v>817</v>
      </c>
      <c r="C503" s="1" t="s">
        <v>16</v>
      </c>
      <c r="D503" s="3"/>
    </row>
    <row r="504" spans="1:4" ht="15.75" customHeight="1" x14ac:dyDescent="0.25">
      <c r="A504" s="2">
        <v>30715141201</v>
      </c>
      <c r="B504" s="3" t="s">
        <v>820</v>
      </c>
      <c r="C504" s="1" t="s">
        <v>16</v>
      </c>
      <c r="D504" s="3"/>
    </row>
    <row r="505" spans="1:4" ht="15.75" customHeight="1" x14ac:dyDescent="0.25">
      <c r="A505" s="2">
        <v>30709214078</v>
      </c>
      <c r="B505" s="3" t="s">
        <v>821</v>
      </c>
      <c r="C505" s="1" t="s">
        <v>16</v>
      </c>
      <c r="D505" s="3"/>
    </row>
    <row r="506" spans="1:4" ht="15.75" customHeight="1" x14ac:dyDescent="0.25">
      <c r="A506" s="2">
        <v>30708376554</v>
      </c>
      <c r="B506" s="3" t="s">
        <v>825</v>
      </c>
      <c r="C506" s="1" t="s">
        <v>16</v>
      </c>
      <c r="D506" s="3"/>
    </row>
    <row r="507" spans="1:4" ht="15.75" customHeight="1" x14ac:dyDescent="0.25">
      <c r="A507" s="2">
        <v>30612958528</v>
      </c>
      <c r="B507" s="3" t="s">
        <v>826</v>
      </c>
      <c r="C507" s="1" t="s">
        <v>16</v>
      </c>
      <c r="D507" s="3"/>
    </row>
    <row r="508" spans="1:4" ht="15.75" customHeight="1" x14ac:dyDescent="0.25">
      <c r="A508" s="2">
        <v>23106878269</v>
      </c>
      <c r="B508" s="3" t="s">
        <v>836</v>
      </c>
      <c r="C508" s="1" t="s">
        <v>16</v>
      </c>
      <c r="D508" s="3"/>
    </row>
    <row r="509" spans="1:4" ht="15.75" customHeight="1" x14ac:dyDescent="0.25">
      <c r="A509" s="2">
        <v>20078690284</v>
      </c>
      <c r="B509" s="3" t="s">
        <v>840</v>
      </c>
      <c r="C509" s="1" t="s">
        <v>16</v>
      </c>
      <c r="D509" s="3"/>
    </row>
    <row r="510" spans="1:4" ht="15.75" customHeight="1" x14ac:dyDescent="0.25">
      <c r="A510" s="2">
        <v>33715567089</v>
      </c>
      <c r="B510" s="3" t="s">
        <v>842</v>
      </c>
      <c r="C510" s="1" t="s">
        <v>16</v>
      </c>
      <c r="D510" s="3"/>
    </row>
    <row r="511" spans="1:4" ht="15.75" customHeight="1" x14ac:dyDescent="0.25">
      <c r="A511" s="2">
        <v>20120875141</v>
      </c>
      <c r="B511" s="3" t="s">
        <v>843</v>
      </c>
      <c r="C511" s="1" t="s">
        <v>16</v>
      </c>
      <c r="D511" s="3"/>
    </row>
    <row r="512" spans="1:4" ht="15.75" customHeight="1" x14ac:dyDescent="0.25">
      <c r="A512" s="2">
        <v>20110668733</v>
      </c>
      <c r="B512" s="3" t="s">
        <v>847</v>
      </c>
      <c r="C512" s="1" t="s">
        <v>16</v>
      </c>
      <c r="D512" s="3"/>
    </row>
    <row r="513" spans="1:4" ht="15.75" customHeight="1" x14ac:dyDescent="0.25">
      <c r="A513" s="2">
        <v>20233320294</v>
      </c>
      <c r="B513" s="3" t="s">
        <v>853</v>
      </c>
      <c r="C513" s="1" t="s">
        <v>16</v>
      </c>
      <c r="D513" s="3"/>
    </row>
    <row r="514" spans="1:4" ht="15.75" customHeight="1" x14ac:dyDescent="0.25">
      <c r="A514" s="2">
        <v>20043702611</v>
      </c>
      <c r="B514" s="3" t="s">
        <v>854</v>
      </c>
      <c r="C514" s="1" t="s">
        <v>16</v>
      </c>
      <c r="D514" s="3"/>
    </row>
    <row r="515" spans="1:4" ht="15.75" customHeight="1" x14ac:dyDescent="0.25">
      <c r="A515" s="2">
        <v>30521596135</v>
      </c>
      <c r="B515" s="3" t="s">
        <v>856</v>
      </c>
      <c r="C515" s="1" t="s">
        <v>16</v>
      </c>
      <c r="D515" s="3"/>
    </row>
    <row r="516" spans="1:4" ht="15.75" customHeight="1" x14ac:dyDescent="0.25">
      <c r="A516" s="2">
        <v>30540721722</v>
      </c>
      <c r="B516" s="3" t="s">
        <v>860</v>
      </c>
      <c r="C516" s="1" t="s">
        <v>16</v>
      </c>
      <c r="D516" s="3"/>
    </row>
    <row r="517" spans="1:4" ht="15.75" customHeight="1" x14ac:dyDescent="0.25">
      <c r="A517" s="2">
        <v>30558706836</v>
      </c>
      <c r="B517" s="3" t="s">
        <v>864</v>
      </c>
      <c r="C517" s="1" t="s">
        <v>16</v>
      </c>
      <c r="D517" s="3"/>
    </row>
    <row r="518" spans="1:4" ht="15.75" customHeight="1" x14ac:dyDescent="0.25">
      <c r="A518" s="2">
        <v>30500529071</v>
      </c>
      <c r="B518" s="3" t="s">
        <v>866</v>
      </c>
      <c r="C518" s="1" t="s">
        <v>16</v>
      </c>
      <c r="D518" s="3"/>
    </row>
    <row r="519" spans="1:4" ht="15.75" customHeight="1" x14ac:dyDescent="0.25">
      <c r="A519" s="2">
        <v>30711553564</v>
      </c>
      <c r="B519" s="3" t="s">
        <v>869</v>
      </c>
      <c r="C519" s="1" t="s">
        <v>16</v>
      </c>
      <c r="D519" s="3"/>
    </row>
    <row r="520" spans="1:4" ht="15.75" customHeight="1" x14ac:dyDescent="0.25">
      <c r="A520" s="2">
        <v>30714079405</v>
      </c>
      <c r="B520" s="3" t="s">
        <v>873</v>
      </c>
      <c r="C520" s="1" t="s">
        <v>16</v>
      </c>
      <c r="D520" s="3"/>
    </row>
    <row r="521" spans="1:4" ht="15.75" customHeight="1" x14ac:dyDescent="0.25">
      <c r="A521" s="2">
        <v>30631047145</v>
      </c>
      <c r="B521" s="3" t="s">
        <v>877</v>
      </c>
      <c r="C521" s="1" t="s">
        <v>16</v>
      </c>
      <c r="D521" s="3"/>
    </row>
    <row r="522" spans="1:4" ht="15.75" customHeight="1" x14ac:dyDescent="0.25">
      <c r="A522" s="2">
        <v>30598960093</v>
      </c>
      <c r="B522" s="3" t="s">
        <v>891</v>
      </c>
      <c r="C522" s="1" t="s">
        <v>16</v>
      </c>
      <c r="D522" s="3"/>
    </row>
    <row r="523" spans="1:4" ht="15.75" customHeight="1" x14ac:dyDescent="0.25">
      <c r="A523" s="2">
        <v>30715504037</v>
      </c>
      <c r="B523" s="3" t="s">
        <v>894</v>
      </c>
      <c r="C523" s="1" t="s">
        <v>16</v>
      </c>
      <c r="D523" s="3"/>
    </row>
    <row r="524" spans="1:4" ht="15.75" customHeight="1" x14ac:dyDescent="0.25">
      <c r="A524" s="2">
        <v>30688387201</v>
      </c>
      <c r="B524" s="3" t="s">
        <v>900</v>
      </c>
      <c r="C524" s="1" t="s">
        <v>16</v>
      </c>
      <c r="D524" s="3"/>
    </row>
    <row r="525" spans="1:4" ht="15.75" customHeight="1" x14ac:dyDescent="0.25">
      <c r="A525" s="2">
        <v>27066622997</v>
      </c>
      <c r="B525" s="3" t="s">
        <v>901</v>
      </c>
      <c r="C525" s="1" t="s">
        <v>16</v>
      </c>
      <c r="D525" s="3"/>
    </row>
    <row r="526" spans="1:4" ht="15.75" customHeight="1" x14ac:dyDescent="0.25">
      <c r="A526" s="2">
        <v>30643416375</v>
      </c>
      <c r="B526" s="3" t="s">
        <v>902</v>
      </c>
      <c r="C526" s="1" t="s">
        <v>16</v>
      </c>
      <c r="D526" s="3"/>
    </row>
    <row r="527" spans="1:4" ht="15.75" customHeight="1" x14ac:dyDescent="0.25">
      <c r="A527" s="2">
        <v>30714710652</v>
      </c>
      <c r="B527" s="3" t="s">
        <v>904</v>
      </c>
      <c r="C527" s="1" t="s">
        <v>16</v>
      </c>
      <c r="D527" s="3"/>
    </row>
    <row r="528" spans="1:4" ht="15.75" customHeight="1" x14ac:dyDescent="0.25">
      <c r="A528" s="2">
        <v>20325751453</v>
      </c>
      <c r="B528" s="3" t="s">
        <v>910</v>
      </c>
      <c r="C528" s="1" t="s">
        <v>16</v>
      </c>
      <c r="D528" s="3"/>
    </row>
    <row r="529" spans="1:4" ht="15.75" customHeight="1" x14ac:dyDescent="0.25">
      <c r="A529" s="2">
        <v>30699425520</v>
      </c>
      <c r="B529" s="3" t="s">
        <v>912</v>
      </c>
      <c r="C529" s="1" t="s">
        <v>16</v>
      </c>
      <c r="D529" s="3"/>
    </row>
    <row r="530" spans="1:4" ht="15.75" customHeight="1" x14ac:dyDescent="0.25">
      <c r="A530" s="2">
        <v>30715701932</v>
      </c>
      <c r="B530" s="3" t="s">
        <v>914</v>
      </c>
      <c r="C530" s="1" t="s">
        <v>16</v>
      </c>
      <c r="D530" s="3"/>
    </row>
    <row r="531" spans="1:4" ht="15.75" customHeight="1" x14ac:dyDescent="0.25">
      <c r="A531" s="2">
        <v>30505459179</v>
      </c>
      <c r="B531" s="3" t="s">
        <v>918</v>
      </c>
      <c r="C531" s="1" t="s">
        <v>16</v>
      </c>
      <c r="D531" s="3"/>
    </row>
    <row r="532" spans="1:4" ht="15.75" customHeight="1" x14ac:dyDescent="0.25">
      <c r="A532" s="2">
        <v>30707057587</v>
      </c>
      <c r="B532" s="3" t="s">
        <v>924</v>
      </c>
      <c r="C532" s="1" t="s">
        <v>16</v>
      </c>
      <c r="D532" s="3"/>
    </row>
    <row r="533" spans="1:4" ht="15.75" customHeight="1" x14ac:dyDescent="0.25">
      <c r="A533" s="2">
        <v>30710177658</v>
      </c>
      <c r="B533" s="3" t="s">
        <v>925</v>
      </c>
      <c r="C533" s="1" t="s">
        <v>16</v>
      </c>
      <c r="D533" s="3"/>
    </row>
    <row r="534" spans="1:4" ht="15.75" customHeight="1" x14ac:dyDescent="0.25">
      <c r="A534" s="2">
        <v>30711451567</v>
      </c>
      <c r="B534" s="3" t="s">
        <v>927</v>
      </c>
      <c r="C534" s="1" t="s">
        <v>16</v>
      </c>
      <c r="D534" s="3"/>
    </row>
    <row r="535" spans="1:4" ht="15.75" customHeight="1" x14ac:dyDescent="0.25">
      <c r="A535" s="2">
        <v>30710725116</v>
      </c>
      <c r="B535" s="3" t="s">
        <v>929</v>
      </c>
      <c r="C535" s="1" t="s">
        <v>16</v>
      </c>
      <c r="D535" s="3"/>
    </row>
    <row r="536" spans="1:4" ht="15.75" customHeight="1" x14ac:dyDescent="0.25">
      <c r="A536" s="2">
        <v>30715259784</v>
      </c>
      <c r="B536" s="3" t="s">
        <v>945</v>
      </c>
      <c r="C536" s="1" t="s">
        <v>16</v>
      </c>
      <c r="D536" s="3"/>
    </row>
    <row r="537" spans="1:4" ht="15.75" customHeight="1" x14ac:dyDescent="0.25">
      <c r="A537" s="2">
        <v>30709305618</v>
      </c>
      <c r="B537" s="3" t="s">
        <v>946</v>
      </c>
      <c r="C537" s="1" t="s">
        <v>16</v>
      </c>
      <c r="D537" s="3"/>
    </row>
    <row r="538" spans="1:4" ht="15.75" customHeight="1" x14ac:dyDescent="0.25">
      <c r="A538" s="2">
        <v>30712317872</v>
      </c>
      <c r="B538" s="3" t="s">
        <v>954</v>
      </c>
      <c r="C538" s="1" t="s">
        <v>16</v>
      </c>
      <c r="D538" s="3"/>
    </row>
    <row r="539" spans="1:4" ht="15.75" customHeight="1" x14ac:dyDescent="0.25">
      <c r="A539" s="2">
        <v>30616031143</v>
      </c>
      <c r="B539" s="3" t="s">
        <v>959</v>
      </c>
      <c r="C539" s="1" t="s">
        <v>16</v>
      </c>
      <c r="D539" s="3"/>
    </row>
    <row r="540" spans="1:4" ht="15.75" customHeight="1" x14ac:dyDescent="0.25">
      <c r="A540" s="2">
        <v>20330855038</v>
      </c>
      <c r="B540" s="3" t="s">
        <v>967</v>
      </c>
      <c r="C540" s="1" t="s">
        <v>16</v>
      </c>
      <c r="D540" s="3"/>
    </row>
    <row r="541" spans="1:4" ht="15.75" customHeight="1" x14ac:dyDescent="0.25">
      <c r="A541" s="2">
        <v>30646150406</v>
      </c>
      <c r="B541" s="3" t="s">
        <v>969</v>
      </c>
      <c r="C541" s="1" t="s">
        <v>16</v>
      </c>
      <c r="D541" s="3"/>
    </row>
    <row r="542" spans="1:4" ht="15.75" customHeight="1" x14ac:dyDescent="0.25">
      <c r="A542" s="2">
        <v>30658325104</v>
      </c>
      <c r="B542" s="3" t="s">
        <v>980</v>
      </c>
      <c r="C542" s="1" t="s">
        <v>16</v>
      </c>
      <c r="D542" s="3"/>
    </row>
    <row r="543" spans="1:4" ht="15.75" customHeight="1" x14ac:dyDescent="0.25">
      <c r="A543" s="2">
        <v>20259693609</v>
      </c>
      <c r="B543" s="3" t="s">
        <v>981</v>
      </c>
      <c r="C543" s="1" t="s">
        <v>16</v>
      </c>
      <c r="D543" s="3"/>
    </row>
    <row r="544" spans="1:4" ht="15.75" customHeight="1" x14ac:dyDescent="0.25">
      <c r="A544" s="2">
        <v>20247225243</v>
      </c>
      <c r="B544" s="3" t="s">
        <v>987</v>
      </c>
      <c r="C544" s="1" t="s">
        <v>16</v>
      </c>
      <c r="D544" s="3"/>
    </row>
    <row r="545" spans="1:4" ht="15.75" customHeight="1" x14ac:dyDescent="0.25">
      <c r="A545" s="2">
        <v>20077107186</v>
      </c>
      <c r="B545" s="3" t="s">
        <v>992</v>
      </c>
      <c r="C545" s="1" t="s">
        <v>16</v>
      </c>
      <c r="D545" s="3"/>
    </row>
    <row r="546" spans="1:4" ht="15.75" customHeight="1" x14ac:dyDescent="0.25">
      <c r="A546" s="2">
        <v>20287832649</v>
      </c>
      <c r="B546" s="3" t="s">
        <v>997</v>
      </c>
      <c r="C546" s="1" t="s">
        <v>16</v>
      </c>
      <c r="D546" s="3"/>
    </row>
    <row r="547" spans="1:4" ht="15.75" customHeight="1" x14ac:dyDescent="0.25">
      <c r="A547" s="2">
        <v>27211421202</v>
      </c>
      <c r="B547" s="3" t="s">
        <v>999</v>
      </c>
      <c r="C547" s="1" t="s">
        <v>16</v>
      </c>
      <c r="D547" s="3"/>
    </row>
    <row r="548" spans="1:4" ht="15.75" customHeight="1" x14ac:dyDescent="0.25">
      <c r="A548" s="2">
        <v>30708648414</v>
      </c>
      <c r="B548" s="3" t="s">
        <v>1001</v>
      </c>
      <c r="C548" s="1" t="s">
        <v>16</v>
      </c>
      <c r="D548" s="3"/>
    </row>
    <row r="549" spans="1:4" ht="15.75" customHeight="1" x14ac:dyDescent="0.25">
      <c r="A549" s="2">
        <v>30715609807</v>
      </c>
      <c r="B549" s="3" t="s">
        <v>1003</v>
      </c>
      <c r="C549" s="1" t="s">
        <v>16</v>
      </c>
      <c r="D549" s="3"/>
    </row>
    <row r="550" spans="1:4" ht="15.75" customHeight="1" x14ac:dyDescent="0.25">
      <c r="A550" s="2">
        <v>20165292929</v>
      </c>
      <c r="B550" s="3" t="s">
        <v>1007</v>
      </c>
      <c r="C550" s="1" t="s">
        <v>16</v>
      </c>
      <c r="D550" s="3"/>
    </row>
    <row r="551" spans="1:4" ht="15.75" customHeight="1" x14ac:dyDescent="0.25">
      <c r="A551" s="2">
        <v>20208727347</v>
      </c>
      <c r="B551" s="3" t="s">
        <v>1012</v>
      </c>
      <c r="C551" s="1" t="s">
        <v>16</v>
      </c>
      <c r="D551" s="3"/>
    </row>
    <row r="552" spans="1:4" ht="15.75" customHeight="1" x14ac:dyDescent="0.25">
      <c r="A552" s="2">
        <v>20231247239</v>
      </c>
      <c r="B552" s="3" t="s">
        <v>1013</v>
      </c>
      <c r="C552" s="1" t="s">
        <v>16</v>
      </c>
      <c r="D552" s="3"/>
    </row>
    <row r="553" spans="1:4" ht="15.75" customHeight="1" x14ac:dyDescent="0.25">
      <c r="A553" s="2">
        <v>30585558733</v>
      </c>
      <c r="B553" s="3" t="s">
        <v>1015</v>
      </c>
      <c r="C553" s="1" t="s">
        <v>16</v>
      </c>
      <c r="D553" s="3"/>
    </row>
    <row r="554" spans="1:4" ht="15.75" customHeight="1" x14ac:dyDescent="0.25">
      <c r="A554" s="2">
        <v>30578204713</v>
      </c>
      <c r="B554" s="3" t="s">
        <v>1016</v>
      </c>
      <c r="C554" s="1" t="s">
        <v>16</v>
      </c>
      <c r="D554" s="3"/>
    </row>
    <row r="555" spans="1:4" ht="15.75" customHeight="1" x14ac:dyDescent="0.25">
      <c r="A555" s="2">
        <v>30707512454</v>
      </c>
      <c r="B555" s="3" t="s">
        <v>1019</v>
      </c>
      <c r="C555" s="1" t="s">
        <v>16</v>
      </c>
      <c r="D555" s="3"/>
    </row>
    <row r="556" spans="1:4" ht="15.75" customHeight="1" x14ac:dyDescent="0.25">
      <c r="A556" s="2">
        <v>20119169306</v>
      </c>
      <c r="B556" s="3" t="s">
        <v>1032</v>
      </c>
      <c r="C556" s="1" t="s">
        <v>16</v>
      </c>
      <c r="D556" s="3"/>
    </row>
    <row r="557" spans="1:4" ht="15.75" customHeight="1" x14ac:dyDescent="0.25">
      <c r="A557" s="2">
        <v>30708247770</v>
      </c>
      <c r="B557" s="3" t="s">
        <v>1033</v>
      </c>
      <c r="C557" s="1" t="s">
        <v>16</v>
      </c>
      <c r="D557" s="3"/>
    </row>
    <row r="558" spans="1:4" ht="15.75" customHeight="1" x14ac:dyDescent="0.25">
      <c r="A558" s="2">
        <v>30690966790</v>
      </c>
      <c r="B558" s="3" t="s">
        <v>1034</v>
      </c>
      <c r="C558" s="1" t="s">
        <v>16</v>
      </c>
      <c r="D558" s="3"/>
    </row>
    <row r="559" spans="1:4" ht="15.75" customHeight="1" x14ac:dyDescent="0.25">
      <c r="A559" s="2">
        <v>30709362875</v>
      </c>
      <c r="B559" s="3" t="s">
        <v>1036</v>
      </c>
      <c r="C559" s="1" t="s">
        <v>16</v>
      </c>
      <c r="D559" s="3"/>
    </row>
    <row r="560" spans="1:4" ht="15.75" customHeight="1" x14ac:dyDescent="0.25">
      <c r="A560" s="2">
        <v>30710212127</v>
      </c>
      <c r="B560" s="3" t="s">
        <v>1037</v>
      </c>
      <c r="C560" s="1" t="s">
        <v>16</v>
      </c>
      <c r="D560" s="3"/>
    </row>
    <row r="561" spans="1:4" ht="15.75" customHeight="1" x14ac:dyDescent="0.25">
      <c r="A561" s="2">
        <v>23113854499</v>
      </c>
      <c r="B561" s="3" t="s">
        <v>1038</v>
      </c>
      <c r="C561" s="1" t="s">
        <v>16</v>
      </c>
      <c r="D561" s="3"/>
    </row>
    <row r="562" spans="1:4" ht="15.75" customHeight="1" x14ac:dyDescent="0.25">
      <c r="A562" s="2">
        <v>27234745544</v>
      </c>
      <c r="B562" s="3" t="s">
        <v>1039</v>
      </c>
      <c r="C562" s="1" t="s">
        <v>16</v>
      </c>
      <c r="D562" s="3"/>
    </row>
    <row r="563" spans="1:4" ht="15.75" customHeight="1" x14ac:dyDescent="0.25">
      <c r="A563" s="2">
        <v>20288814466</v>
      </c>
      <c r="B563" s="3" t="s">
        <v>1046</v>
      </c>
      <c r="C563" s="1" t="s">
        <v>16</v>
      </c>
      <c r="D563" s="3"/>
    </row>
    <row r="564" spans="1:4" ht="15.75" customHeight="1" x14ac:dyDescent="0.25">
      <c r="A564" s="2">
        <v>30504928930</v>
      </c>
      <c r="B564" s="3" t="s">
        <v>1047</v>
      </c>
      <c r="C564" s="1" t="s">
        <v>16</v>
      </c>
      <c r="D564" s="3"/>
    </row>
    <row r="565" spans="1:4" ht="15.75" customHeight="1" x14ac:dyDescent="0.25">
      <c r="A565" s="2">
        <v>30715705830</v>
      </c>
      <c r="B565" s="3" t="s">
        <v>1058</v>
      </c>
      <c r="C565" s="1" t="s">
        <v>16</v>
      </c>
      <c r="D565" s="3"/>
    </row>
    <row r="566" spans="1:4" ht="15.75" customHeight="1" x14ac:dyDescent="0.25">
      <c r="A566" s="2">
        <v>30710271859</v>
      </c>
      <c r="B566" s="3" t="s">
        <v>1079</v>
      </c>
      <c r="C566" s="1" t="s">
        <v>16</v>
      </c>
      <c r="D566" s="3"/>
    </row>
    <row r="567" spans="1:4" ht="15.75" customHeight="1" x14ac:dyDescent="0.25">
      <c r="A567" s="2">
        <v>20182385035</v>
      </c>
      <c r="B567" s="3" t="s">
        <v>1098</v>
      </c>
      <c r="C567" s="1" t="s">
        <v>16</v>
      </c>
      <c r="D567" s="3"/>
    </row>
    <row r="568" spans="1:4" ht="15.75" customHeight="1" x14ac:dyDescent="0.25">
      <c r="A568" s="2">
        <v>30712325468</v>
      </c>
      <c r="B568" s="3" t="s">
        <v>1099</v>
      </c>
      <c r="C568" s="1" t="s">
        <v>16</v>
      </c>
      <c r="D568" s="3"/>
    </row>
    <row r="569" spans="1:4" ht="15.75" customHeight="1" x14ac:dyDescent="0.25">
      <c r="A569" s="2">
        <v>20170366205</v>
      </c>
      <c r="B569" s="3" t="s">
        <v>1107</v>
      </c>
      <c r="C569" s="1" t="s">
        <v>16</v>
      </c>
      <c r="D569" s="3"/>
    </row>
    <row r="570" spans="1:4" ht="15.75" customHeight="1" x14ac:dyDescent="0.25">
      <c r="A570" s="2">
        <v>20045305482</v>
      </c>
      <c r="B570" s="3" t="s">
        <v>1108</v>
      </c>
      <c r="C570" s="1" t="s">
        <v>16</v>
      </c>
      <c r="D570" s="3"/>
    </row>
    <row r="571" spans="1:4" ht="15.75" customHeight="1" x14ac:dyDescent="0.25">
      <c r="A571" s="2">
        <v>30715964895</v>
      </c>
      <c r="B571" s="3" t="s">
        <v>1121</v>
      </c>
      <c r="C571" s="1" t="s">
        <v>16</v>
      </c>
      <c r="D571" s="3"/>
    </row>
    <row r="572" spans="1:4" ht="15.75" customHeight="1" x14ac:dyDescent="0.25">
      <c r="A572" s="2">
        <v>27248877095</v>
      </c>
      <c r="B572" s="3" t="s">
        <v>1122</v>
      </c>
      <c r="C572" s="1" t="s">
        <v>16</v>
      </c>
      <c r="D572" s="3"/>
    </row>
    <row r="573" spans="1:4" ht="15.75" customHeight="1" x14ac:dyDescent="0.25">
      <c r="A573" s="2">
        <v>30715058479</v>
      </c>
      <c r="B573" s="3" t="s">
        <v>1126</v>
      </c>
      <c r="C573" s="1" t="s">
        <v>16</v>
      </c>
      <c r="D573" s="3"/>
    </row>
    <row r="574" spans="1:4" ht="15.75" customHeight="1" x14ac:dyDescent="0.25">
      <c r="A574" s="2">
        <v>20272726915</v>
      </c>
      <c r="B574" s="3" t="s">
        <v>1127</v>
      </c>
      <c r="C574" s="1" t="s">
        <v>16</v>
      </c>
      <c r="D574" s="3"/>
    </row>
    <row r="575" spans="1:4" ht="15.75" customHeight="1" x14ac:dyDescent="0.25">
      <c r="A575" s="2">
        <v>20203177187</v>
      </c>
      <c r="B575" s="3" t="s">
        <v>1140</v>
      </c>
      <c r="C575" s="1" t="s">
        <v>16</v>
      </c>
      <c r="D575" s="3"/>
    </row>
    <row r="576" spans="1:4" ht="15.75" customHeight="1" x14ac:dyDescent="0.25">
      <c r="A576" s="2">
        <v>30717054691</v>
      </c>
      <c r="B576" s="3" t="s">
        <v>1143</v>
      </c>
      <c r="C576" s="1" t="s">
        <v>16</v>
      </c>
      <c r="D576" s="3"/>
    </row>
    <row r="577" spans="1:4" ht="15.75" customHeight="1" x14ac:dyDescent="0.25">
      <c r="A577" s="2">
        <v>20261680298</v>
      </c>
      <c r="B577" s="3" t="s">
        <v>1144</v>
      </c>
      <c r="C577" s="1" t="s">
        <v>16</v>
      </c>
      <c r="D577" s="3"/>
    </row>
    <row r="578" spans="1:4" ht="15.75" customHeight="1" x14ac:dyDescent="0.25">
      <c r="A578" s="2">
        <v>20305255190</v>
      </c>
      <c r="B578" s="3" t="s">
        <v>1147</v>
      </c>
      <c r="C578" s="1" t="s">
        <v>16</v>
      </c>
      <c r="D578" s="3"/>
    </row>
    <row r="579" spans="1:4" ht="15.75" customHeight="1" x14ac:dyDescent="0.25">
      <c r="A579" s="2">
        <v>30684416096</v>
      </c>
      <c r="B579" s="3" t="s">
        <v>1152</v>
      </c>
      <c r="C579" s="1" t="s">
        <v>16</v>
      </c>
      <c r="D579" s="3"/>
    </row>
    <row r="580" spans="1:4" ht="15.75" customHeight="1" x14ac:dyDescent="0.25">
      <c r="A580" s="2">
        <v>27208929416</v>
      </c>
      <c r="B580" s="3" t="s">
        <v>1182</v>
      </c>
      <c r="C580" s="1" t="s">
        <v>16</v>
      </c>
      <c r="D580" s="3"/>
    </row>
    <row r="581" spans="1:4" ht="15.75" customHeight="1" x14ac:dyDescent="0.25">
      <c r="A581" s="2">
        <v>20102658060</v>
      </c>
      <c r="B581" s="3" t="s">
        <v>1204</v>
      </c>
      <c r="C581" s="1" t="s">
        <v>16</v>
      </c>
      <c r="D581" s="3"/>
    </row>
    <row r="582" spans="1:4" ht="15.75" customHeight="1" x14ac:dyDescent="0.25">
      <c r="A582" s="2">
        <v>30715257099</v>
      </c>
      <c r="B582" s="3" t="s">
        <v>1210</v>
      </c>
      <c r="C582" s="1" t="s">
        <v>16</v>
      </c>
      <c r="D582" s="3"/>
    </row>
    <row r="583" spans="1:4" ht="15.75" customHeight="1" x14ac:dyDescent="0.25">
      <c r="A583" s="2">
        <v>20338344695</v>
      </c>
      <c r="B583" s="3" t="s">
        <v>1215</v>
      </c>
      <c r="C583" s="1" t="s">
        <v>16</v>
      </c>
      <c r="D583" s="3"/>
    </row>
    <row r="584" spans="1:4" ht="15.75" customHeight="1" x14ac:dyDescent="0.25">
      <c r="A584" s="2">
        <v>33713724209</v>
      </c>
      <c r="B584" s="3" t="s">
        <v>1237</v>
      </c>
      <c r="C584" s="1" t="s">
        <v>16</v>
      </c>
      <c r="D584" s="3"/>
    </row>
    <row r="585" spans="1:4" ht="15.75" customHeight="1" x14ac:dyDescent="0.25">
      <c r="A585" s="2">
        <v>20226753355</v>
      </c>
      <c r="B585" s="3" t="s">
        <v>1239</v>
      </c>
      <c r="C585" s="1" t="s">
        <v>16</v>
      </c>
      <c r="D585" s="3"/>
    </row>
    <row r="586" spans="1:4" ht="15.75" customHeight="1" x14ac:dyDescent="0.25">
      <c r="A586" s="2">
        <v>20190828205</v>
      </c>
      <c r="B586" s="3" t="s">
        <v>1243</v>
      </c>
      <c r="C586" s="1" t="s">
        <v>16</v>
      </c>
      <c r="D586" s="3"/>
    </row>
    <row r="587" spans="1:4" ht="15.75" customHeight="1" x14ac:dyDescent="0.25">
      <c r="A587" s="2">
        <v>30709131733</v>
      </c>
      <c r="B587" s="3" t="s">
        <v>1244</v>
      </c>
      <c r="C587" s="1" t="s">
        <v>16</v>
      </c>
      <c r="D587" s="3"/>
    </row>
    <row r="588" spans="1:4" ht="15.75" customHeight="1" x14ac:dyDescent="0.25">
      <c r="A588" s="2">
        <v>30547188760</v>
      </c>
      <c r="B588" s="3" t="s">
        <v>1246</v>
      </c>
      <c r="C588" s="1" t="s">
        <v>16</v>
      </c>
      <c r="D588" s="3"/>
    </row>
    <row r="589" spans="1:4" ht="15.75" customHeight="1" x14ac:dyDescent="0.25">
      <c r="A589" s="2">
        <v>33716043989</v>
      </c>
      <c r="B589" s="3" t="s">
        <v>1251</v>
      </c>
      <c r="C589" s="1" t="s">
        <v>16</v>
      </c>
      <c r="D589" s="3"/>
    </row>
    <row r="590" spans="1:4" ht="15.75" customHeight="1" x14ac:dyDescent="0.25">
      <c r="A590" s="2">
        <v>30711809429</v>
      </c>
      <c r="B590" s="3" t="s">
        <v>1253</v>
      </c>
      <c r="C590" s="1" t="s">
        <v>16</v>
      </c>
      <c r="D590" s="3"/>
    </row>
    <row r="591" spans="1:4" ht="15.75" customHeight="1" x14ac:dyDescent="0.25">
      <c r="A591" s="2">
        <v>30716966530</v>
      </c>
      <c r="B591" s="3" t="s">
        <v>1259</v>
      </c>
      <c r="C591" s="1" t="s">
        <v>16</v>
      </c>
      <c r="D591" s="3"/>
    </row>
    <row r="592" spans="1:4" ht="15.75" customHeight="1" x14ac:dyDescent="0.25">
      <c r="A592" s="2">
        <v>30598946694</v>
      </c>
      <c r="B592" s="3" t="s">
        <v>681</v>
      </c>
      <c r="C592" s="1" t="s">
        <v>16</v>
      </c>
      <c r="D592" s="3"/>
    </row>
    <row r="593" spans="1:4" ht="15.75" customHeight="1" x14ac:dyDescent="0.25">
      <c r="A593" s="2">
        <v>20232991527</v>
      </c>
      <c r="B593" s="3" t="s">
        <v>683</v>
      </c>
      <c r="C593" s="1" t="s">
        <v>16</v>
      </c>
      <c r="D593" s="3"/>
    </row>
    <row r="594" spans="1:4" ht="15.75" customHeight="1" x14ac:dyDescent="0.25">
      <c r="A594" s="2">
        <v>30707838384</v>
      </c>
      <c r="B594" s="3" t="s">
        <v>1276</v>
      </c>
      <c r="C594" s="1" t="s">
        <v>16</v>
      </c>
      <c r="D594" s="3"/>
    </row>
    <row r="595" spans="1:4" ht="15.75" customHeight="1" x14ac:dyDescent="0.25">
      <c r="A595" s="2">
        <v>30715564749</v>
      </c>
      <c r="B595" s="3" t="s">
        <v>696</v>
      </c>
      <c r="C595" s="1" t="s">
        <v>16</v>
      </c>
      <c r="D595" s="3"/>
    </row>
    <row r="596" spans="1:4" ht="15.75" customHeight="1" x14ac:dyDescent="0.25">
      <c r="A596" s="2">
        <v>30625911334</v>
      </c>
      <c r="B596" s="3" t="s">
        <v>697</v>
      </c>
      <c r="C596" s="1" t="s">
        <v>16</v>
      </c>
      <c r="D596" s="3"/>
    </row>
    <row r="597" spans="1:4" ht="15.75" customHeight="1" x14ac:dyDescent="0.25">
      <c r="A597" s="2">
        <v>30714187658</v>
      </c>
      <c r="B597" s="3" t="s">
        <v>703</v>
      </c>
      <c r="C597" s="1" t="s">
        <v>16</v>
      </c>
      <c r="D597" s="3"/>
    </row>
    <row r="598" spans="1:4" ht="15.75" customHeight="1" x14ac:dyDescent="0.25">
      <c r="A598" s="2">
        <v>30504854023</v>
      </c>
      <c r="B598" s="3" t="s">
        <v>707</v>
      </c>
      <c r="C598" s="1" t="s">
        <v>16</v>
      </c>
      <c r="D598" s="3"/>
    </row>
    <row r="599" spans="1:4" ht="15.75" customHeight="1" x14ac:dyDescent="0.25">
      <c r="A599" s="2">
        <v>30714911976</v>
      </c>
      <c r="B599" s="3" t="s">
        <v>715</v>
      </c>
      <c r="C599" s="1" t="s">
        <v>16</v>
      </c>
      <c r="D599" s="3"/>
    </row>
    <row r="600" spans="1:4" ht="15.75" customHeight="1" x14ac:dyDescent="0.25">
      <c r="A600" s="2">
        <v>30708387114</v>
      </c>
      <c r="B600" s="3" t="s">
        <v>717</v>
      </c>
      <c r="C600" s="1" t="s">
        <v>16</v>
      </c>
      <c r="D600" s="3"/>
    </row>
    <row r="601" spans="1:4" ht="15.75" customHeight="1" x14ac:dyDescent="0.25">
      <c r="A601" s="2">
        <v>30709059471</v>
      </c>
      <c r="B601" s="3" t="s">
        <v>718</v>
      </c>
      <c r="C601" s="1" t="s">
        <v>16</v>
      </c>
      <c r="D601" s="3"/>
    </row>
    <row r="602" spans="1:4" ht="15.75" customHeight="1" x14ac:dyDescent="0.25">
      <c r="A602" s="2">
        <v>30702843576</v>
      </c>
      <c r="B602" s="3" t="s">
        <v>720</v>
      </c>
      <c r="C602" s="1" t="s">
        <v>16</v>
      </c>
      <c r="D602" s="3"/>
    </row>
    <row r="603" spans="1:4" ht="15.75" customHeight="1" x14ac:dyDescent="0.25">
      <c r="A603" s="2">
        <v>30500597557</v>
      </c>
      <c r="B603" s="3" t="s">
        <v>730</v>
      </c>
      <c r="C603" s="1" t="s">
        <v>16</v>
      </c>
      <c r="D603" s="3"/>
    </row>
    <row r="604" spans="1:4" ht="15.75" customHeight="1" x14ac:dyDescent="0.25">
      <c r="A604" s="2">
        <v>30611371213</v>
      </c>
      <c r="B604" s="3" t="s">
        <v>1298</v>
      </c>
      <c r="C604" s="1" t="s">
        <v>16</v>
      </c>
      <c r="D604" s="3"/>
    </row>
    <row r="605" spans="1:4" ht="15.75" customHeight="1" x14ac:dyDescent="0.25">
      <c r="A605" s="2">
        <v>30661498575</v>
      </c>
      <c r="B605" s="3" t="s">
        <v>734</v>
      </c>
      <c r="C605" s="1" t="s">
        <v>16</v>
      </c>
      <c r="D605" s="3"/>
    </row>
    <row r="606" spans="1:4" ht="15.75" customHeight="1" x14ac:dyDescent="0.25">
      <c r="A606" s="2">
        <v>33709738459</v>
      </c>
      <c r="B606" s="3" t="s">
        <v>735</v>
      </c>
      <c r="C606" s="1" t="s">
        <v>16</v>
      </c>
      <c r="D606" s="3"/>
    </row>
    <row r="607" spans="1:4" ht="15.75" customHeight="1" x14ac:dyDescent="0.25">
      <c r="A607" s="2">
        <v>30696246234</v>
      </c>
      <c r="B607" s="3" t="s">
        <v>736</v>
      </c>
      <c r="C607" s="1" t="s">
        <v>16</v>
      </c>
      <c r="D607" s="3"/>
    </row>
    <row r="608" spans="1:4" ht="15.75" customHeight="1" x14ac:dyDescent="0.25">
      <c r="A608" s="2">
        <v>30707080198</v>
      </c>
      <c r="B608" s="3" t="s">
        <v>739</v>
      </c>
      <c r="C608" s="1" t="s">
        <v>16</v>
      </c>
      <c r="D608" s="3"/>
    </row>
    <row r="609" spans="1:4" ht="15.75" customHeight="1" x14ac:dyDescent="0.25">
      <c r="A609" s="2">
        <v>30643862928</v>
      </c>
      <c r="B609" s="3" t="s">
        <v>740</v>
      </c>
      <c r="C609" s="1" t="s">
        <v>16</v>
      </c>
      <c r="D609" s="3"/>
    </row>
    <row r="610" spans="1:4" ht="15.75" customHeight="1" x14ac:dyDescent="0.25">
      <c r="A610" s="2">
        <v>20225106151</v>
      </c>
      <c r="B610" s="3" t="s">
        <v>1313</v>
      </c>
      <c r="C610" s="1" t="s">
        <v>16</v>
      </c>
      <c r="D610" s="3"/>
    </row>
    <row r="611" spans="1:4" ht="15.75" customHeight="1" x14ac:dyDescent="0.25">
      <c r="A611" s="2">
        <v>30591633984</v>
      </c>
      <c r="B611" s="3" t="s">
        <v>747</v>
      </c>
      <c r="C611" s="1" t="s">
        <v>16</v>
      </c>
      <c r="D611" s="3"/>
    </row>
    <row r="612" spans="1:4" ht="15.75" customHeight="1" x14ac:dyDescent="0.25">
      <c r="A612" s="2">
        <v>30588917157</v>
      </c>
      <c r="B612" s="3" t="s">
        <v>749</v>
      </c>
      <c r="C612" s="1" t="s">
        <v>16</v>
      </c>
      <c r="D612" s="3"/>
    </row>
    <row r="613" spans="1:4" ht="15.75" customHeight="1" x14ac:dyDescent="0.25">
      <c r="A613" s="2">
        <v>30715401114</v>
      </c>
      <c r="B613" s="3" t="s">
        <v>752</v>
      </c>
      <c r="C613" s="1" t="s">
        <v>16</v>
      </c>
      <c r="D613" s="3"/>
    </row>
    <row r="614" spans="1:4" ht="15.75" customHeight="1" x14ac:dyDescent="0.25">
      <c r="A614" s="2">
        <v>20277890306</v>
      </c>
      <c r="B614" s="3" t="s">
        <v>764</v>
      </c>
      <c r="C614" s="1" t="s">
        <v>16</v>
      </c>
      <c r="D614" s="3"/>
    </row>
    <row r="615" spans="1:4" ht="15.75" customHeight="1" x14ac:dyDescent="0.25">
      <c r="A615" s="2">
        <v>30502174904</v>
      </c>
      <c r="B615" s="3" t="s">
        <v>770</v>
      </c>
      <c r="C615" s="1" t="s">
        <v>16</v>
      </c>
      <c r="D615" s="3"/>
    </row>
    <row r="616" spans="1:4" ht="15.75" customHeight="1" x14ac:dyDescent="0.25">
      <c r="A616" s="2">
        <v>30577428618</v>
      </c>
      <c r="B616" s="3" t="s">
        <v>775</v>
      </c>
      <c r="C616" s="1" t="s">
        <v>16</v>
      </c>
      <c r="D616" s="3"/>
    </row>
    <row r="617" spans="1:4" ht="15.75" customHeight="1" x14ac:dyDescent="0.25">
      <c r="A617" s="2">
        <v>30714848034</v>
      </c>
      <c r="B617" s="3" t="s">
        <v>1348</v>
      </c>
      <c r="C617" s="1" t="s">
        <v>16</v>
      </c>
      <c r="D617" s="3"/>
    </row>
    <row r="618" spans="1:4" ht="15.75" customHeight="1" x14ac:dyDescent="0.25">
      <c r="A618" s="2">
        <v>20304493039</v>
      </c>
      <c r="B618" s="3" t="s">
        <v>779</v>
      </c>
      <c r="C618" s="1" t="s">
        <v>16</v>
      </c>
      <c r="D618" s="3"/>
    </row>
    <row r="619" spans="1:4" ht="15.75" customHeight="1" x14ac:dyDescent="0.25">
      <c r="A619" s="2">
        <v>33517024819</v>
      </c>
      <c r="B619" s="3" t="s">
        <v>782</v>
      </c>
      <c r="C619" s="1" t="s">
        <v>16</v>
      </c>
      <c r="D619" s="3"/>
    </row>
    <row r="620" spans="1:4" ht="15.75" customHeight="1" x14ac:dyDescent="0.25">
      <c r="A620" s="2">
        <v>30709568260</v>
      </c>
      <c r="B620" s="3" t="s">
        <v>791</v>
      </c>
      <c r="C620" s="1" t="s">
        <v>16</v>
      </c>
      <c r="D620" s="3"/>
    </row>
    <row r="621" spans="1:4" ht="15.75" customHeight="1" x14ac:dyDescent="0.25">
      <c r="A621" s="2">
        <v>30503940147</v>
      </c>
      <c r="B621" s="3" t="s">
        <v>797</v>
      </c>
      <c r="C621" s="1" t="s">
        <v>16</v>
      </c>
      <c r="D621" s="3"/>
    </row>
    <row r="622" spans="1:4" ht="15.75" customHeight="1" x14ac:dyDescent="0.25">
      <c r="A622" s="2">
        <v>27163348190</v>
      </c>
      <c r="B622" s="3" t="s">
        <v>798</v>
      </c>
      <c r="C622" s="1" t="s">
        <v>16</v>
      </c>
      <c r="D622" s="3"/>
    </row>
    <row r="623" spans="1:4" ht="15.75" customHeight="1" x14ac:dyDescent="0.25">
      <c r="A623" s="2">
        <v>30517345039</v>
      </c>
      <c r="B623" s="3" t="s">
        <v>799</v>
      </c>
      <c r="C623" s="1" t="s">
        <v>16</v>
      </c>
      <c r="D623" s="3"/>
    </row>
    <row r="624" spans="1:4" ht="15.75" customHeight="1" x14ac:dyDescent="0.25">
      <c r="A624" s="2">
        <v>20082988786</v>
      </c>
      <c r="B624" s="3" t="s">
        <v>803</v>
      </c>
      <c r="C624" s="1" t="s">
        <v>16</v>
      </c>
      <c r="D624" s="3"/>
    </row>
    <row r="625" spans="1:4" ht="15.75" customHeight="1" x14ac:dyDescent="0.25">
      <c r="A625" s="2">
        <v>30707370552</v>
      </c>
      <c r="B625" s="3" t="s">
        <v>806</v>
      </c>
      <c r="C625" s="1" t="s">
        <v>16</v>
      </c>
      <c r="D625" s="3"/>
    </row>
    <row r="626" spans="1:4" ht="15.75" customHeight="1" x14ac:dyDescent="0.25">
      <c r="A626" s="2">
        <v>30715645579</v>
      </c>
      <c r="B626" s="3" t="s">
        <v>810</v>
      </c>
      <c r="C626" s="1" t="s">
        <v>16</v>
      </c>
      <c r="D626" s="3"/>
    </row>
    <row r="627" spans="1:4" ht="15.75" customHeight="1" x14ac:dyDescent="0.25">
      <c r="A627" s="2">
        <v>30709836230</v>
      </c>
      <c r="B627" s="3" t="s">
        <v>814</v>
      </c>
      <c r="C627" s="1" t="s">
        <v>16</v>
      </c>
      <c r="D627" s="3"/>
    </row>
    <row r="628" spans="1:4" ht="15.75" customHeight="1" x14ac:dyDescent="0.25">
      <c r="A628" s="2">
        <v>23181104589</v>
      </c>
      <c r="B628" s="3" t="s">
        <v>816</v>
      </c>
      <c r="C628" s="1" t="s">
        <v>16</v>
      </c>
      <c r="D628" s="3"/>
    </row>
    <row r="629" spans="1:4" ht="15.75" customHeight="1" x14ac:dyDescent="0.25">
      <c r="A629" s="2">
        <v>30711713138</v>
      </c>
      <c r="B629" s="3" t="s">
        <v>817</v>
      </c>
      <c r="C629" s="1" t="s">
        <v>16</v>
      </c>
      <c r="D629" s="3"/>
    </row>
    <row r="630" spans="1:4" ht="15.75" customHeight="1" x14ac:dyDescent="0.25">
      <c r="A630" s="2">
        <v>30663944939</v>
      </c>
      <c r="B630" s="3" t="s">
        <v>819</v>
      </c>
      <c r="C630" s="1" t="s">
        <v>16</v>
      </c>
      <c r="D630" s="3"/>
    </row>
    <row r="631" spans="1:4" ht="15.75" customHeight="1" x14ac:dyDescent="0.25">
      <c r="A631" s="2">
        <v>30715141201</v>
      </c>
      <c r="B631" s="3" t="s">
        <v>820</v>
      </c>
      <c r="C631" s="1" t="s">
        <v>16</v>
      </c>
      <c r="D631" s="3"/>
    </row>
    <row r="632" spans="1:4" ht="15.75" customHeight="1" x14ac:dyDescent="0.25">
      <c r="A632" s="2">
        <v>30709214078</v>
      </c>
      <c r="B632" s="3" t="s">
        <v>821</v>
      </c>
      <c r="C632" s="1" t="s">
        <v>16</v>
      </c>
      <c r="D632" s="3"/>
    </row>
    <row r="633" spans="1:4" ht="15.75" customHeight="1" x14ac:dyDescent="0.25">
      <c r="A633" s="2">
        <v>30708376554</v>
      </c>
      <c r="B633" s="3" t="s">
        <v>825</v>
      </c>
      <c r="C633" s="1" t="s">
        <v>16</v>
      </c>
      <c r="D633" s="3"/>
    </row>
    <row r="634" spans="1:4" ht="15.75" customHeight="1" x14ac:dyDescent="0.25">
      <c r="A634" s="2">
        <v>30612958528</v>
      </c>
      <c r="B634" s="3" t="s">
        <v>826</v>
      </c>
      <c r="C634" s="1" t="s">
        <v>16</v>
      </c>
      <c r="D634" s="3"/>
    </row>
    <row r="635" spans="1:4" ht="15.75" customHeight="1" x14ac:dyDescent="0.25">
      <c r="A635" s="2">
        <v>23106878269</v>
      </c>
      <c r="B635" s="3" t="s">
        <v>836</v>
      </c>
      <c r="C635" s="1" t="s">
        <v>16</v>
      </c>
      <c r="D635" s="3"/>
    </row>
    <row r="636" spans="1:4" ht="15.75" customHeight="1" x14ac:dyDescent="0.25">
      <c r="A636" s="2">
        <v>20078690284</v>
      </c>
      <c r="B636" s="3" t="s">
        <v>840</v>
      </c>
      <c r="C636" s="1" t="s">
        <v>16</v>
      </c>
      <c r="D636" s="3"/>
    </row>
    <row r="637" spans="1:4" ht="15.75" customHeight="1" x14ac:dyDescent="0.25">
      <c r="A637" s="2">
        <v>33715567089</v>
      </c>
      <c r="B637" s="3" t="s">
        <v>842</v>
      </c>
      <c r="C637" s="1" t="s">
        <v>16</v>
      </c>
      <c r="D637" s="3"/>
    </row>
    <row r="638" spans="1:4" ht="15.75" customHeight="1" x14ac:dyDescent="0.25">
      <c r="A638" s="2">
        <v>20120875141</v>
      </c>
      <c r="B638" s="3" t="s">
        <v>843</v>
      </c>
      <c r="C638" s="1" t="s">
        <v>16</v>
      </c>
      <c r="D638" s="3"/>
    </row>
    <row r="639" spans="1:4" ht="15.75" customHeight="1" x14ac:dyDescent="0.25">
      <c r="A639" s="2">
        <v>20110668733</v>
      </c>
      <c r="B639" s="3" t="s">
        <v>847</v>
      </c>
      <c r="C639" s="1" t="s">
        <v>16</v>
      </c>
      <c r="D639" s="3"/>
    </row>
    <row r="640" spans="1:4" ht="15.75" customHeight="1" x14ac:dyDescent="0.25">
      <c r="A640" s="2">
        <v>20282332303</v>
      </c>
      <c r="B640" s="3" t="s">
        <v>1403</v>
      </c>
      <c r="C640" s="1" t="s">
        <v>16</v>
      </c>
      <c r="D640" s="3"/>
    </row>
    <row r="641" spans="1:4" ht="15.75" customHeight="1" x14ac:dyDescent="0.25">
      <c r="A641" s="2">
        <v>20233320294</v>
      </c>
      <c r="B641" s="3" t="s">
        <v>853</v>
      </c>
      <c r="C641" s="1" t="s">
        <v>16</v>
      </c>
      <c r="D641" s="3"/>
    </row>
    <row r="642" spans="1:4" ht="15.75" customHeight="1" x14ac:dyDescent="0.25">
      <c r="A642" s="2">
        <v>20043702611</v>
      </c>
      <c r="B642" s="3" t="s">
        <v>854</v>
      </c>
      <c r="C642" s="1" t="s">
        <v>16</v>
      </c>
      <c r="D642" s="3"/>
    </row>
    <row r="643" spans="1:4" ht="15.75" customHeight="1" x14ac:dyDescent="0.25">
      <c r="A643" s="2">
        <v>20229507525</v>
      </c>
      <c r="B643" s="3" t="s">
        <v>855</v>
      </c>
      <c r="C643" s="1" t="s">
        <v>16</v>
      </c>
      <c r="D643" s="3"/>
    </row>
    <row r="644" spans="1:4" ht="15.75" customHeight="1" x14ac:dyDescent="0.25">
      <c r="A644" s="2">
        <v>30521596135</v>
      </c>
      <c r="B644" s="3" t="s">
        <v>856</v>
      </c>
      <c r="C644" s="1" t="s">
        <v>16</v>
      </c>
      <c r="D644" s="3"/>
    </row>
    <row r="645" spans="1:4" ht="15.75" customHeight="1" x14ac:dyDescent="0.25">
      <c r="A645" s="2">
        <v>30540721722</v>
      </c>
      <c r="B645" s="3" t="s">
        <v>860</v>
      </c>
      <c r="C645" s="1" t="s">
        <v>16</v>
      </c>
      <c r="D645" s="3"/>
    </row>
    <row r="646" spans="1:4" ht="15.75" customHeight="1" x14ac:dyDescent="0.25">
      <c r="A646" s="2">
        <v>30558706836</v>
      </c>
      <c r="B646" s="3" t="s">
        <v>864</v>
      </c>
      <c r="C646" s="1" t="s">
        <v>16</v>
      </c>
      <c r="D646" s="3"/>
    </row>
    <row r="647" spans="1:4" ht="15.75" customHeight="1" x14ac:dyDescent="0.25">
      <c r="A647" s="2">
        <v>30500529071</v>
      </c>
      <c r="B647" s="3" t="s">
        <v>866</v>
      </c>
      <c r="C647" s="1" t="s">
        <v>16</v>
      </c>
      <c r="D647" s="3"/>
    </row>
    <row r="648" spans="1:4" ht="15.75" customHeight="1" x14ac:dyDescent="0.25">
      <c r="A648" s="2">
        <v>30711553564</v>
      </c>
      <c r="B648" s="3" t="s">
        <v>869</v>
      </c>
      <c r="C648" s="1" t="s">
        <v>16</v>
      </c>
      <c r="D648" s="3"/>
    </row>
    <row r="649" spans="1:4" ht="15.75" customHeight="1" x14ac:dyDescent="0.25">
      <c r="A649" s="2">
        <v>30716499126</v>
      </c>
      <c r="B649" s="3" t="s">
        <v>1431</v>
      </c>
      <c r="C649" s="1" t="s">
        <v>16</v>
      </c>
      <c r="D649" s="3"/>
    </row>
    <row r="650" spans="1:4" ht="15.75" customHeight="1" x14ac:dyDescent="0.25">
      <c r="A650" s="2">
        <v>30714079405</v>
      </c>
      <c r="B650" s="3" t="s">
        <v>873</v>
      </c>
      <c r="C650" s="1" t="s">
        <v>16</v>
      </c>
      <c r="D650" s="3"/>
    </row>
    <row r="651" spans="1:4" ht="15.75" customHeight="1" x14ac:dyDescent="0.25">
      <c r="A651" s="2">
        <v>30631047145</v>
      </c>
      <c r="B651" s="3" t="s">
        <v>877</v>
      </c>
      <c r="C651" s="1" t="s">
        <v>16</v>
      </c>
      <c r="D651" s="3"/>
    </row>
    <row r="652" spans="1:4" ht="15.75" customHeight="1" x14ac:dyDescent="0.25">
      <c r="A652" s="2">
        <v>30598960093</v>
      </c>
      <c r="B652" s="3" t="s">
        <v>891</v>
      </c>
      <c r="C652" s="1" t="s">
        <v>16</v>
      </c>
      <c r="D652" s="3"/>
    </row>
    <row r="653" spans="1:4" ht="15.75" customHeight="1" x14ac:dyDescent="0.25">
      <c r="A653" s="2">
        <v>30715504037</v>
      </c>
      <c r="B653" s="3" t="s">
        <v>894</v>
      </c>
      <c r="C653" s="1" t="s">
        <v>16</v>
      </c>
      <c r="D653" s="3"/>
    </row>
    <row r="654" spans="1:4" ht="15.75" customHeight="1" x14ac:dyDescent="0.25">
      <c r="A654" s="2">
        <v>30688387201</v>
      </c>
      <c r="B654" s="3" t="s">
        <v>900</v>
      </c>
      <c r="C654" s="1" t="s">
        <v>16</v>
      </c>
      <c r="D654" s="3"/>
    </row>
    <row r="655" spans="1:4" ht="15.75" customHeight="1" x14ac:dyDescent="0.25">
      <c r="A655" s="2">
        <v>27066622997</v>
      </c>
      <c r="B655" s="3" t="s">
        <v>901</v>
      </c>
      <c r="C655" s="1" t="s">
        <v>16</v>
      </c>
      <c r="D655" s="3"/>
    </row>
    <row r="656" spans="1:4" ht="15.75" customHeight="1" x14ac:dyDescent="0.25">
      <c r="A656" s="2">
        <v>33711882729</v>
      </c>
      <c r="B656" s="3" t="s">
        <v>1474</v>
      </c>
      <c r="C656" s="1" t="s">
        <v>16</v>
      </c>
      <c r="D656" s="3"/>
    </row>
    <row r="657" spans="1:4" ht="15.75" customHeight="1" x14ac:dyDescent="0.25">
      <c r="A657" s="2">
        <v>30643416375</v>
      </c>
      <c r="B657" s="3" t="s">
        <v>902</v>
      </c>
      <c r="C657" s="1" t="s">
        <v>16</v>
      </c>
      <c r="D657" s="3"/>
    </row>
    <row r="658" spans="1:4" ht="15.75" customHeight="1" x14ac:dyDescent="0.25">
      <c r="A658" s="2">
        <v>30714710652</v>
      </c>
      <c r="B658" s="3" t="s">
        <v>904</v>
      </c>
      <c r="C658" s="1" t="s">
        <v>16</v>
      </c>
      <c r="D658" s="3"/>
    </row>
    <row r="659" spans="1:4" ht="15.75" customHeight="1" x14ac:dyDescent="0.25">
      <c r="A659" s="2">
        <v>23185808963</v>
      </c>
      <c r="B659" s="3" t="s">
        <v>905</v>
      </c>
      <c r="C659" s="1" t="s">
        <v>16</v>
      </c>
      <c r="D659" s="3"/>
    </row>
    <row r="660" spans="1:4" ht="15.75" customHeight="1" x14ac:dyDescent="0.25">
      <c r="A660" s="2">
        <v>30707097465</v>
      </c>
      <c r="B660" s="3" t="s">
        <v>1499</v>
      </c>
      <c r="C660" s="1" t="s">
        <v>16</v>
      </c>
      <c r="D660" s="3"/>
    </row>
    <row r="661" spans="1:4" ht="15.75" customHeight="1" x14ac:dyDescent="0.25">
      <c r="A661" s="2">
        <v>30717078760</v>
      </c>
      <c r="B661" s="3" t="s">
        <v>1501</v>
      </c>
      <c r="C661" s="1" t="s">
        <v>16</v>
      </c>
      <c r="D661" s="3"/>
    </row>
    <row r="662" spans="1:4" ht="15.75" customHeight="1" x14ac:dyDescent="0.25">
      <c r="A662" s="2">
        <v>30707158952</v>
      </c>
      <c r="B662" s="3" t="s">
        <v>1502</v>
      </c>
      <c r="C662" s="1" t="s">
        <v>16</v>
      </c>
      <c r="D662" s="3"/>
    </row>
    <row r="663" spans="1:4" ht="15.75" customHeight="1" x14ac:dyDescent="0.25">
      <c r="A663" s="2">
        <v>20214656575</v>
      </c>
      <c r="B663" s="3" t="s">
        <v>1503</v>
      </c>
      <c r="C663" s="1" t="s">
        <v>16</v>
      </c>
      <c r="D663" s="3"/>
    </row>
    <row r="664" spans="1:4" ht="15.75" customHeight="1" x14ac:dyDescent="0.25">
      <c r="A664" s="2">
        <v>30710804245</v>
      </c>
      <c r="B664" s="3" t="s">
        <v>1504</v>
      </c>
      <c r="C664" s="1" t="s">
        <v>16</v>
      </c>
      <c r="D664" s="3"/>
    </row>
    <row r="665" spans="1:4" ht="15.75" customHeight="1" x14ac:dyDescent="0.25">
      <c r="A665" s="2">
        <v>30715638912</v>
      </c>
      <c r="B665" s="3" t="s">
        <v>1507</v>
      </c>
      <c r="C665" s="1" t="s">
        <v>16</v>
      </c>
      <c r="D665" s="3"/>
    </row>
    <row r="666" spans="1:4" ht="15.75" customHeight="1" x14ac:dyDescent="0.25">
      <c r="A666" s="2">
        <v>30715188127</v>
      </c>
      <c r="B666" s="3" t="s">
        <v>285</v>
      </c>
      <c r="C666" s="1" t="s">
        <v>16</v>
      </c>
      <c r="D666" s="3"/>
    </row>
    <row r="667" spans="1:4" ht="15.75" customHeight="1" x14ac:dyDescent="0.25">
      <c r="A667" s="2">
        <v>33658043779</v>
      </c>
      <c r="B667" s="3" t="s">
        <v>154</v>
      </c>
      <c r="C667" s="1" t="s">
        <v>1744</v>
      </c>
      <c r="D667" s="3"/>
    </row>
    <row r="668" spans="1:4" ht="15.75" customHeight="1" x14ac:dyDescent="0.25">
      <c r="A668" s="2">
        <v>27289847141</v>
      </c>
      <c r="B668" s="3" t="s">
        <v>155</v>
      </c>
      <c r="C668" s="1" t="s">
        <v>156</v>
      </c>
      <c r="D668" s="3"/>
    </row>
    <row r="669" spans="1:4" ht="15.75" customHeight="1" x14ac:dyDescent="0.25">
      <c r="A669" s="2">
        <v>20148841722</v>
      </c>
      <c r="B669" s="3" t="s">
        <v>186</v>
      </c>
      <c r="C669" s="1" t="s">
        <v>156</v>
      </c>
      <c r="D669" s="3"/>
    </row>
    <row r="670" spans="1:4" ht="15.75" customHeight="1" x14ac:dyDescent="0.25">
      <c r="A670" s="2">
        <v>30709368067</v>
      </c>
      <c r="B670" s="3" t="s">
        <v>332</v>
      </c>
      <c r="C670" s="1" t="s">
        <v>156</v>
      </c>
      <c r="D670" s="3"/>
    </row>
    <row r="671" spans="1:4" ht="15.75" customHeight="1" x14ac:dyDescent="0.25">
      <c r="A671" s="2">
        <v>30712778403</v>
      </c>
      <c r="B671" s="3" t="s">
        <v>455</v>
      </c>
      <c r="C671" s="1" t="s">
        <v>156</v>
      </c>
      <c r="D671" s="3"/>
    </row>
    <row r="672" spans="1:4" ht="15.75" customHeight="1" x14ac:dyDescent="0.25">
      <c r="A672" s="2">
        <v>27237547743</v>
      </c>
      <c r="B672" s="3" t="s">
        <v>581</v>
      </c>
      <c r="C672" s="1" t="s">
        <v>156</v>
      </c>
      <c r="D672" s="3"/>
    </row>
    <row r="673" spans="1:4" ht="15.75" customHeight="1" x14ac:dyDescent="0.25">
      <c r="A673" s="2">
        <v>30709829730</v>
      </c>
      <c r="B673" s="3" t="s">
        <v>6</v>
      </c>
      <c r="C673" s="1" t="s">
        <v>7</v>
      </c>
      <c r="D673" s="3"/>
    </row>
    <row r="674" spans="1:4" ht="15.75" customHeight="1" x14ac:dyDescent="0.25">
      <c r="A674" s="2">
        <v>30709604887</v>
      </c>
      <c r="B674" s="3" t="s">
        <v>67</v>
      </c>
      <c r="C674" s="1" t="s">
        <v>7</v>
      </c>
      <c r="D674" s="3"/>
    </row>
    <row r="675" spans="1:4" ht="15.75" customHeight="1" x14ac:dyDescent="0.25">
      <c r="A675" s="2">
        <v>30709585262</v>
      </c>
      <c r="B675" s="3" t="s">
        <v>92</v>
      </c>
      <c r="C675" s="1" t="s">
        <v>7</v>
      </c>
      <c r="D675" s="3"/>
    </row>
    <row r="676" spans="1:4" ht="15.75" customHeight="1" x14ac:dyDescent="0.25">
      <c r="A676" s="2">
        <v>30691134195</v>
      </c>
      <c r="B676" s="3" t="s">
        <v>307</v>
      </c>
      <c r="C676" s="1" t="s">
        <v>308</v>
      </c>
      <c r="D676" s="3"/>
    </row>
    <row r="677" spans="1:4" ht="15.75" customHeight="1" x14ac:dyDescent="0.25">
      <c r="A677" s="2">
        <v>30543659734</v>
      </c>
      <c r="B677" s="3" t="s">
        <v>324</v>
      </c>
      <c r="C677" s="1" t="s">
        <v>7</v>
      </c>
      <c r="D677" s="3"/>
    </row>
    <row r="678" spans="1:4" ht="15.75" customHeight="1" x14ac:dyDescent="0.25">
      <c r="A678" s="2">
        <v>30606517706</v>
      </c>
      <c r="B678" s="3" t="s">
        <v>374</v>
      </c>
      <c r="C678" s="1" t="s">
        <v>308</v>
      </c>
      <c r="D678" s="3"/>
    </row>
    <row r="679" spans="1:4" ht="15.75" customHeight="1" x14ac:dyDescent="0.25">
      <c r="A679" s="2">
        <v>20222522111</v>
      </c>
      <c r="B679" s="3" t="s">
        <v>396</v>
      </c>
      <c r="C679" s="1" t="s">
        <v>308</v>
      </c>
      <c r="D679" s="3"/>
    </row>
    <row r="680" spans="1:4" ht="15.75" customHeight="1" x14ac:dyDescent="0.25">
      <c r="A680" s="2">
        <v>30708363126</v>
      </c>
      <c r="B680" s="3" t="s">
        <v>401</v>
      </c>
      <c r="C680" s="1" t="s">
        <v>7</v>
      </c>
      <c r="D680" s="3"/>
    </row>
    <row r="681" spans="1:4" ht="15.75" customHeight="1" x14ac:dyDescent="0.25">
      <c r="A681" s="2">
        <v>30715947281</v>
      </c>
      <c r="B681" s="3" t="s">
        <v>406</v>
      </c>
      <c r="C681" s="1" t="s">
        <v>308</v>
      </c>
      <c r="D681" s="3"/>
    </row>
    <row r="682" spans="1:4" ht="15.75" customHeight="1" x14ac:dyDescent="0.25">
      <c r="A682" s="2">
        <v>33709180849</v>
      </c>
      <c r="B682" s="3" t="s">
        <v>413</v>
      </c>
      <c r="C682" s="1" t="s">
        <v>308</v>
      </c>
      <c r="D682" s="3"/>
    </row>
    <row r="683" spans="1:4" ht="15.75" customHeight="1" x14ac:dyDescent="0.25">
      <c r="A683" s="2">
        <v>30683407468</v>
      </c>
      <c r="B683" s="3" t="s">
        <v>439</v>
      </c>
      <c r="C683" s="1" t="s">
        <v>7</v>
      </c>
      <c r="D683" s="3"/>
    </row>
    <row r="684" spans="1:4" ht="15.75" customHeight="1" x14ac:dyDescent="0.25">
      <c r="A684" s="2">
        <v>30529057594</v>
      </c>
      <c r="B684" s="3" t="s">
        <v>441</v>
      </c>
      <c r="C684" s="1" t="s">
        <v>308</v>
      </c>
      <c r="D684" s="3"/>
    </row>
    <row r="685" spans="1:4" ht="15.75" customHeight="1" x14ac:dyDescent="0.25">
      <c r="A685" s="2">
        <v>23940960509</v>
      </c>
      <c r="B685" s="3" t="s">
        <v>491</v>
      </c>
      <c r="C685" s="1" t="s">
        <v>7</v>
      </c>
      <c r="D685" s="3"/>
    </row>
    <row r="686" spans="1:4" ht="15.75" customHeight="1" x14ac:dyDescent="0.25">
      <c r="A686" s="2">
        <v>33714935009</v>
      </c>
      <c r="B686" s="3" t="s">
        <v>499</v>
      </c>
      <c r="C686" s="1" t="s">
        <v>7</v>
      </c>
      <c r="D686" s="3"/>
    </row>
    <row r="687" spans="1:4" ht="15.75" customHeight="1" x14ac:dyDescent="0.25">
      <c r="A687" s="2">
        <v>30686184583</v>
      </c>
      <c r="B687" s="3" t="s">
        <v>535</v>
      </c>
      <c r="C687" s="1" t="s">
        <v>308</v>
      </c>
      <c r="D687" s="3"/>
    </row>
    <row r="688" spans="1:4" ht="15.75" customHeight="1" x14ac:dyDescent="0.25">
      <c r="A688" s="2">
        <v>20251876917</v>
      </c>
      <c r="B688" s="3" t="s">
        <v>556</v>
      </c>
      <c r="C688" s="1" t="s">
        <v>308</v>
      </c>
      <c r="D688" s="3"/>
    </row>
    <row r="689" spans="1:4" ht="15.75" customHeight="1" x14ac:dyDescent="0.25">
      <c r="A689" s="2">
        <v>30517306866</v>
      </c>
      <c r="B689" s="3" t="s">
        <v>652</v>
      </c>
      <c r="C689" s="1" t="s">
        <v>7</v>
      </c>
      <c r="D689" s="3"/>
    </row>
    <row r="690" spans="1:4" ht="15.75" customHeight="1" x14ac:dyDescent="0.25">
      <c r="A690" s="2">
        <v>30714654701</v>
      </c>
      <c r="B690" s="3" t="s">
        <v>852</v>
      </c>
      <c r="C690" s="1" t="s">
        <v>7</v>
      </c>
      <c r="D690" s="3"/>
    </row>
    <row r="691" spans="1:4" ht="15.75" customHeight="1" x14ac:dyDescent="0.25">
      <c r="A691" s="2">
        <v>30661486496</v>
      </c>
      <c r="B691" s="3" t="s">
        <v>875</v>
      </c>
      <c r="C691" s="1" t="s">
        <v>308</v>
      </c>
      <c r="D691" s="3"/>
    </row>
    <row r="692" spans="1:4" ht="15.75" customHeight="1" x14ac:dyDescent="0.25">
      <c r="A692" s="2">
        <v>30710114176</v>
      </c>
      <c r="B692" s="3" t="s">
        <v>921</v>
      </c>
      <c r="C692" s="1" t="s">
        <v>7</v>
      </c>
      <c r="D692" s="3"/>
    </row>
    <row r="693" spans="1:4" ht="15.75" customHeight="1" x14ac:dyDescent="0.25">
      <c r="A693" s="2">
        <v>30708447036</v>
      </c>
      <c r="B693" s="3" t="s">
        <v>935</v>
      </c>
      <c r="C693" s="1" t="s">
        <v>7</v>
      </c>
      <c r="D693" s="3"/>
    </row>
    <row r="694" spans="1:4" ht="15.75" customHeight="1" x14ac:dyDescent="0.25">
      <c r="A694" s="2">
        <v>30715689045</v>
      </c>
      <c r="B694" s="3" t="s">
        <v>972</v>
      </c>
      <c r="C694" s="1" t="s">
        <v>7</v>
      </c>
      <c r="D694" s="3"/>
    </row>
    <row r="695" spans="1:4" ht="15.75" customHeight="1" x14ac:dyDescent="0.25">
      <c r="A695" s="2">
        <v>30715279335</v>
      </c>
      <c r="B695" s="3" t="s">
        <v>1010</v>
      </c>
      <c r="C695" s="1" t="s">
        <v>308</v>
      </c>
      <c r="D695" s="3"/>
    </row>
    <row r="696" spans="1:4" ht="15.75" customHeight="1" x14ac:dyDescent="0.25">
      <c r="A696" s="2">
        <v>20303333038</v>
      </c>
      <c r="B696" s="3" t="s">
        <v>1030</v>
      </c>
      <c r="C696" s="1" t="s">
        <v>7</v>
      </c>
      <c r="D696" s="3"/>
    </row>
    <row r="697" spans="1:4" ht="15.75" customHeight="1" x14ac:dyDescent="0.25">
      <c r="A697" s="2">
        <v>30715288229</v>
      </c>
      <c r="B697" s="3" t="s">
        <v>1031</v>
      </c>
      <c r="C697" s="1" t="s">
        <v>7</v>
      </c>
      <c r="D697" s="3"/>
    </row>
    <row r="698" spans="1:4" ht="15.75" customHeight="1" x14ac:dyDescent="0.25">
      <c r="A698" s="2">
        <v>30525558246</v>
      </c>
      <c r="B698" s="3" t="s">
        <v>1223</v>
      </c>
      <c r="C698" s="1" t="s">
        <v>1755</v>
      </c>
      <c r="D698" s="3"/>
    </row>
    <row r="699" spans="1:4" ht="15.75" customHeight="1" x14ac:dyDescent="0.25">
      <c r="A699" s="2">
        <v>30595378695</v>
      </c>
      <c r="B699" s="3" t="s">
        <v>1252</v>
      </c>
      <c r="C699" s="1" t="s">
        <v>7</v>
      </c>
      <c r="D699" s="3"/>
    </row>
    <row r="700" spans="1:4" ht="15.75" customHeight="1" x14ac:dyDescent="0.25">
      <c r="A700" s="2">
        <v>30553547942</v>
      </c>
      <c r="B700" s="3" t="s">
        <v>1480</v>
      </c>
      <c r="C700" s="1" t="s">
        <v>7</v>
      </c>
      <c r="D700" s="3"/>
    </row>
    <row r="701" spans="1:4" ht="15.75" customHeight="1" x14ac:dyDescent="0.25">
      <c r="A701" s="2">
        <v>30710793561</v>
      </c>
      <c r="B701" s="3" t="s">
        <v>1176</v>
      </c>
      <c r="C701" s="1" t="s">
        <v>1177</v>
      </c>
      <c r="D701" s="3"/>
    </row>
    <row r="702" spans="1:4" ht="15.75" customHeight="1" x14ac:dyDescent="0.25">
      <c r="A702" s="2">
        <v>30677470123</v>
      </c>
      <c r="B702" s="3" t="s">
        <v>1248</v>
      </c>
      <c r="C702" s="1" t="s">
        <v>1741</v>
      </c>
      <c r="D702" s="3"/>
    </row>
    <row r="703" spans="1:4" ht="15.75" customHeight="1" x14ac:dyDescent="0.25">
      <c r="A703" s="2">
        <v>30709173401</v>
      </c>
      <c r="B703" s="3" t="s">
        <v>1171</v>
      </c>
      <c r="C703" s="1" t="s">
        <v>1172</v>
      </c>
      <c r="D703" s="3"/>
    </row>
    <row r="704" spans="1:4" ht="15.75" customHeight="1" x14ac:dyDescent="0.25">
      <c r="A704" s="2">
        <v>30715280333</v>
      </c>
      <c r="B704" s="3" t="s">
        <v>1129</v>
      </c>
      <c r="C704" s="1" t="s">
        <v>1130</v>
      </c>
      <c r="D704" s="3"/>
    </row>
    <row r="705" spans="1:4" ht="15.75" customHeight="1" x14ac:dyDescent="0.25">
      <c r="A705" s="2">
        <v>27385671526</v>
      </c>
      <c r="B705" s="3" t="s">
        <v>1134</v>
      </c>
      <c r="C705" s="1" t="s">
        <v>1135</v>
      </c>
      <c r="D705" s="3"/>
    </row>
    <row r="706" spans="1:4" ht="15.75" customHeight="1" x14ac:dyDescent="0.25">
      <c r="A706" s="2">
        <v>20282837472</v>
      </c>
      <c r="B706" s="3" t="s">
        <v>1168</v>
      </c>
      <c r="C706" s="1" t="s">
        <v>19</v>
      </c>
      <c r="D706" s="3"/>
    </row>
    <row r="707" spans="1:4" ht="15.75" customHeight="1" x14ac:dyDescent="0.25">
      <c r="A707" s="2">
        <v>20141343700</v>
      </c>
      <c r="B707" s="3" t="s">
        <v>1174</v>
      </c>
      <c r="C707" s="1" t="s">
        <v>19</v>
      </c>
      <c r="D707" s="3"/>
    </row>
    <row r="708" spans="1:4" ht="15.75" customHeight="1" x14ac:dyDescent="0.25">
      <c r="A708" s="2">
        <v>30609968792</v>
      </c>
      <c r="B708" s="3" t="s">
        <v>18</v>
      </c>
      <c r="C708" s="1" t="s">
        <v>19</v>
      </c>
      <c r="D708" s="3"/>
    </row>
    <row r="709" spans="1:4" ht="15.75" customHeight="1" x14ac:dyDescent="0.25">
      <c r="A709" s="2">
        <v>20105339330</v>
      </c>
      <c r="B709" s="3" t="s">
        <v>25</v>
      </c>
      <c r="C709" s="1" t="s">
        <v>19</v>
      </c>
      <c r="D709" s="3"/>
    </row>
    <row r="710" spans="1:4" ht="15.75" customHeight="1" x14ac:dyDescent="0.25">
      <c r="A710" s="2">
        <v>30715864262</v>
      </c>
      <c r="B710" s="3" t="s">
        <v>42</v>
      </c>
      <c r="C710" s="1" t="s">
        <v>19</v>
      </c>
      <c r="D710" s="3"/>
    </row>
    <row r="711" spans="1:4" ht="15.75" customHeight="1" x14ac:dyDescent="0.25">
      <c r="A711" s="2">
        <v>30712048685</v>
      </c>
      <c r="B711" s="3" t="s">
        <v>53</v>
      </c>
      <c r="C711" s="1" t="s">
        <v>19</v>
      </c>
      <c r="D711" s="3"/>
    </row>
    <row r="712" spans="1:4" ht="15.75" customHeight="1" x14ac:dyDescent="0.25">
      <c r="A712" s="2">
        <v>30711950091</v>
      </c>
      <c r="B712" s="3" t="s">
        <v>66</v>
      </c>
      <c r="C712" s="1" t="s">
        <v>19</v>
      </c>
      <c r="D712" s="3"/>
    </row>
    <row r="713" spans="1:4" ht="15.75" customHeight="1" x14ac:dyDescent="0.25">
      <c r="A713" s="2">
        <v>30707589279</v>
      </c>
      <c r="B713" s="3" t="s">
        <v>73</v>
      </c>
      <c r="C713" s="1" t="s">
        <v>19</v>
      </c>
      <c r="D713" s="3"/>
    </row>
    <row r="714" spans="1:4" ht="15.75" customHeight="1" x14ac:dyDescent="0.25">
      <c r="A714" s="2">
        <v>30711114552</v>
      </c>
      <c r="B714" s="3" t="s">
        <v>90</v>
      </c>
      <c r="C714" s="1" t="s">
        <v>19</v>
      </c>
      <c r="D714" s="3"/>
    </row>
    <row r="715" spans="1:4" ht="15.75" customHeight="1" x14ac:dyDescent="0.25">
      <c r="A715" s="2">
        <v>30555752675</v>
      </c>
      <c r="B715" s="3" t="s">
        <v>105</v>
      </c>
      <c r="C715" s="1" t="s">
        <v>19</v>
      </c>
      <c r="D715" s="3"/>
    </row>
    <row r="716" spans="1:4" ht="15.75" customHeight="1" x14ac:dyDescent="0.25">
      <c r="A716" s="2">
        <v>30692857611</v>
      </c>
      <c r="B716" s="3" t="s">
        <v>119</v>
      </c>
      <c r="C716" s="1" t="s">
        <v>19</v>
      </c>
      <c r="D716" s="3"/>
    </row>
    <row r="717" spans="1:4" ht="15.75" customHeight="1" x14ac:dyDescent="0.25">
      <c r="A717" s="2">
        <v>30639171163</v>
      </c>
      <c r="B717" s="3" t="s">
        <v>121</v>
      </c>
      <c r="C717" s="1" t="s">
        <v>19</v>
      </c>
      <c r="D717" s="3"/>
    </row>
    <row r="718" spans="1:4" ht="15.75" customHeight="1" x14ac:dyDescent="0.25">
      <c r="A718" s="2">
        <v>30708945109</v>
      </c>
      <c r="B718" s="3" t="s">
        <v>150</v>
      </c>
      <c r="C718" s="1" t="s">
        <v>19</v>
      </c>
      <c r="D718" s="3"/>
    </row>
    <row r="719" spans="1:4" ht="15.75" customHeight="1" x14ac:dyDescent="0.25">
      <c r="A719" s="2">
        <v>30707988378</v>
      </c>
      <c r="B719" s="3" t="s">
        <v>168</v>
      </c>
      <c r="C719" s="1" t="s">
        <v>19</v>
      </c>
      <c r="D719" s="3"/>
    </row>
    <row r="720" spans="1:4" ht="15.75" customHeight="1" x14ac:dyDescent="0.25">
      <c r="A720" s="2">
        <v>20220614833</v>
      </c>
      <c r="B720" s="3" t="s">
        <v>169</v>
      </c>
      <c r="C720" s="1" t="s">
        <v>19</v>
      </c>
      <c r="D720" s="3"/>
    </row>
    <row r="721" spans="1:4" ht="15.75" customHeight="1" x14ac:dyDescent="0.25">
      <c r="A721" s="2">
        <v>30693819330</v>
      </c>
      <c r="B721" s="3" t="s">
        <v>172</v>
      </c>
      <c r="C721" s="1" t="s">
        <v>19</v>
      </c>
      <c r="D721" s="3"/>
    </row>
    <row r="722" spans="1:4" ht="15.75" customHeight="1" x14ac:dyDescent="0.25">
      <c r="A722" s="2">
        <v>20077422383</v>
      </c>
      <c r="B722" s="3" t="s">
        <v>174</v>
      </c>
      <c r="C722" s="1" t="s">
        <v>19</v>
      </c>
      <c r="D722" s="3"/>
    </row>
    <row r="723" spans="1:4" ht="15.75" customHeight="1" x14ac:dyDescent="0.25">
      <c r="A723" s="2">
        <v>20341462933</v>
      </c>
      <c r="B723" s="3" t="s">
        <v>175</v>
      </c>
      <c r="C723" s="1" t="s">
        <v>19</v>
      </c>
      <c r="D723" s="3"/>
    </row>
    <row r="724" spans="1:4" ht="15.75" customHeight="1" x14ac:dyDescent="0.25">
      <c r="A724" s="2">
        <v>20315502358</v>
      </c>
      <c r="B724" s="3" t="s">
        <v>176</v>
      </c>
      <c r="C724" s="1" t="s">
        <v>19</v>
      </c>
      <c r="D724" s="3"/>
    </row>
    <row r="725" spans="1:4" ht="15.75" customHeight="1" x14ac:dyDescent="0.25">
      <c r="A725" s="2">
        <v>30707598936</v>
      </c>
      <c r="B725" s="3" t="s">
        <v>182</v>
      </c>
      <c r="C725" s="1" t="s">
        <v>19</v>
      </c>
      <c r="D725" s="3"/>
    </row>
    <row r="726" spans="1:4" ht="15.75" customHeight="1" x14ac:dyDescent="0.25">
      <c r="A726" s="2">
        <v>30709040916</v>
      </c>
      <c r="B726" s="3" t="s">
        <v>189</v>
      </c>
      <c r="C726" s="1" t="s">
        <v>19</v>
      </c>
      <c r="D726" s="3"/>
    </row>
    <row r="727" spans="1:4" ht="15.75" customHeight="1" x14ac:dyDescent="0.25">
      <c r="A727" s="2">
        <v>30630984668</v>
      </c>
      <c r="B727" s="3" t="s">
        <v>194</v>
      </c>
      <c r="C727" s="1" t="s">
        <v>19</v>
      </c>
      <c r="D727" s="3"/>
    </row>
    <row r="728" spans="1:4" ht="15.75" customHeight="1" x14ac:dyDescent="0.25">
      <c r="A728" s="2">
        <v>27349389083</v>
      </c>
      <c r="B728" s="3" t="s">
        <v>210</v>
      </c>
      <c r="C728" s="1" t="s">
        <v>19</v>
      </c>
      <c r="D728" s="3"/>
    </row>
    <row r="729" spans="1:4" ht="15.75" customHeight="1" x14ac:dyDescent="0.25">
      <c r="A729" s="2">
        <v>20296550184</v>
      </c>
      <c r="B729" s="3" t="s">
        <v>232</v>
      </c>
      <c r="C729" s="1" t="s">
        <v>19</v>
      </c>
      <c r="D729" s="3"/>
    </row>
    <row r="730" spans="1:4" ht="15.75" customHeight="1" x14ac:dyDescent="0.25">
      <c r="A730" s="2">
        <v>30707589279</v>
      </c>
      <c r="B730" s="3" t="s">
        <v>240</v>
      </c>
      <c r="C730" s="1" t="s">
        <v>19</v>
      </c>
      <c r="D730" s="3"/>
    </row>
    <row r="731" spans="1:4" ht="15.75" customHeight="1" x14ac:dyDescent="0.25">
      <c r="A731" s="2">
        <v>30528214483</v>
      </c>
      <c r="B731" s="3" t="s">
        <v>242</v>
      </c>
      <c r="C731" s="1" t="s">
        <v>19</v>
      </c>
      <c r="D731" s="3"/>
    </row>
    <row r="732" spans="1:4" ht="15.75" customHeight="1" x14ac:dyDescent="0.25">
      <c r="A732" s="2">
        <v>30638318470</v>
      </c>
      <c r="B732" s="3" t="s">
        <v>261</v>
      </c>
      <c r="C732" s="1" t="s">
        <v>19</v>
      </c>
      <c r="D732" s="3"/>
    </row>
    <row r="733" spans="1:4" ht="15.75" customHeight="1" x14ac:dyDescent="0.25">
      <c r="A733" s="2">
        <v>30676055580</v>
      </c>
      <c r="B733" s="3" t="s">
        <v>265</v>
      </c>
      <c r="C733" s="1" t="s">
        <v>19</v>
      </c>
      <c r="D733" s="3"/>
    </row>
    <row r="734" spans="1:4" ht="15.75" customHeight="1" x14ac:dyDescent="0.25">
      <c r="A734" s="2">
        <v>30708759690</v>
      </c>
      <c r="B734" s="3" t="s">
        <v>268</v>
      </c>
      <c r="C734" s="1" t="s">
        <v>19</v>
      </c>
      <c r="D734" s="3"/>
    </row>
    <row r="735" spans="1:4" ht="15.75" customHeight="1" x14ac:dyDescent="0.25">
      <c r="A735" s="2">
        <v>30679124451</v>
      </c>
      <c r="B735" s="3" t="s">
        <v>281</v>
      </c>
      <c r="C735" s="1" t="s">
        <v>19</v>
      </c>
      <c r="D735" s="3"/>
    </row>
    <row r="736" spans="1:4" ht="15.75" customHeight="1" x14ac:dyDescent="0.25">
      <c r="A736" s="2">
        <v>30655921644</v>
      </c>
      <c r="B736" s="3" t="s">
        <v>313</v>
      </c>
      <c r="C736" s="1" t="s">
        <v>19</v>
      </c>
      <c r="D736" s="3"/>
    </row>
    <row r="737" spans="1:4" ht="15.75" customHeight="1" x14ac:dyDescent="0.25">
      <c r="A737" s="2">
        <v>30582605021</v>
      </c>
      <c r="B737" s="3" t="s">
        <v>314</v>
      </c>
      <c r="C737" s="1" t="s">
        <v>19</v>
      </c>
      <c r="D737" s="3"/>
    </row>
    <row r="738" spans="1:4" ht="15.75" customHeight="1" x14ac:dyDescent="0.25">
      <c r="A738" s="2">
        <v>33711557119</v>
      </c>
      <c r="B738" s="3" t="s">
        <v>321</v>
      </c>
      <c r="C738" s="1" t="s">
        <v>19</v>
      </c>
      <c r="D738" s="3"/>
    </row>
    <row r="739" spans="1:4" ht="15.75" customHeight="1" x14ac:dyDescent="0.25">
      <c r="A739" s="2">
        <v>30559932236</v>
      </c>
      <c r="B739" s="3" t="s">
        <v>322</v>
      </c>
      <c r="C739" s="1" t="s">
        <v>19</v>
      </c>
      <c r="D739" s="3"/>
    </row>
    <row r="740" spans="1:4" ht="15.75" customHeight="1" x14ac:dyDescent="0.25">
      <c r="A740" s="2">
        <v>30539943967</v>
      </c>
      <c r="B740" s="3" t="s">
        <v>336</v>
      </c>
      <c r="C740" s="1" t="s">
        <v>19</v>
      </c>
      <c r="D740" s="3"/>
    </row>
    <row r="741" spans="1:4" ht="15.75" customHeight="1" x14ac:dyDescent="0.25">
      <c r="A741" s="2">
        <v>30617264885</v>
      </c>
      <c r="B741" s="3" t="s">
        <v>339</v>
      </c>
      <c r="C741" s="1" t="s">
        <v>19</v>
      </c>
      <c r="D741" s="3"/>
    </row>
    <row r="742" spans="1:4" ht="15.75" customHeight="1" x14ac:dyDescent="0.25">
      <c r="A742" s="2">
        <v>30710018819</v>
      </c>
      <c r="B742" s="3" t="s">
        <v>347</v>
      </c>
      <c r="C742" s="1" t="s">
        <v>19</v>
      </c>
      <c r="D742" s="3"/>
    </row>
    <row r="743" spans="1:4" ht="15.75" customHeight="1" x14ac:dyDescent="0.25">
      <c r="A743" s="2">
        <v>20250022655</v>
      </c>
      <c r="B743" s="3" t="s">
        <v>380</v>
      </c>
      <c r="C743" s="1" t="s">
        <v>19</v>
      </c>
      <c r="D743" s="3"/>
    </row>
    <row r="744" spans="1:4" ht="15.75" customHeight="1" x14ac:dyDescent="0.25">
      <c r="A744" s="2">
        <v>30710045395</v>
      </c>
      <c r="B744" s="3" t="s">
        <v>385</v>
      </c>
      <c r="C744" s="1" t="s">
        <v>19</v>
      </c>
      <c r="D744" s="3"/>
    </row>
    <row r="745" spans="1:4" ht="15.75" customHeight="1" x14ac:dyDescent="0.25">
      <c r="A745" s="2">
        <v>30573843440</v>
      </c>
      <c r="B745" s="3" t="s">
        <v>411</v>
      </c>
      <c r="C745" s="1" t="s">
        <v>19</v>
      </c>
      <c r="D745" s="3"/>
    </row>
    <row r="746" spans="1:4" ht="15.75" customHeight="1" x14ac:dyDescent="0.25">
      <c r="A746" s="2">
        <v>24273099685</v>
      </c>
      <c r="B746" s="3" t="s">
        <v>429</v>
      </c>
      <c r="C746" s="1" t="s">
        <v>19</v>
      </c>
      <c r="D746" s="3"/>
    </row>
    <row r="747" spans="1:4" ht="15.75" customHeight="1" x14ac:dyDescent="0.25">
      <c r="A747" s="2">
        <v>30614021485</v>
      </c>
      <c r="B747" s="3" t="s">
        <v>443</v>
      </c>
      <c r="C747" s="1" t="s">
        <v>19</v>
      </c>
      <c r="D747" s="3"/>
    </row>
    <row r="748" spans="1:4" ht="15.75" customHeight="1" x14ac:dyDescent="0.25">
      <c r="A748" s="2">
        <v>30540782934</v>
      </c>
      <c r="B748" s="3" t="s">
        <v>445</v>
      </c>
      <c r="C748" s="1" t="s">
        <v>19</v>
      </c>
      <c r="D748" s="3"/>
    </row>
    <row r="749" spans="1:4" ht="15.75" customHeight="1" x14ac:dyDescent="0.25">
      <c r="A749" s="2">
        <v>30540782934</v>
      </c>
      <c r="B749" s="3" t="s">
        <v>445</v>
      </c>
      <c r="C749" s="1" t="s">
        <v>19</v>
      </c>
      <c r="D749" s="3"/>
    </row>
    <row r="750" spans="1:4" ht="15.75" customHeight="1" x14ac:dyDescent="0.25">
      <c r="A750" s="2">
        <v>30709037060</v>
      </c>
      <c r="B750" s="3" t="s">
        <v>457</v>
      </c>
      <c r="C750" s="1" t="s">
        <v>19</v>
      </c>
      <c r="D750" s="3"/>
    </row>
    <row r="751" spans="1:4" ht="15.75" customHeight="1" x14ac:dyDescent="0.25">
      <c r="A751" s="2">
        <v>30711758905</v>
      </c>
      <c r="B751" s="3" t="s">
        <v>459</v>
      </c>
      <c r="C751" s="1" t="s">
        <v>19</v>
      </c>
      <c r="D751" s="3"/>
    </row>
    <row r="752" spans="1:4" ht="15.75" customHeight="1" x14ac:dyDescent="0.25">
      <c r="A752" s="2">
        <v>30711758905</v>
      </c>
      <c r="B752" s="3" t="s">
        <v>459</v>
      </c>
      <c r="C752" s="1" t="s">
        <v>19</v>
      </c>
      <c r="D752" s="3"/>
    </row>
    <row r="753" spans="1:4" ht="15.75" customHeight="1" x14ac:dyDescent="0.25">
      <c r="A753" s="2">
        <v>30710389043</v>
      </c>
      <c r="B753" s="3" t="s">
        <v>461</v>
      </c>
      <c r="C753" s="1" t="s">
        <v>19</v>
      </c>
      <c r="D753" s="3"/>
    </row>
    <row r="754" spans="1:4" ht="15.75" customHeight="1" x14ac:dyDescent="0.25">
      <c r="A754" s="2">
        <v>33708776349</v>
      </c>
      <c r="B754" s="3" t="s">
        <v>462</v>
      </c>
      <c r="C754" s="1" t="s">
        <v>19</v>
      </c>
      <c r="D754" s="3"/>
    </row>
    <row r="755" spans="1:4" ht="15.75" customHeight="1" x14ac:dyDescent="0.25">
      <c r="A755" s="2">
        <v>33708776349</v>
      </c>
      <c r="B755" s="3" t="s">
        <v>463</v>
      </c>
      <c r="C755" s="1" t="s">
        <v>19</v>
      </c>
      <c r="D755" s="3"/>
    </row>
    <row r="756" spans="1:4" ht="15.75" customHeight="1" x14ac:dyDescent="0.25">
      <c r="A756" s="2">
        <v>30628724497</v>
      </c>
      <c r="B756" s="3" t="s">
        <v>481</v>
      </c>
      <c r="C756" s="1" t="s">
        <v>19</v>
      </c>
      <c r="D756" s="3"/>
    </row>
    <row r="757" spans="1:4" ht="15.75" customHeight="1" x14ac:dyDescent="0.25">
      <c r="A757" s="2">
        <v>30711138303</v>
      </c>
      <c r="B757" s="3" t="s">
        <v>492</v>
      </c>
      <c r="C757" s="1" t="s">
        <v>19</v>
      </c>
      <c r="D757" s="3"/>
    </row>
    <row r="758" spans="1:4" ht="15.75" customHeight="1" x14ac:dyDescent="0.25">
      <c r="A758" s="2">
        <v>30709775762</v>
      </c>
      <c r="B758" s="3" t="s">
        <v>503</v>
      </c>
      <c r="C758" s="1" t="s">
        <v>19</v>
      </c>
      <c r="D758" s="3"/>
    </row>
    <row r="759" spans="1:4" ht="15.75" customHeight="1" x14ac:dyDescent="0.25">
      <c r="A759" s="2">
        <v>30709665967</v>
      </c>
      <c r="B759" s="3" t="s">
        <v>506</v>
      </c>
      <c r="C759" s="1" t="s">
        <v>19</v>
      </c>
      <c r="D759" s="3"/>
    </row>
    <row r="760" spans="1:4" ht="15.75" customHeight="1" x14ac:dyDescent="0.25">
      <c r="A760" s="2">
        <v>30710074867</v>
      </c>
      <c r="B760" s="3" t="s">
        <v>513</v>
      </c>
      <c r="C760" s="1" t="s">
        <v>19</v>
      </c>
      <c r="D760" s="3"/>
    </row>
    <row r="761" spans="1:4" ht="15.75" customHeight="1" x14ac:dyDescent="0.25">
      <c r="A761" s="2">
        <v>33606484599</v>
      </c>
      <c r="B761" s="3" t="s">
        <v>536</v>
      </c>
      <c r="C761" s="1" t="s">
        <v>19</v>
      </c>
      <c r="D761" s="3"/>
    </row>
    <row r="762" spans="1:4" ht="15.75" customHeight="1" x14ac:dyDescent="0.25">
      <c r="A762" s="2">
        <v>33707660509</v>
      </c>
      <c r="B762" s="3" t="s">
        <v>537</v>
      </c>
      <c r="C762" s="1" t="s">
        <v>19</v>
      </c>
      <c r="D762" s="3"/>
    </row>
    <row r="763" spans="1:4" ht="15.75" customHeight="1" x14ac:dyDescent="0.25">
      <c r="A763" s="2">
        <v>24273099685</v>
      </c>
      <c r="B763" s="3" t="s">
        <v>544</v>
      </c>
      <c r="C763" s="1" t="s">
        <v>19</v>
      </c>
      <c r="D763" s="3"/>
    </row>
    <row r="764" spans="1:4" ht="15.75" customHeight="1" x14ac:dyDescent="0.25">
      <c r="A764" s="2">
        <v>20268667297</v>
      </c>
      <c r="B764" s="3" t="s">
        <v>547</v>
      </c>
      <c r="C764" s="1" t="s">
        <v>19</v>
      </c>
      <c r="D764" s="3"/>
    </row>
    <row r="765" spans="1:4" ht="15.75" customHeight="1" x14ac:dyDescent="0.25">
      <c r="A765" s="2">
        <v>20188185429</v>
      </c>
      <c r="B765" s="3" t="s">
        <v>551</v>
      </c>
      <c r="C765" s="1" t="s">
        <v>19</v>
      </c>
      <c r="D765" s="3"/>
    </row>
    <row r="766" spans="1:4" ht="15.75" customHeight="1" x14ac:dyDescent="0.25">
      <c r="A766" s="2">
        <v>20188185429</v>
      </c>
      <c r="B766" s="3" t="s">
        <v>551</v>
      </c>
      <c r="C766" s="1" t="s">
        <v>19</v>
      </c>
      <c r="D766" s="3"/>
    </row>
    <row r="767" spans="1:4" ht="15.75" customHeight="1" x14ac:dyDescent="0.25">
      <c r="A767" s="2">
        <v>30711265445</v>
      </c>
      <c r="B767" s="3" t="s">
        <v>552</v>
      </c>
      <c r="C767" s="1" t="s">
        <v>19</v>
      </c>
      <c r="D767" s="3"/>
    </row>
    <row r="768" spans="1:4" ht="15.75" customHeight="1" x14ac:dyDescent="0.25">
      <c r="A768" s="2">
        <v>30711265445</v>
      </c>
      <c r="B768" s="3" t="s">
        <v>552</v>
      </c>
      <c r="C768" s="1" t="s">
        <v>19</v>
      </c>
      <c r="D768" s="3"/>
    </row>
    <row r="769" spans="1:4" ht="15.75" customHeight="1" x14ac:dyDescent="0.25">
      <c r="A769" s="2">
        <v>30500805222</v>
      </c>
      <c r="B769" s="3" t="s">
        <v>553</v>
      </c>
      <c r="C769" s="1" t="s">
        <v>19</v>
      </c>
      <c r="D769" s="3"/>
    </row>
    <row r="770" spans="1:4" ht="15.75" customHeight="1" x14ac:dyDescent="0.25">
      <c r="A770" s="2">
        <v>20056249533</v>
      </c>
      <c r="B770" s="3" t="s">
        <v>590</v>
      </c>
      <c r="C770" s="1" t="s">
        <v>19</v>
      </c>
      <c r="D770" s="3"/>
    </row>
    <row r="771" spans="1:4" ht="15.75" customHeight="1" x14ac:dyDescent="0.25">
      <c r="A771" s="2">
        <v>30545338625</v>
      </c>
      <c r="B771" s="3" t="s">
        <v>596</v>
      </c>
      <c r="C771" s="1" t="s">
        <v>19</v>
      </c>
      <c r="D771" s="3"/>
    </row>
    <row r="772" spans="1:4" ht="15.75" customHeight="1" x14ac:dyDescent="0.25">
      <c r="A772" s="2">
        <v>30545338625</v>
      </c>
      <c r="B772" s="3" t="s">
        <v>596</v>
      </c>
      <c r="C772" s="1" t="s">
        <v>19</v>
      </c>
      <c r="D772" s="3"/>
    </row>
    <row r="773" spans="1:4" ht="15.75" customHeight="1" x14ac:dyDescent="0.25">
      <c r="A773" s="2">
        <v>30694562392</v>
      </c>
      <c r="B773" s="3" t="s">
        <v>597</v>
      </c>
      <c r="C773" s="1" t="s">
        <v>19</v>
      </c>
      <c r="D773" s="3"/>
    </row>
    <row r="774" spans="1:4" ht="15.75" customHeight="1" x14ac:dyDescent="0.25">
      <c r="A774" s="2">
        <v>30715779621</v>
      </c>
      <c r="B774" s="3" t="s">
        <v>603</v>
      </c>
      <c r="C774" s="1" t="s">
        <v>19</v>
      </c>
      <c r="D774" s="3"/>
    </row>
    <row r="775" spans="1:4" ht="15.75" customHeight="1" x14ac:dyDescent="0.25">
      <c r="A775" s="2">
        <v>30708600187</v>
      </c>
      <c r="B775" s="3" t="s">
        <v>602</v>
      </c>
      <c r="C775" s="1" t="s">
        <v>19</v>
      </c>
      <c r="D775" s="3"/>
    </row>
    <row r="776" spans="1:4" ht="15.75" customHeight="1" x14ac:dyDescent="0.25">
      <c r="A776" s="2">
        <v>30708600187</v>
      </c>
      <c r="B776" s="3" t="s">
        <v>602</v>
      </c>
      <c r="C776" s="1" t="s">
        <v>19</v>
      </c>
      <c r="D776" s="3"/>
    </row>
    <row r="777" spans="1:4" ht="15.75" customHeight="1" x14ac:dyDescent="0.25">
      <c r="A777" s="2">
        <v>20182873277</v>
      </c>
      <c r="B777" s="3" t="s">
        <v>607</v>
      </c>
      <c r="C777" s="1" t="s">
        <v>19</v>
      </c>
      <c r="D777" s="3"/>
    </row>
    <row r="778" spans="1:4" ht="15.75" customHeight="1" x14ac:dyDescent="0.25">
      <c r="A778" s="2">
        <v>20182873277</v>
      </c>
      <c r="B778" s="3" t="s">
        <v>607</v>
      </c>
      <c r="C778" s="1" t="s">
        <v>19</v>
      </c>
      <c r="D778" s="3"/>
    </row>
    <row r="779" spans="1:4" ht="15.75" customHeight="1" x14ac:dyDescent="0.25">
      <c r="A779" s="2">
        <v>27064012210</v>
      </c>
      <c r="B779" s="3" t="s">
        <v>610</v>
      </c>
      <c r="C779" s="1" t="s">
        <v>19</v>
      </c>
      <c r="D779" s="3"/>
    </row>
    <row r="780" spans="1:4" ht="15.75" customHeight="1" x14ac:dyDescent="0.25">
      <c r="A780" s="2">
        <v>27064012210</v>
      </c>
      <c r="B780" s="3" t="s">
        <v>610</v>
      </c>
      <c r="C780" s="1" t="s">
        <v>19</v>
      </c>
      <c r="D780" s="3"/>
    </row>
    <row r="781" spans="1:4" ht="15.75" customHeight="1" x14ac:dyDescent="0.25">
      <c r="A781" s="2">
        <v>20044447437</v>
      </c>
      <c r="B781" s="3" t="s">
        <v>615</v>
      </c>
      <c r="C781" s="1" t="s">
        <v>19</v>
      </c>
      <c r="D781" s="3"/>
    </row>
    <row r="782" spans="1:4" ht="15.75" customHeight="1" x14ac:dyDescent="0.25">
      <c r="A782" s="2">
        <v>20044447437</v>
      </c>
      <c r="B782" s="3" t="s">
        <v>615</v>
      </c>
      <c r="C782" s="1" t="s">
        <v>19</v>
      </c>
      <c r="D782" s="3"/>
    </row>
    <row r="783" spans="1:4" ht="15.75" customHeight="1" x14ac:dyDescent="0.25">
      <c r="A783" s="2">
        <v>20044447437</v>
      </c>
      <c r="B783" s="3" t="s">
        <v>615</v>
      </c>
      <c r="C783" s="1" t="s">
        <v>19</v>
      </c>
      <c r="D783" s="3"/>
    </row>
    <row r="784" spans="1:4" ht="15.75" customHeight="1" x14ac:dyDescent="0.25">
      <c r="A784" s="2">
        <v>20044447437</v>
      </c>
      <c r="B784" s="3" t="s">
        <v>615</v>
      </c>
      <c r="C784" s="1" t="s">
        <v>19</v>
      </c>
      <c r="D784" s="3"/>
    </row>
    <row r="785" spans="1:4" ht="15.75" customHeight="1" x14ac:dyDescent="0.25">
      <c r="A785" s="2">
        <v>20277121000</v>
      </c>
      <c r="B785" s="3" t="s">
        <v>620</v>
      </c>
      <c r="C785" s="1" t="s">
        <v>19</v>
      </c>
      <c r="D785" s="3"/>
    </row>
    <row r="786" spans="1:4" ht="15.75" customHeight="1" x14ac:dyDescent="0.25">
      <c r="A786" s="2">
        <v>20277121000</v>
      </c>
      <c r="B786" s="3" t="s">
        <v>620</v>
      </c>
      <c r="C786" s="1" t="s">
        <v>19</v>
      </c>
      <c r="D786" s="3"/>
    </row>
    <row r="787" spans="1:4" ht="15.75" customHeight="1" x14ac:dyDescent="0.25">
      <c r="A787" s="2">
        <v>20126528397</v>
      </c>
      <c r="B787" s="3" t="s">
        <v>646</v>
      </c>
      <c r="C787" s="1" t="s">
        <v>19</v>
      </c>
      <c r="D787" s="3"/>
    </row>
    <row r="788" spans="1:4" ht="15.75" customHeight="1" x14ac:dyDescent="0.25">
      <c r="A788" s="2">
        <v>30702073657</v>
      </c>
      <c r="B788" s="3" t="s">
        <v>650</v>
      </c>
      <c r="C788" s="1" t="s">
        <v>19</v>
      </c>
      <c r="D788" s="3"/>
    </row>
    <row r="789" spans="1:4" ht="15.75" customHeight="1" x14ac:dyDescent="0.25">
      <c r="A789" s="2">
        <v>30624684628</v>
      </c>
      <c r="B789" s="3" t="s">
        <v>656</v>
      </c>
      <c r="C789" s="1" t="s">
        <v>19</v>
      </c>
      <c r="D789" s="3"/>
    </row>
    <row r="790" spans="1:4" ht="15.75" customHeight="1" x14ac:dyDescent="0.25">
      <c r="A790" s="2">
        <v>30711169896</v>
      </c>
      <c r="B790" s="3" t="s">
        <v>689</v>
      </c>
      <c r="C790" s="1" t="s">
        <v>19</v>
      </c>
      <c r="D790" s="3"/>
    </row>
    <row r="791" spans="1:4" ht="15.75" customHeight="1" x14ac:dyDescent="0.25">
      <c r="A791" s="2">
        <v>30711169896</v>
      </c>
      <c r="B791" s="3" t="s">
        <v>689</v>
      </c>
      <c r="C791" s="1" t="s">
        <v>19</v>
      </c>
      <c r="D791" s="3"/>
    </row>
    <row r="792" spans="1:4" ht="15.75" customHeight="1" x14ac:dyDescent="0.25">
      <c r="A792" s="2">
        <v>30714156000</v>
      </c>
      <c r="B792" s="3" t="s">
        <v>690</v>
      </c>
      <c r="C792" s="1" t="s">
        <v>19</v>
      </c>
      <c r="D792" s="3"/>
    </row>
    <row r="793" spans="1:4" ht="15.75" customHeight="1" x14ac:dyDescent="0.25">
      <c r="A793" s="2">
        <v>30714156000</v>
      </c>
      <c r="B793" s="3" t="s">
        <v>690</v>
      </c>
      <c r="C793" s="1" t="s">
        <v>19</v>
      </c>
      <c r="D793" s="3"/>
    </row>
    <row r="794" spans="1:4" ht="15.75" customHeight="1" x14ac:dyDescent="0.25">
      <c r="A794" s="2">
        <v>30504854023</v>
      </c>
      <c r="B794" s="3" t="s">
        <v>705</v>
      </c>
      <c r="C794" s="1" t="s">
        <v>19</v>
      </c>
      <c r="D794" s="3"/>
    </row>
    <row r="795" spans="1:4" ht="15.75" customHeight="1" x14ac:dyDescent="0.25">
      <c r="A795" s="2">
        <v>23178129449</v>
      </c>
      <c r="B795" s="3" t="s">
        <v>761</v>
      </c>
      <c r="C795" s="1" t="s">
        <v>19</v>
      </c>
      <c r="D795" s="3"/>
    </row>
    <row r="796" spans="1:4" ht="15.75" customHeight="1" x14ac:dyDescent="0.25">
      <c r="A796" s="2">
        <v>30711628955</v>
      </c>
      <c r="B796" s="3" t="s">
        <v>763</v>
      </c>
      <c r="C796" s="1" t="s">
        <v>19</v>
      </c>
      <c r="D796" s="3"/>
    </row>
    <row r="797" spans="1:4" ht="15.75" customHeight="1" x14ac:dyDescent="0.25">
      <c r="A797" s="2">
        <v>30650877124</v>
      </c>
      <c r="B797" s="3" t="s">
        <v>768</v>
      </c>
      <c r="C797" s="1" t="s">
        <v>19</v>
      </c>
      <c r="D797" s="3"/>
    </row>
    <row r="798" spans="1:4" ht="15.75" customHeight="1" x14ac:dyDescent="0.25">
      <c r="A798" s="2">
        <v>30650877124</v>
      </c>
      <c r="B798" s="3" t="s">
        <v>768</v>
      </c>
      <c r="C798" s="1" t="s">
        <v>19</v>
      </c>
      <c r="D798" s="3"/>
    </row>
    <row r="799" spans="1:4" ht="15.75" customHeight="1" x14ac:dyDescent="0.25">
      <c r="A799" s="2">
        <v>30534051049</v>
      </c>
      <c r="B799" s="3" t="s">
        <v>777</v>
      </c>
      <c r="C799" s="1" t="s">
        <v>19</v>
      </c>
      <c r="D799" s="3"/>
    </row>
    <row r="800" spans="1:4" ht="15.75" customHeight="1" x14ac:dyDescent="0.25">
      <c r="A800" s="2">
        <v>30707113894</v>
      </c>
      <c r="B800" s="3" t="s">
        <v>786</v>
      </c>
      <c r="C800" s="1" t="s">
        <v>19</v>
      </c>
      <c r="D800" s="3"/>
    </row>
    <row r="801" spans="1:4" ht="15.75" customHeight="1" x14ac:dyDescent="0.25">
      <c r="A801" s="2">
        <v>30714874981</v>
      </c>
      <c r="B801" s="3" t="s">
        <v>793</v>
      </c>
      <c r="C801" s="1" t="s">
        <v>19</v>
      </c>
      <c r="D801" s="3"/>
    </row>
    <row r="802" spans="1:4" ht="15.75" customHeight="1" x14ac:dyDescent="0.25">
      <c r="A802" s="2">
        <v>30710950101</v>
      </c>
      <c r="B802" s="3" t="s">
        <v>813</v>
      </c>
      <c r="C802" s="1" t="s">
        <v>19</v>
      </c>
      <c r="D802" s="3"/>
    </row>
    <row r="803" spans="1:4" ht="15.75" customHeight="1" x14ac:dyDescent="0.25">
      <c r="A803" s="2">
        <v>27062069347</v>
      </c>
      <c r="B803" s="3" t="s">
        <v>857</v>
      </c>
      <c r="C803" s="1" t="s">
        <v>19</v>
      </c>
      <c r="D803" s="3"/>
    </row>
    <row r="804" spans="1:4" ht="15.75" customHeight="1" x14ac:dyDescent="0.25">
      <c r="A804" s="2">
        <v>30714975044</v>
      </c>
      <c r="B804" s="3" t="s">
        <v>872</v>
      </c>
      <c r="C804" s="1" t="s">
        <v>19</v>
      </c>
      <c r="D804" s="3"/>
    </row>
    <row r="805" spans="1:4" ht="15.75" customHeight="1" x14ac:dyDescent="0.25">
      <c r="A805" s="2">
        <v>30714975044</v>
      </c>
      <c r="B805" s="3" t="s">
        <v>872</v>
      </c>
      <c r="C805" s="1" t="s">
        <v>19</v>
      </c>
      <c r="D805" s="3"/>
    </row>
    <row r="806" spans="1:4" ht="15.75" customHeight="1" x14ac:dyDescent="0.25">
      <c r="A806" s="2">
        <v>30631047145</v>
      </c>
      <c r="B806" s="3" t="s">
        <v>877</v>
      </c>
      <c r="C806" s="1" t="s">
        <v>19</v>
      </c>
      <c r="D806" s="3"/>
    </row>
    <row r="807" spans="1:4" ht="15.75" customHeight="1" x14ac:dyDescent="0.25">
      <c r="A807" s="2">
        <v>30631047145</v>
      </c>
      <c r="B807" s="3" t="s">
        <v>877</v>
      </c>
      <c r="C807" s="1" t="s">
        <v>19</v>
      </c>
      <c r="D807" s="3"/>
    </row>
    <row r="808" spans="1:4" ht="15.75" customHeight="1" x14ac:dyDescent="0.25">
      <c r="A808" s="2">
        <v>30710878974</v>
      </c>
      <c r="B808" s="3" t="s">
        <v>930</v>
      </c>
      <c r="C808" s="1" t="s">
        <v>19</v>
      </c>
      <c r="D808" s="3"/>
    </row>
    <row r="809" spans="1:4" ht="15.75" customHeight="1" x14ac:dyDescent="0.25">
      <c r="A809" s="2">
        <v>30710878974</v>
      </c>
      <c r="B809" s="3" t="s">
        <v>930</v>
      </c>
      <c r="C809" s="1" t="s">
        <v>19</v>
      </c>
      <c r="D809" s="3"/>
    </row>
    <row r="810" spans="1:4" ht="15.75" customHeight="1" x14ac:dyDescent="0.25">
      <c r="A810" s="2">
        <v>30714598860</v>
      </c>
      <c r="B810" s="3" t="s">
        <v>932</v>
      </c>
      <c r="C810" s="1" t="s">
        <v>19</v>
      </c>
      <c r="D810" s="3"/>
    </row>
    <row r="811" spans="1:4" ht="15.75" customHeight="1" x14ac:dyDescent="0.25">
      <c r="A811" s="2">
        <v>30714598860</v>
      </c>
      <c r="B811" s="3" t="s">
        <v>933</v>
      </c>
      <c r="C811" s="1" t="s">
        <v>19</v>
      </c>
      <c r="D811" s="3"/>
    </row>
    <row r="812" spans="1:4" ht="15.75" customHeight="1" x14ac:dyDescent="0.25">
      <c r="A812" s="2">
        <v>20084361683</v>
      </c>
      <c r="B812" s="3" t="s">
        <v>934</v>
      </c>
      <c r="C812" s="1" t="s">
        <v>19</v>
      </c>
      <c r="D812" s="3"/>
    </row>
    <row r="813" spans="1:4" ht="15.75" customHeight="1" x14ac:dyDescent="0.25">
      <c r="A813" s="2">
        <v>30715279491</v>
      </c>
      <c r="B813" s="3" t="s">
        <v>975</v>
      </c>
      <c r="C813" s="1" t="s">
        <v>19</v>
      </c>
      <c r="D813" s="3"/>
    </row>
    <row r="814" spans="1:4" ht="15.75" customHeight="1" x14ac:dyDescent="0.25">
      <c r="A814" s="2">
        <v>30715279491</v>
      </c>
      <c r="B814" s="3" t="s">
        <v>975</v>
      </c>
      <c r="C814" s="1" t="s">
        <v>19</v>
      </c>
      <c r="D814" s="3"/>
    </row>
    <row r="815" spans="1:4" ht="15.75" customHeight="1" x14ac:dyDescent="0.25">
      <c r="A815" s="2">
        <v>30715279491</v>
      </c>
      <c r="B815" s="3" t="s">
        <v>975</v>
      </c>
      <c r="C815" s="1" t="s">
        <v>19</v>
      </c>
      <c r="D815" s="3"/>
    </row>
    <row r="816" spans="1:4" ht="15.75" customHeight="1" x14ac:dyDescent="0.25">
      <c r="A816" s="2">
        <v>30661176292</v>
      </c>
      <c r="B816" s="3" t="s">
        <v>996</v>
      </c>
      <c r="C816" s="1" t="s">
        <v>19</v>
      </c>
      <c r="D816" s="3"/>
    </row>
    <row r="817" spans="1:4" ht="15.75" customHeight="1" x14ac:dyDescent="0.25">
      <c r="A817" s="2">
        <v>30578341397</v>
      </c>
      <c r="B817" s="3" t="s">
        <v>1018</v>
      </c>
      <c r="C817" s="1" t="s">
        <v>19</v>
      </c>
      <c r="D817" s="3"/>
    </row>
    <row r="818" spans="1:4" ht="15.75" customHeight="1" x14ac:dyDescent="0.25">
      <c r="A818" s="2">
        <v>20120109449</v>
      </c>
      <c r="B818" s="3" t="s">
        <v>762</v>
      </c>
      <c r="C818" s="1" t="s">
        <v>19</v>
      </c>
      <c r="D818" s="3"/>
    </row>
    <row r="819" spans="1:4" ht="15.75" customHeight="1" x14ac:dyDescent="0.25">
      <c r="A819" s="2">
        <v>30715296000</v>
      </c>
      <c r="B819" s="3" t="s">
        <v>1205</v>
      </c>
      <c r="C819" s="1" t="s">
        <v>1206</v>
      </c>
      <c r="D819" s="3"/>
    </row>
    <row r="820" spans="1:4" ht="15.75" customHeight="1" x14ac:dyDescent="0.25">
      <c r="A820" s="2">
        <v>30714543357</v>
      </c>
      <c r="B820" s="3" t="s">
        <v>1312</v>
      </c>
      <c r="C820" s="1" t="s">
        <v>5</v>
      </c>
      <c r="D820" s="3"/>
    </row>
    <row r="821" spans="1:4" ht="15.75" customHeight="1" x14ac:dyDescent="0.25">
      <c r="A821" s="2">
        <v>20275363279</v>
      </c>
      <c r="B821" s="3" t="s">
        <v>1333</v>
      </c>
      <c r="C821" s="1" t="s">
        <v>5</v>
      </c>
      <c r="D821" s="3"/>
    </row>
    <row r="822" spans="1:4" ht="15.75" customHeight="1" x14ac:dyDescent="0.25">
      <c r="A822" s="2"/>
      <c r="B822" s="3" t="s">
        <v>780</v>
      </c>
      <c r="C822" s="1" t="s">
        <v>5</v>
      </c>
      <c r="D822" s="3"/>
    </row>
    <row r="823" spans="1:4" ht="15.75" customHeight="1" x14ac:dyDescent="0.25">
      <c r="A823" s="2">
        <v>20304776863</v>
      </c>
      <c r="B823" s="3" t="s">
        <v>191</v>
      </c>
      <c r="C823" s="1" t="s">
        <v>192</v>
      </c>
      <c r="D823" s="3"/>
    </row>
    <row r="824" spans="1:4" ht="15.75" customHeight="1" x14ac:dyDescent="0.25">
      <c r="A824" s="2">
        <v>20265592628</v>
      </c>
      <c r="B824" s="3" t="s">
        <v>235</v>
      </c>
      <c r="C824" s="1" t="s">
        <v>192</v>
      </c>
      <c r="D824" s="3"/>
    </row>
    <row r="825" spans="1:4" ht="15.75" customHeight="1" x14ac:dyDescent="0.25">
      <c r="A825" s="2">
        <v>30711877386</v>
      </c>
      <c r="B825" s="3" t="s">
        <v>808</v>
      </c>
      <c r="C825" s="1" t="s">
        <v>809</v>
      </c>
      <c r="D825" s="3"/>
    </row>
    <row r="826" spans="1:4" ht="15.75" customHeight="1" x14ac:dyDescent="0.25">
      <c r="A826" s="2">
        <v>30694444926</v>
      </c>
      <c r="B826" s="3" t="s">
        <v>1043</v>
      </c>
      <c r="C826" s="1" t="s">
        <v>809</v>
      </c>
      <c r="D826" s="3"/>
    </row>
    <row r="827" spans="1:4" ht="15.75" customHeight="1" x14ac:dyDescent="0.25">
      <c r="A827" s="2">
        <v>20261338891</v>
      </c>
      <c r="B827" s="3" t="s">
        <v>1059</v>
      </c>
      <c r="C827" s="1" t="s">
        <v>809</v>
      </c>
      <c r="D827" s="3"/>
    </row>
    <row r="828" spans="1:4" ht="15.75" customHeight="1" x14ac:dyDescent="0.25">
      <c r="A828" s="2">
        <v>30711877386</v>
      </c>
      <c r="B828" s="3" t="s">
        <v>808</v>
      </c>
      <c r="C828" s="1" t="s">
        <v>809</v>
      </c>
      <c r="D828" s="3"/>
    </row>
    <row r="829" spans="1:4" ht="15.75" customHeight="1" x14ac:dyDescent="0.25">
      <c r="A829" s="2">
        <v>30500987878</v>
      </c>
      <c r="B829" s="3" t="s">
        <v>416</v>
      </c>
      <c r="C829" s="1" t="s">
        <v>417</v>
      </c>
      <c r="D829" s="3"/>
    </row>
    <row r="830" spans="1:4" ht="15.75" customHeight="1" x14ac:dyDescent="0.25">
      <c r="A830" s="2">
        <v>30712273158</v>
      </c>
      <c r="B830" s="3" t="s">
        <v>831</v>
      </c>
      <c r="C830" s="1" t="s">
        <v>417</v>
      </c>
      <c r="D830" s="3"/>
    </row>
    <row r="831" spans="1:4" ht="15.75" customHeight="1" x14ac:dyDescent="0.25">
      <c r="A831" s="2">
        <v>30715585215</v>
      </c>
      <c r="B831" s="3" t="s">
        <v>962</v>
      </c>
      <c r="C831" s="1" t="s">
        <v>45</v>
      </c>
      <c r="D831" s="3"/>
    </row>
    <row r="832" spans="1:4" ht="15.75" customHeight="1" x14ac:dyDescent="0.25">
      <c r="A832" s="2">
        <v>30712273158</v>
      </c>
      <c r="B832" s="3" t="s">
        <v>831</v>
      </c>
      <c r="C832" s="1" t="s">
        <v>45</v>
      </c>
      <c r="D832" s="3"/>
    </row>
    <row r="833" spans="1:4" ht="15.75" customHeight="1" x14ac:dyDescent="0.25">
      <c r="A833" s="2">
        <v>30716172011</v>
      </c>
      <c r="B833" s="3" t="s">
        <v>1521</v>
      </c>
      <c r="C833" s="1" t="s">
        <v>1759</v>
      </c>
      <c r="D833" s="3"/>
    </row>
    <row r="834" spans="1:4" ht="15.75" customHeight="1" x14ac:dyDescent="0.25">
      <c r="A834" s="2">
        <v>30689153689</v>
      </c>
      <c r="B834" s="3" t="s">
        <v>706</v>
      </c>
      <c r="C834" s="1" t="s">
        <v>1754</v>
      </c>
      <c r="D834" s="3"/>
    </row>
    <row r="835" spans="1:4" ht="15.75" customHeight="1" x14ac:dyDescent="0.25">
      <c r="A835" s="2">
        <v>20921575743</v>
      </c>
      <c r="B835" s="3" t="s">
        <v>835</v>
      </c>
      <c r="C835" s="1" t="s">
        <v>1754</v>
      </c>
      <c r="D835" s="3"/>
    </row>
    <row r="836" spans="1:4" ht="15.75" customHeight="1" x14ac:dyDescent="0.25">
      <c r="A836" s="2">
        <v>30715819461</v>
      </c>
      <c r="B836" s="3" t="s">
        <v>1250</v>
      </c>
      <c r="C836" s="1" t="s">
        <v>1754</v>
      </c>
      <c r="D836" s="3"/>
    </row>
    <row r="837" spans="1:4" ht="15.75" customHeight="1" x14ac:dyDescent="0.25">
      <c r="A837" s="2">
        <v>30714356360</v>
      </c>
      <c r="B837" s="3" t="s">
        <v>298</v>
      </c>
      <c r="C837" s="1" t="s">
        <v>1754</v>
      </c>
      <c r="D837" s="3"/>
    </row>
    <row r="838" spans="1:4" ht="15.75" customHeight="1" x14ac:dyDescent="0.25">
      <c r="A838" s="2">
        <v>30646512952</v>
      </c>
      <c r="B838" s="3" t="s">
        <v>773</v>
      </c>
      <c r="C838" s="1" t="s">
        <v>774</v>
      </c>
      <c r="D838" s="3"/>
    </row>
    <row r="839" spans="1:4" ht="15.75" customHeight="1" x14ac:dyDescent="0.25">
      <c r="A839" s="2">
        <v>20181876485</v>
      </c>
      <c r="B839" s="3" t="s">
        <v>1092</v>
      </c>
      <c r="C839" s="1" t="s">
        <v>1093</v>
      </c>
      <c r="D839" s="3"/>
    </row>
    <row r="840" spans="1:4" ht="15.75" customHeight="1" x14ac:dyDescent="0.25">
      <c r="A840" s="2">
        <v>33707366589</v>
      </c>
      <c r="B840" s="3" t="s">
        <v>367</v>
      </c>
      <c r="C840" s="1" t="s">
        <v>368</v>
      </c>
      <c r="D840" s="3"/>
    </row>
    <row r="841" spans="1:4" ht="15.75" customHeight="1" x14ac:dyDescent="0.25">
      <c r="A841" s="2">
        <v>30687722007</v>
      </c>
      <c r="B841" s="3" t="s">
        <v>13</v>
      </c>
      <c r="C841" s="1" t="s">
        <v>1759</v>
      </c>
      <c r="D841" s="3"/>
    </row>
    <row r="842" spans="1:4" ht="15.75" customHeight="1" x14ac:dyDescent="0.25">
      <c r="A842" s="2">
        <v>23397605744</v>
      </c>
      <c r="B842" s="3" t="s">
        <v>60</v>
      </c>
      <c r="C842" s="1" t="s">
        <v>1759</v>
      </c>
      <c r="D842" s="3"/>
    </row>
    <row r="843" spans="1:4" ht="15.75" customHeight="1" x14ac:dyDescent="0.25">
      <c r="A843" s="2">
        <v>20056249533</v>
      </c>
      <c r="B843" s="3" t="s">
        <v>591</v>
      </c>
      <c r="C843" s="1" t="s">
        <v>1759</v>
      </c>
      <c r="D843" s="3"/>
    </row>
    <row r="844" spans="1:4" ht="15.75" customHeight="1" x14ac:dyDescent="0.25">
      <c r="A844" s="2">
        <v>20931866649</v>
      </c>
      <c r="B844" s="3" t="s">
        <v>664</v>
      </c>
      <c r="C844" s="1" t="s">
        <v>1759</v>
      </c>
      <c r="D844" s="3"/>
    </row>
    <row r="845" spans="1:4" ht="15.75" customHeight="1" x14ac:dyDescent="0.25">
      <c r="A845" s="2">
        <v>20320877947</v>
      </c>
      <c r="B845" s="3" t="s">
        <v>1070</v>
      </c>
      <c r="C845" s="1" t="s">
        <v>1759</v>
      </c>
      <c r="D845" s="3"/>
    </row>
    <row r="846" spans="1:4" ht="15.75" customHeight="1" x14ac:dyDescent="0.25">
      <c r="A846" s="2">
        <v>20244271740</v>
      </c>
      <c r="B846" s="3" t="s">
        <v>1084</v>
      </c>
      <c r="C846" s="1" t="s">
        <v>1765</v>
      </c>
      <c r="D846" s="3"/>
    </row>
    <row r="847" spans="1:4" ht="15.75" customHeight="1" x14ac:dyDescent="0.25">
      <c r="A847" s="2">
        <v>20319885812</v>
      </c>
      <c r="B847" s="3" t="s">
        <v>1085</v>
      </c>
      <c r="C847" s="1" t="s">
        <v>1759</v>
      </c>
      <c r="D847" s="3"/>
    </row>
    <row r="848" spans="1:4" ht="15.75" customHeight="1" x14ac:dyDescent="0.25">
      <c r="A848" s="2">
        <v>30625482522</v>
      </c>
      <c r="B848" s="3" t="s">
        <v>1201</v>
      </c>
      <c r="C848" s="1" t="s">
        <v>1202</v>
      </c>
      <c r="D848" s="3"/>
    </row>
    <row r="849" spans="1:4" ht="15.75" customHeight="1" x14ac:dyDescent="0.25">
      <c r="A849" s="2">
        <v>20386178209</v>
      </c>
      <c r="B849" s="3" t="s">
        <v>257</v>
      </c>
      <c r="C849" s="1" t="s">
        <v>1750</v>
      </c>
      <c r="D849" s="3"/>
    </row>
    <row r="850" spans="1:4" ht="15.75" customHeight="1" x14ac:dyDescent="0.25">
      <c r="A850" s="2">
        <v>20297899830</v>
      </c>
      <c r="B850" s="3" t="s">
        <v>414</v>
      </c>
      <c r="C850" s="1" t="s">
        <v>1766</v>
      </c>
      <c r="D850" s="3"/>
    </row>
    <row r="851" spans="1:4" ht="15.75" customHeight="1" x14ac:dyDescent="0.25">
      <c r="A851" s="2">
        <v>30709565075</v>
      </c>
      <c r="B851" s="3" t="s">
        <v>57</v>
      </c>
      <c r="C851" s="1" t="s">
        <v>1731</v>
      </c>
      <c r="D851" s="3"/>
    </row>
    <row r="852" spans="1:4" ht="15.75" customHeight="1" x14ac:dyDescent="0.25">
      <c r="A852" s="2">
        <v>30710587147</v>
      </c>
      <c r="B852" s="3" t="s">
        <v>76</v>
      </c>
      <c r="C852" s="1" t="s">
        <v>1731</v>
      </c>
      <c r="D852" s="3"/>
    </row>
    <row r="853" spans="1:4" ht="15.75" customHeight="1" x14ac:dyDescent="0.25">
      <c r="A853" s="2">
        <v>30573652084</v>
      </c>
      <c r="B853" s="3" t="s">
        <v>158</v>
      </c>
      <c r="C853" s="1" t="s">
        <v>1731</v>
      </c>
      <c r="D853" s="3"/>
    </row>
    <row r="854" spans="1:4" ht="15.75" customHeight="1" x14ac:dyDescent="0.25">
      <c r="A854" s="2">
        <v>30709917567</v>
      </c>
      <c r="B854" s="3" t="s">
        <v>216</v>
      </c>
      <c r="C854" s="1" t="s">
        <v>1731</v>
      </c>
      <c r="D854" s="3"/>
    </row>
    <row r="855" spans="1:4" ht="15.75" customHeight="1" x14ac:dyDescent="0.25">
      <c r="A855" s="2">
        <v>30709917567</v>
      </c>
      <c r="B855" s="3" t="s">
        <v>219</v>
      </c>
      <c r="C855" s="1" t="s">
        <v>1731</v>
      </c>
      <c r="D855" s="3"/>
    </row>
    <row r="856" spans="1:4" ht="15.75" customHeight="1" x14ac:dyDescent="0.25">
      <c r="A856" s="2">
        <v>30645886670</v>
      </c>
      <c r="B856" s="3" t="s">
        <v>224</v>
      </c>
      <c r="C856" s="1" t="s">
        <v>1731</v>
      </c>
      <c r="D856" s="3"/>
    </row>
    <row r="857" spans="1:4" ht="15.75" customHeight="1" x14ac:dyDescent="0.25">
      <c r="A857" s="2">
        <v>30655116512</v>
      </c>
      <c r="B857" s="3" t="s">
        <v>306</v>
      </c>
      <c r="C857" s="1" t="s">
        <v>1731</v>
      </c>
      <c r="D857" s="3"/>
    </row>
    <row r="858" spans="1:4" ht="15.75" customHeight="1" x14ac:dyDescent="0.25">
      <c r="A858" s="2">
        <v>30678814357</v>
      </c>
      <c r="B858" s="3" t="s">
        <v>667</v>
      </c>
      <c r="C858" s="1" t="s">
        <v>1731</v>
      </c>
      <c r="D858" s="3"/>
    </row>
    <row r="859" spans="1:4" ht="15.75" customHeight="1" x14ac:dyDescent="0.25">
      <c r="A859" s="2">
        <v>33715179119</v>
      </c>
      <c r="B859" s="3" t="s">
        <v>685</v>
      </c>
      <c r="C859" s="1" t="s">
        <v>1731</v>
      </c>
      <c r="D859" s="3"/>
    </row>
    <row r="860" spans="1:4" ht="15.75" customHeight="1" x14ac:dyDescent="0.25">
      <c r="A860" s="2">
        <v>30702652975</v>
      </c>
      <c r="B860" s="3" t="s">
        <v>702</v>
      </c>
      <c r="C860" s="1" t="s">
        <v>1731</v>
      </c>
      <c r="D860" s="3"/>
    </row>
    <row r="861" spans="1:4" ht="15.75" customHeight="1" x14ac:dyDescent="0.25">
      <c r="A861" s="2">
        <v>30576393381</v>
      </c>
      <c r="B861" s="3" t="s">
        <v>851</v>
      </c>
      <c r="C861" s="1" t="s">
        <v>1731</v>
      </c>
      <c r="D861" s="3"/>
    </row>
    <row r="862" spans="1:4" ht="15.75" customHeight="1" x14ac:dyDescent="0.25">
      <c r="A862" s="2">
        <v>30639453738</v>
      </c>
      <c r="B862" s="3" t="s">
        <v>937</v>
      </c>
      <c r="C862" s="1" t="s">
        <v>1731</v>
      </c>
      <c r="D862" s="3"/>
    </row>
    <row r="863" spans="1:4" ht="15.75" customHeight="1" x14ac:dyDescent="0.25">
      <c r="A863" s="2">
        <v>30639453738</v>
      </c>
      <c r="B863" s="3" t="s">
        <v>939</v>
      </c>
      <c r="C863" s="1" t="s">
        <v>1731</v>
      </c>
      <c r="D863" s="3"/>
    </row>
    <row r="864" spans="1:4" ht="15.75" customHeight="1" x14ac:dyDescent="0.25">
      <c r="A864" s="2">
        <v>30639453975</v>
      </c>
      <c r="B864" s="3" t="s">
        <v>940</v>
      </c>
      <c r="C864" s="1" t="s">
        <v>1731</v>
      </c>
      <c r="D864" s="3"/>
    </row>
    <row r="865" spans="1:4" ht="15.75" customHeight="1" x14ac:dyDescent="0.25">
      <c r="A865" s="2">
        <v>30678814357</v>
      </c>
      <c r="B865" s="3" t="s">
        <v>941</v>
      </c>
      <c r="C865" s="1" t="s">
        <v>1731</v>
      </c>
      <c r="D865" s="3"/>
    </row>
    <row r="866" spans="1:4" ht="15.75" customHeight="1" x14ac:dyDescent="0.25">
      <c r="A866" s="2">
        <v>30707135596</v>
      </c>
      <c r="B866" s="3" t="s">
        <v>1062</v>
      </c>
      <c r="C866" s="1" t="s">
        <v>1731</v>
      </c>
      <c r="D866" s="3"/>
    </row>
    <row r="867" spans="1:4" ht="15.75" customHeight="1" x14ac:dyDescent="0.25">
      <c r="A867" s="2">
        <v>33711386179</v>
      </c>
      <c r="B867" s="3" t="s">
        <v>1165</v>
      </c>
      <c r="C867" s="1" t="s">
        <v>1731</v>
      </c>
      <c r="D867" s="3"/>
    </row>
    <row r="868" spans="1:4" ht="15.75" customHeight="1" x14ac:dyDescent="0.25">
      <c r="A868" s="2">
        <v>30702652975</v>
      </c>
      <c r="B868" s="3" t="s">
        <v>702</v>
      </c>
      <c r="C868" s="1" t="s">
        <v>8</v>
      </c>
      <c r="D868" s="3"/>
    </row>
    <row r="869" spans="1:4" ht="15.75" customHeight="1" x14ac:dyDescent="0.25">
      <c r="A869" s="2">
        <v>30620177497</v>
      </c>
      <c r="B869" s="3" t="s">
        <v>1353</v>
      </c>
      <c r="C869" s="1" t="s">
        <v>8</v>
      </c>
      <c r="D869" s="3"/>
    </row>
    <row r="870" spans="1:4" ht="15.75" customHeight="1" x14ac:dyDescent="0.25">
      <c r="A870" s="2">
        <v>30576393381</v>
      </c>
      <c r="B870" s="3" t="s">
        <v>851</v>
      </c>
      <c r="C870" s="1" t="s">
        <v>8</v>
      </c>
      <c r="D870" s="3"/>
    </row>
    <row r="871" spans="1:4" ht="15.75" customHeight="1" x14ac:dyDescent="0.25">
      <c r="A871" s="2">
        <v>30716328178</v>
      </c>
      <c r="B871" s="3" t="s">
        <v>263</v>
      </c>
      <c r="C871" s="1" t="s">
        <v>1747</v>
      </c>
      <c r="D871" s="3"/>
    </row>
    <row r="872" spans="1:4" ht="15.75" customHeight="1" x14ac:dyDescent="0.25">
      <c r="A872" s="2">
        <v>20365938688</v>
      </c>
      <c r="B872" s="3" t="s">
        <v>1234</v>
      </c>
      <c r="C872" s="1" t="s">
        <v>1747</v>
      </c>
      <c r="D872" s="3"/>
    </row>
    <row r="873" spans="1:4" ht="15.75" customHeight="1" x14ac:dyDescent="0.25">
      <c r="A873" s="2">
        <v>20227683350</v>
      </c>
      <c r="B873" s="3" t="s">
        <v>1191</v>
      </c>
      <c r="C873" s="1" t="s">
        <v>1192</v>
      </c>
      <c r="D873" s="3"/>
    </row>
    <row r="874" spans="1:4" ht="15.75" customHeight="1" x14ac:dyDescent="0.25">
      <c r="A874" s="2">
        <v>20260499085</v>
      </c>
      <c r="B874" s="3" t="s">
        <v>1136</v>
      </c>
      <c r="C874" s="1" t="s">
        <v>1137</v>
      </c>
      <c r="D874" s="3"/>
    </row>
    <row r="875" spans="1:4" ht="15.75" customHeight="1" x14ac:dyDescent="0.25">
      <c r="A875" s="2">
        <v>30575019524</v>
      </c>
      <c r="B875" s="3" t="s">
        <v>4</v>
      </c>
      <c r="C875" s="1"/>
      <c r="D875" s="3"/>
    </row>
    <row r="876" spans="1:4" ht="15.75" customHeight="1" x14ac:dyDescent="0.25">
      <c r="A876" s="2">
        <v>30714869937</v>
      </c>
      <c r="B876" s="3" t="s">
        <v>9</v>
      </c>
      <c r="C876" s="1"/>
      <c r="D876" s="3"/>
    </row>
    <row r="877" spans="1:4" ht="15.75" customHeight="1" x14ac:dyDescent="0.25">
      <c r="A877" s="2">
        <v>30692212130</v>
      </c>
      <c r="B877" s="3" t="s">
        <v>11</v>
      </c>
      <c r="C877" s="1"/>
      <c r="D877" s="3"/>
    </row>
    <row r="878" spans="1:4" ht="15.75" customHeight="1" x14ac:dyDescent="0.25">
      <c r="A878" s="2">
        <v>30702017498</v>
      </c>
      <c r="B878" s="3" t="s">
        <v>21</v>
      </c>
      <c r="C878" s="1"/>
      <c r="D878" s="3"/>
    </row>
    <row r="879" spans="1:4" ht="15.75" customHeight="1" x14ac:dyDescent="0.25">
      <c r="A879" s="2">
        <v>30715243349</v>
      </c>
      <c r="B879" s="3" t="s">
        <v>46</v>
      </c>
      <c r="C879" s="1"/>
      <c r="D879" s="3"/>
    </row>
    <row r="880" spans="1:4" ht="15.75" customHeight="1" x14ac:dyDescent="0.25">
      <c r="A880" s="2">
        <v>30628274327</v>
      </c>
      <c r="B880" s="3" t="s">
        <v>56</v>
      </c>
      <c r="C880" s="1"/>
      <c r="D880" s="3"/>
    </row>
    <row r="881" spans="1:4" ht="15.75" customHeight="1" x14ac:dyDescent="0.25">
      <c r="A881" s="2">
        <v>30695512476</v>
      </c>
      <c r="B881" s="3" t="s">
        <v>61</v>
      </c>
      <c r="C881" s="1"/>
      <c r="D881" s="3"/>
    </row>
    <row r="882" spans="1:4" ht="15.75" customHeight="1" x14ac:dyDescent="0.25">
      <c r="A882" s="2">
        <v>30710799241</v>
      </c>
      <c r="B882" s="3" t="s">
        <v>63</v>
      </c>
      <c r="C882" s="1"/>
      <c r="D882" s="3"/>
    </row>
    <row r="883" spans="1:4" ht="15.75" customHeight="1" x14ac:dyDescent="0.25">
      <c r="A883" s="2">
        <v>20236101127</v>
      </c>
      <c r="B883" s="3" t="s">
        <v>64</v>
      </c>
      <c r="C883" s="1"/>
      <c r="D883" s="3"/>
    </row>
    <row r="884" spans="1:4" ht="15.75" customHeight="1" x14ac:dyDescent="0.25">
      <c r="A884" s="2">
        <v>20291929126</v>
      </c>
      <c r="B884" s="3" t="s">
        <v>65</v>
      </c>
      <c r="C884" s="1"/>
      <c r="D884" s="3"/>
    </row>
    <row r="885" spans="1:4" ht="15.75" customHeight="1" x14ac:dyDescent="0.25">
      <c r="A885" s="2">
        <v>30602699826</v>
      </c>
      <c r="B885" s="3" t="s">
        <v>71</v>
      </c>
      <c r="C885" s="1"/>
      <c r="D885" s="3"/>
    </row>
    <row r="886" spans="1:4" ht="15.75" customHeight="1" x14ac:dyDescent="0.25">
      <c r="A886" s="2">
        <v>30715190385</v>
      </c>
      <c r="B886" s="3" t="s">
        <v>72</v>
      </c>
      <c r="C886" s="1"/>
      <c r="D886" s="3"/>
    </row>
    <row r="887" spans="1:4" ht="15.75" customHeight="1" x14ac:dyDescent="0.25">
      <c r="A887" s="2">
        <v>20040616498</v>
      </c>
      <c r="B887" s="3" t="s">
        <v>75</v>
      </c>
      <c r="C887" s="1"/>
      <c r="D887" s="3"/>
    </row>
    <row r="888" spans="1:4" ht="15.75" customHeight="1" x14ac:dyDescent="0.25">
      <c r="A888" s="2">
        <v>30663288497</v>
      </c>
      <c r="B888" s="3" t="s">
        <v>77</v>
      </c>
      <c r="C888" s="1"/>
      <c r="D888" s="3"/>
    </row>
    <row r="889" spans="1:4" ht="15.75" customHeight="1" x14ac:dyDescent="0.25">
      <c r="A889" s="2">
        <v>27108310559</v>
      </c>
      <c r="B889" s="3" t="s">
        <v>78</v>
      </c>
      <c r="C889" s="1"/>
      <c r="D889" s="3"/>
    </row>
    <row r="890" spans="1:4" ht="15.75" customHeight="1" x14ac:dyDescent="0.25">
      <c r="A890" s="2">
        <v>30502375535</v>
      </c>
      <c r="B890" s="3" t="s">
        <v>79</v>
      </c>
      <c r="C890" s="1"/>
      <c r="D890" s="3"/>
    </row>
    <row r="891" spans="1:4" ht="15.75" customHeight="1" x14ac:dyDescent="0.25">
      <c r="A891" s="2">
        <v>30709251739</v>
      </c>
      <c r="B891" s="3" t="s">
        <v>80</v>
      </c>
      <c r="C891" s="1"/>
      <c r="D891" s="3"/>
    </row>
    <row r="892" spans="1:4" ht="15.75" customHeight="1" x14ac:dyDescent="0.25">
      <c r="A892" s="2">
        <v>30715985124</v>
      </c>
      <c r="B892" s="3" t="s">
        <v>83</v>
      </c>
      <c r="C892" s="1"/>
      <c r="D892" s="3"/>
    </row>
    <row r="893" spans="1:4" ht="15.75" customHeight="1" x14ac:dyDescent="0.25">
      <c r="A893" s="2">
        <v>30714741167</v>
      </c>
      <c r="B893" s="3" t="s">
        <v>85</v>
      </c>
      <c r="C893" s="1"/>
      <c r="D893" s="3"/>
    </row>
    <row r="894" spans="1:4" ht="15.75" customHeight="1" x14ac:dyDescent="0.25">
      <c r="A894" s="2">
        <v>27135302835</v>
      </c>
      <c r="B894" s="3" t="s">
        <v>87</v>
      </c>
      <c r="C894" s="1"/>
      <c r="D894" s="3"/>
    </row>
    <row r="895" spans="1:4" ht="15.75" customHeight="1" x14ac:dyDescent="0.25">
      <c r="A895" s="2">
        <v>30711597499</v>
      </c>
      <c r="B895" s="3" t="s">
        <v>89</v>
      </c>
      <c r="C895" s="1"/>
      <c r="D895" s="3"/>
    </row>
    <row r="896" spans="1:4" ht="15.75" customHeight="1" x14ac:dyDescent="0.25">
      <c r="A896" s="2">
        <v>30600907553</v>
      </c>
      <c r="B896" s="3" t="s">
        <v>91</v>
      </c>
      <c r="C896" s="1"/>
      <c r="D896" s="3"/>
    </row>
    <row r="897" spans="1:4" ht="15.75" customHeight="1" x14ac:dyDescent="0.25">
      <c r="A897" s="2">
        <v>30614941509</v>
      </c>
      <c r="B897" s="3" t="s">
        <v>93</v>
      </c>
      <c r="C897" s="1"/>
      <c r="D897" s="3"/>
    </row>
    <row r="898" spans="1:4" ht="15.75" customHeight="1" x14ac:dyDescent="0.25">
      <c r="A898" s="2">
        <v>30560443648</v>
      </c>
      <c r="B898" s="3" t="s">
        <v>94</v>
      </c>
      <c r="C898" s="1"/>
      <c r="D898" s="3"/>
    </row>
    <row r="899" spans="1:4" ht="15.75" customHeight="1" x14ac:dyDescent="0.25">
      <c r="A899" s="2">
        <v>30708547790</v>
      </c>
      <c r="B899" s="3" t="s">
        <v>95</v>
      </c>
      <c r="C899" s="1"/>
      <c r="D899" s="3"/>
    </row>
    <row r="900" spans="1:4" ht="15.75" customHeight="1" x14ac:dyDescent="0.25">
      <c r="A900" s="2">
        <v>30711624402</v>
      </c>
      <c r="B900" s="3" t="s">
        <v>96</v>
      </c>
      <c r="C900" s="1"/>
      <c r="D900" s="3"/>
    </row>
    <row r="901" spans="1:4" ht="15.75" customHeight="1" x14ac:dyDescent="0.25">
      <c r="A901" s="2">
        <v>30692175243</v>
      </c>
      <c r="B901" s="3" t="s">
        <v>98</v>
      </c>
      <c r="C901" s="1"/>
      <c r="D901" s="3"/>
    </row>
    <row r="902" spans="1:4" ht="15.75" customHeight="1" x14ac:dyDescent="0.25">
      <c r="A902" s="2">
        <v>30590354798</v>
      </c>
      <c r="B902" s="3" t="s">
        <v>100</v>
      </c>
      <c r="C902" s="1"/>
      <c r="D902" s="3"/>
    </row>
    <row r="903" spans="1:4" ht="15.75" customHeight="1" x14ac:dyDescent="0.25">
      <c r="A903" s="2">
        <v>30709860840</v>
      </c>
      <c r="B903" s="3" t="s">
        <v>101</v>
      </c>
      <c r="C903" s="1"/>
      <c r="D903" s="3"/>
    </row>
    <row r="904" spans="1:4" ht="15.75" customHeight="1" x14ac:dyDescent="0.25">
      <c r="A904" s="2">
        <v>30715031252</v>
      </c>
      <c r="B904" s="3" t="s">
        <v>103</v>
      </c>
      <c r="C904" s="1"/>
      <c r="D904" s="3"/>
    </row>
    <row r="905" spans="1:4" ht="15.75" customHeight="1" x14ac:dyDescent="0.25">
      <c r="A905" s="2">
        <v>30711934754</v>
      </c>
      <c r="B905" s="3" t="s">
        <v>104</v>
      </c>
      <c r="C905" s="1"/>
      <c r="D905" s="3"/>
    </row>
    <row r="906" spans="1:4" ht="15.75" customHeight="1" x14ac:dyDescent="0.25">
      <c r="A906" s="2">
        <v>30670528592</v>
      </c>
      <c r="B906" s="3" t="s">
        <v>106</v>
      </c>
      <c r="C906" s="1"/>
      <c r="D906" s="3"/>
    </row>
    <row r="907" spans="1:4" ht="15.75" customHeight="1" x14ac:dyDescent="0.25">
      <c r="A907" s="2">
        <v>30574876474</v>
      </c>
      <c r="B907" s="3" t="s">
        <v>107</v>
      </c>
      <c r="C907" s="1"/>
      <c r="D907" s="3"/>
    </row>
    <row r="908" spans="1:4" ht="15.75" customHeight="1" x14ac:dyDescent="0.25">
      <c r="A908" s="2">
        <v>30677237119</v>
      </c>
      <c r="B908" s="3" t="s">
        <v>108</v>
      </c>
      <c r="C908" s="1"/>
      <c r="D908" s="3"/>
    </row>
    <row r="909" spans="1:4" ht="15.75" customHeight="1" x14ac:dyDescent="0.25">
      <c r="A909" s="2" t="s">
        <v>109</v>
      </c>
      <c r="B909" s="3" t="s">
        <v>110</v>
      </c>
      <c r="C909" s="1"/>
      <c r="D909" s="3"/>
    </row>
    <row r="910" spans="1:4" ht="15.75" customHeight="1" x14ac:dyDescent="0.25">
      <c r="A910" s="2">
        <v>30667187091</v>
      </c>
      <c r="B910" s="3" t="s">
        <v>111</v>
      </c>
      <c r="C910" s="1"/>
      <c r="D910" s="3"/>
    </row>
    <row r="911" spans="1:4" ht="15.75" customHeight="1" x14ac:dyDescent="0.25">
      <c r="A911" s="2">
        <v>30711470804</v>
      </c>
      <c r="B911" s="3" t="s">
        <v>112</v>
      </c>
      <c r="C911" s="1"/>
      <c r="D911" s="3"/>
    </row>
    <row r="912" spans="1:4" ht="15.75" customHeight="1" x14ac:dyDescent="0.25">
      <c r="A912" s="2">
        <v>20083762102</v>
      </c>
      <c r="B912" s="3" t="s">
        <v>113</v>
      </c>
      <c r="C912" s="1"/>
      <c r="D912" s="3"/>
    </row>
    <row r="913" spans="1:4" ht="15.75" customHeight="1" x14ac:dyDescent="0.25">
      <c r="A913" s="2">
        <v>20287830980</v>
      </c>
      <c r="B913" s="3" t="s">
        <v>114</v>
      </c>
      <c r="C913" s="1"/>
      <c r="D913" s="3"/>
    </row>
    <row r="914" spans="1:4" ht="15.75" customHeight="1" x14ac:dyDescent="0.25">
      <c r="A914" s="2">
        <v>30535612117</v>
      </c>
      <c r="B914" s="3" t="s">
        <v>118</v>
      </c>
      <c r="C914" s="1"/>
      <c r="D914" s="3"/>
    </row>
    <row r="915" spans="1:4" ht="15.75" customHeight="1" x14ac:dyDescent="0.25">
      <c r="A915" s="2">
        <v>20179619483</v>
      </c>
      <c r="B915" s="3" t="s">
        <v>123</v>
      </c>
      <c r="C915" s="1"/>
      <c r="D915" s="3"/>
    </row>
    <row r="916" spans="1:4" ht="15.75" customHeight="1" x14ac:dyDescent="0.25">
      <c r="A916" s="2">
        <v>30580189411</v>
      </c>
      <c r="B916" s="3" t="s">
        <v>127</v>
      </c>
      <c r="C916" s="1"/>
      <c r="D916" s="3"/>
    </row>
    <row r="917" spans="1:4" ht="15.75" customHeight="1" x14ac:dyDescent="0.25">
      <c r="A917" s="2">
        <v>30646362675</v>
      </c>
      <c r="B917" s="3" t="s">
        <v>129</v>
      </c>
      <c r="C917" s="1"/>
      <c r="D917" s="3"/>
    </row>
    <row r="918" spans="1:4" ht="15.75" customHeight="1" x14ac:dyDescent="0.25">
      <c r="A918" s="2">
        <v>30714675601</v>
      </c>
      <c r="B918" s="3" t="s">
        <v>131</v>
      </c>
      <c r="C918" s="1"/>
      <c r="D918" s="3"/>
    </row>
    <row r="919" spans="1:4" ht="15.75" customHeight="1" x14ac:dyDescent="0.25">
      <c r="A919" s="2">
        <v>30568222187</v>
      </c>
      <c r="B919" s="3" t="s">
        <v>132</v>
      </c>
      <c r="C919" s="1"/>
      <c r="D919" s="3"/>
    </row>
    <row r="920" spans="1:4" ht="15.75" customHeight="1" x14ac:dyDescent="0.25">
      <c r="A920" s="2">
        <v>27248212646</v>
      </c>
      <c r="B920" s="3" t="s">
        <v>133</v>
      </c>
      <c r="C920" s="1"/>
      <c r="D920" s="3"/>
    </row>
    <row r="921" spans="1:4" ht="15.75" customHeight="1" x14ac:dyDescent="0.25">
      <c r="A921" s="2">
        <v>27115740666</v>
      </c>
      <c r="B921" s="3" t="s">
        <v>134</v>
      </c>
      <c r="C921" s="1"/>
      <c r="D921" s="3"/>
    </row>
    <row r="922" spans="1:4" ht="15.75" customHeight="1" x14ac:dyDescent="0.25">
      <c r="A922" s="2">
        <v>27129411010</v>
      </c>
      <c r="B922" s="3" t="s">
        <v>135</v>
      </c>
      <c r="C922" s="1"/>
      <c r="D922" s="3"/>
    </row>
    <row r="923" spans="1:4" ht="15.75" customHeight="1" x14ac:dyDescent="0.25">
      <c r="A923" s="2">
        <v>23301961944</v>
      </c>
      <c r="B923" s="3" t="s">
        <v>136</v>
      </c>
      <c r="C923" s="1"/>
      <c r="D923" s="3"/>
    </row>
    <row r="924" spans="1:4" ht="15.75" customHeight="1" x14ac:dyDescent="0.25">
      <c r="A924" s="2">
        <v>30710067763</v>
      </c>
      <c r="B924" s="3" t="s">
        <v>137</v>
      </c>
      <c r="C924" s="1"/>
      <c r="D924" s="3"/>
    </row>
    <row r="925" spans="1:4" ht="15.75" customHeight="1" x14ac:dyDescent="0.25">
      <c r="A925" s="2">
        <v>30697652694</v>
      </c>
      <c r="B925" s="3" t="s">
        <v>141</v>
      </c>
      <c r="C925" s="1"/>
      <c r="D925" s="3"/>
    </row>
    <row r="926" spans="1:4" ht="15.75" customHeight="1" x14ac:dyDescent="0.25">
      <c r="A926" s="2">
        <v>23253931159</v>
      </c>
      <c r="B926" s="3" t="s">
        <v>142</v>
      </c>
      <c r="C926" s="1"/>
      <c r="D926" s="3"/>
    </row>
    <row r="927" spans="1:4" ht="15.75" customHeight="1" x14ac:dyDescent="0.25">
      <c r="A927" s="2">
        <v>33711821649</v>
      </c>
      <c r="B927" s="3" t="s">
        <v>147</v>
      </c>
      <c r="C927" s="1"/>
      <c r="D927" s="3"/>
    </row>
    <row r="928" spans="1:4" ht="15.75" customHeight="1" x14ac:dyDescent="0.25">
      <c r="A928" s="2">
        <v>30715122657</v>
      </c>
      <c r="B928" s="3" t="s">
        <v>148</v>
      </c>
      <c r="C928" s="1"/>
      <c r="D928" s="3"/>
    </row>
    <row r="929" spans="1:4" ht="15.75" customHeight="1" x14ac:dyDescent="0.25">
      <c r="A929" s="2">
        <v>30715549871</v>
      </c>
      <c r="B929" s="3" t="s">
        <v>149</v>
      </c>
      <c r="C929" s="1"/>
      <c r="D929" s="3"/>
    </row>
    <row r="930" spans="1:4" ht="15.75" customHeight="1" x14ac:dyDescent="0.25">
      <c r="A930" s="2">
        <v>30715920502</v>
      </c>
      <c r="B930" s="3" t="s">
        <v>157</v>
      </c>
      <c r="C930" s="1"/>
      <c r="D930" s="3"/>
    </row>
    <row r="931" spans="1:4" ht="15.75" customHeight="1" x14ac:dyDescent="0.25">
      <c r="A931" s="2">
        <v>20265226664</v>
      </c>
      <c r="B931" s="3" t="s">
        <v>160</v>
      </c>
      <c r="C931" s="1"/>
      <c r="D931" s="3"/>
    </row>
    <row r="932" spans="1:4" ht="15.75" customHeight="1" x14ac:dyDescent="0.25">
      <c r="A932" s="2">
        <v>27178101647</v>
      </c>
      <c r="B932" s="3" t="s">
        <v>161</v>
      </c>
      <c r="C932" s="1"/>
      <c r="D932" s="3"/>
    </row>
    <row r="933" spans="1:4" ht="15.75" customHeight="1" x14ac:dyDescent="0.25">
      <c r="A933" s="2">
        <v>20271174803</v>
      </c>
      <c r="B933" s="3" t="s">
        <v>165</v>
      </c>
      <c r="C933" s="1"/>
      <c r="D933" s="3"/>
    </row>
    <row r="934" spans="1:4" ht="15.75" customHeight="1" x14ac:dyDescent="0.25">
      <c r="A934" s="2">
        <v>30525517094</v>
      </c>
      <c r="B934" s="3" t="s">
        <v>171</v>
      </c>
      <c r="C934" s="1"/>
      <c r="D934" s="3"/>
    </row>
    <row r="935" spans="1:4" ht="15.75" customHeight="1" x14ac:dyDescent="0.25">
      <c r="A935" s="2">
        <v>30710176325</v>
      </c>
      <c r="B935" s="3" t="s">
        <v>177</v>
      </c>
      <c r="C935" s="1"/>
      <c r="D935" s="3"/>
    </row>
    <row r="936" spans="1:4" ht="15.75" customHeight="1" x14ac:dyDescent="0.25">
      <c r="A936" s="2">
        <v>30697574480</v>
      </c>
      <c r="B936" s="3" t="s">
        <v>178</v>
      </c>
      <c r="C936" s="1"/>
      <c r="D936" s="3"/>
    </row>
    <row r="937" spans="1:4" ht="15.75" customHeight="1" x14ac:dyDescent="0.25">
      <c r="A937" s="2">
        <v>30568463591</v>
      </c>
      <c r="B937" s="3" t="s">
        <v>179</v>
      </c>
      <c r="C937" s="1"/>
      <c r="D937" s="3"/>
    </row>
    <row r="938" spans="1:4" ht="15.75" customHeight="1" x14ac:dyDescent="0.25">
      <c r="A938" s="2">
        <v>30707612971</v>
      </c>
      <c r="B938" s="3" t="s">
        <v>181</v>
      </c>
      <c r="C938" s="1"/>
      <c r="D938" s="3"/>
    </row>
    <row r="939" spans="1:4" ht="15.75" customHeight="1" x14ac:dyDescent="0.25">
      <c r="A939" s="2">
        <v>20182095215</v>
      </c>
      <c r="B939" s="3" t="s">
        <v>183</v>
      </c>
      <c r="C939" s="1"/>
      <c r="D939" s="3"/>
    </row>
    <row r="940" spans="1:4" ht="15.75" customHeight="1" x14ac:dyDescent="0.25">
      <c r="A940" s="2">
        <v>30712192735</v>
      </c>
      <c r="B940" s="3" t="s">
        <v>185</v>
      </c>
      <c r="C940" s="1"/>
      <c r="D940" s="3"/>
    </row>
    <row r="941" spans="1:4" ht="15.75" customHeight="1" x14ac:dyDescent="0.25">
      <c r="A941" s="2">
        <v>30656459677</v>
      </c>
      <c r="B941" s="3" t="s">
        <v>187</v>
      </c>
      <c r="C941" s="1"/>
      <c r="D941" s="3"/>
    </row>
    <row r="942" spans="1:4" ht="15.75" customHeight="1" x14ac:dyDescent="0.25">
      <c r="A942" s="2">
        <v>30714500933</v>
      </c>
      <c r="B942" s="3" t="s">
        <v>196</v>
      </c>
      <c r="C942" s="1"/>
      <c r="D942" s="3"/>
    </row>
    <row r="943" spans="1:4" ht="15.75" customHeight="1" x14ac:dyDescent="0.25">
      <c r="A943" s="2">
        <v>30708651644</v>
      </c>
      <c r="B943" s="3" t="s">
        <v>199</v>
      </c>
      <c r="C943" s="1"/>
      <c r="D943" s="3"/>
    </row>
    <row r="944" spans="1:4" ht="15.75" customHeight="1" x14ac:dyDescent="0.25">
      <c r="A944" s="2">
        <v>27172039036</v>
      </c>
      <c r="B944" s="3" t="s">
        <v>200</v>
      </c>
      <c r="C944" s="1"/>
      <c r="D944" s="3"/>
    </row>
    <row r="945" spans="1:4" ht="15.75" customHeight="1" x14ac:dyDescent="0.25">
      <c r="A945" s="2">
        <v>20927573483</v>
      </c>
      <c r="B945" s="3" t="s">
        <v>201</v>
      </c>
      <c r="C945" s="1"/>
      <c r="D945" s="3"/>
    </row>
    <row r="946" spans="1:4" ht="15.75" customHeight="1" x14ac:dyDescent="0.25">
      <c r="A946" s="2">
        <v>30628878966</v>
      </c>
      <c r="B946" s="3" t="s">
        <v>202</v>
      </c>
      <c r="C946" s="1"/>
      <c r="D946" s="3"/>
    </row>
    <row r="947" spans="1:4" ht="15.75" customHeight="1" x14ac:dyDescent="0.25">
      <c r="A947" s="2">
        <v>30530328348</v>
      </c>
      <c r="B947" s="3" t="s">
        <v>203</v>
      </c>
      <c r="C947" s="1"/>
      <c r="D947" s="3"/>
    </row>
    <row r="948" spans="1:4" ht="15.75" customHeight="1" x14ac:dyDescent="0.25">
      <c r="A948" s="2">
        <v>30525390086</v>
      </c>
      <c r="B948" s="3" t="s">
        <v>204</v>
      </c>
      <c r="C948" s="1"/>
      <c r="D948" s="3"/>
    </row>
    <row r="949" spans="1:4" ht="15.75" customHeight="1" x14ac:dyDescent="0.25">
      <c r="A949" s="2">
        <v>30638177826</v>
      </c>
      <c r="B949" s="3" t="s">
        <v>205</v>
      </c>
      <c r="C949" s="1"/>
      <c r="D949" s="3"/>
    </row>
    <row r="950" spans="1:4" ht="15.75" customHeight="1" x14ac:dyDescent="0.25">
      <c r="A950" s="2">
        <v>30518455970</v>
      </c>
      <c r="B950" s="3" t="s">
        <v>211</v>
      </c>
      <c r="C950" s="1"/>
      <c r="D950" s="3"/>
    </row>
    <row r="951" spans="1:4" ht="15.75" customHeight="1" x14ac:dyDescent="0.25">
      <c r="A951" s="2">
        <v>33709302839</v>
      </c>
      <c r="B951" s="3" t="s">
        <v>212</v>
      </c>
      <c r="C951" s="1"/>
      <c r="D951" s="3"/>
    </row>
    <row r="952" spans="1:4" ht="15.75" customHeight="1" x14ac:dyDescent="0.25">
      <c r="A952" s="2">
        <v>30682115722</v>
      </c>
      <c r="B952" s="3" t="s">
        <v>213</v>
      </c>
      <c r="C952" s="1"/>
      <c r="D952" s="3"/>
    </row>
    <row r="953" spans="1:4" ht="15.75" customHeight="1" x14ac:dyDescent="0.25">
      <c r="A953" s="2">
        <v>30715904868</v>
      </c>
      <c r="B953" s="3" t="s">
        <v>221</v>
      </c>
      <c r="C953" s="1"/>
      <c r="D953" s="3"/>
    </row>
    <row r="954" spans="1:4" ht="15.75" customHeight="1" x14ac:dyDescent="0.25">
      <c r="A954" s="2">
        <v>33714788219</v>
      </c>
      <c r="B954" s="3" t="s">
        <v>222</v>
      </c>
      <c r="C954" s="1"/>
      <c r="D954" s="3"/>
    </row>
    <row r="955" spans="1:4" ht="15.75" customHeight="1" x14ac:dyDescent="0.25">
      <c r="A955" s="2">
        <v>30519678205</v>
      </c>
      <c r="B955" s="3" t="s">
        <v>225</v>
      </c>
      <c r="C955" s="1"/>
      <c r="D955" s="3"/>
    </row>
    <row r="956" spans="1:4" ht="15.75" customHeight="1" x14ac:dyDescent="0.25">
      <c r="A956" s="2">
        <v>30693761421</v>
      </c>
      <c r="B956" s="3" t="s">
        <v>228</v>
      </c>
      <c r="C956" s="1"/>
      <c r="D956" s="3"/>
    </row>
    <row r="957" spans="1:4" ht="15.75" customHeight="1" x14ac:dyDescent="0.25">
      <c r="A957" s="2">
        <v>30709479624</v>
      </c>
      <c r="B957" s="3" t="s">
        <v>229</v>
      </c>
      <c r="C957" s="1"/>
      <c r="D957" s="3"/>
    </row>
    <row r="958" spans="1:4" ht="15.75" customHeight="1" x14ac:dyDescent="0.25">
      <c r="A958" s="2">
        <v>23115425099</v>
      </c>
      <c r="B958" s="3" t="s">
        <v>230</v>
      </c>
      <c r="C958" s="1"/>
      <c r="D958" s="3"/>
    </row>
    <row r="959" spans="1:4" ht="15.75" customHeight="1" x14ac:dyDescent="0.25">
      <c r="A959" s="2">
        <v>30714436437</v>
      </c>
      <c r="B959" s="3" t="s">
        <v>234</v>
      </c>
      <c r="C959" s="1"/>
      <c r="D959" s="3"/>
    </row>
    <row r="960" spans="1:4" ht="15.75" customHeight="1" x14ac:dyDescent="0.25">
      <c r="A960" s="2">
        <v>20224565314</v>
      </c>
      <c r="B960" s="3" t="s">
        <v>238</v>
      </c>
      <c r="C960" s="1"/>
      <c r="D960" s="3"/>
    </row>
    <row r="961" spans="1:4" ht="15.75" customHeight="1" x14ac:dyDescent="0.25">
      <c r="A961" s="2">
        <v>30710335008</v>
      </c>
      <c r="B961" s="3" t="s">
        <v>243</v>
      </c>
      <c r="C961" s="1"/>
      <c r="D961" s="3"/>
    </row>
    <row r="962" spans="1:4" ht="15.75" customHeight="1" x14ac:dyDescent="0.25">
      <c r="A962" s="2">
        <v>20125815511</v>
      </c>
      <c r="B962" s="3" t="s">
        <v>244</v>
      </c>
      <c r="C962" s="1"/>
      <c r="D962" s="3"/>
    </row>
    <row r="963" spans="1:4" ht="15.75" customHeight="1" x14ac:dyDescent="0.25">
      <c r="A963" s="2">
        <v>30712070133</v>
      </c>
      <c r="B963" s="3" t="s">
        <v>245</v>
      </c>
      <c r="C963" s="1"/>
      <c r="D963" s="3"/>
    </row>
    <row r="964" spans="1:4" ht="15.75" customHeight="1" x14ac:dyDescent="0.25">
      <c r="A964" s="2">
        <v>23172107559</v>
      </c>
      <c r="B964" s="3" t="s">
        <v>246</v>
      </c>
      <c r="C964" s="1"/>
      <c r="D964" s="3"/>
    </row>
    <row r="965" spans="1:4" ht="15.75" customHeight="1" x14ac:dyDescent="0.25">
      <c r="A965" s="2">
        <v>30597228984</v>
      </c>
      <c r="B965" s="3" t="s">
        <v>247</v>
      </c>
      <c r="C965" s="1"/>
      <c r="D965" s="3"/>
    </row>
    <row r="966" spans="1:4" ht="15.75" customHeight="1" x14ac:dyDescent="0.25">
      <c r="A966" s="2">
        <v>30710984332</v>
      </c>
      <c r="B966" s="3" t="s">
        <v>248</v>
      </c>
      <c r="C966" s="1"/>
      <c r="D966" s="3"/>
    </row>
    <row r="967" spans="1:4" ht="15.75" customHeight="1" x14ac:dyDescent="0.25">
      <c r="A967" s="2">
        <v>30710513895</v>
      </c>
      <c r="B967" s="3" t="s">
        <v>251</v>
      </c>
      <c r="C967" s="1"/>
      <c r="D967" s="3"/>
    </row>
    <row r="968" spans="1:4" ht="15.75" customHeight="1" x14ac:dyDescent="0.25">
      <c r="A968" s="2">
        <v>30522798106</v>
      </c>
      <c r="B968" s="3" t="s">
        <v>252</v>
      </c>
      <c r="C968" s="1"/>
      <c r="D968" s="3"/>
    </row>
    <row r="969" spans="1:4" ht="15.75" customHeight="1" x14ac:dyDescent="0.25">
      <c r="A969" s="2">
        <v>30710988109</v>
      </c>
      <c r="B969" s="3" t="s">
        <v>254</v>
      </c>
      <c r="C969" s="1"/>
      <c r="D969" s="3"/>
    </row>
    <row r="970" spans="1:4" ht="15.75" customHeight="1" x14ac:dyDescent="0.25">
      <c r="A970" s="2">
        <v>20222786054</v>
      </c>
      <c r="B970" s="3" t="s">
        <v>264</v>
      </c>
      <c r="C970" s="1"/>
      <c r="D970" s="3"/>
    </row>
    <row r="971" spans="1:4" ht="15.75" customHeight="1" x14ac:dyDescent="0.25">
      <c r="A971" s="2">
        <v>30685849751</v>
      </c>
      <c r="B971" s="3" t="s">
        <v>273</v>
      </c>
      <c r="C971" s="1"/>
      <c r="D971" s="3"/>
    </row>
    <row r="972" spans="1:4" ht="15.75" customHeight="1" x14ac:dyDescent="0.25">
      <c r="A972" s="2">
        <v>20273758063</v>
      </c>
      <c r="B972" s="3" t="s">
        <v>276</v>
      </c>
      <c r="C972" s="1"/>
      <c r="D972" s="3"/>
    </row>
    <row r="973" spans="1:4" ht="15.75" customHeight="1" x14ac:dyDescent="0.25">
      <c r="A973" s="2">
        <v>20181701820</v>
      </c>
      <c r="B973" s="3" t="s">
        <v>277</v>
      </c>
      <c r="C973" s="1"/>
      <c r="D973" s="3"/>
    </row>
    <row r="974" spans="1:4" ht="15.75" customHeight="1" x14ac:dyDescent="0.25">
      <c r="A974" s="2">
        <v>30683009195</v>
      </c>
      <c r="B974" s="3" t="s">
        <v>286</v>
      </c>
      <c r="C974" s="1"/>
      <c r="D974" s="3"/>
    </row>
    <row r="975" spans="1:4" ht="15.75" customHeight="1" x14ac:dyDescent="0.25">
      <c r="A975" s="2">
        <v>27185433736</v>
      </c>
      <c r="B975" s="3" t="s">
        <v>292</v>
      </c>
      <c r="C975" s="1"/>
      <c r="D975" s="3"/>
    </row>
    <row r="976" spans="1:4" ht="15.75" customHeight="1" x14ac:dyDescent="0.25">
      <c r="A976" s="2">
        <v>20291523626</v>
      </c>
      <c r="B976" s="3" t="s">
        <v>293</v>
      </c>
      <c r="C976" s="1"/>
      <c r="D976" s="3"/>
    </row>
    <row r="977" spans="1:4" ht="15.75" customHeight="1" x14ac:dyDescent="0.25">
      <c r="A977" s="2">
        <v>30711974268</v>
      </c>
      <c r="B977" s="3" t="s">
        <v>294</v>
      </c>
      <c r="C977" s="1"/>
      <c r="D977" s="3"/>
    </row>
    <row r="978" spans="1:4" ht="15.75" customHeight="1" x14ac:dyDescent="0.25">
      <c r="A978" s="2">
        <v>30711157758</v>
      </c>
      <c r="B978" s="3" t="s">
        <v>299</v>
      </c>
      <c r="C978" s="1"/>
      <c r="D978" s="3"/>
    </row>
    <row r="979" spans="1:4" ht="15.75" customHeight="1" x14ac:dyDescent="0.25">
      <c r="A979" s="2">
        <v>30655116202</v>
      </c>
      <c r="B979" s="3" t="s">
        <v>305</v>
      </c>
      <c r="C979" s="1"/>
      <c r="D979" s="3"/>
    </row>
    <row r="980" spans="1:4" ht="15.75" customHeight="1" x14ac:dyDescent="0.25">
      <c r="A980" s="2">
        <v>30555405428</v>
      </c>
      <c r="B980" s="3" t="s">
        <v>310</v>
      </c>
      <c r="C980" s="1"/>
      <c r="D980" s="3"/>
    </row>
    <row r="981" spans="1:4" ht="15.75" customHeight="1" x14ac:dyDescent="0.25">
      <c r="A981" s="2">
        <v>30500039430</v>
      </c>
      <c r="B981" s="3" t="s">
        <v>311</v>
      </c>
      <c r="C981" s="1"/>
      <c r="D981" s="3"/>
    </row>
    <row r="982" spans="1:4" ht="15.75" customHeight="1" x14ac:dyDescent="0.25">
      <c r="A982" s="2">
        <v>30709363944</v>
      </c>
      <c r="B982" s="3" t="s">
        <v>317</v>
      </c>
      <c r="C982" s="1"/>
      <c r="D982" s="3"/>
    </row>
    <row r="983" spans="1:4" ht="15.75" customHeight="1" x14ac:dyDescent="0.25">
      <c r="A983" s="2">
        <v>30715595105</v>
      </c>
      <c r="B983" s="3" t="s">
        <v>320</v>
      </c>
      <c r="C983" s="1"/>
      <c r="D983" s="3"/>
    </row>
    <row r="984" spans="1:4" ht="15.75" customHeight="1" x14ac:dyDescent="0.25">
      <c r="A984" s="2">
        <v>33711590809</v>
      </c>
      <c r="B984" s="3" t="s">
        <v>323</v>
      </c>
      <c r="C984" s="1"/>
      <c r="D984" s="3"/>
    </row>
    <row r="985" spans="1:4" ht="15.75" customHeight="1" x14ac:dyDescent="0.25">
      <c r="A985" s="2">
        <v>30709641073</v>
      </c>
      <c r="B985" s="3" t="s">
        <v>326</v>
      </c>
      <c r="C985" s="1"/>
      <c r="D985" s="3"/>
    </row>
    <row r="986" spans="1:4" ht="15.75" customHeight="1" x14ac:dyDescent="0.25">
      <c r="A986" s="2">
        <v>20215856314</v>
      </c>
      <c r="B986" s="3" t="s">
        <v>328</v>
      </c>
      <c r="C986" s="1"/>
      <c r="D986" s="3"/>
    </row>
    <row r="987" spans="1:4" ht="15.75" customHeight="1" x14ac:dyDescent="0.25">
      <c r="A987" s="2">
        <v>23136548719</v>
      </c>
      <c r="B987" s="3" t="s">
        <v>330</v>
      </c>
      <c r="C987" s="1"/>
      <c r="D987" s="3"/>
    </row>
    <row r="988" spans="1:4" ht="15.75" customHeight="1" x14ac:dyDescent="0.25">
      <c r="A988" s="2">
        <v>30659276964</v>
      </c>
      <c r="B988" s="3" t="s">
        <v>342</v>
      </c>
      <c r="C988" s="1"/>
      <c r="D988" s="3"/>
    </row>
    <row r="989" spans="1:4" ht="15.75" customHeight="1" x14ac:dyDescent="0.25">
      <c r="A989" s="2">
        <v>20333309433</v>
      </c>
      <c r="B989" s="3" t="s">
        <v>343</v>
      </c>
      <c r="C989" s="1"/>
      <c r="D989" s="3"/>
    </row>
    <row r="990" spans="1:4" ht="15.75" customHeight="1" x14ac:dyDescent="0.25">
      <c r="A990" s="2">
        <v>30709440515</v>
      </c>
      <c r="B990" s="3" t="s">
        <v>346</v>
      </c>
      <c r="C990" s="1"/>
      <c r="D990" s="3"/>
    </row>
    <row r="991" spans="1:4" ht="15.75" customHeight="1" x14ac:dyDescent="0.25">
      <c r="A991" s="2">
        <v>33649668029</v>
      </c>
      <c r="B991" s="3" t="s">
        <v>350</v>
      </c>
      <c r="C991" s="1"/>
      <c r="D991" s="3"/>
    </row>
    <row r="992" spans="1:4" ht="15.75" customHeight="1" x14ac:dyDescent="0.25">
      <c r="A992" s="2">
        <v>30710064721</v>
      </c>
      <c r="B992" s="3" t="s">
        <v>351</v>
      </c>
      <c r="C992" s="1"/>
      <c r="D992" s="3"/>
    </row>
    <row r="993" spans="1:4" ht="15.75" customHeight="1" x14ac:dyDescent="0.25">
      <c r="A993" s="2">
        <v>27309257060</v>
      </c>
      <c r="B993" s="3" t="s">
        <v>353</v>
      </c>
      <c r="C993" s="1"/>
      <c r="D993" s="3"/>
    </row>
    <row r="994" spans="1:4" ht="15.75" customHeight="1" x14ac:dyDescent="0.25">
      <c r="A994" s="2">
        <v>30716109158</v>
      </c>
      <c r="B994" s="3" t="s">
        <v>356</v>
      </c>
      <c r="C994" s="1"/>
      <c r="D994" s="3"/>
    </row>
    <row r="995" spans="1:4" ht="15.75" customHeight="1" x14ac:dyDescent="0.25">
      <c r="A995" s="2">
        <v>33714956049</v>
      </c>
      <c r="B995" s="3" t="s">
        <v>357</v>
      </c>
      <c r="C995" s="1"/>
      <c r="D995" s="3"/>
    </row>
    <row r="996" spans="1:4" ht="15.75" customHeight="1" x14ac:dyDescent="0.25">
      <c r="A996" s="2">
        <v>30708123451</v>
      </c>
      <c r="B996" s="3" t="s">
        <v>358</v>
      </c>
      <c r="C996" s="1"/>
      <c r="D996" s="3"/>
    </row>
    <row r="997" spans="1:4" ht="15.75" customHeight="1" x14ac:dyDescent="0.25">
      <c r="A997" s="2">
        <v>30716041596</v>
      </c>
      <c r="B997" s="3" t="s">
        <v>359</v>
      </c>
      <c r="C997" s="1"/>
      <c r="D997" s="3"/>
    </row>
    <row r="998" spans="1:4" ht="15.75" customHeight="1" x14ac:dyDescent="0.25">
      <c r="A998" s="2">
        <v>30526582884</v>
      </c>
      <c r="B998" s="3" t="s">
        <v>360</v>
      </c>
      <c r="C998" s="1"/>
      <c r="D998" s="3"/>
    </row>
    <row r="999" spans="1:4" ht="15.75" customHeight="1" x14ac:dyDescent="0.25">
      <c r="A999" s="2">
        <v>30715980807</v>
      </c>
      <c r="B999" s="3" t="s">
        <v>363</v>
      </c>
      <c r="C999" s="1"/>
      <c r="D999" s="3"/>
    </row>
    <row r="1000" spans="1:4" ht="15.75" customHeight="1" x14ac:dyDescent="0.25">
      <c r="A1000" s="2">
        <v>30655725829</v>
      </c>
      <c r="B1000" s="3" t="s">
        <v>365</v>
      </c>
      <c r="C1000" s="1"/>
      <c r="D1000" s="3"/>
    </row>
    <row r="1001" spans="1:4" ht="15.75" customHeight="1" x14ac:dyDescent="0.25">
      <c r="A1001" s="2">
        <v>20291918949</v>
      </c>
      <c r="B1001" s="3" t="s">
        <v>377</v>
      </c>
      <c r="C1001" s="1"/>
      <c r="D1001" s="3"/>
    </row>
    <row r="1002" spans="1:4" ht="15.75" customHeight="1" x14ac:dyDescent="0.25">
      <c r="A1002" s="2">
        <v>20317075430</v>
      </c>
      <c r="B1002" s="3" t="s">
        <v>379</v>
      </c>
      <c r="C1002" s="1"/>
      <c r="D1002" s="3"/>
    </row>
    <row r="1003" spans="1:4" ht="15.75" customHeight="1" x14ac:dyDescent="0.25">
      <c r="A1003" s="2">
        <v>30712231595</v>
      </c>
      <c r="B1003" s="3" t="s">
        <v>382</v>
      </c>
      <c r="C1003" s="1"/>
      <c r="D1003" s="3"/>
    </row>
    <row r="1004" spans="1:4" ht="15.75" customHeight="1" x14ac:dyDescent="0.25">
      <c r="A1004" s="2">
        <v>20173651172</v>
      </c>
      <c r="B1004" s="3" t="s">
        <v>383</v>
      </c>
      <c r="C1004" s="1"/>
      <c r="D1004" s="3"/>
    </row>
    <row r="1005" spans="1:4" ht="15.75" customHeight="1" x14ac:dyDescent="0.25">
      <c r="A1005" s="2">
        <v>20082650424</v>
      </c>
      <c r="B1005" s="3" t="s">
        <v>389</v>
      </c>
      <c r="C1005" s="1"/>
      <c r="D1005" s="3"/>
    </row>
    <row r="1006" spans="1:4" ht="15.75" customHeight="1" x14ac:dyDescent="0.25">
      <c r="A1006" s="2">
        <v>30716243946</v>
      </c>
      <c r="B1006" s="3" t="s">
        <v>391</v>
      </c>
      <c r="C1006" s="1"/>
      <c r="D1006" s="3"/>
    </row>
    <row r="1007" spans="1:4" ht="15.75" customHeight="1" x14ac:dyDescent="0.25">
      <c r="A1007" s="2">
        <v>30709453293</v>
      </c>
      <c r="B1007" s="3" t="s">
        <v>392</v>
      </c>
      <c r="C1007" s="1"/>
      <c r="D1007" s="3"/>
    </row>
    <row r="1008" spans="1:4" ht="15.75" customHeight="1" x14ac:dyDescent="0.25">
      <c r="A1008" s="2">
        <v>20111225304</v>
      </c>
      <c r="B1008" s="3" t="s">
        <v>397</v>
      </c>
      <c r="C1008" s="1"/>
      <c r="D1008" s="3"/>
    </row>
    <row r="1009" spans="1:4" ht="15.75" customHeight="1" x14ac:dyDescent="0.25">
      <c r="A1009" s="2">
        <v>30695097596</v>
      </c>
      <c r="B1009" s="3" t="s">
        <v>400</v>
      </c>
      <c r="C1009" s="1"/>
      <c r="D1009" s="3"/>
    </row>
    <row r="1010" spans="1:4" ht="15.75" customHeight="1" x14ac:dyDescent="0.25">
      <c r="A1010" s="2">
        <v>30711166927</v>
      </c>
      <c r="B1010" s="3" t="s">
        <v>402</v>
      </c>
      <c r="C1010" s="1"/>
      <c r="D1010" s="3"/>
    </row>
    <row r="1011" spans="1:4" ht="15.75" customHeight="1" x14ac:dyDescent="0.25">
      <c r="A1011" s="2">
        <v>20934275218</v>
      </c>
      <c r="B1011" s="3" t="s">
        <v>403</v>
      </c>
      <c r="C1011" s="1"/>
      <c r="D1011" s="3"/>
    </row>
    <row r="1012" spans="1:4" ht="15.75" customHeight="1" x14ac:dyDescent="0.25">
      <c r="A1012" s="2">
        <v>33714230129</v>
      </c>
      <c r="B1012" s="3" t="s">
        <v>404</v>
      </c>
      <c r="C1012" s="1"/>
      <c r="D1012" s="3"/>
    </row>
    <row r="1013" spans="1:4" ht="15.75" customHeight="1" x14ac:dyDescent="0.25">
      <c r="A1013" s="2">
        <v>30711491801</v>
      </c>
      <c r="B1013" s="3" t="s">
        <v>408</v>
      </c>
      <c r="C1013" s="1"/>
      <c r="D1013" s="3"/>
    </row>
    <row r="1014" spans="1:4" ht="15.75" customHeight="1" x14ac:dyDescent="0.25">
      <c r="A1014" s="2">
        <v>30657418877</v>
      </c>
      <c r="B1014" s="3" t="s">
        <v>409</v>
      </c>
      <c r="C1014" s="1"/>
      <c r="D1014" s="3"/>
    </row>
    <row r="1015" spans="1:4" ht="15.75" customHeight="1" x14ac:dyDescent="0.25">
      <c r="A1015" s="2">
        <v>20125142851</v>
      </c>
      <c r="B1015" s="3" t="s">
        <v>418</v>
      </c>
      <c r="C1015" s="1"/>
      <c r="D1015" s="3"/>
    </row>
    <row r="1016" spans="1:4" ht="15.75" customHeight="1" x14ac:dyDescent="0.25">
      <c r="A1016" s="2">
        <v>30699695242</v>
      </c>
      <c r="B1016" s="3" t="s">
        <v>420</v>
      </c>
      <c r="C1016" s="1"/>
      <c r="D1016" s="3"/>
    </row>
    <row r="1017" spans="1:4" ht="15.75" customHeight="1" x14ac:dyDescent="0.25">
      <c r="A1017" s="2">
        <v>30698914277</v>
      </c>
      <c r="B1017" s="3" t="s">
        <v>421</v>
      </c>
      <c r="C1017" s="1"/>
      <c r="D1017" s="3"/>
    </row>
    <row r="1018" spans="1:4" ht="15.75" customHeight="1" x14ac:dyDescent="0.25">
      <c r="A1018" s="2">
        <v>30522428163</v>
      </c>
      <c r="B1018" s="3" t="s">
        <v>422</v>
      </c>
      <c r="C1018" s="1"/>
      <c r="D1018" s="3"/>
    </row>
    <row r="1019" spans="1:4" ht="15.75" customHeight="1" x14ac:dyDescent="0.25">
      <c r="A1019" s="2">
        <v>30685228501</v>
      </c>
      <c r="B1019" s="3" t="s">
        <v>423</v>
      </c>
      <c r="C1019" s="1"/>
      <c r="D1019" s="3"/>
    </row>
    <row r="1020" spans="1:4" ht="15.75" customHeight="1" x14ac:dyDescent="0.25">
      <c r="A1020" s="2">
        <v>20101268897</v>
      </c>
      <c r="B1020" s="3" t="s">
        <v>430</v>
      </c>
      <c r="C1020" s="1"/>
      <c r="D1020" s="3"/>
    </row>
    <row r="1021" spans="1:4" ht="15.75" customHeight="1" x14ac:dyDescent="0.25">
      <c r="A1021" s="2">
        <v>30644997258</v>
      </c>
      <c r="B1021" s="3" t="s">
        <v>435</v>
      </c>
      <c r="C1021" s="1"/>
      <c r="D1021" s="3"/>
    </row>
    <row r="1022" spans="1:4" ht="15.75" customHeight="1" x14ac:dyDescent="0.25">
      <c r="A1022" s="2">
        <v>30546694263</v>
      </c>
      <c r="B1022" s="3" t="s">
        <v>436</v>
      </c>
      <c r="C1022" s="1"/>
      <c r="D1022" s="3"/>
    </row>
    <row r="1023" spans="1:4" ht="15.75" customHeight="1" x14ac:dyDescent="0.25">
      <c r="A1023" s="2">
        <v>23258555333</v>
      </c>
      <c r="B1023" s="3" t="s">
        <v>447</v>
      </c>
      <c r="C1023" s="1"/>
      <c r="D1023" s="3"/>
    </row>
    <row r="1024" spans="1:4" ht="15.75" customHeight="1" x14ac:dyDescent="0.25">
      <c r="A1024" s="2">
        <v>30715303791</v>
      </c>
      <c r="B1024" s="3" t="s">
        <v>448</v>
      </c>
      <c r="C1024" s="1"/>
      <c r="D1024" s="3"/>
    </row>
    <row r="1025" spans="1:4" ht="15.75" customHeight="1" x14ac:dyDescent="0.25">
      <c r="A1025" s="2">
        <v>30707867325</v>
      </c>
      <c r="B1025" s="3" t="s">
        <v>450</v>
      </c>
      <c r="C1025" s="1"/>
      <c r="D1025" s="3"/>
    </row>
    <row r="1026" spans="1:4" ht="15.75" customHeight="1" x14ac:dyDescent="0.25">
      <c r="A1026" s="2">
        <v>20219226625</v>
      </c>
      <c r="B1026" s="3" t="s">
        <v>451</v>
      </c>
      <c r="C1026" s="1"/>
      <c r="D1026" s="3"/>
    </row>
    <row r="1027" spans="1:4" ht="15.75" customHeight="1" x14ac:dyDescent="0.25">
      <c r="A1027" s="2">
        <v>20050719864</v>
      </c>
      <c r="B1027" s="3" t="s">
        <v>452</v>
      </c>
      <c r="C1027" s="1"/>
      <c r="D1027" s="3"/>
    </row>
    <row r="1028" spans="1:4" ht="15.75" customHeight="1" x14ac:dyDescent="0.25">
      <c r="A1028" s="2">
        <v>30633217803</v>
      </c>
      <c r="B1028" s="3" t="s">
        <v>453</v>
      </c>
      <c r="C1028" s="1"/>
      <c r="D1028" s="3"/>
    </row>
    <row r="1029" spans="1:4" ht="15.75" customHeight="1" x14ac:dyDescent="0.25">
      <c r="A1029" s="2">
        <v>30712776403</v>
      </c>
      <c r="B1029" s="3" t="s">
        <v>454</v>
      </c>
      <c r="C1029" s="1"/>
      <c r="D1029" s="3"/>
    </row>
    <row r="1030" spans="1:4" ht="15.75" customHeight="1" x14ac:dyDescent="0.25">
      <c r="A1030" s="2">
        <v>33695089789</v>
      </c>
      <c r="B1030" s="3" t="s">
        <v>456</v>
      </c>
      <c r="C1030" s="1"/>
      <c r="D1030" s="3"/>
    </row>
    <row r="1031" spans="1:4" ht="15.75" customHeight="1" x14ac:dyDescent="0.25">
      <c r="A1031" s="2">
        <v>30663498513</v>
      </c>
      <c r="B1031" s="3" t="s">
        <v>458</v>
      </c>
      <c r="C1031" s="1"/>
      <c r="D1031" s="3"/>
    </row>
    <row r="1032" spans="1:4" ht="15.75" customHeight="1" x14ac:dyDescent="0.25">
      <c r="A1032" s="2">
        <v>30715775014</v>
      </c>
      <c r="B1032" s="3" t="s">
        <v>460</v>
      </c>
      <c r="C1032" s="1"/>
      <c r="D1032" s="3"/>
    </row>
    <row r="1033" spans="1:4" ht="15.75" customHeight="1" x14ac:dyDescent="0.25">
      <c r="A1033" s="2">
        <v>30709227161</v>
      </c>
      <c r="B1033" s="3" t="s">
        <v>464</v>
      </c>
      <c r="C1033" s="1"/>
      <c r="D1033" s="3"/>
    </row>
    <row r="1034" spans="1:4" ht="15.75" customHeight="1" x14ac:dyDescent="0.25">
      <c r="A1034" s="2">
        <v>20940658609</v>
      </c>
      <c r="B1034" s="3" t="s">
        <v>465</v>
      </c>
      <c r="C1034" s="1"/>
      <c r="D1034" s="3"/>
    </row>
    <row r="1035" spans="1:4" ht="15.75" customHeight="1" x14ac:dyDescent="0.25">
      <c r="A1035" s="2">
        <v>30582876661</v>
      </c>
      <c r="B1035" s="3" t="s">
        <v>467</v>
      </c>
      <c r="C1035" s="1"/>
      <c r="D1035" s="3"/>
    </row>
    <row r="1036" spans="1:4" ht="15.75" customHeight="1" x14ac:dyDescent="0.25">
      <c r="A1036" s="2">
        <v>20144078188</v>
      </c>
      <c r="B1036" s="3" t="s">
        <v>469</v>
      </c>
      <c r="C1036" s="1"/>
      <c r="D1036" s="3"/>
    </row>
    <row r="1037" spans="1:4" ht="15.75" customHeight="1" x14ac:dyDescent="0.25">
      <c r="A1037" s="2">
        <v>30570945285</v>
      </c>
      <c r="B1037" s="3" t="s">
        <v>472</v>
      </c>
      <c r="C1037" s="1"/>
      <c r="D1037" s="3"/>
    </row>
    <row r="1038" spans="1:4" ht="15.75" customHeight="1" x14ac:dyDescent="0.25">
      <c r="A1038" s="2">
        <v>30593410354</v>
      </c>
      <c r="B1038" s="3" t="s">
        <v>473</v>
      </c>
      <c r="C1038" s="1"/>
      <c r="D1038" s="3"/>
    </row>
    <row r="1039" spans="1:4" ht="15.75" customHeight="1" x14ac:dyDescent="0.25">
      <c r="A1039" s="2">
        <v>30708508221</v>
      </c>
      <c r="B1039" s="3" t="s">
        <v>477</v>
      </c>
      <c r="C1039" s="1"/>
      <c r="D1039" s="3"/>
    </row>
    <row r="1040" spans="1:4" ht="15.75" customHeight="1" x14ac:dyDescent="0.25">
      <c r="A1040" s="2">
        <v>27171152610</v>
      </c>
      <c r="B1040" s="3" t="s">
        <v>479</v>
      </c>
      <c r="C1040" s="1"/>
      <c r="D1040" s="3"/>
    </row>
    <row r="1041" spans="1:4" ht="15.75" customHeight="1" x14ac:dyDescent="0.25">
      <c r="A1041" s="2">
        <v>20255683595</v>
      </c>
      <c r="B1041" s="3" t="s">
        <v>480</v>
      </c>
      <c r="C1041" s="1"/>
      <c r="D1041" s="3"/>
    </row>
    <row r="1042" spans="1:4" ht="15.75" customHeight="1" x14ac:dyDescent="0.25">
      <c r="A1042" s="2">
        <v>30631285038</v>
      </c>
      <c r="B1042" s="3" t="s">
        <v>482</v>
      </c>
      <c r="C1042" s="1"/>
      <c r="D1042" s="3"/>
    </row>
    <row r="1043" spans="1:4" ht="15.75" customHeight="1" x14ac:dyDescent="0.25">
      <c r="A1043" s="2">
        <v>30691712350</v>
      </c>
      <c r="B1043" s="3" t="s">
        <v>487</v>
      </c>
      <c r="C1043" s="1"/>
      <c r="D1043" s="3"/>
    </row>
    <row r="1044" spans="1:4" ht="15.75" customHeight="1" x14ac:dyDescent="0.25">
      <c r="A1044" s="2">
        <v>30711017697</v>
      </c>
      <c r="B1044" s="3" t="s">
        <v>490</v>
      </c>
      <c r="C1044" s="1"/>
      <c r="D1044" s="3"/>
    </row>
    <row r="1045" spans="1:4" ht="15.75" customHeight="1" x14ac:dyDescent="0.25">
      <c r="A1045" s="2">
        <v>30715578154</v>
      </c>
      <c r="B1045" s="3" t="s">
        <v>493</v>
      </c>
      <c r="C1045" s="1"/>
      <c r="D1045" s="3"/>
    </row>
    <row r="1046" spans="1:4" ht="15.75" customHeight="1" x14ac:dyDescent="0.25">
      <c r="A1046" s="2">
        <v>30546687062</v>
      </c>
      <c r="B1046" s="3" t="s">
        <v>495</v>
      </c>
      <c r="C1046" s="1"/>
      <c r="D1046" s="3"/>
    </row>
    <row r="1047" spans="1:4" ht="15.75" customHeight="1" x14ac:dyDescent="0.25">
      <c r="A1047" s="2">
        <v>30667805283</v>
      </c>
      <c r="B1047" s="3" t="s">
        <v>496</v>
      </c>
      <c r="C1047" s="1"/>
      <c r="D1047" s="3"/>
    </row>
    <row r="1048" spans="1:4" ht="15.75" customHeight="1" x14ac:dyDescent="0.25">
      <c r="A1048" s="2">
        <v>30710457162</v>
      </c>
      <c r="B1048" s="3" t="s">
        <v>498</v>
      </c>
      <c r="C1048" s="1"/>
      <c r="D1048" s="3"/>
    </row>
    <row r="1049" spans="1:4" ht="15.75" customHeight="1" x14ac:dyDescent="0.25">
      <c r="A1049" s="2">
        <v>30715237071</v>
      </c>
      <c r="B1049" s="3" t="s">
        <v>500</v>
      </c>
      <c r="C1049" s="1"/>
      <c r="D1049" s="3"/>
    </row>
    <row r="1050" spans="1:4" ht="15.75" customHeight="1" x14ac:dyDescent="0.25">
      <c r="A1050" s="2">
        <v>20104571507</v>
      </c>
      <c r="B1050" s="3" t="s">
        <v>501</v>
      </c>
      <c r="C1050" s="1"/>
      <c r="D1050" s="3"/>
    </row>
    <row r="1051" spans="1:4" ht="15.75" customHeight="1" x14ac:dyDescent="0.25">
      <c r="A1051" s="2">
        <v>30627739571</v>
      </c>
      <c r="B1051" s="3" t="s">
        <v>504</v>
      </c>
      <c r="C1051" s="1"/>
      <c r="D1051" s="3"/>
    </row>
    <row r="1052" spans="1:4" ht="15.75" customHeight="1" x14ac:dyDescent="0.25">
      <c r="A1052" s="2">
        <v>30688241614</v>
      </c>
      <c r="B1052" s="3" t="s">
        <v>508</v>
      </c>
      <c r="C1052" s="1"/>
      <c r="D1052" s="3"/>
    </row>
    <row r="1053" spans="1:4" ht="15.75" customHeight="1" x14ac:dyDescent="0.25">
      <c r="A1053" s="2">
        <v>30708844248</v>
      </c>
      <c r="B1053" s="3" t="s">
        <v>509</v>
      </c>
      <c r="C1053" s="1"/>
      <c r="D1053" s="3"/>
    </row>
    <row r="1054" spans="1:4" ht="15.75" customHeight="1" x14ac:dyDescent="0.25">
      <c r="A1054" s="2">
        <v>30712479945</v>
      </c>
      <c r="B1054" s="3" t="s">
        <v>510</v>
      </c>
      <c r="C1054" s="1"/>
      <c r="D1054" s="3"/>
    </row>
    <row r="1055" spans="1:4" ht="15.75" customHeight="1" x14ac:dyDescent="0.25">
      <c r="A1055" s="2">
        <v>30711738130</v>
      </c>
      <c r="B1055" s="3" t="s">
        <v>511</v>
      </c>
      <c r="C1055" s="1"/>
      <c r="D1055" s="3"/>
    </row>
    <row r="1056" spans="1:4" ht="15.75" customHeight="1" x14ac:dyDescent="0.25">
      <c r="A1056" s="2">
        <v>20220423655</v>
      </c>
      <c r="B1056" s="3" t="s">
        <v>512</v>
      </c>
      <c r="C1056" s="1"/>
      <c r="D1056" s="3"/>
    </row>
    <row r="1057" spans="1:4" ht="15.75" customHeight="1" x14ac:dyDescent="0.25">
      <c r="A1057" s="2">
        <v>30716011786</v>
      </c>
      <c r="B1057" s="3" t="s">
        <v>515</v>
      </c>
      <c r="C1057" s="1"/>
      <c r="D1057" s="3"/>
    </row>
    <row r="1058" spans="1:4" ht="15.75" customHeight="1" x14ac:dyDescent="0.25">
      <c r="A1058" s="2">
        <v>30652792614</v>
      </c>
      <c r="B1058" s="3" t="s">
        <v>516</v>
      </c>
      <c r="C1058" s="1"/>
      <c r="D1058" s="3"/>
    </row>
    <row r="1059" spans="1:4" ht="15.75" customHeight="1" x14ac:dyDescent="0.25">
      <c r="A1059" s="2">
        <v>30699010983</v>
      </c>
      <c r="B1059" s="3" t="s">
        <v>522</v>
      </c>
      <c r="C1059" s="1"/>
      <c r="D1059" s="3"/>
    </row>
    <row r="1060" spans="1:4" ht="15.75" customHeight="1" x14ac:dyDescent="0.25">
      <c r="A1060" s="2">
        <v>30712187316</v>
      </c>
      <c r="B1060" s="3" t="s">
        <v>525</v>
      </c>
      <c r="C1060" s="1"/>
      <c r="D1060" s="3"/>
    </row>
    <row r="1061" spans="1:4" ht="15.75" customHeight="1" x14ac:dyDescent="0.25">
      <c r="A1061" s="2">
        <v>30547076679</v>
      </c>
      <c r="B1061" s="3" t="s">
        <v>526</v>
      </c>
      <c r="C1061" s="1"/>
      <c r="D1061" s="3"/>
    </row>
    <row r="1062" spans="1:4" ht="15.75" customHeight="1" x14ac:dyDescent="0.25">
      <c r="A1062" s="2">
        <v>30709267821</v>
      </c>
      <c r="B1062" s="3" t="s">
        <v>527</v>
      </c>
      <c r="C1062" s="1"/>
      <c r="D1062" s="3"/>
    </row>
    <row r="1063" spans="1:4" ht="15.75" customHeight="1" x14ac:dyDescent="0.25">
      <c r="A1063" s="2">
        <v>30636074280</v>
      </c>
      <c r="B1063" s="3" t="s">
        <v>531</v>
      </c>
      <c r="C1063" s="1"/>
      <c r="D1063" s="3"/>
    </row>
    <row r="1064" spans="1:4" ht="15.75" customHeight="1" x14ac:dyDescent="0.25">
      <c r="A1064" s="2">
        <v>30714306355</v>
      </c>
      <c r="B1064" s="3" t="s">
        <v>532</v>
      </c>
      <c r="C1064" s="1"/>
      <c r="D1064" s="3"/>
    </row>
    <row r="1065" spans="1:4" ht="15.75" customHeight="1" x14ac:dyDescent="0.25">
      <c r="A1065" s="2">
        <v>30506357841</v>
      </c>
      <c r="B1065" s="3" t="s">
        <v>533</v>
      </c>
      <c r="C1065" s="1"/>
      <c r="D1065" s="3"/>
    </row>
    <row r="1066" spans="1:4" ht="15.75" customHeight="1" x14ac:dyDescent="0.25">
      <c r="A1066" s="2">
        <v>24931553247</v>
      </c>
      <c r="B1066" s="3" t="s">
        <v>534</v>
      </c>
      <c r="C1066" s="1"/>
      <c r="D1066" s="3"/>
    </row>
    <row r="1067" spans="1:4" ht="15.75" customHeight="1" x14ac:dyDescent="0.25">
      <c r="A1067" s="2">
        <v>30574668715</v>
      </c>
      <c r="B1067" s="3" t="s">
        <v>538</v>
      </c>
      <c r="C1067" s="1"/>
      <c r="D1067" s="3"/>
    </row>
    <row r="1068" spans="1:4" ht="15.75" customHeight="1" x14ac:dyDescent="0.25">
      <c r="A1068" s="2">
        <v>33649669029</v>
      </c>
      <c r="B1068" s="3" t="s">
        <v>539</v>
      </c>
      <c r="C1068" s="1"/>
      <c r="D1068" s="3"/>
    </row>
    <row r="1069" spans="1:4" ht="15.75" customHeight="1" x14ac:dyDescent="0.25">
      <c r="A1069" s="2">
        <v>20929018347</v>
      </c>
      <c r="B1069" s="3" t="s">
        <v>540</v>
      </c>
      <c r="C1069" s="1"/>
      <c r="D1069" s="3"/>
    </row>
    <row r="1070" spans="1:4" ht="15.75" customHeight="1" x14ac:dyDescent="0.25">
      <c r="A1070" s="2">
        <v>20165471491</v>
      </c>
      <c r="B1070" s="3" t="s">
        <v>546</v>
      </c>
      <c r="C1070" s="1"/>
      <c r="D1070" s="3"/>
    </row>
    <row r="1071" spans="1:4" ht="15.75" customHeight="1" x14ac:dyDescent="0.25">
      <c r="A1071" s="2">
        <v>30631965284</v>
      </c>
      <c r="B1071" s="3" t="s">
        <v>550</v>
      </c>
      <c r="C1071" s="1"/>
      <c r="D1071" s="3"/>
    </row>
    <row r="1072" spans="1:4" ht="15.75" customHeight="1" x14ac:dyDescent="0.25">
      <c r="A1072" s="2">
        <v>23220104389</v>
      </c>
      <c r="B1072" s="3" t="s">
        <v>558</v>
      </c>
      <c r="C1072" s="1"/>
      <c r="D1072" s="3"/>
    </row>
    <row r="1073" spans="1:4" ht="15.75" customHeight="1" x14ac:dyDescent="0.25">
      <c r="A1073" s="2">
        <v>30714185574</v>
      </c>
      <c r="B1073" s="3" t="s">
        <v>559</v>
      </c>
      <c r="C1073" s="1"/>
      <c r="D1073" s="3"/>
    </row>
    <row r="1074" spans="1:4" ht="15.75" customHeight="1" x14ac:dyDescent="0.25">
      <c r="A1074" s="2">
        <v>30707918914</v>
      </c>
      <c r="B1074" s="3" t="s">
        <v>560</v>
      </c>
      <c r="C1074" s="1"/>
      <c r="D1074" s="3"/>
    </row>
    <row r="1075" spans="1:4" ht="15.75" customHeight="1" x14ac:dyDescent="0.25">
      <c r="A1075" s="2">
        <v>30645614735</v>
      </c>
      <c r="B1075" s="3" t="s">
        <v>562</v>
      </c>
      <c r="C1075" s="1"/>
      <c r="D1075" s="3"/>
    </row>
    <row r="1076" spans="1:4" ht="15.75" customHeight="1" x14ac:dyDescent="0.25">
      <c r="A1076" s="2">
        <v>30500051163</v>
      </c>
      <c r="B1076" s="3" t="s">
        <v>563</v>
      </c>
      <c r="C1076" s="1"/>
      <c r="D1076" s="3"/>
    </row>
    <row r="1077" spans="1:4" ht="15.75" customHeight="1" x14ac:dyDescent="0.25">
      <c r="A1077" s="2">
        <v>30585254297</v>
      </c>
      <c r="B1077" s="3" t="s">
        <v>564</v>
      </c>
      <c r="C1077" s="1"/>
      <c r="D1077" s="3"/>
    </row>
    <row r="1078" spans="1:4" ht="15.75" customHeight="1" x14ac:dyDescent="0.25">
      <c r="A1078" s="2">
        <v>20043924312</v>
      </c>
      <c r="B1078" s="3" t="s">
        <v>566</v>
      </c>
      <c r="C1078" s="1"/>
      <c r="D1078" s="3"/>
    </row>
    <row r="1079" spans="1:4" ht="15.75" customHeight="1" x14ac:dyDescent="0.25">
      <c r="A1079" s="2">
        <v>20121778042</v>
      </c>
      <c r="B1079" s="3" t="s">
        <v>567</v>
      </c>
      <c r="C1079" s="1"/>
      <c r="D1079" s="3"/>
    </row>
    <row r="1080" spans="1:4" ht="15.75" customHeight="1" x14ac:dyDescent="0.25">
      <c r="A1080" s="2">
        <v>27249631413</v>
      </c>
      <c r="B1080" s="3" t="s">
        <v>568</v>
      </c>
      <c r="C1080" s="1"/>
      <c r="D1080" s="3"/>
    </row>
    <row r="1081" spans="1:4" ht="15.75" customHeight="1" x14ac:dyDescent="0.25">
      <c r="A1081" s="2">
        <v>30679107220</v>
      </c>
      <c r="B1081" s="3" t="s">
        <v>571</v>
      </c>
      <c r="C1081" s="1"/>
      <c r="D1081" s="3"/>
    </row>
    <row r="1082" spans="1:4" ht="15.75" customHeight="1" x14ac:dyDescent="0.25">
      <c r="A1082" s="2">
        <v>3079881767</v>
      </c>
      <c r="B1082" s="3" t="s">
        <v>575</v>
      </c>
      <c r="C1082" s="1"/>
      <c r="D1082" s="3"/>
    </row>
    <row r="1083" spans="1:4" ht="15.75" customHeight="1" x14ac:dyDescent="0.25">
      <c r="A1083" s="2">
        <v>23223377734</v>
      </c>
      <c r="B1083" s="3" t="s">
        <v>578</v>
      </c>
      <c r="C1083" s="1"/>
      <c r="D1083" s="3"/>
    </row>
    <row r="1084" spans="1:4" ht="15.75" customHeight="1" x14ac:dyDescent="0.25">
      <c r="A1084" s="2">
        <v>30661041486</v>
      </c>
      <c r="B1084" s="3" t="s">
        <v>579</v>
      </c>
      <c r="C1084" s="1"/>
      <c r="D1084" s="3"/>
    </row>
    <row r="1085" spans="1:4" ht="15.75" customHeight="1" x14ac:dyDescent="0.25">
      <c r="A1085" s="2">
        <v>30715723871</v>
      </c>
      <c r="B1085" s="3" t="s">
        <v>580</v>
      </c>
      <c r="C1085" s="1"/>
      <c r="D1085" s="3"/>
    </row>
    <row r="1086" spans="1:4" ht="15.75" customHeight="1" x14ac:dyDescent="0.25">
      <c r="A1086" s="2">
        <v>27129657710</v>
      </c>
      <c r="B1086" s="3" t="s">
        <v>586</v>
      </c>
      <c r="C1086" s="1"/>
      <c r="D1086" s="3"/>
    </row>
    <row r="1087" spans="1:4" ht="15.75" customHeight="1" x14ac:dyDescent="0.25">
      <c r="A1087" s="2">
        <v>30708326794</v>
      </c>
      <c r="B1087" s="3" t="s">
        <v>587</v>
      </c>
      <c r="C1087" s="1"/>
      <c r="D1087" s="3"/>
    </row>
    <row r="1088" spans="1:4" ht="15.75" customHeight="1" x14ac:dyDescent="0.25">
      <c r="A1088" s="2">
        <v>30708035633</v>
      </c>
      <c r="B1088" s="3" t="s">
        <v>588</v>
      </c>
      <c r="C1088" s="1"/>
      <c r="D1088" s="3"/>
    </row>
    <row r="1089" spans="1:4" ht="15.75" customHeight="1" x14ac:dyDescent="0.25">
      <c r="A1089" s="2">
        <v>30714647594</v>
      </c>
      <c r="B1089" s="3" t="s">
        <v>589</v>
      </c>
      <c r="C1089" s="1"/>
      <c r="D1089" s="3"/>
    </row>
    <row r="1090" spans="1:4" ht="15.75" customHeight="1" x14ac:dyDescent="0.25">
      <c r="A1090" s="2">
        <v>30710265425</v>
      </c>
      <c r="B1090" s="3" t="s">
        <v>592</v>
      </c>
      <c r="C1090" s="1"/>
      <c r="D1090" s="3"/>
    </row>
    <row r="1091" spans="1:4" ht="15.75" customHeight="1" x14ac:dyDescent="0.25">
      <c r="A1091" s="2">
        <v>23084885029</v>
      </c>
      <c r="B1091" s="3" t="s">
        <v>599</v>
      </c>
      <c r="C1091" s="1"/>
      <c r="D1091" s="3"/>
    </row>
    <row r="1092" spans="1:4" ht="15.75" customHeight="1" x14ac:dyDescent="0.25">
      <c r="A1092" s="2">
        <v>30710355688</v>
      </c>
      <c r="B1092" s="3" t="s">
        <v>600</v>
      </c>
      <c r="C1092" s="1"/>
      <c r="D1092" s="3"/>
    </row>
    <row r="1093" spans="1:4" ht="15.75" customHeight="1" x14ac:dyDescent="0.25">
      <c r="A1093" s="2">
        <v>30589621499</v>
      </c>
      <c r="B1093" s="3" t="s">
        <v>605</v>
      </c>
      <c r="C1093" s="1"/>
      <c r="D1093" s="3"/>
    </row>
    <row r="1094" spans="1:4" ht="15.75" customHeight="1" x14ac:dyDescent="0.25">
      <c r="A1094" s="2">
        <v>20120338529</v>
      </c>
      <c r="B1094" s="3" t="s">
        <v>606</v>
      </c>
      <c r="C1094" s="1"/>
      <c r="D1094" s="3"/>
    </row>
    <row r="1095" spans="1:4" ht="15.75" customHeight="1" x14ac:dyDescent="0.25">
      <c r="A1095" s="2">
        <v>20044258898</v>
      </c>
      <c r="B1095" s="3" t="s">
        <v>608</v>
      </c>
      <c r="C1095" s="1"/>
      <c r="D1095" s="3"/>
    </row>
    <row r="1096" spans="1:4" ht="15.75" customHeight="1" x14ac:dyDescent="0.25">
      <c r="A1096" s="2">
        <v>27228778937</v>
      </c>
      <c r="B1096" s="3" t="s">
        <v>611</v>
      </c>
      <c r="C1096" s="1"/>
      <c r="D1096" s="3"/>
    </row>
    <row r="1097" spans="1:4" ht="15.75" customHeight="1" x14ac:dyDescent="0.25">
      <c r="A1097" s="2">
        <v>20202134700</v>
      </c>
      <c r="B1097" s="3" t="s">
        <v>613</v>
      </c>
      <c r="C1097" s="1"/>
      <c r="D1097" s="3"/>
    </row>
    <row r="1098" spans="1:4" ht="15.75" customHeight="1" x14ac:dyDescent="0.25">
      <c r="A1098" s="2">
        <v>30707963065</v>
      </c>
      <c r="B1098" s="3" t="s">
        <v>616</v>
      </c>
      <c r="C1098" s="1"/>
      <c r="D1098" s="3"/>
    </row>
    <row r="1099" spans="1:4" ht="15.75" customHeight="1" x14ac:dyDescent="0.25">
      <c r="A1099" s="2">
        <v>30715009826</v>
      </c>
      <c r="B1099" s="3" t="s">
        <v>617</v>
      </c>
      <c r="C1099" s="1"/>
      <c r="D1099" s="3"/>
    </row>
    <row r="1100" spans="1:4" ht="15.75" customHeight="1" x14ac:dyDescent="0.25">
      <c r="A1100" s="2">
        <v>30568557464</v>
      </c>
      <c r="B1100" s="3" t="s">
        <v>618</v>
      </c>
      <c r="C1100" s="1"/>
      <c r="D1100" s="3"/>
    </row>
    <row r="1101" spans="1:4" ht="15.75" customHeight="1" x14ac:dyDescent="0.25">
      <c r="A1101" s="2">
        <v>30612865333</v>
      </c>
      <c r="B1101" s="3" t="s">
        <v>622</v>
      </c>
      <c r="C1101" s="1"/>
      <c r="D1101" s="3"/>
    </row>
    <row r="1102" spans="1:4" ht="15.75" customHeight="1" x14ac:dyDescent="0.25">
      <c r="A1102" s="2">
        <v>30709982326</v>
      </c>
      <c r="B1102" s="3" t="s">
        <v>623</v>
      </c>
      <c r="C1102" s="1"/>
      <c r="D1102" s="3"/>
    </row>
    <row r="1103" spans="1:4" ht="15.75" customHeight="1" x14ac:dyDescent="0.25">
      <c r="A1103" s="2">
        <v>30707518541</v>
      </c>
      <c r="B1103" s="3" t="s">
        <v>624</v>
      </c>
      <c r="C1103" s="1"/>
      <c r="D1103" s="3"/>
    </row>
    <row r="1104" spans="1:4" ht="15.75" customHeight="1" x14ac:dyDescent="0.25">
      <c r="A1104" s="2">
        <v>30546771314</v>
      </c>
      <c r="B1104" s="3" t="s">
        <v>629</v>
      </c>
      <c r="C1104" s="1"/>
      <c r="D1104" s="3"/>
    </row>
    <row r="1105" spans="1:4" ht="15.75" customHeight="1" x14ac:dyDescent="0.25">
      <c r="A1105" s="2">
        <v>20229907523</v>
      </c>
      <c r="B1105" s="3" t="s">
        <v>630</v>
      </c>
      <c r="C1105" s="1"/>
      <c r="D1105" s="3"/>
    </row>
    <row r="1106" spans="1:4" ht="15.75" customHeight="1" x14ac:dyDescent="0.25">
      <c r="A1106" s="2">
        <v>30714352535</v>
      </c>
      <c r="B1106" s="3" t="s">
        <v>631</v>
      </c>
      <c r="C1106" s="1"/>
      <c r="D1106" s="3"/>
    </row>
    <row r="1107" spans="1:4" ht="15.75" customHeight="1" x14ac:dyDescent="0.25">
      <c r="A1107" s="2">
        <v>30709319929</v>
      </c>
      <c r="B1107" s="3" t="s">
        <v>632</v>
      </c>
      <c r="C1107" s="1"/>
      <c r="D1107" s="3"/>
    </row>
    <row r="1108" spans="1:4" ht="15.75" customHeight="1" x14ac:dyDescent="0.25">
      <c r="A1108" s="2">
        <v>30712800700</v>
      </c>
      <c r="B1108" s="3" t="s">
        <v>635</v>
      </c>
      <c r="C1108" s="1"/>
      <c r="D1108" s="3"/>
    </row>
    <row r="1109" spans="1:4" ht="15.75" customHeight="1" x14ac:dyDescent="0.25">
      <c r="A1109" s="2">
        <v>30715686054</v>
      </c>
      <c r="B1109" s="3" t="s">
        <v>636</v>
      </c>
      <c r="C1109" s="1"/>
      <c r="D1109" s="3"/>
    </row>
    <row r="1110" spans="1:4" ht="15.75" customHeight="1" x14ac:dyDescent="0.25">
      <c r="A1110" s="2">
        <v>27119872311</v>
      </c>
      <c r="B1110" s="3" t="s">
        <v>638</v>
      </c>
      <c r="C1110" s="1"/>
      <c r="D1110" s="3"/>
    </row>
    <row r="1111" spans="1:4" ht="15.75" customHeight="1" x14ac:dyDescent="0.25">
      <c r="A1111" s="2">
        <v>27144787019</v>
      </c>
      <c r="B1111" s="3" t="s">
        <v>639</v>
      </c>
      <c r="C1111" s="1"/>
      <c r="D1111" s="3"/>
    </row>
    <row r="1112" spans="1:4" ht="15.75" customHeight="1" x14ac:dyDescent="0.25">
      <c r="A1112" s="2">
        <v>20117741398</v>
      </c>
      <c r="B1112" s="3" t="s">
        <v>640</v>
      </c>
      <c r="C1112" s="1"/>
      <c r="D1112" s="3"/>
    </row>
    <row r="1113" spans="1:4" ht="15.75" customHeight="1" x14ac:dyDescent="0.25">
      <c r="A1113" s="2">
        <v>30707661492</v>
      </c>
      <c r="B1113" s="3" t="s">
        <v>641</v>
      </c>
      <c r="C1113" s="1"/>
      <c r="D1113" s="3"/>
    </row>
    <row r="1114" spans="1:4" ht="15.75" customHeight="1" x14ac:dyDescent="0.25">
      <c r="A1114" s="2">
        <v>30703088534</v>
      </c>
      <c r="B1114" s="3" t="s">
        <v>642</v>
      </c>
      <c r="C1114" s="1"/>
      <c r="D1114" s="3"/>
    </row>
    <row r="1115" spans="1:4" ht="15.75" customHeight="1" x14ac:dyDescent="0.25">
      <c r="A1115" s="2">
        <v>30549180783</v>
      </c>
      <c r="B1115" s="3" t="s">
        <v>644</v>
      </c>
      <c r="C1115" s="1"/>
      <c r="D1115" s="3"/>
    </row>
    <row r="1116" spans="1:4" ht="15.75" customHeight="1" x14ac:dyDescent="0.25">
      <c r="A1116" s="2">
        <v>30520045798</v>
      </c>
      <c r="B1116" s="3" t="s">
        <v>645</v>
      </c>
      <c r="C1116" s="1"/>
      <c r="D1116" s="3"/>
    </row>
    <row r="1117" spans="1:4" ht="15.75" customHeight="1" x14ac:dyDescent="0.25">
      <c r="A1117" s="2">
        <v>20319666576</v>
      </c>
      <c r="B1117" s="3" t="s">
        <v>647</v>
      </c>
      <c r="C1117" s="1"/>
      <c r="D1117" s="3"/>
    </row>
    <row r="1118" spans="1:4" ht="15.75" customHeight="1" x14ac:dyDescent="0.25">
      <c r="A1118" s="2">
        <v>30709016012</v>
      </c>
      <c r="B1118" s="3" t="s">
        <v>648</v>
      </c>
      <c r="C1118" s="1"/>
      <c r="D1118" s="3"/>
    </row>
    <row r="1119" spans="1:4" ht="15.75" customHeight="1" x14ac:dyDescent="0.25">
      <c r="A1119" s="2">
        <v>20171635285</v>
      </c>
      <c r="B1119" s="3" t="s">
        <v>651</v>
      </c>
      <c r="C1119" s="1"/>
      <c r="D1119" s="3"/>
    </row>
    <row r="1120" spans="1:4" ht="15.75" customHeight="1" x14ac:dyDescent="0.25">
      <c r="A1120" s="2">
        <v>20120766598</v>
      </c>
      <c r="B1120" s="3" t="s">
        <v>658</v>
      </c>
      <c r="C1120" s="1"/>
      <c r="D1120" s="3"/>
    </row>
    <row r="1121" spans="1:4" ht="15.75" customHeight="1" x14ac:dyDescent="0.25">
      <c r="A1121" s="2">
        <v>30500858628</v>
      </c>
      <c r="B1121" s="3" t="s">
        <v>661</v>
      </c>
      <c r="C1121" s="1"/>
      <c r="D1121" s="3"/>
    </row>
    <row r="1122" spans="1:4" ht="15.75" customHeight="1" x14ac:dyDescent="0.25">
      <c r="A1122" s="2">
        <v>20320421218</v>
      </c>
      <c r="B1122" s="3" t="s">
        <v>663</v>
      </c>
      <c r="C1122" s="1"/>
      <c r="D1122" s="3"/>
    </row>
    <row r="1123" spans="1:4" ht="15.75" customHeight="1" x14ac:dyDescent="0.25">
      <c r="A1123" s="2">
        <v>30708608994</v>
      </c>
      <c r="B1123" s="3" t="s">
        <v>665</v>
      </c>
      <c r="C1123" s="1"/>
      <c r="D1123" s="3"/>
    </row>
    <row r="1124" spans="1:4" ht="15.75" customHeight="1" x14ac:dyDescent="0.25">
      <c r="A1124" s="2">
        <v>30713713909</v>
      </c>
      <c r="B1124" s="3" t="s">
        <v>666</v>
      </c>
      <c r="C1124" s="1"/>
      <c r="D1124" s="3"/>
    </row>
    <row r="1125" spans="1:4" ht="15.75" customHeight="1" x14ac:dyDescent="0.25">
      <c r="A1125" s="2">
        <v>30632563856</v>
      </c>
      <c r="B1125" s="3" t="s">
        <v>668</v>
      </c>
      <c r="C1125" s="1"/>
      <c r="D1125" s="3"/>
    </row>
    <row r="1126" spans="1:4" ht="15.75" customHeight="1" x14ac:dyDescent="0.25">
      <c r="A1126" s="2">
        <v>30557676798</v>
      </c>
      <c r="B1126" s="3" t="s">
        <v>669</v>
      </c>
      <c r="C1126" s="1"/>
      <c r="D1126" s="3"/>
    </row>
    <row r="1127" spans="1:4" ht="15.75" customHeight="1" x14ac:dyDescent="0.25">
      <c r="A1127" s="2">
        <v>30573785742</v>
      </c>
      <c r="B1127" s="3" t="s">
        <v>670</v>
      </c>
      <c r="C1127" s="1"/>
      <c r="D1127" s="3"/>
    </row>
    <row r="1128" spans="1:4" ht="15.75" customHeight="1" x14ac:dyDescent="0.25">
      <c r="A1128" s="2">
        <v>27209563113</v>
      </c>
      <c r="B1128" s="3" t="s">
        <v>674</v>
      </c>
      <c r="C1128" s="1"/>
      <c r="D1128" s="3"/>
    </row>
    <row r="1129" spans="1:4" ht="15.75" customHeight="1" x14ac:dyDescent="0.25">
      <c r="A1129" s="2">
        <v>20181837617</v>
      </c>
      <c r="B1129" s="3" t="s">
        <v>676</v>
      </c>
      <c r="C1129" s="1"/>
      <c r="D1129" s="3"/>
    </row>
    <row r="1130" spans="1:4" ht="15.75" customHeight="1" x14ac:dyDescent="0.25">
      <c r="A1130" s="2">
        <v>30708984716</v>
      </c>
      <c r="B1130" s="3" t="s">
        <v>678</v>
      </c>
      <c r="C1130" s="1"/>
      <c r="D1130" s="3"/>
    </row>
    <row r="1131" spans="1:4" ht="15.75" customHeight="1" x14ac:dyDescent="0.25">
      <c r="A1131" s="2">
        <v>27259489976</v>
      </c>
      <c r="B1131" s="3" t="s">
        <v>679</v>
      </c>
      <c r="C1131" s="1"/>
      <c r="D1131" s="3"/>
    </row>
    <row r="1132" spans="1:4" ht="15.75" customHeight="1" x14ac:dyDescent="0.25">
      <c r="A1132" s="2">
        <v>30546764040</v>
      </c>
      <c r="B1132" s="3" t="s">
        <v>682</v>
      </c>
      <c r="C1132" s="1"/>
      <c r="D1132" s="3"/>
    </row>
    <row r="1133" spans="1:4" ht="15.75" customHeight="1" x14ac:dyDescent="0.25">
      <c r="A1133" s="2">
        <v>30709822116</v>
      </c>
      <c r="B1133" s="3" t="s">
        <v>684</v>
      </c>
      <c r="C1133" s="1"/>
      <c r="D1133" s="3"/>
    </row>
    <row r="1134" spans="1:4" ht="15.75" customHeight="1" x14ac:dyDescent="0.25">
      <c r="A1134" s="2">
        <v>20251270202</v>
      </c>
      <c r="B1134" s="3" t="s">
        <v>687</v>
      </c>
      <c r="C1134" s="1"/>
      <c r="D1134" s="3"/>
    </row>
    <row r="1135" spans="1:4" ht="15.75" customHeight="1" x14ac:dyDescent="0.25">
      <c r="A1135" s="2">
        <v>20298653541</v>
      </c>
      <c r="B1135" s="3" t="s">
        <v>688</v>
      </c>
      <c r="C1135" s="1"/>
      <c r="D1135" s="3"/>
    </row>
    <row r="1136" spans="1:4" ht="15.75" customHeight="1" x14ac:dyDescent="0.25">
      <c r="A1136" s="2">
        <v>23147243669</v>
      </c>
      <c r="B1136" s="3" t="s">
        <v>694</v>
      </c>
      <c r="C1136" s="1"/>
      <c r="D1136" s="3"/>
    </row>
    <row r="1137" spans="1:4" ht="15.75" customHeight="1" x14ac:dyDescent="0.25">
      <c r="A1137" s="2">
        <v>30686222086</v>
      </c>
      <c r="B1137" s="3" t="s">
        <v>695</v>
      </c>
      <c r="C1137" s="1"/>
      <c r="D1137" s="3"/>
    </row>
    <row r="1138" spans="1:4" ht="15.75" customHeight="1" x14ac:dyDescent="0.25">
      <c r="A1138" s="2">
        <v>30685437011</v>
      </c>
      <c r="B1138" s="3" t="s">
        <v>698</v>
      </c>
      <c r="C1138" s="1"/>
      <c r="D1138" s="3"/>
    </row>
    <row r="1139" spans="1:4" ht="15.75" customHeight="1" x14ac:dyDescent="0.25">
      <c r="A1139" s="2">
        <v>30709318965</v>
      </c>
      <c r="B1139" s="3" t="s">
        <v>699</v>
      </c>
      <c r="C1139" s="1"/>
      <c r="D1139" s="3"/>
    </row>
    <row r="1140" spans="1:4" ht="15.75" customHeight="1" x14ac:dyDescent="0.25">
      <c r="A1140" s="2">
        <v>30714113395</v>
      </c>
      <c r="B1140" s="3" t="s">
        <v>700</v>
      </c>
      <c r="C1140" s="1"/>
      <c r="D1140" s="3"/>
    </row>
    <row r="1141" spans="1:4" ht="15.75" customHeight="1" x14ac:dyDescent="0.25">
      <c r="A1141" s="2">
        <v>30715263676</v>
      </c>
      <c r="B1141" s="3" t="s">
        <v>701</v>
      </c>
      <c r="C1141" s="1"/>
      <c r="D1141" s="3"/>
    </row>
    <row r="1142" spans="1:4" ht="15.75" customHeight="1" x14ac:dyDescent="0.25">
      <c r="A1142" s="2">
        <v>30500053522</v>
      </c>
      <c r="B1142" s="3" t="s">
        <v>708</v>
      </c>
      <c r="C1142" s="1"/>
      <c r="D1142" s="3"/>
    </row>
    <row r="1143" spans="1:4" ht="15.75" customHeight="1" x14ac:dyDescent="0.25">
      <c r="A1143" s="2">
        <v>30658137642</v>
      </c>
      <c r="B1143" s="3" t="s">
        <v>709</v>
      </c>
      <c r="C1143" s="1"/>
      <c r="D1143" s="3"/>
    </row>
    <row r="1144" spans="1:4" ht="15.75" customHeight="1" x14ac:dyDescent="0.25">
      <c r="A1144" s="2">
        <v>33600011869</v>
      </c>
      <c r="B1144" s="3" t="s">
        <v>710</v>
      </c>
      <c r="C1144" s="1"/>
      <c r="D1144" s="3"/>
    </row>
    <row r="1145" spans="1:4" ht="15.75" customHeight="1" x14ac:dyDescent="0.25">
      <c r="A1145" s="2">
        <v>30609521941</v>
      </c>
      <c r="B1145" s="3" t="s">
        <v>711</v>
      </c>
      <c r="C1145" s="1"/>
      <c r="D1145" s="3"/>
    </row>
    <row r="1146" spans="1:4" ht="15.75" customHeight="1" x14ac:dyDescent="0.25">
      <c r="A1146" s="2">
        <v>30590412631</v>
      </c>
      <c r="B1146" s="3" t="s">
        <v>712</v>
      </c>
      <c r="C1146" s="1"/>
      <c r="D1146" s="3"/>
    </row>
    <row r="1147" spans="1:4" ht="15.75" customHeight="1" x14ac:dyDescent="0.25">
      <c r="A1147" s="2">
        <v>30585412453</v>
      </c>
      <c r="B1147" s="3" t="s">
        <v>713</v>
      </c>
      <c r="C1147" s="1"/>
      <c r="D1147" s="3"/>
    </row>
    <row r="1148" spans="1:4" ht="15.75" customHeight="1" x14ac:dyDescent="0.25">
      <c r="A1148" s="2">
        <v>30546846217</v>
      </c>
      <c r="B1148" s="3" t="s">
        <v>714</v>
      </c>
      <c r="C1148" s="1"/>
      <c r="D1148" s="3"/>
    </row>
    <row r="1149" spans="1:4" ht="15.75" customHeight="1" x14ac:dyDescent="0.25">
      <c r="A1149" s="2">
        <v>20177474844</v>
      </c>
      <c r="B1149" s="3" t="s">
        <v>716</v>
      </c>
      <c r="C1149" s="1"/>
      <c r="D1149" s="3"/>
    </row>
    <row r="1150" spans="1:4" ht="15.75" customHeight="1" x14ac:dyDescent="0.25">
      <c r="A1150" s="2">
        <v>30715232355</v>
      </c>
      <c r="B1150" s="3" t="s">
        <v>719</v>
      </c>
      <c r="C1150" s="1"/>
      <c r="D1150" s="3"/>
    </row>
    <row r="1151" spans="1:4" ht="15.75" customHeight="1" x14ac:dyDescent="0.25">
      <c r="A1151" s="2">
        <v>30712341803</v>
      </c>
      <c r="B1151" s="3" t="s">
        <v>725</v>
      </c>
      <c r="C1151" s="1"/>
      <c r="D1151" s="3"/>
    </row>
    <row r="1152" spans="1:4" ht="15.75" customHeight="1" x14ac:dyDescent="0.25">
      <c r="A1152" s="2">
        <v>30550245309</v>
      </c>
      <c r="B1152" s="3" t="s">
        <v>726</v>
      </c>
      <c r="C1152" s="1"/>
      <c r="D1152" s="3"/>
    </row>
    <row r="1153" spans="1:4" ht="15.75" customHeight="1" x14ac:dyDescent="0.25">
      <c r="A1153" s="2">
        <v>30655042772</v>
      </c>
      <c r="B1153" s="3" t="s">
        <v>727</v>
      </c>
      <c r="C1153" s="1"/>
      <c r="D1153" s="3"/>
    </row>
    <row r="1154" spans="1:4" ht="15.75" customHeight="1" x14ac:dyDescent="0.25">
      <c r="A1154" s="2">
        <v>30678774495</v>
      </c>
      <c r="B1154" s="3" t="s">
        <v>729</v>
      </c>
      <c r="C1154" s="1"/>
      <c r="D1154" s="3"/>
    </row>
    <row r="1155" spans="1:4" ht="15.75" customHeight="1" x14ac:dyDescent="0.25">
      <c r="A1155" s="2">
        <v>30678774495</v>
      </c>
      <c r="B1155" s="3" t="s">
        <v>729</v>
      </c>
      <c r="C1155" s="1"/>
      <c r="D1155" s="3"/>
    </row>
    <row r="1156" spans="1:4" ht="15.75" customHeight="1" x14ac:dyDescent="0.25">
      <c r="A1156" s="2">
        <v>30536259194</v>
      </c>
      <c r="B1156" s="3" t="s">
        <v>731</v>
      </c>
      <c r="C1156" s="1"/>
      <c r="D1156" s="3"/>
    </row>
    <row r="1157" spans="1:4" ht="15.75" customHeight="1" x14ac:dyDescent="0.25">
      <c r="A1157" s="2">
        <v>30688264711</v>
      </c>
      <c r="B1157" s="3" t="s">
        <v>732</v>
      </c>
      <c r="C1157" s="1"/>
      <c r="D1157" s="3"/>
    </row>
    <row r="1158" spans="1:4" ht="15.75" customHeight="1" x14ac:dyDescent="0.25">
      <c r="A1158" s="2">
        <v>30518922897</v>
      </c>
      <c r="B1158" s="3" t="s">
        <v>737</v>
      </c>
      <c r="C1158" s="1"/>
      <c r="D1158" s="3"/>
    </row>
    <row r="1159" spans="1:4" ht="15.75" customHeight="1" x14ac:dyDescent="0.25">
      <c r="A1159" s="2">
        <v>30600271004</v>
      </c>
      <c r="B1159" s="3" t="s">
        <v>738</v>
      </c>
      <c r="C1159" s="1"/>
      <c r="D1159" s="3"/>
    </row>
    <row r="1160" spans="1:4" ht="15.75" customHeight="1" x14ac:dyDescent="0.25">
      <c r="A1160" s="2">
        <v>30709517976</v>
      </c>
      <c r="B1160" s="3" t="s">
        <v>742</v>
      </c>
      <c r="C1160" s="1"/>
      <c r="D1160" s="3"/>
    </row>
    <row r="1161" spans="1:4" ht="15.75" customHeight="1" x14ac:dyDescent="0.25">
      <c r="A1161" s="2">
        <v>20266254084</v>
      </c>
      <c r="B1161" s="3" t="s">
        <v>743</v>
      </c>
      <c r="C1161" s="1"/>
      <c r="D1161" s="3"/>
    </row>
    <row r="1162" spans="1:4" ht="15.75" customHeight="1" x14ac:dyDescent="0.25">
      <c r="A1162" s="2">
        <v>30707801987</v>
      </c>
      <c r="B1162" s="3" t="s">
        <v>744</v>
      </c>
      <c r="C1162" s="1"/>
      <c r="D1162" s="3"/>
    </row>
    <row r="1163" spans="1:4" ht="15.75" customHeight="1" x14ac:dyDescent="0.25">
      <c r="A1163" s="2">
        <v>30695542476</v>
      </c>
      <c r="B1163" s="3" t="s">
        <v>746</v>
      </c>
      <c r="C1163" s="1"/>
      <c r="D1163" s="3"/>
    </row>
    <row r="1164" spans="1:4" ht="15.75" customHeight="1" x14ac:dyDescent="0.25">
      <c r="A1164" s="2">
        <v>20935729662</v>
      </c>
      <c r="B1164" s="3" t="s">
        <v>748</v>
      </c>
      <c r="C1164" s="1"/>
      <c r="D1164" s="3"/>
    </row>
    <row r="1165" spans="1:4" ht="15.75" customHeight="1" x14ac:dyDescent="0.25">
      <c r="A1165" s="2">
        <v>30687255492</v>
      </c>
      <c r="B1165" s="3" t="s">
        <v>750</v>
      </c>
      <c r="C1165" s="1"/>
      <c r="D1165" s="3"/>
    </row>
    <row r="1166" spans="1:4" ht="15.75" customHeight="1" x14ac:dyDescent="0.25">
      <c r="A1166" s="2">
        <v>16218369</v>
      </c>
      <c r="B1166" s="3" t="s">
        <v>753</v>
      </c>
      <c r="C1166" s="1"/>
      <c r="D1166" s="3"/>
    </row>
    <row r="1167" spans="1:4" ht="15.75" customHeight="1" x14ac:dyDescent="0.25">
      <c r="A1167" s="2">
        <v>30707515232</v>
      </c>
      <c r="B1167" s="3" t="s">
        <v>754</v>
      </c>
      <c r="C1167" s="1"/>
      <c r="D1167" s="3"/>
    </row>
    <row r="1168" spans="1:4" ht="15.75" customHeight="1" x14ac:dyDescent="0.25">
      <c r="A1168" s="2">
        <v>27127809521</v>
      </c>
      <c r="B1168" s="3" t="s">
        <v>755</v>
      </c>
      <c r="C1168" s="1"/>
      <c r="D1168" s="3"/>
    </row>
    <row r="1169" spans="1:4" ht="15.75" customHeight="1" x14ac:dyDescent="0.25">
      <c r="A1169" s="2">
        <v>30708084944</v>
      </c>
      <c r="B1169" s="3" t="s">
        <v>756</v>
      </c>
      <c r="C1169" s="1"/>
      <c r="D1169" s="3"/>
    </row>
    <row r="1170" spans="1:4" ht="15.75" customHeight="1" x14ac:dyDescent="0.25">
      <c r="A1170" s="2">
        <v>26198343</v>
      </c>
      <c r="B1170" s="3" t="s">
        <v>758</v>
      </c>
      <c r="C1170" s="1"/>
      <c r="D1170" s="3"/>
    </row>
    <row r="1171" spans="1:4" ht="15.75" customHeight="1" x14ac:dyDescent="0.25">
      <c r="A1171" s="2">
        <v>23131563779</v>
      </c>
      <c r="B1171" s="3" t="s">
        <v>759</v>
      </c>
      <c r="C1171" s="1"/>
      <c r="D1171" s="3"/>
    </row>
    <row r="1172" spans="1:4" ht="15.75" customHeight="1" x14ac:dyDescent="0.25">
      <c r="A1172" s="2">
        <v>30709975427</v>
      </c>
      <c r="B1172" s="3" t="s">
        <v>765</v>
      </c>
      <c r="C1172" s="1"/>
      <c r="D1172" s="3"/>
    </row>
    <row r="1173" spans="1:4" ht="15.75" customHeight="1" x14ac:dyDescent="0.25">
      <c r="A1173" s="2">
        <v>33714646899</v>
      </c>
      <c r="B1173" s="3" t="s">
        <v>766</v>
      </c>
      <c r="C1173" s="1"/>
      <c r="D1173" s="3"/>
    </row>
    <row r="1174" spans="1:4" ht="15.75" customHeight="1" x14ac:dyDescent="0.25">
      <c r="A1174" s="2">
        <v>30504744538</v>
      </c>
      <c r="B1174" s="3" t="s">
        <v>767</v>
      </c>
      <c r="C1174" s="1"/>
      <c r="D1174" s="3"/>
    </row>
    <row r="1175" spans="1:4" ht="15.75" customHeight="1" x14ac:dyDescent="0.25">
      <c r="A1175" s="2">
        <v>30707228098</v>
      </c>
      <c r="B1175" s="3" t="s">
        <v>771</v>
      </c>
      <c r="C1175" s="1"/>
      <c r="D1175" s="3"/>
    </row>
    <row r="1176" spans="1:4" ht="15.75" customHeight="1" x14ac:dyDescent="0.25">
      <c r="A1176" s="2">
        <v>20325657988</v>
      </c>
      <c r="B1176" s="3" t="s">
        <v>772</v>
      </c>
      <c r="C1176" s="1"/>
      <c r="D1176" s="3"/>
    </row>
    <row r="1177" spans="1:4" ht="15.75" customHeight="1" x14ac:dyDescent="0.25">
      <c r="A1177" s="2">
        <v>30697754063</v>
      </c>
      <c r="B1177" s="3" t="s">
        <v>776</v>
      </c>
      <c r="C1177" s="1"/>
      <c r="D1177" s="3"/>
    </row>
    <row r="1178" spans="1:4" ht="15.75" customHeight="1" x14ac:dyDescent="0.25">
      <c r="A1178" s="2">
        <v>30555517757</v>
      </c>
      <c r="B1178" s="3" t="s">
        <v>778</v>
      </c>
      <c r="C1178" s="1"/>
      <c r="D1178" s="3"/>
    </row>
    <row r="1179" spans="1:4" ht="15.75" customHeight="1" x14ac:dyDescent="0.25">
      <c r="A1179" s="2">
        <v>30601399446</v>
      </c>
      <c r="B1179" s="3" t="s">
        <v>780</v>
      </c>
      <c r="C1179" s="1"/>
      <c r="D1179" s="3"/>
    </row>
    <row r="1180" spans="1:4" ht="15.75" customHeight="1" x14ac:dyDescent="0.25">
      <c r="A1180" s="2">
        <v>30714249416</v>
      </c>
      <c r="B1180" s="3" t="s">
        <v>781</v>
      </c>
      <c r="C1180" s="1"/>
      <c r="D1180" s="3"/>
    </row>
    <row r="1181" spans="1:4" ht="15.75" customHeight="1" x14ac:dyDescent="0.25">
      <c r="A1181" s="2">
        <v>27203132722</v>
      </c>
      <c r="B1181" s="3" t="s">
        <v>784</v>
      </c>
      <c r="C1181" s="1"/>
      <c r="D1181" s="3"/>
    </row>
    <row r="1182" spans="1:4" ht="15.75" customHeight="1" x14ac:dyDescent="0.25">
      <c r="A1182" s="2">
        <v>30710473710</v>
      </c>
      <c r="B1182" s="3" t="s">
        <v>787</v>
      </c>
      <c r="C1182" s="1"/>
      <c r="D1182" s="3"/>
    </row>
    <row r="1183" spans="1:4" ht="15.75" customHeight="1" x14ac:dyDescent="0.25">
      <c r="A1183" s="2">
        <v>30583464138</v>
      </c>
      <c r="B1183" s="3" t="s">
        <v>788</v>
      </c>
      <c r="C1183" s="1"/>
      <c r="D1183" s="3"/>
    </row>
    <row r="1184" spans="1:4" ht="15.75" customHeight="1" x14ac:dyDescent="0.25">
      <c r="A1184" s="2">
        <v>30711122911</v>
      </c>
      <c r="B1184" s="3" t="s">
        <v>789</v>
      </c>
      <c r="C1184" s="1"/>
      <c r="D1184" s="3"/>
    </row>
    <row r="1185" spans="1:4" ht="15.75" customHeight="1" x14ac:dyDescent="0.25">
      <c r="A1185" s="2">
        <v>30550005987</v>
      </c>
      <c r="B1185" s="3" t="s">
        <v>790</v>
      </c>
      <c r="C1185" s="1"/>
      <c r="D1185" s="3"/>
    </row>
    <row r="1186" spans="1:4" ht="15.75" customHeight="1" x14ac:dyDescent="0.25">
      <c r="A1186" s="2">
        <v>30707970010</v>
      </c>
      <c r="B1186" s="3" t="s">
        <v>792</v>
      </c>
      <c r="C1186" s="1"/>
      <c r="D1186" s="3"/>
    </row>
    <row r="1187" spans="1:4" ht="15.75" customHeight="1" x14ac:dyDescent="0.25">
      <c r="A1187" s="2">
        <v>33714326029</v>
      </c>
      <c r="B1187" s="3" t="s">
        <v>794</v>
      </c>
      <c r="C1187" s="1"/>
      <c r="D1187" s="3"/>
    </row>
    <row r="1188" spans="1:4" ht="15.75" customHeight="1" x14ac:dyDescent="0.25">
      <c r="A1188" s="2">
        <v>30710207190</v>
      </c>
      <c r="B1188" s="3" t="s">
        <v>795</v>
      </c>
      <c r="C1188" s="1"/>
      <c r="D1188" s="3"/>
    </row>
    <row r="1189" spans="1:4" ht="15.75" customHeight="1" x14ac:dyDescent="0.25">
      <c r="A1189" s="2">
        <v>30660432961</v>
      </c>
      <c r="B1189" s="3" t="s">
        <v>796</v>
      </c>
      <c r="C1189" s="1"/>
      <c r="D1189" s="3"/>
    </row>
    <row r="1190" spans="1:4" ht="15.75" customHeight="1" x14ac:dyDescent="0.25">
      <c r="A1190" s="2">
        <v>30503940147</v>
      </c>
      <c r="B1190" s="3" t="s">
        <v>797</v>
      </c>
      <c r="C1190" s="1"/>
      <c r="D1190" s="3"/>
    </row>
    <row r="1191" spans="1:4" ht="15.75" customHeight="1" x14ac:dyDescent="0.25">
      <c r="A1191" s="2">
        <v>12892105</v>
      </c>
      <c r="B1191" s="3" t="s">
        <v>800</v>
      </c>
      <c r="C1191" s="1"/>
      <c r="D1191" s="3"/>
    </row>
    <row r="1192" spans="1:4" ht="15.75" customHeight="1" x14ac:dyDescent="0.25">
      <c r="A1192" s="2">
        <v>27179366741</v>
      </c>
      <c r="B1192" s="3" t="s">
        <v>807</v>
      </c>
      <c r="C1192" s="1"/>
      <c r="D1192" s="3"/>
    </row>
    <row r="1193" spans="1:4" ht="15.75" customHeight="1" x14ac:dyDescent="0.25">
      <c r="A1193" s="2">
        <v>20043154835</v>
      </c>
      <c r="B1193" s="3" t="s">
        <v>811</v>
      </c>
      <c r="C1193" s="1"/>
      <c r="D1193" s="3"/>
    </row>
    <row r="1194" spans="1:4" ht="15.75" customHeight="1" x14ac:dyDescent="0.25">
      <c r="A1194" s="2">
        <v>33711399149</v>
      </c>
      <c r="B1194" s="3" t="s">
        <v>815</v>
      </c>
      <c r="C1194" s="1"/>
      <c r="D1194" s="3"/>
    </row>
    <row r="1195" spans="1:4" ht="15.75" customHeight="1" x14ac:dyDescent="0.25">
      <c r="A1195" s="2">
        <v>20085119614</v>
      </c>
      <c r="B1195" s="3" t="s">
        <v>818</v>
      </c>
      <c r="C1195" s="1"/>
      <c r="D1195" s="3"/>
    </row>
    <row r="1196" spans="1:4" ht="15.75" customHeight="1" x14ac:dyDescent="0.25">
      <c r="A1196" s="2">
        <v>30663944939</v>
      </c>
      <c r="B1196" s="3" t="s">
        <v>819</v>
      </c>
      <c r="C1196" s="1"/>
      <c r="D1196" s="3"/>
    </row>
    <row r="1197" spans="1:4" ht="15.75" customHeight="1" x14ac:dyDescent="0.25">
      <c r="A1197" s="2">
        <v>30501136510</v>
      </c>
      <c r="B1197" s="3" t="s">
        <v>822</v>
      </c>
      <c r="C1197" s="1"/>
      <c r="D1197" s="3"/>
    </row>
    <row r="1198" spans="1:4" ht="15.75" customHeight="1" x14ac:dyDescent="0.25">
      <c r="A1198" s="2">
        <v>20217488738</v>
      </c>
      <c r="B1198" s="3" t="s">
        <v>823</v>
      </c>
      <c r="C1198" s="1"/>
      <c r="D1198" s="3"/>
    </row>
    <row r="1199" spans="1:4" ht="15.75" customHeight="1" x14ac:dyDescent="0.25">
      <c r="A1199" s="2">
        <v>30525966859</v>
      </c>
      <c r="B1199" s="3" t="s">
        <v>827</v>
      </c>
      <c r="C1199" s="1"/>
      <c r="D1199" s="3"/>
    </row>
    <row r="1200" spans="1:4" ht="15.75" customHeight="1" x14ac:dyDescent="0.25">
      <c r="A1200" s="2">
        <v>20210807889</v>
      </c>
      <c r="B1200" s="3" t="s">
        <v>828</v>
      </c>
      <c r="C1200" s="1"/>
      <c r="D1200" s="3"/>
    </row>
    <row r="1201" spans="1:4" ht="15.75" customHeight="1" x14ac:dyDescent="0.25">
      <c r="A1201" s="2">
        <v>30714642762</v>
      </c>
      <c r="B1201" s="3" t="s">
        <v>829</v>
      </c>
      <c r="C1201" s="1"/>
      <c r="D1201" s="3"/>
    </row>
    <row r="1202" spans="1:4" ht="15.75" customHeight="1" x14ac:dyDescent="0.25">
      <c r="A1202" s="2"/>
      <c r="B1202" s="3"/>
      <c r="C1202" s="1"/>
      <c r="D1202" s="3"/>
    </row>
    <row r="1203" spans="1:4" ht="15.75" customHeight="1" x14ac:dyDescent="0.25">
      <c r="A1203" s="2">
        <v>30709497789</v>
      </c>
      <c r="B1203" s="3" t="s">
        <v>837</v>
      </c>
      <c r="C1203" s="1"/>
      <c r="D1203" s="3"/>
    </row>
    <row r="1204" spans="1:4" ht="15.75" customHeight="1" x14ac:dyDescent="0.25">
      <c r="A1204" s="2">
        <v>20174240125</v>
      </c>
      <c r="B1204" s="3" t="s">
        <v>838</v>
      </c>
      <c r="C1204" s="1"/>
      <c r="D1204" s="3"/>
    </row>
    <row r="1205" spans="1:4" ht="15.75" customHeight="1" x14ac:dyDescent="0.25">
      <c r="A1205" s="2">
        <v>30714732540</v>
      </c>
      <c r="B1205" s="3" t="s">
        <v>841</v>
      </c>
      <c r="C1205" s="1"/>
      <c r="D1205" s="3"/>
    </row>
    <row r="1206" spans="1:4" ht="15.75" customHeight="1" x14ac:dyDescent="0.25">
      <c r="A1206" s="2">
        <v>20049749814</v>
      </c>
      <c r="B1206" s="3" t="s">
        <v>844</v>
      </c>
      <c r="C1206" s="1"/>
      <c r="D1206" s="3"/>
    </row>
    <row r="1207" spans="1:4" ht="15.75" customHeight="1" x14ac:dyDescent="0.25">
      <c r="A1207" s="2">
        <v>30710616082</v>
      </c>
      <c r="B1207" s="3" t="s">
        <v>845</v>
      </c>
      <c r="C1207" s="1"/>
      <c r="D1207" s="3"/>
    </row>
    <row r="1208" spans="1:4" ht="15.75" customHeight="1" x14ac:dyDescent="0.25">
      <c r="A1208" s="2">
        <v>30708263849</v>
      </c>
      <c r="B1208" s="3" t="s">
        <v>846</v>
      </c>
      <c r="C1208" s="1"/>
      <c r="D1208" s="3"/>
    </row>
    <row r="1209" spans="1:4" ht="15.75" customHeight="1" x14ac:dyDescent="0.25">
      <c r="A1209" s="2">
        <v>23170253329</v>
      </c>
      <c r="B1209" s="3" t="s">
        <v>848</v>
      </c>
      <c r="C1209" s="1"/>
      <c r="D1209" s="3"/>
    </row>
    <row r="1210" spans="1:4" ht="15.75" customHeight="1" x14ac:dyDescent="0.25">
      <c r="A1210" s="2">
        <v>20229507525</v>
      </c>
      <c r="B1210" s="3" t="s">
        <v>855</v>
      </c>
      <c r="C1210" s="1"/>
      <c r="D1210" s="3"/>
    </row>
    <row r="1211" spans="1:4" ht="15.75" customHeight="1" x14ac:dyDescent="0.25">
      <c r="A1211" s="2">
        <v>4829719</v>
      </c>
      <c r="B1211" s="3" t="s">
        <v>859</v>
      </c>
      <c r="C1211" s="1"/>
      <c r="D1211" s="3"/>
    </row>
    <row r="1212" spans="1:4" ht="15.75" customHeight="1" x14ac:dyDescent="0.25">
      <c r="A1212" s="2">
        <v>30506730038</v>
      </c>
      <c r="B1212" s="3" t="s">
        <v>863</v>
      </c>
      <c r="C1212" s="1"/>
      <c r="D1212" s="3"/>
    </row>
    <row r="1213" spans="1:4" ht="15.75" customHeight="1" x14ac:dyDescent="0.25">
      <c r="A1213" s="2">
        <v>30610511801</v>
      </c>
      <c r="B1213" s="3" t="s">
        <v>865</v>
      </c>
      <c r="C1213" s="1"/>
      <c r="D1213" s="3"/>
    </row>
    <row r="1214" spans="1:4" ht="15.75" customHeight="1" x14ac:dyDescent="0.25">
      <c r="A1214" s="2">
        <v>6209031</v>
      </c>
      <c r="B1214" s="3" t="s">
        <v>867</v>
      </c>
      <c r="C1214" s="1"/>
      <c r="D1214" s="3"/>
    </row>
    <row r="1215" spans="1:4" ht="15.75" customHeight="1" x14ac:dyDescent="0.25">
      <c r="A1215" s="2">
        <v>30645585654</v>
      </c>
      <c r="B1215" s="3" t="s">
        <v>868</v>
      </c>
      <c r="C1215" s="1"/>
      <c r="D1215" s="3"/>
    </row>
    <row r="1216" spans="1:4" ht="15.75" customHeight="1" x14ac:dyDescent="0.25">
      <c r="A1216" s="2">
        <v>23239931359</v>
      </c>
      <c r="B1216" s="3" t="s">
        <v>870</v>
      </c>
      <c r="C1216" s="1"/>
      <c r="D1216" s="3"/>
    </row>
    <row r="1217" spans="1:4" ht="15.75" customHeight="1" x14ac:dyDescent="0.25">
      <c r="A1217" s="2">
        <v>94018871</v>
      </c>
      <c r="B1217" s="3" t="s">
        <v>871</v>
      </c>
      <c r="C1217" s="1"/>
      <c r="D1217" s="3"/>
    </row>
    <row r="1218" spans="1:4" ht="15.75" customHeight="1" x14ac:dyDescent="0.25">
      <c r="A1218" s="2">
        <v>27240421513</v>
      </c>
      <c r="B1218" s="3" t="s">
        <v>874</v>
      </c>
      <c r="C1218" s="1"/>
      <c r="D1218" s="3"/>
    </row>
    <row r="1219" spans="1:4" ht="15.75" customHeight="1" x14ac:dyDescent="0.25">
      <c r="A1219" s="2">
        <v>30708428082</v>
      </c>
      <c r="B1219" s="3" t="s">
        <v>876</v>
      </c>
      <c r="C1219" s="1"/>
      <c r="D1219" s="3"/>
    </row>
    <row r="1220" spans="1:4" ht="15.75" customHeight="1" x14ac:dyDescent="0.25">
      <c r="A1220" s="2">
        <v>30631047145</v>
      </c>
      <c r="B1220" s="3" t="s">
        <v>877</v>
      </c>
      <c r="C1220" s="1"/>
      <c r="D1220" s="3"/>
    </row>
    <row r="1221" spans="1:4" ht="15.75" customHeight="1" x14ac:dyDescent="0.25">
      <c r="A1221" s="2">
        <v>30711105014</v>
      </c>
      <c r="B1221" s="3" t="s">
        <v>878</v>
      </c>
      <c r="C1221" s="1"/>
      <c r="D1221" s="3"/>
    </row>
    <row r="1222" spans="1:4" ht="15.75" customHeight="1" x14ac:dyDescent="0.25">
      <c r="A1222" s="2">
        <v>30688384547</v>
      </c>
      <c r="B1222" s="3" t="s">
        <v>879</v>
      </c>
      <c r="C1222" s="1"/>
      <c r="D1222" s="3"/>
    </row>
    <row r="1223" spans="1:4" ht="15.75" customHeight="1" x14ac:dyDescent="0.25">
      <c r="A1223" s="2">
        <v>30688384547</v>
      </c>
      <c r="B1223" s="3" t="s">
        <v>879</v>
      </c>
      <c r="C1223" s="1"/>
      <c r="D1223" s="3"/>
    </row>
    <row r="1224" spans="1:4" ht="15.75" customHeight="1" x14ac:dyDescent="0.25">
      <c r="A1224" s="2">
        <v>30683684143</v>
      </c>
      <c r="B1224" s="3" t="s">
        <v>880</v>
      </c>
      <c r="C1224" s="1"/>
      <c r="D1224" s="3"/>
    </row>
    <row r="1225" spans="1:4" ht="15.75" customHeight="1" x14ac:dyDescent="0.25">
      <c r="A1225" s="2">
        <v>30645330184</v>
      </c>
      <c r="B1225" s="3" t="s">
        <v>881</v>
      </c>
      <c r="C1225" s="1"/>
      <c r="D1225" s="3"/>
    </row>
    <row r="1226" spans="1:4" ht="15.75" customHeight="1" x14ac:dyDescent="0.25">
      <c r="A1226" s="2">
        <v>30610025915</v>
      </c>
      <c r="B1226" s="3" t="s">
        <v>882</v>
      </c>
      <c r="C1226" s="1"/>
      <c r="D1226" s="3"/>
    </row>
    <row r="1227" spans="1:4" ht="15.75" customHeight="1" x14ac:dyDescent="0.25">
      <c r="A1227" s="2">
        <v>30616500593</v>
      </c>
      <c r="B1227" s="3" t="s">
        <v>884</v>
      </c>
      <c r="C1227" s="1"/>
      <c r="D1227" s="3"/>
    </row>
    <row r="1228" spans="1:4" ht="15.75" customHeight="1" x14ac:dyDescent="0.25">
      <c r="A1228" s="2">
        <v>31335549</v>
      </c>
      <c r="B1228" s="3" t="s">
        <v>887</v>
      </c>
      <c r="C1228" s="1"/>
      <c r="D1228" s="3"/>
    </row>
    <row r="1229" spans="1:4" ht="15.75" customHeight="1" x14ac:dyDescent="0.25">
      <c r="A1229" s="2">
        <v>20184103924</v>
      </c>
      <c r="B1229" s="3" t="s">
        <v>888</v>
      </c>
      <c r="C1229" s="1"/>
      <c r="D1229" s="3"/>
    </row>
    <row r="1230" spans="1:4" ht="15.75" customHeight="1" x14ac:dyDescent="0.25">
      <c r="A1230" s="2">
        <v>30663434191</v>
      </c>
      <c r="B1230" s="3" t="s">
        <v>890</v>
      </c>
      <c r="C1230" s="1"/>
      <c r="D1230" s="3"/>
    </row>
    <row r="1231" spans="1:4" ht="15.75" customHeight="1" x14ac:dyDescent="0.25">
      <c r="A1231" s="2">
        <v>30707833765</v>
      </c>
      <c r="B1231" s="3" t="s">
        <v>892</v>
      </c>
      <c r="C1231" s="1"/>
      <c r="D1231" s="3"/>
    </row>
    <row r="1232" spans="1:4" ht="15.75" customHeight="1" x14ac:dyDescent="0.25">
      <c r="A1232" s="2">
        <v>30528650003</v>
      </c>
      <c r="B1232" s="3" t="s">
        <v>893</v>
      </c>
      <c r="C1232" s="1"/>
      <c r="D1232" s="3"/>
    </row>
    <row r="1233" spans="1:4" ht="15.75" customHeight="1" x14ac:dyDescent="0.25">
      <c r="A1233" s="2">
        <v>30665725829</v>
      </c>
      <c r="B1233" s="3" t="s">
        <v>895</v>
      </c>
      <c r="C1233" s="1"/>
      <c r="D1233" s="3"/>
    </row>
    <row r="1234" spans="1:4" ht="15.75" customHeight="1" x14ac:dyDescent="0.25">
      <c r="A1234" s="2">
        <v>30715487876</v>
      </c>
      <c r="B1234" s="3" t="s">
        <v>896</v>
      </c>
      <c r="C1234" s="1"/>
      <c r="D1234" s="3"/>
    </row>
    <row r="1235" spans="1:4" ht="15.75" customHeight="1" x14ac:dyDescent="0.25">
      <c r="A1235" s="2">
        <v>30654118767</v>
      </c>
      <c r="B1235" s="3" t="s">
        <v>897</v>
      </c>
      <c r="C1235" s="1"/>
      <c r="D1235" s="3"/>
    </row>
    <row r="1236" spans="1:4" ht="15.75" customHeight="1" x14ac:dyDescent="0.25">
      <c r="A1236" s="2">
        <v>30709040908</v>
      </c>
      <c r="B1236" s="3" t="s">
        <v>899</v>
      </c>
      <c r="C1236" s="1"/>
      <c r="D1236" s="3"/>
    </row>
    <row r="1237" spans="1:4" ht="15.75" customHeight="1" x14ac:dyDescent="0.25">
      <c r="A1237" s="2">
        <v>13740696</v>
      </c>
      <c r="B1237" s="3" t="s">
        <v>903</v>
      </c>
      <c r="C1237" s="1"/>
      <c r="D1237" s="3"/>
    </row>
    <row r="1238" spans="1:4" ht="15.75" customHeight="1" x14ac:dyDescent="0.25">
      <c r="A1238" s="2">
        <v>23185808963</v>
      </c>
      <c r="B1238" s="3" t="s">
        <v>905</v>
      </c>
      <c r="C1238" s="1"/>
      <c r="D1238" s="3"/>
    </row>
    <row r="1239" spans="1:4" ht="15.75" customHeight="1" x14ac:dyDescent="0.25">
      <c r="A1239" s="2">
        <v>30577797281</v>
      </c>
      <c r="B1239" s="3" t="s">
        <v>906</v>
      </c>
      <c r="C1239" s="1"/>
      <c r="D1239" s="3"/>
    </row>
    <row r="1240" spans="1:4" ht="15.75" customHeight="1" x14ac:dyDescent="0.25">
      <c r="A1240" s="2">
        <v>20249295869</v>
      </c>
      <c r="B1240" s="3" t="s">
        <v>907</v>
      </c>
      <c r="C1240" s="1"/>
      <c r="D1240" s="3"/>
    </row>
    <row r="1241" spans="1:4" ht="15.75" customHeight="1" x14ac:dyDescent="0.25">
      <c r="A1241" s="2">
        <v>30500221956</v>
      </c>
      <c r="B1241" s="3" t="s">
        <v>908</v>
      </c>
      <c r="C1241" s="1"/>
      <c r="D1241" s="3"/>
    </row>
    <row r="1242" spans="1:4" ht="15.75" customHeight="1" x14ac:dyDescent="0.25">
      <c r="A1242" s="2">
        <v>20172324240</v>
      </c>
      <c r="B1242" s="3" t="s">
        <v>909</v>
      </c>
      <c r="C1242" s="1"/>
      <c r="D1242" s="3"/>
    </row>
    <row r="1243" spans="1:4" ht="15.75" customHeight="1" x14ac:dyDescent="0.25">
      <c r="A1243" s="2">
        <v>20211427834</v>
      </c>
      <c r="B1243" s="3" t="s">
        <v>911</v>
      </c>
      <c r="C1243" s="1"/>
      <c r="D1243" s="3"/>
    </row>
    <row r="1244" spans="1:4" ht="15.75" customHeight="1" x14ac:dyDescent="0.25">
      <c r="A1244" s="2">
        <v>30707466320</v>
      </c>
      <c r="B1244" s="3" t="s">
        <v>913</v>
      </c>
      <c r="C1244" s="1"/>
      <c r="D1244" s="3"/>
    </row>
    <row r="1245" spans="1:4" ht="15.75" customHeight="1" x14ac:dyDescent="0.25">
      <c r="A1245" s="2">
        <v>20045279244</v>
      </c>
      <c r="B1245" s="3" t="s">
        <v>915</v>
      </c>
      <c r="C1245" s="1"/>
      <c r="D1245" s="3"/>
    </row>
    <row r="1246" spans="1:4" ht="15.75" customHeight="1" x14ac:dyDescent="0.25">
      <c r="A1246" s="2">
        <v>30709981141</v>
      </c>
      <c r="B1246" s="3" t="s">
        <v>917</v>
      </c>
      <c r="C1246" s="1"/>
      <c r="D1246" s="3"/>
    </row>
    <row r="1247" spans="1:4" ht="15.75" customHeight="1" x14ac:dyDescent="0.25">
      <c r="A1247" s="2">
        <v>27166041673</v>
      </c>
      <c r="B1247" s="3" t="s">
        <v>923</v>
      </c>
      <c r="C1247" s="1"/>
      <c r="D1247" s="3"/>
    </row>
    <row r="1248" spans="1:4" ht="15.75" customHeight="1" x14ac:dyDescent="0.25">
      <c r="A1248" s="2">
        <v>30685376349</v>
      </c>
      <c r="B1248" s="3" t="s">
        <v>926</v>
      </c>
      <c r="C1248" s="1"/>
      <c r="D1248" s="3"/>
    </row>
    <row r="1249" spans="1:4" ht="15.75" customHeight="1" x14ac:dyDescent="0.25">
      <c r="A1249" s="2">
        <v>30708960736</v>
      </c>
      <c r="B1249" s="3" t="s">
        <v>931</v>
      </c>
      <c r="C1249" s="1"/>
      <c r="D1249" s="3"/>
    </row>
    <row r="1250" spans="1:4" ht="15.75" customHeight="1" x14ac:dyDescent="0.25">
      <c r="A1250" s="2">
        <v>30640897267</v>
      </c>
      <c r="B1250" s="3" t="s">
        <v>936</v>
      </c>
      <c r="C1250" s="1"/>
      <c r="D1250" s="3"/>
    </row>
    <row r="1251" spans="1:4" ht="15.75" customHeight="1" x14ac:dyDescent="0.25">
      <c r="A1251" s="2">
        <v>30639453738</v>
      </c>
      <c r="B1251" s="3" t="s">
        <v>938</v>
      </c>
      <c r="C1251" s="1"/>
      <c r="D1251" s="3"/>
    </row>
    <row r="1252" spans="1:4" ht="15.75" customHeight="1" x14ac:dyDescent="0.25">
      <c r="A1252" s="2">
        <v>33695098419</v>
      </c>
      <c r="B1252" s="3" t="s">
        <v>942</v>
      </c>
      <c r="C1252" s="1"/>
      <c r="D1252" s="3"/>
    </row>
    <row r="1253" spans="1:4" ht="15.75" customHeight="1" x14ac:dyDescent="0.25">
      <c r="A1253" s="2">
        <v>30710092784</v>
      </c>
      <c r="B1253" s="3" t="s">
        <v>943</v>
      </c>
      <c r="C1253" s="1"/>
      <c r="D1253" s="3"/>
    </row>
    <row r="1254" spans="1:4" ht="15.75" customHeight="1" x14ac:dyDescent="0.25">
      <c r="A1254" s="2">
        <v>30710718438</v>
      </c>
      <c r="B1254" s="3" t="s">
        <v>944</v>
      </c>
      <c r="C1254" s="1"/>
      <c r="D1254" s="3"/>
    </row>
    <row r="1255" spans="1:4" ht="15.75" customHeight="1" x14ac:dyDescent="0.25">
      <c r="A1255" s="2">
        <v>30708491086</v>
      </c>
      <c r="B1255" s="3" t="s">
        <v>948</v>
      </c>
      <c r="C1255" s="1"/>
      <c r="D1255" s="3"/>
    </row>
    <row r="1256" spans="1:4" ht="15.75" customHeight="1" x14ac:dyDescent="0.25">
      <c r="A1256" s="2">
        <v>30661685731</v>
      </c>
      <c r="B1256" s="3" t="s">
        <v>949</v>
      </c>
      <c r="C1256" s="1"/>
      <c r="D1256" s="3"/>
    </row>
    <row r="1257" spans="1:4" ht="15.75" customHeight="1" x14ac:dyDescent="0.25">
      <c r="A1257" s="2">
        <v>20229914007</v>
      </c>
      <c r="B1257" s="3" t="s">
        <v>950</v>
      </c>
      <c r="C1257" s="1"/>
      <c r="D1257" s="3"/>
    </row>
    <row r="1258" spans="1:4" ht="15.75" customHeight="1" x14ac:dyDescent="0.25">
      <c r="A1258" s="2">
        <v>30708847247</v>
      </c>
      <c r="B1258" s="3" t="s">
        <v>951</v>
      </c>
      <c r="C1258" s="1"/>
      <c r="D1258" s="3"/>
    </row>
    <row r="1259" spans="1:4" ht="15.75" customHeight="1" x14ac:dyDescent="0.25">
      <c r="A1259" s="2">
        <v>30715169254</v>
      </c>
      <c r="B1259" s="3" t="s">
        <v>952</v>
      </c>
      <c r="C1259" s="1"/>
      <c r="D1259" s="3"/>
    </row>
    <row r="1260" spans="1:4" ht="15.75" customHeight="1" x14ac:dyDescent="0.25">
      <c r="A1260" s="2">
        <v>30715168254</v>
      </c>
      <c r="B1260" s="3" t="s">
        <v>953</v>
      </c>
      <c r="C1260" s="1"/>
      <c r="D1260" s="3"/>
    </row>
    <row r="1261" spans="1:4" ht="15.75" customHeight="1" x14ac:dyDescent="0.25">
      <c r="A1261" s="2">
        <v>30519102826</v>
      </c>
      <c r="B1261" s="3" t="s">
        <v>955</v>
      </c>
      <c r="C1261" s="1"/>
      <c r="D1261" s="3"/>
    </row>
    <row r="1262" spans="1:4" ht="15.75" customHeight="1" x14ac:dyDescent="0.25">
      <c r="A1262" s="2">
        <v>30709063061</v>
      </c>
      <c r="B1262" s="3" t="s">
        <v>956</v>
      </c>
      <c r="C1262" s="1"/>
      <c r="D1262" s="3"/>
    </row>
    <row r="1263" spans="1:4" ht="15.75" customHeight="1" x14ac:dyDescent="0.25">
      <c r="A1263" s="2">
        <v>30531602273</v>
      </c>
      <c r="B1263" s="3" t="s">
        <v>958</v>
      </c>
      <c r="C1263" s="1"/>
      <c r="D1263" s="3"/>
    </row>
    <row r="1264" spans="1:4" ht="15.75" customHeight="1" x14ac:dyDescent="0.25">
      <c r="A1264" s="2">
        <v>30709361895</v>
      </c>
      <c r="B1264" s="3" t="s">
        <v>961</v>
      </c>
      <c r="C1264" s="1"/>
      <c r="D1264" s="3"/>
    </row>
    <row r="1265" spans="1:4" ht="15.75" customHeight="1" x14ac:dyDescent="0.25">
      <c r="A1265" s="2">
        <v>33682571239</v>
      </c>
      <c r="B1265" s="3" t="s">
        <v>965</v>
      </c>
      <c r="C1265" s="1"/>
      <c r="D1265" s="3"/>
    </row>
    <row r="1266" spans="1:4" ht="15.75" customHeight="1" x14ac:dyDescent="0.25">
      <c r="A1266" s="2">
        <v>21847097</v>
      </c>
      <c r="B1266" s="3" t="s">
        <v>966</v>
      </c>
      <c r="C1266" s="1"/>
      <c r="D1266" s="3"/>
    </row>
    <row r="1267" spans="1:4" ht="15.75" customHeight="1" x14ac:dyDescent="0.25">
      <c r="A1267" s="2">
        <v>27249100019</v>
      </c>
      <c r="B1267" s="3" t="s">
        <v>968</v>
      </c>
      <c r="C1267" s="1"/>
      <c r="D1267" s="3"/>
    </row>
    <row r="1268" spans="1:4" ht="15.75" customHeight="1" x14ac:dyDescent="0.25">
      <c r="A1268" s="2">
        <v>30699097884</v>
      </c>
      <c r="B1268" s="3" t="s">
        <v>971</v>
      </c>
      <c r="C1268" s="1"/>
      <c r="D1268" s="3"/>
    </row>
    <row r="1269" spans="1:4" ht="15.75" customHeight="1" x14ac:dyDescent="0.25">
      <c r="A1269" s="2">
        <v>30710473168</v>
      </c>
      <c r="B1269" s="3" t="s">
        <v>973</v>
      </c>
      <c r="C1269" s="1"/>
      <c r="D1269" s="3"/>
    </row>
    <row r="1270" spans="1:4" ht="15.75" customHeight="1" x14ac:dyDescent="0.25">
      <c r="A1270" s="2">
        <v>30501912405</v>
      </c>
      <c r="B1270" s="3" t="s">
        <v>978</v>
      </c>
      <c r="C1270" s="1"/>
      <c r="D1270" s="3"/>
    </row>
    <row r="1271" spans="1:4" ht="15.75" customHeight="1" x14ac:dyDescent="0.25">
      <c r="A1271" s="2">
        <v>93455751</v>
      </c>
      <c r="B1271" s="3" t="s">
        <v>982</v>
      </c>
      <c r="C1271" s="1"/>
      <c r="D1271" s="3"/>
    </row>
    <row r="1272" spans="1:4" ht="15.75" customHeight="1" x14ac:dyDescent="0.25">
      <c r="A1272" s="2">
        <v>30715222112</v>
      </c>
      <c r="B1272" s="3" t="s">
        <v>983</v>
      </c>
      <c r="C1272" s="1"/>
      <c r="D1272" s="3"/>
    </row>
    <row r="1273" spans="1:4" ht="15.75" customHeight="1" x14ac:dyDescent="0.25">
      <c r="A1273" s="2">
        <v>23386252629</v>
      </c>
      <c r="B1273" s="3" t="s">
        <v>985</v>
      </c>
      <c r="C1273" s="1"/>
      <c r="D1273" s="3"/>
    </row>
    <row r="1274" spans="1:4" ht="15.75" customHeight="1" x14ac:dyDescent="0.25">
      <c r="A1274" s="2">
        <v>16458001</v>
      </c>
      <c r="B1274" s="3" t="s">
        <v>986</v>
      </c>
      <c r="C1274" s="1"/>
      <c r="D1274" s="3"/>
    </row>
    <row r="1275" spans="1:4" ht="15.75" customHeight="1" x14ac:dyDescent="0.25">
      <c r="A1275" s="2">
        <v>14287880</v>
      </c>
      <c r="B1275" s="3" t="s">
        <v>988</v>
      </c>
      <c r="C1275" s="1"/>
      <c r="D1275" s="3"/>
    </row>
    <row r="1276" spans="1:4" ht="15.75" customHeight="1" x14ac:dyDescent="0.25">
      <c r="A1276" s="2">
        <v>20178221974</v>
      </c>
      <c r="B1276" s="3" t="s">
        <v>989</v>
      </c>
      <c r="C1276" s="1"/>
      <c r="D1276" s="3"/>
    </row>
    <row r="1277" spans="1:4" ht="15.75" customHeight="1" x14ac:dyDescent="0.25">
      <c r="A1277" s="2">
        <v>30681830800</v>
      </c>
      <c r="B1277" s="3" t="s">
        <v>990</v>
      </c>
      <c r="C1277" s="1"/>
      <c r="D1277" s="3"/>
    </row>
    <row r="1278" spans="1:4" ht="15.75" customHeight="1" x14ac:dyDescent="0.25">
      <c r="A1278" s="2">
        <v>27221564079</v>
      </c>
      <c r="B1278" s="3" t="s">
        <v>991</v>
      </c>
      <c r="C1278" s="1"/>
      <c r="D1278" s="3"/>
    </row>
    <row r="1279" spans="1:4" ht="15.75" customHeight="1" x14ac:dyDescent="0.25">
      <c r="A1279" s="2">
        <v>30624872874</v>
      </c>
      <c r="B1279" s="3" t="s">
        <v>993</v>
      </c>
      <c r="C1279" s="1"/>
      <c r="D1279" s="3"/>
    </row>
    <row r="1280" spans="1:4" ht="15.75" customHeight="1" x14ac:dyDescent="0.25">
      <c r="A1280" s="2"/>
      <c r="B1280" s="3"/>
      <c r="C1280" s="1"/>
      <c r="D1280" s="3"/>
    </row>
    <row r="1281" spans="1:4" ht="15.75" customHeight="1" x14ac:dyDescent="0.25">
      <c r="A1281" s="2">
        <v>20321447997</v>
      </c>
      <c r="B1281" s="3" t="s">
        <v>1000</v>
      </c>
      <c r="C1281" s="1"/>
      <c r="D1281" s="3"/>
    </row>
    <row r="1282" spans="1:4" ht="15.75" customHeight="1" x14ac:dyDescent="0.25">
      <c r="A1282" s="2">
        <v>20137229944</v>
      </c>
      <c r="B1282" s="3" t="s">
        <v>1002</v>
      </c>
      <c r="C1282" s="1"/>
      <c r="D1282" s="3"/>
    </row>
    <row r="1283" spans="1:4" ht="15.75" customHeight="1" x14ac:dyDescent="0.25">
      <c r="A1283" s="2">
        <v>23112144064</v>
      </c>
      <c r="B1283" s="3" t="s">
        <v>1004</v>
      </c>
      <c r="C1283" s="1"/>
      <c r="D1283" s="3"/>
    </row>
    <row r="1284" spans="1:4" ht="15.75" customHeight="1" x14ac:dyDescent="0.25">
      <c r="A1284" s="2">
        <v>30680297408</v>
      </c>
      <c r="B1284" s="3" t="s">
        <v>1005</v>
      </c>
      <c r="C1284" s="1"/>
      <c r="D1284" s="3"/>
    </row>
    <row r="1285" spans="1:4" ht="15.75" customHeight="1" x14ac:dyDescent="0.25">
      <c r="A1285" s="2">
        <v>20225501190</v>
      </c>
      <c r="B1285" s="3" t="s">
        <v>1006</v>
      </c>
      <c r="C1285" s="1"/>
      <c r="D1285" s="3"/>
    </row>
    <row r="1286" spans="1:4" ht="15.75" customHeight="1" x14ac:dyDescent="0.25">
      <c r="A1286" s="2">
        <v>30715581562</v>
      </c>
      <c r="B1286" s="3" t="s">
        <v>1009</v>
      </c>
      <c r="C1286" s="1"/>
      <c r="D1286" s="3"/>
    </row>
    <row r="1287" spans="1:4" ht="15.75" customHeight="1" x14ac:dyDescent="0.25">
      <c r="A1287" s="2">
        <v>30714995002</v>
      </c>
      <c r="B1287" s="3" t="s">
        <v>1011</v>
      </c>
      <c r="C1287" s="1"/>
      <c r="D1287" s="3"/>
    </row>
    <row r="1288" spans="1:4" ht="15.75" customHeight="1" x14ac:dyDescent="0.25">
      <c r="A1288" s="2">
        <v>30712383603</v>
      </c>
      <c r="B1288" s="3" t="s">
        <v>1014</v>
      </c>
      <c r="C1288" s="1"/>
      <c r="D1288" s="3"/>
    </row>
    <row r="1289" spans="1:4" ht="15.75" customHeight="1" x14ac:dyDescent="0.25">
      <c r="A1289" s="2">
        <v>30695243673</v>
      </c>
      <c r="B1289" s="3" t="s">
        <v>1017</v>
      </c>
      <c r="C1289" s="1"/>
      <c r="D1289" s="3"/>
    </row>
    <row r="1290" spans="1:4" ht="15.75" customHeight="1" x14ac:dyDescent="0.25">
      <c r="A1290" s="2">
        <v>20122039065</v>
      </c>
      <c r="B1290" s="3" t="s">
        <v>1023</v>
      </c>
      <c r="C1290" s="1"/>
      <c r="D1290" s="3"/>
    </row>
    <row r="1291" spans="1:4" ht="15.75" customHeight="1" x14ac:dyDescent="0.25">
      <c r="A1291" s="2">
        <v>20340508379</v>
      </c>
      <c r="B1291" s="3" t="s">
        <v>1024</v>
      </c>
      <c r="C1291" s="1"/>
      <c r="D1291" s="3"/>
    </row>
    <row r="1292" spans="1:4" ht="15.75" customHeight="1" x14ac:dyDescent="0.25">
      <c r="A1292" s="2">
        <v>30654270119</v>
      </c>
      <c r="B1292" s="3" t="s">
        <v>1025</v>
      </c>
      <c r="C1292" s="1"/>
      <c r="D1292" s="3"/>
    </row>
    <row r="1293" spans="1:4" ht="15.75" customHeight="1" x14ac:dyDescent="0.25">
      <c r="A1293" s="2">
        <v>30713442603</v>
      </c>
      <c r="B1293" s="3" t="s">
        <v>1026</v>
      </c>
      <c r="C1293" s="1"/>
      <c r="D1293" s="3"/>
    </row>
    <row r="1294" spans="1:4" ht="15.75" customHeight="1" x14ac:dyDescent="0.25">
      <c r="A1294" s="2">
        <v>33708388659</v>
      </c>
      <c r="B1294" s="3" t="s">
        <v>1027</v>
      </c>
      <c r="C1294" s="1"/>
      <c r="D1294" s="3"/>
    </row>
    <row r="1295" spans="1:4" ht="15.75" customHeight="1" x14ac:dyDescent="0.25">
      <c r="A1295" s="2">
        <v>27202515199</v>
      </c>
      <c r="B1295" s="3" t="s">
        <v>1048</v>
      </c>
      <c r="C1295" s="1"/>
      <c r="D1295" s="3"/>
    </row>
    <row r="1296" spans="1:4" ht="15.75" customHeight="1" x14ac:dyDescent="0.25">
      <c r="A1296" s="2">
        <v>33679921229</v>
      </c>
      <c r="B1296" s="3" t="s">
        <v>1051</v>
      </c>
      <c r="C1296" s="1"/>
      <c r="D1296" s="3"/>
    </row>
    <row r="1297" spans="1:4" ht="15.75" customHeight="1" x14ac:dyDescent="0.25">
      <c r="A1297" s="2">
        <v>30709982695</v>
      </c>
      <c r="B1297" s="3" t="s">
        <v>1052</v>
      </c>
      <c r="C1297" s="1"/>
      <c r="D1297" s="3"/>
    </row>
    <row r="1298" spans="1:4" ht="15.75" customHeight="1" x14ac:dyDescent="0.25">
      <c r="A1298" s="2">
        <v>30708532572</v>
      </c>
      <c r="B1298" s="3" t="s">
        <v>1053</v>
      </c>
      <c r="C1298" s="1"/>
      <c r="D1298" s="3"/>
    </row>
    <row r="1299" spans="1:4" ht="15.75" customHeight="1" x14ac:dyDescent="0.25">
      <c r="A1299" s="2">
        <v>30711569843</v>
      </c>
      <c r="B1299" s="3" t="s">
        <v>1054</v>
      </c>
      <c r="C1299" s="1"/>
      <c r="D1299" s="3"/>
    </row>
    <row r="1300" spans="1:4" ht="15.75" customHeight="1" x14ac:dyDescent="0.25">
      <c r="A1300" s="2">
        <v>30709604321</v>
      </c>
      <c r="B1300" s="3" t="s">
        <v>1055</v>
      </c>
      <c r="C1300" s="1"/>
      <c r="D1300" s="3"/>
    </row>
    <row r="1301" spans="1:4" ht="15.75" customHeight="1" x14ac:dyDescent="0.25">
      <c r="A1301" s="2">
        <v>27134819656</v>
      </c>
      <c r="B1301" s="3" t="s">
        <v>1056</v>
      </c>
      <c r="C1301" s="1"/>
      <c r="D1301" s="3"/>
    </row>
    <row r="1302" spans="1:4" ht="15.75" customHeight="1" x14ac:dyDescent="0.25">
      <c r="A1302" s="2">
        <v>20176364964</v>
      </c>
      <c r="B1302" s="3" t="s">
        <v>1057</v>
      </c>
      <c r="C1302" s="1"/>
      <c r="D1302" s="3"/>
    </row>
    <row r="1303" spans="1:4" ht="15.75" customHeight="1" x14ac:dyDescent="0.25">
      <c r="A1303" s="2">
        <v>20107037021</v>
      </c>
      <c r="B1303" s="3" t="s">
        <v>1060</v>
      </c>
      <c r="C1303" s="1"/>
      <c r="D1303" s="3"/>
    </row>
    <row r="1304" spans="1:4" ht="15.75" customHeight="1" x14ac:dyDescent="0.25">
      <c r="A1304" s="2">
        <v>30646938755</v>
      </c>
      <c r="B1304" s="3" t="s">
        <v>1066</v>
      </c>
      <c r="C1304" s="1"/>
      <c r="D1304" s="3"/>
    </row>
    <row r="1305" spans="1:4" ht="15.75" customHeight="1" x14ac:dyDescent="0.25">
      <c r="A1305" s="2">
        <v>30621558982</v>
      </c>
      <c r="B1305" s="3" t="s">
        <v>1067</v>
      </c>
      <c r="C1305" s="1"/>
      <c r="D1305" s="3"/>
    </row>
    <row r="1306" spans="1:4" ht="15.75" customHeight="1" x14ac:dyDescent="0.25">
      <c r="A1306" s="2">
        <v>20296982319</v>
      </c>
      <c r="B1306" s="3" t="s">
        <v>1069</v>
      </c>
      <c r="C1306" s="1"/>
      <c r="D1306" s="3"/>
    </row>
    <row r="1307" spans="1:4" ht="15.75" customHeight="1" x14ac:dyDescent="0.25">
      <c r="A1307" s="2">
        <v>30714440779</v>
      </c>
      <c r="B1307" s="3" t="s">
        <v>1071</v>
      </c>
      <c r="C1307" s="1"/>
      <c r="D1307" s="3"/>
    </row>
    <row r="1308" spans="1:4" ht="15.75" customHeight="1" x14ac:dyDescent="0.25">
      <c r="A1308" s="2">
        <v>20239063323</v>
      </c>
      <c r="B1308" s="3" t="s">
        <v>1072</v>
      </c>
      <c r="C1308" s="1"/>
      <c r="D1308" s="3"/>
    </row>
    <row r="1309" spans="1:4" ht="15.75" customHeight="1" x14ac:dyDescent="0.25">
      <c r="A1309" s="2">
        <v>20257887740</v>
      </c>
      <c r="B1309" s="3" t="s">
        <v>1073</v>
      </c>
      <c r="C1309" s="1"/>
      <c r="D1309" s="3"/>
    </row>
    <row r="1310" spans="1:4" ht="15.75" customHeight="1" x14ac:dyDescent="0.25">
      <c r="A1310" s="2">
        <v>23118167279</v>
      </c>
      <c r="B1310" s="3" t="s">
        <v>1074</v>
      </c>
      <c r="C1310" s="1"/>
      <c r="D1310" s="3"/>
    </row>
    <row r="1311" spans="1:4" ht="15.75" customHeight="1" x14ac:dyDescent="0.25">
      <c r="A1311" s="2">
        <v>20242011296</v>
      </c>
      <c r="B1311" s="3" t="s">
        <v>1075</v>
      </c>
      <c r="C1311" s="1"/>
      <c r="D1311" s="3"/>
    </row>
    <row r="1312" spans="1:4" ht="15.75" customHeight="1" x14ac:dyDescent="0.25">
      <c r="A1312" s="2">
        <v>30715368346</v>
      </c>
      <c r="B1312" s="3" t="s">
        <v>1081</v>
      </c>
      <c r="C1312" s="1"/>
      <c r="D1312" s="3"/>
    </row>
    <row r="1313" spans="1:4" ht="15.75" customHeight="1" x14ac:dyDescent="0.25">
      <c r="A1313" s="2">
        <v>30712545549</v>
      </c>
      <c r="B1313" s="3" t="s">
        <v>1082</v>
      </c>
      <c r="C1313" s="1"/>
      <c r="D1313" s="3"/>
    </row>
    <row r="1314" spans="1:4" ht="15.75" customHeight="1" x14ac:dyDescent="0.25">
      <c r="A1314" s="2">
        <v>30695143288</v>
      </c>
      <c r="B1314" s="3" t="s">
        <v>1086</v>
      </c>
      <c r="C1314" s="1"/>
      <c r="D1314" s="3"/>
    </row>
    <row r="1315" spans="1:4" ht="15.75" customHeight="1" x14ac:dyDescent="0.25">
      <c r="A1315" s="2">
        <v>20253150077</v>
      </c>
      <c r="B1315" s="3" t="s">
        <v>1089</v>
      </c>
      <c r="C1315" s="1"/>
      <c r="D1315" s="3"/>
    </row>
    <row r="1316" spans="1:4" ht="15.75" customHeight="1" x14ac:dyDescent="0.25">
      <c r="A1316" s="2">
        <v>30702836758</v>
      </c>
      <c r="B1316" s="3" t="s">
        <v>1090</v>
      </c>
      <c r="C1316" s="1"/>
      <c r="D1316" s="3"/>
    </row>
    <row r="1317" spans="1:4" ht="15.75" customHeight="1" x14ac:dyDescent="0.25">
      <c r="A1317" s="2">
        <v>30707811257</v>
      </c>
      <c r="B1317" s="3" t="s">
        <v>1091</v>
      </c>
      <c r="C1317" s="1"/>
      <c r="D1317" s="3"/>
    </row>
    <row r="1318" spans="1:4" ht="15.75" customHeight="1" x14ac:dyDescent="0.25">
      <c r="A1318" s="2">
        <v>30716679035</v>
      </c>
      <c r="B1318" s="3" t="s">
        <v>1094</v>
      </c>
      <c r="C1318" s="1"/>
      <c r="D1318" s="3"/>
    </row>
    <row r="1319" spans="1:4" ht="15.75" customHeight="1" x14ac:dyDescent="0.25">
      <c r="A1319" s="2">
        <v>30708607009</v>
      </c>
      <c r="B1319" s="3" t="s">
        <v>1120</v>
      </c>
      <c r="C1319" s="1"/>
      <c r="D1319" s="3"/>
    </row>
    <row r="1320" spans="1:4" ht="15.75" customHeight="1" x14ac:dyDescent="0.25">
      <c r="A1320" s="2">
        <v>30516938133</v>
      </c>
      <c r="B1320" s="3" t="s">
        <v>1153</v>
      </c>
      <c r="C1320" s="1"/>
      <c r="D1320" s="3"/>
    </row>
    <row r="1321" spans="1:4" ht="15.75" customHeight="1" x14ac:dyDescent="0.25">
      <c r="A1321" s="2">
        <v>33711071119</v>
      </c>
      <c r="B1321" s="3" t="s">
        <v>1159</v>
      </c>
      <c r="C1321" s="1"/>
      <c r="D1321" s="3"/>
    </row>
    <row r="1322" spans="1:4" ht="15.75" customHeight="1" x14ac:dyDescent="0.25">
      <c r="A1322" s="2">
        <v>20147678097</v>
      </c>
      <c r="B1322" s="3" t="s">
        <v>1160</v>
      </c>
      <c r="C1322" s="1"/>
      <c r="D1322" s="3"/>
    </row>
    <row r="1323" spans="1:4" ht="15.75" customHeight="1" x14ac:dyDescent="0.25">
      <c r="A1323" s="2">
        <v>30716963094</v>
      </c>
      <c r="B1323" s="3" t="s">
        <v>1161</v>
      </c>
      <c r="C1323" s="1"/>
      <c r="D1323" s="3"/>
    </row>
    <row r="1324" spans="1:4" ht="15.75" customHeight="1" x14ac:dyDescent="0.25">
      <c r="A1324" s="2">
        <v>20252310313</v>
      </c>
      <c r="B1324" s="3" t="s">
        <v>1162</v>
      </c>
      <c r="C1324" s="1"/>
      <c r="D1324" s="3"/>
    </row>
    <row r="1325" spans="1:4" ht="15.75" customHeight="1" x14ac:dyDescent="0.25">
      <c r="A1325" s="2">
        <v>20298135745</v>
      </c>
      <c r="B1325" s="3" t="s">
        <v>1163</v>
      </c>
      <c r="C1325" s="1"/>
      <c r="D1325" s="3"/>
    </row>
    <row r="1326" spans="1:4" ht="15.75" customHeight="1" x14ac:dyDescent="0.25">
      <c r="A1326" s="2">
        <v>20228469492</v>
      </c>
      <c r="B1326" s="3" t="s">
        <v>1164</v>
      </c>
      <c r="C1326" s="1"/>
      <c r="D1326" s="3"/>
    </row>
    <row r="1327" spans="1:4" ht="15.75" customHeight="1" x14ac:dyDescent="0.25">
      <c r="A1327" s="2">
        <v>30711015961</v>
      </c>
      <c r="B1327" s="3" t="s">
        <v>1166</v>
      </c>
      <c r="C1327" s="1"/>
      <c r="D1327" s="3"/>
    </row>
    <row r="1328" spans="1:4" ht="15.75" customHeight="1" x14ac:dyDescent="0.25">
      <c r="A1328" s="2">
        <v>30708499761</v>
      </c>
      <c r="B1328" s="3" t="s">
        <v>1167</v>
      </c>
      <c r="C1328" s="1"/>
      <c r="D1328" s="3"/>
    </row>
    <row r="1329" spans="1:4" ht="15.75" customHeight="1" x14ac:dyDescent="0.25">
      <c r="A1329" s="2">
        <v>20292655186</v>
      </c>
      <c r="B1329" s="3" t="s">
        <v>1169</v>
      </c>
      <c r="C1329" s="1"/>
      <c r="D1329" s="3"/>
    </row>
    <row r="1330" spans="1:4" ht="15.75" customHeight="1" x14ac:dyDescent="0.25">
      <c r="A1330" s="2">
        <v>30710074611</v>
      </c>
      <c r="B1330" s="3" t="s">
        <v>1170</v>
      </c>
      <c r="C1330" s="1"/>
      <c r="D1330" s="3"/>
    </row>
    <row r="1331" spans="1:4" ht="15.75" customHeight="1" x14ac:dyDescent="0.25">
      <c r="A1331" s="2"/>
      <c r="B1331" s="3"/>
      <c r="C1331" s="1"/>
      <c r="D1331" s="3"/>
    </row>
    <row r="1332" spans="1:4" ht="15.75" customHeight="1" x14ac:dyDescent="0.25">
      <c r="A1332" s="2">
        <v>30716389681</v>
      </c>
      <c r="B1332" s="3" t="s">
        <v>1183</v>
      </c>
      <c r="C1332" s="1"/>
      <c r="D1332" s="3"/>
    </row>
    <row r="1333" spans="1:4" ht="15.75" customHeight="1" x14ac:dyDescent="0.25">
      <c r="A1333" s="2">
        <v>27357316702</v>
      </c>
      <c r="B1333" s="3" t="s">
        <v>1185</v>
      </c>
      <c r="C1333" s="1"/>
      <c r="D1333" s="3"/>
    </row>
    <row r="1334" spans="1:4" ht="15.75" customHeight="1" x14ac:dyDescent="0.25">
      <c r="A1334" s="2">
        <v>33517381549</v>
      </c>
      <c r="B1334" s="3" t="s">
        <v>1187</v>
      </c>
      <c r="C1334" s="1"/>
      <c r="D1334" s="3"/>
    </row>
    <row r="1335" spans="1:4" ht="15.75" customHeight="1" x14ac:dyDescent="0.25">
      <c r="A1335" s="2" t="s">
        <v>1188</v>
      </c>
      <c r="B1335" s="3" t="s">
        <v>1189</v>
      </c>
      <c r="C1335" s="1"/>
      <c r="D1335" s="3"/>
    </row>
    <row r="1336" spans="1:4" ht="15.75" customHeight="1" x14ac:dyDescent="0.25">
      <c r="A1336" s="2">
        <v>20271587806</v>
      </c>
      <c r="B1336" s="3" t="s">
        <v>1190</v>
      </c>
      <c r="C1336" s="1"/>
      <c r="D1336" s="3"/>
    </row>
    <row r="1337" spans="1:4" ht="15.75" customHeight="1" x14ac:dyDescent="0.25">
      <c r="A1337" s="2">
        <v>30629741077</v>
      </c>
      <c r="B1337" s="3" t="s">
        <v>1197</v>
      </c>
      <c r="C1337" s="1"/>
      <c r="D1337" s="3"/>
    </row>
    <row r="1338" spans="1:4" ht="15.75" customHeight="1" x14ac:dyDescent="0.25">
      <c r="A1338" s="2">
        <v>30708395443</v>
      </c>
      <c r="B1338" s="3" t="s">
        <v>1198</v>
      </c>
      <c r="C1338" s="1"/>
      <c r="D1338" s="3"/>
    </row>
    <row r="1339" spans="1:4" ht="15.75" customHeight="1" x14ac:dyDescent="0.25">
      <c r="A1339" s="2">
        <v>27954094354</v>
      </c>
      <c r="B1339" s="3" t="s">
        <v>1199</v>
      </c>
      <c r="C1339" s="1"/>
      <c r="D1339" s="3"/>
    </row>
    <row r="1340" spans="1:4" ht="15.75" customHeight="1" x14ac:dyDescent="0.25">
      <c r="A1340" s="2">
        <v>20926926846</v>
      </c>
      <c r="B1340" s="3" t="s">
        <v>1200</v>
      </c>
      <c r="C1340" s="1"/>
      <c r="D1340" s="3"/>
    </row>
    <row r="1341" spans="1:4" ht="15.75" customHeight="1" x14ac:dyDescent="0.25">
      <c r="A1341" s="2">
        <v>30715920642</v>
      </c>
      <c r="B1341" s="3" t="s">
        <v>1208</v>
      </c>
      <c r="C1341" s="1"/>
      <c r="D1341" s="3"/>
    </row>
    <row r="1342" spans="1:4" ht="15.75" customHeight="1" x14ac:dyDescent="0.25">
      <c r="A1342" s="2">
        <v>30715536079</v>
      </c>
      <c r="B1342" s="3" t="s">
        <v>1209</v>
      </c>
      <c r="C1342" s="1"/>
      <c r="D1342" s="3"/>
    </row>
    <row r="1343" spans="1:4" ht="15.75" customHeight="1" x14ac:dyDescent="0.25">
      <c r="A1343" s="2">
        <v>27044202625</v>
      </c>
      <c r="B1343" s="3" t="s">
        <v>1211</v>
      </c>
      <c r="C1343" s="1"/>
      <c r="D1343" s="3"/>
    </row>
    <row r="1344" spans="1:4" ht="15.75" customHeight="1" x14ac:dyDescent="0.25">
      <c r="A1344" s="2">
        <v>30715667386</v>
      </c>
      <c r="B1344" s="3" t="s">
        <v>1212</v>
      </c>
      <c r="C1344" s="1"/>
      <c r="D1344" s="3"/>
    </row>
    <row r="1345" spans="1:4" ht="15.75" customHeight="1" x14ac:dyDescent="0.25">
      <c r="A1345" s="2">
        <v>30710563639</v>
      </c>
      <c r="B1345" s="3" t="s">
        <v>1213</v>
      </c>
      <c r="C1345" s="1"/>
      <c r="D1345" s="3"/>
    </row>
    <row r="1346" spans="1:4" ht="15.75" customHeight="1" x14ac:dyDescent="0.25">
      <c r="A1346" s="2">
        <v>30714269336</v>
      </c>
      <c r="B1346" s="3" t="s">
        <v>1214</v>
      </c>
      <c r="C1346" s="1"/>
      <c r="D1346" s="3"/>
    </row>
    <row r="1347" spans="1:4" ht="15.75" customHeight="1" x14ac:dyDescent="0.25">
      <c r="A1347" s="2">
        <v>23285067359</v>
      </c>
      <c r="B1347" s="3" t="s">
        <v>1216</v>
      </c>
      <c r="C1347" s="1"/>
      <c r="D1347" s="3"/>
    </row>
    <row r="1348" spans="1:4" ht="15.75" customHeight="1" x14ac:dyDescent="0.25">
      <c r="A1348" s="2">
        <v>30709962724</v>
      </c>
      <c r="B1348" s="3" t="s">
        <v>1217</v>
      </c>
      <c r="C1348" s="1"/>
      <c r="D1348" s="3"/>
    </row>
    <row r="1349" spans="1:4" ht="15.75" customHeight="1" x14ac:dyDescent="0.25">
      <c r="A1349" s="2">
        <v>30708326085</v>
      </c>
      <c r="B1349" s="3" t="s">
        <v>1218</v>
      </c>
      <c r="C1349" s="1"/>
      <c r="D1349" s="3"/>
    </row>
    <row r="1350" spans="1:4" ht="15.75" customHeight="1" x14ac:dyDescent="0.25">
      <c r="A1350" s="2">
        <v>20284624328</v>
      </c>
      <c r="B1350" s="3" t="s">
        <v>1219</v>
      </c>
      <c r="C1350" s="1"/>
      <c r="D1350" s="3"/>
    </row>
    <row r="1351" spans="1:4" ht="15.75" customHeight="1" x14ac:dyDescent="0.25">
      <c r="A1351" s="2">
        <v>30711847339</v>
      </c>
      <c r="B1351" s="3" t="s">
        <v>1220</v>
      </c>
      <c r="C1351" s="1"/>
      <c r="D1351" s="3"/>
    </row>
    <row r="1352" spans="1:4" ht="15.75" customHeight="1" x14ac:dyDescent="0.25">
      <c r="A1352" s="2">
        <v>30714295957</v>
      </c>
      <c r="B1352" s="3" t="s">
        <v>1221</v>
      </c>
      <c r="C1352" s="1"/>
      <c r="D1352" s="3"/>
    </row>
    <row r="1353" spans="1:4" ht="15.75" customHeight="1" x14ac:dyDescent="0.25">
      <c r="A1353" s="2">
        <v>20444479095</v>
      </c>
      <c r="B1353" s="3" t="s">
        <v>1225</v>
      </c>
      <c r="C1353" s="1"/>
      <c r="D1353" s="3"/>
    </row>
    <row r="1354" spans="1:4" ht="15.75" customHeight="1" x14ac:dyDescent="0.25">
      <c r="A1354" s="2">
        <v>30709293652</v>
      </c>
      <c r="B1354" s="3" t="s">
        <v>1226</v>
      </c>
      <c r="C1354" s="1"/>
      <c r="D1354" s="3"/>
    </row>
    <row r="1355" spans="1:4" ht="15.75" customHeight="1" x14ac:dyDescent="0.25">
      <c r="A1355" s="2">
        <v>20364761008</v>
      </c>
      <c r="B1355" s="3" t="s">
        <v>1227</v>
      </c>
      <c r="C1355" s="1"/>
      <c r="D1355" s="3"/>
    </row>
    <row r="1356" spans="1:4" ht="15.75" customHeight="1" x14ac:dyDescent="0.25">
      <c r="A1356" s="2">
        <v>20238789177</v>
      </c>
      <c r="B1356" s="3" t="s">
        <v>1228</v>
      </c>
      <c r="C1356" s="1"/>
      <c r="D1356" s="3"/>
    </row>
    <row r="1357" spans="1:4" ht="15.75" customHeight="1" x14ac:dyDescent="0.25">
      <c r="A1357" s="2">
        <v>30709808458</v>
      </c>
      <c r="B1357" s="3" t="s">
        <v>1229</v>
      </c>
      <c r="C1357" s="1"/>
      <c r="D1357" s="3"/>
    </row>
    <row r="1358" spans="1:4" ht="15.75" customHeight="1" x14ac:dyDescent="0.25">
      <c r="A1358" s="2">
        <v>23957768849</v>
      </c>
      <c r="B1358" s="3" t="s">
        <v>1233</v>
      </c>
      <c r="C1358" s="1"/>
      <c r="D1358" s="3"/>
    </row>
    <row r="1359" spans="1:4" ht="15.75" customHeight="1" x14ac:dyDescent="0.25">
      <c r="A1359" s="2">
        <v>33715238549</v>
      </c>
      <c r="B1359" s="3" t="s">
        <v>1235</v>
      </c>
      <c r="C1359" s="1"/>
      <c r="D1359" s="3"/>
    </row>
    <row r="1360" spans="1:4" ht="15.75" customHeight="1" x14ac:dyDescent="0.25">
      <c r="A1360" s="2">
        <v>30538851937</v>
      </c>
      <c r="B1360" s="3" t="s">
        <v>1236</v>
      </c>
      <c r="C1360" s="1"/>
      <c r="D1360" s="3"/>
    </row>
    <row r="1361" spans="1:4" ht="15.75" customHeight="1" x14ac:dyDescent="0.25">
      <c r="A1361" s="2">
        <v>30663807427</v>
      </c>
      <c r="B1361" s="3" t="s">
        <v>1238</v>
      </c>
      <c r="C1361" s="1"/>
      <c r="D1361" s="3"/>
    </row>
    <row r="1362" spans="1:4" ht="15.75" customHeight="1" x14ac:dyDescent="0.25">
      <c r="A1362" s="2">
        <v>30715375830</v>
      </c>
      <c r="B1362" s="3" t="s">
        <v>1240</v>
      </c>
      <c r="C1362" s="1"/>
      <c r="D1362" s="3"/>
    </row>
    <row r="1363" spans="1:4" ht="15.75" customHeight="1" x14ac:dyDescent="0.25">
      <c r="A1363" s="2">
        <v>33717088269</v>
      </c>
      <c r="B1363" s="3" t="s">
        <v>1242</v>
      </c>
      <c r="C1363" s="1"/>
      <c r="D1363" s="3"/>
    </row>
    <row r="1364" spans="1:4" ht="15.75" customHeight="1" x14ac:dyDescent="0.25">
      <c r="A1364" s="2">
        <v>30708340789</v>
      </c>
      <c r="B1364" s="3" t="s">
        <v>1264</v>
      </c>
      <c r="C1364" s="1"/>
      <c r="D1364" s="3"/>
    </row>
    <row r="1365" spans="1:4" ht="15.75" customHeight="1" x14ac:dyDescent="0.25">
      <c r="A1365" s="2">
        <v>30707264957</v>
      </c>
      <c r="B1365" s="3" t="s">
        <v>1265</v>
      </c>
      <c r="C1365" s="1"/>
      <c r="D1365" s="3"/>
    </row>
    <row r="1366" spans="1:4" ht="15.75" customHeight="1" x14ac:dyDescent="0.25">
      <c r="A1366" s="2">
        <v>30660489181</v>
      </c>
      <c r="B1366" s="3" t="s">
        <v>1266</v>
      </c>
      <c r="C1366" s="1"/>
      <c r="D1366" s="3"/>
    </row>
    <row r="1367" spans="1:4" ht="15.75" customHeight="1" x14ac:dyDescent="0.25">
      <c r="A1367" s="2">
        <v>27259489976</v>
      </c>
      <c r="B1367" s="3" t="s">
        <v>679</v>
      </c>
      <c r="C1367" s="1"/>
      <c r="D1367" s="3"/>
    </row>
    <row r="1368" spans="1:4" ht="15.75" customHeight="1" x14ac:dyDescent="0.25">
      <c r="A1368" s="2">
        <v>30710155336</v>
      </c>
      <c r="B1368" s="3" t="s">
        <v>1267</v>
      </c>
      <c r="C1368" s="1"/>
      <c r="D1368" s="3"/>
    </row>
    <row r="1369" spans="1:4" ht="15.75" customHeight="1" x14ac:dyDescent="0.25">
      <c r="A1369" s="2">
        <v>20334549152</v>
      </c>
      <c r="B1369" s="3" t="s">
        <v>1268</v>
      </c>
      <c r="C1369" s="1"/>
      <c r="D1369" s="3"/>
    </row>
    <row r="1370" spans="1:4" ht="15.75" customHeight="1" x14ac:dyDescent="0.25">
      <c r="A1370" s="2">
        <v>20145637415</v>
      </c>
      <c r="B1370" s="3" t="s">
        <v>1269</v>
      </c>
      <c r="C1370" s="1"/>
      <c r="D1370" s="3"/>
    </row>
    <row r="1371" spans="1:4" ht="15.75" customHeight="1" x14ac:dyDescent="0.25">
      <c r="A1371" s="2">
        <v>30714834300</v>
      </c>
      <c r="B1371" s="3" t="s">
        <v>1270</v>
      </c>
      <c r="C1371" s="1"/>
      <c r="D1371" s="3"/>
    </row>
    <row r="1372" spans="1:4" ht="15.75" customHeight="1" x14ac:dyDescent="0.25">
      <c r="A1372" s="2">
        <v>30709822116</v>
      </c>
      <c r="B1372" s="3" t="s">
        <v>684</v>
      </c>
      <c r="C1372" s="1"/>
      <c r="D1372" s="3"/>
    </row>
    <row r="1373" spans="1:4" ht="15.75" customHeight="1" x14ac:dyDescent="0.25">
      <c r="A1373" s="2">
        <v>30714696838</v>
      </c>
      <c r="B1373" s="3" t="s">
        <v>1271</v>
      </c>
      <c r="C1373" s="1"/>
      <c r="D1373" s="3"/>
    </row>
    <row r="1374" spans="1:4" ht="15.75" customHeight="1" x14ac:dyDescent="0.25">
      <c r="A1374" s="2">
        <v>30710332467</v>
      </c>
      <c r="B1374" s="3" t="s">
        <v>1272</v>
      </c>
      <c r="C1374" s="1"/>
      <c r="D1374" s="3"/>
    </row>
    <row r="1375" spans="1:4" ht="15.75" customHeight="1" x14ac:dyDescent="0.25">
      <c r="A1375" s="2">
        <v>30707811540</v>
      </c>
      <c r="B1375" s="3" t="s">
        <v>1273</v>
      </c>
      <c r="C1375" s="1"/>
      <c r="D1375" s="3"/>
    </row>
    <row r="1376" spans="1:4" ht="15.75" customHeight="1" x14ac:dyDescent="0.25">
      <c r="A1376" s="2">
        <v>20251270202</v>
      </c>
      <c r="B1376" s="3" t="s">
        <v>687</v>
      </c>
      <c r="C1376" s="1"/>
      <c r="D1376" s="3"/>
    </row>
    <row r="1377" spans="1:4" ht="15.75" customHeight="1" x14ac:dyDescent="0.25">
      <c r="A1377" s="2">
        <v>20298653541</v>
      </c>
      <c r="B1377" s="3" t="s">
        <v>688</v>
      </c>
      <c r="C1377" s="1"/>
      <c r="D1377" s="3"/>
    </row>
    <row r="1378" spans="1:4" ht="15.75" customHeight="1" x14ac:dyDescent="0.25">
      <c r="A1378" s="2">
        <v>30710731868</v>
      </c>
      <c r="B1378" s="3" t="s">
        <v>1274</v>
      </c>
      <c r="C1378" s="1"/>
      <c r="D1378" s="3"/>
    </row>
    <row r="1379" spans="1:4" ht="15.75" customHeight="1" x14ac:dyDescent="0.25">
      <c r="A1379" s="2">
        <v>20327697324</v>
      </c>
      <c r="B1379" s="3" t="s">
        <v>1275</v>
      </c>
      <c r="C1379" s="1"/>
      <c r="D1379" s="3"/>
    </row>
    <row r="1380" spans="1:4" ht="15.75" customHeight="1" x14ac:dyDescent="0.25">
      <c r="A1380" s="2">
        <v>30712215689</v>
      </c>
      <c r="B1380" s="3" t="s">
        <v>1277</v>
      </c>
      <c r="C1380" s="1"/>
      <c r="D1380" s="3"/>
    </row>
    <row r="1381" spans="1:4" ht="15.75" customHeight="1" x14ac:dyDescent="0.25">
      <c r="A1381" s="2">
        <v>30712215689</v>
      </c>
      <c r="B1381" s="3" t="s">
        <v>1277</v>
      </c>
      <c r="C1381" s="1"/>
      <c r="D1381" s="3"/>
    </row>
    <row r="1382" spans="1:4" ht="15.75" customHeight="1" x14ac:dyDescent="0.25">
      <c r="A1382" s="2">
        <v>30557807175</v>
      </c>
      <c r="B1382" s="3" t="s">
        <v>1278</v>
      </c>
      <c r="C1382" s="1"/>
      <c r="D1382" s="3"/>
    </row>
    <row r="1383" spans="1:4" ht="15.75" customHeight="1" x14ac:dyDescent="0.25">
      <c r="A1383" s="2">
        <v>33716080809</v>
      </c>
      <c r="B1383" s="3" t="s">
        <v>1279</v>
      </c>
      <c r="C1383" s="1"/>
      <c r="D1383" s="3"/>
    </row>
    <row r="1384" spans="1:4" ht="15.75" customHeight="1" x14ac:dyDescent="0.25">
      <c r="A1384" s="2">
        <v>23147243669</v>
      </c>
      <c r="B1384" s="3" t="s">
        <v>694</v>
      </c>
      <c r="C1384" s="1"/>
      <c r="D1384" s="3"/>
    </row>
    <row r="1385" spans="1:4" ht="15.75" customHeight="1" x14ac:dyDescent="0.25">
      <c r="A1385" s="2">
        <v>30711180431</v>
      </c>
      <c r="B1385" s="3" t="s">
        <v>1281</v>
      </c>
      <c r="C1385" s="1"/>
      <c r="D1385" s="3"/>
    </row>
    <row r="1386" spans="1:4" ht="15.75" customHeight="1" x14ac:dyDescent="0.25">
      <c r="A1386" s="2">
        <v>30638389548</v>
      </c>
      <c r="B1386" s="3" t="s">
        <v>1282</v>
      </c>
      <c r="C1386" s="1"/>
      <c r="D1386" s="3"/>
    </row>
    <row r="1387" spans="1:4" ht="15.75" customHeight="1" x14ac:dyDescent="0.25">
      <c r="A1387" s="2">
        <v>30638389548</v>
      </c>
      <c r="B1387" s="3" t="s">
        <v>1283</v>
      </c>
      <c r="C1387" s="1"/>
      <c r="D1387" s="3"/>
    </row>
    <row r="1388" spans="1:4" ht="15.75" customHeight="1" x14ac:dyDescent="0.25">
      <c r="A1388" s="2">
        <v>30686222086</v>
      </c>
      <c r="B1388" s="3" t="s">
        <v>695</v>
      </c>
      <c r="C1388" s="1"/>
      <c r="D1388" s="3"/>
    </row>
    <row r="1389" spans="1:4" ht="15.75" customHeight="1" x14ac:dyDescent="0.25">
      <c r="A1389" s="2">
        <v>30685437011</v>
      </c>
      <c r="B1389" s="3" t="s">
        <v>698</v>
      </c>
      <c r="C1389" s="1"/>
      <c r="D1389" s="3"/>
    </row>
    <row r="1390" spans="1:4" ht="15.75" customHeight="1" x14ac:dyDescent="0.25">
      <c r="A1390" s="2">
        <v>30709318965</v>
      </c>
      <c r="B1390" s="3" t="s">
        <v>699</v>
      </c>
      <c r="C1390" s="1"/>
      <c r="D1390" s="3"/>
    </row>
    <row r="1391" spans="1:4" ht="15.75" customHeight="1" x14ac:dyDescent="0.25">
      <c r="A1391" s="2">
        <v>30714113395</v>
      </c>
      <c r="B1391" s="3" t="s">
        <v>700</v>
      </c>
      <c r="C1391" s="1"/>
      <c r="D1391" s="3"/>
    </row>
    <row r="1392" spans="1:4" ht="15.75" customHeight="1" x14ac:dyDescent="0.25">
      <c r="A1392" s="2">
        <v>30715263676</v>
      </c>
      <c r="B1392" s="3" t="s">
        <v>701</v>
      </c>
      <c r="C1392" s="1"/>
      <c r="D1392" s="3"/>
    </row>
    <row r="1393" spans="1:4" ht="15.75" customHeight="1" x14ac:dyDescent="0.25">
      <c r="A1393" s="2">
        <v>30707846425</v>
      </c>
      <c r="B1393" s="3" t="s">
        <v>1284</v>
      </c>
      <c r="C1393" s="1"/>
      <c r="D1393" s="3"/>
    </row>
    <row r="1394" spans="1:4" ht="15.75" customHeight="1" x14ac:dyDescent="0.25">
      <c r="A1394" s="2">
        <v>30694573173</v>
      </c>
      <c r="B1394" s="3" t="s">
        <v>1285</v>
      </c>
      <c r="C1394" s="1"/>
      <c r="D1394" s="3"/>
    </row>
    <row r="1395" spans="1:4" ht="15.75" customHeight="1" x14ac:dyDescent="0.25">
      <c r="A1395" s="2">
        <v>30695268137</v>
      </c>
      <c r="B1395" s="3" t="s">
        <v>1286</v>
      </c>
      <c r="C1395" s="1"/>
      <c r="D1395" s="3"/>
    </row>
    <row r="1396" spans="1:4" ht="15.75" customHeight="1" x14ac:dyDescent="0.25">
      <c r="A1396" s="2">
        <v>30500053522</v>
      </c>
      <c r="B1396" s="3" t="s">
        <v>708</v>
      </c>
      <c r="C1396" s="1"/>
      <c r="D1396" s="3"/>
    </row>
    <row r="1397" spans="1:4" ht="15.75" customHeight="1" x14ac:dyDescent="0.25">
      <c r="A1397" s="2">
        <v>30658137642</v>
      </c>
      <c r="B1397" s="3" t="s">
        <v>709</v>
      </c>
      <c r="C1397" s="1"/>
      <c r="D1397" s="3"/>
    </row>
    <row r="1398" spans="1:4" ht="15.75" customHeight="1" x14ac:dyDescent="0.25">
      <c r="A1398" s="2">
        <v>33600011869</v>
      </c>
      <c r="B1398" s="3" t="s">
        <v>710</v>
      </c>
      <c r="C1398" s="1"/>
      <c r="D1398" s="3"/>
    </row>
    <row r="1399" spans="1:4" ht="15.75" customHeight="1" x14ac:dyDescent="0.25">
      <c r="A1399" s="2">
        <v>30609521941</v>
      </c>
      <c r="B1399" s="3" t="s">
        <v>711</v>
      </c>
      <c r="C1399" s="1"/>
      <c r="D1399" s="3"/>
    </row>
    <row r="1400" spans="1:4" ht="15.75" customHeight="1" x14ac:dyDescent="0.25">
      <c r="A1400" s="2">
        <v>30590412631</v>
      </c>
      <c r="B1400" s="3" t="s">
        <v>712</v>
      </c>
      <c r="C1400" s="1"/>
      <c r="D1400" s="3"/>
    </row>
    <row r="1401" spans="1:4" ht="15.75" customHeight="1" x14ac:dyDescent="0.25">
      <c r="A1401" s="2">
        <v>30707006702</v>
      </c>
      <c r="B1401" s="3" t="s">
        <v>1287</v>
      </c>
      <c r="C1401" s="1"/>
      <c r="D1401" s="3"/>
    </row>
    <row r="1402" spans="1:4" ht="15.75" customHeight="1" x14ac:dyDescent="0.25">
      <c r="A1402" s="2">
        <v>30714757012</v>
      </c>
      <c r="B1402" s="3" t="s">
        <v>1288</v>
      </c>
      <c r="C1402" s="1"/>
      <c r="D1402" s="3"/>
    </row>
    <row r="1403" spans="1:4" ht="15.75" customHeight="1" x14ac:dyDescent="0.25">
      <c r="A1403" s="2">
        <v>30585412453</v>
      </c>
      <c r="B1403" s="3" t="s">
        <v>713</v>
      </c>
      <c r="C1403" s="1"/>
      <c r="D1403" s="3"/>
    </row>
    <row r="1404" spans="1:4" ht="15.75" customHeight="1" x14ac:dyDescent="0.25">
      <c r="A1404" s="2">
        <v>30546846217</v>
      </c>
      <c r="B1404" s="3" t="s">
        <v>714</v>
      </c>
      <c r="C1404" s="1"/>
      <c r="D1404" s="3"/>
    </row>
    <row r="1405" spans="1:4" ht="15.75" customHeight="1" x14ac:dyDescent="0.25">
      <c r="A1405" s="2">
        <v>30701783065</v>
      </c>
      <c r="B1405" s="3" t="s">
        <v>1289</v>
      </c>
      <c r="C1405" s="1"/>
      <c r="D1405" s="3"/>
    </row>
    <row r="1406" spans="1:4" ht="15.75" customHeight="1" x14ac:dyDescent="0.25">
      <c r="A1406" s="2">
        <v>20177474844</v>
      </c>
      <c r="B1406" s="3" t="s">
        <v>716</v>
      </c>
      <c r="C1406" s="1"/>
      <c r="D1406" s="3"/>
    </row>
    <row r="1407" spans="1:4" ht="15.75" customHeight="1" x14ac:dyDescent="0.25">
      <c r="A1407" s="2">
        <v>20050717187</v>
      </c>
      <c r="B1407" s="3" t="s">
        <v>1290</v>
      </c>
      <c r="C1407" s="1"/>
      <c r="D1407" s="3"/>
    </row>
    <row r="1408" spans="1:4" ht="15.75" customHeight="1" x14ac:dyDescent="0.25">
      <c r="A1408" s="2">
        <v>30708436573</v>
      </c>
      <c r="B1408" s="3" t="s">
        <v>1291</v>
      </c>
      <c r="C1408" s="1"/>
      <c r="D1408" s="3"/>
    </row>
    <row r="1409" spans="1:4" ht="15.75" customHeight="1" x14ac:dyDescent="0.25">
      <c r="A1409" s="2">
        <v>30708436573</v>
      </c>
      <c r="B1409" s="3" t="s">
        <v>1292</v>
      </c>
      <c r="C1409" s="1"/>
      <c r="D1409" s="3"/>
    </row>
    <row r="1410" spans="1:4" ht="15.75" customHeight="1" x14ac:dyDescent="0.25">
      <c r="A1410" s="2">
        <v>27405786066</v>
      </c>
      <c r="B1410" s="3" t="s">
        <v>1293</v>
      </c>
      <c r="C1410" s="1"/>
      <c r="D1410" s="3"/>
    </row>
    <row r="1411" spans="1:4" ht="15.75" customHeight="1" x14ac:dyDescent="0.25">
      <c r="A1411" s="2">
        <v>20114990419</v>
      </c>
      <c r="B1411" s="3" t="s">
        <v>1294</v>
      </c>
      <c r="C1411" s="1"/>
      <c r="D1411" s="3"/>
    </row>
    <row r="1412" spans="1:4" ht="15.75" customHeight="1" x14ac:dyDescent="0.25">
      <c r="A1412" s="2">
        <v>30645310361</v>
      </c>
      <c r="B1412" s="3" t="s">
        <v>1295</v>
      </c>
      <c r="C1412" s="1"/>
      <c r="D1412" s="3"/>
    </row>
    <row r="1413" spans="1:4" ht="15.75" customHeight="1" x14ac:dyDescent="0.25">
      <c r="A1413" s="2">
        <v>30712341803</v>
      </c>
      <c r="B1413" s="3" t="s">
        <v>725</v>
      </c>
      <c r="C1413" s="1"/>
      <c r="D1413" s="3"/>
    </row>
    <row r="1414" spans="1:4" ht="15.75" customHeight="1" x14ac:dyDescent="0.25">
      <c r="A1414" s="2">
        <v>30550245309</v>
      </c>
      <c r="B1414" s="3" t="s">
        <v>726</v>
      </c>
      <c r="C1414" s="1"/>
      <c r="D1414" s="3"/>
    </row>
    <row r="1415" spans="1:4" ht="15.75" customHeight="1" x14ac:dyDescent="0.25">
      <c r="A1415" s="2">
        <v>30655042772</v>
      </c>
      <c r="B1415" s="3" t="s">
        <v>727</v>
      </c>
      <c r="C1415" s="1"/>
      <c r="D1415" s="3"/>
    </row>
    <row r="1416" spans="1:4" ht="15.75" customHeight="1" x14ac:dyDescent="0.25">
      <c r="A1416" s="2">
        <v>30714830453</v>
      </c>
      <c r="B1416" s="3" t="s">
        <v>1296</v>
      </c>
      <c r="C1416" s="1"/>
      <c r="D1416" s="3"/>
    </row>
    <row r="1417" spans="1:4" ht="15.75" customHeight="1" x14ac:dyDescent="0.25">
      <c r="A1417" s="2">
        <v>30710681771</v>
      </c>
      <c r="B1417" s="3" t="s">
        <v>1297</v>
      </c>
      <c r="C1417" s="1"/>
      <c r="D1417" s="3"/>
    </row>
    <row r="1418" spans="1:4" ht="15.75" customHeight="1" x14ac:dyDescent="0.25">
      <c r="A1418" s="2">
        <v>30688264711</v>
      </c>
      <c r="B1418" s="3" t="s">
        <v>732</v>
      </c>
      <c r="C1418" s="1"/>
      <c r="D1418" s="3"/>
    </row>
    <row r="1419" spans="1:4" ht="15.75" customHeight="1" x14ac:dyDescent="0.25">
      <c r="A1419" s="2">
        <v>20238751560</v>
      </c>
      <c r="B1419" s="3" t="s">
        <v>1299</v>
      </c>
      <c r="C1419" s="1"/>
      <c r="D1419" s="3"/>
    </row>
    <row r="1420" spans="1:4" ht="15.75" customHeight="1" x14ac:dyDescent="0.25">
      <c r="A1420" s="2">
        <v>30701934195</v>
      </c>
      <c r="B1420" s="3" t="s">
        <v>1300</v>
      </c>
      <c r="C1420" s="1"/>
      <c r="D1420" s="3"/>
    </row>
    <row r="1421" spans="1:4" ht="15.75" customHeight="1" x14ac:dyDescent="0.25">
      <c r="A1421" s="2">
        <v>20083082136</v>
      </c>
      <c r="B1421" s="3" t="s">
        <v>1301</v>
      </c>
      <c r="C1421" s="1"/>
      <c r="D1421" s="3"/>
    </row>
    <row r="1422" spans="1:4" ht="15.75" customHeight="1" x14ac:dyDescent="0.25">
      <c r="A1422" s="2">
        <v>30711127646</v>
      </c>
      <c r="B1422" s="3" t="s">
        <v>1302</v>
      </c>
      <c r="C1422" s="1"/>
      <c r="D1422" s="3"/>
    </row>
    <row r="1423" spans="1:4" ht="15.75" customHeight="1" x14ac:dyDescent="0.25">
      <c r="A1423" s="2">
        <v>30518922897</v>
      </c>
      <c r="B1423" s="3" t="s">
        <v>737</v>
      </c>
      <c r="C1423" s="1"/>
      <c r="D1423" s="3"/>
    </row>
    <row r="1424" spans="1:4" ht="15.75" customHeight="1" x14ac:dyDescent="0.25">
      <c r="A1424" s="2">
        <v>27106318900</v>
      </c>
      <c r="B1424" s="3" t="s">
        <v>1303</v>
      </c>
      <c r="C1424" s="1"/>
      <c r="D1424" s="3"/>
    </row>
    <row r="1425" spans="1:4" ht="15.75" customHeight="1" x14ac:dyDescent="0.25">
      <c r="A1425" s="2">
        <v>20222971676</v>
      </c>
      <c r="B1425" s="3" t="s">
        <v>1304</v>
      </c>
      <c r="C1425" s="1"/>
      <c r="D1425" s="3"/>
    </row>
    <row r="1426" spans="1:4" ht="15.75" customHeight="1" x14ac:dyDescent="0.25">
      <c r="A1426" s="2">
        <v>20178198050</v>
      </c>
      <c r="B1426" s="3" t="s">
        <v>1305</v>
      </c>
      <c r="C1426" s="1"/>
      <c r="D1426" s="3"/>
    </row>
    <row r="1427" spans="1:4" ht="15.75" customHeight="1" x14ac:dyDescent="0.25">
      <c r="A1427" s="2">
        <v>30600271004</v>
      </c>
      <c r="B1427" s="3" t="s">
        <v>738</v>
      </c>
      <c r="C1427" s="1"/>
      <c r="D1427" s="3"/>
    </row>
    <row r="1428" spans="1:4" ht="15.75" customHeight="1" x14ac:dyDescent="0.25">
      <c r="A1428" s="2">
        <v>30709517976</v>
      </c>
      <c r="B1428" s="3" t="s">
        <v>742</v>
      </c>
      <c r="C1428" s="1"/>
      <c r="D1428" s="3"/>
    </row>
    <row r="1429" spans="1:4" ht="15.75" customHeight="1" x14ac:dyDescent="0.25">
      <c r="A1429" s="2">
        <v>30715363255</v>
      </c>
      <c r="B1429" s="3" t="s">
        <v>1306</v>
      </c>
      <c r="C1429" s="1"/>
      <c r="D1429" s="3"/>
    </row>
    <row r="1430" spans="1:4" ht="15.75" customHeight="1" x14ac:dyDescent="0.25">
      <c r="A1430" s="2">
        <v>30709917516</v>
      </c>
      <c r="B1430" s="3" t="s">
        <v>1307</v>
      </c>
      <c r="C1430" s="1"/>
      <c r="D1430" s="3"/>
    </row>
    <row r="1431" spans="1:4" ht="15.75" customHeight="1" x14ac:dyDescent="0.25">
      <c r="A1431" s="2">
        <v>20266254084</v>
      </c>
      <c r="B1431" s="3" t="s">
        <v>743</v>
      </c>
      <c r="C1431" s="1"/>
      <c r="D1431" s="3"/>
    </row>
    <row r="1432" spans="1:4" ht="15.75" customHeight="1" x14ac:dyDescent="0.25">
      <c r="A1432" s="2">
        <v>20233719618</v>
      </c>
      <c r="B1432" s="3" t="s">
        <v>1308</v>
      </c>
      <c r="C1432" s="1"/>
      <c r="D1432" s="3"/>
    </row>
    <row r="1433" spans="1:4" ht="15.75" customHeight="1" x14ac:dyDescent="0.25">
      <c r="A1433" s="2">
        <v>30715154192</v>
      </c>
      <c r="B1433" s="3" t="s">
        <v>1309</v>
      </c>
      <c r="C1433" s="1"/>
      <c r="D1433" s="3"/>
    </row>
    <row r="1434" spans="1:4" ht="15.75" customHeight="1" x14ac:dyDescent="0.25">
      <c r="A1434" s="2">
        <v>24928181428</v>
      </c>
      <c r="B1434" s="3" t="s">
        <v>1310</v>
      </c>
      <c r="C1434" s="1"/>
      <c r="D1434" s="3"/>
    </row>
    <row r="1435" spans="1:4" ht="15.75" customHeight="1" x14ac:dyDescent="0.25">
      <c r="A1435" s="2">
        <v>30707801987</v>
      </c>
      <c r="B1435" s="3" t="s">
        <v>744</v>
      </c>
      <c r="C1435" s="1"/>
      <c r="D1435" s="3"/>
    </row>
    <row r="1436" spans="1:4" ht="15.75" customHeight="1" x14ac:dyDescent="0.25">
      <c r="A1436" s="2">
        <v>20205019775</v>
      </c>
      <c r="B1436" s="3" t="s">
        <v>1311</v>
      </c>
      <c r="C1436" s="1"/>
      <c r="D1436" s="3"/>
    </row>
    <row r="1437" spans="1:4" ht="15.75" customHeight="1" x14ac:dyDescent="0.25">
      <c r="A1437" s="2">
        <v>30658840785</v>
      </c>
      <c r="B1437" s="3" t="s">
        <v>1314</v>
      </c>
      <c r="C1437" s="1"/>
      <c r="D1437" s="3"/>
    </row>
    <row r="1438" spans="1:4" ht="15.75" customHeight="1" x14ac:dyDescent="0.25">
      <c r="A1438" s="2">
        <v>30696172877</v>
      </c>
      <c r="B1438" s="3" t="s">
        <v>1315</v>
      </c>
      <c r="C1438" s="1"/>
      <c r="D1438" s="3"/>
    </row>
    <row r="1439" spans="1:4" ht="15.75" customHeight="1" x14ac:dyDescent="0.25">
      <c r="A1439" s="2">
        <v>20137411815</v>
      </c>
      <c r="B1439" s="3" t="s">
        <v>1316</v>
      </c>
      <c r="C1439" s="1"/>
      <c r="D1439" s="3"/>
    </row>
    <row r="1440" spans="1:4" ht="15.75" customHeight="1" x14ac:dyDescent="0.25">
      <c r="A1440" s="2">
        <v>20137411815</v>
      </c>
      <c r="B1440" s="3" t="s">
        <v>1316</v>
      </c>
      <c r="C1440" s="1"/>
      <c r="D1440" s="3"/>
    </row>
    <row r="1441" spans="1:4" ht="15.75" customHeight="1" x14ac:dyDescent="0.25">
      <c r="A1441" s="2">
        <v>20935729662</v>
      </c>
      <c r="B1441" s="3" t="s">
        <v>748</v>
      </c>
      <c r="C1441" s="1"/>
      <c r="D1441" s="3"/>
    </row>
    <row r="1442" spans="1:4" ht="15.75" customHeight="1" x14ac:dyDescent="0.25">
      <c r="A1442" s="2">
        <v>30687255492</v>
      </c>
      <c r="B1442" s="3" t="s">
        <v>750</v>
      </c>
      <c r="C1442" s="1"/>
      <c r="D1442" s="3"/>
    </row>
    <row r="1443" spans="1:4" ht="15.75" customHeight="1" x14ac:dyDescent="0.25">
      <c r="A1443" s="2">
        <v>30716022354</v>
      </c>
      <c r="B1443" s="3" t="s">
        <v>1317</v>
      </c>
      <c r="C1443" s="1"/>
      <c r="D1443" s="3"/>
    </row>
    <row r="1444" spans="1:4" ht="15.75" customHeight="1" x14ac:dyDescent="0.25">
      <c r="A1444" s="2">
        <v>27066479531</v>
      </c>
      <c r="B1444" s="3" t="s">
        <v>1318</v>
      </c>
      <c r="C1444" s="1"/>
      <c r="D1444" s="3"/>
    </row>
    <row r="1445" spans="1:4" ht="15.75" customHeight="1" x14ac:dyDescent="0.25">
      <c r="A1445" s="2">
        <v>16218369</v>
      </c>
      <c r="B1445" s="3" t="s">
        <v>753</v>
      </c>
      <c r="C1445" s="1"/>
      <c r="D1445" s="3"/>
    </row>
    <row r="1446" spans="1:4" ht="15.75" customHeight="1" x14ac:dyDescent="0.25">
      <c r="A1446" s="2">
        <v>30712217487</v>
      </c>
      <c r="B1446" s="3" t="s">
        <v>1319</v>
      </c>
      <c r="C1446" s="1"/>
      <c r="D1446" s="3"/>
    </row>
    <row r="1447" spans="1:4" ht="15.75" customHeight="1" x14ac:dyDescent="0.25">
      <c r="A1447" s="2">
        <v>30707515232</v>
      </c>
      <c r="B1447" s="3" t="s">
        <v>754</v>
      </c>
      <c r="C1447" s="1"/>
      <c r="D1447" s="3"/>
    </row>
    <row r="1448" spans="1:4" ht="15.75" customHeight="1" x14ac:dyDescent="0.25">
      <c r="A1448" s="2">
        <v>30715413678</v>
      </c>
      <c r="B1448" s="3" t="s">
        <v>1320</v>
      </c>
      <c r="C1448" s="1"/>
      <c r="D1448" s="3"/>
    </row>
    <row r="1449" spans="1:4" ht="15.75" customHeight="1" x14ac:dyDescent="0.25">
      <c r="A1449" s="2">
        <v>27127809521</v>
      </c>
      <c r="B1449" s="3" t="s">
        <v>755</v>
      </c>
      <c r="C1449" s="1"/>
      <c r="D1449" s="3"/>
    </row>
    <row r="1450" spans="1:4" ht="15.75" customHeight="1" x14ac:dyDescent="0.25">
      <c r="A1450" s="2">
        <v>30714593095</v>
      </c>
      <c r="B1450" s="3" t="s">
        <v>1321</v>
      </c>
      <c r="C1450" s="1"/>
      <c r="D1450" s="3"/>
    </row>
    <row r="1451" spans="1:4" ht="15.75" customHeight="1" x14ac:dyDescent="0.25">
      <c r="A1451" s="2">
        <v>30708084944</v>
      </c>
      <c r="B1451" s="3" t="s">
        <v>756</v>
      </c>
      <c r="C1451" s="1"/>
      <c r="D1451" s="3"/>
    </row>
    <row r="1452" spans="1:4" ht="15.75" customHeight="1" x14ac:dyDescent="0.25">
      <c r="A1452" s="2">
        <v>27231348420</v>
      </c>
      <c r="B1452" s="3" t="s">
        <v>1322</v>
      </c>
      <c r="C1452" s="1"/>
      <c r="D1452" s="3"/>
    </row>
    <row r="1453" spans="1:4" ht="15.75" customHeight="1" x14ac:dyDescent="0.25">
      <c r="A1453" s="2">
        <v>27231348420</v>
      </c>
      <c r="B1453" s="3" t="s">
        <v>1322</v>
      </c>
      <c r="C1453" s="1"/>
      <c r="D1453" s="3"/>
    </row>
    <row r="1454" spans="1:4" ht="15.75" customHeight="1" x14ac:dyDescent="0.25">
      <c r="A1454" s="2">
        <v>27231348420</v>
      </c>
      <c r="B1454" s="3" t="s">
        <v>1322</v>
      </c>
      <c r="C1454" s="1"/>
      <c r="D1454" s="3"/>
    </row>
    <row r="1455" spans="1:4" ht="15.75" customHeight="1" x14ac:dyDescent="0.25">
      <c r="A1455" s="2">
        <v>27231348420</v>
      </c>
      <c r="B1455" s="3" t="s">
        <v>1322</v>
      </c>
      <c r="C1455" s="1"/>
      <c r="D1455" s="3"/>
    </row>
    <row r="1456" spans="1:4" ht="15.75" customHeight="1" x14ac:dyDescent="0.25">
      <c r="A1456" s="2">
        <v>27231348420</v>
      </c>
      <c r="B1456" s="3" t="s">
        <v>1322</v>
      </c>
      <c r="C1456" s="1"/>
      <c r="D1456" s="3"/>
    </row>
    <row r="1457" spans="1:4" ht="15.75" customHeight="1" x14ac:dyDescent="0.25">
      <c r="A1457" s="2">
        <v>27106477871</v>
      </c>
      <c r="B1457" s="3" t="s">
        <v>1323</v>
      </c>
      <c r="C1457" s="1"/>
      <c r="D1457" s="3"/>
    </row>
    <row r="1458" spans="1:4" ht="15.75" customHeight="1" x14ac:dyDescent="0.25">
      <c r="A1458" s="2">
        <v>30716279843</v>
      </c>
      <c r="B1458" s="3" t="s">
        <v>1324</v>
      </c>
      <c r="C1458" s="1"/>
      <c r="D1458" s="3"/>
    </row>
    <row r="1459" spans="1:4" ht="15.75" customHeight="1" x14ac:dyDescent="0.25">
      <c r="A1459" s="2">
        <v>30717080269</v>
      </c>
      <c r="B1459" s="3" t="s">
        <v>1325</v>
      </c>
      <c r="C1459" s="1"/>
      <c r="D1459" s="3"/>
    </row>
    <row r="1460" spans="1:4" ht="15.75" customHeight="1" x14ac:dyDescent="0.25">
      <c r="A1460" s="2">
        <v>30715405187</v>
      </c>
      <c r="B1460" s="3" t="s">
        <v>1326</v>
      </c>
      <c r="C1460" s="1"/>
      <c r="D1460" s="3"/>
    </row>
    <row r="1461" spans="1:4" ht="15.75" customHeight="1" x14ac:dyDescent="0.25">
      <c r="A1461" s="2">
        <v>26198343</v>
      </c>
      <c r="B1461" s="3" t="s">
        <v>758</v>
      </c>
      <c r="C1461" s="1"/>
      <c r="D1461" s="3"/>
    </row>
    <row r="1462" spans="1:4" ht="15.75" customHeight="1" x14ac:dyDescent="0.25">
      <c r="A1462" s="2">
        <v>20182267164</v>
      </c>
      <c r="B1462" s="3" t="s">
        <v>1327</v>
      </c>
      <c r="C1462" s="1"/>
      <c r="D1462" s="3"/>
    </row>
    <row r="1463" spans="1:4" ht="15.75" customHeight="1" x14ac:dyDescent="0.25">
      <c r="A1463" s="2">
        <v>23131563779</v>
      </c>
      <c r="B1463" s="3" t="s">
        <v>759</v>
      </c>
      <c r="C1463" s="1"/>
      <c r="D1463" s="3"/>
    </row>
    <row r="1464" spans="1:4" ht="15.75" customHeight="1" x14ac:dyDescent="0.25">
      <c r="A1464" s="2">
        <v>20929849907</v>
      </c>
      <c r="B1464" s="3" t="s">
        <v>1328</v>
      </c>
      <c r="C1464" s="1"/>
      <c r="D1464" s="3"/>
    </row>
    <row r="1465" spans="1:4" ht="15.75" customHeight="1" x14ac:dyDescent="0.25">
      <c r="A1465" s="2">
        <v>23144901819</v>
      </c>
      <c r="B1465" s="3" t="s">
        <v>1329</v>
      </c>
      <c r="C1465" s="1"/>
      <c r="D1465" s="3"/>
    </row>
    <row r="1466" spans="1:4" ht="15.75" customHeight="1" x14ac:dyDescent="0.25">
      <c r="A1466" s="2">
        <v>20126925272</v>
      </c>
      <c r="B1466" s="3" t="s">
        <v>1330</v>
      </c>
      <c r="C1466" s="1"/>
      <c r="D1466" s="3"/>
    </row>
    <row r="1467" spans="1:4" ht="15.75" customHeight="1" x14ac:dyDescent="0.25">
      <c r="A1467" s="2">
        <v>20243799296</v>
      </c>
      <c r="B1467" s="3" t="s">
        <v>1331</v>
      </c>
      <c r="C1467" s="1"/>
      <c r="D1467" s="3"/>
    </row>
    <row r="1468" spans="1:4" ht="15.75" customHeight="1" x14ac:dyDescent="0.25">
      <c r="A1468" s="2">
        <v>20120499174</v>
      </c>
      <c r="B1468" s="3" t="s">
        <v>1332</v>
      </c>
      <c r="C1468" s="1"/>
      <c r="D1468" s="3"/>
    </row>
    <row r="1469" spans="1:4" ht="15.75" customHeight="1" x14ac:dyDescent="0.25">
      <c r="A1469" s="2">
        <v>23284031709</v>
      </c>
      <c r="B1469" s="3" t="s">
        <v>1334</v>
      </c>
      <c r="C1469" s="1"/>
      <c r="D1469" s="3"/>
    </row>
    <row r="1470" spans="1:4" ht="15.75" customHeight="1" x14ac:dyDescent="0.25">
      <c r="A1470" s="2">
        <v>20100020751</v>
      </c>
      <c r="B1470" s="3" t="s">
        <v>1335</v>
      </c>
      <c r="C1470" s="1"/>
      <c r="D1470" s="3"/>
    </row>
    <row r="1471" spans="1:4" ht="15.75" customHeight="1" x14ac:dyDescent="0.25">
      <c r="A1471" s="2">
        <v>23304475609</v>
      </c>
      <c r="B1471" s="3" t="s">
        <v>1336</v>
      </c>
      <c r="C1471" s="1"/>
      <c r="D1471" s="3"/>
    </row>
    <row r="1472" spans="1:4" ht="15.75" customHeight="1" x14ac:dyDescent="0.25">
      <c r="A1472" s="2">
        <v>30714260290</v>
      </c>
      <c r="B1472" s="3" t="s">
        <v>1337</v>
      </c>
      <c r="C1472" s="1"/>
      <c r="D1472" s="3"/>
    </row>
    <row r="1473" spans="1:4" ht="15.75" customHeight="1" x14ac:dyDescent="0.25">
      <c r="A1473" s="2">
        <v>20257454615</v>
      </c>
      <c r="B1473" s="3" t="s">
        <v>1338</v>
      </c>
      <c r="C1473" s="1"/>
      <c r="D1473" s="3"/>
    </row>
    <row r="1474" spans="1:4" ht="15.75" customHeight="1" x14ac:dyDescent="0.25">
      <c r="A1474" s="2">
        <v>30710063164</v>
      </c>
      <c r="B1474" s="3" t="s">
        <v>1339</v>
      </c>
      <c r="C1474" s="1"/>
      <c r="D1474" s="3"/>
    </row>
    <row r="1475" spans="1:4" ht="15.75" customHeight="1" x14ac:dyDescent="0.25">
      <c r="A1475" s="2">
        <v>30510865363</v>
      </c>
      <c r="B1475" s="3" t="s">
        <v>1340</v>
      </c>
      <c r="C1475" s="1"/>
      <c r="D1475" s="3"/>
    </row>
    <row r="1476" spans="1:4" ht="15.75" customHeight="1" x14ac:dyDescent="0.25">
      <c r="A1476" s="2">
        <v>30709975427</v>
      </c>
      <c r="B1476" s="3" t="s">
        <v>765</v>
      </c>
      <c r="C1476" s="1"/>
      <c r="D1476" s="3"/>
    </row>
    <row r="1477" spans="1:4" ht="15.75" customHeight="1" x14ac:dyDescent="0.25">
      <c r="A1477" s="2">
        <v>33714646899</v>
      </c>
      <c r="B1477" s="3" t="s">
        <v>766</v>
      </c>
      <c r="C1477" s="1"/>
      <c r="D1477" s="3"/>
    </row>
    <row r="1478" spans="1:4" ht="15.75" customHeight="1" x14ac:dyDescent="0.25">
      <c r="A1478" s="2">
        <v>27137541314</v>
      </c>
      <c r="B1478" s="3" t="s">
        <v>1341</v>
      </c>
      <c r="C1478" s="1"/>
      <c r="D1478" s="3"/>
    </row>
    <row r="1479" spans="1:4" ht="15.75" customHeight="1" x14ac:dyDescent="0.25">
      <c r="A1479" s="2">
        <v>30504744538</v>
      </c>
      <c r="B1479" s="3" t="s">
        <v>767</v>
      </c>
      <c r="C1479" s="1"/>
      <c r="D1479" s="3"/>
    </row>
    <row r="1480" spans="1:4" ht="15.75" customHeight="1" x14ac:dyDescent="0.25">
      <c r="A1480" s="2">
        <v>30707228098</v>
      </c>
      <c r="B1480" s="3" t="s">
        <v>771</v>
      </c>
      <c r="C1480" s="1"/>
      <c r="D1480" s="3"/>
    </row>
    <row r="1481" spans="1:4" ht="15.75" customHeight="1" x14ac:dyDescent="0.25">
      <c r="A1481" s="2">
        <v>20170681844</v>
      </c>
      <c r="B1481" s="3" t="s">
        <v>1342</v>
      </c>
      <c r="C1481" s="1"/>
      <c r="D1481" s="3"/>
    </row>
    <row r="1482" spans="1:4" ht="15.75" customHeight="1" x14ac:dyDescent="0.25">
      <c r="A1482" s="2">
        <v>20325657988</v>
      </c>
      <c r="B1482" s="3" t="s">
        <v>772</v>
      </c>
      <c r="C1482" s="1"/>
      <c r="D1482" s="3"/>
    </row>
    <row r="1483" spans="1:4" ht="15.75" customHeight="1" x14ac:dyDescent="0.25">
      <c r="A1483" s="2">
        <v>20242932413</v>
      </c>
      <c r="B1483" s="3" t="s">
        <v>1343</v>
      </c>
      <c r="C1483" s="1"/>
      <c r="D1483" s="3"/>
    </row>
    <row r="1484" spans="1:4" ht="15.75" customHeight="1" x14ac:dyDescent="0.25">
      <c r="A1484" s="2">
        <v>30712341714</v>
      </c>
      <c r="B1484" s="3" t="s">
        <v>1344</v>
      </c>
      <c r="C1484" s="1"/>
      <c r="D1484" s="3"/>
    </row>
    <row r="1485" spans="1:4" ht="15.75" customHeight="1" x14ac:dyDescent="0.25">
      <c r="A1485" s="2">
        <v>30646512952</v>
      </c>
      <c r="B1485" s="3" t="s">
        <v>773</v>
      </c>
      <c r="C1485" s="1"/>
      <c r="D1485" s="3"/>
    </row>
    <row r="1486" spans="1:4" ht="15.75" customHeight="1" x14ac:dyDescent="0.25">
      <c r="A1486" s="2">
        <v>30697754063</v>
      </c>
      <c r="B1486" s="3" t="s">
        <v>776</v>
      </c>
      <c r="C1486" s="1"/>
      <c r="D1486" s="3"/>
    </row>
    <row r="1487" spans="1:4" ht="15.75" customHeight="1" x14ac:dyDescent="0.25">
      <c r="A1487" s="2">
        <v>20222061947</v>
      </c>
      <c r="B1487" s="3" t="s">
        <v>1345</v>
      </c>
      <c r="C1487" s="1"/>
      <c r="D1487" s="3"/>
    </row>
    <row r="1488" spans="1:4" ht="15.75" customHeight="1" x14ac:dyDescent="0.25">
      <c r="A1488" s="2">
        <v>33715426779</v>
      </c>
      <c r="B1488" s="3" t="s">
        <v>1346</v>
      </c>
      <c r="C1488" s="1"/>
      <c r="D1488" s="3"/>
    </row>
    <row r="1489" spans="1:4" ht="15.75" customHeight="1" x14ac:dyDescent="0.25">
      <c r="A1489" s="2">
        <v>20236710026</v>
      </c>
      <c r="B1489" s="3" t="s">
        <v>1347</v>
      </c>
      <c r="C1489" s="1"/>
      <c r="D1489" s="3"/>
    </row>
    <row r="1490" spans="1:4" ht="15.75" customHeight="1" x14ac:dyDescent="0.25">
      <c r="A1490" s="2">
        <v>30555517757</v>
      </c>
      <c r="B1490" s="3" t="s">
        <v>778</v>
      </c>
      <c r="C1490" s="1"/>
      <c r="D1490" s="3"/>
    </row>
    <row r="1491" spans="1:4" ht="15.75" customHeight="1" x14ac:dyDescent="0.25">
      <c r="A1491" s="2">
        <v>20263156324</v>
      </c>
      <c r="B1491" s="3" t="s">
        <v>1350</v>
      </c>
      <c r="C1491" s="1"/>
      <c r="D1491" s="3"/>
    </row>
    <row r="1492" spans="1:4" ht="15.75" customHeight="1" x14ac:dyDescent="0.25">
      <c r="A1492" s="2">
        <v>30717498980</v>
      </c>
      <c r="B1492" s="3" t="s">
        <v>1351</v>
      </c>
      <c r="C1492" s="1"/>
      <c r="D1492" s="3"/>
    </row>
    <row r="1493" spans="1:4" ht="15.75" customHeight="1" x14ac:dyDescent="0.25">
      <c r="A1493" s="2">
        <v>30711540853</v>
      </c>
      <c r="B1493" s="3" t="s">
        <v>1352</v>
      </c>
      <c r="C1493" s="1"/>
      <c r="D1493" s="3"/>
    </row>
    <row r="1494" spans="1:4" ht="15.75" customHeight="1" x14ac:dyDescent="0.25">
      <c r="A1494" s="2">
        <v>30714249416</v>
      </c>
      <c r="B1494" s="3" t="s">
        <v>781</v>
      </c>
      <c r="C1494" s="1"/>
      <c r="D1494" s="3"/>
    </row>
    <row r="1495" spans="1:4" ht="15.75" customHeight="1" x14ac:dyDescent="0.25">
      <c r="A1495" s="2">
        <v>30709463612</v>
      </c>
      <c r="B1495" s="3" t="s">
        <v>1354</v>
      </c>
      <c r="C1495" s="1"/>
      <c r="D1495" s="3"/>
    </row>
    <row r="1496" spans="1:4" ht="15.75" customHeight="1" x14ac:dyDescent="0.25">
      <c r="A1496" s="2">
        <v>27203132722</v>
      </c>
      <c r="B1496" s="3" t="s">
        <v>784</v>
      </c>
      <c r="C1496" s="1"/>
      <c r="D1496" s="3"/>
    </row>
    <row r="1497" spans="1:4" ht="15.75" customHeight="1" x14ac:dyDescent="0.25">
      <c r="A1497" s="2">
        <v>30708390468</v>
      </c>
      <c r="B1497" s="3" t="s">
        <v>1355</v>
      </c>
      <c r="C1497" s="1"/>
      <c r="D1497" s="3"/>
    </row>
    <row r="1498" spans="1:4" ht="15.75" customHeight="1" x14ac:dyDescent="0.25">
      <c r="A1498" s="2">
        <v>30619305848</v>
      </c>
      <c r="B1498" s="3" t="s">
        <v>1356</v>
      </c>
      <c r="C1498" s="1"/>
      <c r="D1498" s="3"/>
    </row>
    <row r="1499" spans="1:4" ht="15.75" customHeight="1" x14ac:dyDescent="0.25">
      <c r="A1499" s="2">
        <v>30583464138</v>
      </c>
      <c r="B1499" s="3" t="s">
        <v>788</v>
      </c>
      <c r="C1499" s="1"/>
      <c r="D1499" s="3"/>
    </row>
    <row r="1500" spans="1:4" ht="15.75" customHeight="1" x14ac:dyDescent="0.25">
      <c r="A1500" s="2">
        <v>30711122911</v>
      </c>
      <c r="B1500" s="3" t="s">
        <v>789</v>
      </c>
      <c r="C1500" s="1"/>
      <c r="D1500" s="3"/>
    </row>
    <row r="1501" spans="1:4" ht="15.75" customHeight="1" x14ac:dyDescent="0.25">
      <c r="A1501" s="2">
        <v>23230332169</v>
      </c>
      <c r="B1501" s="3" t="s">
        <v>1357</v>
      </c>
      <c r="C1501" s="1"/>
      <c r="D1501" s="3"/>
    </row>
    <row r="1502" spans="1:4" ht="15.75" customHeight="1" x14ac:dyDescent="0.25">
      <c r="A1502" s="2">
        <v>20339137111</v>
      </c>
      <c r="B1502" s="3" t="s">
        <v>1358</v>
      </c>
      <c r="C1502" s="1"/>
      <c r="D1502" s="3"/>
    </row>
    <row r="1503" spans="1:4" ht="15.75" customHeight="1" x14ac:dyDescent="0.25">
      <c r="A1503" s="2">
        <v>30550005987</v>
      </c>
      <c r="B1503" s="3" t="s">
        <v>790</v>
      </c>
      <c r="C1503" s="1"/>
      <c r="D1503" s="3"/>
    </row>
    <row r="1504" spans="1:4" ht="15.75" customHeight="1" x14ac:dyDescent="0.25">
      <c r="A1504" s="2">
        <v>27128309174</v>
      </c>
      <c r="B1504" s="3" t="s">
        <v>1359</v>
      </c>
      <c r="C1504" s="1"/>
      <c r="D1504" s="3"/>
    </row>
    <row r="1505" spans="1:4" ht="15.75" customHeight="1" x14ac:dyDescent="0.25">
      <c r="A1505" s="2">
        <v>30707970010</v>
      </c>
      <c r="B1505" s="3" t="s">
        <v>792</v>
      </c>
      <c r="C1505" s="1"/>
      <c r="D1505" s="3"/>
    </row>
    <row r="1506" spans="1:4" ht="15.75" customHeight="1" x14ac:dyDescent="0.25">
      <c r="A1506" s="2">
        <v>30520079129</v>
      </c>
      <c r="B1506" s="3" t="s">
        <v>1360</v>
      </c>
      <c r="C1506" s="1"/>
      <c r="D1506" s="3"/>
    </row>
    <row r="1507" spans="1:4" ht="15.75" customHeight="1" x14ac:dyDescent="0.25">
      <c r="A1507" s="2">
        <v>30520079129</v>
      </c>
      <c r="B1507" s="3" t="s">
        <v>1361</v>
      </c>
      <c r="C1507" s="1"/>
      <c r="D1507" s="3"/>
    </row>
    <row r="1508" spans="1:4" ht="15.75" customHeight="1" x14ac:dyDescent="0.25">
      <c r="A1508" s="2">
        <v>30677866868</v>
      </c>
      <c r="B1508" s="3" t="s">
        <v>1362</v>
      </c>
      <c r="C1508" s="1"/>
      <c r="D1508" s="3"/>
    </row>
    <row r="1509" spans="1:4" ht="15.75" customHeight="1" x14ac:dyDescent="0.25">
      <c r="A1509" s="2">
        <v>30715853465</v>
      </c>
      <c r="B1509" s="3" t="s">
        <v>1363</v>
      </c>
      <c r="C1509" s="1"/>
      <c r="D1509" s="3"/>
    </row>
    <row r="1510" spans="1:4" ht="15.75" customHeight="1" x14ac:dyDescent="0.25">
      <c r="A1510" s="2">
        <v>30710576137</v>
      </c>
      <c r="B1510" s="3" t="s">
        <v>1364</v>
      </c>
      <c r="C1510" s="1"/>
      <c r="D1510" s="3"/>
    </row>
    <row r="1511" spans="1:4" ht="15.75" customHeight="1" x14ac:dyDescent="0.25">
      <c r="A1511" s="2">
        <v>30711989680</v>
      </c>
      <c r="B1511" s="3" t="s">
        <v>1365</v>
      </c>
      <c r="C1511" s="1"/>
      <c r="D1511" s="3"/>
    </row>
    <row r="1512" spans="1:4" ht="15.75" customHeight="1" x14ac:dyDescent="0.25">
      <c r="A1512" s="2">
        <v>33714326029</v>
      </c>
      <c r="B1512" s="3" t="s">
        <v>794</v>
      </c>
      <c r="C1512" s="1"/>
      <c r="D1512" s="3"/>
    </row>
    <row r="1513" spans="1:4" ht="15.75" customHeight="1" x14ac:dyDescent="0.25">
      <c r="A1513" s="2">
        <v>30605215412</v>
      </c>
      <c r="B1513" s="3" t="s">
        <v>1366</v>
      </c>
      <c r="C1513" s="1"/>
      <c r="D1513" s="3"/>
    </row>
    <row r="1514" spans="1:4" ht="15.75" customHeight="1" x14ac:dyDescent="0.25">
      <c r="A1514" s="2">
        <v>30710207190</v>
      </c>
      <c r="B1514" s="3" t="s">
        <v>795</v>
      </c>
      <c r="C1514" s="1"/>
      <c r="D1514" s="3"/>
    </row>
    <row r="1515" spans="1:4" ht="15.75" customHeight="1" x14ac:dyDescent="0.25">
      <c r="A1515" s="2">
        <v>30660432961</v>
      </c>
      <c r="B1515" s="3" t="s">
        <v>796</v>
      </c>
      <c r="C1515" s="1"/>
      <c r="D1515" s="3"/>
    </row>
    <row r="1516" spans="1:4" ht="15.75" customHeight="1" x14ac:dyDescent="0.25">
      <c r="A1516" s="2">
        <v>30644602687</v>
      </c>
      <c r="B1516" s="3" t="s">
        <v>1367</v>
      </c>
      <c r="C1516" s="1"/>
      <c r="D1516" s="3"/>
    </row>
    <row r="1517" spans="1:4" ht="15.75" customHeight="1" x14ac:dyDescent="0.25">
      <c r="A1517" s="2">
        <v>20277651441</v>
      </c>
      <c r="B1517" s="3" t="s">
        <v>1368</v>
      </c>
      <c r="C1517" s="1"/>
      <c r="D1517" s="3"/>
    </row>
    <row r="1518" spans="1:4" ht="15.75" customHeight="1" x14ac:dyDescent="0.25">
      <c r="A1518" s="2">
        <v>23202815669</v>
      </c>
      <c r="B1518" s="3" t="s">
        <v>1370</v>
      </c>
      <c r="C1518" s="1"/>
      <c r="D1518" s="3"/>
    </row>
    <row r="1519" spans="1:4" ht="15.75" customHeight="1" x14ac:dyDescent="0.25">
      <c r="A1519" s="2">
        <v>20046224931</v>
      </c>
      <c r="B1519" s="3" t="s">
        <v>1371</v>
      </c>
      <c r="C1519" s="1"/>
      <c r="D1519" s="3"/>
    </row>
    <row r="1520" spans="1:4" ht="15.75" customHeight="1" x14ac:dyDescent="0.25">
      <c r="A1520" s="2">
        <v>30715380761</v>
      </c>
      <c r="B1520" s="3" t="s">
        <v>1372</v>
      </c>
      <c r="C1520" s="1"/>
      <c r="D1520" s="3"/>
    </row>
    <row r="1521" spans="1:4" ht="15.75" customHeight="1" x14ac:dyDescent="0.25">
      <c r="A1521" s="2">
        <v>30714861839</v>
      </c>
      <c r="B1521" s="3" t="s">
        <v>1373</v>
      </c>
      <c r="C1521" s="1"/>
      <c r="D1521" s="3"/>
    </row>
    <row r="1522" spans="1:4" ht="15.75" customHeight="1" x14ac:dyDescent="0.25">
      <c r="A1522" s="2">
        <v>30712121102</v>
      </c>
      <c r="B1522" s="3" t="s">
        <v>1374</v>
      </c>
      <c r="C1522" s="1"/>
      <c r="D1522" s="3"/>
    </row>
    <row r="1523" spans="1:4" ht="15.75" customHeight="1" x14ac:dyDescent="0.25">
      <c r="A1523" s="2">
        <v>30568731936</v>
      </c>
      <c r="B1523" s="3" t="s">
        <v>1375</v>
      </c>
      <c r="C1523" s="1"/>
      <c r="D1523" s="3"/>
    </row>
    <row r="1524" spans="1:4" ht="15.75" customHeight="1" x14ac:dyDescent="0.25">
      <c r="A1524" s="2">
        <v>20388902877</v>
      </c>
      <c r="B1524" s="3" t="s">
        <v>1376</v>
      </c>
      <c r="C1524" s="1"/>
      <c r="D1524" s="3"/>
    </row>
    <row r="1525" spans="1:4" ht="15.75" customHeight="1" x14ac:dyDescent="0.25">
      <c r="A1525" s="2">
        <v>30716237997</v>
      </c>
      <c r="B1525" s="3" t="s">
        <v>1377</v>
      </c>
      <c r="C1525" s="1"/>
      <c r="D1525" s="3"/>
    </row>
    <row r="1526" spans="1:4" ht="15.75" customHeight="1" x14ac:dyDescent="0.25">
      <c r="A1526" s="2">
        <v>30611843565</v>
      </c>
      <c r="B1526" s="3" t="s">
        <v>1378</v>
      </c>
      <c r="C1526" s="1"/>
      <c r="D1526" s="3"/>
    </row>
    <row r="1527" spans="1:4" ht="15.75" customHeight="1" x14ac:dyDescent="0.25">
      <c r="A1527" s="2">
        <v>12892105</v>
      </c>
      <c r="B1527" s="3" t="s">
        <v>800</v>
      </c>
      <c r="C1527" s="1"/>
      <c r="D1527" s="3"/>
    </row>
    <row r="1528" spans="1:4" ht="15.75" customHeight="1" x14ac:dyDescent="0.25">
      <c r="A1528" s="2">
        <v>27137856870</v>
      </c>
      <c r="B1528" s="3" t="s">
        <v>1379</v>
      </c>
      <c r="C1528" s="1"/>
      <c r="D1528" s="3"/>
    </row>
    <row r="1529" spans="1:4" ht="15.75" customHeight="1" x14ac:dyDescent="0.25">
      <c r="A1529" s="2">
        <v>27233748205</v>
      </c>
      <c r="B1529" s="3" t="s">
        <v>1380</v>
      </c>
      <c r="C1529" s="1"/>
      <c r="D1529" s="3"/>
    </row>
    <row r="1530" spans="1:4" ht="15.75" customHeight="1" x14ac:dyDescent="0.25">
      <c r="A1530" s="2">
        <v>27135427069</v>
      </c>
      <c r="B1530" s="3" t="s">
        <v>1381</v>
      </c>
      <c r="C1530" s="1"/>
      <c r="D1530" s="3"/>
    </row>
    <row r="1531" spans="1:4" ht="15.75" customHeight="1" x14ac:dyDescent="0.25">
      <c r="A1531" s="2">
        <v>20045434207</v>
      </c>
      <c r="B1531" s="3" t="s">
        <v>1382</v>
      </c>
      <c r="C1531" s="1"/>
      <c r="D1531" s="3"/>
    </row>
    <row r="1532" spans="1:4" ht="15.75" customHeight="1" x14ac:dyDescent="0.25">
      <c r="A1532" s="2">
        <v>27179366741</v>
      </c>
      <c r="B1532" s="3" t="s">
        <v>807</v>
      </c>
      <c r="C1532" s="1"/>
      <c r="D1532" s="3"/>
    </row>
    <row r="1533" spans="1:4" ht="15.75" customHeight="1" x14ac:dyDescent="0.25">
      <c r="A1533" s="2">
        <v>20304029561</v>
      </c>
      <c r="B1533" s="3" t="s">
        <v>1383</v>
      </c>
      <c r="C1533" s="1"/>
      <c r="D1533" s="3"/>
    </row>
    <row r="1534" spans="1:4" ht="15.75" customHeight="1" x14ac:dyDescent="0.25">
      <c r="A1534" s="2">
        <v>20043154835</v>
      </c>
      <c r="B1534" s="3" t="s">
        <v>811</v>
      </c>
      <c r="C1534" s="1"/>
      <c r="D1534" s="3"/>
    </row>
    <row r="1535" spans="1:4" ht="15.75" customHeight="1" x14ac:dyDescent="0.25">
      <c r="A1535" s="2">
        <v>30716184826</v>
      </c>
      <c r="B1535" s="3" t="s">
        <v>1384</v>
      </c>
      <c r="C1535" s="1"/>
      <c r="D1535" s="3"/>
    </row>
    <row r="1536" spans="1:4" ht="15.75" customHeight="1" x14ac:dyDescent="0.25">
      <c r="A1536" s="2">
        <v>33711399149</v>
      </c>
      <c r="B1536" s="3" t="s">
        <v>815</v>
      </c>
      <c r="C1536" s="1"/>
      <c r="D1536" s="3"/>
    </row>
    <row r="1537" spans="1:4" ht="15.75" customHeight="1" x14ac:dyDescent="0.25">
      <c r="A1537" s="2">
        <v>30547604888</v>
      </c>
      <c r="B1537" s="3" t="s">
        <v>1385</v>
      </c>
      <c r="C1537" s="1"/>
      <c r="D1537" s="3"/>
    </row>
    <row r="1538" spans="1:4" ht="15.75" customHeight="1" x14ac:dyDescent="0.25">
      <c r="A1538" s="2">
        <v>20085119614</v>
      </c>
      <c r="B1538" s="3" t="s">
        <v>818</v>
      </c>
      <c r="C1538" s="1"/>
      <c r="D1538" s="3"/>
    </row>
    <row r="1539" spans="1:4" ht="15.75" customHeight="1" x14ac:dyDescent="0.25">
      <c r="A1539" s="2">
        <v>20284621434</v>
      </c>
      <c r="B1539" s="3" t="s">
        <v>1386</v>
      </c>
      <c r="C1539" s="1"/>
      <c r="D1539" s="3"/>
    </row>
    <row r="1540" spans="1:4" ht="15.75" customHeight="1" x14ac:dyDescent="0.25">
      <c r="A1540" s="2">
        <v>30714719773</v>
      </c>
      <c r="B1540" s="3" t="s">
        <v>1387</v>
      </c>
      <c r="C1540" s="1"/>
      <c r="D1540" s="3"/>
    </row>
    <row r="1541" spans="1:4" ht="15.75" customHeight="1" x14ac:dyDescent="0.25">
      <c r="A1541" s="2">
        <v>30501136510</v>
      </c>
      <c r="B1541" s="3" t="s">
        <v>822</v>
      </c>
      <c r="C1541" s="1"/>
      <c r="D1541" s="3"/>
    </row>
    <row r="1542" spans="1:4" ht="15.75" customHeight="1" x14ac:dyDescent="0.25">
      <c r="A1542" s="2">
        <v>20134074958</v>
      </c>
      <c r="B1542" s="3" t="s">
        <v>1388</v>
      </c>
      <c r="C1542" s="1"/>
      <c r="D1542" s="3"/>
    </row>
    <row r="1543" spans="1:4" ht="15.75" customHeight="1" x14ac:dyDescent="0.25">
      <c r="A1543" s="2">
        <v>30711784833</v>
      </c>
      <c r="B1543" s="3" t="s">
        <v>1389</v>
      </c>
      <c r="C1543" s="1"/>
      <c r="D1543" s="3"/>
    </row>
    <row r="1544" spans="1:4" ht="15.75" customHeight="1" x14ac:dyDescent="0.25">
      <c r="A1544" s="2">
        <v>20217488738</v>
      </c>
      <c r="B1544" s="3" t="s">
        <v>823</v>
      </c>
      <c r="C1544" s="1"/>
      <c r="D1544" s="3"/>
    </row>
    <row r="1545" spans="1:4" ht="15.75" customHeight="1" x14ac:dyDescent="0.25">
      <c r="A1545" s="2">
        <v>30559806052</v>
      </c>
      <c r="B1545" s="3" t="s">
        <v>1390</v>
      </c>
      <c r="C1545" s="1"/>
      <c r="D1545" s="3"/>
    </row>
    <row r="1546" spans="1:4" ht="15.75" customHeight="1" x14ac:dyDescent="0.25">
      <c r="A1546" s="2">
        <v>30716150891</v>
      </c>
      <c r="B1546" s="3" t="s">
        <v>1391</v>
      </c>
      <c r="C1546" s="1"/>
      <c r="D1546" s="3"/>
    </row>
    <row r="1547" spans="1:4" ht="15.75" customHeight="1" x14ac:dyDescent="0.25">
      <c r="A1547" s="2">
        <v>30716091879</v>
      </c>
      <c r="B1547" s="3" t="s">
        <v>1392</v>
      </c>
      <c r="C1547" s="1"/>
      <c r="D1547" s="3"/>
    </row>
    <row r="1548" spans="1:4" ht="15.75" customHeight="1" x14ac:dyDescent="0.25">
      <c r="A1548" s="2">
        <v>30525966859</v>
      </c>
      <c r="B1548" s="3" t="s">
        <v>827</v>
      </c>
      <c r="C1548" s="1"/>
      <c r="D1548" s="3"/>
    </row>
    <row r="1549" spans="1:4" ht="15.75" customHeight="1" x14ac:dyDescent="0.25">
      <c r="A1549" s="2">
        <v>20210807889</v>
      </c>
      <c r="B1549" s="3" t="s">
        <v>828</v>
      </c>
      <c r="C1549" s="1"/>
      <c r="D1549" s="3"/>
    </row>
    <row r="1550" spans="1:4" ht="15.75" customHeight="1" x14ac:dyDescent="0.25">
      <c r="A1550" s="2">
        <v>30714596574</v>
      </c>
      <c r="B1550" s="3" t="s">
        <v>1393</v>
      </c>
      <c r="C1550" s="1"/>
      <c r="D1550" s="3"/>
    </row>
    <row r="1551" spans="1:4" ht="15.75" customHeight="1" x14ac:dyDescent="0.25">
      <c r="A1551" s="2">
        <v>20925629708</v>
      </c>
      <c r="B1551" s="3" t="s">
        <v>1394</v>
      </c>
      <c r="C1551" s="1"/>
      <c r="D1551" s="3"/>
    </row>
    <row r="1552" spans="1:4" ht="15.75" customHeight="1" x14ac:dyDescent="0.25">
      <c r="A1552" s="2">
        <v>30714642762</v>
      </c>
      <c r="B1552" s="3" t="s">
        <v>829</v>
      </c>
      <c r="C1552" s="1"/>
      <c r="D1552" s="3"/>
    </row>
    <row r="1553" spans="1:4" ht="15.75" customHeight="1" x14ac:dyDescent="0.25">
      <c r="A1553" s="2">
        <v>30608642869</v>
      </c>
      <c r="B1553" s="3" t="s">
        <v>830</v>
      </c>
      <c r="C1553" s="1"/>
      <c r="D1553" s="3"/>
    </row>
    <row r="1554" spans="1:4" ht="15.75" customHeight="1" x14ac:dyDescent="0.25">
      <c r="A1554" s="2">
        <v>20321198946</v>
      </c>
      <c r="B1554" s="3" t="s">
        <v>1395</v>
      </c>
      <c r="C1554" s="1"/>
      <c r="D1554" s="3"/>
    </row>
    <row r="1555" spans="1:4" ht="15.75" customHeight="1" x14ac:dyDescent="0.25">
      <c r="A1555" s="2">
        <v>20180600710</v>
      </c>
      <c r="B1555" s="3" t="s">
        <v>1396</v>
      </c>
      <c r="C1555" s="1"/>
      <c r="D1555" s="3"/>
    </row>
    <row r="1556" spans="1:4" ht="15.75" customHeight="1" x14ac:dyDescent="0.25">
      <c r="A1556" s="2">
        <v>30710884281</v>
      </c>
      <c r="B1556" s="3" t="s">
        <v>1397</v>
      </c>
      <c r="C1556" s="1"/>
      <c r="D1556" s="3"/>
    </row>
    <row r="1557" spans="1:4" ht="15.75" customHeight="1" x14ac:dyDescent="0.25">
      <c r="A1557" s="2">
        <v>30710575203</v>
      </c>
      <c r="B1557" s="3" t="s">
        <v>1398</v>
      </c>
      <c r="C1557" s="1"/>
      <c r="D1557" s="3"/>
    </row>
    <row r="1558" spans="1:4" ht="15.75" customHeight="1" x14ac:dyDescent="0.25">
      <c r="A1558" s="2">
        <v>30715582593</v>
      </c>
      <c r="B1558" s="3" t="s">
        <v>1399</v>
      </c>
      <c r="C1558" s="1"/>
      <c r="D1558" s="3"/>
    </row>
    <row r="1559" spans="1:4" ht="15.75" customHeight="1" x14ac:dyDescent="0.25">
      <c r="A1559" s="2">
        <v>30716620995</v>
      </c>
      <c r="B1559" s="3" t="s">
        <v>1400</v>
      </c>
      <c r="C1559" s="1"/>
      <c r="D1559" s="3"/>
    </row>
    <row r="1560" spans="1:4" ht="15.75" customHeight="1" x14ac:dyDescent="0.25">
      <c r="A1560" s="2">
        <v>30709497789</v>
      </c>
      <c r="B1560" s="3" t="s">
        <v>837</v>
      </c>
      <c r="C1560" s="1"/>
      <c r="D1560" s="3"/>
    </row>
    <row r="1561" spans="1:4" ht="15.75" customHeight="1" x14ac:dyDescent="0.25">
      <c r="A1561" s="2">
        <v>30714732540</v>
      </c>
      <c r="B1561" s="3" t="s">
        <v>841</v>
      </c>
      <c r="C1561" s="1"/>
      <c r="D1561" s="3"/>
    </row>
    <row r="1562" spans="1:4" ht="15.75" customHeight="1" x14ac:dyDescent="0.25">
      <c r="A1562" s="2">
        <v>20049749814</v>
      </c>
      <c r="B1562" s="3" t="s">
        <v>844</v>
      </c>
      <c r="C1562" s="1"/>
      <c r="D1562" s="3"/>
    </row>
    <row r="1563" spans="1:4" ht="15.75" customHeight="1" x14ac:dyDescent="0.25">
      <c r="A1563" s="2">
        <v>30708263849</v>
      </c>
      <c r="B1563" s="3" t="s">
        <v>846</v>
      </c>
      <c r="C1563" s="1"/>
      <c r="D1563" s="3"/>
    </row>
    <row r="1564" spans="1:4" ht="15.75" customHeight="1" x14ac:dyDescent="0.25">
      <c r="A1564" s="2">
        <v>30687162680</v>
      </c>
      <c r="B1564" s="3" t="s">
        <v>1401</v>
      </c>
      <c r="C1564" s="1"/>
      <c r="D1564" s="3"/>
    </row>
    <row r="1565" spans="1:4" ht="15.75" customHeight="1" x14ac:dyDescent="0.25">
      <c r="A1565" s="2">
        <v>20254732363</v>
      </c>
      <c r="B1565" s="3" t="s">
        <v>1402</v>
      </c>
      <c r="C1565" s="1"/>
      <c r="D1565" s="3"/>
    </row>
    <row r="1566" spans="1:4" ht="15.75" customHeight="1" x14ac:dyDescent="0.25">
      <c r="A1566" s="2">
        <v>30715048066</v>
      </c>
      <c r="B1566" s="3" t="s">
        <v>1040</v>
      </c>
      <c r="C1566" s="1"/>
      <c r="D1566" s="3"/>
    </row>
    <row r="1567" spans="1:4" ht="15.75" customHeight="1" x14ac:dyDescent="0.25">
      <c r="A1567" s="2">
        <v>20922392413</v>
      </c>
      <c r="B1567" s="3" t="s">
        <v>1404</v>
      </c>
      <c r="C1567" s="1"/>
      <c r="D1567" s="3"/>
    </row>
    <row r="1568" spans="1:4" ht="15.75" customHeight="1" x14ac:dyDescent="0.25">
      <c r="A1568" s="2">
        <v>20235931967</v>
      </c>
      <c r="B1568" s="3" t="s">
        <v>1405</v>
      </c>
      <c r="C1568" s="1"/>
      <c r="D1568" s="3"/>
    </row>
    <row r="1569" spans="1:4" ht="15.75" customHeight="1" x14ac:dyDescent="0.25">
      <c r="A1569" s="2">
        <v>30682500162</v>
      </c>
      <c r="B1569" s="3" t="s">
        <v>1406</v>
      </c>
      <c r="C1569" s="1"/>
      <c r="D1569" s="3"/>
    </row>
    <row r="1570" spans="1:4" ht="15.75" customHeight="1" x14ac:dyDescent="0.25">
      <c r="A1570" s="2">
        <v>30682500162</v>
      </c>
      <c r="B1570" s="3" t="s">
        <v>1407</v>
      </c>
      <c r="C1570" s="1"/>
      <c r="D1570" s="3"/>
    </row>
    <row r="1571" spans="1:4" ht="15.75" customHeight="1" x14ac:dyDescent="0.25">
      <c r="A1571" s="2">
        <v>27127067452</v>
      </c>
      <c r="B1571" s="3" t="s">
        <v>1408</v>
      </c>
      <c r="C1571" s="1"/>
      <c r="D1571" s="3"/>
    </row>
    <row r="1572" spans="1:4" ht="15.75" customHeight="1" x14ac:dyDescent="0.25">
      <c r="A1572" s="2">
        <v>20352381218</v>
      </c>
      <c r="B1572" s="3" t="s">
        <v>1409</v>
      </c>
      <c r="C1572" s="1"/>
      <c r="D1572" s="3"/>
    </row>
    <row r="1573" spans="1:4" ht="15.75" customHeight="1" x14ac:dyDescent="0.25">
      <c r="A1573" s="2">
        <v>30708962275</v>
      </c>
      <c r="B1573" s="3" t="s">
        <v>1410</v>
      </c>
      <c r="C1573" s="1"/>
      <c r="D1573" s="3"/>
    </row>
    <row r="1574" spans="1:4" ht="15.75" customHeight="1" x14ac:dyDescent="0.25">
      <c r="A1574" s="2">
        <v>4829719</v>
      </c>
      <c r="B1574" s="3" t="s">
        <v>859</v>
      </c>
      <c r="C1574" s="1"/>
      <c r="D1574" s="3"/>
    </row>
    <row r="1575" spans="1:4" ht="15.75" customHeight="1" x14ac:dyDescent="0.25">
      <c r="A1575" s="2">
        <v>27219515796</v>
      </c>
      <c r="B1575" s="3" t="s">
        <v>1411</v>
      </c>
      <c r="C1575" s="1"/>
      <c r="D1575" s="3"/>
    </row>
    <row r="1576" spans="1:4" ht="15.75" customHeight="1" x14ac:dyDescent="0.25">
      <c r="A1576" s="2">
        <v>23370096899</v>
      </c>
      <c r="B1576" s="3" t="s">
        <v>1412</v>
      </c>
      <c r="C1576" s="1"/>
      <c r="D1576" s="3"/>
    </row>
    <row r="1577" spans="1:4" ht="15.75" customHeight="1" x14ac:dyDescent="0.25">
      <c r="A1577" s="2">
        <v>20145341796</v>
      </c>
      <c r="B1577" s="3" t="s">
        <v>1413</v>
      </c>
      <c r="C1577" s="1"/>
      <c r="D1577" s="3"/>
    </row>
    <row r="1578" spans="1:4" ht="15.75" customHeight="1" x14ac:dyDescent="0.25">
      <c r="A1578" s="2">
        <v>30717000524</v>
      </c>
      <c r="B1578" s="3" t="s">
        <v>1414</v>
      </c>
      <c r="C1578" s="1"/>
      <c r="D1578" s="3"/>
    </row>
    <row r="1579" spans="1:4" ht="15.75" customHeight="1" x14ac:dyDescent="0.25">
      <c r="A1579" s="2">
        <v>30715407503</v>
      </c>
      <c r="B1579" s="3" t="s">
        <v>1415</v>
      </c>
      <c r="C1579" s="1"/>
      <c r="D1579" s="3"/>
    </row>
    <row r="1580" spans="1:4" ht="15.75" customHeight="1" x14ac:dyDescent="0.25">
      <c r="A1580" s="2">
        <v>30506730038</v>
      </c>
      <c r="B1580" s="3" t="s">
        <v>1416</v>
      </c>
      <c r="C1580" s="1"/>
      <c r="D1580" s="3"/>
    </row>
    <row r="1581" spans="1:4" ht="15.75" customHeight="1" x14ac:dyDescent="0.25">
      <c r="A1581" s="2">
        <v>30506730038</v>
      </c>
      <c r="B1581" s="3" t="s">
        <v>1416</v>
      </c>
      <c r="C1581" s="1"/>
      <c r="D1581" s="3"/>
    </row>
    <row r="1582" spans="1:4" ht="15.75" customHeight="1" x14ac:dyDescent="0.25">
      <c r="A1582" s="2">
        <v>30506730038</v>
      </c>
      <c r="B1582" s="3" t="s">
        <v>1416</v>
      </c>
      <c r="C1582" s="1"/>
      <c r="D1582" s="3"/>
    </row>
    <row r="1583" spans="1:4" ht="15.75" customHeight="1" x14ac:dyDescent="0.25">
      <c r="A1583" s="2">
        <v>30506730038</v>
      </c>
      <c r="B1583" s="3" t="s">
        <v>1416</v>
      </c>
      <c r="C1583" s="1"/>
      <c r="D1583" s="3"/>
    </row>
    <row r="1584" spans="1:4" ht="15.75" customHeight="1" x14ac:dyDescent="0.25">
      <c r="A1584" s="2">
        <v>33642144699</v>
      </c>
      <c r="B1584" s="3" t="s">
        <v>1417</v>
      </c>
      <c r="C1584" s="1"/>
      <c r="D1584" s="3"/>
    </row>
    <row r="1585" spans="1:4" ht="15.75" customHeight="1" x14ac:dyDescent="0.25">
      <c r="A1585" s="2">
        <v>30506730038</v>
      </c>
      <c r="B1585" s="3" t="s">
        <v>863</v>
      </c>
      <c r="C1585" s="1"/>
      <c r="D1585" s="3"/>
    </row>
    <row r="1586" spans="1:4" ht="15.75" customHeight="1" x14ac:dyDescent="0.25">
      <c r="A1586" s="2">
        <v>20076873284</v>
      </c>
      <c r="B1586" s="3" t="s">
        <v>1418</v>
      </c>
      <c r="C1586" s="1"/>
      <c r="D1586" s="3"/>
    </row>
    <row r="1587" spans="1:4" ht="15.75" customHeight="1" x14ac:dyDescent="0.25">
      <c r="A1587" s="2">
        <v>30604078543</v>
      </c>
      <c r="B1587" s="3" t="s">
        <v>1419</v>
      </c>
      <c r="C1587" s="1"/>
      <c r="D1587" s="3"/>
    </row>
    <row r="1588" spans="1:4" ht="15.75" customHeight="1" x14ac:dyDescent="0.25">
      <c r="A1588" s="2">
        <v>30610511801</v>
      </c>
      <c r="B1588" s="3" t="s">
        <v>865</v>
      </c>
      <c r="C1588" s="1"/>
      <c r="D1588" s="3"/>
    </row>
    <row r="1589" spans="1:4" ht="15.75" customHeight="1" x14ac:dyDescent="0.25">
      <c r="A1589" s="2">
        <v>20267161152</v>
      </c>
      <c r="B1589" s="3" t="s">
        <v>1420</v>
      </c>
      <c r="C1589" s="1"/>
      <c r="D1589" s="3"/>
    </row>
    <row r="1590" spans="1:4" ht="15.75" customHeight="1" x14ac:dyDescent="0.25">
      <c r="A1590" s="2">
        <v>33715832769</v>
      </c>
      <c r="B1590" s="3" t="s">
        <v>1422</v>
      </c>
      <c r="C1590" s="1"/>
      <c r="D1590" s="3"/>
    </row>
    <row r="1591" spans="1:4" ht="15.75" customHeight="1" x14ac:dyDescent="0.25">
      <c r="A1591" s="2">
        <v>6209031</v>
      </c>
      <c r="B1591" s="3" t="s">
        <v>867</v>
      </c>
      <c r="C1591" s="1"/>
      <c r="D1591" s="3"/>
    </row>
    <row r="1592" spans="1:4" ht="15.75" customHeight="1" x14ac:dyDescent="0.25">
      <c r="A1592" s="2">
        <v>30645585654</v>
      </c>
      <c r="B1592" s="3" t="s">
        <v>868</v>
      </c>
      <c r="C1592" s="1"/>
      <c r="D1592" s="3"/>
    </row>
    <row r="1593" spans="1:4" ht="15.75" customHeight="1" x14ac:dyDescent="0.25">
      <c r="A1593" s="2">
        <v>30712481516</v>
      </c>
      <c r="B1593" s="3" t="s">
        <v>1423</v>
      </c>
      <c r="C1593" s="1"/>
      <c r="D1593" s="3"/>
    </row>
    <row r="1594" spans="1:4" ht="15.75" customHeight="1" x14ac:dyDescent="0.25">
      <c r="A1594" s="2">
        <v>30710381867</v>
      </c>
      <c r="B1594" s="3" t="s">
        <v>1424</v>
      </c>
      <c r="C1594" s="1"/>
      <c r="D1594" s="3"/>
    </row>
    <row r="1595" spans="1:4" ht="15.75" customHeight="1" x14ac:dyDescent="0.25">
      <c r="A1595" s="2">
        <v>20202641424</v>
      </c>
      <c r="B1595" s="3" t="s">
        <v>1425</v>
      </c>
      <c r="C1595" s="1"/>
      <c r="D1595" s="3"/>
    </row>
    <row r="1596" spans="1:4" ht="15.75" customHeight="1" x14ac:dyDescent="0.25">
      <c r="A1596" s="2">
        <v>20202641424</v>
      </c>
      <c r="B1596" s="3" t="s">
        <v>1425</v>
      </c>
      <c r="C1596" s="1"/>
      <c r="D1596" s="3"/>
    </row>
    <row r="1597" spans="1:4" ht="15.75" customHeight="1" x14ac:dyDescent="0.25">
      <c r="A1597" s="2">
        <v>20202641424</v>
      </c>
      <c r="B1597" s="3" t="s">
        <v>1425</v>
      </c>
      <c r="C1597" s="1"/>
      <c r="D1597" s="3"/>
    </row>
    <row r="1598" spans="1:4" ht="15.75" customHeight="1" x14ac:dyDescent="0.25">
      <c r="A1598" s="2">
        <v>20202641424</v>
      </c>
      <c r="B1598" s="3" t="s">
        <v>1425</v>
      </c>
      <c r="C1598" s="1"/>
      <c r="D1598" s="3"/>
    </row>
    <row r="1599" spans="1:4" ht="15.75" customHeight="1" x14ac:dyDescent="0.25">
      <c r="A1599" s="2">
        <v>30657580496</v>
      </c>
      <c r="B1599" s="3" t="s">
        <v>1426</v>
      </c>
      <c r="C1599" s="1"/>
      <c r="D1599" s="3"/>
    </row>
    <row r="1600" spans="1:4" ht="15.75" customHeight="1" x14ac:dyDescent="0.25">
      <c r="A1600" s="2">
        <v>30517616687</v>
      </c>
      <c r="B1600" s="3" t="s">
        <v>1427</v>
      </c>
      <c r="C1600" s="1"/>
      <c r="D1600" s="3"/>
    </row>
    <row r="1601" spans="1:4" ht="15.75" customHeight="1" x14ac:dyDescent="0.25">
      <c r="A1601" s="2">
        <v>20236656994</v>
      </c>
      <c r="B1601" s="3" t="s">
        <v>1428</v>
      </c>
      <c r="C1601" s="1"/>
      <c r="D1601" s="3"/>
    </row>
    <row r="1602" spans="1:4" ht="15.75" customHeight="1" x14ac:dyDescent="0.25">
      <c r="A1602" s="2">
        <v>94018871</v>
      </c>
      <c r="B1602" s="3" t="s">
        <v>871</v>
      </c>
      <c r="C1602" s="1"/>
      <c r="D1602" s="3"/>
    </row>
    <row r="1603" spans="1:4" ht="15.75" customHeight="1" x14ac:dyDescent="0.25">
      <c r="A1603" s="2">
        <v>20941512438</v>
      </c>
      <c r="B1603" s="3" t="s">
        <v>1429</v>
      </c>
      <c r="C1603" s="1"/>
      <c r="D1603" s="3"/>
    </row>
    <row r="1604" spans="1:4" ht="15.75" customHeight="1" x14ac:dyDescent="0.25">
      <c r="A1604" s="2">
        <v>20941512438</v>
      </c>
      <c r="B1604" s="3" t="s">
        <v>1429</v>
      </c>
      <c r="C1604" s="1"/>
      <c r="D1604" s="3"/>
    </row>
    <row r="1605" spans="1:4" ht="15.75" customHeight="1" x14ac:dyDescent="0.25">
      <c r="A1605" s="2">
        <v>30710846908</v>
      </c>
      <c r="B1605" s="3" t="s">
        <v>1430</v>
      </c>
      <c r="C1605" s="1"/>
      <c r="D1605" s="3"/>
    </row>
    <row r="1606" spans="1:4" ht="15.75" customHeight="1" x14ac:dyDescent="0.25">
      <c r="A1606" s="2">
        <v>33711072999</v>
      </c>
      <c r="B1606" s="3" t="s">
        <v>1432</v>
      </c>
      <c r="C1606" s="1"/>
      <c r="D1606" s="3"/>
    </row>
    <row r="1607" spans="1:4" ht="15.75" customHeight="1" x14ac:dyDescent="0.25">
      <c r="A1607" s="2">
        <v>33711072999</v>
      </c>
      <c r="B1607" s="3" t="s">
        <v>1432</v>
      </c>
      <c r="C1607" s="1"/>
      <c r="D1607" s="3"/>
    </row>
    <row r="1608" spans="1:4" ht="15.75" customHeight="1" x14ac:dyDescent="0.25">
      <c r="A1608" s="2">
        <v>20163076676</v>
      </c>
      <c r="B1608" s="3" t="s">
        <v>1433</v>
      </c>
      <c r="C1608" s="1"/>
      <c r="D1608" s="3"/>
    </row>
    <row r="1609" spans="1:4" ht="15.75" customHeight="1" x14ac:dyDescent="0.25">
      <c r="A1609" s="2">
        <v>20176582112</v>
      </c>
      <c r="B1609" s="3" t="s">
        <v>1434</v>
      </c>
      <c r="C1609" s="1"/>
      <c r="D1609" s="3"/>
    </row>
    <row r="1610" spans="1:4" ht="15.75" customHeight="1" x14ac:dyDescent="0.25">
      <c r="A1610" s="2">
        <v>30710536771</v>
      </c>
      <c r="B1610" s="3" t="s">
        <v>1435</v>
      </c>
      <c r="C1610" s="1"/>
      <c r="D1610" s="3"/>
    </row>
    <row r="1611" spans="1:4" ht="15.75" customHeight="1" x14ac:dyDescent="0.25">
      <c r="A1611" s="2">
        <v>27245614905</v>
      </c>
      <c r="B1611" s="3" t="s">
        <v>1436</v>
      </c>
      <c r="C1611" s="1"/>
      <c r="D1611" s="3"/>
    </row>
    <row r="1612" spans="1:4" ht="15.75" customHeight="1" x14ac:dyDescent="0.25">
      <c r="A1612" s="2">
        <v>30707115366</v>
      </c>
      <c r="B1612" s="3" t="s">
        <v>1437</v>
      </c>
      <c r="C1612" s="1"/>
      <c r="D1612" s="3"/>
    </row>
    <row r="1613" spans="1:4" ht="15.75" customHeight="1" x14ac:dyDescent="0.25">
      <c r="A1613" s="2">
        <v>27240421513</v>
      </c>
      <c r="B1613" s="3" t="s">
        <v>874</v>
      </c>
      <c r="C1613" s="1"/>
      <c r="D1613" s="3"/>
    </row>
    <row r="1614" spans="1:4" ht="15.75" customHeight="1" x14ac:dyDescent="0.25">
      <c r="A1614" s="2">
        <v>20203503181</v>
      </c>
      <c r="B1614" s="3" t="s">
        <v>1438</v>
      </c>
      <c r="C1614" s="1"/>
      <c r="D1614" s="3"/>
    </row>
    <row r="1615" spans="1:4" ht="15.75" customHeight="1" x14ac:dyDescent="0.25">
      <c r="A1615" s="2">
        <v>30716523086</v>
      </c>
      <c r="B1615" s="3" t="s">
        <v>1440</v>
      </c>
      <c r="C1615" s="1"/>
      <c r="D1615" s="3"/>
    </row>
    <row r="1616" spans="1:4" ht="15.75" customHeight="1" x14ac:dyDescent="0.25">
      <c r="A1616" s="2">
        <v>27226753805</v>
      </c>
      <c r="B1616" s="3" t="s">
        <v>1441</v>
      </c>
      <c r="C1616" s="1"/>
      <c r="D1616" s="3"/>
    </row>
    <row r="1617" spans="1:4" ht="15.75" customHeight="1" x14ac:dyDescent="0.25">
      <c r="A1617" s="2">
        <v>30517424303</v>
      </c>
      <c r="B1617" s="3" t="s">
        <v>1442</v>
      </c>
      <c r="C1617" s="1"/>
      <c r="D1617" s="3"/>
    </row>
    <row r="1618" spans="1:4" ht="15.75" customHeight="1" x14ac:dyDescent="0.25">
      <c r="A1618" s="2">
        <v>27129458688</v>
      </c>
      <c r="B1618" s="3" t="s">
        <v>1443</v>
      </c>
      <c r="C1618" s="1"/>
      <c r="D1618" s="3"/>
    </row>
    <row r="1619" spans="1:4" ht="15.75" customHeight="1" x14ac:dyDescent="0.25">
      <c r="A1619" s="2">
        <v>27129458688</v>
      </c>
      <c r="B1619" s="3" t="s">
        <v>1443</v>
      </c>
      <c r="C1619" s="1"/>
      <c r="D1619" s="3"/>
    </row>
    <row r="1620" spans="1:4" ht="15.75" customHeight="1" x14ac:dyDescent="0.25">
      <c r="A1620" s="2">
        <v>20295692716</v>
      </c>
      <c r="B1620" s="3" t="s">
        <v>1444</v>
      </c>
      <c r="C1620" s="1"/>
      <c r="D1620" s="3"/>
    </row>
    <row r="1621" spans="1:4" ht="15.75" customHeight="1" x14ac:dyDescent="0.25">
      <c r="A1621" s="2">
        <v>20309493347</v>
      </c>
      <c r="B1621" s="3" t="s">
        <v>1445</v>
      </c>
      <c r="C1621" s="1"/>
      <c r="D1621" s="3"/>
    </row>
    <row r="1622" spans="1:4" ht="15.75" customHeight="1" x14ac:dyDescent="0.25">
      <c r="A1622" s="2">
        <v>20085332733</v>
      </c>
      <c r="B1622" s="3" t="s">
        <v>1446</v>
      </c>
      <c r="C1622" s="1"/>
      <c r="D1622" s="3"/>
    </row>
    <row r="1623" spans="1:4" ht="15.75" customHeight="1" x14ac:dyDescent="0.25">
      <c r="A1623" s="2">
        <v>30708428082</v>
      </c>
      <c r="B1623" s="3" t="s">
        <v>876</v>
      </c>
      <c r="C1623" s="1"/>
      <c r="D1623" s="3"/>
    </row>
    <row r="1624" spans="1:4" ht="15.75" customHeight="1" x14ac:dyDescent="0.25">
      <c r="A1624" s="2">
        <v>27168227790</v>
      </c>
      <c r="B1624" s="3" t="s">
        <v>1447</v>
      </c>
      <c r="C1624" s="1"/>
      <c r="D1624" s="3"/>
    </row>
    <row r="1625" spans="1:4" ht="15.75" customHeight="1" x14ac:dyDescent="0.25">
      <c r="A1625" s="2">
        <v>30648820704</v>
      </c>
      <c r="B1625" s="3" t="s">
        <v>1448</v>
      </c>
      <c r="C1625" s="1"/>
      <c r="D1625" s="3"/>
    </row>
    <row r="1626" spans="1:4" ht="15.75" customHeight="1" x14ac:dyDescent="0.25">
      <c r="A1626" s="2">
        <v>30649820704</v>
      </c>
      <c r="B1626" s="3" t="s">
        <v>1449</v>
      </c>
      <c r="C1626" s="1"/>
      <c r="D1626" s="3"/>
    </row>
    <row r="1627" spans="1:4" ht="15.75" customHeight="1" x14ac:dyDescent="0.25">
      <c r="A1627" s="2">
        <v>30679699535</v>
      </c>
      <c r="B1627" s="3" t="s">
        <v>1450</v>
      </c>
      <c r="C1627" s="1"/>
      <c r="D1627" s="3"/>
    </row>
    <row r="1628" spans="1:4" ht="15.75" customHeight="1" x14ac:dyDescent="0.25">
      <c r="A1628" s="2">
        <v>30715852590</v>
      </c>
      <c r="B1628" s="3" t="s">
        <v>1451</v>
      </c>
      <c r="C1628" s="1"/>
      <c r="D1628" s="3"/>
    </row>
    <row r="1629" spans="1:4" ht="15.75" customHeight="1" x14ac:dyDescent="0.25">
      <c r="A1629" s="2">
        <v>30711105014</v>
      </c>
      <c r="B1629" s="3" t="s">
        <v>878</v>
      </c>
      <c r="C1629" s="1"/>
      <c r="D1629" s="3"/>
    </row>
    <row r="1630" spans="1:4" ht="15.75" customHeight="1" x14ac:dyDescent="0.25">
      <c r="A1630" s="2">
        <v>30683684143</v>
      </c>
      <c r="B1630" s="3" t="s">
        <v>880</v>
      </c>
      <c r="C1630" s="1"/>
      <c r="D1630" s="3"/>
    </row>
    <row r="1631" spans="1:4" ht="15.75" customHeight="1" x14ac:dyDescent="0.25">
      <c r="A1631" s="2">
        <v>20242296355</v>
      </c>
      <c r="B1631" s="3" t="s">
        <v>1452</v>
      </c>
      <c r="C1631" s="1"/>
      <c r="D1631" s="3"/>
    </row>
    <row r="1632" spans="1:4" ht="15.75" customHeight="1" x14ac:dyDescent="0.25">
      <c r="A1632" s="2">
        <v>30645330184</v>
      </c>
      <c r="B1632" s="3" t="s">
        <v>881</v>
      </c>
      <c r="C1632" s="1"/>
      <c r="D1632" s="3"/>
    </row>
    <row r="1633" spans="1:4" ht="15.75" customHeight="1" x14ac:dyDescent="0.25">
      <c r="A1633" s="2">
        <v>30610025915</v>
      </c>
      <c r="B1633" s="3" t="s">
        <v>882</v>
      </c>
      <c r="C1633" s="1"/>
      <c r="D1633" s="3"/>
    </row>
    <row r="1634" spans="1:4" ht="15.75" customHeight="1" x14ac:dyDescent="0.25">
      <c r="A1634" s="2">
        <v>30616500593</v>
      </c>
      <c r="B1634" s="3" t="s">
        <v>884</v>
      </c>
      <c r="C1634" s="1"/>
      <c r="D1634" s="3"/>
    </row>
    <row r="1635" spans="1:4" ht="15.75" customHeight="1" x14ac:dyDescent="0.25">
      <c r="A1635" s="2">
        <v>30647727545</v>
      </c>
      <c r="B1635" s="3" t="s">
        <v>1453</v>
      </c>
      <c r="C1635" s="1"/>
      <c r="D1635" s="3"/>
    </row>
    <row r="1636" spans="1:4" ht="15.75" customHeight="1" x14ac:dyDescent="0.25">
      <c r="A1636" s="2">
        <v>30647727545</v>
      </c>
      <c r="B1636" s="3" t="s">
        <v>1454</v>
      </c>
      <c r="C1636" s="1"/>
      <c r="D1636" s="3"/>
    </row>
    <row r="1637" spans="1:4" ht="15.75" customHeight="1" x14ac:dyDescent="0.25">
      <c r="A1637" s="2">
        <v>33712299539</v>
      </c>
      <c r="B1637" s="3" t="s">
        <v>1455</v>
      </c>
      <c r="C1637" s="1"/>
      <c r="D1637" s="3"/>
    </row>
    <row r="1638" spans="1:4" ht="15.75" customHeight="1" x14ac:dyDescent="0.25">
      <c r="A1638" s="2">
        <v>30716388553</v>
      </c>
      <c r="B1638" s="3" t="s">
        <v>1456</v>
      </c>
      <c r="C1638" s="1"/>
      <c r="D1638" s="3"/>
    </row>
    <row r="1639" spans="1:4" ht="15.75" customHeight="1" x14ac:dyDescent="0.25">
      <c r="A1639" s="2">
        <v>20165913281</v>
      </c>
      <c r="B1639" s="3" t="s">
        <v>1457</v>
      </c>
      <c r="C1639" s="1"/>
      <c r="D1639" s="3"/>
    </row>
    <row r="1640" spans="1:4" ht="15.75" customHeight="1" x14ac:dyDescent="0.25">
      <c r="A1640" s="2">
        <v>20165913281</v>
      </c>
      <c r="B1640" s="3" t="s">
        <v>1457</v>
      </c>
      <c r="C1640" s="1"/>
      <c r="D1640" s="3"/>
    </row>
    <row r="1641" spans="1:4" ht="15.75" customHeight="1" x14ac:dyDescent="0.25">
      <c r="A1641" s="2">
        <v>27176483291</v>
      </c>
      <c r="B1641" s="3" t="s">
        <v>1458</v>
      </c>
      <c r="C1641" s="1"/>
      <c r="D1641" s="3"/>
    </row>
    <row r="1642" spans="1:4" ht="15.75" customHeight="1" x14ac:dyDescent="0.25">
      <c r="A1642" s="2">
        <v>31335549</v>
      </c>
      <c r="B1642" s="3" t="s">
        <v>887</v>
      </c>
      <c r="C1642" s="1"/>
      <c r="D1642" s="3"/>
    </row>
    <row r="1643" spans="1:4" ht="15.75" customHeight="1" x14ac:dyDescent="0.25">
      <c r="A1643" s="2">
        <v>30700876590</v>
      </c>
      <c r="B1643" s="3" t="s">
        <v>1459</v>
      </c>
      <c r="C1643" s="1"/>
      <c r="D1643" s="3"/>
    </row>
    <row r="1644" spans="1:4" ht="15.75" customHeight="1" x14ac:dyDescent="0.25">
      <c r="A1644" s="2">
        <v>30715006177</v>
      </c>
      <c r="B1644" s="3" t="s">
        <v>1460</v>
      </c>
      <c r="C1644" s="1"/>
      <c r="D1644" s="3"/>
    </row>
    <row r="1645" spans="1:4" ht="15.75" customHeight="1" x14ac:dyDescent="0.25">
      <c r="A1645" s="2">
        <v>20184103924</v>
      </c>
      <c r="B1645" s="3" t="s">
        <v>888</v>
      </c>
      <c r="C1645" s="1"/>
      <c r="D1645" s="3"/>
    </row>
    <row r="1646" spans="1:4" ht="15.75" customHeight="1" x14ac:dyDescent="0.25">
      <c r="A1646" s="2">
        <v>30663434191</v>
      </c>
      <c r="B1646" s="3" t="s">
        <v>890</v>
      </c>
      <c r="C1646" s="1"/>
      <c r="D1646" s="3"/>
    </row>
    <row r="1647" spans="1:4" ht="15.75" customHeight="1" x14ac:dyDescent="0.25">
      <c r="A1647" s="2">
        <v>23309270819</v>
      </c>
      <c r="B1647" s="3" t="s">
        <v>1461</v>
      </c>
      <c r="C1647" s="1"/>
      <c r="D1647" s="3"/>
    </row>
    <row r="1648" spans="1:4" ht="15.75" customHeight="1" x14ac:dyDescent="0.25">
      <c r="A1648" s="2">
        <v>30707833765</v>
      </c>
      <c r="B1648" s="3" t="s">
        <v>892</v>
      </c>
      <c r="C1648" s="1"/>
      <c r="D1648" s="3"/>
    </row>
    <row r="1649" spans="1:4" ht="15.75" customHeight="1" x14ac:dyDescent="0.25">
      <c r="A1649" s="2">
        <v>30500625194</v>
      </c>
      <c r="B1649" s="3" t="s">
        <v>1462</v>
      </c>
      <c r="C1649" s="1"/>
      <c r="D1649" s="3"/>
    </row>
    <row r="1650" spans="1:4" ht="15.75" customHeight="1" x14ac:dyDescent="0.25">
      <c r="A1650" s="2">
        <v>20162028732</v>
      </c>
      <c r="B1650" s="3" t="s">
        <v>1463</v>
      </c>
      <c r="C1650" s="1"/>
      <c r="D1650" s="3"/>
    </row>
    <row r="1651" spans="1:4" ht="15.75" customHeight="1" x14ac:dyDescent="0.25">
      <c r="A1651" s="2">
        <v>30715079549</v>
      </c>
      <c r="B1651" s="3" t="s">
        <v>1464</v>
      </c>
      <c r="C1651" s="1"/>
      <c r="D1651" s="3"/>
    </row>
    <row r="1652" spans="1:4" ht="15.75" customHeight="1" x14ac:dyDescent="0.25">
      <c r="A1652" s="2">
        <v>30528650003</v>
      </c>
      <c r="B1652" s="3" t="s">
        <v>893</v>
      </c>
      <c r="C1652" s="1"/>
      <c r="D1652" s="3"/>
    </row>
    <row r="1653" spans="1:4" ht="15.75" customHeight="1" x14ac:dyDescent="0.25">
      <c r="A1653" s="2">
        <v>23344755523</v>
      </c>
      <c r="B1653" s="3" t="s">
        <v>1465</v>
      </c>
      <c r="C1653" s="1"/>
      <c r="D1653" s="3"/>
    </row>
    <row r="1654" spans="1:4" ht="15.75" customHeight="1" x14ac:dyDescent="0.25">
      <c r="A1654" s="2">
        <v>23344755523</v>
      </c>
      <c r="B1654" s="3" t="s">
        <v>1465</v>
      </c>
      <c r="C1654" s="1"/>
      <c r="D1654" s="3"/>
    </row>
    <row r="1655" spans="1:4" ht="15.75" customHeight="1" x14ac:dyDescent="0.25">
      <c r="A1655" s="2">
        <v>23344755523</v>
      </c>
      <c r="B1655" s="3" t="s">
        <v>1465</v>
      </c>
      <c r="C1655" s="1"/>
      <c r="D1655" s="3"/>
    </row>
    <row r="1656" spans="1:4" ht="15.75" customHeight="1" x14ac:dyDescent="0.25">
      <c r="A1656" s="2">
        <v>23344755523</v>
      </c>
      <c r="B1656" s="3" t="s">
        <v>1465</v>
      </c>
      <c r="C1656" s="1"/>
      <c r="D1656" s="3"/>
    </row>
    <row r="1657" spans="1:4" ht="15.75" customHeight="1" x14ac:dyDescent="0.25">
      <c r="A1657" s="2">
        <v>20210020412</v>
      </c>
      <c r="B1657" s="3" t="s">
        <v>1466</v>
      </c>
      <c r="C1657" s="1"/>
      <c r="D1657" s="3"/>
    </row>
    <row r="1658" spans="1:4" ht="15.75" customHeight="1" x14ac:dyDescent="0.25">
      <c r="A1658" s="2">
        <v>30584633383</v>
      </c>
      <c r="B1658" s="3" t="s">
        <v>1467</v>
      </c>
      <c r="C1658" s="1"/>
      <c r="D1658" s="3"/>
    </row>
    <row r="1659" spans="1:4" ht="15.75" customHeight="1" x14ac:dyDescent="0.25">
      <c r="A1659" s="2">
        <v>30709182389</v>
      </c>
      <c r="B1659" s="3" t="s">
        <v>1468</v>
      </c>
      <c r="C1659" s="1"/>
      <c r="D1659" s="3"/>
    </row>
    <row r="1660" spans="1:4" ht="15.75" customHeight="1" x14ac:dyDescent="0.25">
      <c r="A1660" s="2">
        <v>30665725829</v>
      </c>
      <c r="B1660" s="3" t="s">
        <v>895</v>
      </c>
      <c r="C1660" s="1"/>
      <c r="D1660" s="3"/>
    </row>
    <row r="1661" spans="1:4" ht="15.75" customHeight="1" x14ac:dyDescent="0.25">
      <c r="A1661" s="2">
        <v>30715487876</v>
      </c>
      <c r="B1661" s="3" t="s">
        <v>896</v>
      </c>
      <c r="C1661" s="1"/>
      <c r="D1661" s="3"/>
    </row>
    <row r="1662" spans="1:4" ht="15.75" customHeight="1" x14ac:dyDescent="0.25">
      <c r="A1662" s="2">
        <v>23110449429</v>
      </c>
      <c r="B1662" s="3" t="s">
        <v>1469</v>
      </c>
      <c r="C1662" s="1"/>
      <c r="D1662" s="3"/>
    </row>
    <row r="1663" spans="1:4" ht="15.75" customHeight="1" x14ac:dyDescent="0.25">
      <c r="A1663" s="2">
        <v>20171417148</v>
      </c>
      <c r="B1663" s="3" t="s">
        <v>1470</v>
      </c>
      <c r="C1663" s="1"/>
      <c r="D1663" s="3"/>
    </row>
    <row r="1664" spans="1:4" ht="15.75" customHeight="1" x14ac:dyDescent="0.25">
      <c r="A1664" s="2">
        <v>30715925164</v>
      </c>
      <c r="B1664" s="3" t="s">
        <v>1471</v>
      </c>
      <c r="C1664" s="1"/>
      <c r="D1664" s="3"/>
    </row>
    <row r="1665" spans="1:4" ht="15.75" customHeight="1" x14ac:dyDescent="0.25">
      <c r="A1665" s="2">
        <v>30572076764</v>
      </c>
      <c r="B1665" s="3" t="s">
        <v>1472</v>
      </c>
      <c r="C1665" s="1"/>
      <c r="D1665" s="3"/>
    </row>
    <row r="1666" spans="1:4" ht="15.75" customHeight="1" x14ac:dyDescent="0.25">
      <c r="A1666" s="2">
        <v>30654118767</v>
      </c>
      <c r="B1666" s="3" t="s">
        <v>897</v>
      </c>
      <c r="C1666" s="1"/>
      <c r="D1666" s="3"/>
    </row>
    <row r="1667" spans="1:4" ht="15.75" customHeight="1" x14ac:dyDescent="0.25">
      <c r="A1667" s="2">
        <v>30709040908</v>
      </c>
      <c r="B1667" s="3" t="s">
        <v>899</v>
      </c>
      <c r="C1667" s="1"/>
      <c r="D1667" s="3"/>
    </row>
    <row r="1668" spans="1:4" ht="15.75" customHeight="1" x14ac:dyDescent="0.25">
      <c r="A1668" s="2">
        <v>33714720789</v>
      </c>
      <c r="B1668" s="3" t="s">
        <v>1473</v>
      </c>
      <c r="C1668" s="1"/>
      <c r="D1668" s="3"/>
    </row>
    <row r="1669" spans="1:4" ht="15.75" customHeight="1" x14ac:dyDescent="0.25">
      <c r="A1669" s="2">
        <v>13740696</v>
      </c>
      <c r="B1669" s="3" t="s">
        <v>903</v>
      </c>
      <c r="C1669" s="1"/>
      <c r="D1669" s="3"/>
    </row>
    <row r="1670" spans="1:4" ht="15.75" customHeight="1" x14ac:dyDescent="0.25">
      <c r="A1670" s="2">
        <v>30577797281</v>
      </c>
      <c r="B1670" s="3" t="s">
        <v>906</v>
      </c>
      <c r="C1670" s="1"/>
      <c r="D1670" s="3"/>
    </row>
    <row r="1671" spans="1:4" ht="15.75" customHeight="1" x14ac:dyDescent="0.25">
      <c r="A1671" s="2">
        <v>20249295869</v>
      </c>
      <c r="B1671" s="3" t="s">
        <v>907</v>
      </c>
      <c r="C1671" s="1"/>
      <c r="D1671" s="3"/>
    </row>
    <row r="1672" spans="1:4" ht="15.75" customHeight="1" x14ac:dyDescent="0.25">
      <c r="A1672" s="2">
        <v>20238775389</v>
      </c>
      <c r="B1672" s="3" t="s">
        <v>1475</v>
      </c>
      <c r="C1672" s="1"/>
      <c r="D1672" s="3"/>
    </row>
    <row r="1673" spans="1:4" ht="15.75" customHeight="1" x14ac:dyDescent="0.25">
      <c r="A1673" s="2">
        <v>30500221956</v>
      </c>
      <c r="B1673" s="3" t="s">
        <v>908</v>
      </c>
      <c r="C1673" s="1"/>
      <c r="D1673" s="3"/>
    </row>
    <row r="1674" spans="1:4" ht="15.75" customHeight="1" x14ac:dyDescent="0.25">
      <c r="A1674" s="2"/>
      <c r="B1674" s="3"/>
      <c r="C1674" s="1"/>
      <c r="D1674" s="3"/>
    </row>
    <row r="1675" spans="1:4" ht="15.75" customHeight="1" x14ac:dyDescent="0.25">
      <c r="A1675" s="2">
        <v>30580111315</v>
      </c>
      <c r="B1675" s="3" t="s">
        <v>271</v>
      </c>
      <c r="C1675" s="1"/>
      <c r="D1675" s="3"/>
    </row>
    <row r="1676" spans="1:4" ht="15.75" customHeight="1" x14ac:dyDescent="0.25">
      <c r="A1676" s="2">
        <v>30715048066</v>
      </c>
      <c r="B1676" s="3" t="s">
        <v>1040</v>
      </c>
      <c r="C1676" s="1"/>
      <c r="D1676" s="3"/>
    </row>
    <row r="1677" spans="1:4" ht="15.75" customHeight="1" x14ac:dyDescent="0.25">
      <c r="A1677" s="2"/>
      <c r="B1677" s="3"/>
      <c r="C1677" s="1"/>
      <c r="D1677" s="3"/>
    </row>
    <row r="1678" spans="1:4" ht="15.75" customHeight="1" x14ac:dyDescent="0.25">
      <c r="A1678" s="2"/>
      <c r="B1678" s="3"/>
      <c r="C1678" s="1"/>
      <c r="D1678" s="3"/>
    </row>
    <row r="1679" spans="1:4" ht="15.75" customHeight="1" x14ac:dyDescent="0.25">
      <c r="A1679" s="2">
        <v>20168925582</v>
      </c>
      <c r="B1679" s="3" t="s">
        <v>741</v>
      </c>
      <c r="C1679" s="1"/>
      <c r="D1679" s="3"/>
    </row>
    <row r="1680" spans="1:4" ht="15.75" customHeight="1" x14ac:dyDescent="0.25">
      <c r="A1680" s="2">
        <v>30580111315</v>
      </c>
      <c r="B1680" s="3" t="s">
        <v>271</v>
      </c>
      <c r="C1680" s="1"/>
      <c r="D1680" s="3"/>
    </row>
    <row r="1681" spans="1:4" ht="15.75" customHeight="1" x14ac:dyDescent="0.25">
      <c r="A1681" s="2">
        <v>30559932236</v>
      </c>
      <c r="B1681" s="3" t="s">
        <v>322</v>
      </c>
      <c r="C1681" s="1"/>
      <c r="D1681" s="3"/>
    </row>
    <row r="1682" spans="1:4" ht="15.75" customHeight="1" x14ac:dyDescent="0.25">
      <c r="A1682" s="2">
        <v>30631047145</v>
      </c>
      <c r="B1682" s="3" t="s">
        <v>877</v>
      </c>
      <c r="C1682" s="1"/>
      <c r="D1682" s="3"/>
    </row>
    <row r="1683" spans="1:4" ht="15.75" customHeight="1" x14ac:dyDescent="0.25">
      <c r="A1683" s="2"/>
      <c r="B1683" s="3"/>
      <c r="C1683" s="1"/>
      <c r="D1683" s="3"/>
    </row>
    <row r="1684" spans="1:4" ht="15.75" customHeight="1" x14ac:dyDescent="0.25">
      <c r="A1684" s="2"/>
      <c r="B1684" s="3"/>
      <c r="C1684" s="1"/>
      <c r="D1684" s="3"/>
    </row>
    <row r="1685" spans="1:4" ht="15.75" customHeight="1" x14ac:dyDescent="0.25">
      <c r="A1685" s="2"/>
      <c r="B1685" s="3"/>
      <c r="C1685" s="1"/>
      <c r="D1685" s="3"/>
    </row>
    <row r="1686" spans="1:4" ht="15.75" customHeight="1" x14ac:dyDescent="0.25">
      <c r="A1686" s="2"/>
      <c r="B1686" s="3"/>
      <c r="C1686" s="1"/>
      <c r="D1686" s="3"/>
    </row>
    <row r="1687" spans="1:4" ht="15.75" customHeight="1" x14ac:dyDescent="0.25">
      <c r="A1687" s="2"/>
      <c r="B1687" s="3"/>
      <c r="C1687" s="1"/>
      <c r="D1687" s="3"/>
    </row>
    <row r="1688" spans="1:4" ht="15.75" customHeight="1" x14ac:dyDescent="0.25">
      <c r="A1688" s="2">
        <v>30690966790</v>
      </c>
      <c r="B1688" s="3" t="s">
        <v>1034</v>
      </c>
      <c r="C1688" s="1"/>
      <c r="D1688" s="3"/>
    </row>
    <row r="1689" spans="1:4" ht="15.75" customHeight="1" x14ac:dyDescent="0.25">
      <c r="A1689" s="2"/>
      <c r="B1689" s="3"/>
      <c r="C1689" s="1"/>
      <c r="D1689" s="3"/>
    </row>
    <row r="1690" spans="1:4" ht="15.75" customHeight="1" x14ac:dyDescent="0.25">
      <c r="A1690" s="2"/>
      <c r="B1690" s="3"/>
      <c r="C1690" s="1"/>
      <c r="D1690" s="3"/>
    </row>
    <row r="1691" spans="1:4" ht="15.75" customHeight="1" x14ac:dyDescent="0.25">
      <c r="A1691" s="2"/>
      <c r="B1691" s="3"/>
      <c r="C1691" s="1"/>
      <c r="D1691" s="3"/>
    </row>
    <row r="1692" spans="1:4" ht="15.75" customHeight="1" x14ac:dyDescent="0.25">
      <c r="A1692" s="2">
        <v>30580111315</v>
      </c>
      <c r="B1692" s="3" t="s">
        <v>271</v>
      </c>
      <c r="C1692" s="1"/>
      <c r="D1692" s="3"/>
    </row>
    <row r="1693" spans="1:4" ht="15.75" customHeight="1" x14ac:dyDescent="0.25">
      <c r="A1693" s="2"/>
      <c r="B1693" s="3"/>
      <c r="C1693" s="1"/>
      <c r="D1693" s="3"/>
    </row>
    <row r="1694" spans="1:4" ht="15.75" customHeight="1" x14ac:dyDescent="0.25">
      <c r="A1694" s="2">
        <v>33708543409</v>
      </c>
      <c r="B1694" s="3" t="s">
        <v>1173</v>
      </c>
      <c r="C1694" s="1"/>
      <c r="D1694" s="3"/>
    </row>
    <row r="1695" spans="1:4" ht="15.75" customHeight="1" x14ac:dyDescent="0.25">
      <c r="A1695" s="2"/>
      <c r="B1695" s="3"/>
      <c r="C1695" s="1"/>
      <c r="D1695" s="3"/>
    </row>
    <row r="1696" spans="1:4" ht="15.75" customHeight="1" x14ac:dyDescent="0.25">
      <c r="A1696" s="2"/>
      <c r="B1696" s="3"/>
      <c r="C1696" s="1"/>
      <c r="D1696" s="3"/>
    </row>
    <row r="1697" spans="1:4" ht="15.75" customHeight="1" x14ac:dyDescent="0.25">
      <c r="A1697" s="2"/>
      <c r="B1697" s="3"/>
      <c r="C1697" s="1"/>
      <c r="D1697" s="3"/>
    </row>
    <row r="1698" spans="1:4" ht="15.75" customHeight="1" x14ac:dyDescent="0.25">
      <c r="A1698" s="2">
        <v>30715402765</v>
      </c>
      <c r="B1698" s="3" t="s">
        <v>832</v>
      </c>
      <c r="C1698" s="1"/>
      <c r="D1698" s="3"/>
    </row>
    <row r="1699" spans="1:4" ht="15.75" customHeight="1" x14ac:dyDescent="0.25">
      <c r="A1699" s="2"/>
      <c r="B1699" s="3"/>
      <c r="C1699" s="1"/>
      <c r="D1699" s="3"/>
    </row>
    <row r="1700" spans="1:4" ht="15.75" customHeight="1" x14ac:dyDescent="0.25">
      <c r="A1700" s="2"/>
      <c r="B1700" s="3"/>
      <c r="C1700" s="1"/>
      <c r="D1700" s="3"/>
    </row>
    <row r="1701" spans="1:4" ht="15.75" customHeight="1" x14ac:dyDescent="0.25">
      <c r="A1701" s="2"/>
      <c r="B1701" s="3"/>
      <c r="C1701" s="1"/>
      <c r="D1701" s="3"/>
    </row>
    <row r="1702" spans="1:4" ht="15.75" customHeight="1" x14ac:dyDescent="0.25">
      <c r="A1702" s="2"/>
      <c r="B1702" s="3"/>
      <c r="C1702" s="1"/>
      <c r="D1702" s="3"/>
    </row>
    <row r="1703" spans="1:4" ht="15.75" customHeight="1" x14ac:dyDescent="0.25">
      <c r="A1703" s="2"/>
      <c r="B1703" s="3"/>
      <c r="C1703" s="1"/>
      <c r="D1703" s="3"/>
    </row>
    <row r="1704" spans="1:4" ht="15.75" customHeight="1" x14ac:dyDescent="0.25">
      <c r="A1704" s="2"/>
      <c r="B1704" s="3"/>
      <c r="C1704" s="1"/>
      <c r="D1704" s="3"/>
    </row>
    <row r="1705" spans="1:4" ht="15.75" customHeight="1" x14ac:dyDescent="0.25">
      <c r="A1705" s="2"/>
      <c r="B1705" s="3"/>
      <c r="C1705" s="1"/>
      <c r="D1705" s="3"/>
    </row>
    <row r="1706" spans="1:4" ht="15.75" customHeight="1" x14ac:dyDescent="0.25">
      <c r="A1706" s="2"/>
      <c r="B1706" s="3"/>
      <c r="C1706" s="1"/>
      <c r="D1706" s="3"/>
    </row>
    <row r="1707" spans="1:4" ht="15.75" customHeight="1" x14ac:dyDescent="0.25">
      <c r="A1707" s="2"/>
      <c r="B1707" s="3"/>
      <c r="C1707" s="1"/>
      <c r="D1707" s="3"/>
    </row>
    <row r="1708" spans="1:4" ht="15.75" customHeight="1" x14ac:dyDescent="0.25">
      <c r="A1708" s="2">
        <v>30712019359</v>
      </c>
      <c r="B1708" s="3" t="s">
        <v>1133</v>
      </c>
      <c r="C1708" s="1"/>
      <c r="D1708" s="3"/>
    </row>
    <row r="1709" spans="1:4" ht="15.75" customHeight="1" x14ac:dyDescent="0.25">
      <c r="A1709" s="2"/>
      <c r="B1709" s="3"/>
      <c r="C1709" s="1"/>
      <c r="D1709" s="3"/>
    </row>
    <row r="1710" spans="1:4" ht="15.75" customHeight="1" x14ac:dyDescent="0.25">
      <c r="A1710" s="2"/>
      <c r="B1710" s="3"/>
      <c r="C1710" s="1"/>
      <c r="D1710" s="3"/>
    </row>
    <row r="1711" spans="1:4" ht="15.75" customHeight="1" x14ac:dyDescent="0.25">
      <c r="A1711" s="2">
        <v>30715535471</v>
      </c>
      <c r="B1711" s="3" t="s">
        <v>1138</v>
      </c>
      <c r="C1711" s="1"/>
      <c r="D1711" s="3"/>
    </row>
    <row r="1712" spans="1:4" ht="15.75" customHeight="1" x14ac:dyDescent="0.25">
      <c r="A1712" s="2">
        <v>20294907174</v>
      </c>
      <c r="B1712" s="3" t="s">
        <v>386</v>
      </c>
      <c r="C1712" s="1"/>
      <c r="D1712" s="3"/>
    </row>
    <row r="1713" spans="1:4" ht="15.75" customHeight="1" x14ac:dyDescent="0.25">
      <c r="A1713" s="2"/>
      <c r="B1713" s="3"/>
      <c r="C1713" s="1"/>
      <c r="D1713" s="3"/>
    </row>
    <row r="1714" spans="1:4" ht="15.75" customHeight="1" x14ac:dyDescent="0.25">
      <c r="A1714" s="2">
        <v>30692857611</v>
      </c>
      <c r="B1714" s="3" t="s">
        <v>119</v>
      </c>
      <c r="C1714" s="1"/>
      <c r="D1714" s="3"/>
    </row>
    <row r="1715" spans="1:4" ht="15.75" customHeight="1" x14ac:dyDescent="0.25">
      <c r="A1715" s="2">
        <v>30678814357</v>
      </c>
      <c r="B1715" s="3" t="s">
        <v>667</v>
      </c>
      <c r="C1715" s="1"/>
      <c r="D1715" s="3"/>
    </row>
    <row r="1716" spans="1:4" ht="15.75" customHeight="1" x14ac:dyDescent="0.25">
      <c r="A1716" s="2">
        <v>27261572775</v>
      </c>
      <c r="B1716" s="3" t="s">
        <v>922</v>
      </c>
      <c r="C1716" s="1"/>
      <c r="D1716" s="3"/>
    </row>
    <row r="1717" spans="1:4" ht="15.75" customHeight="1" x14ac:dyDescent="0.25">
      <c r="A1717" s="2">
        <v>30594494187</v>
      </c>
      <c r="B1717" s="3" t="s">
        <v>1035</v>
      </c>
      <c r="C1717" s="1"/>
      <c r="D1717" s="3"/>
    </row>
    <row r="1718" spans="1:4" ht="15.75" customHeight="1" x14ac:dyDescent="0.25">
      <c r="A1718" s="2">
        <v>30678774495</v>
      </c>
      <c r="B1718" s="3" t="s">
        <v>728</v>
      </c>
      <c r="C1718" s="1"/>
      <c r="D1718" s="3"/>
    </row>
    <row r="1719" spans="1:4" ht="15.75" customHeight="1" x14ac:dyDescent="0.25">
      <c r="A1719" s="2"/>
      <c r="B1719" s="3"/>
      <c r="C1719" s="1"/>
      <c r="D1719" s="3"/>
    </row>
    <row r="1720" spans="1:4" ht="15.75" customHeight="1" x14ac:dyDescent="0.25">
      <c r="A1720" s="2">
        <v>30712019359</v>
      </c>
      <c r="B1720" s="3" t="s">
        <v>1133</v>
      </c>
      <c r="C1720" s="1"/>
      <c r="D1720" s="3"/>
    </row>
    <row r="1721" spans="1:4" ht="15.75" customHeight="1" x14ac:dyDescent="0.25">
      <c r="A1721" s="2">
        <v>30594494187</v>
      </c>
      <c r="B1721" s="3" t="s">
        <v>1035</v>
      </c>
      <c r="C1721" s="1"/>
      <c r="D1721" s="3"/>
    </row>
    <row r="1722" spans="1:4" ht="15.75" customHeight="1" x14ac:dyDescent="0.25">
      <c r="A1722" s="2">
        <v>30692857611</v>
      </c>
      <c r="B1722" s="3" t="s">
        <v>119</v>
      </c>
      <c r="C1722" s="1"/>
      <c r="D1722" s="3"/>
    </row>
    <row r="1723" spans="1:4" ht="15.75" customHeight="1" x14ac:dyDescent="0.25">
      <c r="A1723" s="2">
        <v>30594494187</v>
      </c>
      <c r="B1723" s="3" t="s">
        <v>1035</v>
      </c>
      <c r="C1723" s="1"/>
      <c r="D1723" s="3"/>
    </row>
    <row r="1724" spans="1:4" ht="15.75" customHeight="1" x14ac:dyDescent="0.25">
      <c r="A1724" s="2"/>
      <c r="B1724" s="3"/>
      <c r="C1724" s="1"/>
      <c r="D1724" s="3"/>
    </row>
    <row r="1725" spans="1:4" ht="15.75" customHeight="1" x14ac:dyDescent="0.25">
      <c r="A1725" s="2"/>
      <c r="B1725" s="3"/>
      <c r="C1725" s="1"/>
      <c r="D1725" s="3"/>
    </row>
    <row r="1726" spans="1:4" ht="15.75" customHeight="1" x14ac:dyDescent="0.25">
      <c r="A1726" s="2">
        <v>30692857611</v>
      </c>
      <c r="B1726" s="3" t="s">
        <v>119</v>
      </c>
      <c r="C1726" s="1"/>
      <c r="D1726" s="3"/>
    </row>
    <row r="1727" spans="1:4" ht="15.75" customHeight="1" x14ac:dyDescent="0.25">
      <c r="A1727" s="2"/>
      <c r="B1727" s="3"/>
      <c r="C1727" s="1"/>
      <c r="D1727" s="3"/>
    </row>
    <row r="1728" spans="1:4" ht="15.75" customHeight="1" x14ac:dyDescent="0.25">
      <c r="A1728" s="2">
        <v>27387896150</v>
      </c>
      <c r="B1728" s="3" t="s">
        <v>1485</v>
      </c>
      <c r="C1728" s="1" t="s">
        <v>1747</v>
      </c>
      <c r="D1728" s="3"/>
    </row>
    <row r="1729" spans="1:4" ht="15.75" customHeight="1" x14ac:dyDescent="0.25">
      <c r="A1729" s="2">
        <v>20259150249</v>
      </c>
      <c r="B1729" s="3" t="s">
        <v>1486</v>
      </c>
      <c r="C1729" s="1" t="s">
        <v>14</v>
      </c>
      <c r="D1729" s="3"/>
    </row>
    <row r="1730" spans="1:4" ht="15.75" customHeight="1" x14ac:dyDescent="0.25">
      <c r="A1730" s="2">
        <v>20233336735</v>
      </c>
      <c r="B1730" s="3" t="s">
        <v>1487</v>
      </c>
      <c r="C1730" s="1" t="s">
        <v>14</v>
      </c>
      <c r="D1730" s="3"/>
    </row>
    <row r="1731" spans="1:4" ht="15.75" customHeight="1" x14ac:dyDescent="0.25">
      <c r="A1731" s="2">
        <v>27207466080</v>
      </c>
      <c r="B1731" s="3" t="s">
        <v>1488</v>
      </c>
      <c r="C1731" s="1" t="s">
        <v>14</v>
      </c>
      <c r="D1731" s="3"/>
    </row>
    <row r="1732" spans="1:4" ht="15.75" customHeight="1" x14ac:dyDescent="0.25">
      <c r="A1732" s="2">
        <v>30716831848</v>
      </c>
      <c r="B1732" s="3" t="s">
        <v>1489</v>
      </c>
      <c r="C1732" s="1" t="s">
        <v>14</v>
      </c>
      <c r="D1732" s="3"/>
    </row>
    <row r="1733" spans="1:4" ht="15.75" customHeight="1" x14ac:dyDescent="0.25">
      <c r="A1733" s="2">
        <v>30717419924</v>
      </c>
      <c r="B1733" s="3" t="s">
        <v>1490</v>
      </c>
      <c r="C1733" s="1" t="s">
        <v>14</v>
      </c>
      <c r="D1733" s="3"/>
    </row>
    <row r="1734" spans="1:4" ht="15.75" customHeight="1" x14ac:dyDescent="0.25">
      <c r="A1734" s="2">
        <v>30711871485</v>
      </c>
      <c r="B1734" s="3" t="s">
        <v>1491</v>
      </c>
      <c r="C1734" s="1" t="s">
        <v>16</v>
      </c>
      <c r="D1734" s="3"/>
    </row>
    <row r="1735" spans="1:4" ht="15.75" customHeight="1" x14ac:dyDescent="0.25">
      <c r="A1735" s="2">
        <v>30716193280</v>
      </c>
      <c r="B1735" s="3" t="s">
        <v>1492</v>
      </c>
      <c r="C1735" s="1" t="s">
        <v>14</v>
      </c>
      <c r="D1735" s="3"/>
    </row>
    <row r="1736" spans="1:4" ht="15.75" customHeight="1" x14ac:dyDescent="0.25">
      <c r="A1736" s="2">
        <v>27287501396</v>
      </c>
      <c r="B1736" s="3" t="s">
        <v>1493</v>
      </c>
      <c r="C1736" s="1" t="s">
        <v>14</v>
      </c>
      <c r="D1736" s="3"/>
    </row>
    <row r="1737" spans="1:4" ht="15.75" customHeight="1" x14ac:dyDescent="0.25">
      <c r="A1737" s="2">
        <v>20309473869</v>
      </c>
      <c r="B1737" s="3" t="s">
        <v>1494</v>
      </c>
      <c r="C1737" s="1" t="s">
        <v>14</v>
      </c>
      <c r="D1737" s="3"/>
    </row>
    <row r="1738" spans="1:4" ht="15.75" customHeight="1" x14ac:dyDescent="0.25">
      <c r="A1738" s="2">
        <v>30707555404</v>
      </c>
      <c r="B1738" s="3" t="s">
        <v>1495</v>
      </c>
      <c r="C1738" s="1" t="s">
        <v>16</v>
      </c>
      <c r="D1738" s="3"/>
    </row>
    <row r="1739" spans="1:4" ht="15.75" customHeight="1" x14ac:dyDescent="0.25">
      <c r="A1739" s="2">
        <v>20206742845</v>
      </c>
      <c r="B1739" s="3" t="s">
        <v>1496</v>
      </c>
      <c r="C1739" s="1" t="s">
        <v>14</v>
      </c>
      <c r="D1739" s="3"/>
    </row>
    <row r="1740" spans="1:4" ht="15.75" customHeight="1" x14ac:dyDescent="0.25">
      <c r="A1740" s="2">
        <v>30707756434</v>
      </c>
      <c r="B1740" s="3" t="s">
        <v>1497</v>
      </c>
      <c r="C1740" s="1" t="s">
        <v>7</v>
      </c>
      <c r="D1740" s="3"/>
    </row>
    <row r="1741" spans="1:4" ht="15.75" customHeight="1" x14ac:dyDescent="0.25">
      <c r="A1741" s="2">
        <v>30709653578</v>
      </c>
      <c r="B1741" s="3" t="s">
        <v>1498</v>
      </c>
      <c r="C1741" s="1" t="s">
        <v>1764</v>
      </c>
      <c r="D1741" s="3"/>
    </row>
    <row r="1742" spans="1:4" ht="15.75" customHeight="1" x14ac:dyDescent="0.25">
      <c r="A1742" s="2">
        <v>33708467699</v>
      </c>
      <c r="B1742" s="3" t="s">
        <v>1509</v>
      </c>
      <c r="C1742" s="1"/>
      <c r="D1742" s="3"/>
    </row>
    <row r="1743" spans="1:4" ht="15.75" customHeight="1" x14ac:dyDescent="0.25">
      <c r="A1743" s="2">
        <v>30711539707</v>
      </c>
      <c r="B1743" s="3" t="s">
        <v>1510</v>
      </c>
      <c r="C1743" s="1"/>
      <c r="D1743" s="3"/>
    </row>
    <row r="1744" spans="1:4" ht="15.75" customHeight="1" x14ac:dyDescent="0.25">
      <c r="A1744" s="2">
        <v>30710552726</v>
      </c>
      <c r="B1744" s="3" t="s">
        <v>1511</v>
      </c>
      <c r="C1744" s="1" t="s">
        <v>16</v>
      </c>
      <c r="D1744" s="3"/>
    </row>
    <row r="1745" spans="1:4" ht="15.75" customHeight="1" x14ac:dyDescent="0.25">
      <c r="A1745" s="2">
        <v>30712273174</v>
      </c>
      <c r="B1745" s="3" t="s">
        <v>1512</v>
      </c>
      <c r="C1745" s="1" t="s">
        <v>16</v>
      </c>
      <c r="D1745" s="3"/>
    </row>
    <row r="1746" spans="1:4" ht="15.75" customHeight="1" x14ac:dyDescent="0.25">
      <c r="A1746" s="2">
        <v>30717261042</v>
      </c>
      <c r="B1746" s="3" t="s">
        <v>1513</v>
      </c>
      <c r="C1746" s="1" t="s">
        <v>297</v>
      </c>
      <c r="D1746" s="3"/>
    </row>
    <row r="1747" spans="1:4" ht="15.75" customHeight="1" x14ac:dyDescent="0.25">
      <c r="A1747" s="2">
        <v>30717855805</v>
      </c>
      <c r="B1747" s="3" t="s">
        <v>1514</v>
      </c>
      <c r="C1747" s="1" t="s">
        <v>1763</v>
      </c>
      <c r="D1747" s="3"/>
    </row>
    <row r="1748" spans="1:4" ht="15.75" customHeight="1" x14ac:dyDescent="0.25">
      <c r="A1748" s="2">
        <v>30712387722</v>
      </c>
      <c r="B1748" s="3" t="s">
        <v>1515</v>
      </c>
      <c r="C1748" s="1" t="s">
        <v>14</v>
      </c>
      <c r="D1748" s="3"/>
    </row>
    <row r="1749" spans="1:4" ht="15.75" customHeight="1" x14ac:dyDescent="0.25">
      <c r="A1749" s="2">
        <v>30695446426</v>
      </c>
      <c r="B1749" s="3" t="s">
        <v>1516</v>
      </c>
      <c r="C1749" s="1" t="s">
        <v>14</v>
      </c>
      <c r="D1749" s="3"/>
    </row>
    <row r="1750" spans="1:4" ht="15.75" customHeight="1" x14ac:dyDescent="0.25">
      <c r="A1750" s="2">
        <v>30715865889</v>
      </c>
      <c r="B1750" s="3" t="s">
        <v>1517</v>
      </c>
      <c r="C1750" s="1" t="s">
        <v>14</v>
      </c>
      <c r="D1750" s="3"/>
    </row>
    <row r="1751" spans="1:4" ht="15.75" customHeight="1" x14ac:dyDescent="0.25">
      <c r="A1751" s="2">
        <v>30716578077</v>
      </c>
      <c r="B1751" s="3" t="s">
        <v>1518</v>
      </c>
      <c r="C1751" s="1" t="s">
        <v>14</v>
      </c>
      <c r="D1751" s="3"/>
    </row>
    <row r="1752" spans="1:4" ht="15.75" customHeight="1" x14ac:dyDescent="0.25">
      <c r="A1752" s="2">
        <v>30715353934</v>
      </c>
      <c r="B1752" s="3" t="s">
        <v>1519</v>
      </c>
      <c r="C1752" s="1" t="s">
        <v>14</v>
      </c>
      <c r="D1752" s="3"/>
    </row>
    <row r="1753" spans="1:4" ht="15.75" customHeight="1" x14ac:dyDescent="0.25">
      <c r="A1753" s="2">
        <v>30715863916</v>
      </c>
      <c r="B1753" s="3" t="s">
        <v>1520</v>
      </c>
      <c r="C1753" s="1" t="s">
        <v>14</v>
      </c>
      <c r="D1753" s="3"/>
    </row>
    <row r="1754" spans="1:4" ht="15.75" customHeight="1" x14ac:dyDescent="0.25">
      <c r="A1754" s="2">
        <v>30716711621</v>
      </c>
      <c r="B1754" s="3" t="s">
        <v>1522</v>
      </c>
      <c r="C1754" s="1" t="s">
        <v>1763</v>
      </c>
      <c r="D1754" s="3"/>
    </row>
    <row r="1755" spans="1:4" ht="15.75" customHeight="1" x14ac:dyDescent="0.25">
      <c r="A1755" s="2"/>
      <c r="B1755" s="3"/>
      <c r="C1755" s="1"/>
      <c r="D1755" s="3"/>
    </row>
    <row r="1756" spans="1:4" ht="15.75" customHeight="1" x14ac:dyDescent="0.25">
      <c r="A1756" s="2"/>
      <c r="B1756" s="3"/>
      <c r="C1756" s="1"/>
      <c r="D1756" s="3"/>
    </row>
    <row r="1757" spans="1:4" ht="15.75" customHeight="1" x14ac:dyDescent="0.25">
      <c r="A1757" s="2"/>
      <c r="B1757" s="3"/>
      <c r="C1757" s="1"/>
      <c r="D1757" s="3"/>
    </row>
    <row r="1758" spans="1:4" ht="15.75" customHeight="1" x14ac:dyDescent="0.25">
      <c r="A1758" s="2"/>
      <c r="B1758" s="3"/>
      <c r="C1758" s="1"/>
      <c r="D1758" s="3"/>
    </row>
    <row r="1759" spans="1:4" ht="15.75" customHeight="1" x14ac:dyDescent="0.25">
      <c r="A1759" s="2"/>
      <c r="B1759" s="3"/>
      <c r="C1759" s="1"/>
      <c r="D1759" s="3"/>
    </row>
    <row r="1760" spans="1:4" ht="15.75" customHeight="1" x14ac:dyDescent="0.25">
      <c r="A1760" s="2"/>
      <c r="B1760" s="3"/>
      <c r="C1760" s="1"/>
      <c r="D1760" s="3"/>
    </row>
    <row r="1761" spans="1:4" ht="15.75" customHeight="1" x14ac:dyDescent="0.25">
      <c r="A1761" s="2"/>
      <c r="B1761" s="3"/>
      <c r="C1761" s="1"/>
      <c r="D1761" s="3"/>
    </row>
    <row r="1762" spans="1:4" ht="15.75" customHeight="1" x14ac:dyDescent="0.25">
      <c r="A1762" s="2"/>
      <c r="B1762" s="3"/>
      <c r="C1762" s="1"/>
      <c r="D1762" s="3"/>
    </row>
    <row r="1763" spans="1:4" ht="15.75" customHeight="1" x14ac:dyDescent="0.25">
      <c r="A1763" s="2"/>
      <c r="B1763" s="3"/>
      <c r="C1763" s="1"/>
      <c r="D1763" s="3"/>
    </row>
    <row r="1764" spans="1:4" ht="15.75" customHeight="1" x14ac:dyDescent="0.25">
      <c r="A1764" s="2"/>
      <c r="B1764" s="3"/>
      <c r="C1764" s="1"/>
      <c r="D1764" s="3"/>
    </row>
    <row r="1765" spans="1:4" ht="15.75" customHeight="1" x14ac:dyDescent="0.25">
      <c r="A1765" s="2"/>
      <c r="B1765" s="3"/>
      <c r="C1765" s="1"/>
      <c r="D1765" s="3"/>
    </row>
    <row r="1766" spans="1:4" ht="15.75" customHeight="1" x14ac:dyDescent="0.25">
      <c r="A1766" s="2"/>
      <c r="B1766" s="3"/>
      <c r="C1766" s="1"/>
      <c r="D1766" s="3"/>
    </row>
    <row r="1767" spans="1:4" ht="15.75" customHeight="1" x14ac:dyDescent="0.25">
      <c r="A1767" s="2"/>
      <c r="B1767" s="3"/>
      <c r="C1767" s="1"/>
      <c r="D1767" s="3"/>
    </row>
    <row r="1768" spans="1:4" ht="15.75" customHeight="1" x14ac:dyDescent="0.25">
      <c r="A1768" s="2"/>
      <c r="B1768" s="3"/>
      <c r="C1768" s="1"/>
      <c r="D1768" s="3"/>
    </row>
    <row r="1769" spans="1:4" ht="15.75" customHeight="1" x14ac:dyDescent="0.25">
      <c r="A1769" s="2"/>
      <c r="B1769" s="3"/>
      <c r="C1769" s="1"/>
      <c r="D1769" s="3"/>
    </row>
    <row r="1770" spans="1:4" ht="15.75" customHeight="1" x14ac:dyDescent="0.25">
      <c r="A1770" s="2"/>
      <c r="B1770" s="3"/>
      <c r="C1770" s="1"/>
      <c r="D1770" s="3"/>
    </row>
    <row r="1771" spans="1:4" ht="15.75" customHeight="1" x14ac:dyDescent="0.25">
      <c r="A1771" s="2"/>
      <c r="B1771" s="3"/>
      <c r="C1771" s="1"/>
      <c r="D1771" s="3"/>
    </row>
    <row r="1772" spans="1:4" ht="15.75" customHeight="1" x14ac:dyDescent="0.25">
      <c r="A1772" s="2"/>
      <c r="B1772" s="3"/>
      <c r="C1772" s="1"/>
      <c r="D1772" s="3"/>
    </row>
    <row r="1773" spans="1:4" ht="15.75" customHeight="1" x14ac:dyDescent="0.25">
      <c r="A1773" s="2"/>
      <c r="B1773" s="3"/>
      <c r="C1773" s="1"/>
      <c r="D1773" s="3"/>
    </row>
    <row r="1774" spans="1:4" ht="15.75" customHeight="1" x14ac:dyDescent="0.25">
      <c r="A1774" s="2"/>
      <c r="B1774" s="3"/>
      <c r="C1774" s="1"/>
      <c r="D1774" s="3"/>
    </row>
    <row r="1775" spans="1:4" ht="15.75" customHeight="1" x14ac:dyDescent="0.25">
      <c r="A1775" s="2"/>
      <c r="B1775" s="3"/>
      <c r="C1775" s="1"/>
      <c r="D1775" s="3"/>
    </row>
    <row r="1776" spans="1:4" ht="15.75" customHeight="1" x14ac:dyDescent="0.25">
      <c r="A1776" s="2"/>
      <c r="B1776" s="3"/>
      <c r="C1776" s="1"/>
      <c r="D1776" s="3"/>
    </row>
    <row r="1777" spans="1:4" ht="15.75" customHeight="1" x14ac:dyDescent="0.25">
      <c r="A1777" s="2"/>
      <c r="B1777" s="3"/>
      <c r="C1777" s="1"/>
      <c r="D1777" s="3"/>
    </row>
    <row r="1778" spans="1:4" ht="15.75" customHeight="1" x14ac:dyDescent="0.25">
      <c r="A1778" s="2"/>
      <c r="B1778" s="3"/>
      <c r="C1778" s="1"/>
      <c r="D1778" s="3"/>
    </row>
    <row r="1779" spans="1:4" ht="15.75" customHeight="1" x14ac:dyDescent="0.25">
      <c r="A1779" s="2"/>
      <c r="B1779" s="3"/>
      <c r="C1779" s="1"/>
      <c r="D1779" s="3"/>
    </row>
    <row r="1780" spans="1:4" ht="15.75" customHeight="1" x14ac:dyDescent="0.25">
      <c r="A1780" s="2"/>
      <c r="B1780" s="3"/>
      <c r="C1780" s="1"/>
      <c r="D1780" s="3"/>
    </row>
    <row r="1781" spans="1:4" ht="15.75" customHeight="1" x14ac:dyDescent="0.25">
      <c r="A1781" s="2"/>
      <c r="B1781" s="3"/>
      <c r="C1781" s="1"/>
      <c r="D1781" s="3"/>
    </row>
    <row r="1782" spans="1:4" ht="15.75" customHeight="1" x14ac:dyDescent="0.25">
      <c r="A1782" s="2"/>
      <c r="B1782" s="3"/>
      <c r="C1782" s="1"/>
      <c r="D1782" s="3"/>
    </row>
    <row r="1783" spans="1:4" ht="15.75" customHeight="1" x14ac:dyDescent="0.25">
      <c r="A1783" s="2"/>
      <c r="B1783" s="3"/>
      <c r="C1783" s="1"/>
      <c r="D1783" s="3"/>
    </row>
    <row r="1784" spans="1:4" ht="15.75" customHeight="1" x14ac:dyDescent="0.25">
      <c r="A1784" s="2"/>
      <c r="B1784" s="3"/>
      <c r="C1784" s="1"/>
      <c r="D1784" s="3"/>
    </row>
    <row r="1785" spans="1:4" ht="15.75" customHeight="1" x14ac:dyDescent="0.25">
      <c r="A1785" s="2"/>
      <c r="B1785" s="3"/>
      <c r="C1785" s="1"/>
      <c r="D1785" s="3"/>
    </row>
    <row r="1786" spans="1:4" ht="15.75" customHeight="1" x14ac:dyDescent="0.25">
      <c r="A1786" s="2"/>
      <c r="B1786" s="3"/>
      <c r="C1786" s="1"/>
      <c r="D1786" s="3"/>
    </row>
    <row r="1787" spans="1:4" ht="15.75" customHeight="1" x14ac:dyDescent="0.25">
      <c r="A1787" s="2"/>
      <c r="B1787" s="3"/>
      <c r="C1787" s="1"/>
      <c r="D1787" s="3"/>
    </row>
    <row r="1788" spans="1:4" ht="15.75" customHeight="1" x14ac:dyDescent="0.25">
      <c r="A1788" s="2"/>
      <c r="B1788" s="3"/>
      <c r="C1788" s="1"/>
      <c r="D1788" s="3"/>
    </row>
    <row r="1789" spans="1:4" ht="15.75" customHeight="1" x14ac:dyDescent="0.25">
      <c r="A1789" s="2"/>
      <c r="B1789" s="3"/>
      <c r="C1789" s="1"/>
      <c r="D1789" s="3"/>
    </row>
    <row r="1790" spans="1:4" ht="15.75" customHeight="1" x14ac:dyDescent="0.25">
      <c r="A1790" s="2"/>
      <c r="B1790" s="3"/>
      <c r="C1790" s="1"/>
      <c r="D1790" s="3"/>
    </row>
    <row r="1791" spans="1:4" ht="15.75" customHeight="1" x14ac:dyDescent="0.25">
      <c r="A1791" s="2"/>
      <c r="B1791" s="3"/>
      <c r="C1791" s="1"/>
      <c r="D1791" s="3"/>
    </row>
    <row r="1792" spans="1:4" ht="15.75" customHeight="1" x14ac:dyDescent="0.25">
      <c r="A1792" s="2"/>
      <c r="B1792" s="3"/>
      <c r="C1792" s="1"/>
      <c r="D1792" s="3"/>
    </row>
    <row r="1793" spans="1:4" ht="15.75" customHeight="1" x14ac:dyDescent="0.25">
      <c r="A1793" s="2"/>
      <c r="B1793" s="3"/>
      <c r="C1793" s="1"/>
      <c r="D1793" s="3"/>
    </row>
    <row r="1794" spans="1:4" ht="15.75" customHeight="1" x14ac:dyDescent="0.25">
      <c r="A1794" s="2"/>
      <c r="B1794" s="3"/>
      <c r="C1794" s="1"/>
      <c r="D1794" s="3"/>
    </row>
    <row r="1795" spans="1:4" ht="15.75" customHeight="1" x14ac:dyDescent="0.25">
      <c r="A1795" s="2"/>
      <c r="B1795" s="3"/>
      <c r="C1795" s="1"/>
      <c r="D1795" s="3"/>
    </row>
    <row r="1796" spans="1:4" ht="15.75" customHeight="1" x14ac:dyDescent="0.25">
      <c r="A1796" s="2"/>
      <c r="B1796" s="3"/>
      <c r="C1796" s="1"/>
      <c r="D1796" s="3"/>
    </row>
    <row r="1797" spans="1:4" ht="15.75" customHeight="1" x14ac:dyDescent="0.25">
      <c r="A1797" s="2"/>
      <c r="B1797" s="3"/>
      <c r="C1797" s="1"/>
      <c r="D1797" s="3"/>
    </row>
    <row r="1798" spans="1:4" ht="15.75" customHeight="1" x14ac:dyDescent="0.25">
      <c r="A1798" s="2"/>
      <c r="B1798" s="3"/>
      <c r="C1798" s="1"/>
      <c r="D1798" s="3"/>
    </row>
    <row r="1799" spans="1:4" ht="15.75" customHeight="1" x14ac:dyDescent="0.25">
      <c r="A1799" s="2"/>
      <c r="B1799" s="3"/>
      <c r="C1799" s="1"/>
      <c r="D1799" s="3"/>
    </row>
    <row r="1800" spans="1:4" ht="15.75" customHeight="1" x14ac:dyDescent="0.25">
      <c r="A1800" s="2"/>
      <c r="B1800" s="3"/>
      <c r="C1800" s="1"/>
      <c r="D1800" s="3"/>
    </row>
    <row r="1801" spans="1:4" ht="15.75" customHeight="1" x14ac:dyDescent="0.25">
      <c r="A1801" s="2"/>
      <c r="B1801" s="3"/>
      <c r="C1801" s="1"/>
      <c r="D1801" s="3"/>
    </row>
    <row r="1802" spans="1:4" ht="15.75" customHeight="1" x14ac:dyDescent="0.25">
      <c r="A1802" s="2"/>
      <c r="B1802" s="3"/>
      <c r="C1802" s="1"/>
      <c r="D1802" s="3"/>
    </row>
    <row r="1803" spans="1:4" ht="15.75" customHeight="1" x14ac:dyDescent="0.25">
      <c r="A1803" s="2"/>
      <c r="B1803" s="3"/>
      <c r="C1803" s="1"/>
      <c r="D1803" s="3"/>
    </row>
    <row r="1804" spans="1:4" ht="15.75" customHeight="1" x14ac:dyDescent="0.25">
      <c r="A1804" s="2"/>
      <c r="B1804" s="3"/>
      <c r="C1804" s="1"/>
      <c r="D1804" s="3"/>
    </row>
    <row r="1805" spans="1:4" ht="15.75" customHeight="1" x14ac:dyDescent="0.25">
      <c r="A1805" s="2"/>
      <c r="B1805" s="3"/>
      <c r="C1805" s="1"/>
      <c r="D1805" s="3"/>
    </row>
    <row r="1806" spans="1:4" ht="15.75" customHeight="1" x14ac:dyDescent="0.25">
      <c r="A1806" s="2"/>
      <c r="B1806" s="3"/>
      <c r="C1806" s="1"/>
      <c r="D1806" s="3"/>
    </row>
    <row r="1807" spans="1:4" ht="15.75" customHeight="1" x14ac:dyDescent="0.25">
      <c r="A1807" s="2"/>
      <c r="B1807" s="3"/>
      <c r="C1807" s="1"/>
      <c r="D1807" s="3"/>
    </row>
    <row r="1808" spans="1:4" ht="15.75" customHeight="1" x14ac:dyDescent="0.25">
      <c r="A1808" s="2"/>
      <c r="B1808" s="3"/>
      <c r="C1808" s="1"/>
      <c r="D1808" s="3"/>
    </row>
    <row r="1809" spans="1:4" ht="15.75" customHeight="1" x14ac:dyDescent="0.25">
      <c r="A1809" s="2"/>
      <c r="B1809" s="3"/>
      <c r="C1809" s="1"/>
      <c r="D1809" s="3"/>
    </row>
    <row r="1810" spans="1:4" ht="15.75" customHeight="1" x14ac:dyDescent="0.25">
      <c r="A1810" s="2"/>
      <c r="B1810" s="3"/>
      <c r="C1810" s="1"/>
      <c r="D1810" s="3"/>
    </row>
    <row r="1811" spans="1:4" ht="15.75" customHeight="1" x14ac:dyDescent="0.25">
      <c r="A1811" s="2"/>
      <c r="B1811" s="3"/>
      <c r="C1811" s="1"/>
      <c r="D1811" s="3"/>
    </row>
    <row r="1812" spans="1:4" ht="15.75" customHeight="1" x14ac:dyDescent="0.25">
      <c r="A1812" s="2"/>
      <c r="B1812" s="3"/>
      <c r="C1812" s="1"/>
      <c r="D1812" s="3"/>
    </row>
    <row r="1813" spans="1:4" ht="15.75" customHeight="1" x14ac:dyDescent="0.25">
      <c r="A1813" s="2"/>
      <c r="B1813" s="3"/>
      <c r="C1813" s="1"/>
      <c r="D1813" s="3"/>
    </row>
    <row r="1814" spans="1:4" ht="15.75" customHeight="1" x14ac:dyDescent="0.25">
      <c r="A1814" s="2"/>
      <c r="B1814" s="3"/>
      <c r="C1814" s="1"/>
      <c r="D1814" s="3"/>
    </row>
    <row r="1815" spans="1:4" ht="15.75" customHeight="1" x14ac:dyDescent="0.25">
      <c r="A1815" s="2"/>
      <c r="B1815" s="3"/>
      <c r="C1815" s="1"/>
      <c r="D1815" s="3"/>
    </row>
    <row r="1816" spans="1:4" ht="15.75" customHeight="1" x14ac:dyDescent="0.25">
      <c r="A1816" s="2"/>
      <c r="B1816" s="3"/>
      <c r="C1816" s="1"/>
      <c r="D1816" s="3"/>
    </row>
    <row r="1817" spans="1:4" ht="15.75" customHeight="1" x14ac:dyDescent="0.25">
      <c r="A1817" s="2"/>
      <c r="B1817" s="3"/>
      <c r="C1817" s="1"/>
      <c r="D1817" s="3"/>
    </row>
    <row r="1818" spans="1:4" ht="15.75" customHeight="1" x14ac:dyDescent="0.25">
      <c r="A1818" s="2"/>
      <c r="B1818" s="3"/>
      <c r="C1818" s="1"/>
      <c r="D1818" s="3"/>
    </row>
    <row r="1819" spans="1:4" ht="15.75" customHeight="1" x14ac:dyDescent="0.25">
      <c r="A1819" s="2"/>
      <c r="B1819" s="3"/>
      <c r="C1819" s="1"/>
      <c r="D1819" s="3"/>
    </row>
    <row r="1820" spans="1:4" ht="15.75" customHeight="1" x14ac:dyDescent="0.25">
      <c r="A1820" s="2"/>
      <c r="B1820" s="3"/>
      <c r="C1820" s="1"/>
      <c r="D1820" s="3"/>
    </row>
    <row r="1821" spans="1:4" ht="15.75" customHeight="1" x14ac:dyDescent="0.25">
      <c r="A1821" s="2"/>
      <c r="B1821" s="3"/>
      <c r="C1821" s="1"/>
      <c r="D1821" s="3"/>
    </row>
    <row r="1822" spans="1:4" ht="15.75" customHeight="1" x14ac:dyDescent="0.25">
      <c r="A1822" s="2"/>
      <c r="B1822" s="3"/>
      <c r="C1822" s="1"/>
      <c r="D1822" s="3"/>
    </row>
    <row r="1823" spans="1:4" ht="15.75" customHeight="1" x14ac:dyDescent="0.25">
      <c r="A1823" s="2"/>
      <c r="B1823" s="3"/>
      <c r="C1823" s="1"/>
      <c r="D1823" s="3"/>
    </row>
    <row r="1824" spans="1:4" ht="15.75" customHeight="1" x14ac:dyDescent="0.25">
      <c r="A1824" s="2"/>
      <c r="B1824" s="3"/>
      <c r="C1824" s="1"/>
      <c r="D1824" s="3"/>
    </row>
    <row r="1825" spans="1:4" ht="15.75" customHeight="1" x14ac:dyDescent="0.25">
      <c r="A1825" s="2"/>
      <c r="B1825" s="3"/>
      <c r="C1825" s="1"/>
      <c r="D1825" s="3"/>
    </row>
    <row r="1826" spans="1:4" ht="15.75" customHeight="1" x14ac:dyDescent="0.25">
      <c r="A1826" s="2"/>
      <c r="B1826" s="3"/>
      <c r="C1826" s="1"/>
      <c r="D1826" s="3"/>
    </row>
    <row r="1827" spans="1:4" ht="15.75" customHeight="1" x14ac:dyDescent="0.25">
      <c r="A1827" s="2"/>
      <c r="B1827" s="3"/>
      <c r="C1827" s="1"/>
      <c r="D1827" s="3"/>
    </row>
    <row r="1828" spans="1:4" ht="15.75" customHeight="1" x14ac:dyDescent="0.25">
      <c r="A1828" s="2"/>
      <c r="B1828" s="3"/>
      <c r="C1828" s="1"/>
      <c r="D1828" s="3"/>
    </row>
    <row r="1829" spans="1:4" ht="15.75" customHeight="1" x14ac:dyDescent="0.25">
      <c r="A1829" s="2"/>
      <c r="B1829" s="3"/>
      <c r="C1829" s="1"/>
      <c r="D1829" s="3"/>
    </row>
    <row r="1830" spans="1:4" ht="15.75" customHeight="1" x14ac:dyDescent="0.25">
      <c r="A1830" s="2"/>
      <c r="B1830" s="3"/>
      <c r="C1830" s="1"/>
      <c r="D1830" s="3"/>
    </row>
    <row r="1831" spans="1:4" ht="15.75" customHeight="1" x14ac:dyDescent="0.25">
      <c r="A1831" s="2"/>
      <c r="B1831" s="3"/>
      <c r="C1831" s="1"/>
      <c r="D1831" s="3"/>
    </row>
    <row r="1832" spans="1:4" ht="15.75" customHeight="1" x14ac:dyDescent="0.25">
      <c r="A1832" s="2"/>
      <c r="B1832" s="3"/>
      <c r="C1832" s="1"/>
      <c r="D1832" s="3"/>
    </row>
    <row r="1833" spans="1:4" ht="15.75" customHeight="1" x14ac:dyDescent="0.25">
      <c r="A1833" s="2"/>
      <c r="B1833" s="3"/>
      <c r="C1833" s="1"/>
      <c r="D1833" s="3"/>
    </row>
    <row r="1834" spans="1:4" ht="15.75" customHeight="1" x14ac:dyDescent="0.25">
      <c r="A1834" s="2"/>
      <c r="B1834" s="3"/>
      <c r="C1834" s="1"/>
      <c r="D1834" s="3"/>
    </row>
    <row r="1835" spans="1:4" ht="15.75" customHeight="1" x14ac:dyDescent="0.25">
      <c r="A1835" s="2"/>
      <c r="B1835" s="3"/>
      <c r="C1835" s="1"/>
      <c r="D1835" s="3"/>
    </row>
    <row r="1836" spans="1:4" ht="15.75" customHeight="1" x14ac:dyDescent="0.25">
      <c r="A1836" s="2"/>
      <c r="B1836" s="3"/>
      <c r="C1836" s="1"/>
      <c r="D1836" s="3"/>
    </row>
    <row r="1837" spans="1:4" ht="15.75" customHeight="1" x14ac:dyDescent="0.25">
      <c r="A1837" s="2"/>
      <c r="B1837" s="3"/>
      <c r="C1837" s="1"/>
      <c r="D1837" s="3"/>
    </row>
    <row r="1838" spans="1:4" ht="15.75" customHeight="1" x14ac:dyDescent="0.25">
      <c r="A1838" s="2"/>
      <c r="B1838" s="3"/>
      <c r="C1838" s="1"/>
      <c r="D1838" s="3"/>
    </row>
    <row r="1839" spans="1:4" ht="15.75" customHeight="1" x14ac:dyDescent="0.25">
      <c r="A1839" s="2"/>
      <c r="B1839" s="3"/>
      <c r="C1839" s="1"/>
      <c r="D1839" s="3"/>
    </row>
    <row r="1840" spans="1:4" ht="15.75" customHeight="1" x14ac:dyDescent="0.25">
      <c r="A1840" s="2"/>
      <c r="B1840" s="3"/>
      <c r="C1840" s="1"/>
      <c r="D1840" s="3"/>
    </row>
    <row r="1841" spans="1:4" ht="15.75" customHeight="1" x14ac:dyDescent="0.25">
      <c r="A1841" s="2"/>
      <c r="B1841" s="3"/>
      <c r="C1841" s="1"/>
      <c r="D1841" s="3"/>
    </row>
    <row r="1842" spans="1:4" ht="15.75" customHeight="1" x14ac:dyDescent="0.25">
      <c r="A1842" s="2"/>
      <c r="B1842" s="3"/>
      <c r="C1842" s="1"/>
      <c r="D1842" s="3"/>
    </row>
    <row r="1843" spans="1:4" ht="15.75" customHeight="1" x14ac:dyDescent="0.25">
      <c r="A1843" s="2"/>
      <c r="B1843" s="3"/>
      <c r="C1843" s="1"/>
      <c r="D1843" s="3"/>
    </row>
    <row r="1844" spans="1:4" ht="15.75" customHeight="1" x14ac:dyDescent="0.25">
      <c r="A1844" s="2"/>
      <c r="B1844" s="3"/>
      <c r="C1844" s="1"/>
      <c r="D1844" s="3"/>
    </row>
    <row r="1845" spans="1:4" ht="15.75" customHeight="1" x14ac:dyDescent="0.25">
      <c r="A1845" s="2"/>
      <c r="B1845" s="3"/>
      <c r="C1845" s="1"/>
      <c r="D1845" s="3"/>
    </row>
    <row r="1846" spans="1:4" ht="15.75" customHeight="1" x14ac:dyDescent="0.25">
      <c r="A1846" s="2"/>
      <c r="B1846" s="3"/>
      <c r="C1846" s="1"/>
      <c r="D1846" s="3"/>
    </row>
    <row r="1847" spans="1:4" ht="15.75" customHeight="1" x14ac:dyDescent="0.25">
      <c r="A1847" s="2"/>
      <c r="B1847" s="3"/>
      <c r="C1847" s="1"/>
      <c r="D1847" s="3"/>
    </row>
    <row r="1848" spans="1:4" ht="15.75" customHeight="1" x14ac:dyDescent="0.25">
      <c r="A1848" s="2"/>
      <c r="B1848" s="3"/>
      <c r="C1848" s="1"/>
      <c r="D1848" s="3"/>
    </row>
    <row r="1849" spans="1:4" ht="15.75" customHeight="1" x14ac:dyDescent="0.25">
      <c r="A1849" s="2"/>
      <c r="B1849" s="3"/>
      <c r="C1849" s="1"/>
      <c r="D1849" s="3"/>
    </row>
    <row r="1850" spans="1:4" ht="15.75" customHeight="1" x14ac:dyDescent="0.25">
      <c r="A1850" s="2"/>
      <c r="B1850" s="3"/>
      <c r="C1850" s="1"/>
      <c r="D1850" s="3"/>
    </row>
    <row r="1851" spans="1:4" ht="15.75" customHeight="1" x14ac:dyDescent="0.25">
      <c r="A1851" s="2"/>
      <c r="B1851" s="3"/>
      <c r="C1851" s="1"/>
      <c r="D1851" s="3"/>
    </row>
    <row r="1852" spans="1:4" ht="15.75" customHeight="1" x14ac:dyDescent="0.25">
      <c r="A1852" s="2"/>
      <c r="B1852" s="3"/>
      <c r="C1852" s="1"/>
      <c r="D1852" s="3"/>
    </row>
    <row r="1853" spans="1:4" ht="15.75" customHeight="1" x14ac:dyDescent="0.25">
      <c r="A1853" s="2"/>
      <c r="B1853" s="3"/>
      <c r="C1853" s="1"/>
      <c r="D1853" s="3"/>
    </row>
    <row r="1854" spans="1:4" ht="15.75" customHeight="1" x14ac:dyDescent="0.25">
      <c r="A1854" s="2"/>
      <c r="B1854" s="3"/>
      <c r="C1854" s="1"/>
      <c r="D1854" s="3"/>
    </row>
    <row r="1855" spans="1:4" ht="15.75" customHeight="1" x14ac:dyDescent="0.25">
      <c r="A1855" s="2"/>
      <c r="B1855" s="3"/>
      <c r="C1855" s="1"/>
      <c r="D1855" s="3"/>
    </row>
    <row r="1856" spans="1:4" ht="15.75" customHeight="1" x14ac:dyDescent="0.25">
      <c r="A1856" s="2"/>
      <c r="B1856" s="3"/>
      <c r="C1856" s="1"/>
      <c r="D1856" s="3"/>
    </row>
    <row r="1857" spans="1:4" ht="15.75" customHeight="1" x14ac:dyDescent="0.25">
      <c r="A1857" s="2"/>
      <c r="B1857" s="3"/>
      <c r="C1857" s="1"/>
      <c r="D1857" s="3"/>
    </row>
    <row r="1858" spans="1:4" ht="15.75" customHeight="1" x14ac:dyDescent="0.25">
      <c r="A1858" s="2"/>
      <c r="B1858" s="3"/>
      <c r="C1858" s="1"/>
      <c r="D1858" s="3"/>
    </row>
    <row r="1859" spans="1:4" ht="15.75" customHeight="1" x14ac:dyDescent="0.25">
      <c r="A1859" s="2"/>
      <c r="B1859" s="3"/>
      <c r="C1859" s="1"/>
      <c r="D1859" s="3"/>
    </row>
    <row r="1860" spans="1:4" ht="15.75" customHeight="1" x14ac:dyDescent="0.25">
      <c r="A1860" s="2"/>
      <c r="B1860" s="3"/>
      <c r="C1860" s="1"/>
      <c r="D1860" s="3"/>
    </row>
    <row r="1861" spans="1:4" ht="15.75" customHeight="1" x14ac:dyDescent="0.25">
      <c r="A1861" s="2"/>
      <c r="B1861" s="3"/>
      <c r="C1861" s="1"/>
      <c r="D1861" s="3"/>
    </row>
    <row r="1862" spans="1:4" ht="15.75" customHeight="1" x14ac:dyDescent="0.25">
      <c r="A1862" s="2"/>
      <c r="B1862" s="3"/>
      <c r="C1862" s="1"/>
      <c r="D1862" s="3"/>
    </row>
    <row r="1863" spans="1:4" ht="15.75" customHeight="1" x14ac:dyDescent="0.25">
      <c r="A1863" s="2"/>
      <c r="B1863" s="3"/>
      <c r="C1863" s="1"/>
      <c r="D1863" s="3"/>
    </row>
    <row r="1864" spans="1:4" ht="15.75" customHeight="1" x14ac:dyDescent="0.25">
      <c r="A1864" s="2"/>
      <c r="B1864" s="3"/>
      <c r="C1864" s="1"/>
      <c r="D1864" s="3"/>
    </row>
    <row r="1865" spans="1:4" ht="15.75" customHeight="1" x14ac:dyDescent="0.25">
      <c r="A1865" s="2"/>
      <c r="B1865" s="3"/>
      <c r="C1865" s="1"/>
      <c r="D1865" s="3"/>
    </row>
    <row r="1866" spans="1:4" ht="15.75" customHeight="1" x14ac:dyDescent="0.25">
      <c r="A1866" s="2"/>
      <c r="B1866" s="3"/>
      <c r="C1866" s="1"/>
      <c r="D1866" s="3"/>
    </row>
    <row r="1867" spans="1:4" ht="15.75" customHeight="1" x14ac:dyDescent="0.25">
      <c r="A1867" s="2"/>
      <c r="B1867" s="3"/>
      <c r="C1867" s="1"/>
      <c r="D1867" s="3"/>
    </row>
    <row r="1868" spans="1:4" ht="15.75" customHeight="1" x14ac:dyDescent="0.25">
      <c r="A1868" s="2"/>
      <c r="B1868" s="3"/>
      <c r="C1868" s="1"/>
      <c r="D1868" s="3"/>
    </row>
    <row r="1869" spans="1:4" ht="15.75" customHeight="1" x14ac:dyDescent="0.25">
      <c r="A1869" s="2"/>
      <c r="B1869" s="3"/>
      <c r="C1869" s="1"/>
      <c r="D1869" s="3"/>
    </row>
    <row r="1870" spans="1:4" ht="15.75" customHeight="1" x14ac:dyDescent="0.25">
      <c r="A1870" s="2"/>
      <c r="B1870" s="3"/>
      <c r="C1870" s="1"/>
      <c r="D1870" s="3"/>
    </row>
    <row r="1871" spans="1:4" ht="15.75" customHeight="1" x14ac:dyDescent="0.25">
      <c r="A1871" s="2"/>
      <c r="B1871" s="3"/>
      <c r="C1871" s="1"/>
      <c r="D1871" s="3"/>
    </row>
    <row r="1872" spans="1:4" ht="15" customHeight="1" x14ac:dyDescent="0.25">
      <c r="C1872" s="348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BF8F"/>
  </sheetPr>
  <dimension ref="A1:Z996"/>
  <sheetViews>
    <sheetView showGridLines="0" zoomScale="80" zoomScaleNormal="80" workbookViewId="0">
      <selection activeCell="K33" sqref="K33"/>
    </sheetView>
  </sheetViews>
  <sheetFormatPr baseColWidth="10" defaultColWidth="14.42578125" defaultRowHeight="15" customHeight="1" x14ac:dyDescent="0.25"/>
  <cols>
    <col min="1" max="1" width="1.7109375" customWidth="1"/>
    <col min="2" max="2" width="13" customWidth="1"/>
    <col min="3" max="3" width="15.28515625" customWidth="1"/>
    <col min="4" max="4" width="13.28515625" customWidth="1"/>
    <col min="5" max="5" width="17.7109375" customWidth="1"/>
    <col min="6" max="6" width="20.5703125" customWidth="1"/>
    <col min="7" max="7" width="29.28515625" customWidth="1"/>
    <col min="8" max="8" width="16.42578125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16.42578125" customWidth="1"/>
    <col min="17" max="17" width="22.85546875" style="324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53" t="s">
        <v>1525</v>
      </c>
      <c r="H1" s="351"/>
      <c r="I1" s="351"/>
      <c r="J1" s="351"/>
      <c r="K1" s="351"/>
      <c r="L1" s="351"/>
      <c r="M1" s="352"/>
      <c r="N1" s="354">
        <v>44652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SUM('Abr-22'!$H$51)+'Abr-22'!$G$64</f>
        <v>2080834.4670999998</v>
      </c>
      <c r="C4" s="351"/>
      <c r="D4" s="351"/>
      <c r="E4" s="352"/>
      <c r="F4" s="8"/>
      <c r="G4" s="365">
        <f>'Abr-22'!$I$51+'Abr-22'!$J$51+'Abr-22'!$K$51+'Abr-22'!$H$64+'Abr-22'!$I$64</f>
        <v>388881.49330000009</v>
      </c>
      <c r="H4" s="352"/>
      <c r="I4" s="8"/>
      <c r="J4" s="370">
        <f>'Abr-22'!$H$93+'Abr-22'!$H$100</f>
        <v>12289540.900999999</v>
      </c>
      <c r="K4" s="352"/>
      <c r="L4" s="8"/>
      <c r="M4" s="370">
        <f>'Abr-22'!$I$93+'Abr-22'!$J$93+'Abr-22'!$I$100+'Abr-22'!$J$100</f>
        <v>1572095.3234999999</v>
      </c>
      <c r="N4" s="352"/>
      <c r="O4" s="8"/>
      <c r="P4" s="358">
        <f>G4-M4</f>
        <v>-1183213.8301999997</v>
      </c>
      <c r="Q4" s="351"/>
      <c r="R4" s="352"/>
    </row>
    <row r="5" spans="1:19" ht="12.75" customHeight="1" x14ac:dyDescent="0.25"/>
    <row r="6" spans="1:19" ht="10.5" customHeight="1" x14ac:dyDescent="0.25"/>
    <row r="7" spans="1:19" ht="38.25" x14ac:dyDescent="0.25">
      <c r="A7" s="9"/>
      <c r="B7" s="10"/>
      <c r="C7" s="11"/>
      <c r="D7" s="12"/>
      <c r="E7" s="13"/>
      <c r="F7" s="14"/>
      <c r="G7" s="15"/>
      <c r="H7" s="16"/>
      <c r="I7" s="17"/>
      <c r="J7" s="17"/>
      <c r="K7" s="17"/>
      <c r="L7" s="17"/>
      <c r="M7" s="17"/>
      <c r="N7" s="18"/>
      <c r="O7" s="19" t="s">
        <v>1531</v>
      </c>
      <c r="P7" s="20"/>
      <c r="Q7" s="15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325" t="s">
        <v>2</v>
      </c>
      <c r="R8" s="22" t="s">
        <v>1545</v>
      </c>
    </row>
    <row r="9" spans="1:19" ht="15.75" customHeight="1" x14ac:dyDescent="0.25">
      <c r="B9" s="10">
        <v>44652</v>
      </c>
      <c r="C9" s="11">
        <v>1</v>
      </c>
      <c r="D9" s="12">
        <v>3</v>
      </c>
      <c r="E9" s="13">
        <v>153109</v>
      </c>
      <c r="F9" s="14">
        <v>30707135596</v>
      </c>
      <c r="G9" s="15" t="str">
        <f>IFERROR(IF('Abr-22'!$F9="","-",VLOOKUP('Abr-22'!$F9,Lista_CUIT!$A$1:$D$1871,2,0)),"CUIT NO CARGADO")</f>
        <v>CITILAN ARGENTINA SA</v>
      </c>
      <c r="H9" s="16">
        <v>2725.92</v>
      </c>
      <c r="I9" s="23">
        <f>IF('Abr-22'!$H9="","",'Abr-22'!$H9*0.21)</f>
        <v>572.44320000000005</v>
      </c>
      <c r="J9" s="23"/>
      <c r="K9" s="23"/>
      <c r="L9" s="23"/>
      <c r="M9" s="23"/>
      <c r="N9" s="23"/>
      <c r="O9" s="23"/>
      <c r="P9" s="20">
        <f>SUM('Abr-22'!$H9:$O9)</f>
        <v>3298.3632000000002</v>
      </c>
      <c r="Q9" s="15" t="str">
        <f>IFERROR(IF('Abr-22'!$F9="","-",VLOOKUP('Abr-22'!$F9,Lista_CUIT!$A$1:$D$1871,3,0)),"CUIT NO CARGADO")</f>
        <v>SERVICIOS GAS, LUZ, ETC</v>
      </c>
      <c r="R9" s="21">
        <f>IFERROR(IF('Abr-22'!$F9="","-",VLOOKUP('Abr-22'!$F9,Lista_CUIT!$A$1:$D$1871,4,0)),"CUIT NO CARGADO")</f>
        <v>0</v>
      </c>
    </row>
    <row r="10" spans="1:19" ht="15.75" customHeight="1" x14ac:dyDescent="0.25">
      <c r="B10" s="10">
        <v>44652</v>
      </c>
      <c r="C10" s="11">
        <v>1</v>
      </c>
      <c r="D10" s="12">
        <v>3</v>
      </c>
      <c r="E10" s="13">
        <v>518</v>
      </c>
      <c r="F10" s="14">
        <v>30715402765</v>
      </c>
      <c r="G10" s="15" t="str">
        <f>IFERROR(IF('Abr-22'!$F10="","-",VLOOKUP('Abr-22'!$F10,Lista_CUIT!$A$1:$D$1871,2,0)),"CUIT NO CARGADO")</f>
        <v>RIO 265 SRL</v>
      </c>
      <c r="H10" s="16">
        <v>7190.08</v>
      </c>
      <c r="I10" s="23">
        <f>IF('Abr-22'!$H10="","",'Abr-22'!$H10*0.21)</f>
        <v>1509.9168</v>
      </c>
      <c r="J10" s="23"/>
      <c r="K10" s="23"/>
      <c r="L10" s="23"/>
      <c r="M10" s="23"/>
      <c r="N10" s="23"/>
      <c r="O10" s="23"/>
      <c r="P10" s="20">
        <f>SUM('Abr-22'!$H10:$O10)</f>
        <v>8699.9968000000008</v>
      </c>
      <c r="Q10" s="15" t="str">
        <f>IFERROR(IF('Abr-22'!$F10="","-",VLOOKUP('Abr-22'!$F10,Lista_CUIT!$A$1:$D$1871,3,0)),"CUIT NO CARGADO")</f>
        <v>GTOS VARIOS-ESTACIONAMIENTO HORACIO</v>
      </c>
      <c r="R10" s="21">
        <f>IFERROR(IF('Abr-22'!$F10="","-",VLOOKUP('Abr-22'!$F10,Lista_CUIT!$A$1:$D$1871,4,0)),"CUIT NO CARGADO")</f>
        <v>0</v>
      </c>
    </row>
    <row r="11" spans="1:19" ht="15.75" customHeight="1" x14ac:dyDescent="0.25">
      <c r="B11" s="10">
        <v>44652</v>
      </c>
      <c r="C11" s="11">
        <v>1</v>
      </c>
      <c r="D11" s="12">
        <v>3</v>
      </c>
      <c r="E11" s="13">
        <v>254</v>
      </c>
      <c r="F11" s="14">
        <v>20921575743</v>
      </c>
      <c r="G11" s="15" t="str">
        <f>IFERROR(IF('Abr-22'!$F11="","-",VLOOKUP('Abr-22'!$F11,Lista_CUIT!$A$1:$D$1871,2,0)),"CUIT NO CARGADO")</f>
        <v>RIOS GOMEZ JOSE ANTONIO</v>
      </c>
      <c r="H11" s="16">
        <v>54000</v>
      </c>
      <c r="I11" s="23">
        <f>IF('Abr-22'!$H11="","",'Abr-22'!$H11*0.21)</f>
        <v>11340</v>
      </c>
      <c r="J11" s="23"/>
      <c r="K11" s="23"/>
      <c r="L11" s="23"/>
      <c r="M11" s="23"/>
      <c r="N11" s="23"/>
      <c r="O11" s="23"/>
      <c r="P11" s="20">
        <f>SUM('Abr-22'!$H11:$O11)</f>
        <v>65340</v>
      </c>
      <c r="Q11" s="15" t="str">
        <f>IFERROR(IF('Abr-22'!$F11="","-",VLOOKUP('Abr-22'!$F11,Lista_CUIT!$A$1:$D$1871,3,0)),"CUIT NO CARGADO")</f>
        <v xml:space="preserve">Papeleria e Impresos </v>
      </c>
      <c r="R11" s="21">
        <f>IFERROR(IF('Abr-22'!$F11="","-",VLOOKUP('Abr-22'!$F11,Lista_CUIT!$A$1:$D$1871,4,0)),"CUIT NO CARGADO")</f>
        <v>0</v>
      </c>
    </row>
    <row r="12" spans="1:19" ht="15.75" customHeight="1" x14ac:dyDescent="0.25">
      <c r="B12" s="24">
        <v>44652</v>
      </c>
      <c r="C12" s="25">
        <v>1</v>
      </c>
      <c r="D12" s="26">
        <v>2</v>
      </c>
      <c r="E12" s="27">
        <v>2022</v>
      </c>
      <c r="F12" s="28">
        <v>30709131733</v>
      </c>
      <c r="G12" s="29" t="str">
        <f>IFERROR(IF('Abr-22'!$F12="","-",VLOOKUP('Abr-22'!$F12,Lista_CUIT!$A$1:$D$1871,2,0)),"CUIT NO CARGADO")</f>
        <v>DIGAS SRL</v>
      </c>
      <c r="H12" s="30">
        <v>193720</v>
      </c>
      <c r="I12" s="31">
        <f>IF('Abr-22'!$H12="","",'Abr-22'!$H12*0.21)</f>
        <v>40681.199999999997</v>
      </c>
      <c r="J12" s="31"/>
      <c r="K12" s="31"/>
      <c r="L12" s="31"/>
      <c r="M12" s="31"/>
      <c r="N12" s="31"/>
      <c r="O12" s="31"/>
      <c r="P12" s="32">
        <f>SUM('Abr-22'!$H12:$O12)</f>
        <v>234401.2</v>
      </c>
      <c r="Q12" s="29" t="str">
        <f>IFERROR(IF('Abr-22'!$F12="","-",VLOOKUP('Abr-22'!$F12,Lista_CUIT!$A$1:$D$1871,3,0)),"CUIT NO CARGADO")</f>
        <v>INSUMO</v>
      </c>
      <c r="R12" s="21">
        <f>IFERROR(IF('Abr-22'!$F12="","-",VLOOKUP('Abr-22'!$F12,Lista_CUIT!$A$1:$D$1871,4,0)),"CUIT NO CARGADO")</f>
        <v>0</v>
      </c>
    </row>
    <row r="13" spans="1:19" ht="15.75" customHeight="1" x14ac:dyDescent="0.25">
      <c r="B13" s="10">
        <v>44652</v>
      </c>
      <c r="C13" s="11">
        <v>1</v>
      </c>
      <c r="D13" s="12">
        <v>7</v>
      </c>
      <c r="E13" s="13">
        <v>52774</v>
      </c>
      <c r="F13" s="14">
        <v>30626629942</v>
      </c>
      <c r="G13" s="15" t="str">
        <f>IFERROR(IF('Abr-22'!$F13="","-",VLOOKUP('Abr-22'!$F13,Lista_CUIT!$A$1:$D$1871,2,0)),"CUIT NO CARGADO")</f>
        <v>INSTRUMENTAL PASTEUR S R L</v>
      </c>
      <c r="H13" s="16">
        <v>5619</v>
      </c>
      <c r="I13" s="23"/>
      <c r="J13" s="23"/>
      <c r="K13" s="23">
        <v>589.995</v>
      </c>
      <c r="L13" s="23"/>
      <c r="M13" s="23"/>
      <c r="N13" s="23"/>
      <c r="O13" s="23"/>
      <c r="P13" s="20">
        <f>SUM('Abr-22'!$H13:$O13)</f>
        <v>6208.9949999999999</v>
      </c>
      <c r="Q13" s="15" t="str">
        <f>IFERROR(IF('Abr-22'!$F13="","-",VLOOKUP('Abr-22'!$F13,Lista_CUIT!$A$1:$D$1871,3,0)),"CUIT NO CARGADO")</f>
        <v>Gastos Varios</v>
      </c>
      <c r="R13" s="21">
        <f>IFERROR(IF('Abr-22'!$F13="","-",VLOOKUP('Abr-22'!$F13,Lista_CUIT!$A$1:$D$1871,4,0)),"CUIT NO CARGADO")</f>
        <v>0</v>
      </c>
    </row>
    <row r="14" spans="1:19" ht="15.75" customHeight="1" x14ac:dyDescent="0.25">
      <c r="B14" s="10">
        <v>44656</v>
      </c>
      <c r="C14" s="11">
        <v>1</v>
      </c>
      <c r="D14" s="12">
        <v>26</v>
      </c>
      <c r="E14" s="13">
        <v>2356</v>
      </c>
      <c r="F14" s="14">
        <v>30677470123</v>
      </c>
      <c r="G14" s="15" t="str">
        <f>IFERROR(IF('Abr-22'!$F14="","-",VLOOKUP('Abr-22'!$F14,Lista_CUIT!$A$1:$D$1871,2,0)),"CUIT NO CARGADO")</f>
        <v>NEUMATICOS VERONA SA</v>
      </c>
      <c r="H14" s="16">
        <v>86942.16</v>
      </c>
      <c r="I14" s="23">
        <f>IF('Abr-22'!$H14="","",'Abr-22'!$H14*0.21)</f>
        <v>18257.853599999999</v>
      </c>
      <c r="J14" s="23"/>
      <c r="K14" s="23"/>
      <c r="L14" s="23"/>
      <c r="M14" s="23"/>
      <c r="N14" s="23"/>
      <c r="O14" s="23"/>
      <c r="P14" s="20">
        <f>SUM('Abr-22'!$H14:$O14)</f>
        <v>105200.01360000001</v>
      </c>
      <c r="Q14" s="15" t="str">
        <f>IFERROR(IF('Abr-22'!$F14="","-",VLOOKUP('Abr-22'!$F14,Lista_CUIT!$A$1:$D$1871,3,0)),"CUIT NO CARGADO")</f>
        <v>Mantenimiento Rodados</v>
      </c>
      <c r="R14" s="21">
        <f>IFERROR(IF('Abr-22'!$F14="","-",VLOOKUP('Abr-22'!$F14,Lista_CUIT!$A$1:$D$1871,4,0)),"CUIT NO CARGADO")</f>
        <v>0</v>
      </c>
    </row>
    <row r="15" spans="1:19" ht="15.75" customHeight="1" x14ac:dyDescent="0.25">
      <c r="B15" s="330">
        <v>44657</v>
      </c>
      <c r="C15" s="331">
        <v>1</v>
      </c>
      <c r="D15" s="332">
        <v>60</v>
      </c>
      <c r="E15" s="333">
        <v>6863</v>
      </c>
      <c r="F15" s="334">
        <v>30547188760</v>
      </c>
      <c r="G15" s="335" t="str">
        <f>IFERROR(IF('Abr-22'!$F15="","-",VLOOKUP('Abr-22'!$F15,Lista_CUIT!$A$1:$D$1871,2,0)),"CUIT NO CARGADO")</f>
        <v>LONCO HUE SA</v>
      </c>
      <c r="H15" s="336">
        <v>1369.86</v>
      </c>
      <c r="I15" s="337">
        <f>IF('Abr-22'!$H15="","",'Abr-22'!$H15*0.21)</f>
        <v>287.67059999999998</v>
      </c>
      <c r="J15" s="337"/>
      <c r="K15" s="337"/>
      <c r="L15" s="337"/>
      <c r="M15" s="337"/>
      <c r="N15" s="337"/>
      <c r="O15" s="337"/>
      <c r="P15" s="338">
        <f>SUM('Abr-22'!$H15:$O15)</f>
        <v>1657.5305999999998</v>
      </c>
      <c r="Q15" s="335" t="str">
        <f>IFERROR(IF('Abr-22'!$F15="","-",VLOOKUP('Abr-22'!$F15,Lista_CUIT!$A$1:$D$1871,3,0)),"CUIT NO CARGADO")</f>
        <v>INSUMO</v>
      </c>
      <c r="R15" s="21">
        <f>IFERROR(IF('Abr-22'!$F15="","-",VLOOKUP('Abr-22'!$F15,Lista_CUIT!$A$1:$D$1871,4,0)),"CUIT NO CARGADO")</f>
        <v>0</v>
      </c>
    </row>
    <row r="16" spans="1:19" ht="15.75" customHeight="1" x14ac:dyDescent="0.25">
      <c r="B16" s="10">
        <v>44657</v>
      </c>
      <c r="C16" s="11">
        <v>1</v>
      </c>
      <c r="D16" s="12">
        <v>280</v>
      </c>
      <c r="E16" s="13">
        <v>1358550</v>
      </c>
      <c r="F16" s="14">
        <v>30580111315</v>
      </c>
      <c r="G16" s="15" t="str">
        <f>IFERROR(IF('Abr-22'!$F16="","-",VLOOKUP('Abr-22'!$F16,Lista_CUIT!$A$1:$D$1871,2,0)),"CUIT NO CARGADO")</f>
        <v>DHL EXPRESS ARG SA</v>
      </c>
      <c r="H16" s="16">
        <v>348336.45</v>
      </c>
      <c r="I16" s="23">
        <v>703.71</v>
      </c>
      <c r="J16" s="23"/>
      <c r="K16" s="23">
        <v>36223.192999999999</v>
      </c>
      <c r="L16" s="23"/>
      <c r="M16" s="23"/>
      <c r="N16" s="23"/>
      <c r="O16" s="34">
        <v>-313623.44099999999</v>
      </c>
      <c r="P16" s="20">
        <f>SUM('Abr-22'!$H16:$O16)</f>
        <v>71639.912000000011</v>
      </c>
      <c r="Q16" s="15" t="str">
        <f>IFERROR(IF('Abr-22'!$F16="","-",VLOOKUP('Abr-22'!$F16,Lista_CUIT!$A$1:$D$1871,3,0)),"CUIT NO CARGADO")</f>
        <v>GTOS IMP.</v>
      </c>
      <c r="R16" s="21">
        <f>IFERROR(IF('Abr-22'!$F16="","-",VLOOKUP('Abr-22'!$F16,Lista_CUIT!$A$1:$D$1871,4,0)),"CUIT NO CARGADO")</f>
        <v>0</v>
      </c>
    </row>
    <row r="17" spans="2:18" ht="15.75" customHeight="1" x14ac:dyDescent="0.25">
      <c r="B17" s="10">
        <v>44657</v>
      </c>
      <c r="C17" s="11">
        <v>1</v>
      </c>
      <c r="D17" s="12">
        <v>60</v>
      </c>
      <c r="E17" s="13">
        <v>6857</v>
      </c>
      <c r="F17" s="14">
        <v>30547188760</v>
      </c>
      <c r="G17" s="15" t="str">
        <f>IFERROR(IF('Abr-22'!$F17="","-",VLOOKUP('Abr-22'!$F17,Lista_CUIT!$A$1:$D$1871,2,0)),"CUIT NO CARGADO")</f>
        <v>LONCO HUE SA</v>
      </c>
      <c r="H17" s="16">
        <v>13634.24</v>
      </c>
      <c r="I17" s="23">
        <f>IF('Abr-22'!$H17="","",'Abr-22'!$H17*0.21)</f>
        <v>2863.1904</v>
      </c>
      <c r="J17" s="23"/>
      <c r="K17" s="23"/>
      <c r="L17" s="23"/>
      <c r="M17" s="23"/>
      <c r="N17" s="23"/>
      <c r="O17" s="23"/>
      <c r="P17" s="20">
        <f>SUM('Abr-22'!$H17:$O17)</f>
        <v>16497.430400000001</v>
      </c>
      <c r="Q17" s="15" t="str">
        <f>IFERROR(IF('Abr-22'!$F17="","-",VLOOKUP('Abr-22'!$F17,Lista_CUIT!$A$1:$D$1871,3,0)),"CUIT NO CARGADO")</f>
        <v>INSUMO</v>
      </c>
      <c r="R17" s="21">
        <f>IFERROR(IF('Abr-22'!$F17="","-",VLOOKUP('Abr-22'!$F17,Lista_CUIT!$A$1:$D$1871,4,0)),"CUIT NO CARGADO")</f>
        <v>0</v>
      </c>
    </row>
    <row r="18" spans="2:18" ht="15.75" customHeight="1" x14ac:dyDescent="0.25">
      <c r="B18" s="10">
        <v>44657</v>
      </c>
      <c r="C18" s="11">
        <v>1</v>
      </c>
      <c r="D18" s="12">
        <v>60</v>
      </c>
      <c r="E18" s="13">
        <v>6862</v>
      </c>
      <c r="F18" s="14">
        <v>30547188760</v>
      </c>
      <c r="G18" s="15" t="str">
        <f>IFERROR(IF('Abr-22'!$F18="","-",VLOOKUP('Abr-22'!$F18,Lista_CUIT!$A$1:$D$1871,2,0)),"CUIT NO CARGADO")</f>
        <v>LONCO HUE SA</v>
      </c>
      <c r="H18" s="16">
        <v>334224.48</v>
      </c>
      <c r="I18" s="23">
        <f>IF('Abr-22'!$H18="","",'Abr-22'!$H18*0.21)</f>
        <v>70187.140799999994</v>
      </c>
      <c r="J18" s="23"/>
      <c r="K18" s="23"/>
      <c r="L18" s="23"/>
      <c r="M18" s="23"/>
      <c r="N18" s="23"/>
      <c r="O18" s="23"/>
      <c r="P18" s="20">
        <f>SUM('Abr-22'!$H18:$O18)</f>
        <v>404411.62079999998</v>
      </c>
      <c r="Q18" s="15" t="str">
        <f>IFERROR(IF('Abr-22'!$F18="","-",VLOOKUP('Abr-22'!$F18,Lista_CUIT!$A$1:$D$1871,3,0)),"CUIT NO CARGADO")</f>
        <v>INSUMO</v>
      </c>
      <c r="R18" s="21">
        <f>IFERROR(IF('Abr-22'!$F18="","-",VLOOKUP('Abr-22'!$F18,Lista_CUIT!$A$1:$D$1871,4,0)),"CUIT NO CARGADO")</f>
        <v>0</v>
      </c>
    </row>
    <row r="19" spans="2:18" ht="15.75" customHeight="1" x14ac:dyDescent="0.25">
      <c r="B19" s="10">
        <v>44662</v>
      </c>
      <c r="C19" s="11">
        <v>1</v>
      </c>
      <c r="D19" s="12">
        <v>700</v>
      </c>
      <c r="E19" s="13">
        <v>360195</v>
      </c>
      <c r="F19" s="14">
        <v>30580111315</v>
      </c>
      <c r="G19" s="15" t="str">
        <f>IFERROR(IF('Abr-22'!$F19="","-",VLOOKUP('Abr-22'!$F19,Lista_CUIT!$A$1:$D$1871,2,0)),"CUIT NO CARGADO")</f>
        <v>DHL EXPRESS ARG SA</v>
      </c>
      <c r="H19" s="16"/>
      <c r="I19" s="23" t="str">
        <f>IF('Abr-22'!$H19="","",'Abr-22'!$H19*0.21)</f>
        <v/>
      </c>
      <c r="J19" s="23"/>
      <c r="K19" s="23"/>
      <c r="L19" s="23"/>
      <c r="M19" s="23"/>
      <c r="N19" s="23"/>
      <c r="O19" s="23">
        <v>8033.97</v>
      </c>
      <c r="P19" s="20">
        <f>SUM('Abr-22'!$H19:$O19)</f>
        <v>8033.97</v>
      </c>
      <c r="Q19" s="15" t="str">
        <f>IFERROR(IF('Abr-22'!$F19="","-",VLOOKUP('Abr-22'!$F19,Lista_CUIT!$A$1:$D$1871,3,0)),"CUIT NO CARGADO")</f>
        <v>GTOS IMP.</v>
      </c>
      <c r="R19" s="21">
        <f>IFERROR(IF('Abr-22'!$F19="","-",VLOOKUP('Abr-22'!$F19,Lista_CUIT!$A$1:$D$1871,4,0)),"CUIT NO CARGADO")</f>
        <v>0</v>
      </c>
    </row>
    <row r="20" spans="2:18" ht="15.75" customHeight="1" x14ac:dyDescent="0.25">
      <c r="B20" s="10">
        <v>44662</v>
      </c>
      <c r="C20" s="11">
        <v>1</v>
      </c>
      <c r="D20" s="12">
        <v>700</v>
      </c>
      <c r="E20" s="13">
        <v>361293</v>
      </c>
      <c r="F20" s="14">
        <v>30580111315</v>
      </c>
      <c r="G20" s="15" t="str">
        <f>IFERROR(IF('Abr-22'!$F20="","-",VLOOKUP('Abr-22'!$F20,Lista_CUIT!$A$1:$D$1871,2,0)),"CUIT NO CARGADO")</f>
        <v>DHL EXPRESS ARG SA</v>
      </c>
      <c r="H20" s="16"/>
      <c r="I20" s="23" t="str">
        <f>IF('Abr-22'!$H20="","",'Abr-22'!$H20*0.21)</f>
        <v/>
      </c>
      <c r="J20" s="23"/>
      <c r="K20" s="23"/>
      <c r="L20" s="23"/>
      <c r="M20" s="23"/>
      <c r="N20" s="23"/>
      <c r="O20" s="23">
        <v>44108.28</v>
      </c>
      <c r="P20" s="20">
        <f>SUM('Abr-22'!$H20:$O20)</f>
        <v>44108.28</v>
      </c>
      <c r="Q20" s="15" t="str">
        <f>IFERROR(IF('Abr-22'!$F20="","-",VLOOKUP('Abr-22'!$F20,Lista_CUIT!$A$1:$D$1871,3,0)),"CUIT NO CARGADO")</f>
        <v>GTOS IMP.</v>
      </c>
      <c r="R20" s="21">
        <f>IFERROR(IF('Abr-22'!$F20="","-",VLOOKUP('Abr-22'!$F20,Lista_CUIT!$A$1:$D$1871,4,0)),"CUIT NO CARGADO")</f>
        <v>0</v>
      </c>
    </row>
    <row r="21" spans="2:18" ht="15.75" customHeight="1" x14ac:dyDescent="0.25">
      <c r="B21" s="10">
        <v>44662</v>
      </c>
      <c r="C21" s="11">
        <v>1</v>
      </c>
      <c r="D21" s="12">
        <v>7</v>
      </c>
      <c r="E21" s="13">
        <v>6293</v>
      </c>
      <c r="F21" s="14">
        <v>30604413482</v>
      </c>
      <c r="G21" s="15" t="str">
        <f>IFERROR(IF('Abr-22'!$F21="","-",VLOOKUP('Abr-22'!$F21,Lista_CUIT!$A$1:$D$1871,2,0)),"CUIT NO CARGADO")</f>
        <v>BULONERA VIETRI SRL</v>
      </c>
      <c r="H21" s="16">
        <v>98274</v>
      </c>
      <c r="I21" s="23">
        <f>IF('Abr-22'!$H21="","",'Abr-22'!$H21*0.21)</f>
        <v>20637.54</v>
      </c>
      <c r="J21" s="23"/>
      <c r="K21" s="23"/>
      <c r="L21" s="23"/>
      <c r="M21" s="23"/>
      <c r="N21" s="23"/>
      <c r="O21" s="23"/>
      <c r="P21" s="20">
        <f>SUM('Abr-22'!$H21:$O21)</f>
        <v>118911.54000000001</v>
      </c>
      <c r="Q21" s="15" t="str">
        <f>IFERROR(IF('Abr-22'!$F21="","-",VLOOKUP('Abr-22'!$F21,Lista_CUIT!$A$1:$D$1871,3,0)),"CUIT NO CARGADO")</f>
        <v>INSUMO</v>
      </c>
      <c r="R21" s="21">
        <f>IFERROR(IF('Abr-22'!$F21="","-",VLOOKUP('Abr-22'!$F21,Lista_CUIT!$A$1:$D$1871,4,0)),"CUIT NO CARGADO")</f>
        <v>0</v>
      </c>
    </row>
    <row r="22" spans="2:18" ht="15.75" customHeight="1" x14ac:dyDescent="0.25">
      <c r="B22" s="24">
        <v>44662</v>
      </c>
      <c r="C22" s="25">
        <v>1</v>
      </c>
      <c r="D22" s="26">
        <v>2466</v>
      </c>
      <c r="E22" s="27">
        <v>345117</v>
      </c>
      <c r="F22" s="28">
        <v>30678814357</v>
      </c>
      <c r="G22" s="29" t="str">
        <f>IFERROR(IF('Abr-22'!$F22="","-",VLOOKUP('Abr-22'!$F22,Lista_CUIT!$A$1:$D$1871,2,0)),"CUIT NO CARGADO")</f>
        <v>Telefonica Moviles Argentina SA</v>
      </c>
      <c r="H22" s="30">
        <v>1765</v>
      </c>
      <c r="I22" s="31"/>
      <c r="J22" s="31">
        <v>476.55</v>
      </c>
      <c r="K22" s="31"/>
      <c r="L22" s="31"/>
      <c r="M22" s="31"/>
      <c r="N22" s="31"/>
      <c r="O22" s="31">
        <v>92.89</v>
      </c>
      <c r="P22" s="32">
        <f>SUM('Abr-22'!$H22:$O22)</f>
        <v>2334.44</v>
      </c>
      <c r="Q22" s="29" t="str">
        <f>IFERROR(IF('Abr-22'!$F22="","-",VLOOKUP('Abr-22'!$F22,Lista_CUIT!$A$1:$D$1871,3,0)),"CUIT NO CARGADO")</f>
        <v>SERVICIOS GAS, LUZ, ETC</v>
      </c>
      <c r="R22" s="21">
        <f>IFERROR(IF('Abr-22'!$F22="","-",VLOOKUP('Abr-22'!$F22,Lista_CUIT!$A$1:$D$1871,4,0)),"CUIT NO CARGADO")</f>
        <v>0</v>
      </c>
    </row>
    <row r="23" spans="2:18" ht="15.75" customHeight="1" x14ac:dyDescent="0.25">
      <c r="B23" s="10">
        <v>44666</v>
      </c>
      <c r="C23" s="11">
        <v>1</v>
      </c>
      <c r="D23" s="12">
        <v>5199</v>
      </c>
      <c r="E23" s="13">
        <v>12079</v>
      </c>
      <c r="F23" s="14">
        <v>30695542476</v>
      </c>
      <c r="G23" s="15" t="str">
        <f>IFERROR(IF('Abr-22'!$F23="","-",VLOOKUP('Abr-22'!$F23,Lista_CUIT!$A$1:$D$1871,2,0)),"CUIT NO CARGADO")</f>
        <v>PAN AMERICAN ENERGY LLC</v>
      </c>
      <c r="H23" s="16">
        <v>3603.39</v>
      </c>
      <c r="I23" s="23">
        <f>IF('Abr-22'!$H23="","",'Abr-22'!$H23*0.21)</f>
        <v>756.7118999999999</v>
      </c>
      <c r="J23" s="23"/>
      <c r="K23" s="23"/>
      <c r="L23" s="23">
        <v>108.1</v>
      </c>
      <c r="M23" s="23"/>
      <c r="N23" s="23"/>
      <c r="O23" s="23">
        <v>779.8</v>
      </c>
      <c r="P23" s="20">
        <f>SUM('Abr-22'!$H23:$O23)</f>
        <v>5248.0019000000002</v>
      </c>
      <c r="Q23" s="15" t="str">
        <f>IFERROR(IF('Abr-22'!$F23="","-",VLOOKUP('Abr-22'!$F23,Lista_CUIT!$A$1:$D$1871,3,0)),"CUIT NO CARGADO")</f>
        <v>COMBUSTIBLE</v>
      </c>
      <c r="R23" s="21">
        <f>IFERROR(IF('Abr-22'!$F23="","-",VLOOKUP('Abr-22'!$F23,Lista_CUIT!$A$1:$D$1871,4,0)),"CUIT NO CARGADO")</f>
        <v>0</v>
      </c>
    </row>
    <row r="24" spans="2:18" ht="15.75" customHeight="1" x14ac:dyDescent="0.25">
      <c r="B24" s="10">
        <v>44669</v>
      </c>
      <c r="C24" s="11">
        <v>1</v>
      </c>
      <c r="D24" s="12">
        <v>700</v>
      </c>
      <c r="E24" s="13">
        <v>364547</v>
      </c>
      <c r="F24" s="14">
        <v>30580111315</v>
      </c>
      <c r="G24" s="15" t="str">
        <f>IFERROR(IF('Abr-22'!$F24="","-",VLOOKUP('Abr-22'!$F24,Lista_CUIT!$A$1:$D$1871,2,0)),"CUIT NO CARGADO")</f>
        <v>DHL EXPRESS ARG SA</v>
      </c>
      <c r="H24" s="16"/>
      <c r="I24" s="23" t="str">
        <f>IF('Abr-22'!$H24="","",'Abr-22'!$H24*0.21)</f>
        <v/>
      </c>
      <c r="J24" s="23"/>
      <c r="K24" s="23"/>
      <c r="L24" s="23"/>
      <c r="M24" s="23"/>
      <c r="N24" s="23"/>
      <c r="O24" s="23">
        <v>12877.34</v>
      </c>
      <c r="P24" s="20">
        <f>SUM('Abr-22'!$H24:$O24)</f>
        <v>12877.34</v>
      </c>
      <c r="Q24" s="15" t="str">
        <f>IFERROR(IF('Abr-22'!$F24="","-",VLOOKUP('Abr-22'!$F24,Lista_CUIT!$A$1:$D$1871,3,0)),"CUIT NO CARGADO")</f>
        <v>GTOS IMP.</v>
      </c>
      <c r="R24" s="21">
        <f>IFERROR(IF('Abr-22'!$F24="","-",VLOOKUP('Abr-22'!$F24,Lista_CUIT!$A$1:$D$1871,4,0)),"CUIT NO CARGADO")</f>
        <v>0</v>
      </c>
    </row>
    <row r="25" spans="2:18" ht="15.75" customHeight="1" x14ac:dyDescent="0.25">
      <c r="B25" s="10">
        <v>44669</v>
      </c>
      <c r="C25" s="11">
        <v>1</v>
      </c>
      <c r="D25" s="12">
        <v>4</v>
      </c>
      <c r="E25" s="13">
        <v>1886</v>
      </c>
      <c r="F25" s="14">
        <v>20068864934</v>
      </c>
      <c r="G25" s="15" t="str">
        <f>IFERROR(IF('Abr-22'!$F25="","-",VLOOKUP('Abr-22'!$F25,Lista_CUIT!$A$1:$D$1871,2,0)),"CUIT NO CARGADO")</f>
        <v>DISTRIBUIDORA SANITARIA JACOBO</v>
      </c>
      <c r="H25" s="16">
        <v>1289.26</v>
      </c>
      <c r="I25" s="23">
        <f>IF('Abr-22'!$H25="","",'Abr-22'!$H25*0.21)</f>
        <v>270.74459999999999</v>
      </c>
      <c r="J25" s="23"/>
      <c r="K25" s="23"/>
      <c r="L25" s="23"/>
      <c r="M25" s="23"/>
      <c r="N25" s="23"/>
      <c r="O25" s="23"/>
      <c r="P25" s="20">
        <f>SUM('Abr-22'!$H25:$O25)</f>
        <v>1560.0046</v>
      </c>
      <c r="Q25" s="15" t="str">
        <f>IFERROR(IF('Abr-22'!$F25="","-",VLOOKUP('Abr-22'!$F25,Lista_CUIT!$A$1:$D$1871,3,0)),"CUIT NO CARGADO")</f>
        <v>INSUMO</v>
      </c>
      <c r="R25" s="21">
        <f>IFERROR(IF('Abr-22'!$F25="","-",VLOOKUP('Abr-22'!$F25,Lista_CUIT!$A$1:$D$1871,4,0)),"CUIT NO CARGADO")</f>
        <v>0</v>
      </c>
    </row>
    <row r="26" spans="2:18" ht="15.75" customHeight="1" x14ac:dyDescent="0.25">
      <c r="B26" s="10">
        <v>44669</v>
      </c>
      <c r="C26" s="11">
        <v>1</v>
      </c>
      <c r="D26" s="12">
        <v>2</v>
      </c>
      <c r="E26" s="13">
        <v>128</v>
      </c>
      <c r="F26" s="14">
        <v>20125142851</v>
      </c>
      <c r="G26" s="15" t="str">
        <f>IFERROR(IF('Abr-22'!$F26="","-",VLOOKUP('Abr-22'!$F26,Lista_CUIT!$A$1:$D$1871,2,0)),"CUIT NO CARGADO")</f>
        <v>FEDERICI NICOLAS JOSE</v>
      </c>
      <c r="H26" s="16">
        <v>54222.3</v>
      </c>
      <c r="I26" s="23">
        <f>IF('Abr-22'!$H26="","",'Abr-22'!$H26*0.21)</f>
        <v>11386.683000000001</v>
      </c>
      <c r="J26" s="23"/>
      <c r="K26" s="23"/>
      <c r="L26" s="23"/>
      <c r="M26" s="23"/>
      <c r="N26" s="23"/>
      <c r="O26" s="23"/>
      <c r="P26" s="20">
        <f>SUM('Abr-22'!$H26:$O26)</f>
        <v>65608.983000000007</v>
      </c>
      <c r="Q26" s="15" t="str">
        <f>IFERROR(IF('Abr-22'!$F26="","-",VLOOKUP('Abr-22'!$F26,Lista_CUIT!$A$1:$D$1871,3,0)),"CUIT NO CARGADO")</f>
        <v>INSUMO</v>
      </c>
      <c r="R26" s="21">
        <f>IFERROR(IF('Abr-22'!$F26="","-",VLOOKUP('Abr-22'!$F26,Lista_CUIT!$A$1:$D$1871,4,0)),"CUIT NO CARGADO")</f>
        <v>0</v>
      </c>
    </row>
    <row r="27" spans="2:18" ht="15.75" customHeight="1" x14ac:dyDescent="0.25">
      <c r="B27" s="10">
        <v>44669</v>
      </c>
      <c r="C27" s="11">
        <v>1</v>
      </c>
      <c r="D27" s="12">
        <v>2</v>
      </c>
      <c r="E27" s="13">
        <v>129</v>
      </c>
      <c r="F27" s="14">
        <v>20125142851</v>
      </c>
      <c r="G27" s="15" t="str">
        <f>IFERROR(IF('Abr-22'!$F27="","-",VLOOKUP('Abr-22'!$F27,Lista_CUIT!$A$1:$D$1871,2,0)),"CUIT NO CARGADO")</f>
        <v>FEDERICI NICOLAS JOSE</v>
      </c>
      <c r="H27" s="16">
        <v>59539.92</v>
      </c>
      <c r="I27" s="23">
        <f>IF('Abr-22'!$H27="","",'Abr-22'!$H27*0.21)</f>
        <v>12503.383199999998</v>
      </c>
      <c r="J27" s="23"/>
      <c r="K27" s="23"/>
      <c r="L27" s="23"/>
      <c r="M27" s="23"/>
      <c r="N27" s="23"/>
      <c r="O27" s="23"/>
      <c r="P27" s="20">
        <f>SUM('Abr-22'!$H27:$O27)</f>
        <v>72043.303199999995</v>
      </c>
      <c r="Q27" s="15" t="str">
        <f>IFERROR(IF('Abr-22'!$F27="","-",VLOOKUP('Abr-22'!$F27,Lista_CUIT!$A$1:$D$1871,3,0)),"CUIT NO CARGADO")</f>
        <v>INSUMO</v>
      </c>
      <c r="R27" s="21">
        <f>IFERROR(IF('Abr-22'!$F27="","-",VLOOKUP('Abr-22'!$F27,Lista_CUIT!$A$1:$D$1871,4,0)),"CUIT NO CARGADO")</f>
        <v>0</v>
      </c>
    </row>
    <row r="28" spans="2:18" ht="15.75" customHeight="1" x14ac:dyDescent="0.25">
      <c r="B28" s="10">
        <v>44670</v>
      </c>
      <c r="C28" s="11">
        <v>1</v>
      </c>
      <c r="D28" s="12">
        <v>4</v>
      </c>
      <c r="E28" s="13">
        <v>9754</v>
      </c>
      <c r="F28" s="14">
        <v>33710719549</v>
      </c>
      <c r="G28" s="15" t="str">
        <f>IFERROR(IF('Abr-22'!$F28="","-",VLOOKUP('Abr-22'!$F28,Lista_CUIT!$A$1:$D$1871,2,0)),"CUIT NO CARGADO")</f>
        <v>FIVELEV S.R.L.</v>
      </c>
      <c r="H28" s="16">
        <v>3722.32</v>
      </c>
      <c r="I28" s="23">
        <f>IF('Abr-22'!$H28="","",'Abr-22'!$H28*0.21)</f>
        <v>781.68719999999996</v>
      </c>
      <c r="J28" s="23"/>
      <c r="K28" s="23"/>
      <c r="L28" s="23"/>
      <c r="M28" s="23"/>
      <c r="N28" s="23"/>
      <c r="O28" s="23"/>
      <c r="P28" s="20">
        <f>SUM('Abr-22'!$H28:$O28)</f>
        <v>4504.0072</v>
      </c>
      <c r="Q28" s="15" t="str">
        <f>IFERROR(IF('Abr-22'!$F28="","-",VLOOKUP('Abr-22'!$F28,Lista_CUIT!$A$1:$D$1871,3,0)),"CUIT NO CARGADO")</f>
        <v>Gastos Varios</v>
      </c>
      <c r="R28" s="21">
        <f>IFERROR(IF('Abr-22'!$F28="","-",VLOOKUP('Abr-22'!$F28,Lista_CUIT!$A$1:$D$1871,4,0)),"CUIT NO CARGADO")</f>
        <v>0</v>
      </c>
    </row>
    <row r="29" spans="2:18" ht="15.75" customHeight="1" x14ac:dyDescent="0.25">
      <c r="B29" s="10">
        <v>44671</v>
      </c>
      <c r="C29" s="11">
        <v>1</v>
      </c>
      <c r="D29" s="12">
        <v>1</v>
      </c>
      <c r="E29" s="13">
        <v>110</v>
      </c>
      <c r="F29" s="14">
        <v>30715713272</v>
      </c>
      <c r="G29" s="15" t="str">
        <f>IFERROR(IF('Abr-22'!$F29="","-",VLOOKUP('Abr-22'!$F29,Lista_CUIT!$A$1:$D$1871,2,0)),"CUIT NO CARGADO")</f>
        <v>MALAGA GROUP SRL</v>
      </c>
      <c r="H29" s="16">
        <v>191825.21</v>
      </c>
      <c r="I29" s="23">
        <f>IF('Abr-22'!$H29="","",'Abr-22'!$H29*0.21)</f>
        <v>40283.294099999999</v>
      </c>
      <c r="J29" s="23"/>
      <c r="K29" s="23"/>
      <c r="L29" s="23"/>
      <c r="M29" s="23"/>
      <c r="N29" s="23"/>
      <c r="O29" s="23"/>
      <c r="P29" s="20">
        <f>SUM('Abr-22'!$H29:$O29)</f>
        <v>232108.50409999999</v>
      </c>
      <c r="Q29" s="15" t="str">
        <f>IFERROR(IF('Abr-22'!$F29="","-",VLOOKUP('Abr-22'!$F29,Lista_CUIT!$A$1:$D$1871,3,0)),"CUIT NO CARGADO")</f>
        <v>Gastos Varios</v>
      </c>
      <c r="R29" s="21">
        <f>IFERROR(IF('Abr-22'!$F29="","-",VLOOKUP('Abr-22'!$F29,Lista_CUIT!$A$1:$D$1871,4,0)),"CUIT NO CARGADO")</f>
        <v>0</v>
      </c>
    </row>
    <row r="30" spans="2:18" ht="20.25" customHeight="1" x14ac:dyDescent="0.25">
      <c r="B30" s="10">
        <v>44672</v>
      </c>
      <c r="C30" s="11">
        <v>3</v>
      </c>
      <c r="D30" s="12">
        <v>2</v>
      </c>
      <c r="E30" s="13">
        <v>138</v>
      </c>
      <c r="F30" s="14">
        <v>30709131733</v>
      </c>
      <c r="G30" s="15" t="str">
        <f>IFERROR(IF('Abr-22'!$F30="","-",VLOOKUP('Abr-22'!$F30,Lista_CUIT!$A$1:$D$1871,2,0)),"CUIT NO CARGADO")</f>
        <v>DIGAS SRL</v>
      </c>
      <c r="H30" s="16">
        <v>-193720</v>
      </c>
      <c r="I30" s="23">
        <f>IF('Abr-22'!$H30="","",'Abr-22'!$H30*0.21)</f>
        <v>-40681.199999999997</v>
      </c>
      <c r="J30" s="23"/>
      <c r="K30" s="23"/>
      <c r="L30" s="23"/>
      <c r="M30" s="23"/>
      <c r="N30" s="23"/>
      <c r="O30" s="23"/>
      <c r="P30" s="20">
        <f>SUM('Abr-22'!$H30:$O30)</f>
        <v>-234401.2</v>
      </c>
      <c r="Q30" s="15" t="str">
        <f>IFERROR(IF('Abr-22'!$F30="","-",VLOOKUP('Abr-22'!$F30,Lista_CUIT!$A$1:$D$1871,3,0)),"CUIT NO CARGADO")</f>
        <v>INSUMO</v>
      </c>
      <c r="R30" s="21">
        <f>IFERROR(IF('Abr-22'!$F30="","-",VLOOKUP('Abr-22'!$F30,Lista_CUIT!$A$1:$D$1871,4,0)),"CUIT NO CARGADO")</f>
        <v>0</v>
      </c>
    </row>
    <row r="31" spans="2:18" ht="20.25" customHeight="1" x14ac:dyDescent="0.25">
      <c r="B31" s="10">
        <v>44672</v>
      </c>
      <c r="C31" s="11">
        <v>1</v>
      </c>
      <c r="D31" s="12">
        <v>5</v>
      </c>
      <c r="E31" s="13">
        <v>415</v>
      </c>
      <c r="F31" s="14">
        <v>30716006391</v>
      </c>
      <c r="G31" s="15" t="str">
        <f>IFERROR(IF('Abr-22'!$F31="","-",VLOOKUP('Abr-22'!$F31,Lista_CUIT!$A$1:$D$1871,2,0)),"CUIT NO CARGADO")</f>
        <v xml:space="preserve">ALISSING </v>
      </c>
      <c r="H31" s="16">
        <v>3077.69</v>
      </c>
      <c r="I31" s="23">
        <f>IF('Abr-22'!$H31="","",'Abr-22'!$H31*0.21)</f>
        <v>646.31489999999997</v>
      </c>
      <c r="J31" s="23"/>
      <c r="K31" s="23"/>
      <c r="L31" s="23"/>
      <c r="M31" s="23"/>
      <c r="N31" s="23"/>
      <c r="O31" s="23"/>
      <c r="P31" s="20">
        <f>SUM('Abr-22'!$H31:$O31)</f>
        <v>3724.0048999999999</v>
      </c>
      <c r="Q31" s="15" t="str">
        <f>IFERROR(IF('Abr-22'!$F31="","-",VLOOKUP('Abr-22'!$F31,Lista_CUIT!$A$1:$D$1871,3,0)),"CUIT NO CARGADO")</f>
        <v>Gastos Varios</v>
      </c>
      <c r="R31" s="21">
        <f>IFERROR(IF('Abr-22'!$F31="","-",VLOOKUP('Abr-22'!$F31,Lista_CUIT!$A$1:$D$1871,4,0)),"CUIT NO CARGADO")</f>
        <v>0</v>
      </c>
    </row>
    <row r="32" spans="2:18" ht="20.25" customHeight="1" x14ac:dyDescent="0.25">
      <c r="B32" s="10">
        <v>44672</v>
      </c>
      <c r="C32" s="11">
        <v>1</v>
      </c>
      <c r="D32" s="12">
        <v>7002</v>
      </c>
      <c r="E32" s="13">
        <v>3975</v>
      </c>
      <c r="F32" s="14">
        <v>30678774495</v>
      </c>
      <c r="G32" s="15" t="str">
        <f>IFERROR(IF('Abr-22'!$F32="","-",VLOOKUP('Abr-22'!$F32,Lista_CUIT!$A$1:$D$1871,2,0)),"CUIT NO CARGADO")</f>
        <v>OPER. DE EST. DE SERV. SA</v>
      </c>
      <c r="H32" s="16">
        <v>3230.2</v>
      </c>
      <c r="I32" s="23">
        <f>IF('Abr-22'!$H32="","",'Abr-22'!$H32*0.21)</f>
        <v>678.34199999999998</v>
      </c>
      <c r="J32" s="23"/>
      <c r="K32" s="23"/>
      <c r="L32" s="23"/>
      <c r="M32" s="23"/>
      <c r="N32" s="23"/>
      <c r="O32" s="23">
        <v>982.25</v>
      </c>
      <c r="P32" s="20">
        <f>SUM('Abr-22'!$H32:$O32)</f>
        <v>4890.7919999999995</v>
      </c>
      <c r="Q32" s="15" t="str">
        <f>IFERROR(IF('Abr-22'!$F32="","-",VLOOKUP('Abr-22'!$F32,Lista_CUIT!$A$1:$D$1871,3,0)),"CUIT NO CARGADO")</f>
        <v>COMBUSTIBLE</v>
      </c>
      <c r="R32" s="21">
        <f>IFERROR(IF('Abr-22'!$F32="","-",VLOOKUP('Abr-22'!$F32,Lista_CUIT!$A$1:$D$1871,4,0)),"CUIT NO CARGADO")</f>
        <v>0</v>
      </c>
    </row>
    <row r="33" spans="2:18" ht="20.25" customHeight="1" x14ac:dyDescent="0.25">
      <c r="B33" s="10">
        <v>44672</v>
      </c>
      <c r="C33" s="11">
        <v>1</v>
      </c>
      <c r="D33" s="12">
        <v>3</v>
      </c>
      <c r="E33" s="13">
        <v>16645</v>
      </c>
      <c r="F33" s="14">
        <v>30707468161</v>
      </c>
      <c r="G33" s="15" t="str">
        <f>IFERROR(IF('Abr-22'!$F33="","-",VLOOKUP('Abr-22'!$F33,Lista_CUIT!$A$1:$D$1871,2,0)),"CUIT NO CARGADO")</f>
        <v>LASERTEC INGENIERIA S.R.L.</v>
      </c>
      <c r="H33" s="16">
        <v>25585</v>
      </c>
      <c r="I33" s="23">
        <f>IF('Abr-22'!$H33="","",'Abr-22'!$H33*0.21)</f>
        <v>5372.8499999999995</v>
      </c>
      <c r="J33" s="23"/>
      <c r="K33" s="23"/>
      <c r="L33" s="23"/>
      <c r="M33" s="23"/>
      <c r="N33" s="23"/>
      <c r="O33" s="23"/>
      <c r="P33" s="20">
        <f>SUM('Abr-22'!$H33:$O33)</f>
        <v>30957.85</v>
      </c>
      <c r="Q33" s="15" t="str">
        <f>IFERROR(IF('Abr-22'!$F33="","-",VLOOKUP('Abr-22'!$F33,Lista_CUIT!$A$1:$D$1871,3,0)),"CUIT NO CARGADO")</f>
        <v>INSUMO</v>
      </c>
      <c r="R33" s="21">
        <f>IFERROR(IF('Abr-22'!$F33="","-",VLOOKUP('Abr-22'!$F33,Lista_CUIT!$A$1:$D$1871,4,0)),"CUIT NO CARGADO")</f>
        <v>0</v>
      </c>
    </row>
    <row r="34" spans="2:18" ht="20.25" customHeight="1" x14ac:dyDescent="0.25">
      <c r="B34" s="10">
        <v>44672</v>
      </c>
      <c r="C34" s="11">
        <v>1</v>
      </c>
      <c r="D34" s="12">
        <v>2</v>
      </c>
      <c r="E34" s="13">
        <v>2055</v>
      </c>
      <c r="F34" s="14">
        <v>30709131733</v>
      </c>
      <c r="G34" s="15" t="str">
        <f>IFERROR(IF('Abr-22'!$F34="","-",VLOOKUP('Abr-22'!$F34,Lista_CUIT!$A$1:$D$1871,2,0)),"CUIT NO CARGADO")</f>
        <v>DIGAS SRL</v>
      </c>
      <c r="H34" s="16">
        <v>267952.3</v>
      </c>
      <c r="I34" s="23">
        <f>IF('Abr-22'!$H34="","",'Abr-22'!$H34*0.21)</f>
        <v>56269.982999999993</v>
      </c>
      <c r="J34" s="23"/>
      <c r="K34" s="23"/>
      <c r="L34" s="23"/>
      <c r="M34" s="23"/>
      <c r="N34" s="23"/>
      <c r="O34" s="23"/>
      <c r="P34" s="20">
        <f>SUM('Abr-22'!$H34:$O34)</f>
        <v>324222.283</v>
      </c>
      <c r="Q34" s="15" t="str">
        <f>IFERROR(IF('Abr-22'!$F34="","-",VLOOKUP('Abr-22'!$F34,Lista_CUIT!$A$1:$D$1871,3,0)),"CUIT NO CARGADO")</f>
        <v>INSUMO</v>
      </c>
      <c r="R34" s="21">
        <f>IFERROR(IF('Abr-22'!$F34="","-",VLOOKUP('Abr-22'!$F34,Lista_CUIT!$A$1:$D$1871,4,0)),"CUIT NO CARGADO")</f>
        <v>0</v>
      </c>
    </row>
    <row r="35" spans="2:18" ht="20.25" customHeight="1" x14ac:dyDescent="0.25">
      <c r="B35" s="10">
        <v>44673</v>
      </c>
      <c r="C35" s="11">
        <v>1</v>
      </c>
      <c r="D35" s="12">
        <v>106</v>
      </c>
      <c r="E35" s="13">
        <v>519106</v>
      </c>
      <c r="F35" s="14">
        <v>30594494187</v>
      </c>
      <c r="G35" s="15" t="str">
        <f>IFERROR(IF('Abr-22'!$F35="","-",VLOOKUP('Abr-22'!$F35,Lista_CUIT!$A$1:$D$1871,2,0)),"CUIT NO CARGADO")</f>
        <v>FEDERAL EXPRESS CORPORATION</v>
      </c>
      <c r="H35" s="16">
        <v>11875</v>
      </c>
      <c r="I35" s="23">
        <f>IF('Abr-22'!$H35="","",'Abr-22'!$H35*0.21)</f>
        <v>2493.75</v>
      </c>
      <c r="J35" s="23"/>
      <c r="K35" s="23"/>
      <c r="L35" s="23"/>
      <c r="M35" s="23"/>
      <c r="N35" s="23"/>
      <c r="O35" s="23">
        <v>130744.03</v>
      </c>
      <c r="P35" s="20">
        <f>SUM('Abr-22'!$H35:$O35)</f>
        <v>145112.78</v>
      </c>
      <c r="Q35" s="15" t="str">
        <f>IFERROR(IF('Abr-22'!$F35="","-",VLOOKUP('Abr-22'!$F35,Lista_CUIT!$A$1:$D$1871,3,0)),"CUIT NO CARGADO")</f>
        <v>GTOS IMP.</v>
      </c>
      <c r="R35" s="21">
        <f>IFERROR(IF('Abr-22'!$F35="","-",VLOOKUP('Abr-22'!$F35,Lista_CUIT!$A$1:$D$1871,4,0)),"CUIT NO CARGADO")</f>
        <v>0</v>
      </c>
    </row>
    <row r="36" spans="2:18" ht="20.25" customHeight="1" x14ac:dyDescent="0.25">
      <c r="B36" s="10">
        <v>44673</v>
      </c>
      <c r="C36" s="11">
        <v>1</v>
      </c>
      <c r="D36" s="12">
        <v>9</v>
      </c>
      <c r="E36" s="13">
        <v>1134</v>
      </c>
      <c r="F36" s="14">
        <v>30631047145</v>
      </c>
      <c r="G36" s="15" t="str">
        <f>IFERROR(IF('Abr-22'!$F36="","-",VLOOKUP('Abr-22'!$F36,Lista_CUIT!$A$1:$D$1871,2,0)),"CUIT NO CARGADO")</f>
        <v>SEMICONDUC. Y COMPON. SRL</v>
      </c>
      <c r="H36" s="16">
        <v>38694</v>
      </c>
      <c r="I36" s="23">
        <v>3087</v>
      </c>
      <c r="J36" s="23"/>
      <c r="K36" s="23">
        <v>2519.37</v>
      </c>
      <c r="L36" s="23"/>
      <c r="M36" s="23"/>
      <c r="N36" s="23"/>
      <c r="O36" s="23"/>
      <c r="P36" s="20">
        <f>SUM('Abr-22'!$H36:$O36)</f>
        <v>44300.37</v>
      </c>
      <c r="Q36" s="15" t="str">
        <f>IFERROR(IF('Abr-22'!$F36="","-",VLOOKUP('Abr-22'!$F36,Lista_CUIT!$A$1:$D$1871,3,0)),"CUIT NO CARGADO")</f>
        <v>INSUMO</v>
      </c>
      <c r="R36" s="21">
        <f>IFERROR(IF('Abr-22'!$F36="","-",VLOOKUP('Abr-22'!$F36,Lista_CUIT!$A$1:$D$1871,4,0)),"CUIT NO CARGADO")</f>
        <v>0</v>
      </c>
    </row>
    <row r="37" spans="2:18" ht="20.25" customHeight="1" x14ac:dyDescent="0.25">
      <c r="B37" s="10">
        <v>44673</v>
      </c>
      <c r="C37" s="11">
        <v>1</v>
      </c>
      <c r="D37" s="12">
        <v>1</v>
      </c>
      <c r="E37" s="13">
        <v>305</v>
      </c>
      <c r="F37" s="14">
        <v>20190828205</v>
      </c>
      <c r="G37" s="15" t="str">
        <f>IFERROR(IF('Abr-22'!$F37="","-",VLOOKUP('Abr-22'!$F37,Lista_CUIT!$A$1:$D$1871,2,0)),"CUIT NO CARGADO")</f>
        <v>CARDENAS TORRES CARLOS DAVID</v>
      </c>
      <c r="H37" s="16">
        <v>12669.68</v>
      </c>
      <c r="I37" s="23"/>
      <c r="J37" s="23"/>
      <c r="K37" s="23">
        <v>1330.3163999999999</v>
      </c>
      <c r="L37" s="23"/>
      <c r="M37" s="23"/>
      <c r="N37" s="23"/>
      <c r="O37" s="23"/>
      <c r="P37" s="20">
        <f>SUM('Abr-22'!$H37:$O37)</f>
        <v>13999.9964</v>
      </c>
      <c r="Q37" s="15" t="str">
        <f>IFERROR(IF('Abr-22'!$F37="","-",VLOOKUP('Abr-22'!$F37,Lista_CUIT!$A$1:$D$1871,3,0)),"CUIT NO CARGADO")</f>
        <v>INSUMO</v>
      </c>
      <c r="R37" s="21">
        <f>IFERROR(IF('Abr-22'!$F37="","-",VLOOKUP('Abr-22'!$F37,Lista_CUIT!$A$1:$D$1871,4,0)),"CUIT NO CARGADO")</f>
        <v>0</v>
      </c>
    </row>
    <row r="38" spans="2:18" ht="20.25" customHeight="1" x14ac:dyDescent="0.25">
      <c r="B38" s="24">
        <v>44675</v>
      </c>
      <c r="C38" s="25">
        <v>1</v>
      </c>
      <c r="D38" s="26">
        <v>30</v>
      </c>
      <c r="E38" s="27">
        <v>3550</v>
      </c>
      <c r="F38" s="28">
        <v>20217293791</v>
      </c>
      <c r="G38" s="29" t="str">
        <f>IFERROR(IF('Abr-22'!$F38="","-",VLOOKUP('Abr-22'!$F38,Lista_CUIT!$A$1:$D$1871,2,0)),"CUIT NO CARGADO")</f>
        <v>VELASCO LEIVA DEMIAN</v>
      </c>
      <c r="H38" s="30">
        <v>7462.81</v>
      </c>
      <c r="I38" s="31">
        <f>IF('Abr-22'!$H38="","",'Abr-22'!$H38*0.21)</f>
        <v>1567.1901</v>
      </c>
      <c r="J38" s="31"/>
      <c r="K38" s="31"/>
      <c r="L38" s="31"/>
      <c r="M38" s="31"/>
      <c r="N38" s="31"/>
      <c r="O38" s="31"/>
      <c r="P38" s="32">
        <f>SUM('Abr-22'!$H38:$O38)</f>
        <v>9030.0001000000011</v>
      </c>
      <c r="Q38" s="29" t="str">
        <f>IFERROR(IF('Abr-22'!$F38="","-",VLOOKUP('Abr-22'!$F38,Lista_CUIT!$A$1:$D$1871,3,0)),"CUIT NO CARGADO")</f>
        <v>Gastos Varios</v>
      </c>
      <c r="R38" s="21">
        <f>IFERROR(IF('Abr-22'!$F38="","-",VLOOKUP('Abr-22'!$F38,Lista_CUIT!$A$1:$D$1871,4,0)),"CUIT NO CARGADO")</f>
        <v>0</v>
      </c>
    </row>
    <row r="39" spans="2:18" ht="20.25" customHeight="1" x14ac:dyDescent="0.25">
      <c r="B39" s="24">
        <v>44677</v>
      </c>
      <c r="C39" s="25">
        <v>1</v>
      </c>
      <c r="D39" s="26">
        <v>40</v>
      </c>
      <c r="E39" s="27">
        <v>1978547</v>
      </c>
      <c r="F39" s="28">
        <v>30710964277</v>
      </c>
      <c r="G39" s="29" t="str">
        <f>IFERROR(IF('Abr-22'!$F39="","-",VLOOKUP('Abr-22'!$F39,Lista_CUIT!$A$1:$D$1871,2,0)),"CUIT NO CARGADO")</f>
        <v>LAKAUT SA</v>
      </c>
      <c r="H39" s="30">
        <v>2615.2600000000002</v>
      </c>
      <c r="I39" s="31">
        <f>IF('Abr-22'!$H39="","",'Abr-22'!$H39*0.21)</f>
        <v>549.20460000000003</v>
      </c>
      <c r="J39" s="31"/>
      <c r="K39" s="31"/>
      <c r="L39" s="31"/>
      <c r="M39" s="31"/>
      <c r="N39" s="31"/>
      <c r="O39" s="31"/>
      <c r="P39" s="32">
        <f>SUM('Abr-22'!$H39:$O39)</f>
        <v>3164.4646000000002</v>
      </c>
      <c r="Q39" s="29" t="str">
        <f>IFERROR(IF('Abr-22'!$F39="","-",VLOOKUP('Abr-22'!$F39,Lista_CUIT!$A$1:$D$1871,3,0)),"CUIT NO CARGADO")</f>
        <v>GTOS IMP.</v>
      </c>
      <c r="R39" s="21">
        <f>IFERROR(IF('Abr-22'!$F39="","-",VLOOKUP('Abr-22'!$F39,Lista_CUIT!$A$1:$D$1871,4,0)),"CUIT NO CARGADO")</f>
        <v>0</v>
      </c>
    </row>
    <row r="40" spans="2:18" ht="20.25" customHeight="1" x14ac:dyDescent="0.25">
      <c r="B40" s="10">
        <v>44677</v>
      </c>
      <c r="C40" s="11">
        <v>1</v>
      </c>
      <c r="D40" s="12">
        <v>3</v>
      </c>
      <c r="E40" s="13">
        <v>16677</v>
      </c>
      <c r="F40" s="14">
        <v>30707468161</v>
      </c>
      <c r="G40" s="15" t="str">
        <f>IFERROR(IF('Abr-22'!$F40="","-",VLOOKUP('Abr-22'!$F40,Lista_CUIT!$A$1:$D$1871,2,0)),"CUIT NO CARGADO")</f>
        <v>LASERTEC INGENIERIA S.R.L.</v>
      </c>
      <c r="H40" s="16">
        <v>33460</v>
      </c>
      <c r="I40" s="23">
        <f>IF('Abr-22'!$H40="","",'Abr-22'!$H40*0.21)</f>
        <v>7026.5999999999995</v>
      </c>
      <c r="J40" s="23"/>
      <c r="K40" s="23"/>
      <c r="L40" s="23"/>
      <c r="M40" s="23"/>
      <c r="N40" s="23"/>
      <c r="O40" s="23"/>
      <c r="P40" s="20">
        <f>SUM('Abr-22'!$H40:$O40)</f>
        <v>40486.6</v>
      </c>
      <c r="Q40" s="15" t="str">
        <f>IFERROR(IF('Abr-22'!$F40="","-",VLOOKUP('Abr-22'!$F40,Lista_CUIT!$A$1:$D$1871,3,0)),"CUIT NO CARGADO")</f>
        <v>INSUMO</v>
      </c>
      <c r="R40" s="21">
        <f>IFERROR(IF('Abr-22'!$F40="","-",VLOOKUP('Abr-22'!$F40,Lista_CUIT!$A$1:$D$1871,4,0)),"CUIT NO CARGADO")</f>
        <v>0</v>
      </c>
    </row>
    <row r="41" spans="2:18" ht="20.25" customHeight="1" x14ac:dyDescent="0.25">
      <c r="B41" s="24">
        <v>44678</v>
      </c>
      <c r="C41" s="25">
        <v>3</v>
      </c>
      <c r="D41" s="26">
        <v>60</v>
      </c>
      <c r="E41" s="27">
        <v>462</v>
      </c>
      <c r="F41" s="28">
        <v>30547188760</v>
      </c>
      <c r="G41" s="29" t="str">
        <f>IFERROR(IF('Abr-22'!$F41="","-",VLOOKUP('Abr-22'!$F41,Lista_CUIT!$A$1:$D$1871,2,0)),"CUIT NO CARGADO")</f>
        <v>LONCO HUE SA</v>
      </c>
      <c r="H41" s="30">
        <v>-13634.24</v>
      </c>
      <c r="I41" s="31">
        <f>IF('Abr-22'!$H41="","",'Abr-22'!$H41*0.21)</f>
        <v>-2863.1904</v>
      </c>
      <c r="J41" s="31"/>
      <c r="K41" s="31"/>
      <c r="L41" s="31"/>
      <c r="M41" s="31"/>
      <c r="N41" s="31"/>
      <c r="O41" s="31"/>
      <c r="P41" s="32">
        <f>SUM('Abr-22'!$H41:$O41)</f>
        <v>-16497.430400000001</v>
      </c>
      <c r="Q41" s="29" t="str">
        <f>IFERROR(IF('Abr-22'!$F41="","-",VLOOKUP('Abr-22'!$F41,Lista_CUIT!$A$1:$D$1871,3,0)),"CUIT NO CARGADO")</f>
        <v>INSUMO</v>
      </c>
      <c r="R41" s="21">
        <f>IFERROR(IF('Abr-22'!$F41="","-",VLOOKUP('Abr-22'!$F41,Lista_CUIT!$A$1:$D$1871,4,0)),"CUIT NO CARGADO")</f>
        <v>0</v>
      </c>
    </row>
    <row r="42" spans="2:18" ht="20.25" customHeight="1" x14ac:dyDescent="0.25">
      <c r="B42" s="24">
        <v>44678</v>
      </c>
      <c r="C42" s="25">
        <v>1</v>
      </c>
      <c r="D42" s="26">
        <v>3</v>
      </c>
      <c r="E42" s="27">
        <v>845863</v>
      </c>
      <c r="F42" s="28">
        <v>30712019359</v>
      </c>
      <c r="G42" s="29" t="str">
        <f>IFERROR(IF('Abr-22'!$F42="","-",VLOOKUP('Abr-22'!$F42,Lista_CUIT!$A$1:$D$1871,2,0)),"CUIT NO CARGADO")</f>
        <v>LINKEDSTORE ARGENTINA S.R.L.</v>
      </c>
      <c r="H42" s="30">
        <v>2478.5100000000002</v>
      </c>
      <c r="I42" s="31">
        <f>IF('Abr-22'!$H42="","",'Abr-22'!$H42*0.21)</f>
        <v>520.48710000000005</v>
      </c>
      <c r="J42" s="31"/>
      <c r="K42" s="31"/>
      <c r="L42" s="31"/>
      <c r="M42" s="31"/>
      <c r="N42" s="31"/>
      <c r="O42" s="31"/>
      <c r="P42" s="32">
        <f>SUM('Abr-22'!$H42:$O42)</f>
        <v>2998.9971000000005</v>
      </c>
      <c r="Q42" s="29" t="str">
        <f>IFERROR(IF('Abr-22'!$F42="","-",VLOOKUP('Abr-22'!$F42,Lista_CUIT!$A$1:$D$1871,3,0)),"CUIT NO CARGADO")</f>
        <v>Gastos Varios</v>
      </c>
      <c r="R42" s="21">
        <f>IFERROR(IF('Abr-22'!$F42="","-",VLOOKUP('Abr-22'!$F42,Lista_CUIT!$A$1:$D$1871,4,0)),"CUIT NO CARGADO")</f>
        <v>0</v>
      </c>
    </row>
    <row r="43" spans="2:18" ht="20.25" customHeight="1" x14ac:dyDescent="0.25">
      <c r="B43" s="10">
        <v>44678</v>
      </c>
      <c r="C43" s="11">
        <v>1</v>
      </c>
      <c r="D43" s="12">
        <v>12</v>
      </c>
      <c r="E43" s="13">
        <v>12026</v>
      </c>
      <c r="F43" s="14">
        <v>30604942051</v>
      </c>
      <c r="G43" s="15" t="str">
        <f>IFERROR(IF('Abr-22'!$F43="","-",VLOOKUP('Abr-22'!$F43,Lista_CUIT!$A$1:$D$1871,2,0)),"CUIT NO CARGADO")</f>
        <v>IMPORTADORA FOTOGRAFICA SA</v>
      </c>
      <c r="H43" s="16">
        <v>25288.62</v>
      </c>
      <c r="I43" s="23">
        <f>IF('Abr-22'!$H43="","",'Abr-22'!$H43*0.21)</f>
        <v>5310.6101999999992</v>
      </c>
      <c r="J43" s="23"/>
      <c r="K43" s="23"/>
      <c r="L43" s="23"/>
      <c r="M43" s="23"/>
      <c r="N43" s="23"/>
      <c r="O43" s="23"/>
      <c r="P43" s="20">
        <f>SUM('Abr-22'!$H43:$O43)</f>
        <v>30599.230199999998</v>
      </c>
      <c r="Q43" s="15" t="str">
        <f>IFERROR(IF('Abr-22'!$F43="","-",VLOOKUP('Abr-22'!$F43,Lista_CUIT!$A$1:$D$1871,3,0)),"CUIT NO CARGADO")</f>
        <v>Gastos Oficina</v>
      </c>
      <c r="R43" s="21">
        <f>IFERROR(IF('Abr-22'!$F43="","-",VLOOKUP('Abr-22'!$F43,Lista_CUIT!$A$1:$D$1871,4,0)),"CUIT NO CARGADO")</f>
        <v>0</v>
      </c>
    </row>
    <row r="44" spans="2:18" ht="20.25" customHeight="1" x14ac:dyDescent="0.25">
      <c r="B44" s="10">
        <v>44678</v>
      </c>
      <c r="C44" s="11">
        <v>1</v>
      </c>
      <c r="D44" s="12">
        <v>3</v>
      </c>
      <c r="E44" s="13">
        <v>16699</v>
      </c>
      <c r="F44" s="14">
        <v>30707468161</v>
      </c>
      <c r="G44" s="15" t="str">
        <f>IFERROR(IF('Abr-22'!$F44="","-",VLOOKUP('Abr-22'!$F44,Lista_CUIT!$A$1:$D$1871,2,0)),"CUIT NO CARGADO")</f>
        <v>LASERTEC INGENIERIA S.R.L.</v>
      </c>
      <c r="H44" s="16">
        <v>25746.25</v>
      </c>
      <c r="I44" s="23">
        <f>IF('Abr-22'!$H44="","",'Abr-22'!$H44*0.21)</f>
        <v>5406.7124999999996</v>
      </c>
      <c r="J44" s="23"/>
      <c r="K44" s="23"/>
      <c r="L44" s="23"/>
      <c r="M44" s="23"/>
      <c r="N44" s="23"/>
      <c r="O44" s="23"/>
      <c r="P44" s="20">
        <f>SUM('Abr-22'!$H44:$O44)</f>
        <v>31152.962500000001</v>
      </c>
      <c r="Q44" s="15" t="str">
        <f>IFERROR(IF('Abr-22'!$F44="","-",VLOOKUP('Abr-22'!$F44,Lista_CUIT!$A$1:$D$1871,3,0)),"CUIT NO CARGADO")</f>
        <v>INSUMO</v>
      </c>
      <c r="R44" s="21">
        <f>IFERROR(IF('Abr-22'!$F44="","-",VLOOKUP('Abr-22'!$F44,Lista_CUIT!$A$1:$D$1871,4,0)),"CUIT NO CARGADO")</f>
        <v>0</v>
      </c>
    </row>
    <row r="45" spans="2:18" ht="20.25" customHeight="1" x14ac:dyDescent="0.25">
      <c r="B45" s="10">
        <v>44679</v>
      </c>
      <c r="C45" s="11">
        <v>1</v>
      </c>
      <c r="D45" s="12">
        <v>2</v>
      </c>
      <c r="E45" s="13">
        <v>130</v>
      </c>
      <c r="F45" s="14">
        <v>20125142851</v>
      </c>
      <c r="G45" s="15" t="str">
        <f>IFERROR(IF('Abr-22'!$F45="","-",VLOOKUP('Abr-22'!$F45,Lista_CUIT!$A$1:$D$1871,2,0)),"CUIT NO CARGADO")</f>
        <v>FEDERICI NICOLAS JOSE</v>
      </c>
      <c r="H45" s="16">
        <v>13843</v>
      </c>
      <c r="I45" s="23">
        <f>IF('Abr-22'!$H45="","",'Abr-22'!$H45*0.21)</f>
        <v>2907.0299999999997</v>
      </c>
      <c r="J45" s="23"/>
      <c r="K45" s="23"/>
      <c r="L45" s="23"/>
      <c r="M45" s="23"/>
      <c r="N45" s="23"/>
      <c r="O45" s="23"/>
      <c r="P45" s="20">
        <f>SUM('Abr-22'!$H45:$O45)</f>
        <v>16750.03</v>
      </c>
      <c r="Q45" s="15" t="str">
        <f>IFERROR(IF('Abr-22'!$F45="","-",VLOOKUP('Abr-22'!$F45,Lista_CUIT!$A$1:$D$1871,3,0)),"CUIT NO CARGADO")</f>
        <v>INSUMO</v>
      </c>
      <c r="R45" s="21">
        <f>IFERROR(IF('Abr-22'!$F45="","-",VLOOKUP('Abr-22'!$F45,Lista_CUIT!$A$1:$D$1871,4,0)),"CUIT NO CARGADO")</f>
        <v>0</v>
      </c>
    </row>
    <row r="46" spans="2:18" ht="20.25" customHeight="1" x14ac:dyDescent="0.25">
      <c r="B46" s="10">
        <v>44680</v>
      </c>
      <c r="C46" s="11">
        <v>1</v>
      </c>
      <c r="D46" s="12">
        <v>5</v>
      </c>
      <c r="E46" s="13">
        <v>25488</v>
      </c>
      <c r="F46" s="14">
        <v>30708261110</v>
      </c>
      <c r="G46" s="15" t="str">
        <f>IFERROR(IF('Abr-22'!$F46="","-",VLOOKUP('Abr-22'!$F46,Lista_CUIT!$A$1:$D$1871,2,0)),"CUIT NO CARGADO")</f>
        <v>MULTIPLES SRL</v>
      </c>
      <c r="H46" s="16">
        <v>40791.5</v>
      </c>
      <c r="I46" s="23">
        <f>IF('Abr-22'!$H46="","",'Abr-22'!$H46*0.21)</f>
        <v>8566.2150000000001</v>
      </c>
      <c r="J46" s="23"/>
      <c r="K46" s="23"/>
      <c r="L46" s="23"/>
      <c r="M46" s="23"/>
      <c r="N46" s="23"/>
      <c r="O46" s="23"/>
      <c r="P46" s="20">
        <f>SUM('Abr-22'!$H46:$O46)</f>
        <v>49357.714999999997</v>
      </c>
      <c r="Q46" s="15" t="str">
        <f>IFERROR(IF('Abr-22'!$F46="","-",VLOOKUP('Abr-22'!$F46,Lista_CUIT!$A$1:$D$1871,3,0)),"CUIT NO CARGADO")</f>
        <v>Gastos Varios</v>
      </c>
      <c r="R46" s="21">
        <f>IFERROR(IF('Abr-22'!$F46="","-",VLOOKUP('Abr-22'!$F46,Lista_CUIT!$A$1:$D$1871,4,0)),"CUIT NO CARGADO")</f>
        <v>0</v>
      </c>
    </row>
    <row r="47" spans="2:18" ht="20.25" customHeight="1" x14ac:dyDescent="0.25">
      <c r="B47" s="10">
        <v>44680</v>
      </c>
      <c r="C47" s="11">
        <v>1</v>
      </c>
      <c r="D47" s="12">
        <v>2</v>
      </c>
      <c r="E47" s="13">
        <v>2068</v>
      </c>
      <c r="F47" s="14">
        <v>30709131733</v>
      </c>
      <c r="G47" s="15" t="str">
        <f>IFERROR(IF('Abr-22'!$F47="","-",VLOOKUP('Abr-22'!$F47,Lista_CUIT!$A$1:$D$1871,2,0)),"CUIT NO CARGADO")</f>
        <v>DIGAS SRL</v>
      </c>
      <c r="H47" s="16">
        <v>128736</v>
      </c>
      <c r="I47" s="23">
        <f>IF('Abr-22'!$H47="","",'Abr-22'!$H47*0.21)</f>
        <v>27034.559999999998</v>
      </c>
      <c r="J47" s="23"/>
      <c r="K47" s="23"/>
      <c r="L47" s="23"/>
      <c r="M47" s="23"/>
      <c r="N47" s="23"/>
      <c r="O47" s="23"/>
      <c r="P47" s="20">
        <f>SUM('Abr-22'!$H47:$O47)</f>
        <v>155770.56</v>
      </c>
      <c r="Q47" s="15" t="str">
        <f>IFERROR(IF('Abr-22'!$F47="","-",VLOOKUP('Abr-22'!$F47,Lista_CUIT!$A$1:$D$1871,3,0)),"CUIT NO CARGADO")</f>
        <v>INSUMO</v>
      </c>
      <c r="R47" s="21">
        <f>IFERROR(IF('Abr-22'!$F47="","-",VLOOKUP('Abr-22'!$F47,Lista_CUIT!$A$1:$D$1871,4,0)),"CUIT NO CARGADO")</f>
        <v>0</v>
      </c>
    </row>
    <row r="48" spans="2:18" ht="20.25" customHeight="1" x14ac:dyDescent="0.25">
      <c r="B48" s="24">
        <v>44681</v>
      </c>
      <c r="C48" s="25">
        <v>1</v>
      </c>
      <c r="D48" s="26">
        <v>700</v>
      </c>
      <c r="E48" s="27">
        <v>369022</v>
      </c>
      <c r="F48" s="28">
        <v>30580111315</v>
      </c>
      <c r="G48" s="29" t="str">
        <f>IFERROR(IF('Abr-22'!$F48="","-",VLOOKUP('Abr-22'!$F48,Lista_CUIT!$A$1:$D$1871,2,0)),"CUIT NO CARGADO")</f>
        <v>DHL EXPRESS ARG SA</v>
      </c>
      <c r="H48" s="30"/>
      <c r="I48" s="31" t="str">
        <f>IF('Abr-22'!$H48="","",'Abr-22'!$H48*0.21)</f>
        <v/>
      </c>
      <c r="J48" s="31"/>
      <c r="K48" s="31"/>
      <c r="L48" s="31"/>
      <c r="M48" s="31"/>
      <c r="N48" s="31"/>
      <c r="O48" s="31">
        <v>21111.09</v>
      </c>
      <c r="P48" s="32">
        <f>SUM('Abr-22'!$H48:$O48)</f>
        <v>21111.09</v>
      </c>
      <c r="Q48" s="29" t="str">
        <f>IFERROR(IF('Abr-22'!$F48="","-",VLOOKUP('Abr-22'!$F48,Lista_CUIT!$A$1:$D$1871,3,0)),"CUIT NO CARGADO")</f>
        <v>GTOS IMP.</v>
      </c>
      <c r="R48" s="21">
        <f>IFERROR(IF('Abr-22'!$F48="","-",VLOOKUP('Abr-22'!$F48,Lista_CUIT!$A$1:$D$1871,4,0)),"CUIT NO CARGADO")</f>
        <v>0</v>
      </c>
    </row>
    <row r="49" spans="2:18" ht="20.25" customHeight="1" x14ac:dyDescent="0.25">
      <c r="B49" s="10">
        <v>44681</v>
      </c>
      <c r="C49" s="11">
        <v>1</v>
      </c>
      <c r="D49" s="12">
        <v>1</v>
      </c>
      <c r="E49" s="13">
        <v>448</v>
      </c>
      <c r="F49" s="14">
        <v>30715048066</v>
      </c>
      <c r="G49" s="15" t="str">
        <f>IFERROR(IF('Abr-22'!$F49="","-",VLOOKUP('Abr-22'!$F49,Lista_CUIT!$A$1:$D$1871,2,0)),"CUIT NO CARGADO")</f>
        <v>ROLLS Y EMPANADAS SA</v>
      </c>
      <c r="H49" s="16">
        <v>80134</v>
      </c>
      <c r="I49" s="23">
        <f>IF('Abr-22'!$H49="","",'Abr-22'!$H49*0.21)</f>
        <v>16828.14</v>
      </c>
      <c r="J49" s="23"/>
      <c r="K49" s="23"/>
      <c r="L49" s="23"/>
      <c r="M49" s="23"/>
      <c r="N49" s="23"/>
      <c r="O49" s="23"/>
      <c r="P49" s="20">
        <f>SUM('Abr-22'!$H49:$O49)</f>
        <v>96962.14</v>
      </c>
      <c r="Q49" s="15" t="str">
        <f>IFERROR(IF('Abr-22'!$F49="","-",VLOOKUP('Abr-22'!$F49,Lista_CUIT!$A$1:$D$1871,3,0)),"CUIT NO CARGADO")</f>
        <v>CATERING</v>
      </c>
      <c r="R49" s="21">
        <f>IFERROR(IF('Abr-22'!$F49="","-",VLOOKUP('Abr-22'!$F49,Lista_CUIT!$A$1:$D$1871,4,0)),"CUIT NO CARGADO")</f>
        <v>0</v>
      </c>
    </row>
    <row r="50" spans="2:18" ht="20.25" customHeight="1" x14ac:dyDescent="0.25">
      <c r="B50" s="24">
        <v>44681</v>
      </c>
      <c r="C50" s="25">
        <v>1</v>
      </c>
      <c r="D50" s="26">
        <v>280</v>
      </c>
      <c r="E50" s="27">
        <v>1363392</v>
      </c>
      <c r="F50" s="28">
        <v>30580111315</v>
      </c>
      <c r="G50" s="29" t="str">
        <f>IFERROR(IF('Abr-22'!$F50="","-",VLOOKUP('Abr-22'!$F50,Lista_CUIT!$A$1:$D$1871,2,0)),"CUIT NO CARGADO")</f>
        <v>DHL EXPRESS ARG SA</v>
      </c>
      <c r="H50" s="30">
        <v>71770.097099999999</v>
      </c>
      <c r="I50" s="31"/>
      <c r="J50" s="31"/>
      <c r="K50" s="31">
        <v>7535.5084999999999</v>
      </c>
      <c r="L50" s="31"/>
      <c r="M50" s="31"/>
      <c r="N50" s="31"/>
      <c r="O50" s="35">
        <v>-71770.097099999999</v>
      </c>
      <c r="P50" s="32">
        <f>SUM('Abr-22'!$H50:$O50)</f>
        <v>7535.5084999999963</v>
      </c>
      <c r="Q50" s="29" t="str">
        <f>IFERROR(IF('Abr-22'!$F50="","-",VLOOKUP('Abr-22'!$F50,Lista_CUIT!$A$1:$D$1871,3,0)),"CUIT NO CARGADO")</f>
        <v>GTOS IMP.</v>
      </c>
      <c r="R50" s="21">
        <f>IFERROR(IF('Abr-22'!$F50="","-",VLOOKUP('Abr-22'!$F50,Lista_CUIT!$A$1:$D$1871,4,0)),"CUIT NO CARGADO")</f>
        <v>0</v>
      </c>
    </row>
    <row r="51" spans="2:18" ht="23.25" customHeight="1" x14ac:dyDescent="0.25">
      <c r="B51" s="21" t="s">
        <v>1546</v>
      </c>
      <c r="C51" s="21"/>
      <c r="D51" s="21"/>
      <c r="E51" s="21"/>
      <c r="F51" s="21"/>
      <c r="G51" s="15"/>
      <c r="H51" s="16">
        <f>SUBTOTAL(109,'Abr-22'!$H$9:$H$50)</f>
        <v>2050059.2670999998</v>
      </c>
      <c r="I51" s="16">
        <f>SUBTOTAL(109,'Abr-22'!$I$9:$I$50)</f>
        <v>333743.76840000006</v>
      </c>
      <c r="J51" s="16">
        <f>SUBTOTAL(109,'Abr-22'!$J$9:$J$50)</f>
        <v>476.55</v>
      </c>
      <c r="K51" s="16">
        <f>SUBTOTAL(109,'Abr-22'!$K$9:$K$50)</f>
        <v>48198.382900000011</v>
      </c>
      <c r="L51" s="16">
        <f>SUBTOTAL(109,'Abr-22'!$L$9:$L$50)</f>
        <v>108.1</v>
      </c>
      <c r="M51" s="16">
        <f>SUBTOTAL(109,'Abr-22'!$M$9:$M$50)</f>
        <v>0</v>
      </c>
      <c r="N51" s="16">
        <f>SUBTOTAL(109,'Abr-22'!$N$9:$N$50)</f>
        <v>0</v>
      </c>
      <c r="O51" s="16">
        <f>SUBTOTAL(109,'Abr-22'!$O$9:$O$50)</f>
        <v>-166663.88810000004</v>
      </c>
      <c r="P51" s="16">
        <f>SUBTOTAL(109,'Abr-22'!$P$9:$P$50)</f>
        <v>2265922.1803000011</v>
      </c>
      <c r="Q51" s="15"/>
      <c r="R51" s="21"/>
    </row>
    <row r="52" spans="2:18" ht="38.25" customHeight="1" x14ac:dyDescent="0.25">
      <c r="B52" s="10"/>
      <c r="C52" s="11"/>
      <c r="D52" s="12"/>
      <c r="E52" s="13"/>
      <c r="F52" s="14"/>
      <c r="G52" s="15"/>
      <c r="H52" s="16"/>
      <c r="I52" s="17"/>
      <c r="J52" s="17"/>
      <c r="K52" s="17"/>
      <c r="L52" s="17"/>
      <c r="M52" s="17"/>
      <c r="N52" s="17"/>
      <c r="O52" s="17"/>
      <c r="P52" s="20"/>
      <c r="Q52" s="15"/>
      <c r="R52" s="21"/>
    </row>
    <row r="53" spans="2:18" ht="15.75" customHeight="1" x14ac:dyDescent="0.25">
      <c r="B53" s="10"/>
      <c r="C53" s="11"/>
      <c r="D53" s="12"/>
      <c r="E53" s="13"/>
      <c r="F53" s="15"/>
      <c r="G53" s="15"/>
      <c r="H53" s="16"/>
      <c r="I53" s="17"/>
      <c r="J53" s="17"/>
      <c r="K53" s="17"/>
      <c r="L53" s="17"/>
      <c r="M53" s="17"/>
      <c r="N53" s="17"/>
      <c r="O53" s="17"/>
      <c r="P53" s="20"/>
      <c r="Q53" s="15"/>
      <c r="R53" s="21"/>
    </row>
    <row r="54" spans="2:18" ht="15.75" customHeight="1" x14ac:dyDescent="0.25">
      <c r="B54" s="10"/>
      <c r="C54" s="11"/>
      <c r="D54" s="12"/>
      <c r="E54" s="13"/>
      <c r="F54" s="14"/>
      <c r="G54" s="15"/>
      <c r="H54" s="16"/>
      <c r="I54" s="17"/>
      <c r="J54" s="17"/>
      <c r="K54" s="17"/>
      <c r="L54" s="17"/>
      <c r="M54" s="17"/>
      <c r="N54" s="17"/>
      <c r="O54" s="17"/>
      <c r="P54" s="20"/>
      <c r="Q54" s="15"/>
      <c r="R54" s="21"/>
    </row>
    <row r="55" spans="2:18" ht="15.75" customHeight="1" x14ac:dyDescent="0.25">
      <c r="B55" s="10"/>
      <c r="C55" s="11"/>
      <c r="D55" s="12"/>
      <c r="E55" s="13"/>
      <c r="F55" s="14"/>
      <c r="G55" s="15"/>
      <c r="H55" s="16"/>
      <c r="I55" s="17"/>
      <c r="J55" s="17"/>
      <c r="K55" s="17"/>
      <c r="L55" s="17"/>
    </row>
    <row r="56" spans="2:18" ht="15.75" customHeight="1" x14ac:dyDescent="0.25">
      <c r="D56" s="359" t="s">
        <v>1547</v>
      </c>
      <c r="E56" s="351"/>
      <c r="F56" s="351"/>
      <c r="G56" s="351"/>
      <c r="H56" s="351"/>
      <c r="I56" s="351"/>
      <c r="J56" s="351"/>
      <c r="K56" s="351"/>
      <c r="L56" s="352"/>
    </row>
    <row r="57" spans="2:18" ht="15.75" customHeight="1" x14ac:dyDescent="0.25">
      <c r="D57" s="36" t="s">
        <v>1532</v>
      </c>
      <c r="E57" s="37" t="s">
        <v>1548</v>
      </c>
      <c r="F57" s="37" t="s">
        <v>1549</v>
      </c>
      <c r="G57" s="37" t="s">
        <v>1550</v>
      </c>
      <c r="H57" s="37" t="s">
        <v>1551</v>
      </c>
      <c r="I57" s="37" t="s">
        <v>1539</v>
      </c>
      <c r="J57" s="38" t="s">
        <v>1552</v>
      </c>
      <c r="K57" s="38" t="s">
        <v>1553</v>
      </c>
      <c r="L57" s="39" t="s">
        <v>1554</v>
      </c>
    </row>
    <row r="58" spans="2:18" ht="15.75" customHeight="1" x14ac:dyDescent="0.25">
      <c r="D58" s="40">
        <v>44681</v>
      </c>
      <c r="E58" s="12">
        <v>30202204</v>
      </c>
      <c r="F58" s="41" t="s">
        <v>1555</v>
      </c>
      <c r="G58" s="42">
        <v>2142</v>
      </c>
      <c r="H58" s="42">
        <v>449.82</v>
      </c>
      <c r="I58" s="42"/>
      <c r="J58" s="42"/>
      <c r="K58" s="42"/>
      <c r="L58" s="42"/>
    </row>
    <row r="59" spans="2:18" ht="15.75" customHeight="1" x14ac:dyDescent="0.25">
      <c r="D59" s="40">
        <v>44678</v>
      </c>
      <c r="E59" s="12">
        <v>981738</v>
      </c>
      <c r="F59" s="40" t="s">
        <v>1556</v>
      </c>
      <c r="G59" s="42">
        <v>2876</v>
      </c>
      <c r="H59" s="42">
        <v>603.95999999999992</v>
      </c>
      <c r="I59" s="42"/>
      <c r="J59" s="42">
        <v>86.28</v>
      </c>
      <c r="K59" s="42"/>
      <c r="L59" s="42"/>
    </row>
    <row r="60" spans="2:18" ht="15.75" customHeight="1" x14ac:dyDescent="0.25">
      <c r="D60" s="40">
        <v>44659</v>
      </c>
      <c r="E60" s="12" t="s">
        <v>1557</v>
      </c>
      <c r="F60" s="40" t="s">
        <v>1556</v>
      </c>
      <c r="G60" s="42">
        <v>12898.4</v>
      </c>
      <c r="H60" s="42">
        <v>2708.6639999999998</v>
      </c>
      <c r="I60" s="42"/>
      <c r="J60" s="42">
        <v>386.95</v>
      </c>
      <c r="K60" s="42"/>
      <c r="L60" s="42"/>
    </row>
    <row r="61" spans="2:18" ht="18" customHeight="1" x14ac:dyDescent="0.25">
      <c r="D61" s="40">
        <v>44652</v>
      </c>
      <c r="E61" s="12" t="s">
        <v>1558</v>
      </c>
      <c r="F61" s="40" t="s">
        <v>1556</v>
      </c>
      <c r="G61" s="3">
        <v>12778.8</v>
      </c>
      <c r="H61" s="3">
        <v>2683.5479999999998</v>
      </c>
      <c r="I61" s="3"/>
      <c r="J61" s="3">
        <v>383.36</v>
      </c>
      <c r="K61" s="3"/>
      <c r="L61" s="3"/>
    </row>
    <row r="62" spans="2:18" ht="15.75" customHeight="1" x14ac:dyDescent="0.25">
      <c r="D62" s="40">
        <v>44681</v>
      </c>
      <c r="E62" s="12">
        <v>30042022</v>
      </c>
      <c r="F62" s="40" t="s">
        <v>1559</v>
      </c>
      <c r="G62" s="3">
        <v>80</v>
      </c>
      <c r="H62" s="3">
        <v>16.8</v>
      </c>
      <c r="I62" s="3"/>
      <c r="J62" s="3"/>
      <c r="K62" s="3"/>
      <c r="L62" s="3"/>
    </row>
    <row r="63" spans="2:18" ht="15.75" customHeight="1" x14ac:dyDescent="0.25">
      <c r="D63" s="3"/>
      <c r="E63" s="3"/>
      <c r="F63" s="3"/>
      <c r="G63" s="3"/>
      <c r="H63" s="3"/>
      <c r="I63" s="3"/>
      <c r="J63" s="3"/>
      <c r="K63" s="3"/>
      <c r="L63" s="3"/>
    </row>
    <row r="64" spans="2:18" ht="15.75" customHeight="1" x14ac:dyDescent="0.25">
      <c r="D64" s="21" t="s">
        <v>1546</v>
      </c>
      <c r="E64" s="43"/>
      <c r="F64" s="43"/>
      <c r="G64" s="42">
        <f>SUBTOTAL(109,'Abr-22'!$G$58:$G$63)</f>
        <v>30775.200000000001</v>
      </c>
      <c r="H64" s="42">
        <f>SUBTOTAL(109,'Abr-22'!$H$58:$H$63)</f>
        <v>6462.7919999999995</v>
      </c>
      <c r="I64" s="42">
        <f>SUBTOTAL(109,'Abr-22'!$I$58:$I$63)</f>
        <v>0</v>
      </c>
      <c r="J64" s="42">
        <f>SUBTOTAL(109,'Abr-22'!$J$58:$J$63)</f>
        <v>856.59</v>
      </c>
      <c r="K64" s="42">
        <f>SUBTOTAL(109,'Abr-22'!$K$58:$K$63)</f>
        <v>0</v>
      </c>
      <c r="L64" s="42">
        <f>SUBTOTAL(109,'Abr-22'!$L$58:$L$63)</f>
        <v>0</v>
      </c>
    </row>
    <row r="65" spans="2:18" ht="15.75" customHeight="1" x14ac:dyDescent="0.25"/>
    <row r="66" spans="2:18" ht="15.75" customHeight="1" x14ac:dyDescent="0.25"/>
    <row r="67" spans="2:18" ht="15.75" customHeight="1" x14ac:dyDescent="0.25"/>
    <row r="68" spans="2:18" ht="22.5" customHeight="1" x14ac:dyDescent="0.25">
      <c r="D68" s="359" t="s">
        <v>1560</v>
      </c>
      <c r="E68" s="351"/>
      <c r="F68" s="351"/>
      <c r="G68" s="351"/>
      <c r="H68" s="351"/>
      <c r="I68" s="351"/>
      <c r="J68" s="351"/>
      <c r="K68" s="352"/>
    </row>
    <row r="69" spans="2:18" ht="15.75" customHeight="1" x14ac:dyDescent="0.25">
      <c r="D69" s="44" t="s">
        <v>1532</v>
      </c>
      <c r="E69" s="44" t="s">
        <v>1534</v>
      </c>
      <c r="F69" s="44" t="s">
        <v>1561</v>
      </c>
      <c r="G69" s="44" t="s">
        <v>0</v>
      </c>
      <c r="H69" s="44" t="s">
        <v>1</v>
      </c>
      <c r="I69" s="45" t="s">
        <v>1544</v>
      </c>
      <c r="J69" s="44" t="s">
        <v>1562</v>
      </c>
      <c r="K69" s="44" t="s">
        <v>1545</v>
      </c>
    </row>
    <row r="70" spans="2:18" ht="18" customHeight="1" x14ac:dyDescent="0.25">
      <c r="D70" s="10"/>
      <c r="E70" s="12"/>
      <c r="F70" s="13"/>
      <c r="G70" s="14"/>
      <c r="H70" s="46" t="str">
        <f>IFERROR(IF('Abr-22'!$G70="","-",VLOOKUP('Abr-22'!$G70,Lista_CUIT!$A$1:$D$1871,2,0)),"CUIT NO CARGADO")</f>
        <v>-</v>
      </c>
      <c r="I70" s="42"/>
      <c r="J70" s="47" t="str">
        <f>IFERROR(IF('Abr-22'!$G70="","-",VLOOKUP('Abr-22'!$G70,Lista_CUIT!$A$1:$D$1871,3,0)),"CUIT NO CARGADO")</f>
        <v>-</v>
      </c>
      <c r="K70" s="47" t="str">
        <f>IFERROR(IF('Abr-22'!$G70="","-",VLOOKUP('Abr-22'!$G70,Lista_CUIT!$A$1:$D$1871,4,0)),"CUIT NO CARGADO")</f>
        <v>-</v>
      </c>
    </row>
    <row r="71" spans="2:18" ht="15.75" customHeight="1" x14ac:dyDescent="0.25">
      <c r="D71" s="10"/>
      <c r="E71" s="12"/>
      <c r="F71" s="13"/>
      <c r="G71" s="14"/>
      <c r="H71" s="46" t="str">
        <f>IFERROR(IF('Abr-22'!$G71="","-",VLOOKUP('Abr-22'!$G71,Lista_CUIT!$A$1:$D$1871,2,0)),"CUIT NO CARGADO")</f>
        <v>-</v>
      </c>
      <c r="I71" s="42"/>
      <c r="J71" s="47" t="str">
        <f>IFERROR(IF('Abr-22'!$G71="","-",VLOOKUP('Abr-22'!$G71,Lista_CUIT!$A$1:$D$1871,3,0)),"CUIT NO CARGADO")</f>
        <v>-</v>
      </c>
      <c r="K71" s="47" t="str">
        <f>IFERROR(IF('Abr-22'!$G71="","-",VLOOKUP('Abr-22'!$G71,Lista_CUIT!$A$1:$D$1871,4,0)),"CUIT NO CARGADO")</f>
        <v>-</v>
      </c>
    </row>
    <row r="72" spans="2:18" ht="15.75" customHeight="1" x14ac:dyDescent="0.25">
      <c r="D72" s="10"/>
      <c r="E72" s="12"/>
      <c r="F72" s="13"/>
      <c r="G72" s="14"/>
      <c r="H72" s="46" t="str">
        <f>IFERROR(IF('Abr-22'!$G72="","-",VLOOKUP('Abr-22'!$G72,Lista_CUIT!$A$1:$D$1871,2,0)),"CUIT NO CARGADO")</f>
        <v>-</v>
      </c>
      <c r="I72" s="42"/>
      <c r="J72" s="47" t="str">
        <f>IFERROR(IF('Abr-22'!$G72="","-",VLOOKUP('Abr-22'!$G72,Lista_CUIT!$A$1:$D$1871,3,0)),"CUIT NO CARGADO")</f>
        <v>-</v>
      </c>
      <c r="K72" s="47" t="str">
        <f>IFERROR(IF('Abr-22'!$G72="","-",VLOOKUP('Abr-22'!$G72,Lista_CUIT!$A$1:$D$1871,4,0)),"CUIT NO CARGADO")</f>
        <v>-</v>
      </c>
    </row>
    <row r="73" spans="2:18" ht="15.75" customHeight="1" x14ac:dyDescent="0.25">
      <c r="D73" s="10"/>
      <c r="E73" s="12"/>
      <c r="F73" s="13"/>
      <c r="G73" s="14"/>
      <c r="H73" s="46" t="str">
        <f>IFERROR(IF('Abr-22'!$G73="","-",VLOOKUP('Abr-22'!$G73,Lista_CUIT!$A$1:$D$1871,2,0)),"CUIT NO CARGADO")</f>
        <v>-</v>
      </c>
      <c r="I73" s="42"/>
      <c r="J73" s="47" t="str">
        <f>IFERROR(IF('Abr-22'!$G73="","-",VLOOKUP('Abr-22'!$G73,Lista_CUIT!$A$1:$D$1871,3,0)),"CUIT NO CARGADO")</f>
        <v>-</v>
      </c>
      <c r="K73" s="47" t="str">
        <f>IFERROR(IF('Abr-22'!$G73="","-",VLOOKUP('Abr-22'!$G73,Lista_CUIT!$A$1:$D$1871,4,0)),"CUIT NO CARGADO")</f>
        <v>-</v>
      </c>
    </row>
    <row r="74" spans="2:18" ht="15.75" customHeight="1" x14ac:dyDescent="0.25">
      <c r="D74" s="47" t="s">
        <v>1546</v>
      </c>
      <c r="E74" s="47"/>
      <c r="F74" s="47"/>
      <c r="G74" s="47"/>
      <c r="H74" s="48"/>
      <c r="I74" s="49">
        <f>SUBTOTAL(109,'Abr-22'!$I$70:$I$73)</f>
        <v>0</v>
      </c>
      <c r="J74" s="47"/>
      <c r="K74" s="47"/>
    </row>
    <row r="75" spans="2:18" ht="15.75" customHeight="1" x14ac:dyDescent="0.25">
      <c r="B75" s="50"/>
      <c r="C75" s="50"/>
      <c r="L75" s="50"/>
      <c r="M75" s="50"/>
      <c r="N75" s="50"/>
      <c r="O75" s="50"/>
      <c r="P75" s="50"/>
      <c r="Q75" s="5"/>
      <c r="R75" s="50"/>
    </row>
    <row r="76" spans="2:18" ht="15.75" customHeight="1" x14ac:dyDescent="0.25"/>
    <row r="77" spans="2:18" ht="15.75" customHeight="1" x14ac:dyDescent="0.25"/>
    <row r="78" spans="2:18" ht="15.75" customHeight="1" x14ac:dyDescent="0.25"/>
    <row r="79" spans="2:18" ht="15.75" customHeight="1" x14ac:dyDescent="0.25"/>
    <row r="80" spans="2:18" ht="25.5" customHeight="1" x14ac:dyDescent="0.25">
      <c r="B80" s="366" t="s">
        <v>1563</v>
      </c>
      <c r="C80" s="351"/>
      <c r="D80" s="351"/>
      <c r="E80" s="351"/>
      <c r="F80" s="351"/>
      <c r="G80" s="351"/>
      <c r="H80" s="351"/>
      <c r="I80" s="351"/>
      <c r="J80" s="352"/>
      <c r="K80" s="367">
        <f>N1</f>
        <v>44652</v>
      </c>
      <c r="L80" s="351"/>
      <c r="M80" s="352"/>
    </row>
    <row r="81" spans="2:13" ht="15.75" customHeight="1" x14ac:dyDescent="0.25"/>
    <row r="82" spans="2:13" ht="17.25" customHeight="1" x14ac:dyDescent="0.25">
      <c r="B82" s="368" t="s">
        <v>1564</v>
      </c>
      <c r="C82" s="369"/>
    </row>
    <row r="83" spans="2:13" ht="31.5" customHeight="1" x14ac:dyDescent="0.25">
      <c r="B83" s="51" t="s">
        <v>1532</v>
      </c>
      <c r="C83" s="52" t="s">
        <v>1533</v>
      </c>
      <c r="D83" s="52" t="s">
        <v>1565</v>
      </c>
      <c r="E83" s="52" t="s">
        <v>1566</v>
      </c>
      <c r="F83" s="52" t="s">
        <v>0</v>
      </c>
      <c r="G83" s="52" t="s">
        <v>1</v>
      </c>
      <c r="H83" s="52" t="s">
        <v>1567</v>
      </c>
      <c r="I83" s="52" t="s">
        <v>1551</v>
      </c>
      <c r="J83" s="52" t="s">
        <v>1539</v>
      </c>
      <c r="K83" s="52" t="s">
        <v>1568</v>
      </c>
      <c r="L83" s="52" t="s">
        <v>1544</v>
      </c>
      <c r="M83" s="53" t="s">
        <v>1545</v>
      </c>
    </row>
    <row r="84" spans="2:13" ht="15.75" customHeight="1" x14ac:dyDescent="0.25">
      <c r="B84" s="54">
        <v>44655</v>
      </c>
      <c r="C84" s="11">
        <v>1</v>
      </c>
      <c r="D84" s="12">
        <v>3</v>
      </c>
      <c r="E84" s="55">
        <v>56</v>
      </c>
      <c r="F84" s="56">
        <v>30638318470</v>
      </c>
      <c r="G84" s="57" t="str">
        <f>IFERROR(IF('Abr-22'!$F84="","-",VLOOKUP('Abr-22'!$F84,Lista_CUIT!$A$1:$D$1871,2,0)),"CUIT NO CARGADO")</f>
        <v>DELTA COMPRESION S.R.L</v>
      </c>
      <c r="H84" s="58">
        <v>10937798.421</v>
      </c>
      <c r="I84" s="59">
        <v>492850.43369999999</v>
      </c>
      <c r="J84" s="60">
        <v>902043.45</v>
      </c>
      <c r="K84" s="60"/>
      <c r="L84" s="60">
        <f>SUM('Abr-22'!$H84:$K84)</f>
        <v>12332692.3047</v>
      </c>
      <c r="M84" s="61"/>
    </row>
    <row r="85" spans="2:13" ht="15.75" customHeight="1" x14ac:dyDescent="0.25">
      <c r="B85" s="10">
        <v>44670</v>
      </c>
      <c r="C85" s="11">
        <v>1</v>
      </c>
      <c r="D85" s="12">
        <v>3</v>
      </c>
      <c r="E85" s="13">
        <v>58</v>
      </c>
      <c r="F85" s="14">
        <v>30708844248</v>
      </c>
      <c r="G85" s="57" t="str">
        <f>IFERROR(IF('Abr-22'!$F85="","-",VLOOKUP('Abr-22'!$F85,Lista_CUIT!$A$1:$D$1871,2,0)),"CUIT NO CARGADO")</f>
        <v>INGENIERIA GAMAR SA</v>
      </c>
      <c r="H85" s="58">
        <v>35907.08</v>
      </c>
      <c r="I85" s="59">
        <f>'Abr-22'!$H85*0.21</f>
        <v>7540.4867999999997</v>
      </c>
      <c r="J85" s="60"/>
      <c r="K85" s="60"/>
      <c r="L85" s="60">
        <f>SUM('Abr-22'!$H85:$K85)</f>
        <v>43447.566800000001</v>
      </c>
      <c r="M85" s="61"/>
    </row>
    <row r="86" spans="2:13" ht="15.75" customHeight="1" x14ac:dyDescent="0.25">
      <c r="B86" s="10">
        <v>44670</v>
      </c>
      <c r="C86" s="11">
        <v>1</v>
      </c>
      <c r="D86" s="12">
        <v>3</v>
      </c>
      <c r="E86" s="13">
        <v>59</v>
      </c>
      <c r="F86" s="14">
        <v>30716041596</v>
      </c>
      <c r="G86" s="57" t="str">
        <f>IFERROR(IF('Abr-22'!$F86="","-",VLOOKUP('Abr-22'!$F86,Lista_CUIT!$A$1:$D$1871,2,0)),"CUIT NO CARGADO")</f>
        <v>EXA COMPRESION SRL</v>
      </c>
      <c r="H86" s="58">
        <v>299983.2</v>
      </c>
      <c r="I86" s="59">
        <f>'Abr-22'!$H86*0.21</f>
        <v>62996.472000000002</v>
      </c>
      <c r="J86" s="60"/>
      <c r="K86" s="60"/>
      <c r="L86" s="60">
        <f>SUM('Abr-22'!$H86:$K86)</f>
        <v>362979.67200000002</v>
      </c>
      <c r="M86" s="61"/>
    </row>
    <row r="87" spans="2:13" ht="15.75" customHeight="1" x14ac:dyDescent="0.25">
      <c r="B87" s="10">
        <v>44670</v>
      </c>
      <c r="C87" s="11">
        <v>1</v>
      </c>
      <c r="D87" s="12">
        <v>3</v>
      </c>
      <c r="E87" s="13">
        <v>57</v>
      </c>
      <c r="F87" s="14">
        <v>30628274327</v>
      </c>
      <c r="G87" s="57" t="str">
        <f>IFERROR(IF('Abr-22'!$F87="","-",VLOOKUP('Abr-22'!$F87,Lista_CUIT!$A$1:$D$1871,2,0)),"CUIT NO CARGADO")</f>
        <v>AGIRA SA</v>
      </c>
      <c r="H87" s="58">
        <v>1015852.2</v>
      </c>
      <c r="I87" s="59"/>
      <c r="J87" s="60">
        <v>106664.48099999999</v>
      </c>
      <c r="K87" s="60"/>
      <c r="L87" s="60">
        <f>SUM('Abr-22'!$H87:$K87)</f>
        <v>1122516.6809999999</v>
      </c>
      <c r="M87" s="61"/>
    </row>
    <row r="88" spans="2:13" ht="15.75" customHeight="1" x14ac:dyDescent="0.25">
      <c r="B88" s="10"/>
      <c r="C88" s="11"/>
      <c r="D88" s="12"/>
      <c r="E88" s="13"/>
      <c r="F88" s="14"/>
      <c r="G88" s="57" t="str">
        <f>IFERROR(IF('Abr-22'!$F88="","-",VLOOKUP('Abr-22'!$F88,Lista_CUIT!$A$1:$D$1871,2,0)),"CUIT NO CARGADO")</f>
        <v>-</v>
      </c>
      <c r="H88" s="58"/>
      <c r="I88" s="59">
        <f>'Abr-22'!$H88*0.21</f>
        <v>0</v>
      </c>
      <c r="J88" s="60"/>
      <c r="K88" s="60"/>
      <c r="L88" s="60">
        <f>SUM('Abr-22'!$H88:$K88)</f>
        <v>0</v>
      </c>
      <c r="M88" s="61"/>
    </row>
    <row r="89" spans="2:13" ht="15.75" customHeight="1" x14ac:dyDescent="0.25">
      <c r="B89" s="10"/>
      <c r="C89" s="11"/>
      <c r="D89" s="12"/>
      <c r="E89" s="13"/>
      <c r="F89" s="14"/>
      <c r="G89" s="57" t="str">
        <f>IFERROR(IF('Abr-22'!$F89="","-",VLOOKUP('Abr-22'!$F89,Lista_CUIT!$A$1:$D$1871,2,0)),"CUIT NO CARGADO")</f>
        <v>-</v>
      </c>
      <c r="H89" s="58"/>
      <c r="I89" s="59">
        <f>'Abr-22'!$H89*0.21</f>
        <v>0</v>
      </c>
      <c r="J89" s="60"/>
      <c r="K89" s="60"/>
      <c r="L89" s="60">
        <f>SUM('Abr-22'!$H89:$K89)</f>
        <v>0</v>
      </c>
      <c r="M89" s="61"/>
    </row>
    <row r="90" spans="2:13" ht="15.75" customHeight="1" x14ac:dyDescent="0.25">
      <c r="B90" s="10"/>
      <c r="C90" s="11"/>
      <c r="D90" s="12"/>
      <c r="E90" s="13"/>
      <c r="F90" s="14"/>
      <c r="G90" s="57" t="str">
        <f>IFERROR(IF('Abr-22'!$F90="","-",VLOOKUP('Abr-22'!$F90,Lista_CUIT!$A$1:$D$1871,2,0)),"CUIT NO CARGADO")</f>
        <v>-</v>
      </c>
      <c r="H90" s="58"/>
      <c r="I90" s="59">
        <f>'Abr-22'!$H90*0.21</f>
        <v>0</v>
      </c>
      <c r="J90" s="60"/>
      <c r="K90" s="60"/>
      <c r="L90" s="60">
        <f>SUM('Abr-22'!$H90:$K90)</f>
        <v>0</v>
      </c>
      <c r="M90" s="62"/>
    </row>
    <row r="91" spans="2:13" ht="15.75" customHeight="1" x14ac:dyDescent="0.25">
      <c r="B91" s="63"/>
      <c r="C91" s="64"/>
      <c r="D91" s="65"/>
      <c r="E91" s="66"/>
      <c r="F91" s="67"/>
      <c r="G91" s="57" t="str">
        <f>IFERROR(IF('Abr-22'!$F91="","-",VLOOKUP('Abr-22'!$F91,Lista_CUIT!$A$1:$D$1871,2,0)),"CUIT NO CARGADO")</f>
        <v>-</v>
      </c>
      <c r="H91" s="68"/>
      <c r="I91" s="69">
        <f>'Abr-22'!$H91*0.21</f>
        <v>0</v>
      </c>
      <c r="J91" s="70"/>
      <c r="K91" s="70"/>
      <c r="L91" s="70">
        <f>SUM('Abr-22'!$H91:$K91)</f>
        <v>0</v>
      </c>
      <c r="M91" s="62"/>
    </row>
    <row r="92" spans="2:13" ht="15.75" customHeight="1" x14ac:dyDescent="0.25">
      <c r="B92" s="71"/>
      <c r="C92" s="72"/>
      <c r="D92" s="73"/>
      <c r="E92" s="74"/>
      <c r="F92" s="75"/>
      <c r="G92" s="57" t="str">
        <f>IFERROR(IF('Abr-22'!$F92="","-",VLOOKUP('Abr-22'!$F92,Lista_CUIT!$A$1:$D$1871,2,0)),"CUIT NO CARGADO")</f>
        <v>-</v>
      </c>
      <c r="H92" s="58"/>
      <c r="I92" s="59">
        <f>'Abr-22'!$H92*0.21</f>
        <v>0</v>
      </c>
      <c r="J92" s="60"/>
      <c r="K92" s="60"/>
      <c r="L92" s="60">
        <f>SUM('Abr-22'!$H92:$K92)</f>
        <v>0</v>
      </c>
      <c r="M92" s="61"/>
    </row>
    <row r="93" spans="2:13" ht="18.75" customHeight="1" x14ac:dyDescent="0.25">
      <c r="B93" s="76" t="s">
        <v>1546</v>
      </c>
      <c r="C93" s="77"/>
      <c r="D93" s="77"/>
      <c r="E93" s="77"/>
      <c r="F93" s="77"/>
      <c r="G93" s="77"/>
      <c r="H93" s="78">
        <f>SUBTOTAL(109,'Abr-22'!$H$84:$H$92)</f>
        <v>12289540.900999999</v>
      </c>
      <c r="I93" s="79">
        <f>SUBTOTAL(109,'Abr-22'!$I$84:$I$92)</f>
        <v>563387.39249999996</v>
      </c>
      <c r="J93" s="70">
        <f>SUBTOTAL(109,'Abr-22'!$J$84:$J$92)</f>
        <v>1008707.931</v>
      </c>
      <c r="K93" s="70">
        <f>SUBTOTAL(109,'Abr-22'!$K$84:$K$92)</f>
        <v>0</v>
      </c>
      <c r="L93" s="70">
        <f>SUBTOTAL(109,'Abr-22'!$L$84:$L$92)</f>
        <v>13861636.2245</v>
      </c>
      <c r="M93" s="80">
        <f>SUBTOTAL(103,'Abr-22'!$M$84:$M$92)</f>
        <v>0</v>
      </c>
    </row>
    <row r="94" spans="2:13" ht="28.5" customHeight="1" x14ac:dyDescent="0.25"/>
    <row r="95" spans="2:13" ht="15.75" customHeight="1" x14ac:dyDescent="0.25"/>
    <row r="96" spans="2:13" ht="15.75" customHeight="1" x14ac:dyDescent="0.25">
      <c r="B96" s="368" t="s">
        <v>1569</v>
      </c>
      <c r="C96" s="369"/>
    </row>
    <row r="97" spans="2:13" ht="15.75" customHeight="1" x14ac:dyDescent="0.25">
      <c r="B97" s="51" t="s">
        <v>1532</v>
      </c>
      <c r="C97" s="52" t="s">
        <v>1533</v>
      </c>
      <c r="D97" s="52" t="s">
        <v>1565</v>
      </c>
      <c r="E97" s="52" t="s">
        <v>1566</v>
      </c>
      <c r="F97" s="52" t="s">
        <v>0</v>
      </c>
      <c r="G97" s="52" t="s">
        <v>1</v>
      </c>
      <c r="H97" s="52" t="s">
        <v>1567</v>
      </c>
      <c r="I97" s="52" t="s">
        <v>1551</v>
      </c>
      <c r="J97" s="52" t="s">
        <v>1539</v>
      </c>
      <c r="K97" s="52" t="s">
        <v>1568</v>
      </c>
      <c r="L97" s="52" t="s">
        <v>1544</v>
      </c>
      <c r="M97" s="53" t="s">
        <v>1545</v>
      </c>
    </row>
    <row r="98" spans="2:13" ht="15.75" customHeight="1" x14ac:dyDescent="0.25">
      <c r="B98" s="10"/>
      <c r="C98" s="11"/>
      <c r="D98" s="12"/>
      <c r="E98" s="13"/>
      <c r="F98" s="14"/>
      <c r="G98" s="81"/>
      <c r="H98" s="82"/>
      <c r="I98" s="82"/>
      <c r="J98" s="82"/>
      <c r="K98" s="82"/>
      <c r="L98" s="82">
        <f>SUM('Abr-22'!$H98:$K98)</f>
        <v>0</v>
      </c>
      <c r="M98" s="61"/>
    </row>
    <row r="99" spans="2:13" ht="15.75" customHeight="1" x14ac:dyDescent="0.25">
      <c r="B99" s="10"/>
      <c r="C99" s="11"/>
      <c r="D99" s="12"/>
      <c r="E99" s="13"/>
      <c r="F99" s="14"/>
      <c r="G99" s="81"/>
      <c r="H99" s="82"/>
      <c r="I99" s="82"/>
      <c r="J99" s="82"/>
      <c r="K99" s="82"/>
      <c r="L99" s="82">
        <f>SUM('Abr-22'!$H99:$K99)</f>
        <v>0</v>
      </c>
      <c r="M99" s="61"/>
    </row>
    <row r="100" spans="2:13" ht="15.75" customHeight="1" x14ac:dyDescent="0.25">
      <c r="B100" s="76" t="s">
        <v>1546</v>
      </c>
      <c r="C100" s="77"/>
      <c r="D100" s="77"/>
      <c r="E100" s="77"/>
      <c r="F100" s="77"/>
      <c r="G100" s="77"/>
      <c r="H100" s="83">
        <f>SUBTOTAL(109,'Abr-22'!$H$98:$H$99)</f>
        <v>0</v>
      </c>
      <c r="I100" s="83">
        <f>SUBTOTAL(109,'Abr-22'!$I$98:$I$99)</f>
        <v>0</v>
      </c>
      <c r="J100" s="84">
        <f>SUBTOTAL(109,'Abr-22'!$J$98:$J$99)</f>
        <v>0</v>
      </c>
      <c r="K100" s="84">
        <f>SUBTOTAL(109,'Abr-22'!$K$98:$K$99)</f>
        <v>0</v>
      </c>
      <c r="L100" s="84">
        <f>SUBTOTAL(109,'Abr-22'!$L$98:$L$99)</f>
        <v>0</v>
      </c>
      <c r="M100" s="80">
        <f>SUBTOTAL(103,'Abr-22'!$M$98:$M$99)</f>
        <v>0</v>
      </c>
    </row>
    <row r="101" spans="2:13" ht="15.75" customHeight="1" x14ac:dyDescent="0.25"/>
    <row r="102" spans="2:13" ht="15.75" customHeight="1" x14ac:dyDescent="0.25">
      <c r="B102" s="360" t="s">
        <v>1570</v>
      </c>
      <c r="C102" s="351"/>
      <c r="D102" s="351"/>
      <c r="E102" s="352"/>
    </row>
    <row r="103" spans="2:13" ht="18" customHeight="1" x14ac:dyDescent="0.25">
      <c r="B103" s="51" t="s">
        <v>1532</v>
      </c>
      <c r="C103" s="52" t="s">
        <v>1571</v>
      </c>
      <c r="D103" s="52" t="s">
        <v>0</v>
      </c>
      <c r="E103" s="52" t="s">
        <v>1</v>
      </c>
      <c r="F103" s="52" t="s">
        <v>1572</v>
      </c>
      <c r="G103" s="52" t="s">
        <v>1573</v>
      </c>
      <c r="H103" s="52" t="s">
        <v>1574</v>
      </c>
      <c r="I103" s="53" t="s">
        <v>1544</v>
      </c>
      <c r="J103" s="85"/>
      <c r="K103" s="85"/>
      <c r="L103" s="85"/>
    </row>
    <row r="104" spans="2:13" ht="18" customHeight="1" x14ac:dyDescent="0.25">
      <c r="B104" s="86">
        <v>44662</v>
      </c>
      <c r="C104" s="87">
        <v>45</v>
      </c>
      <c r="D104" s="87"/>
      <c r="E104" s="87"/>
      <c r="F104" s="87">
        <v>24122.52</v>
      </c>
      <c r="G104" s="87"/>
      <c r="H104" s="87">
        <v>112.16</v>
      </c>
      <c r="I104" s="87">
        <f>'Abr-22'!$F104*'Abr-22'!$H104</f>
        <v>2705581.8432</v>
      </c>
      <c r="J104" s="85"/>
      <c r="K104" s="85"/>
      <c r="L104" s="85"/>
    </row>
    <row r="105" spans="2:13" ht="18" customHeight="1" x14ac:dyDescent="0.25">
      <c r="B105" s="85"/>
      <c r="C105" s="85"/>
      <c r="D105" s="85"/>
      <c r="E105" s="85"/>
      <c r="F105" s="85"/>
      <c r="G105" s="85"/>
      <c r="H105" s="85"/>
      <c r="I105" s="85">
        <f>'Abr-22'!$F105*'Abr-22'!$H105</f>
        <v>0</v>
      </c>
      <c r="J105" s="85"/>
      <c r="K105" s="85"/>
      <c r="L105" s="85"/>
    </row>
    <row r="106" spans="2:13" ht="18" customHeight="1" x14ac:dyDescent="0.25">
      <c r="B106" s="85"/>
      <c r="C106" s="85"/>
      <c r="D106" s="85"/>
      <c r="E106" s="85"/>
      <c r="F106" s="85"/>
      <c r="G106" s="85"/>
      <c r="H106" s="85"/>
      <c r="I106" s="85">
        <f>'Abr-22'!$F106*'Abr-22'!$H106</f>
        <v>0</v>
      </c>
      <c r="J106" s="85"/>
      <c r="K106" s="85"/>
      <c r="L106" s="85"/>
    </row>
    <row r="107" spans="2:13" ht="18" customHeight="1" x14ac:dyDescent="0.25">
      <c r="B107" s="85"/>
      <c r="C107" s="85"/>
      <c r="D107" s="85"/>
      <c r="E107" s="85"/>
      <c r="F107" s="85"/>
      <c r="G107" s="85"/>
      <c r="H107" s="85"/>
      <c r="I107" s="85">
        <f>'Abr-22'!$F107*'Abr-22'!$H107</f>
        <v>0</v>
      </c>
      <c r="J107" s="85"/>
      <c r="K107" s="85"/>
      <c r="L107" s="85"/>
    </row>
    <row r="108" spans="2:13" ht="15.75" customHeight="1" x14ac:dyDescent="0.25">
      <c r="B108" s="3"/>
      <c r="C108" s="3"/>
      <c r="D108" s="3"/>
      <c r="E108" s="3"/>
      <c r="F108" s="3"/>
      <c r="G108" s="3"/>
      <c r="H108" s="3"/>
      <c r="I108" s="3">
        <f>'Abr-22'!$F108*'Abr-22'!$H108</f>
        <v>0</v>
      </c>
    </row>
    <row r="109" spans="2:13" ht="15.75" customHeight="1" x14ac:dyDescent="0.25">
      <c r="B109" s="88" t="s">
        <v>1546</v>
      </c>
      <c r="C109" s="88"/>
      <c r="D109" s="88"/>
      <c r="E109" s="88"/>
      <c r="F109" s="88">
        <f t="shared" ref="F109:H109" si="0">SUBTOTAL(109,F104:F108)</f>
        <v>24122.52</v>
      </c>
      <c r="G109" s="88">
        <f t="shared" si="0"/>
        <v>0</v>
      </c>
      <c r="H109" s="88">
        <f t="shared" si="0"/>
        <v>112.16</v>
      </c>
      <c r="I109" s="88">
        <f>'Abr-22'!$F109*'Abr-22'!$H109</f>
        <v>2705581.8432</v>
      </c>
    </row>
    <row r="110" spans="2:13" ht="15.75" customHeight="1" x14ac:dyDescent="0.25"/>
    <row r="111" spans="2:13" ht="15.75" customHeight="1" x14ac:dyDescent="0.25"/>
    <row r="112" spans="2:13" ht="15.75" customHeight="1" x14ac:dyDescent="0.25">
      <c r="C112" s="361" t="s">
        <v>1575</v>
      </c>
      <c r="D112" s="362"/>
      <c r="E112" s="362"/>
      <c r="F112" s="362"/>
      <c r="G112" s="363"/>
      <c r="H112" s="89"/>
      <c r="I112" s="89"/>
      <c r="J112" s="89"/>
    </row>
    <row r="113" spans="3:12" ht="15.75" customHeight="1" x14ac:dyDescent="0.25">
      <c r="C113" s="90" t="s">
        <v>1576</v>
      </c>
      <c r="D113" s="91" t="s">
        <v>1577</v>
      </c>
      <c r="E113" s="91" t="s">
        <v>1578</v>
      </c>
      <c r="F113" s="91" t="s">
        <v>0</v>
      </c>
      <c r="G113" s="91" t="s">
        <v>1</v>
      </c>
      <c r="H113" s="92" t="s">
        <v>1579</v>
      </c>
      <c r="I113" s="92" t="s">
        <v>1580</v>
      </c>
      <c r="J113" s="92" t="s">
        <v>1581</v>
      </c>
      <c r="K113" s="92" t="s">
        <v>1582</v>
      </c>
      <c r="L113" s="92" t="s">
        <v>1583</v>
      </c>
    </row>
    <row r="114" spans="3:12" ht="15.75" customHeight="1" x14ac:dyDescent="0.25">
      <c r="C114" s="54"/>
      <c r="D114" s="93"/>
      <c r="E114" s="93"/>
      <c r="F114" s="56"/>
      <c r="G114" s="46" t="str">
        <f>IFERROR(IF('Abr-22'!$F114="","-",VLOOKUP('Abr-22'!$F114,Lista_CUIT!$A$1:$D$1871,2,0)),"CUIT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25">
      <c r="C115" s="54"/>
      <c r="D115" s="93"/>
      <c r="E115" s="93"/>
      <c r="F115" s="56"/>
      <c r="G115" s="46" t="str">
        <f>IFERROR(IF('Abr-22'!$F115="","-",VLOOKUP('Abr-22'!$F115,Lista_CUIT!$A$1:$D$1871,2,0)),"CUIT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54"/>
      <c r="D116" s="93"/>
      <c r="E116" s="93"/>
      <c r="F116" s="56"/>
      <c r="G116" s="46" t="str">
        <f>IFERROR(IF('Abr-22'!$F116="","-",VLOOKUP('Abr-22'!$F116,Lista_CUIT!$A$1:$D$1871,2,0)),"CUIT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54"/>
      <c r="D117" s="93"/>
      <c r="E117" s="93"/>
      <c r="F117" s="56"/>
      <c r="G117" s="46" t="str">
        <f>IFERROR(IF('Abr-22'!$F117="","-",VLOOKUP('Abr-22'!$F117,Lista_CUIT!$A$1:$D$1871,2,0)),"CUIT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25">
      <c r="C118" s="3"/>
      <c r="D118" s="93"/>
      <c r="E118" s="93"/>
      <c r="F118" s="3"/>
      <c r="G118" s="46" t="str">
        <f>IFERROR(IF('Abr-22'!$F118="","-",VLOOKUP('Abr-22'!$F118,Lista_CUIT!$A$1:$D$1871,2,0)),"CUIT NO CARGADO")</f>
        <v>-</v>
      </c>
      <c r="H118" s="3"/>
      <c r="I118" s="3"/>
      <c r="J118" s="3"/>
      <c r="K118" s="3"/>
      <c r="L118" s="3"/>
    </row>
    <row r="119" spans="3:12" ht="15.75" customHeight="1" x14ac:dyDescent="0.25">
      <c r="C119" s="95"/>
    </row>
    <row r="120" spans="3:12" ht="15.75" customHeight="1" x14ac:dyDescent="0.25"/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1">
    <mergeCell ref="P4:R4"/>
    <mergeCell ref="D56:L56"/>
    <mergeCell ref="B102:E102"/>
    <mergeCell ref="C112:G112"/>
    <mergeCell ref="B3:E3"/>
    <mergeCell ref="B4:E4"/>
    <mergeCell ref="G4:H4"/>
    <mergeCell ref="D68:K68"/>
    <mergeCell ref="B80:J80"/>
    <mergeCell ref="K80:M80"/>
    <mergeCell ref="B82:C82"/>
    <mergeCell ref="B96:C96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5">
    <dataValidation type="custom" allowBlank="1" showErrorMessage="1" sqref="O16" xr:uid="{00000000-0002-0000-0100-000000000000}">
      <formula1>IF($B16=3,O16&lt;0,O16&gt;=0)</formula1>
    </dataValidation>
    <dataValidation type="decimal" allowBlank="1" showErrorMessage="1" sqref="F84" xr:uid="{00000000-0002-0000-0100-000001000000}">
      <formula1>10000000000</formula1>
      <formula2>99999999999</formula2>
    </dataValidation>
    <dataValidation type="custom" allowBlank="1" showErrorMessage="1" sqref="L84:L88" xr:uid="{00000000-0002-0000-0100-000002000000}">
      <formula1>IF(#REF!=3,#REF!&lt;0,#REF!&gt;=0)</formula1>
    </dataValidation>
    <dataValidation type="decimal" allowBlank="1" showErrorMessage="1" sqref="E9:E50 F70:F73 E85:E92 E98:E99" xr:uid="{00000000-0002-0000-0100-000003000000}">
      <formula1>1</formula1>
      <formula2>99999999</formula2>
    </dataValidation>
    <dataValidation type="decimal" allowBlank="1" showErrorMessage="1" sqref="C9:C50 C52:C55 C84:C92" xr:uid="{00000000-0002-0000-0100-000004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15 H16:N16 H17:O49 H50:N50" xr:uid="{00000000-0002-0000-0100-000005000000}">
      <formula1>IF($C9=3,H9&lt;0,H9&gt;=0)</formula1>
    </dataValidation>
    <dataValidation type="decimal" operator="lessThanOrEqual" allowBlank="1" showErrorMessage="1" sqref="E84" xr:uid="{00000000-0002-0000-0100-000006000000}">
      <formula1>99999999</formula1>
    </dataValidation>
    <dataValidation type="custom" allowBlank="1" showErrorMessage="1" sqref="H84:K84 H86:K86 H88:K88 H90:K90" xr:uid="{00000000-0002-0000-0100-000007000000}">
      <formula1>IF($C84=3,H84&lt;0,H84&gt;=0)</formula1>
    </dataValidation>
    <dataValidation type="decimal" allowBlank="1" showErrorMessage="1" sqref="F9:F50 G70:G73 F85:F92 F98:F99" xr:uid="{00000000-0002-0000-0100-000008000000}">
      <formula1>20000000000</formula1>
      <formula2>33999999999</formula2>
    </dataValidation>
    <dataValidation type="date" allowBlank="1" showErrorMessage="1" sqref="B9:B50 B52:B55 D70:D73 B85:B92 B98:B99" xr:uid="{00000000-0002-0000-0100-000009000000}">
      <formula1>40179</formula1>
      <formula2>TODAY()</formula2>
    </dataValidation>
    <dataValidation type="decimal" allowBlank="1" showErrorMessage="1" sqref="D9:D50 E70:E73 D84:D92 D98:D99" xr:uid="{00000000-0002-0000-0100-00000A000000}">
      <formula1>1</formula1>
      <formula2>9999</formula2>
    </dataValidation>
    <dataValidation type="date" operator="lessThan" allowBlank="1" showErrorMessage="1" sqref="B84" xr:uid="{00000000-0002-0000-0100-00000B000000}">
      <formula1>$Q$1+1</formula1>
    </dataValidation>
    <dataValidation type="custom" allowBlank="1" showErrorMessage="1" sqref="L89:L90" xr:uid="{00000000-0002-0000-0100-00000C000000}">
      <formula1>IF($C51=3,L51&lt;0,L51&gt;=0)</formula1>
    </dataValidation>
    <dataValidation type="custom" allowBlank="1" showErrorMessage="1" sqref="H98:L99" xr:uid="{00000000-0002-0000-0100-00000D000000}">
      <formula1>IF($C98=8,H98&lt;0,H98&gt;=0)</formula1>
    </dataValidation>
    <dataValidation type="decimal" allowBlank="1" showErrorMessage="1" sqref="C98:C99" xr:uid="{00000000-0002-0000-0100-00000E000000}">
      <formula1>6</formula1>
      <formula2>8</formula2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9D9"/>
  </sheetPr>
  <dimension ref="A1:Z1000"/>
  <sheetViews>
    <sheetView showGridLines="0" zoomScale="90" zoomScaleNormal="90" workbookViewId="0">
      <selection activeCell="K27" sqref="K27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12.42578125" customWidth="1"/>
    <col min="4" max="4" width="13.28515625" customWidth="1"/>
    <col min="5" max="5" width="15.5703125" customWidth="1"/>
    <col min="6" max="6" width="30.42578125" customWidth="1"/>
    <col min="7" max="7" width="26.5703125" customWidth="1"/>
    <col min="8" max="8" width="18.7109375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EDATE('Abr-22'!N1,1)</f>
        <v>44682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SUM('May-22'!$H$51)+'May-22'!$G$63</f>
        <v>1100107.0000000002</v>
      </c>
      <c r="C4" s="351"/>
      <c r="D4" s="351"/>
      <c r="E4" s="352"/>
      <c r="F4" s="8"/>
      <c r="G4" s="365">
        <f>'May-22'!$I$51+'May-22'!$J$51+'May-22'!$K$51+'May-22'!$H$63+'May-22'!$I$63</f>
        <v>223910.73874999999</v>
      </c>
      <c r="H4" s="352"/>
      <c r="I4" s="8"/>
      <c r="J4" s="370">
        <f>'May-22'!$H$100+'May-22'!$H$112</f>
        <v>7471351.3700000001</v>
      </c>
      <c r="K4" s="352"/>
      <c r="L4" s="8"/>
      <c r="M4" s="370">
        <f>'May-22'!$I$100+'May-22'!$J$100+'May-22'!$I$112+'May-22'!$J$112</f>
        <v>850836.3620000002</v>
      </c>
      <c r="N4" s="352"/>
      <c r="O4" s="8"/>
      <c r="P4" s="358">
        <f>G4-M4</f>
        <v>-626925.62325000018</v>
      </c>
      <c r="Q4" s="351"/>
      <c r="R4" s="352"/>
    </row>
    <row r="5" spans="1:19" ht="12.75" customHeight="1" x14ac:dyDescent="0.25"/>
    <row r="6" spans="1:19" ht="10.5" customHeight="1" x14ac:dyDescent="0.25"/>
    <row r="7" spans="1:19" ht="38.25" x14ac:dyDescent="0.25">
      <c r="A7" s="9"/>
      <c r="B7" s="10"/>
      <c r="C7" s="11"/>
      <c r="D7" s="12"/>
      <c r="E7" s="13"/>
      <c r="F7" s="14"/>
      <c r="G7" s="15"/>
      <c r="H7" s="16"/>
      <c r="I7" s="17"/>
      <c r="J7" s="17"/>
      <c r="K7" s="17"/>
      <c r="L7" s="17"/>
      <c r="M7" s="17"/>
      <c r="N7" s="17"/>
      <c r="O7" s="96" t="s">
        <v>1584</v>
      </c>
      <c r="P7" s="20"/>
      <c r="Q7" s="21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22" t="s">
        <v>2</v>
      </c>
      <c r="R8" s="22" t="s">
        <v>1545</v>
      </c>
    </row>
    <row r="9" spans="1:19" ht="13.5" customHeight="1" x14ac:dyDescent="0.25">
      <c r="B9" s="10">
        <v>44682</v>
      </c>
      <c r="C9" s="11">
        <v>1</v>
      </c>
      <c r="D9" s="12">
        <v>3</v>
      </c>
      <c r="E9" s="13">
        <v>529</v>
      </c>
      <c r="F9" s="14">
        <v>30715402765</v>
      </c>
      <c r="G9" s="15" t="str">
        <f>IFERROR(IF('May-22'!$F9="","-",VLOOKUP('May-22'!$F9,Lista_CUIT!$A$1:$D$1871,2,0)),"CUIT NO CARGADO")</f>
        <v>RIO 265 SRL</v>
      </c>
      <c r="H9" s="16">
        <v>7190.08</v>
      </c>
      <c r="I9" s="23">
        <f>'May-22'!$H9*0.21</f>
        <v>1509.9168</v>
      </c>
      <c r="J9" s="23"/>
      <c r="K9" s="23"/>
      <c r="L9" s="23"/>
      <c r="M9" s="23"/>
      <c r="N9" s="23"/>
      <c r="O9" s="23"/>
      <c r="P9" s="20">
        <f>SUM('May-22'!$H9:$O9)</f>
        <v>8699.9968000000008</v>
      </c>
      <c r="Q9" s="15" t="str">
        <f>IFERROR(IF('May-22'!$F9="","-",VLOOKUP('May-22'!$F9,Lista_CUIT!$A$1:$D$1871,3,0)),"CUIT NO CARGADO")</f>
        <v>GTOS VARIOS-ESTACIONAMIENTO HORACIO</v>
      </c>
      <c r="R9" s="21">
        <f>IFERROR(IF('May-22'!$F9="","-",VLOOKUP('May-22'!$F9,Lista_CUIT!$A$1:$D$1871,4,0)),"CUIT NO CARGADO")</f>
        <v>0</v>
      </c>
    </row>
    <row r="10" spans="1:19" ht="13.5" customHeight="1" x14ac:dyDescent="0.25">
      <c r="B10" s="10">
        <v>44682</v>
      </c>
      <c r="C10" s="11">
        <v>1</v>
      </c>
      <c r="D10" s="12">
        <v>3</v>
      </c>
      <c r="E10" s="13">
        <v>155932</v>
      </c>
      <c r="F10" s="14">
        <v>30707135596</v>
      </c>
      <c r="G10" s="15" t="str">
        <f>IFERROR(IF('May-22'!$F10="","-",VLOOKUP('May-22'!$F10,Lista_CUIT!$A$1:$D$1871,2,0)),"CUIT NO CARGADO")</f>
        <v>CITILAN ARGENTINA SA</v>
      </c>
      <c r="H10" s="16">
        <v>2735.95</v>
      </c>
      <c r="I10" s="23">
        <f>'May-22'!$H10*0.21</f>
        <v>574.54949999999997</v>
      </c>
      <c r="J10" s="23"/>
      <c r="K10" s="23"/>
      <c r="L10" s="23"/>
      <c r="M10" s="23"/>
      <c r="N10" s="23"/>
      <c r="O10" s="23"/>
      <c r="P10" s="20">
        <f>SUM('May-22'!$H10:$O10)</f>
        <v>3310.4994999999999</v>
      </c>
      <c r="Q10" s="15" t="str">
        <f>IFERROR(IF('May-22'!$F10="","-",VLOOKUP('May-22'!$F10,Lista_CUIT!$A$1:$D$1871,3,0)),"CUIT NO CARGADO")</f>
        <v>SERVICIOS GAS, LUZ, ETC</v>
      </c>
      <c r="R10" s="21">
        <f>IFERROR(IF('May-22'!$F10="","-",VLOOKUP('May-22'!$F10,Lista_CUIT!$A$1:$D$1871,4,0)),"CUIT NO CARGADO")</f>
        <v>0</v>
      </c>
    </row>
    <row r="11" spans="1:19" ht="13.5" customHeight="1" x14ac:dyDescent="0.25">
      <c r="B11" s="10">
        <v>44683</v>
      </c>
      <c r="C11" s="11">
        <v>1</v>
      </c>
      <c r="D11" s="12">
        <v>2</v>
      </c>
      <c r="E11" s="13">
        <v>131</v>
      </c>
      <c r="F11" s="14">
        <v>20125142851</v>
      </c>
      <c r="G11" s="15" t="str">
        <f>IFERROR(IF('May-22'!$F11="","-",VLOOKUP('May-22'!$F11,Lista_CUIT!$A$1:$D$1871,2,0)),"CUIT NO CARGADO")</f>
        <v>FEDERICI NICOLAS JOSE</v>
      </c>
      <c r="H11" s="16">
        <v>15805</v>
      </c>
      <c r="I11" s="23">
        <f>'May-22'!$H11*0.21</f>
        <v>3319.0499999999997</v>
      </c>
      <c r="J11" s="23"/>
      <c r="K11" s="23"/>
      <c r="L11" s="23"/>
      <c r="M11" s="23"/>
      <c r="N11" s="23"/>
      <c r="O11" s="23"/>
      <c r="P11" s="20">
        <f>SUM('May-22'!$H11:$O11)</f>
        <v>19124.05</v>
      </c>
      <c r="Q11" s="15" t="str">
        <f>IFERROR(IF('May-22'!$F11="","-",VLOOKUP('May-22'!$F11,Lista_CUIT!$A$1:$D$1871,3,0)),"CUIT NO CARGADO")</f>
        <v>INSUMO</v>
      </c>
      <c r="R11" s="21">
        <f>IFERROR(IF('May-22'!$F11="","-",VLOOKUP('May-22'!$F11,Lista_CUIT!$A$1:$D$1871,4,0)),"CUIT NO CARGADO")</f>
        <v>0</v>
      </c>
    </row>
    <row r="12" spans="1:19" ht="13.5" customHeight="1" x14ac:dyDescent="0.25">
      <c r="B12" s="10">
        <v>44683</v>
      </c>
      <c r="C12" s="11">
        <v>1</v>
      </c>
      <c r="D12" s="12">
        <v>4</v>
      </c>
      <c r="E12" s="13">
        <v>960</v>
      </c>
      <c r="F12" s="14">
        <v>27208929416</v>
      </c>
      <c r="G12" s="15" t="str">
        <f>IFERROR(IF('May-22'!$F12="","-",VLOOKUP('May-22'!$F12,Lista_CUIT!$A$1:$D$1871,2,0)),"CUIT NO CARGADO")</f>
        <v>FIGARO CARLA SILVINA</v>
      </c>
      <c r="H12" s="16">
        <v>10160.290000000001</v>
      </c>
      <c r="I12" s="23">
        <f>'May-22'!$H12*0.21</f>
        <v>2133.6609000000003</v>
      </c>
      <c r="J12" s="23"/>
      <c r="K12" s="23"/>
      <c r="L12" s="23"/>
      <c r="M12" s="23"/>
      <c r="N12" s="23"/>
      <c r="O12" s="23"/>
      <c r="P12" s="20">
        <f>SUM('May-22'!$H12:$O12)</f>
        <v>12293.950900000002</v>
      </c>
      <c r="Q12" s="15" t="str">
        <f>IFERROR(IF('May-22'!$F12="","-",VLOOKUP('May-22'!$F12,Lista_CUIT!$A$1:$D$1871,3,0)),"CUIT NO CARGADO")</f>
        <v>INSUMO</v>
      </c>
      <c r="R12" s="21">
        <f>IFERROR(IF('May-22'!$F12="","-",VLOOKUP('May-22'!$F12,Lista_CUIT!$A$1:$D$1871,4,0)),"CUIT NO CARGADO")</f>
        <v>0</v>
      </c>
    </row>
    <row r="13" spans="1:19" ht="13.5" customHeight="1" x14ac:dyDescent="0.25">
      <c r="B13" s="10">
        <v>44683</v>
      </c>
      <c r="C13" s="11">
        <v>1</v>
      </c>
      <c r="D13" s="12">
        <v>9</v>
      </c>
      <c r="E13" s="13">
        <v>1143</v>
      </c>
      <c r="F13" s="14">
        <v>30631047145</v>
      </c>
      <c r="G13" s="15" t="str">
        <f>IFERROR(IF('May-22'!$F13="","-",VLOOKUP('May-22'!$F13,Lista_CUIT!$A$1:$D$1871,2,0)),"CUIT NO CARGADO")</f>
        <v>SEMICONDUC. Y COMPON. SRL</v>
      </c>
      <c r="H13" s="16">
        <v>26317.5</v>
      </c>
      <c r="I13" s="23">
        <v>4827.8999999999996</v>
      </c>
      <c r="J13" s="23"/>
      <c r="K13" s="23">
        <v>349.39</v>
      </c>
      <c r="L13" s="23"/>
      <c r="M13" s="23"/>
      <c r="N13" s="23"/>
      <c r="O13" s="23"/>
      <c r="P13" s="20">
        <f>SUM('May-22'!$H13:$O13)</f>
        <v>31494.79</v>
      </c>
      <c r="Q13" s="15" t="str">
        <f>IFERROR(IF('May-22'!$F13="","-",VLOOKUP('May-22'!$F13,Lista_CUIT!$A$1:$D$1871,3,0)),"CUIT NO CARGADO")</f>
        <v>INSUMO</v>
      </c>
      <c r="R13" s="21">
        <f>IFERROR(IF('May-22'!$F13="","-",VLOOKUP('May-22'!$F13,Lista_CUIT!$A$1:$D$1871,4,0)),"CUIT NO CARGADO")</f>
        <v>0</v>
      </c>
    </row>
    <row r="14" spans="1:19" ht="13.5" customHeight="1" x14ac:dyDescent="0.25">
      <c r="B14" s="10">
        <v>44683</v>
      </c>
      <c r="C14" s="11">
        <v>1</v>
      </c>
      <c r="D14" s="12">
        <v>11</v>
      </c>
      <c r="E14" s="13">
        <v>1811</v>
      </c>
      <c r="F14" s="14">
        <v>30711809429</v>
      </c>
      <c r="G14" s="15" t="str">
        <f>IFERROR(IF('May-22'!$F14="","-",VLOOKUP('May-22'!$F14,Lista_CUIT!$A$1:$D$1871,2,0)),"CUIT NO CARGADO")</f>
        <v>DERPLO SA</v>
      </c>
      <c r="H14" s="16">
        <v>3113.4</v>
      </c>
      <c r="I14" s="23">
        <f>'May-22'!$H14*0.21</f>
        <v>653.81399999999996</v>
      </c>
      <c r="J14" s="23"/>
      <c r="K14" s="23"/>
      <c r="L14" s="23"/>
      <c r="M14" s="23"/>
      <c r="N14" s="23"/>
      <c r="O14" s="23"/>
      <c r="P14" s="20">
        <f>SUM('May-22'!$H14:$O14)</f>
        <v>3767.2139999999999</v>
      </c>
      <c r="Q14" s="15" t="str">
        <f>IFERROR(IF('May-22'!$F14="","-",VLOOKUP('May-22'!$F14,Lista_CUIT!$A$1:$D$1871,3,0)),"CUIT NO CARGADO")</f>
        <v>INSUMO</v>
      </c>
      <c r="R14" s="21">
        <f>IFERROR(IF('May-22'!$F14="","-",VLOOKUP('May-22'!$F14,Lista_CUIT!$A$1:$D$1871,4,0)),"CUIT NO CARGADO")</f>
        <v>0</v>
      </c>
    </row>
    <row r="15" spans="1:19" ht="13.5" customHeight="1" x14ac:dyDescent="0.25">
      <c r="B15" s="10">
        <v>44683</v>
      </c>
      <c r="C15" s="11">
        <v>1</v>
      </c>
      <c r="D15" s="12">
        <v>106</v>
      </c>
      <c r="E15" s="13">
        <v>521748</v>
      </c>
      <c r="F15" s="14">
        <v>30594494187</v>
      </c>
      <c r="G15" s="15" t="str">
        <f>IFERROR(IF('May-22'!$F15="","-",VLOOKUP('May-22'!$F15,Lista_CUIT!$A$1:$D$1871,2,0)),"CUIT NO CARGADO")</f>
        <v>FEDERAL EXPRESS CORPORATION</v>
      </c>
      <c r="H15" s="16"/>
      <c r="I15" s="23">
        <f>'May-22'!$H15*0.21</f>
        <v>0</v>
      </c>
      <c r="J15" s="23"/>
      <c r="K15" s="23"/>
      <c r="L15" s="23"/>
      <c r="M15" s="23"/>
      <c r="N15" s="23"/>
      <c r="O15" s="23">
        <v>31189.200000000001</v>
      </c>
      <c r="P15" s="20">
        <f>SUM('May-22'!$H15:$O15)</f>
        <v>31189.200000000001</v>
      </c>
      <c r="Q15" s="15" t="str">
        <f>IFERROR(IF('May-22'!$F15="","-",VLOOKUP('May-22'!$F15,Lista_CUIT!$A$1:$D$1871,3,0)),"CUIT NO CARGADO")</f>
        <v>GTOS IMP.</v>
      </c>
      <c r="R15" s="21">
        <f>IFERROR(IF('May-22'!$F15="","-",VLOOKUP('May-22'!$F15,Lista_CUIT!$A$1:$D$1871,4,0)),"CUIT NO CARGADO")</f>
        <v>0</v>
      </c>
    </row>
    <row r="16" spans="1:19" ht="13.5" customHeight="1" x14ac:dyDescent="0.25">
      <c r="B16" s="10">
        <v>44683</v>
      </c>
      <c r="C16" s="11">
        <v>1</v>
      </c>
      <c r="D16" s="12">
        <v>13</v>
      </c>
      <c r="E16" s="13">
        <v>763325</v>
      </c>
      <c r="F16" s="14">
        <v>30700940957</v>
      </c>
      <c r="G16" s="15" t="str">
        <f>IFERROR(IF('May-22'!$F16="","-",VLOOKUP('May-22'!$F16,Lista_CUIT!$A$1:$D$1871,2,0)),"CUIT NO CARGADO")</f>
        <v>UPS de ARGENTINA SA</v>
      </c>
      <c r="H16" s="16">
        <v>63402.51</v>
      </c>
      <c r="I16" s="23"/>
      <c r="J16" s="23"/>
      <c r="K16" s="23">
        <v>6657.26</v>
      </c>
      <c r="L16" s="23"/>
      <c r="M16" s="23">
        <v>7289.04</v>
      </c>
      <c r="N16" s="23"/>
      <c r="O16" s="97">
        <v>-63402.51</v>
      </c>
      <c r="P16" s="20">
        <f>SUM('May-22'!$H16:$O16)</f>
        <v>13946.299999999996</v>
      </c>
      <c r="Q16" s="15" t="str">
        <f>IFERROR(IF('May-22'!$F16="","-",VLOOKUP('May-22'!$F16,Lista_CUIT!$A$1:$D$1871,3,0)),"CUIT NO CARGADO")</f>
        <v>GTOS IMP.</v>
      </c>
      <c r="R16" s="21">
        <f>IFERROR(IF('May-22'!$F16="","-",VLOOKUP('May-22'!$F16,Lista_CUIT!$A$1:$D$1871,4,0)),"CUIT NO CARGADO")</f>
        <v>0</v>
      </c>
    </row>
    <row r="17" spans="2:18" ht="13.5" customHeight="1" x14ac:dyDescent="0.25">
      <c r="B17" s="10">
        <v>44684</v>
      </c>
      <c r="C17" s="11">
        <v>1</v>
      </c>
      <c r="D17" s="12">
        <v>3</v>
      </c>
      <c r="E17" s="13">
        <v>256</v>
      </c>
      <c r="F17" s="14">
        <v>20921575743</v>
      </c>
      <c r="G17" s="15" t="str">
        <f>IFERROR(IF('May-22'!$F17="","-",VLOOKUP('May-22'!$F17,Lista_CUIT!$A$1:$D$1871,2,0)),"CUIT NO CARGADO")</f>
        <v>RIOS GOMEZ JOSE ANTONIO</v>
      </c>
      <c r="H17" s="16">
        <v>90720</v>
      </c>
      <c r="I17" s="23">
        <f>'May-22'!$H17*0.21</f>
        <v>19051.2</v>
      </c>
      <c r="J17" s="23"/>
      <c r="K17" s="23"/>
      <c r="L17" s="23"/>
      <c r="M17" s="23"/>
      <c r="N17" s="23"/>
      <c r="O17" s="23"/>
      <c r="P17" s="20">
        <f>SUM('May-22'!$H17:$O17)</f>
        <v>109771.2</v>
      </c>
      <c r="Q17" s="15" t="str">
        <f>IFERROR(IF('May-22'!$F17="","-",VLOOKUP('May-22'!$F17,Lista_CUIT!$A$1:$D$1871,3,0)),"CUIT NO CARGADO")</f>
        <v xml:space="preserve">Papeleria e Impresos </v>
      </c>
      <c r="R17" s="21">
        <f>IFERROR(IF('May-22'!$F17="","-",VLOOKUP('May-22'!$F17,Lista_CUIT!$A$1:$D$1871,4,0)),"CUIT NO CARGADO")</f>
        <v>0</v>
      </c>
    </row>
    <row r="18" spans="2:18" ht="13.5" customHeight="1" x14ac:dyDescent="0.25">
      <c r="B18" s="10">
        <v>44684</v>
      </c>
      <c r="C18" s="11">
        <v>1</v>
      </c>
      <c r="D18" s="12">
        <v>3</v>
      </c>
      <c r="E18" s="13">
        <v>16737</v>
      </c>
      <c r="F18" s="14">
        <v>30707468161</v>
      </c>
      <c r="G18" s="15" t="str">
        <f>IFERROR(IF('May-22'!$F18="","-",VLOOKUP('May-22'!$F18,Lista_CUIT!$A$1:$D$1871,2,0)),"CUIT NO CARGADO")</f>
        <v>LASERTEC INGENIERIA S.R.L.</v>
      </c>
      <c r="H18" s="16">
        <v>33740</v>
      </c>
      <c r="I18" s="23">
        <f>'May-22'!$H18*0.21</f>
        <v>7085.4</v>
      </c>
      <c r="J18" s="23"/>
      <c r="K18" s="23"/>
      <c r="L18" s="23"/>
      <c r="M18" s="23"/>
      <c r="N18" s="23"/>
      <c r="O18" s="23"/>
      <c r="P18" s="20">
        <f>SUM('May-22'!$H18:$O18)</f>
        <v>40825.4</v>
      </c>
      <c r="Q18" s="15" t="str">
        <f>IFERROR(IF('May-22'!$F18="","-",VLOOKUP('May-22'!$F18,Lista_CUIT!$A$1:$D$1871,3,0)),"CUIT NO CARGADO")</f>
        <v>INSUMO</v>
      </c>
      <c r="R18" s="21">
        <f>IFERROR(IF('May-22'!$F18="","-",VLOOKUP('May-22'!$F18,Lista_CUIT!$A$1:$D$1871,4,0)),"CUIT NO CARGADO")</f>
        <v>0</v>
      </c>
    </row>
    <row r="19" spans="2:18" ht="13.5" customHeight="1" x14ac:dyDescent="0.25">
      <c r="B19" s="10">
        <v>44690</v>
      </c>
      <c r="C19" s="11">
        <v>1</v>
      </c>
      <c r="D19" s="12">
        <v>2</v>
      </c>
      <c r="E19" s="13">
        <v>132</v>
      </c>
      <c r="F19" s="14">
        <v>20125142851</v>
      </c>
      <c r="G19" s="15" t="str">
        <f>IFERROR(IF('May-22'!$F19="","-",VLOOKUP('May-22'!$F19,Lista_CUIT!$A$1:$D$1871,2,0)),"CUIT NO CARGADO")</f>
        <v>FEDERICI NICOLAS JOSE</v>
      </c>
      <c r="H19" s="16">
        <v>21037</v>
      </c>
      <c r="I19" s="23">
        <f>'May-22'!$H19*0.21</f>
        <v>4417.7699999999995</v>
      </c>
      <c r="J19" s="23"/>
      <c r="K19" s="23"/>
      <c r="L19" s="23"/>
      <c r="M19" s="23"/>
      <c r="N19" s="23"/>
      <c r="O19" s="23"/>
      <c r="P19" s="20">
        <f>SUM('May-22'!$H19:$O19)</f>
        <v>25454.77</v>
      </c>
      <c r="Q19" s="15" t="str">
        <f>IFERROR(IF('May-22'!$F19="","-",VLOOKUP('May-22'!$F19,Lista_CUIT!$A$1:$D$1871,3,0)),"CUIT NO CARGADO")</f>
        <v>INSUMO</v>
      </c>
      <c r="R19" s="21">
        <f>IFERROR(IF('May-22'!$F19="","-",VLOOKUP('May-22'!$F19,Lista_CUIT!$A$1:$D$1871,4,0)),"CUIT NO CARGADO")</f>
        <v>0</v>
      </c>
    </row>
    <row r="20" spans="2:18" ht="13.5" customHeight="1" x14ac:dyDescent="0.25">
      <c r="B20" s="10">
        <v>44690</v>
      </c>
      <c r="C20" s="11">
        <v>1</v>
      </c>
      <c r="D20" s="12">
        <v>2</v>
      </c>
      <c r="E20" s="13">
        <v>765</v>
      </c>
      <c r="F20" s="14">
        <v>30500805222</v>
      </c>
      <c r="G20" s="15" t="str">
        <f>IFERROR(IF('May-22'!$F20="","-",VLOOKUP('May-22'!$F20,Lista_CUIT!$A$1:$D$1871,2,0)),"CUIT NO CARGADO")</f>
        <v>KAVCIC SRL</v>
      </c>
      <c r="H20" s="16">
        <v>69690</v>
      </c>
      <c r="I20" s="23">
        <f>'May-22'!$H20*0.21</f>
        <v>14634.9</v>
      </c>
      <c r="J20" s="23"/>
      <c r="K20" s="23"/>
      <c r="L20" s="23"/>
      <c r="M20" s="23"/>
      <c r="N20" s="23"/>
      <c r="O20" s="23"/>
      <c r="P20" s="20">
        <f>SUM('May-22'!$H20:$O20)</f>
        <v>84324.9</v>
      </c>
      <c r="Q20" s="15" t="str">
        <f>IFERROR(IF('May-22'!$F20="","-",VLOOKUP('May-22'!$F20,Lista_CUIT!$A$1:$D$1871,3,0)),"CUIT NO CARGADO")</f>
        <v>INSUMO</v>
      </c>
      <c r="R20" s="21">
        <f>IFERROR(IF('May-22'!$F20="","-",VLOOKUP('May-22'!$F20,Lista_CUIT!$A$1:$D$1871,4,0)),"CUIT NO CARGADO")</f>
        <v>0</v>
      </c>
    </row>
    <row r="21" spans="2:18" ht="13.5" customHeight="1" x14ac:dyDescent="0.25">
      <c r="B21" s="10">
        <v>44691</v>
      </c>
      <c r="C21" s="11">
        <v>1</v>
      </c>
      <c r="D21" s="12">
        <v>31</v>
      </c>
      <c r="E21" s="13">
        <v>161345</v>
      </c>
      <c r="F21" s="14">
        <v>30710114176</v>
      </c>
      <c r="G21" s="15" t="str">
        <f>IFERROR(IF('May-22'!$F21="","-",VLOOKUP('May-22'!$F21,Lista_CUIT!$A$1:$D$1871,2,0)),"CUIT NO CARGADO")</f>
        <v>SYMONDS SA.</v>
      </c>
      <c r="H21" s="16">
        <v>31404.13</v>
      </c>
      <c r="I21" s="23">
        <f>'May-22'!$H21*0.21</f>
        <v>6594.8672999999999</v>
      </c>
      <c r="J21" s="23"/>
      <c r="K21" s="23"/>
      <c r="L21" s="23"/>
      <c r="M21" s="23"/>
      <c r="N21" s="23"/>
      <c r="O21" s="23"/>
      <c r="P21" s="20">
        <f>SUM('May-22'!$H21:$O21)</f>
        <v>37998.997300000003</v>
      </c>
      <c r="Q21" s="15" t="str">
        <f>IFERROR(IF('May-22'!$F21="","-",VLOOKUP('May-22'!$F21,Lista_CUIT!$A$1:$D$1871,3,0)),"CUIT NO CARGADO")</f>
        <v>Mantenimiento</v>
      </c>
      <c r="R21" s="21">
        <f>IFERROR(IF('May-22'!$F21="","-",VLOOKUP('May-22'!$F21,Lista_CUIT!$A$1:$D$1871,4,0)),"CUIT NO CARGADO")</f>
        <v>0</v>
      </c>
    </row>
    <row r="22" spans="2:18" ht="13.5" customHeight="1" x14ac:dyDescent="0.25">
      <c r="B22" s="24">
        <v>44691</v>
      </c>
      <c r="C22" s="25">
        <v>1</v>
      </c>
      <c r="D22" s="26">
        <v>3</v>
      </c>
      <c r="E22" s="27">
        <v>1743</v>
      </c>
      <c r="F22" s="28">
        <v>30715461540</v>
      </c>
      <c r="G22" s="29" t="str">
        <f>IFERROR(IF('May-22'!$F22="","-",VLOOKUP('May-22'!$F22,Lista_CUIT!$A$1:$D$1871,2,0)),"CUIT NO CARGADO")</f>
        <v>CAISEN S.R.L.</v>
      </c>
      <c r="H22" s="30">
        <v>875.2</v>
      </c>
      <c r="I22" s="31">
        <f>'May-22'!$H22*0.21</f>
        <v>183.792</v>
      </c>
      <c r="J22" s="31"/>
      <c r="K22" s="31"/>
      <c r="L22" s="31"/>
      <c r="M22" s="31"/>
      <c r="N22" s="31"/>
      <c r="O22" s="31"/>
      <c r="P22" s="32">
        <f>SUM('May-22'!$H22:$O22)</f>
        <v>1058.992</v>
      </c>
      <c r="Q22" s="29" t="str">
        <f>IFERROR(IF('May-22'!$F22="","-",VLOOKUP('May-22'!$F22,Lista_CUIT!$A$1:$D$1871,3,0)),"CUIT NO CARGADO")</f>
        <v>Gastos Varios</v>
      </c>
      <c r="R22" s="21">
        <f>IFERROR(IF('May-22'!$F22="","-",VLOOKUP('May-22'!$F22,Lista_CUIT!$A$1:$D$1871,4,0)),"CUIT NO CARGADO")</f>
        <v>0</v>
      </c>
    </row>
    <row r="23" spans="2:18" ht="13.5" customHeight="1" x14ac:dyDescent="0.25">
      <c r="B23" s="24">
        <v>44692</v>
      </c>
      <c r="C23" s="25">
        <v>1</v>
      </c>
      <c r="D23" s="26">
        <v>2466</v>
      </c>
      <c r="E23" s="27">
        <v>357998</v>
      </c>
      <c r="F23" s="28">
        <v>30678814357</v>
      </c>
      <c r="G23" s="29" t="str">
        <f>IFERROR(IF('May-22'!$F23="","-",VLOOKUP('May-22'!$F23,Lista_CUIT!$A$1:$D$1871,2,0)),"CUIT NO CARGADO")</f>
        <v>Telefonica Moviles Argentina SA</v>
      </c>
      <c r="H23" s="30">
        <v>6911.5</v>
      </c>
      <c r="I23" s="31"/>
      <c r="J23" s="31">
        <v>1866.11</v>
      </c>
      <c r="K23" s="31"/>
      <c r="L23" s="31"/>
      <c r="M23" s="31"/>
      <c r="N23" s="31">
        <v>207.34</v>
      </c>
      <c r="O23" s="31">
        <v>92.89</v>
      </c>
      <c r="P23" s="32">
        <f>SUM('May-22'!$H23:$O23)</f>
        <v>9077.84</v>
      </c>
      <c r="Q23" s="29" t="str">
        <f>IFERROR(IF('May-22'!$F23="","-",VLOOKUP('May-22'!$F23,Lista_CUIT!$A$1:$D$1871,3,0)),"CUIT NO CARGADO")</f>
        <v>SERVICIOS GAS, LUZ, ETC</v>
      </c>
      <c r="R23" s="21">
        <f>IFERROR(IF('May-22'!$F23="","-",VLOOKUP('May-22'!$F23,Lista_CUIT!$A$1:$D$1871,4,0)),"CUIT NO CARGADO")</f>
        <v>0</v>
      </c>
    </row>
    <row r="24" spans="2:18" ht="13.5" customHeight="1" x14ac:dyDescent="0.25">
      <c r="B24" s="10">
        <v>44693</v>
      </c>
      <c r="C24" s="11">
        <v>1</v>
      </c>
      <c r="D24" s="12">
        <v>2</v>
      </c>
      <c r="E24" s="13">
        <v>20370</v>
      </c>
      <c r="F24" s="14">
        <v>30715257099</v>
      </c>
      <c r="G24" s="15" t="str">
        <f>IFERROR(IF('May-22'!$F24="","-",VLOOKUP('May-22'!$F24,Lista_CUIT!$A$1:$D$1871,2,0)),"CUIT NO CARGADO")</f>
        <v>FAS MOTOS</v>
      </c>
      <c r="H24" s="16">
        <v>18834.71</v>
      </c>
      <c r="I24" s="23">
        <f>'May-22'!$H24*0.21</f>
        <v>3955.2890999999995</v>
      </c>
      <c r="J24" s="23"/>
      <c r="K24" s="23"/>
      <c r="L24" s="23"/>
      <c r="M24" s="23"/>
      <c r="N24" s="23"/>
      <c r="O24" s="23"/>
      <c r="P24" s="20">
        <f>SUM('May-22'!$H24:$O24)</f>
        <v>22789.999099999997</v>
      </c>
      <c r="Q24" s="15" t="str">
        <f>IFERROR(IF('May-22'!$F24="","-",VLOOKUP('May-22'!$F24,Lista_CUIT!$A$1:$D$1871,3,0)),"CUIT NO CARGADO")</f>
        <v>INSUMO</v>
      </c>
      <c r="R24" s="21">
        <f>IFERROR(IF('May-22'!$F24="","-",VLOOKUP('May-22'!$F24,Lista_CUIT!$A$1:$D$1871,4,0)),"CUIT NO CARGADO")</f>
        <v>0</v>
      </c>
    </row>
    <row r="25" spans="2:18" ht="13.5" customHeight="1" x14ac:dyDescent="0.25">
      <c r="B25" s="10">
        <v>44693</v>
      </c>
      <c r="C25" s="11">
        <v>1</v>
      </c>
      <c r="D25" s="12">
        <v>106</v>
      </c>
      <c r="E25" s="13">
        <v>524430</v>
      </c>
      <c r="F25" s="14">
        <v>30594494187</v>
      </c>
      <c r="G25" s="15" t="str">
        <f>IFERROR(IF('May-22'!$F25="","-",VLOOKUP('May-22'!$F25,Lista_CUIT!$A$1:$D$1871,2,0)),"CUIT NO CARGADO")</f>
        <v>FEDERAL EXPRESS CORPORATION</v>
      </c>
      <c r="H25" s="16">
        <v>5844</v>
      </c>
      <c r="I25" s="23">
        <f>'May-22'!$H25*0.21</f>
        <v>1227.24</v>
      </c>
      <c r="J25" s="23"/>
      <c r="K25" s="23"/>
      <c r="L25" s="23"/>
      <c r="M25" s="23"/>
      <c r="N25" s="23"/>
      <c r="O25" s="23">
        <v>4843.83</v>
      </c>
      <c r="P25" s="20">
        <f>SUM('May-22'!$H25:$O25)</f>
        <v>11915.07</v>
      </c>
      <c r="Q25" s="15" t="str">
        <f>IFERROR(IF('May-22'!$F25="","-",VLOOKUP('May-22'!$F25,Lista_CUIT!$A$1:$D$1871,3,0)),"CUIT NO CARGADO")</f>
        <v>GTOS IMP.</v>
      </c>
      <c r="R25" s="21">
        <f>IFERROR(IF('May-22'!$F25="","-",VLOOKUP('May-22'!$F25,Lista_CUIT!$A$1:$D$1871,4,0)),"CUIT NO CARGADO")</f>
        <v>0</v>
      </c>
    </row>
    <row r="26" spans="2:18" ht="13.5" customHeight="1" x14ac:dyDescent="0.25">
      <c r="B26" s="24">
        <v>44693</v>
      </c>
      <c r="C26" s="25">
        <v>1</v>
      </c>
      <c r="D26" s="26">
        <v>7</v>
      </c>
      <c r="E26" s="27">
        <v>29271</v>
      </c>
      <c r="F26" s="28">
        <v>20181426846</v>
      </c>
      <c r="G26" s="29" t="str">
        <f>IFERROR(IF('May-22'!$F26="","-",VLOOKUP('May-22'!$F26,Lista_CUIT!$A$1:$D$1871,2,0)),"CUIT NO CARGADO")</f>
        <v>GRIDEL WALTER DIEGO</v>
      </c>
      <c r="H26" s="30">
        <v>1849.17</v>
      </c>
      <c r="I26" s="31">
        <f>'May-22'!$H26*0.21</f>
        <v>388.32569999999998</v>
      </c>
      <c r="J26" s="31"/>
      <c r="K26" s="31"/>
      <c r="L26" s="31"/>
      <c r="M26" s="31"/>
      <c r="N26" s="31"/>
      <c r="O26" s="31"/>
      <c r="P26" s="32">
        <f>SUM('May-22'!$H26:$O26)</f>
        <v>2237.4956999999999</v>
      </c>
      <c r="Q26" s="29" t="str">
        <f>IFERROR(IF('May-22'!$F26="","-",VLOOKUP('May-22'!$F26,Lista_CUIT!$A$1:$D$1871,3,0)),"CUIT NO CARGADO")</f>
        <v>Gastos Oficina</v>
      </c>
      <c r="R26" s="21">
        <f>IFERROR(IF('May-22'!$F26="","-",VLOOKUP('May-22'!$F26,Lista_CUIT!$A$1:$D$1871,4,0)),"CUIT NO CARGADO")</f>
        <v>0</v>
      </c>
    </row>
    <row r="27" spans="2:18" ht="13.5" customHeight="1" x14ac:dyDescent="0.25">
      <c r="B27" s="10">
        <v>44694</v>
      </c>
      <c r="C27" s="11">
        <v>1</v>
      </c>
      <c r="D27" s="12">
        <v>5</v>
      </c>
      <c r="E27" s="13">
        <v>542</v>
      </c>
      <c r="F27" s="14">
        <v>30707397256</v>
      </c>
      <c r="G27" s="15" t="str">
        <f>IFERROR(IF('May-22'!$F27="","-",VLOOKUP('May-22'!$F27,Lista_CUIT!$A$1:$D$1871,2,0)),"CUIT NO CARGADO")</f>
        <v>GRAFICA Y FOTOGRABADOS LA PLAZA SRL</v>
      </c>
      <c r="H27" s="16">
        <v>315388.2</v>
      </c>
      <c r="I27" s="23">
        <f>'May-22'!$H27*0.21</f>
        <v>66231.521999999997</v>
      </c>
      <c r="J27" s="23"/>
      <c r="K27" s="23"/>
      <c r="L27" s="23"/>
      <c r="M27" s="23"/>
      <c r="N27" s="23"/>
      <c r="O27" s="23"/>
      <c r="P27" s="20">
        <f>SUM('May-22'!$H27:$O27)</f>
        <v>381619.72200000001</v>
      </c>
      <c r="Q27" s="15" t="str">
        <f>IFERROR(IF('May-22'!$F27="","-",VLOOKUP('May-22'!$F27,Lista_CUIT!$A$1:$D$1871,3,0)),"CUIT NO CARGADO")</f>
        <v>Fotograbados</v>
      </c>
      <c r="R27" s="21">
        <f>IFERROR(IF('May-22'!$F27="","-",VLOOKUP('May-22'!$F27,Lista_CUIT!$A$1:$D$1871,4,0)),"CUIT NO CARGADO")</f>
        <v>0</v>
      </c>
    </row>
    <row r="28" spans="2:18" ht="13.5" customHeight="1" x14ac:dyDescent="0.25">
      <c r="B28" s="24">
        <v>44694</v>
      </c>
      <c r="C28" s="25">
        <v>1</v>
      </c>
      <c r="D28" s="26">
        <v>3</v>
      </c>
      <c r="E28" s="27">
        <v>170</v>
      </c>
      <c r="F28" s="28">
        <v>23319824979</v>
      </c>
      <c r="G28" s="29" t="str">
        <f>IFERROR(IF('May-22'!$F28="","-",VLOOKUP('May-22'!$F28,Lista_CUIT!$A$1:$D$1871,2,0)),"CUIT NO CARGADO")</f>
        <v>PEREZ SEBASTIAN LUCAS</v>
      </c>
      <c r="H28" s="30">
        <v>4950.2299999999996</v>
      </c>
      <c r="I28" s="31"/>
      <c r="J28" s="31"/>
      <c r="K28" s="31">
        <v>519.77414999999996</v>
      </c>
      <c r="L28" s="31"/>
      <c r="M28" s="31"/>
      <c r="N28" s="31"/>
      <c r="O28" s="31"/>
      <c r="P28" s="32">
        <f>SUM('May-22'!$H28:$O28)</f>
        <v>5470.0041499999998</v>
      </c>
      <c r="Q28" s="29" t="str">
        <f>IFERROR(IF('May-22'!$F28="","-",VLOOKUP('May-22'!$F28,Lista_CUIT!$A$1:$D$1871,3,0)),"CUIT NO CARGADO")</f>
        <v>Gastos Varios</v>
      </c>
      <c r="R28" s="21">
        <f>IFERROR(IF('May-22'!$F28="","-",VLOOKUP('May-22'!$F28,Lista_CUIT!$A$1:$D$1871,4,0)),"CUIT NO CARGADO")</f>
        <v>0</v>
      </c>
    </row>
    <row r="29" spans="2:18" ht="13.5" customHeight="1" x14ac:dyDescent="0.25">
      <c r="B29" s="10">
        <v>44695</v>
      </c>
      <c r="C29" s="11">
        <v>1</v>
      </c>
      <c r="D29" s="12">
        <v>6</v>
      </c>
      <c r="E29" s="13">
        <v>9566</v>
      </c>
      <c r="F29" s="14">
        <v>30715819461</v>
      </c>
      <c r="G29" s="15" t="str">
        <f>IFERROR(IF('May-22'!$F29="","-",VLOOKUP('May-22'!$F29,Lista_CUIT!$A$1:$D$1871,2,0)),"CUIT NO CARGADO")</f>
        <v>DISTRI AIRES SRL</v>
      </c>
      <c r="H29" s="16">
        <v>4968.6000000000004</v>
      </c>
      <c r="I29" s="23">
        <f>'May-22'!$H29*0.21</f>
        <v>1043.4059999999999</v>
      </c>
      <c r="J29" s="23"/>
      <c r="K29" s="23"/>
      <c r="L29" s="23"/>
      <c r="M29" s="23"/>
      <c r="N29" s="23"/>
      <c r="O29" s="23"/>
      <c r="P29" s="20">
        <f>SUM('May-22'!$H29:$O29)</f>
        <v>6012.0060000000003</v>
      </c>
      <c r="Q29" s="15" t="str">
        <f>IFERROR(IF('May-22'!$F29="","-",VLOOKUP('May-22'!$F29,Lista_CUIT!$A$1:$D$1871,3,0)),"CUIT NO CARGADO")</f>
        <v xml:space="preserve">Papeleria e Impresos </v>
      </c>
      <c r="R29" s="21">
        <f>IFERROR(IF('May-22'!$F29="","-",VLOOKUP('May-22'!$F29,Lista_CUIT!$A$1:$D$1871,4,0)),"CUIT NO CARGADO")</f>
        <v>0</v>
      </c>
    </row>
    <row r="30" spans="2:18" ht="13.5" customHeight="1" x14ac:dyDescent="0.25">
      <c r="B30" s="10">
        <v>44697</v>
      </c>
      <c r="C30" s="11">
        <v>1</v>
      </c>
      <c r="D30" s="12">
        <v>9</v>
      </c>
      <c r="E30" s="13">
        <v>25058</v>
      </c>
      <c r="F30" s="14">
        <v>30595378695</v>
      </c>
      <c r="G30" s="15" t="str">
        <f>IFERROR(IF('May-22'!$F30="","-",VLOOKUP('May-22'!$F30,Lista_CUIT!$A$1:$D$1871,2,0)),"CUIT NO CARGADO")</f>
        <v>QUIWI SRL</v>
      </c>
      <c r="H30" s="16">
        <v>3372.38</v>
      </c>
      <c r="I30" s="23">
        <f>'May-22'!$H30*0.21</f>
        <v>708.19979999999998</v>
      </c>
      <c r="J30" s="23"/>
      <c r="K30" s="23"/>
      <c r="L30" s="23"/>
      <c r="M30" s="23"/>
      <c r="N30" s="23"/>
      <c r="O30" s="23"/>
      <c r="P30" s="20">
        <f>SUM('May-22'!$H30:$O30)</f>
        <v>4080.5798</v>
      </c>
      <c r="Q30" s="15" t="str">
        <f>IFERROR(IF('May-22'!$F30="","-",VLOOKUP('May-22'!$F30,Lista_CUIT!$A$1:$D$1871,3,0)),"CUIT NO CARGADO")</f>
        <v>Mantenimiento</v>
      </c>
      <c r="R30" s="21">
        <f>IFERROR(IF('May-22'!$F30="","-",VLOOKUP('May-22'!$F30,Lista_CUIT!$A$1:$D$1871,4,0)),"CUIT NO CARGADO")</f>
        <v>0</v>
      </c>
    </row>
    <row r="31" spans="2:18" ht="15" customHeight="1" x14ac:dyDescent="0.25">
      <c r="B31" s="24">
        <v>44697</v>
      </c>
      <c r="C31" s="25">
        <v>1</v>
      </c>
      <c r="D31" s="26">
        <v>3</v>
      </c>
      <c r="E31" s="27">
        <v>503</v>
      </c>
      <c r="F31" s="28">
        <v>30716331349</v>
      </c>
      <c r="G31" s="29" t="str">
        <f>IFERROR(IF('May-22'!$F31="","-",VLOOKUP('May-22'!$F31,Lista_CUIT!$A$1:$D$1871,2,0)),"CUIT NO CARGADO")</f>
        <v>STERLING TRADE S.R.L.</v>
      </c>
      <c r="H31" s="30"/>
      <c r="I31" s="31">
        <f>'May-22'!$H31*0.21</f>
        <v>0</v>
      </c>
      <c r="J31" s="31"/>
      <c r="K31" s="31"/>
      <c r="L31" s="31"/>
      <c r="M31" s="31"/>
      <c r="N31" s="31"/>
      <c r="O31" s="31">
        <v>65190</v>
      </c>
      <c r="P31" s="32">
        <f>SUM('May-22'!$H31:$O31)</f>
        <v>65190</v>
      </c>
      <c r="Q31" s="29" t="str">
        <f>IFERROR(IF('May-22'!$F31="","-",VLOOKUP('May-22'!$F31,Lista_CUIT!$A$1:$D$1871,3,0)),"CUIT NO CARGADO")</f>
        <v>FLETE</v>
      </c>
      <c r="R31" s="21">
        <f>IFERROR(IF('May-22'!$F31="","-",VLOOKUP('May-22'!$F31,Lista_CUIT!$A$1:$D$1871,4,0)),"CUIT NO CARGADO")</f>
        <v>0</v>
      </c>
    </row>
    <row r="32" spans="2:18" ht="15" customHeight="1" x14ac:dyDescent="0.25">
      <c r="B32" s="10">
        <v>44700</v>
      </c>
      <c r="C32" s="11">
        <v>1</v>
      </c>
      <c r="D32" s="12">
        <v>1</v>
      </c>
      <c r="E32" s="13">
        <v>7155</v>
      </c>
      <c r="F32" s="14">
        <v>33716043989</v>
      </c>
      <c r="G32" s="15" t="str">
        <f>IFERROR(IF('May-22'!$F32="","-",VLOOKUP('May-22'!$F32,Lista_CUIT!$A$1:$D$1871,2,0)),"CUIT NO CARGADO")</f>
        <v>DANIEL Y LUCIO RIAL SOCIEDAD SIMPLE</v>
      </c>
      <c r="H32" s="16">
        <v>15033.1</v>
      </c>
      <c r="I32" s="23">
        <f>'May-22'!$H32*0.21</f>
        <v>3156.951</v>
      </c>
      <c r="J32" s="23"/>
      <c r="K32" s="23"/>
      <c r="L32" s="23"/>
      <c r="M32" s="23"/>
      <c r="N32" s="23"/>
      <c r="O32" s="23"/>
      <c r="P32" s="20">
        <f>SUM('May-22'!$H32:$O32)</f>
        <v>18190.050999999999</v>
      </c>
      <c r="Q32" s="15" t="str">
        <f>IFERROR(IF('May-22'!$F32="","-",VLOOKUP('May-22'!$F32,Lista_CUIT!$A$1:$D$1871,3,0)),"CUIT NO CARGADO")</f>
        <v>INSUMO</v>
      </c>
      <c r="R32" s="21">
        <f>IFERROR(IF('May-22'!$F32="","-",VLOOKUP('May-22'!$F32,Lista_CUIT!$A$1:$D$1871,4,0)),"CUIT NO CARGADO")</f>
        <v>0</v>
      </c>
    </row>
    <row r="33" spans="2:18" ht="15" customHeight="1" x14ac:dyDescent="0.25">
      <c r="B33" s="10">
        <v>44700</v>
      </c>
      <c r="C33" s="11">
        <v>1</v>
      </c>
      <c r="D33" s="12">
        <v>5</v>
      </c>
      <c r="E33" s="13">
        <v>52946</v>
      </c>
      <c r="F33" s="14">
        <v>30692857611</v>
      </c>
      <c r="G33" s="15" t="str">
        <f>IFERROR(IF('May-22'!$F33="","-",VLOOKUP('May-22'!$F33,Lista_CUIT!$A$1:$D$1871,2,0)),"CUIT NO CARGADO")</f>
        <v>BAGUI S.A.</v>
      </c>
      <c r="H33" s="16">
        <v>6620.63</v>
      </c>
      <c r="I33" s="23">
        <f>'May-22'!$H33*0.21</f>
        <v>1390.3323</v>
      </c>
      <c r="J33" s="23"/>
      <c r="K33" s="23"/>
      <c r="L33" s="23"/>
      <c r="M33" s="23"/>
      <c r="N33" s="23"/>
      <c r="O33" s="23"/>
      <c r="P33" s="20">
        <f>SUM('May-22'!$H33:$O33)</f>
        <v>8010.9623000000001</v>
      </c>
      <c r="Q33" s="15" t="str">
        <f>IFERROR(IF('May-22'!$F33="","-",VLOOKUP('May-22'!$F33,Lista_CUIT!$A$1:$D$1871,3,0)),"CUIT NO CARGADO")</f>
        <v>MAT. PRIM.</v>
      </c>
      <c r="R33" s="21">
        <f>IFERROR(IF('May-22'!$F33="","-",VLOOKUP('May-22'!$F33,Lista_CUIT!$A$1:$D$1871,4,0)),"CUIT NO CARGADO")</f>
        <v>0</v>
      </c>
    </row>
    <row r="34" spans="2:18" ht="15" customHeight="1" x14ac:dyDescent="0.25">
      <c r="B34" s="24">
        <v>44700</v>
      </c>
      <c r="C34" s="25">
        <v>1</v>
      </c>
      <c r="D34" s="26">
        <v>5</v>
      </c>
      <c r="E34" s="27">
        <v>52913</v>
      </c>
      <c r="F34" s="28">
        <v>30692857611</v>
      </c>
      <c r="G34" s="29" t="str">
        <f>IFERROR(IF('May-22'!$F34="","-",VLOOKUP('May-22'!$F34,Lista_CUIT!$A$1:$D$1871,2,0)),"CUIT NO CARGADO")</f>
        <v>BAGUI S.A.</v>
      </c>
      <c r="H34" s="30">
        <v>6373.13</v>
      </c>
      <c r="I34" s="31">
        <f>'May-22'!$H34*0.21</f>
        <v>1338.3572999999999</v>
      </c>
      <c r="J34" s="31"/>
      <c r="K34" s="31"/>
      <c r="L34" s="31"/>
      <c r="M34" s="31"/>
      <c r="N34" s="31"/>
      <c r="O34" s="31"/>
      <c r="P34" s="32">
        <f>SUM('May-22'!$H34:$O34)</f>
        <v>7711.4872999999998</v>
      </c>
      <c r="Q34" s="29" t="str">
        <f>IFERROR(IF('May-22'!$F34="","-",VLOOKUP('May-22'!$F34,Lista_CUIT!$A$1:$D$1871,3,0)),"CUIT NO CARGADO")</f>
        <v>MAT. PRIM.</v>
      </c>
      <c r="R34" s="21">
        <f>IFERROR(IF('May-22'!$F34="","-",VLOOKUP('May-22'!$F34,Lista_CUIT!$A$1:$D$1871,4,0)),"CUIT NO CARGADO")</f>
        <v>0</v>
      </c>
    </row>
    <row r="35" spans="2:18" ht="15" customHeight="1" x14ac:dyDescent="0.25">
      <c r="B35" s="24">
        <v>44700</v>
      </c>
      <c r="C35" s="25">
        <v>3</v>
      </c>
      <c r="D35" s="26">
        <v>5</v>
      </c>
      <c r="E35" s="27">
        <v>6389</v>
      </c>
      <c r="F35" s="28">
        <v>30692857611</v>
      </c>
      <c r="G35" s="29" t="str">
        <f>IFERROR(IF('May-22'!$F35="","-",VLOOKUP('May-22'!$F35,Lista_CUIT!$A$1:$D$1871,2,0)),"CUIT NO CARGADO")</f>
        <v>BAGUI S.A.</v>
      </c>
      <c r="H35" s="30">
        <v>-6373.13</v>
      </c>
      <c r="I35" s="31">
        <f>'May-22'!$H35*0.21</f>
        <v>-1338.3572999999999</v>
      </c>
      <c r="J35" s="31"/>
      <c r="K35" s="31"/>
      <c r="L35" s="31"/>
      <c r="M35" s="31"/>
      <c r="N35" s="31"/>
      <c r="O35" s="31"/>
      <c r="P35" s="32">
        <f>SUM('May-22'!$H35:$O35)</f>
        <v>-7711.4872999999998</v>
      </c>
      <c r="Q35" s="29" t="str">
        <f>IFERROR(IF('May-22'!$F35="","-",VLOOKUP('May-22'!$F35,Lista_CUIT!$A$1:$D$1871,3,0)),"CUIT NO CARGADO")</f>
        <v>MAT. PRIM.</v>
      </c>
      <c r="R35" s="21">
        <f>IFERROR(IF('May-22'!$F35="","-",VLOOKUP('May-22'!$F35,Lista_CUIT!$A$1:$D$1871,4,0)),"CUIT NO CARGADO")</f>
        <v>0</v>
      </c>
    </row>
    <row r="36" spans="2:18" ht="15" customHeight="1" x14ac:dyDescent="0.25">
      <c r="B36" s="10">
        <v>44701</v>
      </c>
      <c r="C36" s="11">
        <v>1</v>
      </c>
      <c r="D36" s="12">
        <v>3</v>
      </c>
      <c r="E36" s="13">
        <v>257</v>
      </c>
      <c r="F36" s="14">
        <v>20921575743</v>
      </c>
      <c r="G36" s="15" t="str">
        <f>IFERROR(IF('May-22'!$F36="","-",VLOOKUP('May-22'!$F36,Lista_CUIT!$A$1:$D$1871,2,0)),"CUIT NO CARGADO")</f>
        <v>RIOS GOMEZ JOSE ANTONIO</v>
      </c>
      <c r="H36" s="16">
        <v>10350</v>
      </c>
      <c r="I36" s="23">
        <f>'May-22'!$H36*0.21</f>
        <v>2173.5</v>
      </c>
      <c r="J36" s="23"/>
      <c r="K36" s="23"/>
      <c r="L36" s="23"/>
      <c r="M36" s="23"/>
      <c r="N36" s="23"/>
      <c r="O36" s="23"/>
      <c r="P36" s="20">
        <f>SUM('May-22'!$H36:$O36)</f>
        <v>12523.5</v>
      </c>
      <c r="Q36" s="15" t="str">
        <f>IFERROR(IF('May-22'!$F36="","-",VLOOKUP('May-22'!$F36,Lista_CUIT!$A$1:$D$1871,3,0)),"CUIT NO CARGADO")</f>
        <v xml:space="preserve">Papeleria e Impresos </v>
      </c>
      <c r="R36" s="21">
        <f>IFERROR(IF('May-22'!$F36="","-",VLOOKUP('May-22'!$F36,Lista_CUIT!$A$1:$D$1871,4,0)),"CUIT NO CARGADO")</f>
        <v>0</v>
      </c>
    </row>
    <row r="37" spans="2:18" ht="15" customHeight="1" x14ac:dyDescent="0.25">
      <c r="B37" s="10">
        <v>44701</v>
      </c>
      <c r="C37" s="11">
        <v>1</v>
      </c>
      <c r="D37" s="12">
        <v>6</v>
      </c>
      <c r="E37" s="13">
        <v>9713</v>
      </c>
      <c r="F37" s="14">
        <v>30715819461</v>
      </c>
      <c r="G37" s="15" t="str">
        <f>IFERROR(IF('May-22'!$F37="","-",VLOOKUP('May-22'!$F37,Lista_CUIT!$A$1:$D$1871,2,0)),"CUIT NO CARGADO")</f>
        <v>DISTRI AIRES SRL</v>
      </c>
      <c r="H37" s="16">
        <v>4505.79</v>
      </c>
      <c r="I37" s="23">
        <f>'May-22'!$H37*0.21</f>
        <v>946.21589999999992</v>
      </c>
      <c r="J37" s="23"/>
      <c r="K37" s="23"/>
      <c r="L37" s="23"/>
      <c r="M37" s="23"/>
      <c r="N37" s="23"/>
      <c r="O37" s="23"/>
      <c r="P37" s="20">
        <f>SUM('May-22'!$H37:$O37)</f>
        <v>5452.0059000000001</v>
      </c>
      <c r="Q37" s="15" t="str">
        <f>IFERROR(IF('May-22'!$F37="","-",VLOOKUP('May-22'!$F37,Lista_CUIT!$A$1:$D$1871,3,0)),"CUIT NO CARGADO")</f>
        <v xml:space="preserve">Papeleria e Impresos </v>
      </c>
      <c r="R37" s="21">
        <f>IFERROR(IF('May-22'!$F37="","-",VLOOKUP('May-22'!$F37,Lista_CUIT!$A$1:$D$1871,4,0)),"CUIT NO CARGADO")</f>
        <v>0</v>
      </c>
    </row>
    <row r="38" spans="2:18" ht="15" customHeight="1" x14ac:dyDescent="0.25">
      <c r="B38" s="24">
        <v>44702</v>
      </c>
      <c r="C38" s="25">
        <v>1</v>
      </c>
      <c r="D38" s="26">
        <v>6992</v>
      </c>
      <c r="E38" s="27">
        <v>7175</v>
      </c>
      <c r="F38" s="28">
        <v>30678774495</v>
      </c>
      <c r="G38" s="29" t="str">
        <f>IFERROR(IF('May-22'!$F38="","-",VLOOKUP('May-22'!$F38,Lista_CUIT!$A$1:$D$1871,2,0)),"CUIT NO CARGADO")</f>
        <v>OPER. DE EST. DE SERV. SA</v>
      </c>
      <c r="H38" s="30">
        <v>5683.31</v>
      </c>
      <c r="I38" s="31">
        <f>'May-22'!$H38*0.21</f>
        <v>1193.4951000000001</v>
      </c>
      <c r="J38" s="31"/>
      <c r="K38" s="31"/>
      <c r="L38" s="31"/>
      <c r="M38" s="31"/>
      <c r="N38" s="31"/>
      <c r="O38" s="31">
        <v>1324.09</v>
      </c>
      <c r="P38" s="32">
        <f>SUM('May-22'!$H38:$O38)</f>
        <v>8200.8950999999997</v>
      </c>
      <c r="Q38" s="29" t="str">
        <f>IFERROR(IF('May-22'!$F38="","-",VLOOKUP('May-22'!$F38,Lista_CUIT!$A$1:$D$1871,3,0)),"CUIT NO CARGADO")</f>
        <v>COMBUSTIBLE</v>
      </c>
      <c r="R38" s="21">
        <f>IFERROR(IF('May-22'!$F38="","-",VLOOKUP('May-22'!$F38,Lista_CUIT!$A$1:$D$1871,4,0)),"CUIT NO CARGADO")</f>
        <v>0</v>
      </c>
    </row>
    <row r="39" spans="2:18" ht="15" customHeight="1" x14ac:dyDescent="0.25">
      <c r="B39" s="10">
        <v>44704</v>
      </c>
      <c r="C39" s="11">
        <v>1</v>
      </c>
      <c r="D39" s="12">
        <v>60</v>
      </c>
      <c r="E39" s="13">
        <v>7117</v>
      </c>
      <c r="F39" s="14">
        <v>30547188760</v>
      </c>
      <c r="G39" s="15" t="str">
        <f>IFERROR(IF('May-22'!$F39="","-",VLOOKUP('May-22'!$F39,Lista_CUIT!$A$1:$D$1871,2,0)),"CUIT NO CARGADO")</f>
        <v>LONCO HUE SA</v>
      </c>
      <c r="H39" s="16">
        <v>20314.04</v>
      </c>
      <c r="I39" s="23">
        <f>'May-22'!$H39*0.21</f>
        <v>4265.9484000000002</v>
      </c>
      <c r="J39" s="23"/>
      <c r="K39" s="23"/>
      <c r="L39" s="23"/>
      <c r="M39" s="23"/>
      <c r="N39" s="23"/>
      <c r="O39" s="23"/>
      <c r="P39" s="20">
        <f>SUM('May-22'!$H39:$O39)</f>
        <v>24579.988400000002</v>
      </c>
      <c r="Q39" s="15" t="str">
        <f>IFERROR(IF('May-22'!$F39="","-",VLOOKUP('May-22'!$F39,Lista_CUIT!$A$1:$D$1871,3,0)),"CUIT NO CARGADO")</f>
        <v>INSUMO</v>
      </c>
      <c r="R39" s="21">
        <f>IFERROR(IF('May-22'!$F39="","-",VLOOKUP('May-22'!$F39,Lista_CUIT!$A$1:$D$1871,4,0)),"CUIT NO CARGADO")</f>
        <v>0</v>
      </c>
    </row>
    <row r="40" spans="2:18" ht="15" customHeight="1" x14ac:dyDescent="0.25">
      <c r="B40" s="10">
        <v>44705</v>
      </c>
      <c r="C40" s="11">
        <v>1</v>
      </c>
      <c r="D40" s="12">
        <v>5</v>
      </c>
      <c r="E40" s="13">
        <v>53108</v>
      </c>
      <c r="F40" s="14">
        <v>30692857611</v>
      </c>
      <c r="G40" s="15" t="str">
        <f>IFERROR(IF('May-22'!$F40="","-",VLOOKUP('May-22'!$F40,Lista_CUIT!$A$1:$D$1871,2,0)),"CUIT NO CARGADO")</f>
        <v>BAGUI S.A.</v>
      </c>
      <c r="H40" s="16">
        <v>12338</v>
      </c>
      <c r="I40" s="23">
        <f>'May-22'!$H40*0.21</f>
        <v>2590.98</v>
      </c>
      <c r="J40" s="23"/>
      <c r="K40" s="23"/>
      <c r="L40" s="23"/>
      <c r="M40" s="23"/>
      <c r="N40" s="23"/>
      <c r="O40" s="23"/>
      <c r="P40" s="20">
        <f>SUM('May-22'!$H40:$O40)</f>
        <v>14928.98</v>
      </c>
      <c r="Q40" s="15" t="str">
        <f>IFERROR(IF('May-22'!$F40="","-",VLOOKUP('May-22'!$F40,Lista_CUIT!$A$1:$D$1871,3,0)),"CUIT NO CARGADO")</f>
        <v>MAT. PRIM.</v>
      </c>
      <c r="R40" s="21">
        <f>IFERROR(IF('May-22'!$F40="","-",VLOOKUP('May-22'!$F40,Lista_CUIT!$A$1:$D$1871,4,0)),"CUIT NO CARGADO")</f>
        <v>0</v>
      </c>
    </row>
    <row r="41" spans="2:18" ht="15" customHeight="1" x14ac:dyDescent="0.25">
      <c r="B41" s="10">
        <v>44705</v>
      </c>
      <c r="C41" s="11">
        <v>1</v>
      </c>
      <c r="D41" s="12">
        <v>5</v>
      </c>
      <c r="E41" s="13">
        <v>53109</v>
      </c>
      <c r="F41" s="14">
        <v>30692857611</v>
      </c>
      <c r="G41" s="15" t="str">
        <f>IFERROR(IF('May-22'!$F41="","-",VLOOKUP('May-22'!$F41,Lista_CUIT!$A$1:$D$1871,2,0)),"CUIT NO CARGADO")</f>
        <v>BAGUI S.A.</v>
      </c>
      <c r="H41" s="16">
        <v>125388.8</v>
      </c>
      <c r="I41" s="23">
        <f>'May-22'!$H41*0.21</f>
        <v>26331.648000000001</v>
      </c>
      <c r="J41" s="23"/>
      <c r="K41" s="23"/>
      <c r="L41" s="23"/>
      <c r="M41" s="23"/>
      <c r="N41" s="23"/>
      <c r="O41" s="23"/>
      <c r="P41" s="20">
        <f>SUM('May-22'!$H41:$O41)</f>
        <v>151720.448</v>
      </c>
      <c r="Q41" s="15" t="str">
        <f>IFERROR(IF('May-22'!$F41="","-",VLOOKUP('May-22'!$F41,Lista_CUIT!$A$1:$D$1871,3,0)),"CUIT NO CARGADO")</f>
        <v>MAT. PRIM.</v>
      </c>
      <c r="R41" s="21">
        <f>IFERROR(IF('May-22'!$F41="","-",VLOOKUP('May-22'!$F41,Lista_CUIT!$A$1:$D$1871,4,0)),"CUIT NO CARGADO")</f>
        <v>0</v>
      </c>
    </row>
    <row r="42" spans="2:18" ht="15" customHeight="1" x14ac:dyDescent="0.25">
      <c r="B42" s="10">
        <v>44706</v>
      </c>
      <c r="C42" s="11">
        <v>1</v>
      </c>
      <c r="D42" s="12">
        <v>5199</v>
      </c>
      <c r="E42" s="13">
        <v>13676</v>
      </c>
      <c r="F42" s="14">
        <v>30695542476</v>
      </c>
      <c r="G42" s="15" t="str">
        <f>IFERROR(IF('May-22'!$F42="","-",VLOOKUP('May-22'!$F42,Lista_CUIT!$A$1:$D$1871,2,0)),"CUIT NO CARGADO")</f>
        <v>PAN AMERICAN ENERGY LLC</v>
      </c>
      <c r="H42" s="16">
        <v>5252.89</v>
      </c>
      <c r="I42" s="23">
        <f>'May-22'!$H42*0.21</f>
        <v>1103.1069</v>
      </c>
      <c r="J42" s="23"/>
      <c r="K42" s="23"/>
      <c r="L42" s="23"/>
      <c r="M42" s="23"/>
      <c r="N42" s="23"/>
      <c r="O42" s="23">
        <v>1101.5899999999999</v>
      </c>
      <c r="P42" s="20">
        <f>SUM('May-22'!$H42:$O42)</f>
        <v>7457.5869000000002</v>
      </c>
      <c r="Q42" s="15" t="str">
        <f>IFERROR(IF('May-22'!$F42="","-",VLOOKUP('May-22'!$F42,Lista_CUIT!$A$1:$D$1871,3,0)),"CUIT NO CARGADO")</f>
        <v>COMBUSTIBLE</v>
      </c>
      <c r="R42" s="21">
        <f>IFERROR(IF('May-22'!$F42="","-",VLOOKUP('May-22'!$F42,Lista_CUIT!$A$1:$D$1871,4,0)),"CUIT NO CARGADO")</f>
        <v>0</v>
      </c>
    </row>
    <row r="43" spans="2:18" ht="15" customHeight="1" x14ac:dyDescent="0.25">
      <c r="B43" s="10">
        <v>44707</v>
      </c>
      <c r="C43" s="11">
        <v>3</v>
      </c>
      <c r="D43" s="12">
        <v>5</v>
      </c>
      <c r="E43" s="13">
        <v>6400</v>
      </c>
      <c r="F43" s="14">
        <v>30692857611</v>
      </c>
      <c r="G43" s="15" t="str">
        <f>IFERROR(IF('May-22'!$F43="","-",VLOOKUP('May-22'!$F43,Lista_CUIT!$A$1:$D$1871,2,0)),"CUIT NO CARGADO")</f>
        <v>BAGUI S.A.</v>
      </c>
      <c r="H43" s="16">
        <v>-10185.83</v>
      </c>
      <c r="I43" s="23">
        <f>'May-22'!$H43*0.21</f>
        <v>-2139.0243</v>
      </c>
      <c r="J43" s="23"/>
      <c r="K43" s="23"/>
      <c r="L43" s="23"/>
      <c r="M43" s="23"/>
      <c r="N43" s="23"/>
      <c r="O43" s="23"/>
      <c r="P43" s="20">
        <f>SUM('May-22'!$H43:$O43)</f>
        <v>-12324.854299999999</v>
      </c>
      <c r="Q43" s="15" t="str">
        <f>IFERROR(IF('May-22'!$F43="","-",VLOOKUP('May-22'!$F43,Lista_CUIT!$A$1:$D$1871,3,0)),"CUIT NO CARGADO")</f>
        <v>MAT. PRIM.</v>
      </c>
      <c r="R43" s="21">
        <f>IFERROR(IF('May-22'!$F43="","-",VLOOKUP('May-22'!$F43,Lista_CUIT!$A$1:$D$1871,4,0)),"CUIT NO CARGADO")</f>
        <v>0</v>
      </c>
    </row>
    <row r="44" spans="2:18" ht="15" customHeight="1" x14ac:dyDescent="0.25">
      <c r="B44" s="10">
        <v>44707</v>
      </c>
      <c r="C44" s="11">
        <v>3</v>
      </c>
      <c r="D44" s="12">
        <v>5</v>
      </c>
      <c r="E44" s="13">
        <v>6401</v>
      </c>
      <c r="F44" s="14">
        <v>30692857611</v>
      </c>
      <c r="G44" s="15" t="str">
        <f>IFERROR(IF('May-22'!$F44="","-",VLOOKUP('May-22'!$F44,Lista_CUIT!$A$1:$D$1871,2,0)),"CUIT NO CARGADO")</f>
        <v>BAGUI S.A.</v>
      </c>
      <c r="H44" s="16">
        <v>-40851.14</v>
      </c>
      <c r="I44" s="23">
        <f>'May-22'!$H44*0.21</f>
        <v>-8578.7394000000004</v>
      </c>
      <c r="J44" s="23"/>
      <c r="K44" s="23"/>
      <c r="L44" s="23"/>
      <c r="M44" s="23"/>
      <c r="N44" s="23"/>
      <c r="O44" s="23"/>
      <c r="P44" s="20">
        <f>SUM('May-22'!$H44:$O44)</f>
        <v>-49429.879399999998</v>
      </c>
      <c r="Q44" s="15" t="str">
        <f>IFERROR(IF('May-22'!$F44="","-",VLOOKUP('May-22'!$F44,Lista_CUIT!$A$1:$D$1871,3,0)),"CUIT NO CARGADO")</f>
        <v>MAT. PRIM.</v>
      </c>
      <c r="R44" s="21">
        <f>IFERROR(IF('May-22'!$F44="","-",VLOOKUP('May-22'!$F44,Lista_CUIT!$A$1:$D$1871,4,0)),"CUIT NO CARGADO")</f>
        <v>0</v>
      </c>
    </row>
    <row r="45" spans="2:18" ht="15" customHeight="1" x14ac:dyDescent="0.25">
      <c r="B45" s="10">
        <v>44707</v>
      </c>
      <c r="C45" s="11">
        <v>1</v>
      </c>
      <c r="D45" s="12">
        <v>3</v>
      </c>
      <c r="E45" s="13">
        <v>202815</v>
      </c>
      <c r="F45" s="14">
        <v>33658043779</v>
      </c>
      <c r="G45" s="15" t="str">
        <f>IFERROR(IF('May-22'!$F45="","-",VLOOKUP('May-22'!$F45,Lista_CUIT!$A$1:$D$1871,2,0)),"CUIT NO CARGADO")</f>
        <v>BUREAU VERITAS ARGENTINA SA</v>
      </c>
      <c r="H45" s="16">
        <v>83000</v>
      </c>
      <c r="I45" s="23">
        <f>'May-22'!$H45*0.21</f>
        <v>17430</v>
      </c>
      <c r="J45" s="23"/>
      <c r="K45" s="23"/>
      <c r="L45" s="23"/>
      <c r="M45" s="23"/>
      <c r="N45" s="23"/>
      <c r="O45" s="23"/>
      <c r="P45" s="20">
        <f>SUM('May-22'!$H45:$O45)</f>
        <v>100430</v>
      </c>
      <c r="Q45" s="15" t="str">
        <f>IFERROR(IF('May-22'!$F45="","-",VLOOKUP('May-22'!$F45,Lista_CUIT!$A$1:$D$1871,3,0)),"CUIT NO CARGADO")</f>
        <v>ISO 9001</v>
      </c>
      <c r="R45" s="21">
        <f>IFERROR(IF('May-22'!$F45="","-",VLOOKUP('May-22'!$F45,Lista_CUIT!$A$1:$D$1871,4,0)),"CUIT NO CARGADO")</f>
        <v>0</v>
      </c>
    </row>
    <row r="46" spans="2:18" ht="15" customHeight="1" x14ac:dyDescent="0.25">
      <c r="B46" s="10">
        <v>44707</v>
      </c>
      <c r="C46" s="11">
        <v>1</v>
      </c>
      <c r="D46" s="12">
        <v>106</v>
      </c>
      <c r="E46" s="13">
        <v>528493</v>
      </c>
      <c r="F46" s="14">
        <v>30594494187</v>
      </c>
      <c r="G46" s="15" t="str">
        <f>IFERROR(IF('May-22'!$F46="","-",VLOOKUP('May-22'!$F46,Lista_CUIT!$A$1:$D$1871,2,0)),"CUIT NO CARGADO")</f>
        <v>FEDERAL EXPRESS CORPORATION</v>
      </c>
      <c r="H46" s="16">
        <v>7440</v>
      </c>
      <c r="I46" s="23">
        <f>'May-22'!$H46*0.21</f>
        <v>1562.3999999999999</v>
      </c>
      <c r="J46" s="23"/>
      <c r="K46" s="23"/>
      <c r="L46" s="23"/>
      <c r="M46" s="23"/>
      <c r="N46" s="23"/>
      <c r="O46" s="23">
        <v>18610.77</v>
      </c>
      <c r="P46" s="20">
        <f>SUM('May-22'!$H46:$O46)</f>
        <v>27613.17</v>
      </c>
      <c r="Q46" s="15" t="str">
        <f>IFERROR(IF('May-22'!$F46="","-",VLOOKUP('May-22'!$F46,Lista_CUIT!$A$1:$D$1871,3,0)),"CUIT NO CARGADO")</f>
        <v>GTOS IMP.</v>
      </c>
      <c r="R46" s="21">
        <f>IFERROR(IF('May-22'!$F46="","-",VLOOKUP('May-22'!$F46,Lista_CUIT!$A$1:$D$1871,4,0)),"CUIT NO CARGADO")</f>
        <v>0</v>
      </c>
    </row>
    <row r="47" spans="2:18" ht="15.75" customHeight="1" x14ac:dyDescent="0.25">
      <c r="B47" s="24">
        <v>44707</v>
      </c>
      <c r="C47" s="25">
        <v>1</v>
      </c>
      <c r="D47" s="26">
        <v>5</v>
      </c>
      <c r="E47" s="27">
        <v>4524</v>
      </c>
      <c r="F47" s="28">
        <v>30711758905</v>
      </c>
      <c r="G47" s="29" t="str">
        <f>IFERROR(IF('May-22'!$F47="","-",VLOOKUP('May-22'!$F47,Lista_CUIT!$A$1:$D$1871,2,0)),"CUIT NO CARGADO")</f>
        <v>GRUPO FRESHEN SRL</v>
      </c>
      <c r="H47" s="30">
        <v>2199.0100000000002</v>
      </c>
      <c r="I47" s="31">
        <f>'May-22'!$H47*0.21</f>
        <v>461.7921</v>
      </c>
      <c r="J47" s="31"/>
      <c r="K47" s="31"/>
      <c r="L47" s="31"/>
      <c r="M47" s="31"/>
      <c r="N47" s="31"/>
      <c r="O47" s="31"/>
      <c r="P47" s="32">
        <f>SUM('May-22'!$H47:$O47)</f>
        <v>2660.8021000000003</v>
      </c>
      <c r="Q47" s="29" t="str">
        <f>IFERROR(IF('May-22'!$F47="","-",VLOOKUP('May-22'!$F47,Lista_CUIT!$A$1:$D$1871,3,0)),"CUIT NO CARGADO")</f>
        <v>MAT. PRIM.</v>
      </c>
      <c r="R47" s="21">
        <f>IFERROR(IF('May-22'!$F47="","-",VLOOKUP('May-22'!$F47,Lista_CUIT!$A$1:$D$1871,4,0)),"CUIT NO CARGADO")</f>
        <v>0</v>
      </c>
    </row>
    <row r="48" spans="2:18" ht="15.75" customHeight="1" x14ac:dyDescent="0.25">
      <c r="B48" s="24">
        <v>44709</v>
      </c>
      <c r="C48" s="25">
        <v>1</v>
      </c>
      <c r="D48" s="26">
        <v>3</v>
      </c>
      <c r="E48" s="27">
        <v>893486</v>
      </c>
      <c r="F48" s="28">
        <v>30712019359</v>
      </c>
      <c r="G48" s="29" t="str">
        <f>IFERROR(IF('May-22'!$F48="","-",VLOOKUP('May-22'!$F48,Lista_CUIT!$A$1:$D$1871,2,0)),"CUIT NO CARGADO")</f>
        <v>LINKEDSTORE ARGENTINA S.R.L.</v>
      </c>
      <c r="H48" s="30">
        <v>2478.5100000000002</v>
      </c>
      <c r="I48" s="31">
        <f>'May-22'!$H48*0.21</f>
        <v>520.48710000000005</v>
      </c>
      <c r="J48" s="31"/>
      <c r="K48" s="31"/>
      <c r="L48" s="31"/>
      <c r="M48" s="31"/>
      <c r="N48" s="31"/>
      <c r="O48" s="31"/>
      <c r="P48" s="32">
        <f>SUM('May-22'!$H48:$O48)</f>
        <v>2998.9971000000005</v>
      </c>
      <c r="Q48" s="29" t="str">
        <f>IFERROR(IF('May-22'!$F48="","-",VLOOKUP('May-22'!$F48,Lista_CUIT!$A$1:$D$1871,3,0)),"CUIT NO CARGADO")</f>
        <v>Gastos Varios</v>
      </c>
      <c r="R48" s="21">
        <f>IFERROR(IF('May-22'!$F48="","-",VLOOKUP('May-22'!$F48,Lista_CUIT!$A$1:$D$1871,4,0)),"CUIT NO CARGADO")</f>
        <v>0</v>
      </c>
    </row>
    <row r="49" spans="1:26" ht="15.75" customHeight="1" x14ac:dyDescent="0.25">
      <c r="B49" s="10">
        <v>44712</v>
      </c>
      <c r="C49" s="11">
        <v>1</v>
      </c>
      <c r="D49" s="12">
        <v>1</v>
      </c>
      <c r="E49" s="13">
        <v>454</v>
      </c>
      <c r="F49" s="14">
        <v>30715048066</v>
      </c>
      <c r="G49" s="15" t="str">
        <f>IFERROR(IF('May-22'!$F49="","-",VLOOKUP('May-22'!$F49,Lista_CUIT!$A$1:$D$1871,2,0)),"CUIT NO CARGADO")</f>
        <v>ROLLS Y EMPANADAS SA</v>
      </c>
      <c r="H49" s="16">
        <v>69080</v>
      </c>
      <c r="I49" s="23">
        <f>'May-22'!$H49*0.21</f>
        <v>14506.8</v>
      </c>
      <c r="J49" s="23"/>
      <c r="K49" s="23"/>
      <c r="L49" s="23"/>
      <c r="M49" s="23"/>
      <c r="N49" s="23"/>
      <c r="O49" s="23"/>
      <c r="P49" s="20">
        <f>SUM('May-22'!$H49:$O49)</f>
        <v>83586.8</v>
      </c>
      <c r="Q49" s="15" t="str">
        <f>IFERROR(IF('May-22'!$F49="","-",VLOOKUP('May-22'!$F49,Lista_CUIT!$A$1:$D$1871,3,0)),"CUIT NO CARGADO")</f>
        <v>CATERING</v>
      </c>
      <c r="R49" s="21">
        <f>IFERROR(IF('May-22'!$F49="","-",VLOOKUP('May-22'!$F49,Lista_CUIT!$A$1:$D$1871,4,0)),"CUIT NO CARGADO")</f>
        <v>0</v>
      </c>
    </row>
    <row r="50" spans="1:26" ht="15.75" customHeight="1" x14ac:dyDescent="0.25">
      <c r="B50" s="10">
        <v>44712</v>
      </c>
      <c r="C50" s="11">
        <v>1</v>
      </c>
      <c r="D50" s="12">
        <v>3</v>
      </c>
      <c r="E50" s="13">
        <v>2188</v>
      </c>
      <c r="F50" s="14">
        <v>30715535471</v>
      </c>
      <c r="G50" s="15" t="str">
        <f>IFERROR(IF('May-22'!$F50="","-",VLOOKUP('May-22'!$F50,Lista_CUIT!$A$1:$D$1871,2,0)),"CUIT NO CARGADO")</f>
        <v>DHARMA DE SANTOS Y VACCARO</v>
      </c>
      <c r="H50" s="16">
        <v>11424.79</v>
      </c>
      <c r="I50" s="23">
        <f>'May-22'!$H50*0.21</f>
        <v>2399.2058999999999</v>
      </c>
      <c r="J50" s="23"/>
      <c r="K50" s="23"/>
      <c r="L50" s="23"/>
      <c r="M50" s="23"/>
      <c r="N50" s="23"/>
      <c r="O50" s="23"/>
      <c r="P50" s="20">
        <f>SUM('May-22'!$H50:$O50)</f>
        <v>13823.995900000002</v>
      </c>
      <c r="Q50" s="15" t="str">
        <f>IFERROR(IF('May-22'!$F50="","-",VLOOKUP('May-22'!$F50,Lista_CUIT!$A$1:$D$1871,3,0)),"CUIT NO CARGADO")</f>
        <v>FERRETERIA</v>
      </c>
      <c r="R50" s="21">
        <f>IFERROR(IF('May-22'!$F50="","-",VLOOKUP('May-22'!$F50,Lista_CUIT!$A$1:$D$1871,4,0)),"CUIT NO CARGADO")</f>
        <v>0</v>
      </c>
    </row>
    <row r="51" spans="1:26" ht="15" customHeight="1" x14ac:dyDescent="0.25">
      <c r="B51" s="21" t="s">
        <v>1546</v>
      </c>
      <c r="C51" s="21"/>
      <c r="D51" s="21"/>
      <c r="E51" s="21"/>
      <c r="F51" s="21"/>
      <c r="G51" s="15"/>
      <c r="H51" s="16">
        <f>SUBTOTAL(109,'May-22'!$H$9:$H$50)</f>
        <v>1068381.7500000002</v>
      </c>
      <c r="I51" s="16">
        <f>SUBTOTAL(109,'May-22'!$I$9:$I$50)</f>
        <v>207855.90210000001</v>
      </c>
      <c r="J51" s="16">
        <f>SUBTOTAL(109,'May-22'!$J$9:$J$50)</f>
        <v>1866.11</v>
      </c>
      <c r="K51" s="16">
        <f>SUBTOTAL(109,'May-22'!$K$9:$K$50)</f>
        <v>7526.4241500000007</v>
      </c>
      <c r="L51" s="16">
        <f>SUBTOTAL(109,'May-22'!$L$9:$L$50)</f>
        <v>0</v>
      </c>
      <c r="M51" s="16">
        <f>SUBTOTAL(109,'May-22'!$M$9:$M$50)</f>
        <v>7289.04</v>
      </c>
      <c r="N51" s="16">
        <f>SUBTOTAL(109,'May-22'!$N$9:$N$50)</f>
        <v>207.34</v>
      </c>
      <c r="O51" s="16">
        <f>SUBTOTAL(109,'May-22'!$O$9:$O$50)</f>
        <v>58949.859999999986</v>
      </c>
      <c r="P51" s="16">
        <f>SUBTOTAL(109,'May-22'!$P$9:$P$50)</f>
        <v>1352076.4262500003</v>
      </c>
      <c r="Q51" s="15"/>
      <c r="R51" s="21"/>
    </row>
    <row r="52" spans="1:26" ht="15" customHeight="1" x14ac:dyDescent="0.25">
      <c r="B52" s="10"/>
      <c r="C52" s="11"/>
      <c r="D52" s="12"/>
      <c r="E52" s="13"/>
      <c r="F52" s="14"/>
      <c r="G52" s="15"/>
      <c r="H52" s="16"/>
      <c r="I52" s="17"/>
      <c r="J52" s="17"/>
      <c r="K52" s="17"/>
      <c r="L52" s="17"/>
      <c r="M52" s="17"/>
      <c r="N52" s="17"/>
      <c r="O52" s="17"/>
      <c r="P52" s="20"/>
      <c r="Q52" s="21"/>
      <c r="R52" s="21"/>
    </row>
    <row r="53" spans="1:26" ht="15" customHeight="1" x14ac:dyDescent="0.25">
      <c r="B53" s="10"/>
      <c r="C53" s="11"/>
      <c r="D53" s="12"/>
      <c r="E53" s="13"/>
      <c r="F53" s="14"/>
      <c r="G53" s="15"/>
      <c r="H53" s="16"/>
      <c r="I53" s="17"/>
      <c r="J53" s="17"/>
      <c r="K53" s="17"/>
      <c r="L53" s="17"/>
      <c r="M53" s="17"/>
      <c r="N53" s="17"/>
      <c r="O53" s="17"/>
      <c r="P53" s="20"/>
      <c r="Q53" s="21"/>
      <c r="R53" s="21"/>
    </row>
    <row r="54" spans="1:26" ht="15" customHeight="1" x14ac:dyDescent="0.25">
      <c r="B54" s="10"/>
      <c r="C54" s="11"/>
      <c r="D54" s="12"/>
      <c r="E54" s="13"/>
      <c r="F54" s="14"/>
      <c r="G54" s="15"/>
      <c r="H54" s="16"/>
      <c r="I54" s="17"/>
      <c r="J54" s="17"/>
      <c r="K54" s="17"/>
      <c r="L54" s="17"/>
      <c r="M54" s="17"/>
      <c r="N54" s="17"/>
      <c r="O54" s="17"/>
      <c r="P54" s="20"/>
      <c r="Q54" s="21"/>
      <c r="R54" s="21"/>
    </row>
    <row r="55" spans="1:26" ht="15" customHeight="1" x14ac:dyDescent="0.25">
      <c r="B55" s="10"/>
      <c r="C55" s="11"/>
      <c r="D55" s="12"/>
      <c r="E55" s="13"/>
      <c r="F55" s="14"/>
      <c r="G55" s="15"/>
      <c r="H55" s="16"/>
      <c r="I55" s="17"/>
      <c r="J55" s="17"/>
      <c r="K55" s="17"/>
      <c r="L55" s="17"/>
    </row>
    <row r="56" spans="1:26" ht="23.25" customHeight="1" x14ac:dyDescent="0.25">
      <c r="D56" s="359" t="s">
        <v>1547</v>
      </c>
      <c r="E56" s="351"/>
      <c r="F56" s="351"/>
      <c r="G56" s="351"/>
      <c r="H56" s="351"/>
      <c r="I56" s="351"/>
      <c r="J56" s="351"/>
      <c r="K56" s="351"/>
      <c r="L56" s="352"/>
    </row>
    <row r="57" spans="1:26" ht="38.25" customHeight="1" x14ac:dyDescent="0.25">
      <c r="D57" s="36" t="s">
        <v>1532</v>
      </c>
      <c r="E57" s="37" t="s">
        <v>1548</v>
      </c>
      <c r="F57" s="37" t="s">
        <v>1549</v>
      </c>
      <c r="G57" s="37" t="s">
        <v>1550</v>
      </c>
      <c r="H57" s="37" t="s">
        <v>1551</v>
      </c>
      <c r="I57" s="37" t="s">
        <v>1539</v>
      </c>
      <c r="J57" s="38" t="s">
        <v>1552</v>
      </c>
      <c r="K57" s="38" t="s">
        <v>1553</v>
      </c>
      <c r="L57" s="39" t="s">
        <v>1554</v>
      </c>
    </row>
    <row r="58" spans="1:26" ht="15.75" customHeight="1" x14ac:dyDescent="0.25">
      <c r="D58" s="10"/>
      <c r="E58" s="98"/>
      <c r="F58" s="43" t="s">
        <v>1555</v>
      </c>
      <c r="G58" s="42">
        <v>1896</v>
      </c>
      <c r="H58" s="42">
        <v>398.15999999999997</v>
      </c>
      <c r="I58" s="42"/>
      <c r="J58" s="42"/>
      <c r="K58" s="42"/>
      <c r="L58" s="42"/>
    </row>
    <row r="59" spans="1:26" ht="15.75" customHeight="1" x14ac:dyDescent="0.25">
      <c r="D59" s="10">
        <v>44691</v>
      </c>
      <c r="E59" s="98" t="s">
        <v>1585</v>
      </c>
      <c r="F59" s="43" t="s">
        <v>1586</v>
      </c>
      <c r="G59" s="42">
        <v>13426.25</v>
      </c>
      <c r="H59" s="42">
        <v>2819.5124999999998</v>
      </c>
      <c r="I59" s="42"/>
      <c r="J59" s="42">
        <v>402.79</v>
      </c>
      <c r="K59" s="42"/>
      <c r="L59" s="42"/>
    </row>
    <row r="60" spans="1:26" ht="15.75" customHeight="1" x14ac:dyDescent="0.25">
      <c r="D60" s="10">
        <v>44691</v>
      </c>
      <c r="E60" s="98" t="s">
        <v>1587</v>
      </c>
      <c r="F60" s="43" t="s">
        <v>1586</v>
      </c>
      <c r="G60" s="42">
        <v>13426.25</v>
      </c>
      <c r="H60" s="42">
        <v>2819.5124999999998</v>
      </c>
      <c r="I60" s="42"/>
      <c r="J60" s="42">
        <v>402.79</v>
      </c>
      <c r="K60" s="42"/>
      <c r="L60" s="42"/>
    </row>
    <row r="61" spans="1:26" ht="15.75" customHeight="1" x14ac:dyDescent="0.25">
      <c r="D61" s="10">
        <v>44684</v>
      </c>
      <c r="E61" s="99" t="s">
        <v>1588</v>
      </c>
      <c r="F61" s="43" t="s">
        <v>1556</v>
      </c>
      <c r="G61" s="42">
        <v>2896.75</v>
      </c>
      <c r="H61" s="42">
        <v>608.3175</v>
      </c>
      <c r="I61" s="42"/>
      <c r="J61" s="42">
        <v>86.9</v>
      </c>
      <c r="K61" s="42"/>
      <c r="L61" s="42"/>
    </row>
    <row r="62" spans="1:26" ht="15.75" customHeight="1" x14ac:dyDescent="0.25">
      <c r="D62" s="10"/>
      <c r="E62" s="99"/>
      <c r="F62" s="43" t="s">
        <v>1559</v>
      </c>
      <c r="G62" s="42">
        <v>80</v>
      </c>
      <c r="H62" s="42">
        <v>16.8</v>
      </c>
      <c r="I62" s="42"/>
      <c r="J62" s="42"/>
      <c r="K62" s="42"/>
      <c r="L62" s="42"/>
    </row>
    <row r="63" spans="1:26" ht="18" customHeight="1" x14ac:dyDescent="0.25">
      <c r="A63" s="50"/>
      <c r="D63" s="21" t="s">
        <v>1546</v>
      </c>
      <c r="E63" s="43"/>
      <c r="F63" s="43"/>
      <c r="G63" s="340">
        <f>SUBTOTAL(109,'May-22'!$G$58:$G$62)</f>
        <v>31725.25</v>
      </c>
      <c r="H63" s="340">
        <f>SUBTOTAL(109,'May-22'!$H$58:$H$62)</f>
        <v>6662.3024999999998</v>
      </c>
      <c r="I63" s="340">
        <f>SUBTOTAL(109,'May-22'!$I$58:$I$62)</f>
        <v>0</v>
      </c>
      <c r="J63" s="340">
        <f>SUBTOTAL(109,'May-22'!$J$58:$J$62)</f>
        <v>892.48</v>
      </c>
      <c r="K63" s="340">
        <f>SUBTOTAL(109,'May-22'!$K$58:$K$62)</f>
        <v>0</v>
      </c>
      <c r="L63" s="340">
        <f>SUBTOTAL(109,'May-22'!$L$58:$L$62)</f>
        <v>0</v>
      </c>
      <c r="S63" s="50"/>
      <c r="T63" s="50"/>
      <c r="U63" s="50"/>
      <c r="V63" s="50"/>
      <c r="W63" s="50"/>
      <c r="X63" s="50"/>
      <c r="Y63" s="50"/>
      <c r="Z63" s="50"/>
    </row>
    <row r="64" spans="1:26" ht="15.75" customHeight="1" x14ac:dyDescent="0.25"/>
    <row r="65" spans="4:11" ht="15.75" customHeight="1" x14ac:dyDescent="0.25">
      <c r="D65" s="359" t="s">
        <v>1560</v>
      </c>
      <c r="E65" s="351"/>
      <c r="F65" s="351"/>
      <c r="G65" s="351"/>
      <c r="H65" s="351"/>
      <c r="I65" s="351"/>
      <c r="J65" s="351"/>
      <c r="K65" s="352"/>
    </row>
    <row r="66" spans="4:11" ht="15.75" customHeight="1" x14ac:dyDescent="0.25">
      <c r="D66" s="44" t="s">
        <v>1532</v>
      </c>
      <c r="E66" s="44" t="s">
        <v>1534</v>
      </c>
      <c r="F66" s="44" t="s">
        <v>1561</v>
      </c>
      <c r="G66" s="44" t="s">
        <v>0</v>
      </c>
      <c r="H66" s="44" t="s">
        <v>1</v>
      </c>
      <c r="I66" s="45" t="s">
        <v>1544</v>
      </c>
      <c r="J66" s="44" t="s">
        <v>1562</v>
      </c>
      <c r="K66" s="44" t="s">
        <v>1545</v>
      </c>
    </row>
    <row r="67" spans="4:11" ht="15.75" customHeight="1" x14ac:dyDescent="0.25">
      <c r="D67" s="100">
        <v>44684</v>
      </c>
      <c r="E67" s="101">
        <v>3</v>
      </c>
      <c r="F67" s="102">
        <v>560</v>
      </c>
      <c r="G67" s="56">
        <v>20086277523</v>
      </c>
      <c r="H67" s="46" t="str">
        <f>IFERROR(IF('May-22'!$G67="","-",VLOOKUP('May-22'!$G67,Lista_CUIT!$A$1:$D$1871,2,0)),"CUIT NO CARGADO")</f>
        <v>JUAN CARLOS BOTINDARI</v>
      </c>
      <c r="I67" s="49">
        <v>31500</v>
      </c>
      <c r="J67" s="48" t="str">
        <f>IFERROR(IF('May-22'!$G67="","-",VLOOKUP('May-22'!$G67,Lista_CUIT!$A$1:$D$1871,3,0)),"CUIT NO CARGADO")</f>
        <v>HONORARIOS</v>
      </c>
      <c r="K67" s="47">
        <f>IFERROR(IF('May-22'!$G67="","-",VLOOKUP('May-22'!$G67,Lista_CUIT!$A$1:$D$1871,4,0)),"CUIT NO CARGADO")</f>
        <v>0</v>
      </c>
    </row>
    <row r="68" spans="4:11" ht="15.75" customHeight="1" x14ac:dyDescent="0.25">
      <c r="D68" s="103">
        <v>44685</v>
      </c>
      <c r="E68" s="104">
        <v>2</v>
      </c>
      <c r="F68" s="105">
        <v>94</v>
      </c>
      <c r="G68" s="56">
        <v>27397607602</v>
      </c>
      <c r="H68" s="46" t="str">
        <f>IFERROR(IF('May-22'!$G68="","-",VLOOKUP('May-22'!$G68,Lista_CUIT!$A$1:$D$1871,2,0)),"CUIT NO CARGADO")</f>
        <v>RIOS ALDANA SOFIA</v>
      </c>
      <c r="I68" s="49">
        <v>7647.45</v>
      </c>
      <c r="J68" s="48" t="str">
        <f>IFERROR(IF('May-22'!$G68="","-",VLOOKUP('May-22'!$G68,Lista_CUIT!$A$1:$D$1871,3,0)),"CUIT NO CARGADO")</f>
        <v>Honorarios Profesionales</v>
      </c>
      <c r="K68" s="47">
        <f>IFERROR(IF('May-22'!$G68="","-",VLOOKUP('May-22'!$G68,Lista_CUIT!$A$1:$D$1871,4,0)),"CUIT NO CARGADO")</f>
        <v>0</v>
      </c>
    </row>
    <row r="69" spans="4:11" ht="15.75" customHeight="1" x14ac:dyDescent="0.25">
      <c r="D69" s="103">
        <v>44686</v>
      </c>
      <c r="E69" s="104">
        <v>1</v>
      </c>
      <c r="F69" s="105">
        <v>84</v>
      </c>
      <c r="G69" s="56">
        <v>20341465134</v>
      </c>
      <c r="H69" s="46" t="str">
        <f>IFERROR(IF('May-22'!$G69="","-",VLOOKUP('May-22'!$G69,Lista_CUIT!$A$1:$D$1871,2,0)),"CUIT NO CARGADO")</f>
        <v xml:space="preserve">ABELEDO AGUSTIN ENRIQUE </v>
      </c>
      <c r="I69" s="49">
        <v>42200</v>
      </c>
      <c r="J69" s="48" t="str">
        <f>IFERROR(IF('May-22'!$G69="","-",VLOOKUP('May-22'!$G69,Lista_CUIT!$A$1:$D$1871,3,0)),"CUIT NO CARGADO")</f>
        <v>HONOR. INGENIERO</v>
      </c>
      <c r="K69" s="47">
        <f>IFERROR(IF('May-22'!$G69="","-",VLOOKUP('May-22'!$G69,Lista_CUIT!$A$1:$D$1871,4,0)),"CUIT NO CARGADO")</f>
        <v>0</v>
      </c>
    </row>
    <row r="70" spans="4:11" ht="15.75" customHeight="1" x14ac:dyDescent="0.25">
      <c r="D70" s="103">
        <v>44690</v>
      </c>
      <c r="E70" s="104">
        <v>1</v>
      </c>
      <c r="F70" s="105">
        <v>6</v>
      </c>
      <c r="G70" s="56">
        <v>20338344695</v>
      </c>
      <c r="H70" s="46" t="str">
        <f>IFERROR(IF('May-22'!$G70="","-",VLOOKUP('May-22'!$G70,Lista_CUIT!$A$1:$D$1871,2,0)),"CUIT NO CARGADO")</f>
        <v>FUERTES DAMIAN MATIAS</v>
      </c>
      <c r="I70" s="49">
        <v>17160</v>
      </c>
      <c r="J70" s="48" t="str">
        <f>IFERROR(IF('May-22'!$G70="","-",VLOOKUP('May-22'!$G70,Lista_CUIT!$A$1:$D$1871,3,0)),"CUIT NO CARGADO")</f>
        <v>INSUMO</v>
      </c>
      <c r="K70" s="47">
        <f>IFERROR(IF('May-22'!$G70="","-",VLOOKUP('May-22'!$G70,Lista_CUIT!$A$1:$D$1871,4,0)),"CUIT NO CARGADO")</f>
        <v>0</v>
      </c>
    </row>
    <row r="71" spans="4:11" ht="15.75" customHeight="1" x14ac:dyDescent="0.25">
      <c r="D71" s="103">
        <v>44692</v>
      </c>
      <c r="E71" s="104">
        <v>3</v>
      </c>
      <c r="F71" s="105">
        <v>564</v>
      </c>
      <c r="G71" s="56">
        <v>20086277523</v>
      </c>
      <c r="H71" s="46" t="str">
        <f>IFERROR(IF('May-22'!$G71="","-",VLOOKUP('May-22'!$G71,Lista_CUIT!$A$1:$D$1871,2,0)),"CUIT NO CARGADO")</f>
        <v>JUAN CARLOS BOTINDARI</v>
      </c>
      <c r="I71" s="49">
        <v>8350</v>
      </c>
      <c r="J71" s="48" t="str">
        <f>IFERROR(IF('May-22'!$G71="","-",VLOOKUP('May-22'!$G71,Lista_CUIT!$A$1:$D$1871,3,0)),"CUIT NO CARGADO")</f>
        <v>HONORARIOS</v>
      </c>
      <c r="K71" s="47">
        <f>IFERROR(IF('May-22'!$G71="","-",VLOOKUP('May-22'!$G71,Lista_CUIT!$A$1:$D$1871,4,0)),"CUIT NO CARGADO")</f>
        <v>0</v>
      </c>
    </row>
    <row r="72" spans="4:11" ht="15.75" customHeight="1" x14ac:dyDescent="0.25">
      <c r="D72" s="103">
        <v>44694</v>
      </c>
      <c r="E72" s="104">
        <v>1</v>
      </c>
      <c r="F72" s="105">
        <v>106</v>
      </c>
      <c r="G72" s="56">
        <v>20297899830</v>
      </c>
      <c r="H72" s="46" t="str">
        <f>IFERROR(IF('May-22'!$G72="","-",VLOOKUP('May-22'!$G72,Lista_CUIT!$A$1:$D$1871,2,0)),"CUIT NO CARGADO")</f>
        <v>FUNK MATIAS NICOLAS</v>
      </c>
      <c r="I72" s="49">
        <v>579000</v>
      </c>
      <c r="J72" s="48" t="str">
        <f>IFERROR(IF('May-22'!$G72="","-",VLOOKUP('May-22'!$G72,Lista_CUIT!$A$1:$D$1871,3,0)),"CUIT NO CARGADO")</f>
        <v>Servicios Torneria</v>
      </c>
      <c r="K72" s="47">
        <f>IFERROR(IF('May-22'!$G72="","-",VLOOKUP('May-22'!$G72,Lista_CUIT!$A$1:$D$1871,4,0)),"CUIT NO CARGADO")</f>
        <v>0</v>
      </c>
    </row>
    <row r="73" spans="4:11" ht="15.75" customHeight="1" x14ac:dyDescent="0.25">
      <c r="D73" s="103">
        <v>44694</v>
      </c>
      <c r="E73" s="104">
        <v>3</v>
      </c>
      <c r="F73" s="105">
        <v>26</v>
      </c>
      <c r="G73" s="56">
        <v>20403931420</v>
      </c>
      <c r="H73" s="46" t="str">
        <f>IFERROR(IF('May-22'!$G73="","-",VLOOKUP('May-22'!$G73,Lista_CUIT!$A$1:$D$1871,2,0)),"CUIT NO CARGADO")</f>
        <v>FIORENTINO JORGE IGNACIO</v>
      </c>
      <c r="I73" s="49">
        <v>103875</v>
      </c>
      <c r="J73" s="48" t="str">
        <f>IFERROR(IF('May-22'!$G73="","-",VLOOKUP('May-22'!$G73,Lista_CUIT!$A$1:$D$1871,3,0)),"CUIT NO CARGADO")</f>
        <v>Honorarios Administrativos-Cobranzas y Gestion Clientes</v>
      </c>
      <c r="K73" s="47">
        <f>IFERROR(IF('May-22'!$G73="","-",VLOOKUP('May-22'!$G73,Lista_CUIT!$A$1:$D$1871,4,0)),"CUIT NO CARGADO")</f>
        <v>0</v>
      </c>
    </row>
    <row r="74" spans="4:11" ht="15.75" customHeight="1" x14ac:dyDescent="0.25">
      <c r="D74" s="103">
        <v>44695</v>
      </c>
      <c r="E74" s="104">
        <v>1</v>
      </c>
      <c r="F74" s="105">
        <v>6</v>
      </c>
      <c r="G74" s="14">
        <v>20417805878</v>
      </c>
      <c r="H74" s="46" t="str">
        <f>IFERROR(IF('May-22'!$G74="","-",VLOOKUP('May-22'!$G74,Lista_CUIT!$A$1:$D$1871,2,0)),"CUIT NO CARGADO")</f>
        <v>FERABOLI OSPAL SANTIAGO HERNAN</v>
      </c>
      <c r="I74" s="42">
        <v>129910</v>
      </c>
      <c r="J74" s="48" t="str">
        <f>IFERROR(IF('May-22'!$G74="","-",VLOOKUP('May-22'!$G74,Lista_CUIT!$A$1:$D$1871,3,0)),"CUIT NO CARGADO")</f>
        <v>Control medidores masicos</v>
      </c>
      <c r="K74" s="47">
        <f>IFERROR(IF('May-22'!$G74="","-",VLOOKUP('May-22'!$G74,Lista_CUIT!$A$1:$D$1871,4,0)),"CUIT NO CARGADO")</f>
        <v>0</v>
      </c>
    </row>
    <row r="75" spans="4:11" ht="15.75" customHeight="1" x14ac:dyDescent="0.25">
      <c r="D75" s="103">
        <v>44696</v>
      </c>
      <c r="E75" s="104">
        <v>2</v>
      </c>
      <c r="F75" s="105">
        <v>71</v>
      </c>
      <c r="G75" s="56">
        <v>20244271740</v>
      </c>
      <c r="H75" s="46" t="str">
        <f>IFERROR(IF('May-22'!$G75="","-",VLOOKUP('May-22'!$G75,Lista_CUIT!$A$1:$D$1871,2,0)),"CUIT NO CARGADO")</f>
        <v xml:space="preserve">KENNEL SEBASTIAN </v>
      </c>
      <c r="I75" s="49">
        <v>164700</v>
      </c>
      <c r="J75" s="48" t="str">
        <f>IFERROR(IF('May-22'!$G75="","-",VLOOKUP('May-22'!$G75,Lista_CUIT!$A$1:$D$1871,3,0)),"CUIT NO CARGADO")</f>
        <v>SOFTWARE MANTENIMIENTO</v>
      </c>
      <c r="K75" s="47">
        <f>IFERROR(IF('May-22'!$G75="","-",VLOOKUP('May-22'!$G75,Lista_CUIT!$A$1:$D$1871,4,0)),"CUIT NO CARGADO")</f>
        <v>0</v>
      </c>
    </row>
    <row r="76" spans="4:11" ht="15.75" customHeight="1" x14ac:dyDescent="0.25">
      <c r="D76" s="103">
        <v>44696</v>
      </c>
      <c r="E76" s="104">
        <v>2</v>
      </c>
      <c r="F76" s="105">
        <v>10</v>
      </c>
      <c r="G76" s="56">
        <v>23326777269</v>
      </c>
      <c r="H76" s="46" t="str">
        <f>IFERROR(IF('May-22'!$G76="","-",VLOOKUP('May-22'!$G76,Lista_CUIT!$A$1:$D$1871,2,0)),"CUIT NO CARGADO")</f>
        <v>DE BONIS IGNACIO LUIS</v>
      </c>
      <c r="I76" s="49">
        <v>120470</v>
      </c>
      <c r="J76" s="48" t="str">
        <f>IFERROR(IF('May-22'!$G76="","-",VLOOKUP('May-22'!$G76,Lista_CUIT!$A$1:$D$1871,3,0)),"CUIT NO CARGADO")</f>
        <v>Control medidores masicos</v>
      </c>
      <c r="K76" s="47">
        <f>IFERROR(IF('May-22'!$G76="","-",VLOOKUP('May-22'!$G76,Lista_CUIT!$A$1:$D$1871,4,0)),"CUIT NO CARGADO")</f>
        <v>0</v>
      </c>
    </row>
    <row r="77" spans="4:11" ht="15.75" customHeight="1" x14ac:dyDescent="0.25">
      <c r="D77" s="103">
        <v>44698</v>
      </c>
      <c r="E77" s="104">
        <v>1</v>
      </c>
      <c r="F77" s="105">
        <v>12</v>
      </c>
      <c r="G77" s="56">
        <v>20365938688</v>
      </c>
      <c r="H77" s="46" t="str">
        <f>IFERROR(IF('May-22'!$G77="","-",VLOOKUP('May-22'!$G77,Lista_CUIT!$A$1:$D$1871,2,0)),"CUIT NO CARGADO")</f>
        <v>LIPANOVICH JUAN CRUZ</v>
      </c>
      <c r="I77" s="49">
        <v>220000</v>
      </c>
      <c r="J77" s="48" t="str">
        <f>IFERROR(IF('May-22'!$G77="","-",VLOOKUP('May-22'!$G77,Lista_CUIT!$A$1:$D$1871,3,0)),"CUIT NO CARGADO")</f>
        <v>Servicios Informatica</v>
      </c>
      <c r="K77" s="47">
        <f>IFERROR(IF('May-22'!$G77="","-",VLOOKUP('May-22'!$G77,Lista_CUIT!$A$1:$D$1871,4,0)),"CUIT NO CARGADO")</f>
        <v>0</v>
      </c>
    </row>
    <row r="78" spans="4:11" ht="15.75" customHeight="1" x14ac:dyDescent="0.25">
      <c r="D78" s="103">
        <v>44700</v>
      </c>
      <c r="E78" s="104">
        <v>9</v>
      </c>
      <c r="F78" s="105">
        <v>3180819</v>
      </c>
      <c r="G78" s="14">
        <v>33715179119</v>
      </c>
      <c r="H78" s="46" t="str">
        <f>IFERROR(IF('May-22'!$G78="","-",VLOOKUP('May-22'!$G78,Lista_CUIT!$A$1:$D$1871,2,0)),"CUIT NO CARGADO")</f>
        <v>NIC ARGENTINA</v>
      </c>
      <c r="I78" s="42">
        <v>475</v>
      </c>
      <c r="J78" s="48" t="str">
        <f>IFERROR(IF('May-22'!$G78="","-",VLOOKUP('May-22'!$G78,Lista_CUIT!$A$1:$D$1871,3,0)),"CUIT NO CARGADO")</f>
        <v>SERVICIOS GAS, LUZ, ETC</v>
      </c>
      <c r="K78" s="47">
        <f>IFERROR(IF('May-22'!$G78="","-",VLOOKUP('May-22'!$G78,Lista_CUIT!$A$1:$D$1871,4,0)),"CUIT NO CARGADO")</f>
        <v>0</v>
      </c>
    </row>
    <row r="79" spans="4:11" ht="15.75" customHeight="1" x14ac:dyDescent="0.25">
      <c r="D79" s="103">
        <v>44700</v>
      </c>
      <c r="E79" s="104">
        <v>9</v>
      </c>
      <c r="F79" s="105">
        <v>3180813</v>
      </c>
      <c r="G79" s="14">
        <v>33715179119</v>
      </c>
      <c r="H79" s="46" t="str">
        <f>IFERROR(IF('May-22'!$G79="","-",VLOOKUP('May-22'!$G79,Lista_CUIT!$A$1:$D$1871,2,0)),"CUIT NO CARGADO")</f>
        <v>NIC ARGENTINA</v>
      </c>
      <c r="I79" s="42">
        <v>950</v>
      </c>
      <c r="J79" s="48" t="str">
        <f>IFERROR(IF('May-22'!$G79="","-",VLOOKUP('May-22'!$G79,Lista_CUIT!$A$1:$D$1871,3,0)),"CUIT NO CARGADO")</f>
        <v>SERVICIOS GAS, LUZ, ETC</v>
      </c>
      <c r="K79" s="47">
        <f>IFERROR(IF('May-22'!$G79="","-",VLOOKUP('May-22'!$G79,Lista_CUIT!$A$1:$D$1871,4,0)),"CUIT NO CARGADO")</f>
        <v>0</v>
      </c>
    </row>
    <row r="80" spans="4:11" ht="22.5" customHeight="1" x14ac:dyDescent="0.25">
      <c r="D80" s="10">
        <v>44701</v>
      </c>
      <c r="E80" s="12">
        <v>2</v>
      </c>
      <c r="F80" s="13">
        <v>522</v>
      </c>
      <c r="G80" s="14">
        <v>20320877947</v>
      </c>
      <c r="H80" s="46" t="str">
        <f>IFERROR(IF('May-22'!$G80="","-",VLOOKUP('May-22'!$G80,Lista_CUIT!$A$1:$D$1871,2,0)),"CUIT NO CARGADO")</f>
        <v>ROUSSEAU PABLO ANDRES</v>
      </c>
      <c r="I80" s="42">
        <v>9800</v>
      </c>
      <c r="J80" s="48" t="str">
        <f>IFERROR(IF('May-22'!$G80="","-",VLOOKUP('May-22'!$G80,Lista_CUIT!$A$1:$D$1871,3,0)),"CUIT NO CARGADO")</f>
        <v>SERVICIO</v>
      </c>
      <c r="K80" s="47">
        <f>IFERROR(IF('May-22'!$G80="","-",VLOOKUP('May-22'!$G80,Lista_CUIT!$A$1:$D$1871,4,0)),"CUIT NO CARGADO")</f>
        <v>0</v>
      </c>
    </row>
    <row r="81" spans="2:18" ht="15.75" customHeight="1" x14ac:dyDescent="0.25">
      <c r="D81" s="55">
        <v>44705</v>
      </c>
      <c r="E81" s="55">
        <v>4</v>
      </c>
      <c r="F81" s="55">
        <v>1</v>
      </c>
      <c r="G81" s="56">
        <v>20341462933</v>
      </c>
      <c r="H81" s="46" t="str">
        <f>IFERROR(IF('May-22'!$G81="","-",VLOOKUP('May-22'!$G81,Lista_CUIT!$A$1:$D$1871,2,0)),"CUIT NO CARGADO")</f>
        <v>CASTIGLIONI MATIAS EZEQUIEL</v>
      </c>
      <c r="I81" s="49">
        <v>100000</v>
      </c>
      <c r="J81" s="48" t="str">
        <f>IFERROR(IF('May-22'!$G81="","-",VLOOKUP('May-22'!$G81,Lista_CUIT!$A$1:$D$1871,3,0)),"CUIT NO CARGADO")</f>
        <v>MAT. PRIM.</v>
      </c>
      <c r="K81" s="47">
        <f>IFERROR(IF('May-22'!$G81="","-",VLOOKUP('May-22'!$G81,Lista_CUIT!$A$1:$D$1871,4,0)),"CUIT NO CARGADO")</f>
        <v>0</v>
      </c>
    </row>
    <row r="82" spans="2:18" ht="18" customHeight="1" x14ac:dyDescent="0.25">
      <c r="B82" s="50"/>
      <c r="C82" s="50"/>
      <c r="D82" s="55">
        <v>44705</v>
      </c>
      <c r="E82" s="55">
        <v>1</v>
      </c>
      <c r="F82" s="55">
        <v>2722</v>
      </c>
      <c r="G82" s="56">
        <v>30713546808</v>
      </c>
      <c r="H82" s="46" t="str">
        <f>IFERROR(IF('May-22'!$G82="","-",VLOOKUP('May-22'!$G82,Lista_CUIT!$A$1:$D$1871,2,0)),"CUIT NO CARGADO")</f>
        <v>ASOCIACION MUTUAL PARA EL PERSONAL Y-O ADHERENTE DE LA DGI, MINISTERIO DE ECONOMIA, MINISTERIO DE TR</v>
      </c>
      <c r="I82" s="49">
        <v>28000</v>
      </c>
      <c r="J82" s="48" t="str">
        <f>IFERROR(IF('May-22'!$G82="","-",VLOOKUP('May-22'!$G82,Lista_CUIT!$A$1:$D$1871,3,0)),"CUIT NO CARGADO")</f>
        <v>Gastos Varios</v>
      </c>
      <c r="K82" s="47">
        <f>IFERROR(IF('May-22'!$G82="","-",VLOOKUP('May-22'!$G82,Lista_CUIT!$A$1:$D$1871,4,0)),"CUIT NO CARGADO")</f>
        <v>0</v>
      </c>
      <c r="L82" s="50"/>
      <c r="M82" s="50"/>
      <c r="N82" s="50"/>
      <c r="O82" s="50"/>
      <c r="P82" s="50"/>
      <c r="Q82" s="50"/>
      <c r="R82" s="50"/>
    </row>
    <row r="83" spans="2:18" ht="15.75" customHeight="1" x14ac:dyDescent="0.25">
      <c r="D83" s="55">
        <v>44712</v>
      </c>
      <c r="E83" s="55">
        <v>2</v>
      </c>
      <c r="F83" s="55">
        <v>109</v>
      </c>
      <c r="G83" s="56">
        <v>20136544625</v>
      </c>
      <c r="H83" s="46" t="str">
        <f>IFERROR(IF('May-22'!$G83="","-",VLOOKUP('May-22'!$G83,Lista_CUIT!$A$1:$D$1871,2,0)),"CUIT NO CARGADO")</f>
        <v>RODRIGUEZ DE LA FUEN HECTOR MARCELO</v>
      </c>
      <c r="I83" s="49">
        <v>140000</v>
      </c>
      <c r="J83" s="48" t="str">
        <f>IFERROR(IF('May-22'!$G83="","-",VLOOKUP('May-22'!$G83,Lista_CUIT!$A$1:$D$1871,3,0)),"CUIT NO CARGADO")</f>
        <v>Honorarios Administrativos-Cobranzas y Gestion Clientes</v>
      </c>
      <c r="K83" s="47">
        <f>IFERROR(IF('May-22'!$G83="","-",VLOOKUP('May-22'!$G83,Lista_CUIT!$A$1:$D$1871,4,0)),"CUIT NO CARGADO")</f>
        <v>0</v>
      </c>
    </row>
    <row r="84" spans="2:18" ht="15.75" customHeight="1" x14ac:dyDescent="0.25">
      <c r="D84" s="47" t="s">
        <v>1546</v>
      </c>
      <c r="E84" s="47"/>
      <c r="F84" s="47"/>
      <c r="G84" s="47"/>
      <c r="H84" s="48"/>
      <c r="I84" s="339">
        <f>SUBTOTAL(109,'May-22'!$I$67:$I$83)</f>
        <v>1704037.45</v>
      </c>
      <c r="J84" s="47"/>
      <c r="K84" s="47"/>
    </row>
    <row r="85" spans="2:18" ht="15.75" customHeight="1" x14ac:dyDescent="0.25"/>
    <row r="86" spans="2:18" ht="15.75" customHeight="1" x14ac:dyDescent="0.25"/>
    <row r="87" spans="2:18" ht="15.75" customHeight="1" x14ac:dyDescent="0.25">
      <c r="B87" s="366" t="s">
        <v>1563</v>
      </c>
      <c r="C87" s="351"/>
      <c r="D87" s="351"/>
      <c r="E87" s="351"/>
      <c r="F87" s="351"/>
      <c r="G87" s="351"/>
      <c r="H87" s="351"/>
      <c r="I87" s="351"/>
      <c r="J87" s="352"/>
      <c r="K87" s="367">
        <f>N1</f>
        <v>44682</v>
      </c>
      <c r="L87" s="351"/>
      <c r="M87" s="352"/>
    </row>
    <row r="88" spans="2:18" ht="15.75" customHeight="1" x14ac:dyDescent="0.25"/>
    <row r="89" spans="2:18" ht="15.75" customHeight="1" x14ac:dyDescent="0.25">
      <c r="B89" s="368" t="s">
        <v>1564</v>
      </c>
      <c r="C89" s="369"/>
    </row>
    <row r="90" spans="2:18" ht="15.75" customHeight="1" x14ac:dyDescent="0.25">
      <c r="B90" s="51" t="s">
        <v>1532</v>
      </c>
      <c r="C90" s="52" t="s">
        <v>1533</v>
      </c>
      <c r="D90" s="52" t="s">
        <v>1565</v>
      </c>
      <c r="E90" s="52" t="s">
        <v>1566</v>
      </c>
      <c r="F90" s="52" t="s">
        <v>0</v>
      </c>
      <c r="G90" s="52" t="s">
        <v>1</v>
      </c>
      <c r="H90" s="52" t="s">
        <v>1567</v>
      </c>
      <c r="I90" s="52" t="s">
        <v>1551</v>
      </c>
      <c r="J90" s="52" t="s">
        <v>1539</v>
      </c>
      <c r="K90" s="52" t="s">
        <v>1568</v>
      </c>
      <c r="L90" s="52" t="s">
        <v>1544</v>
      </c>
      <c r="M90" s="53" t="s">
        <v>1545</v>
      </c>
    </row>
    <row r="91" spans="2:18" ht="15.75" customHeight="1" x14ac:dyDescent="0.25">
      <c r="B91" s="10">
        <v>44687</v>
      </c>
      <c r="C91" s="11">
        <v>1</v>
      </c>
      <c r="D91" s="12">
        <v>3</v>
      </c>
      <c r="E91" s="13">
        <v>60</v>
      </c>
      <c r="F91" s="14">
        <v>30638318470</v>
      </c>
      <c r="G91" s="57" t="str">
        <f>IFERROR(IF('May-22'!$F91="","-",VLOOKUP('May-22'!$F91,Lista_CUIT!$A$1:$D$1871,2,0)),"CUIT NO CARGADO")</f>
        <v>DELTA COMPRESION S.R.L</v>
      </c>
      <c r="H91" s="58">
        <v>6322056.3700000001</v>
      </c>
      <c r="I91" s="59">
        <v>124603.82</v>
      </c>
      <c r="J91" s="60">
        <v>601514.06700000004</v>
      </c>
      <c r="K91" s="60"/>
      <c r="L91" s="60">
        <f>SUM('May-22'!$H91:$K91)</f>
        <v>7048174.2570000002</v>
      </c>
      <c r="M91" s="61"/>
    </row>
    <row r="92" spans="2:18" ht="25.5" customHeight="1" x14ac:dyDescent="0.25">
      <c r="B92" s="10">
        <v>44694</v>
      </c>
      <c r="C92" s="11">
        <v>1</v>
      </c>
      <c r="D92" s="12">
        <v>3</v>
      </c>
      <c r="E92" s="13">
        <v>61</v>
      </c>
      <c r="F92" s="14">
        <v>30708984716</v>
      </c>
      <c r="G92" s="57" t="str">
        <f>IFERROR(IF('May-22'!$F92="","-",VLOOKUP('May-22'!$F92,Lista_CUIT!$A$1:$D$1871,2,0)),"CUIT NO CARGADO")</f>
        <v>NATURAL GAS SERVICE SRL</v>
      </c>
      <c r="H92" s="58">
        <v>38500</v>
      </c>
      <c r="I92" s="59">
        <f>'May-22'!$H92*0.21</f>
        <v>8085</v>
      </c>
      <c r="J92" s="60"/>
      <c r="K92" s="60"/>
      <c r="L92" s="60">
        <f>SUM('May-22'!$H92:$K92)</f>
        <v>46585</v>
      </c>
      <c r="M92" s="61"/>
    </row>
    <row r="93" spans="2:18" ht="15.75" customHeight="1" x14ac:dyDescent="0.25">
      <c r="B93" s="10">
        <v>44700</v>
      </c>
      <c r="C93" s="11">
        <v>3</v>
      </c>
      <c r="D93" s="12">
        <v>3</v>
      </c>
      <c r="E93" s="13">
        <v>11</v>
      </c>
      <c r="F93" s="14">
        <v>30628274327</v>
      </c>
      <c r="G93" s="57" t="str">
        <f>IFERROR(IF('May-22'!$F93="","-",VLOOKUP('May-22'!$F93,Lista_CUIT!$A$1:$D$1871,2,0)),"CUIT NO CARGADO")</f>
        <v>AGIRA SA</v>
      </c>
      <c r="H93" s="58">
        <v>-1015852.2</v>
      </c>
      <c r="I93" s="59"/>
      <c r="J93" s="60">
        <v>-106664.48099999999</v>
      </c>
      <c r="K93" s="60"/>
      <c r="L93" s="60">
        <f>SUM('May-22'!$H93:$K93)</f>
        <v>-1122516.6809999999</v>
      </c>
      <c r="M93" s="61"/>
    </row>
    <row r="94" spans="2:18" ht="17.25" customHeight="1" x14ac:dyDescent="0.25">
      <c r="B94" s="10">
        <v>44705</v>
      </c>
      <c r="C94" s="11">
        <v>1</v>
      </c>
      <c r="D94" s="12">
        <v>3</v>
      </c>
      <c r="E94" s="13">
        <v>62</v>
      </c>
      <c r="F94" s="14">
        <v>30628274327</v>
      </c>
      <c r="G94" s="57" t="str">
        <f>IFERROR(IF('May-22'!$F94="","-",VLOOKUP('May-22'!$F94,Lista_CUIT!$A$1:$D$1871,2,0)),"CUIT NO CARGADO")</f>
        <v>AGIRA SA</v>
      </c>
      <c r="H94" s="58">
        <v>2126647.2000000002</v>
      </c>
      <c r="I94" s="59"/>
      <c r="J94" s="60">
        <v>223297.95600000001</v>
      </c>
      <c r="K94" s="60"/>
      <c r="L94" s="60">
        <f>SUM('May-22'!$H94:$K94)</f>
        <v>2349945.1560000004</v>
      </c>
      <c r="M94" s="61"/>
    </row>
    <row r="95" spans="2:18" ht="31.5" customHeight="1" x14ac:dyDescent="0.25">
      <c r="B95" s="10"/>
      <c r="C95" s="11"/>
      <c r="D95" s="12"/>
      <c r="E95" s="13"/>
      <c r="F95" s="14"/>
      <c r="G95" s="57" t="str">
        <f>IFERROR(IF('May-22'!$F95="","-",VLOOKUP('May-22'!$F95,Lista_CUIT!$A$1:$D$1871,2,0)),"CUIT NO CARGADO")</f>
        <v>-</v>
      </c>
      <c r="H95" s="58"/>
      <c r="I95" s="59">
        <f>'May-22'!$H95*0.21</f>
        <v>0</v>
      </c>
      <c r="J95" s="60"/>
      <c r="K95" s="60"/>
      <c r="L95" s="60">
        <f>SUM('May-22'!$H95:$K95)</f>
        <v>0</v>
      </c>
      <c r="M95" s="61"/>
    </row>
    <row r="96" spans="2:18" ht="15.75" customHeight="1" x14ac:dyDescent="0.25">
      <c r="B96" s="10"/>
      <c r="C96" s="11"/>
      <c r="D96" s="12"/>
      <c r="E96" s="13"/>
      <c r="F96" s="14"/>
      <c r="G96" s="57" t="str">
        <f>IFERROR(IF('May-22'!$F96="","-",VLOOKUP('May-22'!$F96,Lista_CUIT!$A$1:$D$1871,2,0)),"CUIT NO CARGADO")</f>
        <v>-</v>
      </c>
      <c r="H96" s="58"/>
      <c r="I96" s="59">
        <f>'May-22'!$H96*0.21</f>
        <v>0</v>
      </c>
      <c r="J96" s="60"/>
      <c r="K96" s="60"/>
      <c r="L96" s="60">
        <f>SUM('May-22'!$H96:$K96)</f>
        <v>0</v>
      </c>
      <c r="M96" s="61"/>
    </row>
    <row r="97" spans="2:13" ht="15.75" customHeight="1" x14ac:dyDescent="0.25">
      <c r="B97" s="10"/>
      <c r="C97" s="11"/>
      <c r="D97" s="12"/>
      <c r="E97" s="13"/>
      <c r="F97" s="14"/>
      <c r="G97" s="57" t="str">
        <f>IFERROR(IF('May-22'!$F97="","-",VLOOKUP('May-22'!$F97,Lista_CUIT!$A$1:$D$1871,2,0)),"CUIT NO CARGADO")</f>
        <v>-</v>
      </c>
      <c r="H97" s="58"/>
      <c r="I97" s="59">
        <f>'May-22'!$H97*0.21</f>
        <v>0</v>
      </c>
      <c r="J97" s="60"/>
      <c r="K97" s="60"/>
      <c r="L97" s="60">
        <f>SUM('May-22'!$H97:$K97)</f>
        <v>0</v>
      </c>
      <c r="M97" s="62"/>
    </row>
    <row r="98" spans="2:13" ht="15.75" customHeight="1" x14ac:dyDescent="0.25">
      <c r="B98" s="63"/>
      <c r="C98" s="64"/>
      <c r="D98" s="65"/>
      <c r="E98" s="66"/>
      <c r="F98" s="67"/>
      <c r="G98" s="57" t="str">
        <f>IFERROR(IF('May-22'!$F98="","-",VLOOKUP('May-22'!$F98,Lista_CUIT!$A$1:$D$1871,2,0)),"CUIT NO CARGADO")</f>
        <v>-</v>
      </c>
      <c r="H98" s="68"/>
      <c r="I98" s="69">
        <f>'May-22'!$H98*0.21</f>
        <v>0</v>
      </c>
      <c r="J98" s="70"/>
      <c r="K98" s="70"/>
      <c r="L98" s="70">
        <f>SUM('May-22'!$H98:$K98)</f>
        <v>0</v>
      </c>
      <c r="M98" s="62"/>
    </row>
    <row r="99" spans="2:13" ht="15.75" customHeight="1" x14ac:dyDescent="0.25">
      <c r="B99" s="71"/>
      <c r="C99" s="72"/>
      <c r="D99" s="73"/>
      <c r="E99" s="74"/>
      <c r="F99" s="75"/>
      <c r="G99" s="57" t="str">
        <f>IFERROR(IF('May-22'!$F99="","-",VLOOKUP('May-22'!$F99,Lista_CUIT!$A$1:$D$1871,2,0)),"CUIT NO CARGADO")</f>
        <v>-</v>
      </c>
      <c r="H99" s="58"/>
      <c r="I99" s="59">
        <f>'May-22'!$H99*0.21</f>
        <v>0</v>
      </c>
      <c r="J99" s="60"/>
      <c r="K99" s="60"/>
      <c r="L99" s="60">
        <f>SUM('May-22'!$H99:$K99)</f>
        <v>0</v>
      </c>
      <c r="M99" s="61"/>
    </row>
    <row r="100" spans="2:13" ht="15.75" customHeight="1" x14ac:dyDescent="0.25">
      <c r="B100" s="76" t="s">
        <v>1546</v>
      </c>
      <c r="C100" s="77"/>
      <c r="D100" s="77"/>
      <c r="E100" s="77"/>
      <c r="F100" s="77"/>
      <c r="G100" s="77"/>
      <c r="H100" s="78">
        <f>SUBTOTAL(109,'May-22'!$H$91:$H$99)</f>
        <v>7471351.3700000001</v>
      </c>
      <c r="I100" s="79">
        <f>SUBTOTAL(109,'May-22'!$I$91:$I$99)</f>
        <v>132688.82</v>
      </c>
      <c r="J100" s="70">
        <f>SUBTOTAL(109,'May-22'!$J$91:$J$99)</f>
        <v>718147.54200000013</v>
      </c>
      <c r="K100" s="70">
        <f>SUBTOTAL(109,'May-22'!$K$91:$K$99)</f>
        <v>0</v>
      </c>
      <c r="L100" s="70">
        <f>SUBTOTAL(109,'May-22'!$L$91:$L$99)</f>
        <v>8322187.7320000008</v>
      </c>
      <c r="M100" s="80">
        <f>SUBTOTAL(103,'May-22'!$M$91:$M$99)</f>
        <v>0</v>
      </c>
    </row>
    <row r="101" spans="2:13" ht="15.75" customHeight="1" x14ac:dyDescent="0.25"/>
    <row r="102" spans="2:13" ht="15.75" customHeight="1" x14ac:dyDescent="0.25"/>
    <row r="103" spans="2:13" ht="15.75" customHeight="1" x14ac:dyDescent="0.25">
      <c r="B103" s="368" t="s">
        <v>1569</v>
      </c>
      <c r="C103" s="369"/>
    </row>
    <row r="104" spans="2:13" ht="15.75" customHeight="1" x14ac:dyDescent="0.25">
      <c r="B104" s="51" t="s">
        <v>1532</v>
      </c>
      <c r="C104" s="52" t="s">
        <v>1533</v>
      </c>
      <c r="D104" s="52" t="s">
        <v>1565</v>
      </c>
      <c r="E104" s="52" t="s">
        <v>1566</v>
      </c>
      <c r="F104" s="52" t="s">
        <v>0</v>
      </c>
      <c r="G104" s="52" t="s">
        <v>1</v>
      </c>
      <c r="H104" s="52" t="s">
        <v>1567</v>
      </c>
      <c r="I104" s="52" t="s">
        <v>1551</v>
      </c>
      <c r="J104" s="52" t="s">
        <v>1539</v>
      </c>
      <c r="K104" s="52" t="s">
        <v>1568</v>
      </c>
      <c r="L104" s="52" t="s">
        <v>1544</v>
      </c>
      <c r="M104" s="53" t="s">
        <v>1545</v>
      </c>
    </row>
    <row r="105" spans="2:13" ht="18.75" customHeight="1" x14ac:dyDescent="0.25">
      <c r="B105" s="10"/>
      <c r="C105" s="11"/>
      <c r="D105" s="12"/>
      <c r="E105" s="13"/>
      <c r="F105" s="14"/>
      <c r="G105" s="81"/>
      <c r="H105" s="82"/>
      <c r="I105" s="82">
        <f>'May-22'!$H105*0.21</f>
        <v>0</v>
      </c>
      <c r="J105" s="82"/>
      <c r="K105" s="82"/>
      <c r="L105" s="82"/>
      <c r="M105" s="61"/>
    </row>
    <row r="106" spans="2:13" ht="28.5" customHeight="1" x14ac:dyDescent="0.25">
      <c r="B106" s="10"/>
      <c r="C106" s="11"/>
      <c r="D106" s="12"/>
      <c r="E106" s="13"/>
      <c r="F106" s="14"/>
      <c r="G106" s="81"/>
      <c r="H106" s="82"/>
      <c r="I106" s="82">
        <f>'May-22'!$H106*0.21</f>
        <v>0</v>
      </c>
      <c r="J106" s="82"/>
      <c r="K106" s="82"/>
      <c r="L106" s="82"/>
      <c r="M106" s="61"/>
    </row>
    <row r="107" spans="2:13" ht="15.75" customHeight="1" x14ac:dyDescent="0.25">
      <c r="B107" s="10"/>
      <c r="C107" s="11"/>
      <c r="D107" s="12"/>
      <c r="E107" s="13"/>
      <c r="F107" s="14"/>
      <c r="G107" s="81"/>
      <c r="H107" s="82"/>
      <c r="I107" s="82">
        <f>'May-22'!$H107*0.21</f>
        <v>0</v>
      </c>
      <c r="J107" s="82"/>
      <c r="K107" s="82"/>
      <c r="L107" s="82"/>
      <c r="M107" s="61"/>
    </row>
    <row r="108" spans="2:13" ht="15.75" customHeight="1" x14ac:dyDescent="0.25">
      <c r="B108" s="10"/>
      <c r="C108" s="11"/>
      <c r="D108" s="12"/>
      <c r="E108" s="13"/>
      <c r="F108" s="14"/>
      <c r="G108" s="81"/>
      <c r="H108" s="82"/>
      <c r="I108" s="82">
        <f>'May-22'!$H108*0.21</f>
        <v>0</v>
      </c>
      <c r="J108" s="82"/>
      <c r="K108" s="82"/>
      <c r="L108" s="82"/>
      <c r="M108" s="61"/>
    </row>
    <row r="109" spans="2:13" ht="15.75" customHeight="1" x14ac:dyDescent="0.25">
      <c r="B109" s="10"/>
      <c r="C109" s="11"/>
      <c r="D109" s="12"/>
      <c r="E109" s="13"/>
      <c r="F109" s="14"/>
      <c r="G109" s="81"/>
      <c r="H109" s="82"/>
      <c r="I109" s="82">
        <f>'May-22'!$H109*0.21</f>
        <v>0</v>
      </c>
      <c r="J109" s="82"/>
      <c r="K109" s="82"/>
      <c r="L109" s="82"/>
      <c r="M109" s="61"/>
    </row>
    <row r="110" spans="2:13" ht="15.75" customHeight="1" x14ac:dyDescent="0.25">
      <c r="B110" s="10"/>
      <c r="C110" s="11"/>
      <c r="D110" s="12"/>
      <c r="E110" s="13"/>
      <c r="F110" s="14"/>
      <c r="G110" s="81"/>
      <c r="H110" s="82"/>
      <c r="I110" s="82">
        <f>'May-22'!$H110*0.21</f>
        <v>0</v>
      </c>
      <c r="J110" s="82"/>
      <c r="K110" s="82"/>
      <c r="L110" s="82"/>
      <c r="M110" s="61"/>
    </row>
    <row r="111" spans="2:13" ht="15.75" customHeight="1" x14ac:dyDescent="0.25">
      <c r="B111" s="106"/>
      <c r="C111" s="107"/>
      <c r="D111" s="108"/>
      <c r="E111" s="109"/>
      <c r="F111" s="110"/>
      <c r="G111" s="81"/>
      <c r="H111" s="82"/>
      <c r="I111" s="111">
        <f>'May-22'!$H111*0.21</f>
        <v>0</v>
      </c>
      <c r="J111" s="112"/>
      <c r="K111" s="112"/>
      <c r="L111" s="112"/>
      <c r="M111" s="61"/>
    </row>
    <row r="112" spans="2:13" ht="15.75" customHeight="1" x14ac:dyDescent="0.25">
      <c r="B112" s="76" t="s">
        <v>1546</v>
      </c>
      <c r="C112" s="77"/>
      <c r="D112" s="77"/>
      <c r="E112" s="77"/>
      <c r="F112" s="77"/>
      <c r="G112" s="77"/>
      <c r="H112" s="83"/>
      <c r="I112" s="83">
        <f>SUBTOTAL(109,'May-22'!$I$105:$I$111)</f>
        <v>0</v>
      </c>
      <c r="J112" s="84">
        <f>SUBTOTAL(109,'May-22'!$J$105:$J$111)</f>
        <v>0</v>
      </c>
      <c r="K112" s="84">
        <f>SUBTOTAL(109,'May-22'!$K$105:$K$111)</f>
        <v>0</v>
      </c>
      <c r="L112" s="84">
        <f>SUBTOTAL(109,'May-22'!$L$105:$L$111)</f>
        <v>0</v>
      </c>
      <c r="M112" s="80">
        <f>SUBTOTAL(103,'May-22'!$M$105:$M$111)</f>
        <v>0</v>
      </c>
    </row>
    <row r="113" spans="2:12" ht="15.75" customHeight="1" x14ac:dyDescent="0.25"/>
    <row r="114" spans="2:12" ht="15.75" customHeight="1" x14ac:dyDescent="0.25">
      <c r="B114" s="360" t="s">
        <v>1570</v>
      </c>
      <c r="C114" s="351"/>
      <c r="D114" s="351"/>
      <c r="E114" s="352"/>
    </row>
    <row r="115" spans="2:12" ht="32.25" customHeight="1" x14ac:dyDescent="0.25">
      <c r="B115" s="113" t="s">
        <v>1532</v>
      </c>
      <c r="C115" s="113" t="s">
        <v>1571</v>
      </c>
      <c r="D115" s="113" t="s">
        <v>0</v>
      </c>
      <c r="E115" s="113" t="s">
        <v>1</v>
      </c>
      <c r="F115" s="113" t="s">
        <v>1572</v>
      </c>
      <c r="G115" s="113" t="s">
        <v>1573</v>
      </c>
      <c r="H115" s="113" t="s">
        <v>1574</v>
      </c>
      <c r="I115" s="113" t="s">
        <v>1544</v>
      </c>
    </row>
    <row r="116" spans="2:12" ht="15.75" customHeight="1" x14ac:dyDescent="0.25">
      <c r="B116" s="3"/>
      <c r="C116" s="3"/>
      <c r="D116" s="3"/>
      <c r="E116" s="3"/>
      <c r="F116" s="3"/>
      <c r="G116" s="3"/>
      <c r="H116" s="3"/>
      <c r="I116" s="3"/>
    </row>
    <row r="117" spans="2:12" ht="15.75" customHeight="1" x14ac:dyDescent="0.25">
      <c r="B117" s="3"/>
      <c r="C117" s="3"/>
      <c r="D117" s="3"/>
      <c r="E117" s="3"/>
      <c r="F117" s="3"/>
      <c r="G117" s="3"/>
      <c r="H117" s="3"/>
      <c r="I117" s="3"/>
    </row>
    <row r="118" spans="2:12" ht="15.75" customHeight="1" x14ac:dyDescent="0.25">
      <c r="B118" s="3"/>
      <c r="C118" s="3"/>
      <c r="D118" s="3"/>
      <c r="E118" s="3"/>
      <c r="F118" s="3"/>
      <c r="G118" s="3"/>
      <c r="H118" s="3"/>
      <c r="I118" s="3"/>
    </row>
    <row r="119" spans="2:12" ht="15.75" customHeight="1" x14ac:dyDescent="0.25">
      <c r="B119" s="114" t="s">
        <v>1546</v>
      </c>
      <c r="C119" s="115"/>
      <c r="D119" s="115"/>
      <c r="E119" s="115"/>
      <c r="F119" s="115"/>
      <c r="G119" s="115"/>
      <c r="H119" s="115"/>
      <c r="I119" s="115"/>
    </row>
    <row r="120" spans="2:12" ht="15.75" customHeight="1" x14ac:dyDescent="0.25"/>
    <row r="121" spans="2:12" ht="15.75" customHeight="1" x14ac:dyDescent="0.25"/>
    <row r="122" spans="2:12" ht="15.75" customHeight="1" x14ac:dyDescent="0.25"/>
    <row r="123" spans="2:12" ht="15.75" customHeight="1" x14ac:dyDescent="0.25">
      <c r="C123" s="361" t="s">
        <v>1575</v>
      </c>
      <c r="D123" s="362"/>
      <c r="E123" s="362"/>
      <c r="F123" s="362"/>
      <c r="G123" s="363"/>
      <c r="H123" s="89"/>
      <c r="I123" s="89"/>
      <c r="J123" s="89"/>
    </row>
    <row r="124" spans="2:12" ht="15.75" customHeight="1" x14ac:dyDescent="0.25">
      <c r="C124" s="90" t="s">
        <v>1576</v>
      </c>
      <c r="D124" s="91" t="s">
        <v>1577</v>
      </c>
      <c r="E124" s="91" t="s">
        <v>1578</v>
      </c>
      <c r="F124" s="91" t="s">
        <v>0</v>
      </c>
      <c r="G124" s="91" t="s">
        <v>1</v>
      </c>
      <c r="H124" s="92" t="s">
        <v>1579</v>
      </c>
      <c r="I124" s="92" t="s">
        <v>1580</v>
      </c>
      <c r="J124" s="92" t="s">
        <v>1581</v>
      </c>
      <c r="K124" s="92" t="s">
        <v>1582</v>
      </c>
      <c r="L124" s="92" t="s">
        <v>1583</v>
      </c>
    </row>
    <row r="125" spans="2:12" ht="15.75" customHeight="1" x14ac:dyDescent="0.25">
      <c r="C125" s="54"/>
      <c r="D125" s="93"/>
      <c r="E125" s="93"/>
      <c r="F125" s="56"/>
      <c r="G125" s="46" t="str">
        <f>IFERROR(IF('May-22'!$F125="","-",VLOOKUP('May-22'!$F125,Lista_CUIT!$A$1:$D$1871,2,0)),"CUIT NO CARGADO")</f>
        <v>-</v>
      </c>
      <c r="H125" s="94"/>
      <c r="I125" s="94">
        <v>9597.94</v>
      </c>
      <c r="J125" s="94">
        <v>914.09</v>
      </c>
      <c r="K125" s="94"/>
      <c r="L125" s="94"/>
    </row>
    <row r="126" spans="2:12" ht="15.75" customHeight="1" x14ac:dyDescent="0.25">
      <c r="C126" s="54"/>
      <c r="D126" s="93"/>
      <c r="E126" s="93"/>
      <c r="F126" s="56"/>
      <c r="G126" s="46" t="str">
        <f>IFERROR(IF('May-22'!$F126="","-",VLOOKUP('May-22'!$F126,Lista_CUIT!$A$1:$D$1871,2,0)),"CUIT NO CARGADO")</f>
        <v>-</v>
      </c>
      <c r="H126" s="94"/>
      <c r="I126" s="94"/>
      <c r="J126" s="94"/>
      <c r="K126" s="94"/>
      <c r="L126" s="94"/>
    </row>
    <row r="127" spans="2:12" ht="15.75" customHeight="1" x14ac:dyDescent="0.25">
      <c r="C127" s="54"/>
      <c r="D127" s="93"/>
      <c r="E127" s="93"/>
      <c r="F127" s="56"/>
      <c r="G127" s="46" t="str">
        <f>IFERROR(IF('May-22'!$F127="","-",VLOOKUP('May-22'!$F127,Lista_CUIT!$A$1:$D$1871,2,0)),"CUIT NO CARGADO")</f>
        <v>-</v>
      </c>
      <c r="H127" s="94"/>
      <c r="I127" s="94"/>
      <c r="J127" s="94"/>
      <c r="K127" s="94"/>
      <c r="L127" s="94"/>
    </row>
    <row r="128" spans="2:12" ht="15.75" customHeight="1" x14ac:dyDescent="0.25">
      <c r="C128" s="54"/>
      <c r="D128" s="93"/>
      <c r="E128" s="93"/>
      <c r="F128" s="56"/>
      <c r="G128" s="46" t="str">
        <f>IFERROR(IF('May-22'!$F128="","-",VLOOKUP('May-22'!$F128,Lista_CUIT!$A$1:$D$1871,2,0)),"CUIT NO CARGADO")</f>
        <v>-</v>
      </c>
      <c r="H128" s="94"/>
      <c r="I128" s="94"/>
      <c r="J128" s="94"/>
      <c r="K128" s="94"/>
      <c r="L128" s="94"/>
    </row>
    <row r="129" spans="3:12" ht="15.75" customHeight="1" x14ac:dyDescent="0.25">
      <c r="C129" s="3"/>
      <c r="D129" s="93"/>
      <c r="E129" s="93"/>
      <c r="F129" s="3"/>
      <c r="G129" s="46" t="str">
        <f>IFERROR(IF('May-22'!$F129="","-",VLOOKUP('May-22'!$F129,Lista_CUIT!$A$1:$D$1871,2,0)),"CUIT NO CARGADO")</f>
        <v>-</v>
      </c>
      <c r="H129" s="3"/>
      <c r="I129" s="3"/>
      <c r="J129" s="3"/>
      <c r="K129" s="3"/>
      <c r="L129" s="3"/>
    </row>
    <row r="130" spans="3:12" ht="15.75" customHeight="1" x14ac:dyDescent="0.25">
      <c r="C130" s="95"/>
    </row>
    <row r="131" spans="3:12" ht="15.75" customHeight="1" x14ac:dyDescent="0.25"/>
    <row r="132" spans="3:12" ht="15.75" customHeight="1" x14ac:dyDescent="0.25"/>
    <row r="133" spans="3:12" ht="15.75" customHeight="1" x14ac:dyDescent="0.25"/>
    <row r="134" spans="3:12" ht="15.75" customHeight="1" x14ac:dyDescent="0.25"/>
    <row r="135" spans="3:12" ht="15.75" customHeight="1" x14ac:dyDescent="0.25"/>
    <row r="136" spans="3:12" ht="15.75" customHeight="1" x14ac:dyDescent="0.25"/>
    <row r="137" spans="3:12" ht="15.75" customHeight="1" x14ac:dyDescent="0.25"/>
    <row r="138" spans="3:12" ht="15.75" customHeight="1" x14ac:dyDescent="0.25"/>
    <row r="139" spans="3:12" ht="15.75" customHeight="1" x14ac:dyDescent="0.25"/>
    <row r="140" spans="3:12" ht="15.75" customHeight="1" x14ac:dyDescent="0.25"/>
    <row r="141" spans="3:12" ht="15.75" customHeight="1" x14ac:dyDescent="0.25"/>
    <row r="142" spans="3:12" ht="15.75" customHeight="1" x14ac:dyDescent="0.25"/>
    <row r="143" spans="3:12" ht="15.75" customHeight="1" x14ac:dyDescent="0.25"/>
    <row r="144" spans="3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P4:R4"/>
    <mergeCell ref="D56:L56"/>
    <mergeCell ref="B114:E114"/>
    <mergeCell ref="C123:G123"/>
    <mergeCell ref="B3:E3"/>
    <mergeCell ref="B4:E4"/>
    <mergeCell ref="G4:H4"/>
    <mergeCell ref="D65:K65"/>
    <mergeCell ref="B87:J87"/>
    <mergeCell ref="K87:M87"/>
    <mergeCell ref="B89:C89"/>
    <mergeCell ref="B103:C103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2">
    <dataValidation type="custom" allowBlank="1" showErrorMessage="1" sqref="L91:L92" xr:uid="{00000000-0002-0000-0200-000000000000}">
      <formula1>IF($C47=3,L47&lt;0,L47&gt;=0)</formula1>
    </dataValidation>
    <dataValidation type="decimal" allowBlank="1" showErrorMessage="1" sqref="C9:C50 C52:C55 C91:C99" xr:uid="{00000000-0002-0000-0200-000001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15 H16:N16 H17:O50" xr:uid="{00000000-0002-0000-0200-000002000000}">
      <formula1>IF($C9=3,H9&lt;0,H9&gt;=0)</formula1>
    </dataValidation>
    <dataValidation type="custom" allowBlank="1" showErrorMessage="1" sqref="H105:L111" xr:uid="{00000000-0002-0000-0200-000003000000}">
      <formula1>IF($C105=8,H105&lt;0,H105&gt;=0)</formula1>
    </dataValidation>
    <dataValidation type="custom" allowBlank="1" showErrorMessage="1" sqref="H91:K91 H93:K93 H95:K95 H97:K97" xr:uid="{00000000-0002-0000-0200-000004000000}">
      <formula1>IF($C91=3,H91&lt;0,H91&gt;=0)</formula1>
    </dataValidation>
    <dataValidation type="custom" allowBlank="1" showErrorMessage="1" sqref="L93:L95" xr:uid="{00000000-0002-0000-0200-000005000000}">
      <formula1>IF(#REF!=3,#REF!&lt;0,#REF!&gt;=0)</formula1>
    </dataValidation>
    <dataValidation type="decimal" allowBlank="1" showErrorMessage="1" sqref="E9:E50 F80 E91:E99 E105:E111" xr:uid="{00000000-0002-0000-0200-000006000000}">
      <formula1>1</formula1>
      <formula2>99999999</formula2>
    </dataValidation>
    <dataValidation type="decimal" allowBlank="1" showErrorMessage="1" sqref="C105:C111" xr:uid="{00000000-0002-0000-0200-000007000000}">
      <formula1>6</formula1>
      <formula2>8</formula2>
    </dataValidation>
    <dataValidation type="decimal" allowBlank="1" showErrorMessage="1" sqref="F9:F50 G67:G83 F91:F99 F105:F111" xr:uid="{00000000-0002-0000-0200-000008000000}">
      <formula1>20000000000</formula1>
      <formula2>33999999999</formula2>
    </dataValidation>
    <dataValidation type="date" allowBlank="1" showErrorMessage="1" sqref="B9:B50 B52:B55 D58:D62 D80 B91:B99 B105:B111" xr:uid="{00000000-0002-0000-0200-000009000000}">
      <formula1>40179</formula1>
      <formula2>TODAY()</formula2>
    </dataValidation>
    <dataValidation type="decimal" allowBlank="1" showErrorMessage="1" sqref="D9:D50 E80 D91:D99 D105:D111" xr:uid="{00000000-0002-0000-0200-00000A000000}">
      <formula1>1</formula1>
      <formula2>9999</formula2>
    </dataValidation>
    <dataValidation type="custom" allowBlank="1" showErrorMessage="1" sqref="L96:L97" xr:uid="{00000000-0002-0000-0200-00000B000000}">
      <formula1>IF($C51=3,L51&lt;0,L51&gt;=0)</formula1>
    </dataValidation>
  </dataValidations>
  <pageMargins left="0.7" right="0.7" top="0.75" bottom="0.75" header="0" footer="0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E9D9"/>
  </sheetPr>
  <dimension ref="A1:Z1000"/>
  <sheetViews>
    <sheetView showGridLines="0" topLeftCell="A13" zoomScale="80" zoomScaleNormal="80" workbookViewId="0">
      <selection activeCell="O98" sqref="O98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EDATE('Abr-22'!N1,2)</f>
        <v>44713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SUM('Jun-22'!$H$39)+'Jun-22'!$G$52</f>
        <v>2946484.8079999993</v>
      </c>
      <c r="C4" s="351"/>
      <c r="D4" s="351"/>
      <c r="E4" s="352"/>
      <c r="F4" s="8"/>
      <c r="G4" s="365">
        <f>'Jun-22'!$I$39+'Jun-22'!$J$39+'Jun-22'!$K$39+'Jun-22'!$H$52+'Jun-22'!$I$52</f>
        <v>574986.35548000003</v>
      </c>
      <c r="H4" s="352"/>
      <c r="I4" s="8"/>
      <c r="J4" s="370">
        <f>'Jun-22'!$H$93+'Jun-22'!$H$104</f>
        <v>2789657.3</v>
      </c>
      <c r="K4" s="352"/>
      <c r="L4" s="8"/>
      <c r="M4" s="370">
        <f>'Jun-22'!$I$93+'Jun-22'!$J$93+'Jun-22'!$I$104+'Jun-22'!$J$104</f>
        <v>340735.03799999994</v>
      </c>
      <c r="N4" s="352"/>
      <c r="O4" s="8"/>
      <c r="P4" s="358">
        <f>G4-M4</f>
        <v>234251.31748000009</v>
      </c>
      <c r="Q4" s="351"/>
      <c r="R4" s="352"/>
    </row>
    <row r="5" spans="1:19" ht="12.75" customHeight="1" x14ac:dyDescent="0.25"/>
    <row r="6" spans="1:19" ht="10.5" customHeight="1" x14ac:dyDescent="0.25"/>
    <row r="7" spans="1:19" ht="42.75" customHeight="1" x14ac:dyDescent="0.25">
      <c r="A7" s="9"/>
      <c r="B7" s="10"/>
      <c r="C7" s="11"/>
      <c r="D7" s="12"/>
      <c r="E7" s="13"/>
      <c r="F7" s="14"/>
      <c r="G7" s="15"/>
      <c r="H7" s="16"/>
      <c r="I7" s="17"/>
      <c r="J7" s="17"/>
      <c r="K7" s="17"/>
      <c r="L7" s="17"/>
      <c r="M7" s="17"/>
      <c r="N7" s="17"/>
      <c r="O7" s="17"/>
      <c r="P7" s="20"/>
      <c r="Q7" s="21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22" t="s">
        <v>2</v>
      </c>
      <c r="R8" s="22" t="s">
        <v>1545</v>
      </c>
    </row>
    <row r="9" spans="1:19" ht="18" customHeight="1" x14ac:dyDescent="0.25">
      <c r="B9" s="10">
        <v>44741</v>
      </c>
      <c r="C9" s="11">
        <v>1</v>
      </c>
      <c r="D9" s="12">
        <v>2</v>
      </c>
      <c r="E9" s="13">
        <v>139</v>
      </c>
      <c r="F9" s="14">
        <v>20125142851</v>
      </c>
      <c r="G9" s="15" t="str">
        <f>IFERROR(IF('Jun-22'!$F9="","-",VLOOKUP('Jun-22'!$F9,Lista_CUIT!$A$1:$D$1871,2,0)),"CUIT NO CARGADO")</f>
        <v>FEDERICI NICOLAS JOSE</v>
      </c>
      <c r="H9" s="16">
        <v>13908</v>
      </c>
      <c r="I9" s="116">
        <f>IF('Jun-22'!$H9="","",'Jun-22'!$H9*0.21)</f>
        <v>2920.68</v>
      </c>
      <c r="J9" s="23"/>
      <c r="K9" s="23"/>
      <c r="L9" s="23"/>
      <c r="M9" s="23"/>
      <c r="N9" s="23"/>
      <c r="O9" s="23"/>
      <c r="P9" s="20">
        <f>SUM('Jun-22'!$H9:$O9)</f>
        <v>16828.68</v>
      </c>
      <c r="Q9" s="21" t="str">
        <f>IFERROR(IF('Jun-22'!$F9="","-",VLOOKUP('Jun-22'!$F9,Lista_CUIT!$A$1:$D$1871,3,0)),"CUIT NO CARGADO")</f>
        <v>INSUMO</v>
      </c>
      <c r="R9" s="21">
        <f>IFERROR(IF('Jun-22'!$F9="","-",VLOOKUP('Jun-22'!$F9,Lista_CUIT!$A$1:$D$1871,4,0)),"CUIT NO CARGADO")</f>
        <v>0</v>
      </c>
    </row>
    <row r="10" spans="1:19" ht="18" customHeight="1" x14ac:dyDescent="0.25">
      <c r="B10" s="10">
        <v>44736</v>
      </c>
      <c r="C10" s="11">
        <v>1</v>
      </c>
      <c r="D10" s="12">
        <v>2</v>
      </c>
      <c r="E10" s="13">
        <v>138</v>
      </c>
      <c r="F10" s="14">
        <v>20125142851</v>
      </c>
      <c r="G10" s="15" t="str">
        <f>IFERROR(IF('Jun-22'!$F10="","-",VLOOKUP('Jun-22'!$F10,Lista_CUIT!$A$1:$D$1871,2,0)),"CUIT NO CARGADO")</f>
        <v>FEDERICI NICOLAS JOSE</v>
      </c>
      <c r="H10" s="16">
        <v>15048</v>
      </c>
      <c r="I10" s="116">
        <f>IF('Jun-22'!$H10="","",'Jun-22'!$H10*0.21)</f>
        <v>3160.08</v>
      </c>
      <c r="J10" s="23"/>
      <c r="K10" s="23"/>
      <c r="L10" s="23"/>
      <c r="M10" s="23"/>
      <c r="N10" s="23"/>
      <c r="O10" s="23"/>
      <c r="P10" s="20">
        <f>SUM('Jun-22'!$H10:$O10)</f>
        <v>18208.080000000002</v>
      </c>
      <c r="Q10" s="21" t="str">
        <f>IFERROR(IF('Jun-22'!$F10="","-",VLOOKUP('Jun-22'!$F10,Lista_CUIT!$A$1:$D$1871,3,0)),"CUIT NO CARGADO")</f>
        <v>INSUMO</v>
      </c>
      <c r="R10" s="21">
        <f>IFERROR(IF('Jun-22'!$F10="","-",VLOOKUP('Jun-22'!$F10,Lista_CUIT!$A$1:$D$1871,4,0)),"CUIT NO CARGADO")</f>
        <v>0</v>
      </c>
    </row>
    <row r="11" spans="1:19" ht="18" customHeight="1" x14ac:dyDescent="0.25">
      <c r="B11" s="10">
        <v>44739</v>
      </c>
      <c r="C11" s="11">
        <v>1</v>
      </c>
      <c r="D11" s="12">
        <v>1</v>
      </c>
      <c r="E11" s="13">
        <v>178227</v>
      </c>
      <c r="F11" s="14">
        <v>30716620634</v>
      </c>
      <c r="G11" s="15" t="str">
        <f>IFERROR(IF('Jun-22'!$F11="","-",VLOOKUP('Jun-22'!$F11,Lista_CUIT!$A$1:$D$1871,2,0)),"CUIT NO CARGADO")</f>
        <v>FIRST LABEL SRL</v>
      </c>
      <c r="H11" s="16">
        <v>7106.61</v>
      </c>
      <c r="I11" s="116">
        <f>IF('Jun-22'!$H11="","",'Jun-22'!$H11*0.21)</f>
        <v>1492.3880999999999</v>
      </c>
      <c r="J11" s="23"/>
      <c r="K11" s="23"/>
      <c r="L11" s="23"/>
      <c r="M11" s="23"/>
      <c r="N11" s="23"/>
      <c r="O11" s="23"/>
      <c r="P11" s="20">
        <f>SUM('Jun-22'!$H11:$O11)</f>
        <v>8598.9980999999989</v>
      </c>
      <c r="Q11" s="21" t="str">
        <f>IFERROR(IF('Jun-22'!$F11="","-",VLOOKUP('Jun-22'!$F11,Lista_CUIT!$A$1:$D$1871,3,0)),"CUIT NO CARGADO")</f>
        <v>Gastos Varios</v>
      </c>
      <c r="R11" s="21">
        <f>IFERROR(IF('Jun-22'!$F11="","-",VLOOKUP('Jun-22'!$F11,Lista_CUIT!$A$1:$D$1871,4,0)),"CUIT NO CARGADO")</f>
        <v>0</v>
      </c>
    </row>
    <row r="12" spans="1:19" ht="18" customHeight="1" x14ac:dyDescent="0.25">
      <c r="B12" s="10">
        <v>44727</v>
      </c>
      <c r="C12" s="11">
        <v>1</v>
      </c>
      <c r="D12" s="12">
        <v>5</v>
      </c>
      <c r="E12" s="13">
        <v>71</v>
      </c>
      <c r="F12" s="14">
        <v>20235490251</v>
      </c>
      <c r="G12" s="15" t="str">
        <f>IFERROR(IF('Jun-22'!$F12="","-",VLOOKUP('Jun-22'!$F12,Lista_CUIT!$A$1:$D$1871,2,0)),"CUIT NO CARGADO")</f>
        <v>SALAS  ARIEL ALFREDO</v>
      </c>
      <c r="H12" s="16">
        <v>1444.21</v>
      </c>
      <c r="I12" s="116">
        <f>IF('Jun-22'!$H12="","",'Jun-22'!$H12*0.21)</f>
        <v>303.28410000000002</v>
      </c>
      <c r="J12" s="23"/>
      <c r="K12" s="23"/>
      <c r="L12" s="23"/>
      <c r="M12" s="23"/>
      <c r="N12" s="23"/>
      <c r="O12" s="23"/>
      <c r="P12" s="20">
        <f>SUM('Jun-22'!$H12:$O12)</f>
        <v>1747.4941000000001</v>
      </c>
      <c r="Q12" s="21" t="str">
        <f>IFERROR(IF('Jun-22'!$F12="","-",VLOOKUP('Jun-22'!$F12,Lista_CUIT!$A$1:$D$1871,3,0)),"CUIT NO CARGADO")</f>
        <v>Gastos Varios</v>
      </c>
      <c r="R12" s="21">
        <f>IFERROR(IF('Jun-22'!$F12="","-",VLOOKUP('Jun-22'!$F12,Lista_CUIT!$A$1:$D$1871,4,0)),"CUIT NO CARGADO")</f>
        <v>0</v>
      </c>
    </row>
    <row r="13" spans="1:19" ht="18" customHeight="1" x14ac:dyDescent="0.25">
      <c r="B13" s="10">
        <v>44718</v>
      </c>
      <c r="C13" s="11">
        <v>1</v>
      </c>
      <c r="D13" s="12">
        <v>3</v>
      </c>
      <c r="E13" s="13">
        <v>2090</v>
      </c>
      <c r="F13" s="14">
        <v>30716966530</v>
      </c>
      <c r="G13" s="15" t="str">
        <f>IFERROR(IF('Jun-22'!$F13="","-",VLOOKUP('Jun-22'!$F13,Lista_CUIT!$A$1:$D$1871,2,0)),"CUIT NO CARGADO")</f>
        <v>UDACHI SRL</v>
      </c>
      <c r="H13" s="16">
        <v>3872.47</v>
      </c>
      <c r="I13" s="116">
        <f>IF('Jun-22'!$H13="","",'Jun-22'!$H13*0.21)</f>
        <v>813.2186999999999</v>
      </c>
      <c r="J13" s="23"/>
      <c r="K13" s="23"/>
      <c r="L13" s="23"/>
      <c r="M13" s="23"/>
      <c r="N13" s="23"/>
      <c r="O13" s="23"/>
      <c r="P13" s="20">
        <f>SUM('Jun-22'!$H13:$O13)</f>
        <v>4685.6886999999997</v>
      </c>
      <c r="Q13" s="21" t="str">
        <f>IFERROR(IF('Jun-22'!$F13="","-",VLOOKUP('Jun-22'!$F13,Lista_CUIT!$A$1:$D$1871,3,0)),"CUIT NO CARGADO")</f>
        <v>INSUMO</v>
      </c>
      <c r="R13" s="21">
        <f>IFERROR(IF('Jun-22'!$F13="","-",VLOOKUP('Jun-22'!$F13,Lista_CUIT!$A$1:$D$1871,4,0)),"CUIT NO CARGADO")</f>
        <v>0</v>
      </c>
    </row>
    <row r="14" spans="1:19" ht="18" customHeight="1" x14ac:dyDescent="0.25">
      <c r="B14" s="10">
        <v>44736</v>
      </c>
      <c r="C14" s="11">
        <v>1</v>
      </c>
      <c r="D14" s="12">
        <v>1</v>
      </c>
      <c r="E14" s="13">
        <v>467</v>
      </c>
      <c r="F14" s="14">
        <v>30715048066</v>
      </c>
      <c r="G14" s="15" t="str">
        <f>IFERROR(IF('Jun-22'!$F14="","-",VLOOKUP('Jun-22'!$F14,Lista_CUIT!$A$1:$D$1871,2,0)),"CUIT NO CARGADO")</f>
        <v>ROLLS Y EMPANADAS SA</v>
      </c>
      <c r="H14" s="16">
        <v>119985</v>
      </c>
      <c r="I14" s="116">
        <f>IF('Jun-22'!$H14="","",'Jun-22'!$H14*0.21)</f>
        <v>25196.85</v>
      </c>
      <c r="J14" s="23"/>
      <c r="K14" s="23"/>
      <c r="L14" s="23"/>
      <c r="M14" s="23"/>
      <c r="N14" s="23"/>
      <c r="O14" s="23"/>
      <c r="P14" s="20">
        <f>SUM('Jun-22'!$H14:$O14)</f>
        <v>145181.85</v>
      </c>
      <c r="Q14" s="21" t="str">
        <f>IFERROR(IF('Jun-22'!$F14="","-",VLOOKUP('Jun-22'!$F14,Lista_CUIT!$A$1:$D$1871,3,0)),"CUIT NO CARGADO")</f>
        <v>CATERING</v>
      </c>
      <c r="R14" s="21">
        <f>IFERROR(IF('Jun-22'!$F14="","-",VLOOKUP('Jun-22'!$F14,Lista_CUIT!$A$1:$D$1871,4,0)),"CUIT NO CARGADO")</f>
        <v>0</v>
      </c>
    </row>
    <row r="15" spans="1:19" ht="18" customHeight="1" x14ac:dyDescent="0.25">
      <c r="B15" s="10">
        <v>44735</v>
      </c>
      <c r="C15" s="11">
        <v>1</v>
      </c>
      <c r="D15" s="12">
        <v>4</v>
      </c>
      <c r="E15" s="13">
        <v>87001</v>
      </c>
      <c r="F15" s="14">
        <v>30559932236</v>
      </c>
      <c r="G15" s="15" t="str">
        <f>IFERROR(IF('Jun-22'!$F15="","-",VLOOKUP('Jun-22'!$F15,Lista_CUIT!$A$1:$D$1871,2,0)),"CUIT NO CARGADO")</f>
        <v>ELECTRONICA ELEMON SA</v>
      </c>
      <c r="H15" s="16">
        <v>22954.1</v>
      </c>
      <c r="I15" s="116"/>
      <c r="J15" s="116"/>
      <c r="K15" s="116">
        <v>2410.1804999999999</v>
      </c>
      <c r="L15" s="23"/>
      <c r="M15" s="23"/>
      <c r="N15" s="23"/>
      <c r="O15" s="23"/>
      <c r="P15" s="20">
        <f>SUM('Jun-22'!$H15:$O15)</f>
        <v>25364.280499999997</v>
      </c>
      <c r="Q15" s="21" t="str">
        <f>IFERROR(IF('Jun-22'!$F15="","-",VLOOKUP('Jun-22'!$F15,Lista_CUIT!$A$1:$D$1871,3,0)),"CUIT NO CARGADO")</f>
        <v>MAT. PRIM.</v>
      </c>
      <c r="R15" s="21">
        <f>IFERROR(IF('Jun-22'!$F15="","-",VLOOKUP('Jun-22'!$F15,Lista_CUIT!$A$1:$D$1871,4,0)),"CUIT NO CARGADO")</f>
        <v>0</v>
      </c>
    </row>
    <row r="16" spans="1:19" ht="18" customHeight="1" x14ac:dyDescent="0.25">
      <c r="B16" s="10">
        <v>44735</v>
      </c>
      <c r="C16" s="11">
        <v>1</v>
      </c>
      <c r="D16" s="12">
        <v>7</v>
      </c>
      <c r="E16" s="13">
        <v>1293</v>
      </c>
      <c r="F16" s="14">
        <v>30709775762</v>
      </c>
      <c r="G16" s="15" t="str">
        <f>IFERROR(IF('Jun-22'!$F16="","-",VLOOKUP('Jun-22'!$F16,Lista_CUIT!$A$1:$D$1871,2,0)),"CUIT NO CARGADO")</f>
        <v>INDUSTRIA BAHIA S.A.</v>
      </c>
      <c r="H16" s="16">
        <v>763743.31799999997</v>
      </c>
      <c r="I16" s="116">
        <f>IF('Jun-22'!$H16="","",'Jun-22'!$H16*0.21)</f>
        <v>160386.09677999999</v>
      </c>
      <c r="J16" s="23"/>
      <c r="K16" s="23"/>
      <c r="L16" s="23"/>
      <c r="M16" s="23"/>
      <c r="N16" s="23"/>
      <c r="O16" s="23"/>
      <c r="P16" s="20">
        <f>SUM('Jun-22'!$H16:$O16)</f>
        <v>924129.41477999999</v>
      </c>
      <c r="Q16" s="21" t="str">
        <f>IFERROR(IF('Jun-22'!$F16="","-",VLOOKUP('Jun-22'!$F16,Lista_CUIT!$A$1:$D$1871,3,0)),"CUIT NO CARGADO")</f>
        <v>MAT. PRIM.</v>
      </c>
      <c r="R16" s="21">
        <f>IFERROR(IF('Jun-22'!$F16="","-",VLOOKUP('Jun-22'!$F16,Lista_CUIT!$A$1:$D$1871,4,0)),"CUIT NO CARGADO")</f>
        <v>0</v>
      </c>
    </row>
    <row r="17" spans="2:18" ht="18" customHeight="1" x14ac:dyDescent="0.25">
      <c r="B17" s="10">
        <v>44713</v>
      </c>
      <c r="C17" s="11">
        <v>1</v>
      </c>
      <c r="D17" s="12">
        <v>3</v>
      </c>
      <c r="E17" s="13">
        <v>540</v>
      </c>
      <c r="F17" s="14">
        <v>30715402765</v>
      </c>
      <c r="G17" s="15" t="str">
        <f>IFERROR(IF('Jun-22'!$F17="","-",VLOOKUP('Jun-22'!$F17,Lista_CUIT!$A$1:$D$1871,2,0)),"CUIT NO CARGADO")</f>
        <v>RIO 265 SRL</v>
      </c>
      <c r="H17" s="16">
        <v>7190.08</v>
      </c>
      <c r="I17" s="116">
        <f>IF('Jun-22'!$H17="","",'Jun-22'!$H17*0.21)</f>
        <v>1509.9168</v>
      </c>
      <c r="J17" s="23"/>
      <c r="K17" s="23"/>
      <c r="L17" s="23"/>
      <c r="M17" s="23"/>
      <c r="N17" s="23"/>
      <c r="O17" s="23"/>
      <c r="P17" s="20">
        <f>SUM('Jun-22'!$H17:$O17)</f>
        <v>8699.9968000000008</v>
      </c>
      <c r="Q17" s="21" t="str">
        <f>IFERROR(IF('Jun-22'!$F17="","-",VLOOKUP('Jun-22'!$F17,Lista_CUIT!$A$1:$D$1871,3,0)),"CUIT NO CARGADO")</f>
        <v>GTOS VARIOS-ESTACIONAMIENTO HORACIO</v>
      </c>
      <c r="R17" s="21">
        <f>IFERROR(IF('Jun-22'!$F17="","-",VLOOKUP('Jun-22'!$F17,Lista_CUIT!$A$1:$D$1871,4,0)),"CUIT NO CARGADO")</f>
        <v>0</v>
      </c>
    </row>
    <row r="18" spans="2:18" ht="18" customHeight="1" x14ac:dyDescent="0.25">
      <c r="B18" s="10">
        <v>44728</v>
      </c>
      <c r="C18" s="11">
        <v>1</v>
      </c>
      <c r="D18" s="12">
        <v>3</v>
      </c>
      <c r="E18" s="13">
        <v>259</v>
      </c>
      <c r="F18" s="14">
        <v>20921575743</v>
      </c>
      <c r="G18" s="15" t="str">
        <f>IFERROR(IF('Jun-22'!$F18="","-",VLOOKUP('Jun-22'!$F18,Lista_CUIT!$A$1:$D$1871,2,0)),"CUIT NO CARGADO")</f>
        <v>RIOS GOMEZ JOSE ANTONIO</v>
      </c>
      <c r="H18" s="16">
        <v>13800</v>
      </c>
      <c r="I18" s="116">
        <f>IF('Jun-22'!$H18="","",'Jun-22'!$H18*0.21)</f>
        <v>2898</v>
      </c>
      <c r="J18" s="23"/>
      <c r="K18" s="23"/>
      <c r="L18" s="23"/>
      <c r="M18" s="23"/>
      <c r="N18" s="23"/>
      <c r="O18" s="23"/>
      <c r="P18" s="20">
        <f>SUM('Jun-22'!$H18:$O18)</f>
        <v>16698</v>
      </c>
      <c r="Q18" s="21" t="str">
        <f>IFERROR(IF('Jun-22'!$F18="","-",VLOOKUP('Jun-22'!$F18,Lista_CUIT!$A$1:$D$1871,3,0)),"CUIT NO CARGADO")</f>
        <v xml:space="preserve">Papeleria e Impresos </v>
      </c>
      <c r="R18" s="21">
        <f>IFERROR(IF('Jun-22'!$F18="","-",VLOOKUP('Jun-22'!$F18,Lista_CUIT!$A$1:$D$1871,4,0)),"CUIT NO CARGADO")</f>
        <v>0</v>
      </c>
    </row>
    <row r="19" spans="2:18" ht="18" customHeight="1" x14ac:dyDescent="0.25">
      <c r="B19" s="10">
        <v>44724</v>
      </c>
      <c r="C19" s="11">
        <v>1</v>
      </c>
      <c r="D19" s="12">
        <v>2</v>
      </c>
      <c r="E19" s="13">
        <v>137</v>
      </c>
      <c r="F19" s="14">
        <v>20125142851</v>
      </c>
      <c r="G19" s="15" t="str">
        <f>IFERROR(IF('Jun-22'!$F19="","-",VLOOKUP('Jun-22'!$F19,Lista_CUIT!$A$1:$D$1871,2,0)),"CUIT NO CARGADO")</f>
        <v>FEDERICI NICOLAS JOSE</v>
      </c>
      <c r="H19" s="16">
        <v>25878</v>
      </c>
      <c r="I19" s="116">
        <f>IF('Jun-22'!$H19="","",'Jun-22'!$H19*0.21)</f>
        <v>5434.38</v>
      </c>
      <c r="J19" s="23"/>
      <c r="K19" s="23"/>
      <c r="L19" s="23"/>
      <c r="M19" s="23"/>
      <c r="N19" s="23"/>
      <c r="O19" s="23"/>
      <c r="P19" s="20">
        <f>SUM('Jun-22'!$H19:$O19)</f>
        <v>31312.38</v>
      </c>
      <c r="Q19" s="21" t="str">
        <f>IFERROR(IF('Jun-22'!$F19="","-",VLOOKUP('Jun-22'!$F19,Lista_CUIT!$A$1:$D$1871,3,0)),"CUIT NO CARGADO")</f>
        <v>INSUMO</v>
      </c>
      <c r="R19" s="21">
        <f>IFERROR(IF('Jun-22'!$F19="","-",VLOOKUP('Jun-22'!$F19,Lista_CUIT!$A$1:$D$1871,4,0)),"CUIT NO CARGADO")</f>
        <v>0</v>
      </c>
    </row>
    <row r="20" spans="2:18" ht="18" customHeight="1" x14ac:dyDescent="0.25">
      <c r="B20" s="10">
        <v>44720</v>
      </c>
      <c r="C20" s="11">
        <v>1</v>
      </c>
      <c r="D20" s="12">
        <v>2</v>
      </c>
      <c r="E20" s="13">
        <v>136</v>
      </c>
      <c r="F20" s="14">
        <v>20125142851</v>
      </c>
      <c r="G20" s="15" t="str">
        <f>IFERROR(IF('Jun-22'!$F20="","-",VLOOKUP('Jun-22'!$F20,Lista_CUIT!$A$1:$D$1871,2,0)),"CUIT NO CARGADO")</f>
        <v>FEDERICI NICOLAS JOSE</v>
      </c>
      <c r="H20" s="16">
        <v>23073</v>
      </c>
      <c r="I20" s="116">
        <f>IF('Jun-22'!$H20="","",'Jun-22'!$H20*0.21)</f>
        <v>4845.33</v>
      </c>
      <c r="J20" s="23"/>
      <c r="K20" s="23"/>
      <c r="L20" s="23"/>
      <c r="M20" s="23"/>
      <c r="N20" s="23"/>
      <c r="O20" s="23"/>
      <c r="P20" s="20">
        <f>SUM('Jun-22'!$H20:$O20)</f>
        <v>27918.33</v>
      </c>
      <c r="Q20" s="21" t="str">
        <f>IFERROR(IF('Jun-22'!$F20="","-",VLOOKUP('Jun-22'!$F20,Lista_CUIT!$A$1:$D$1871,3,0)),"CUIT NO CARGADO")</f>
        <v>INSUMO</v>
      </c>
      <c r="R20" s="21">
        <f>IFERROR(IF('Jun-22'!$F20="","-",VLOOKUP('Jun-22'!$F20,Lista_CUIT!$A$1:$D$1871,4,0)),"CUIT NO CARGADO")</f>
        <v>0</v>
      </c>
    </row>
    <row r="21" spans="2:18" ht="18" customHeight="1" x14ac:dyDescent="0.25">
      <c r="B21" s="10">
        <v>44720</v>
      </c>
      <c r="C21" s="11">
        <v>1</v>
      </c>
      <c r="D21" s="12">
        <v>2</v>
      </c>
      <c r="E21" s="13">
        <v>135</v>
      </c>
      <c r="F21" s="14">
        <v>20125142851</v>
      </c>
      <c r="G21" s="15" t="str">
        <f>IFERROR(IF('Jun-22'!$F21="","-",VLOOKUP('Jun-22'!$F21,Lista_CUIT!$A$1:$D$1871,2,0)),"CUIT NO CARGADO")</f>
        <v>FEDERICI NICOLAS JOSE</v>
      </c>
      <c r="H21" s="16">
        <v>19717.2</v>
      </c>
      <c r="I21" s="116">
        <f>IF('Jun-22'!$H21="","",'Jun-22'!$H21*0.21)</f>
        <v>4140.6120000000001</v>
      </c>
      <c r="J21" s="23"/>
      <c r="K21" s="23"/>
      <c r="L21" s="23"/>
      <c r="M21" s="23"/>
      <c r="N21" s="23"/>
      <c r="O21" s="23"/>
      <c r="P21" s="20">
        <f>SUM('Jun-22'!$H21:$O21)</f>
        <v>23857.812000000002</v>
      </c>
      <c r="Q21" s="21" t="str">
        <f>IFERROR(IF('Jun-22'!$F21="","-",VLOOKUP('Jun-22'!$F21,Lista_CUIT!$A$1:$D$1871,3,0)),"CUIT NO CARGADO")</f>
        <v>INSUMO</v>
      </c>
      <c r="R21" s="21">
        <f>IFERROR(IF('Jun-22'!$F21="","-",VLOOKUP('Jun-22'!$F21,Lista_CUIT!$A$1:$D$1871,4,0)),"CUIT NO CARGADO")</f>
        <v>0</v>
      </c>
    </row>
    <row r="22" spans="2:18" ht="18" customHeight="1" x14ac:dyDescent="0.25">
      <c r="B22" s="10">
        <v>44726</v>
      </c>
      <c r="C22" s="11">
        <v>1</v>
      </c>
      <c r="D22" s="12">
        <v>10</v>
      </c>
      <c r="E22" s="13">
        <v>7137</v>
      </c>
      <c r="F22" s="14">
        <v>20168925582</v>
      </c>
      <c r="G22" s="15" t="str">
        <f>IFERROR(IF('Jun-22'!$F22="","-",VLOOKUP('Jun-22'!$F22,Lista_CUIT!$A$1:$D$1871,2,0)),"CUIT NO CARGADO")</f>
        <v>OXIGENO DORREGO</v>
      </c>
      <c r="H22" s="16">
        <v>12600</v>
      </c>
      <c r="I22" s="116">
        <f>IF('Jun-22'!$H22="","",'Jun-22'!$H22*0.21)</f>
        <v>2646</v>
      </c>
      <c r="J22" s="23"/>
      <c r="K22" s="23"/>
      <c r="L22" s="23"/>
      <c r="M22" s="23"/>
      <c r="N22" s="23"/>
      <c r="O22" s="23"/>
      <c r="P22" s="20">
        <f>SUM('Jun-22'!$H22:$O22)</f>
        <v>15246</v>
      </c>
      <c r="Q22" s="21" t="str">
        <f>IFERROR(IF('Jun-22'!$F22="","-",VLOOKUP('Jun-22'!$F22,Lista_CUIT!$A$1:$D$1871,3,0)),"CUIT NO CARGADO")</f>
        <v>Gastos Varios</v>
      </c>
      <c r="R22" s="21">
        <f>IFERROR(IF('Jun-22'!$F22="","-",VLOOKUP('Jun-22'!$F22,Lista_CUIT!$A$1:$D$1871,4,0)),"CUIT NO CARGADO")</f>
        <v>0</v>
      </c>
    </row>
    <row r="23" spans="2:18" ht="18" customHeight="1" x14ac:dyDescent="0.25">
      <c r="B23" s="10">
        <v>44718</v>
      </c>
      <c r="C23" s="11">
        <v>1</v>
      </c>
      <c r="D23" s="12">
        <v>4</v>
      </c>
      <c r="E23" s="13">
        <v>86493</v>
      </c>
      <c r="F23" s="14">
        <v>30559932236</v>
      </c>
      <c r="G23" s="15" t="str">
        <f>IFERROR(IF('Jun-22'!$F23="","-",VLOOKUP('Jun-22'!$F23,Lista_CUIT!$A$1:$D$1871,2,0)),"CUIT NO CARGADO")</f>
        <v>ELECTRONICA ELEMON SA</v>
      </c>
      <c r="H23" s="16">
        <v>61271.519999999997</v>
      </c>
      <c r="I23" s="116">
        <f>IF('Jun-22'!$H23="","",'Jun-22'!$H23*0.21)</f>
        <v>12867.019199999999</v>
      </c>
      <c r="J23" s="23"/>
      <c r="K23" s="23"/>
      <c r="L23" s="23"/>
      <c r="M23" s="23"/>
      <c r="N23" s="23"/>
      <c r="O23" s="23"/>
      <c r="P23" s="20">
        <f>SUM('Jun-22'!$H23:$O23)</f>
        <v>74138.539199999999</v>
      </c>
      <c r="Q23" s="21" t="str">
        <f>IFERROR(IF('Jun-22'!$F23="","-",VLOOKUP('Jun-22'!$F23,Lista_CUIT!$A$1:$D$1871,3,0)),"CUIT NO CARGADO")</f>
        <v>MAT. PRIM.</v>
      </c>
      <c r="R23" s="21">
        <f>IFERROR(IF('Jun-22'!$F23="","-",VLOOKUP('Jun-22'!$F23,Lista_CUIT!$A$1:$D$1871,4,0)),"CUIT NO CARGADO")</f>
        <v>0</v>
      </c>
    </row>
    <row r="24" spans="2:18" ht="18" customHeight="1" x14ac:dyDescent="0.25">
      <c r="B24" s="10">
        <v>44719</v>
      </c>
      <c r="C24" s="11">
        <v>1</v>
      </c>
      <c r="D24" s="12">
        <v>8</v>
      </c>
      <c r="E24" s="13">
        <v>33893</v>
      </c>
      <c r="F24" s="14">
        <v>30655921644</v>
      </c>
      <c r="G24" s="15" t="str">
        <f>IFERROR(IF('Jun-22'!$F24="","-",VLOOKUP('Jun-22'!$F24,Lista_CUIT!$A$1:$D$1871,2,0)),"CUIT NO CARGADO")</f>
        <v>ELECTROCITY</v>
      </c>
      <c r="H24" s="16">
        <v>3932.23</v>
      </c>
      <c r="I24" s="116">
        <f>IF('Jun-22'!$H24="","",'Jun-22'!$H24*0.21)</f>
        <v>825.76829999999995</v>
      </c>
      <c r="J24" s="23"/>
      <c r="K24" s="23"/>
      <c r="L24" s="23"/>
      <c r="M24" s="23"/>
      <c r="N24" s="23"/>
      <c r="O24" s="23"/>
      <c r="P24" s="20">
        <f>SUM('Jun-22'!$H24:$O24)</f>
        <v>4757.9983000000002</v>
      </c>
      <c r="Q24" s="21" t="str">
        <f>IFERROR(IF('Jun-22'!$F24="","-",VLOOKUP('Jun-22'!$F24,Lista_CUIT!$A$1:$D$1871,3,0)),"CUIT NO CARGADO")</f>
        <v>MAT. PRIM.</v>
      </c>
      <c r="R24" s="21">
        <f>IFERROR(IF('Jun-22'!$F24="","-",VLOOKUP('Jun-22'!$F24,Lista_CUIT!$A$1:$D$1871,4,0)),"CUIT NO CARGADO")</f>
        <v>0</v>
      </c>
    </row>
    <row r="25" spans="2:18" ht="18" customHeight="1" x14ac:dyDescent="0.25">
      <c r="B25" s="10">
        <v>44720</v>
      </c>
      <c r="C25" s="11">
        <v>1</v>
      </c>
      <c r="D25" s="12">
        <v>2</v>
      </c>
      <c r="E25" s="13">
        <v>768</v>
      </c>
      <c r="F25" s="14">
        <v>30500805222</v>
      </c>
      <c r="G25" s="15" t="str">
        <f>IFERROR(IF('Jun-22'!$F25="","-",VLOOKUP('Jun-22'!$F25,Lista_CUIT!$A$1:$D$1871,2,0)),"CUIT NO CARGADO")</f>
        <v>KAVCIC SRL</v>
      </c>
      <c r="H25" s="16">
        <v>40260</v>
      </c>
      <c r="I25" s="116">
        <f>IF('Jun-22'!$H25="","",'Jun-22'!$H25*0.21)</f>
        <v>8454.6</v>
      </c>
      <c r="J25" s="23"/>
      <c r="K25" s="23"/>
      <c r="L25" s="23"/>
      <c r="M25" s="23"/>
      <c r="N25" s="23"/>
      <c r="O25" s="23"/>
      <c r="P25" s="20">
        <f>SUM('Jun-22'!$H25:$O25)</f>
        <v>48714.6</v>
      </c>
      <c r="Q25" s="21" t="str">
        <f>IFERROR(IF('Jun-22'!$F25="","-",VLOOKUP('Jun-22'!$F25,Lista_CUIT!$A$1:$D$1871,3,0)),"CUIT NO CARGADO")</f>
        <v>INSUMO</v>
      </c>
      <c r="R25" s="21">
        <f>IFERROR(IF('Jun-22'!$F25="","-",VLOOKUP('Jun-22'!$F25,Lista_CUIT!$A$1:$D$1871,4,0)),"CUIT NO CARGADO")</f>
        <v>0</v>
      </c>
    </row>
    <row r="26" spans="2:18" ht="18" customHeight="1" x14ac:dyDescent="0.25">
      <c r="B26" s="10">
        <v>44722</v>
      </c>
      <c r="C26" s="11">
        <v>1</v>
      </c>
      <c r="D26" s="12">
        <v>3</v>
      </c>
      <c r="E26" s="13">
        <v>6710</v>
      </c>
      <c r="F26" s="14">
        <v>30710212127</v>
      </c>
      <c r="G26" s="15" t="str">
        <f>IFERROR(IF('Jun-22'!$F26="","-",VLOOKUP('Jun-22'!$F26,Lista_CUIT!$A$1:$D$1871,2,0)),"CUIT NO CARGADO")</f>
        <v>COMPONENTES ELECTRICOS SA</v>
      </c>
      <c r="H26" s="16">
        <v>827068.98</v>
      </c>
      <c r="I26" s="116">
        <f>IF('Jun-22'!$H26="","",'Jun-22'!$H26*0.21)</f>
        <v>173684.48579999999</v>
      </c>
      <c r="J26" s="23"/>
      <c r="K26" s="23"/>
      <c r="L26" s="23"/>
      <c r="M26" s="23"/>
      <c r="N26" s="23"/>
      <c r="O26" s="23"/>
      <c r="P26" s="20">
        <f>SUM('Jun-22'!$H26:$O26)</f>
        <v>1000753.4658</v>
      </c>
      <c r="Q26" s="21" t="str">
        <f>IFERROR(IF('Jun-22'!$F26="","-",VLOOKUP('Jun-22'!$F26,Lista_CUIT!$A$1:$D$1871,3,0)),"CUIT NO CARGADO")</f>
        <v>INSUMO</v>
      </c>
      <c r="R26" s="21">
        <f>IFERROR(IF('Jun-22'!$F26="","-",VLOOKUP('Jun-22'!$F26,Lista_CUIT!$A$1:$D$1871,4,0)),"CUIT NO CARGADO")</f>
        <v>0</v>
      </c>
    </row>
    <row r="27" spans="2:18" ht="18" customHeight="1" x14ac:dyDescent="0.25">
      <c r="B27" s="10">
        <v>44715</v>
      </c>
      <c r="C27" s="11">
        <v>1</v>
      </c>
      <c r="D27" s="12">
        <v>3</v>
      </c>
      <c r="E27" s="13">
        <v>7457</v>
      </c>
      <c r="F27" s="14">
        <v>30715864262</v>
      </c>
      <c r="G27" s="15" t="str">
        <f>IFERROR(IF('Jun-22'!$F27="","-",VLOOKUP('Jun-22'!$F27,Lista_CUIT!$A$1:$D$1871,2,0)),"CUIT NO CARGADO")</f>
        <v>ACPLIND - FELDMAN SH</v>
      </c>
      <c r="H27" s="16">
        <v>18414</v>
      </c>
      <c r="I27" s="116">
        <f>IF('Jun-22'!$H27="","",'Jun-22'!$H27*0.21)</f>
        <v>3866.94</v>
      </c>
      <c r="J27" s="23"/>
      <c r="K27" s="23"/>
      <c r="L27" s="23"/>
      <c r="M27" s="23"/>
      <c r="N27" s="23"/>
      <c r="O27" s="23"/>
      <c r="P27" s="20">
        <f>SUM('Jun-22'!$H27:$O27)</f>
        <v>22280.94</v>
      </c>
      <c r="Q27" s="21" t="str">
        <f>IFERROR(IF('Jun-22'!$F27="","-",VLOOKUP('Jun-22'!$F27,Lista_CUIT!$A$1:$D$1871,3,0)),"CUIT NO CARGADO")</f>
        <v>MAT. PRIM.</v>
      </c>
      <c r="R27" s="21">
        <f>IFERROR(IF('Jun-22'!$F27="","-",VLOOKUP('Jun-22'!$F27,Lista_CUIT!$A$1:$D$1871,4,0)),"CUIT NO CARGADO")</f>
        <v>0</v>
      </c>
    </row>
    <row r="28" spans="2:18" ht="18" customHeight="1" x14ac:dyDescent="0.25">
      <c r="B28" s="10">
        <v>44713</v>
      </c>
      <c r="C28" s="11">
        <v>1</v>
      </c>
      <c r="D28" s="12">
        <v>3</v>
      </c>
      <c r="E28" s="13">
        <v>158794</v>
      </c>
      <c r="F28" s="14">
        <v>30707135596</v>
      </c>
      <c r="G28" s="15" t="str">
        <f>IFERROR(IF('Jun-22'!$F28="","-",VLOOKUP('Jun-22'!$F28,Lista_CUIT!$A$1:$D$1871,2,0)),"CUIT NO CARGADO")</f>
        <v>CITILAN ARGENTINA SA</v>
      </c>
      <c r="H28" s="16">
        <v>2692.36</v>
      </c>
      <c r="I28" s="116">
        <f>IF('Jun-22'!$H28="","",'Jun-22'!$H28*0.21)</f>
        <v>565.39560000000006</v>
      </c>
      <c r="J28" s="23"/>
      <c r="K28" s="23"/>
      <c r="L28" s="23"/>
      <c r="M28" s="23"/>
      <c r="N28" s="23"/>
      <c r="O28" s="23"/>
      <c r="P28" s="20">
        <f>SUM('Jun-22'!$H28:$O28)</f>
        <v>3257.7556000000004</v>
      </c>
      <c r="Q28" s="21" t="str">
        <f>IFERROR(IF('Jun-22'!$F28="","-",VLOOKUP('Jun-22'!$F28,Lista_CUIT!$A$1:$D$1871,3,0)),"CUIT NO CARGADO")</f>
        <v>SERVICIOS GAS, LUZ, ETC</v>
      </c>
      <c r="R28" s="21">
        <f>IFERROR(IF('Jun-22'!$F28="","-",VLOOKUP('Jun-22'!$F28,Lista_CUIT!$A$1:$D$1871,4,0)),"CUIT NO CARGADO")</f>
        <v>0</v>
      </c>
    </row>
    <row r="29" spans="2:18" ht="18" customHeight="1" x14ac:dyDescent="0.25">
      <c r="B29" s="10">
        <v>44713</v>
      </c>
      <c r="C29" s="11">
        <v>1</v>
      </c>
      <c r="D29" s="12">
        <v>2</v>
      </c>
      <c r="E29" s="13">
        <v>133</v>
      </c>
      <c r="F29" s="14">
        <v>20125142851</v>
      </c>
      <c r="G29" s="15" t="str">
        <f>IFERROR(IF('Jun-22'!$F29="","-",VLOOKUP('Jun-22'!$F29,Lista_CUIT!$A$1:$D$1871,2,0)),"CUIT NO CARGADO")</f>
        <v>FEDERICI NICOLAS JOSE</v>
      </c>
      <c r="H29" s="16">
        <v>29575.8</v>
      </c>
      <c r="I29" s="116">
        <f>IF('Jun-22'!$H29="","",'Jun-22'!$H29*0.21)</f>
        <v>6210.9179999999997</v>
      </c>
      <c r="J29" s="23"/>
      <c r="K29" s="23"/>
      <c r="L29" s="23"/>
      <c r="M29" s="23"/>
      <c r="N29" s="23"/>
      <c r="O29" s="23"/>
      <c r="P29" s="20">
        <f>SUM('Jun-22'!$H29:$O29)</f>
        <v>35786.718000000001</v>
      </c>
      <c r="Q29" s="21" t="str">
        <f>IFERROR(IF('Jun-22'!$F29="","-",VLOOKUP('Jun-22'!$F29,Lista_CUIT!$A$1:$D$1871,3,0)),"CUIT NO CARGADO")</f>
        <v>INSUMO</v>
      </c>
      <c r="R29" s="21">
        <f>IFERROR(IF('Jun-22'!$F29="","-",VLOOKUP('Jun-22'!$F29,Lista_CUIT!$A$1:$D$1871,4,0)),"CUIT NO CARGADO")</f>
        <v>0</v>
      </c>
    </row>
    <row r="30" spans="2:18" ht="18" customHeight="1" x14ac:dyDescent="0.25">
      <c r="B30" s="10">
        <v>44713</v>
      </c>
      <c r="C30" s="11">
        <v>1</v>
      </c>
      <c r="D30" s="12">
        <v>2</v>
      </c>
      <c r="E30" s="13">
        <v>134</v>
      </c>
      <c r="F30" s="14">
        <v>20125142851</v>
      </c>
      <c r="G30" s="15" t="str">
        <f>IFERROR(IF('Jun-22'!$F30="","-",VLOOKUP('Jun-22'!$F30,Lista_CUIT!$A$1:$D$1871,2,0)),"CUIT NO CARGADO")</f>
        <v>FEDERICI NICOLAS JOSE</v>
      </c>
      <c r="H30" s="16">
        <v>34370.400000000001</v>
      </c>
      <c r="I30" s="116">
        <f>IF('Jun-22'!$H30="","",'Jun-22'!$H30*0.21)</f>
        <v>7217.7839999999997</v>
      </c>
      <c r="J30" s="23"/>
      <c r="K30" s="23"/>
      <c r="L30" s="23"/>
      <c r="M30" s="23"/>
      <c r="N30" s="23"/>
      <c r="O30" s="23"/>
      <c r="P30" s="20">
        <f>SUM('Jun-22'!$H30:$O30)</f>
        <v>41588.184000000001</v>
      </c>
      <c r="Q30" s="21" t="str">
        <f>IFERROR(IF('Jun-22'!$F30="","-",VLOOKUP('Jun-22'!$F30,Lista_CUIT!$A$1:$D$1871,3,0)),"CUIT NO CARGADO")</f>
        <v>INSUMO</v>
      </c>
      <c r="R30" s="21">
        <f>IFERROR(IF('Jun-22'!$F30="","-",VLOOKUP('Jun-22'!$F30,Lista_CUIT!$A$1:$D$1871,4,0)),"CUIT NO CARGADO")</f>
        <v>0</v>
      </c>
    </row>
    <row r="31" spans="2:18" ht="18" customHeight="1" x14ac:dyDescent="0.25">
      <c r="B31" s="10">
        <v>44742</v>
      </c>
      <c r="C31" s="11">
        <v>1</v>
      </c>
      <c r="D31" s="12">
        <v>4</v>
      </c>
      <c r="E31" s="13">
        <v>12591</v>
      </c>
      <c r="F31" s="14">
        <v>23113854499</v>
      </c>
      <c r="G31" s="15" t="str">
        <f>IFERROR(IF('Jun-22'!$F31="","-",VLOOKUP('Jun-22'!$F31,Lista_CUIT!$A$1:$D$1871,2,0)),"CUIT NO CARGADO")</f>
        <v>VAZQUEZ DANIEL OSCAR</v>
      </c>
      <c r="H31" s="16">
        <v>3801.65</v>
      </c>
      <c r="I31" s="116">
        <f>IF('Jun-22'!$H31="","",'Jun-22'!$H31*0.21)</f>
        <v>798.34649999999999</v>
      </c>
      <c r="J31" s="23"/>
      <c r="K31" s="23"/>
      <c r="L31" s="23"/>
      <c r="M31" s="23"/>
      <c r="N31" s="23"/>
      <c r="O31" s="23"/>
      <c r="P31" s="20">
        <f>SUM('Jun-22'!$H31:$O31)</f>
        <v>4599.9965000000002</v>
      </c>
      <c r="Q31" s="21" t="str">
        <f>IFERROR(IF('Jun-22'!$F31="","-",VLOOKUP('Jun-22'!$F31,Lista_CUIT!$A$1:$D$1871,3,0)),"CUIT NO CARGADO")</f>
        <v>INSUMO</v>
      </c>
      <c r="R31" s="21">
        <f>IFERROR(IF('Jun-22'!$F31="","-",VLOOKUP('Jun-22'!$F31,Lista_CUIT!$A$1:$D$1871,4,0)),"CUIT NO CARGADO")</f>
        <v>0</v>
      </c>
    </row>
    <row r="32" spans="2:18" ht="18" customHeight="1" x14ac:dyDescent="0.25">
      <c r="B32" s="10">
        <v>44741</v>
      </c>
      <c r="C32" s="11">
        <v>1</v>
      </c>
      <c r="D32" s="12">
        <v>280</v>
      </c>
      <c r="E32" s="13">
        <v>1375108</v>
      </c>
      <c r="F32" s="14">
        <v>30580111315</v>
      </c>
      <c r="G32" s="15" t="str">
        <f>IFERROR(IF('Jun-22'!$F32="","-",VLOOKUP('Jun-22'!$F32,Lista_CUIT!$A$1:$D$1871,2,0)),"CUIT NO CARGADO")</f>
        <v>DHL EXPRESS ARG SA</v>
      </c>
      <c r="H32" s="16">
        <v>398923.43</v>
      </c>
      <c r="I32" s="116">
        <v>786.68</v>
      </c>
      <c r="J32" s="23"/>
      <c r="K32" s="23">
        <v>41493.050000000003</v>
      </c>
      <c r="L32" s="23"/>
      <c r="M32" s="23"/>
      <c r="N32" s="23"/>
      <c r="O32" s="23">
        <v>-359252.24</v>
      </c>
      <c r="P32" s="20">
        <f>SUM('Jun-22'!$H32:$O32)</f>
        <v>81950.919999999984</v>
      </c>
      <c r="Q32" s="21" t="str">
        <f>IFERROR(IF('Jun-22'!$F32="","-",VLOOKUP('Jun-22'!$F32,Lista_CUIT!$A$1:$D$1871,3,0)),"CUIT NO CARGADO")</f>
        <v>GTOS IMP.</v>
      </c>
      <c r="R32" s="21">
        <f>IFERROR(IF('Jun-22'!$F32="","-",VLOOKUP('Jun-22'!$F32,Lista_CUIT!$A$1:$D$1871,4,0)),"CUIT NO CARGADO")</f>
        <v>0</v>
      </c>
    </row>
    <row r="33" spans="1:26" ht="15.75" customHeight="1" x14ac:dyDescent="0.25">
      <c r="B33" s="24">
        <v>44723</v>
      </c>
      <c r="C33" s="25">
        <v>1</v>
      </c>
      <c r="D33" s="26">
        <v>2466</v>
      </c>
      <c r="E33" s="27">
        <v>370888</v>
      </c>
      <c r="F33" s="28">
        <v>30678814357</v>
      </c>
      <c r="G33" s="29" t="str">
        <f>IFERROR(IF('Jun-22'!$F33="","-",VLOOKUP('Jun-22'!$F33,Lista_CUIT!$A$1:$D$1871,2,0)),"CUIT NO CARGADO")</f>
        <v>Telefonica Moviles Argentina SA</v>
      </c>
      <c r="H33" s="30">
        <v>2148.61</v>
      </c>
      <c r="I33" s="31"/>
      <c r="J33" s="31">
        <v>580.12470000000008</v>
      </c>
      <c r="K33" s="31"/>
      <c r="L33" s="31"/>
      <c r="M33" s="31">
        <v>64.459999999999994</v>
      </c>
      <c r="N33" s="31"/>
      <c r="O33" s="31">
        <v>104.58</v>
      </c>
      <c r="P33" s="32">
        <f>SUM('Jun-22'!$H33:$O33)</f>
        <v>2897.7746999999999</v>
      </c>
      <c r="Q33" s="33" t="str">
        <f>IFERROR(IF('Jun-22'!$F33="","-",VLOOKUP('Jun-22'!$F33,Lista_CUIT!$A$1:$D$1871,3,0)),"CUIT NO CARGADO")</f>
        <v>SERVICIOS GAS, LUZ, ETC</v>
      </c>
      <c r="R33" s="21">
        <f>IFERROR(IF('Jun-22'!$F33="","-",VLOOKUP('Jun-22'!$F33,Lista_CUIT!$A$1:$D$1871,4,0)),"CUIT NO CARGADO")</f>
        <v>0</v>
      </c>
    </row>
    <row r="34" spans="1:26" ht="15.75" customHeight="1" x14ac:dyDescent="0.25">
      <c r="B34" s="24">
        <v>44729</v>
      </c>
      <c r="C34" s="25">
        <v>1</v>
      </c>
      <c r="D34" s="26">
        <v>30</v>
      </c>
      <c r="E34" s="27">
        <v>4666</v>
      </c>
      <c r="F34" s="28">
        <v>20217293791</v>
      </c>
      <c r="G34" s="29" t="str">
        <f>IFERROR(IF('Jun-22'!$F34="","-",VLOOKUP('Jun-22'!$F34,Lista_CUIT!$A$1:$D$1871,2,0)),"CUIT NO CARGADO")</f>
        <v>VELASCO LEIVA DEMIAN</v>
      </c>
      <c r="H34" s="30">
        <v>8719.01</v>
      </c>
      <c r="I34" s="31">
        <f>IF('Jun-22'!$H34="","",'Jun-22'!$H34*0.21)</f>
        <v>1830.9920999999999</v>
      </c>
      <c r="J34" s="31"/>
      <c r="K34" s="31"/>
      <c r="L34" s="31"/>
      <c r="M34" s="31"/>
      <c r="N34" s="31"/>
      <c r="O34" s="31"/>
      <c r="P34" s="32">
        <f>SUM('Jun-22'!$H34:$O34)</f>
        <v>10550.0021</v>
      </c>
      <c r="Q34" s="33" t="str">
        <f>IFERROR(IF('Jun-22'!$F34="","-",VLOOKUP('Jun-22'!$F34,Lista_CUIT!$A$1:$D$1871,3,0)),"CUIT NO CARGADO")</f>
        <v>Gastos Varios</v>
      </c>
      <c r="R34" s="21">
        <f>IFERROR(IF('Jun-22'!$F34="","-",VLOOKUP('Jun-22'!$F34,Lista_CUIT!$A$1:$D$1871,4,0)),"CUIT NO CARGADO")</f>
        <v>0</v>
      </c>
    </row>
    <row r="35" spans="1:26" ht="15.75" customHeight="1" x14ac:dyDescent="0.25">
      <c r="B35" s="24">
        <v>44736</v>
      </c>
      <c r="C35" s="25">
        <v>1</v>
      </c>
      <c r="D35" s="26">
        <v>1</v>
      </c>
      <c r="E35" s="27">
        <v>466</v>
      </c>
      <c r="F35" s="28">
        <v>30715048066</v>
      </c>
      <c r="G35" s="29" t="str">
        <f>IFERROR(IF('Jun-22'!$F35="","-",VLOOKUP('Jun-22'!$F35,Lista_CUIT!$A$1:$D$1871,2,0)),"CUIT NO CARGADO")</f>
        <v>ROLLS Y EMPANADAS SA</v>
      </c>
      <c r="H35" s="30">
        <v>81105</v>
      </c>
      <c r="I35" s="31">
        <f>IF('Jun-22'!$H35="","",'Jun-22'!$H35*0.21)</f>
        <v>17032.05</v>
      </c>
      <c r="J35" s="31"/>
      <c r="K35" s="31"/>
      <c r="L35" s="31"/>
      <c r="M35" s="31"/>
      <c r="N35" s="31"/>
      <c r="O35" s="31"/>
      <c r="P35" s="32">
        <f>SUM('Jun-22'!$H35:$O35)</f>
        <v>98137.05</v>
      </c>
      <c r="Q35" s="33" t="str">
        <f>IFERROR(IF('Jun-22'!$F35="","-",VLOOKUP('Jun-22'!$F35,Lista_CUIT!$A$1:$D$1871,3,0)),"CUIT NO CARGADO")</f>
        <v>CATERING</v>
      </c>
      <c r="R35" s="21">
        <f>IFERROR(IF('Jun-22'!$F35="","-",VLOOKUP('Jun-22'!$F35,Lista_CUIT!$A$1:$D$1871,4,0)),"CUIT NO CARGADO")</f>
        <v>0</v>
      </c>
    </row>
    <row r="36" spans="1:26" ht="15.75" customHeight="1" x14ac:dyDescent="0.25">
      <c r="B36" s="24">
        <v>44738</v>
      </c>
      <c r="C36" s="25">
        <v>1</v>
      </c>
      <c r="D36" s="26">
        <v>3</v>
      </c>
      <c r="E36" s="27">
        <v>939183</v>
      </c>
      <c r="F36" s="28">
        <v>30712019359</v>
      </c>
      <c r="G36" s="29" t="str">
        <f>IFERROR(IF('Jun-22'!$F36="","-",VLOOKUP('Jun-22'!$F36,Lista_CUIT!$A$1:$D$1871,2,0)),"CUIT NO CARGADO")</f>
        <v>LINKEDSTORE ARGENTINA S.R.L.</v>
      </c>
      <c r="H36" s="30">
        <v>2478.5100000000002</v>
      </c>
      <c r="I36" s="31">
        <f>IF('Jun-22'!$H36="","",'Jun-22'!$H36*0.21)</f>
        <v>520.48710000000005</v>
      </c>
      <c r="J36" s="31"/>
      <c r="K36" s="31"/>
      <c r="L36" s="31"/>
      <c r="M36" s="31"/>
      <c r="N36" s="31"/>
      <c r="O36" s="31"/>
      <c r="P36" s="32">
        <f>SUM('Jun-22'!$H36:$O36)</f>
        <v>2998.9971000000005</v>
      </c>
      <c r="Q36" s="33" t="str">
        <f>IFERROR(IF('Jun-22'!$F36="","-",VLOOKUP('Jun-22'!$F36,Lista_CUIT!$A$1:$D$1871,3,0)),"CUIT NO CARGADO")</f>
        <v>Gastos Varios</v>
      </c>
      <c r="R36" s="21">
        <f>IFERROR(IF('Jun-22'!$F36="","-",VLOOKUP('Jun-22'!$F36,Lista_CUIT!$A$1:$D$1871,4,0)),"CUIT NO CARGADO")</f>
        <v>0</v>
      </c>
    </row>
    <row r="37" spans="1:26" ht="15.75" customHeight="1" x14ac:dyDescent="0.25">
      <c r="B37" s="10">
        <v>44741</v>
      </c>
      <c r="C37" s="11">
        <v>1</v>
      </c>
      <c r="D37" s="12">
        <v>5</v>
      </c>
      <c r="E37" s="13">
        <v>630</v>
      </c>
      <c r="F37" s="14">
        <v>30707397256</v>
      </c>
      <c r="G37" s="15" t="str">
        <f>IFERROR(IF('Jun-22'!$F37="","-",VLOOKUP('Jun-22'!$F37,Lista_CUIT!$A$1:$D$1871,2,0)),"CUIT NO CARGADO")</f>
        <v>GRAFICA Y FOTOGRABADOS LA PLAZA SRL</v>
      </c>
      <c r="H37" s="16">
        <v>377201.4</v>
      </c>
      <c r="I37" s="23">
        <f>IF('Jun-22'!$H37="","",'Jun-22'!$H37*0.21)</f>
        <v>79212.294000000009</v>
      </c>
      <c r="J37" s="23"/>
      <c r="K37" s="23"/>
      <c r="L37" s="23"/>
      <c r="M37" s="23"/>
      <c r="N37" s="23"/>
      <c r="O37" s="23"/>
      <c r="P37" s="20">
        <f>SUM('Jun-22'!$H37:$O37)</f>
        <v>456413.69400000002</v>
      </c>
      <c r="Q37" s="21" t="str">
        <f>IFERROR(IF('Jun-22'!$F37="","-",VLOOKUP('Jun-22'!$F37,Lista_CUIT!$A$1:$D$1871,3,0)),"CUIT NO CARGADO")</f>
        <v>Fotograbados</v>
      </c>
      <c r="R37" s="21">
        <f>IFERROR(IF('Jun-22'!$F37="","-",VLOOKUP('Jun-22'!$F37,Lista_CUIT!$A$1:$D$1871,4,0)),"CUIT NO CARGADO")</f>
        <v>0</v>
      </c>
    </row>
    <row r="38" spans="1:26" ht="15.75" customHeight="1" x14ac:dyDescent="0.25">
      <c r="B38" s="24">
        <v>44741</v>
      </c>
      <c r="C38" s="25">
        <v>1</v>
      </c>
      <c r="D38" s="26">
        <v>1</v>
      </c>
      <c r="E38" s="27">
        <v>28187</v>
      </c>
      <c r="F38" s="28">
        <v>27332519633</v>
      </c>
      <c r="G38" s="29" t="str">
        <f>IFERROR(IF('Jun-22'!$F38="","-",VLOOKUP('Jun-22'!$F38,Lista_CUIT!$A$1:$D$1871,2,0)),"CUIT NO CARGADO")</f>
        <v>BOJORGE ROMINA VALERIA</v>
      </c>
      <c r="H38" s="30">
        <v>2209.92</v>
      </c>
      <c r="I38" s="31">
        <f>IF('Jun-22'!$H38="","",'Jun-22'!$H38*0.21)</f>
        <v>464.08319999999998</v>
      </c>
      <c r="J38" s="31"/>
      <c r="K38" s="31"/>
      <c r="L38" s="31"/>
      <c r="M38" s="31"/>
      <c r="N38" s="31"/>
      <c r="O38" s="31"/>
      <c r="P38" s="32">
        <f>SUM('Jun-22'!$H38:$O38)</f>
        <v>2674.0032000000001</v>
      </c>
      <c r="Q38" s="33" t="str">
        <f>IFERROR(IF('Jun-22'!$F38="","-",VLOOKUP('Jun-22'!$F38,Lista_CUIT!$A$1:$D$1871,3,0)),"CUIT NO CARGADO")</f>
        <v>Gastos Oficina</v>
      </c>
      <c r="R38" s="21">
        <f>IFERROR(IF('Jun-22'!$F38="","-",VLOOKUP('Jun-22'!$F38,Lista_CUIT!$A$1:$D$1871,4,0)),"CUIT NO CARGADO")</f>
        <v>0</v>
      </c>
    </row>
    <row r="39" spans="1:26" ht="15.75" customHeight="1" x14ac:dyDescent="0.25">
      <c r="B39" s="21" t="s">
        <v>1546</v>
      </c>
      <c r="C39" s="21"/>
      <c r="D39" s="21"/>
      <c r="E39" s="21"/>
      <c r="F39" s="21"/>
      <c r="G39" s="15"/>
      <c r="H39" s="16">
        <f>SUBTOTAL(109,'Jun-22'!$H$9:$H$38)</f>
        <v>2944492.8079999993</v>
      </c>
      <c r="I39" s="16">
        <f>SUBTOTAL(109,'Jun-22'!$I$9:$I$38)</f>
        <v>530084.68027999997</v>
      </c>
      <c r="J39" s="16">
        <f>SUBTOTAL(109,'Jun-22'!$J$9:$J$38)</f>
        <v>580.12470000000008</v>
      </c>
      <c r="K39" s="16">
        <f>SUBTOTAL(109,'Jun-22'!$K$9:$K$38)</f>
        <v>43903.230500000005</v>
      </c>
      <c r="L39" s="16">
        <f>SUBTOTAL(109,'Jun-22'!$L$9:$L$38)</f>
        <v>0</v>
      </c>
      <c r="M39" s="16">
        <f>SUBTOTAL(109,'Jun-22'!$M$9:$M$38)</f>
        <v>64.459999999999994</v>
      </c>
      <c r="N39" s="16">
        <f>SUBTOTAL(109,'Jun-22'!$N$9:$N$38)</f>
        <v>0</v>
      </c>
      <c r="O39" s="16">
        <f>SUBTOTAL(109,'Jun-22'!$O$9:$O$38)</f>
        <v>-359147.66</v>
      </c>
      <c r="P39" s="16">
        <f>SUBTOTAL(109,'Jun-22'!$P$9:$P$38)</f>
        <v>3159977.6434799996</v>
      </c>
      <c r="Q39" s="21"/>
      <c r="R39" s="21"/>
    </row>
    <row r="40" spans="1:26" ht="15.75" customHeight="1" x14ac:dyDescent="0.25">
      <c r="B40" s="10"/>
      <c r="C40" s="11"/>
      <c r="D40" s="12"/>
      <c r="E40" s="13"/>
      <c r="F40" s="14"/>
      <c r="G40" s="15"/>
      <c r="H40" s="16"/>
      <c r="I40" s="17"/>
      <c r="J40" s="17"/>
      <c r="K40" s="17"/>
      <c r="L40" s="17"/>
      <c r="M40" s="17"/>
      <c r="N40" s="17"/>
      <c r="O40" s="17"/>
      <c r="P40" s="20"/>
      <c r="Q40" s="21"/>
      <c r="R40" s="21"/>
    </row>
    <row r="41" spans="1:26" ht="15.75" customHeight="1" x14ac:dyDescent="0.25">
      <c r="B41" s="10"/>
      <c r="C41" s="11"/>
      <c r="D41" s="12"/>
      <c r="E41" s="13"/>
      <c r="F41" s="14"/>
      <c r="G41" s="15"/>
      <c r="H41" s="16"/>
      <c r="I41" s="17"/>
      <c r="J41" s="17"/>
      <c r="K41" s="17"/>
      <c r="L41" s="17"/>
      <c r="M41" s="17"/>
      <c r="N41" s="17"/>
      <c r="O41" s="17"/>
      <c r="P41" s="20"/>
      <c r="Q41" s="21"/>
      <c r="R41" s="21"/>
    </row>
    <row r="42" spans="1:26" ht="15.75" customHeight="1" x14ac:dyDescent="0.25">
      <c r="B42" s="10"/>
      <c r="C42" s="11"/>
      <c r="D42" s="12"/>
      <c r="E42" s="13"/>
      <c r="F42" s="14"/>
      <c r="G42" s="15"/>
      <c r="H42" s="16"/>
      <c r="I42" s="17"/>
      <c r="J42" s="17"/>
      <c r="K42" s="17"/>
      <c r="L42" s="17"/>
      <c r="M42" s="17"/>
      <c r="N42" s="17"/>
      <c r="O42" s="17"/>
      <c r="P42" s="20"/>
      <c r="Q42" s="21"/>
      <c r="R42" s="21"/>
    </row>
    <row r="43" spans="1:26" ht="18" customHeight="1" x14ac:dyDescent="0.25">
      <c r="A43" s="50"/>
      <c r="B43" s="10"/>
      <c r="C43" s="11"/>
      <c r="D43" s="12"/>
      <c r="E43" s="13"/>
      <c r="F43" s="14"/>
      <c r="G43" s="15"/>
      <c r="H43" s="16"/>
      <c r="I43" s="17"/>
      <c r="J43" s="17"/>
      <c r="K43" s="17"/>
      <c r="L43" s="17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x14ac:dyDescent="0.25">
      <c r="D44" s="359" t="s">
        <v>1547</v>
      </c>
      <c r="E44" s="351"/>
      <c r="F44" s="351"/>
      <c r="G44" s="351"/>
      <c r="H44" s="351"/>
      <c r="I44" s="351"/>
      <c r="J44" s="351"/>
      <c r="K44" s="351"/>
      <c r="L44" s="352"/>
    </row>
    <row r="45" spans="1:26" ht="15.75" customHeight="1" x14ac:dyDescent="0.25">
      <c r="D45" s="36" t="s">
        <v>1532</v>
      </c>
      <c r="E45" s="37" t="s">
        <v>1548</v>
      </c>
      <c r="F45" s="37" t="s">
        <v>1549</v>
      </c>
      <c r="G45" s="37" t="s">
        <v>1550</v>
      </c>
      <c r="H45" s="37" t="s">
        <v>1551</v>
      </c>
      <c r="I45" s="37" t="s">
        <v>1539</v>
      </c>
      <c r="J45" s="38" t="s">
        <v>1552</v>
      </c>
      <c r="K45" s="38" t="s">
        <v>1553</v>
      </c>
      <c r="L45" s="39" t="s">
        <v>1554</v>
      </c>
    </row>
    <row r="46" spans="1:26" ht="15.75" customHeight="1" x14ac:dyDescent="0.25">
      <c r="D46" s="10"/>
      <c r="E46" s="99"/>
      <c r="F46" s="98" t="s">
        <v>1555</v>
      </c>
      <c r="G46" s="42">
        <v>1912</v>
      </c>
      <c r="H46" s="42">
        <v>401.52</v>
      </c>
      <c r="I46" s="42"/>
      <c r="J46" s="42"/>
      <c r="K46" s="42"/>
      <c r="L46" s="42"/>
    </row>
    <row r="47" spans="1:26" ht="15.75" customHeight="1" x14ac:dyDescent="0.25">
      <c r="D47" s="10"/>
      <c r="E47" s="99"/>
      <c r="F47" s="98" t="s">
        <v>1556</v>
      </c>
      <c r="G47" s="42"/>
      <c r="H47" s="42">
        <v>0</v>
      </c>
      <c r="I47" s="42"/>
      <c r="J47" s="42"/>
      <c r="K47" s="42"/>
      <c r="L47" s="42"/>
    </row>
    <row r="48" spans="1:26" ht="15.75" customHeight="1" x14ac:dyDescent="0.25">
      <c r="D48" s="10"/>
      <c r="E48" s="99"/>
      <c r="F48" s="98" t="s">
        <v>1589</v>
      </c>
      <c r="G48" s="42"/>
      <c r="H48" s="42">
        <v>0</v>
      </c>
      <c r="I48" s="42"/>
      <c r="J48" s="42"/>
      <c r="K48" s="42"/>
      <c r="L48" s="42"/>
    </row>
    <row r="49" spans="4:12" ht="15.75" customHeight="1" x14ac:dyDescent="0.25">
      <c r="D49" s="10"/>
      <c r="E49" s="98"/>
      <c r="F49" s="43" t="s">
        <v>1559</v>
      </c>
      <c r="G49" s="42">
        <v>80</v>
      </c>
      <c r="H49" s="42">
        <v>16.8</v>
      </c>
      <c r="I49" s="42"/>
      <c r="J49" s="42"/>
      <c r="K49" s="42"/>
      <c r="L49" s="42"/>
    </row>
    <row r="50" spans="4:12" ht="15.75" customHeight="1" x14ac:dyDescent="0.25">
      <c r="D50" s="10"/>
      <c r="E50" s="98"/>
      <c r="F50" s="43" t="s">
        <v>1590</v>
      </c>
      <c r="G50" s="42"/>
      <c r="H50" s="42"/>
      <c r="I50" s="42"/>
      <c r="J50" s="42"/>
      <c r="K50" s="42"/>
      <c r="L50" s="42"/>
    </row>
    <row r="51" spans="4:12" ht="15.75" customHeight="1" x14ac:dyDescent="0.25">
      <c r="D51" s="10"/>
      <c r="E51" s="98"/>
      <c r="F51" s="43"/>
      <c r="G51" s="42"/>
      <c r="H51" s="42"/>
      <c r="I51" s="42"/>
      <c r="J51" s="42"/>
      <c r="K51" s="42"/>
      <c r="L51" s="42"/>
    </row>
    <row r="52" spans="4:12" ht="15.75" customHeight="1" x14ac:dyDescent="0.25">
      <c r="D52" s="21" t="s">
        <v>1546</v>
      </c>
      <c r="E52" s="43"/>
      <c r="F52" s="43"/>
      <c r="G52" s="42">
        <f>SUBTOTAL(109,'Jun-22'!$G$46:$G$51)</f>
        <v>1992</v>
      </c>
      <c r="H52" s="42">
        <f>SUBTOTAL(109,'Jun-22'!$H$46:$H$51)</f>
        <v>418.32</v>
      </c>
      <c r="I52" s="42">
        <f>SUBTOTAL(109,'Jun-22'!$I$46:$I$51)</f>
        <v>0</v>
      </c>
      <c r="J52" s="42">
        <f>SUBTOTAL(109,'Jun-22'!$J$46:$J$51)</f>
        <v>0</v>
      </c>
      <c r="K52" s="42">
        <f>SUBTOTAL(109,'Jun-22'!$K$46:$K$51)</f>
        <v>0</v>
      </c>
      <c r="L52" s="42">
        <f>SUBTOTAL(109,'Jun-22'!$L$46:$L$51)</f>
        <v>0</v>
      </c>
    </row>
    <row r="53" spans="4:12" ht="22.5" customHeight="1" x14ac:dyDescent="0.25"/>
    <row r="54" spans="4:12" ht="15.75" customHeight="1" x14ac:dyDescent="0.25"/>
    <row r="55" spans="4:12" ht="18" customHeight="1" x14ac:dyDescent="0.25"/>
    <row r="56" spans="4:12" ht="15.75" customHeight="1" x14ac:dyDescent="0.25">
      <c r="D56" s="359" t="s">
        <v>1560</v>
      </c>
      <c r="E56" s="351"/>
      <c r="F56" s="351"/>
      <c r="G56" s="351"/>
      <c r="H56" s="351"/>
      <c r="I56" s="351"/>
      <c r="J56" s="351"/>
      <c r="K56" s="352"/>
    </row>
    <row r="57" spans="4:12" ht="15.75" customHeight="1" x14ac:dyDescent="0.25">
      <c r="D57" s="44" t="s">
        <v>1532</v>
      </c>
      <c r="E57" s="44" t="s">
        <v>1534</v>
      </c>
      <c r="F57" s="44" t="s">
        <v>1561</v>
      </c>
      <c r="G57" s="44" t="s">
        <v>0</v>
      </c>
      <c r="H57" s="44" t="s">
        <v>1</v>
      </c>
      <c r="I57" s="45" t="s">
        <v>1544</v>
      </c>
      <c r="J57" s="44" t="s">
        <v>1562</v>
      </c>
      <c r="K57" s="44" t="s">
        <v>1545</v>
      </c>
    </row>
    <row r="58" spans="4:12" ht="15.75" customHeight="1" x14ac:dyDescent="0.25">
      <c r="D58" s="55">
        <v>44742</v>
      </c>
      <c r="E58" s="55">
        <v>2</v>
      </c>
      <c r="F58" s="55">
        <v>111</v>
      </c>
      <c r="G58" s="56">
        <v>20136544625</v>
      </c>
      <c r="H58" s="46" t="str">
        <f>IFERROR(IF('Jun-22'!$G58="","-",VLOOKUP('Jun-22'!$G58,Lista_CUIT!$A$1:$D$1871,2,0)),"CUIT NO CARGADO")</f>
        <v>RODRIGUEZ DE LA FUEN HECTOR MARCELO</v>
      </c>
      <c r="I58" s="49">
        <v>140000</v>
      </c>
      <c r="J58" s="47" t="str">
        <f>IFERROR(IF('Jun-22'!$G58="","-",VLOOKUP('Jun-22'!$G58,Lista_CUIT!$A$1:$D$1871,3,0)),"CUIT NO CARGADO")</f>
        <v>Honorarios Administrativos-Cobranzas y Gestion Clientes</v>
      </c>
      <c r="K58" s="47">
        <f>IFERROR(IF('Jun-22'!$G58="","-",VLOOKUP('Jun-22'!$G58,Lista_CUIT!$A$1:$D$1871,4,0)),"CUIT NO CARGADO")</f>
        <v>0</v>
      </c>
    </row>
    <row r="59" spans="4:12" ht="15.75" customHeight="1" x14ac:dyDescent="0.25">
      <c r="D59" s="55">
        <v>44734</v>
      </c>
      <c r="E59" s="55">
        <v>4</v>
      </c>
      <c r="F59" s="55">
        <v>2</v>
      </c>
      <c r="G59" s="56">
        <v>20341462933</v>
      </c>
      <c r="H59" s="46" t="str">
        <f>IFERROR(IF('Jun-22'!$G59="","-",VLOOKUP('Jun-22'!$G59,Lista_CUIT!$A$1:$D$1871,2,0)),"CUIT NO CARGADO")</f>
        <v>CASTIGLIONI MATIAS EZEQUIEL</v>
      </c>
      <c r="I59" s="49">
        <v>100000</v>
      </c>
      <c r="J59" s="47" t="str">
        <f>IFERROR(IF('Jun-22'!$G59="","-",VLOOKUP('Jun-22'!$G59,Lista_CUIT!$A$1:$D$1871,3,0)),"CUIT NO CARGADO")</f>
        <v>MAT. PRIM.</v>
      </c>
      <c r="K59" s="47">
        <f>IFERROR(IF('Jun-22'!$G59="","-",VLOOKUP('Jun-22'!$G59,Lista_CUIT!$A$1:$D$1871,4,0)),"CUIT NO CARGADO")</f>
        <v>0</v>
      </c>
    </row>
    <row r="60" spans="4:12" ht="15.75" customHeight="1" x14ac:dyDescent="0.25">
      <c r="D60" s="55">
        <v>44726</v>
      </c>
      <c r="E60" s="55">
        <v>3</v>
      </c>
      <c r="F60" s="55">
        <v>578</v>
      </c>
      <c r="G60" s="56">
        <v>20086277523</v>
      </c>
      <c r="H60" s="46" t="str">
        <f>IFERROR(IF('Jun-22'!$G60="","-",VLOOKUP('Jun-22'!$G60,Lista_CUIT!$A$1:$D$1871,2,0)),"CUIT NO CARGADO")</f>
        <v>JUAN CARLOS BOTINDARI</v>
      </c>
      <c r="I60" s="49">
        <v>8350</v>
      </c>
      <c r="J60" s="47" t="str">
        <f>IFERROR(IF('Jun-22'!$G60="","-",VLOOKUP('Jun-22'!$G60,Lista_CUIT!$A$1:$D$1871,3,0)),"CUIT NO CARGADO")</f>
        <v>HONORARIOS</v>
      </c>
      <c r="K60" s="47">
        <f>IFERROR(IF('Jun-22'!$G60="","-",VLOOKUP('Jun-22'!$G60,Lista_CUIT!$A$1:$D$1871,4,0)),"CUIT NO CARGADO")</f>
        <v>0</v>
      </c>
    </row>
    <row r="61" spans="4:12" ht="15.75" customHeight="1" x14ac:dyDescent="0.25">
      <c r="D61" s="55">
        <v>44718</v>
      </c>
      <c r="E61" s="55">
        <v>1</v>
      </c>
      <c r="F61" s="55">
        <v>85</v>
      </c>
      <c r="G61" s="56">
        <v>20341465134</v>
      </c>
      <c r="H61" s="46" t="str">
        <f>IFERROR(IF('Jun-22'!$G61="","-",VLOOKUP('Jun-22'!$G61,Lista_CUIT!$A$1:$D$1871,2,0)),"CUIT NO CARGADO")</f>
        <v xml:space="preserve">ABELEDO AGUSTIN ENRIQUE </v>
      </c>
      <c r="I61" s="49">
        <v>79670</v>
      </c>
      <c r="J61" s="47" t="str">
        <f>IFERROR(IF('Jun-22'!$G61="","-",VLOOKUP('Jun-22'!$G61,Lista_CUIT!$A$1:$D$1871,3,0)),"CUIT NO CARGADO")</f>
        <v>HONOR. INGENIERO</v>
      </c>
      <c r="K61" s="47">
        <f>IFERROR(IF('Jun-22'!$G61="","-",VLOOKUP('Jun-22'!$G61,Lista_CUIT!$A$1:$D$1871,4,0)),"CUIT NO CARGADO")</f>
        <v>0</v>
      </c>
    </row>
    <row r="62" spans="4:12" ht="15.75" customHeight="1" x14ac:dyDescent="0.25">
      <c r="D62" s="55">
        <v>44714</v>
      </c>
      <c r="E62" s="55">
        <v>3</v>
      </c>
      <c r="F62" s="55">
        <v>575</v>
      </c>
      <c r="G62" s="56">
        <v>20086277523</v>
      </c>
      <c r="H62" s="46" t="str">
        <f>IFERROR(IF('Jun-22'!$G62="","-",VLOOKUP('Jun-22'!$G62,Lista_CUIT!$A$1:$D$1871,2,0)),"CUIT NO CARGADO")</f>
        <v>JUAN CARLOS BOTINDARI</v>
      </c>
      <c r="I62" s="49">
        <v>31500</v>
      </c>
      <c r="J62" s="47" t="str">
        <f>IFERROR(IF('Jun-22'!$G62="","-",VLOOKUP('Jun-22'!$G62,Lista_CUIT!$A$1:$D$1871,3,0)),"CUIT NO CARGADO")</f>
        <v>HONORARIOS</v>
      </c>
      <c r="K62" s="47">
        <f>IFERROR(IF('Jun-22'!$G62="","-",VLOOKUP('Jun-22'!$G62,Lista_CUIT!$A$1:$D$1871,4,0)),"CUIT NO CARGADO")</f>
        <v>0</v>
      </c>
    </row>
    <row r="63" spans="4:12" ht="15.75" customHeight="1" x14ac:dyDescent="0.25">
      <c r="D63" s="55">
        <v>44742</v>
      </c>
      <c r="E63" s="55">
        <v>1</v>
      </c>
      <c r="F63" s="55">
        <v>7</v>
      </c>
      <c r="G63" s="56">
        <v>20338344695</v>
      </c>
      <c r="H63" s="46" t="str">
        <f>IFERROR(IF('Jun-22'!$G63="","-",VLOOKUP('Jun-22'!$G63,Lista_CUIT!$A$1:$D$1871,2,0)),"CUIT NO CARGADO")</f>
        <v>FUERTES DAMIAN MATIAS</v>
      </c>
      <c r="I63" s="49">
        <v>18090</v>
      </c>
      <c r="J63" s="47" t="str">
        <f>IFERROR(IF('Jun-22'!$G63="","-",VLOOKUP('Jun-22'!$G63,Lista_CUIT!$A$1:$D$1871,3,0)),"CUIT NO CARGADO")</f>
        <v>INSUMO</v>
      </c>
      <c r="K63" s="47">
        <f>IFERROR(IF('Jun-22'!$G63="","-",VLOOKUP('Jun-22'!$G63,Lista_CUIT!$A$1:$D$1871,4,0)),"CUIT NO CARGADO")</f>
        <v>0</v>
      </c>
    </row>
    <row r="64" spans="4:12" ht="15.75" customHeight="1" x14ac:dyDescent="0.25">
      <c r="D64" s="55">
        <v>44718</v>
      </c>
      <c r="E64" s="55">
        <v>3</v>
      </c>
      <c r="F64" s="55">
        <v>27</v>
      </c>
      <c r="G64" s="56">
        <v>20403931420</v>
      </c>
      <c r="H64" s="46" t="str">
        <f>IFERROR(IF('Jun-22'!$G64="","-",VLOOKUP('Jun-22'!$G64,Lista_CUIT!$A$1:$D$1871,2,0)),"CUIT NO CARGADO")</f>
        <v>FIORENTINO JORGE IGNACIO</v>
      </c>
      <c r="I64" s="49">
        <v>104080</v>
      </c>
      <c r="J64" s="47" t="str">
        <f>IFERROR(IF('Jun-22'!$G64="","-",VLOOKUP('Jun-22'!$G64,Lista_CUIT!$A$1:$D$1871,3,0)),"CUIT NO CARGADO")</f>
        <v>Honorarios Administrativos-Cobranzas y Gestion Clientes</v>
      </c>
      <c r="K64" s="47">
        <f>IFERROR(IF('Jun-22'!$G64="","-",VLOOKUP('Jun-22'!$G64,Lista_CUIT!$A$1:$D$1871,4,0)),"CUIT NO CARGADO")</f>
        <v>0</v>
      </c>
    </row>
    <row r="65" spans="2:18" ht="15.75" customHeight="1" x14ac:dyDescent="0.25">
      <c r="D65" s="55">
        <v>44719</v>
      </c>
      <c r="E65" s="55">
        <v>2</v>
      </c>
      <c r="F65" s="55">
        <v>11</v>
      </c>
      <c r="G65" s="56">
        <v>23326777269</v>
      </c>
      <c r="H65" s="46" t="str">
        <f>IFERROR(IF('Jun-22'!$G65="","-",VLOOKUP('Jun-22'!$G65,Lista_CUIT!$A$1:$D$1871,2,0)),"CUIT NO CARGADO")</f>
        <v>DE BONIS IGNACIO LUIS</v>
      </c>
      <c r="I65" s="49">
        <v>120775</v>
      </c>
      <c r="J65" s="47" t="str">
        <f>IFERROR(IF('Jun-22'!$G65="","-",VLOOKUP('Jun-22'!$G65,Lista_CUIT!$A$1:$D$1871,3,0)),"CUIT NO CARGADO")</f>
        <v>Control medidores masicos</v>
      </c>
      <c r="K65" s="47">
        <f>IFERROR(IF('Jun-22'!$G65="","-",VLOOKUP('Jun-22'!$G65,Lista_CUIT!$A$1:$D$1871,4,0)),"CUIT NO CARGADO")</f>
        <v>0</v>
      </c>
    </row>
    <row r="66" spans="2:18" ht="15.75" customHeight="1" x14ac:dyDescent="0.25">
      <c r="D66" s="55">
        <v>44719</v>
      </c>
      <c r="E66" s="55">
        <v>1</v>
      </c>
      <c r="F66" s="55">
        <v>7</v>
      </c>
      <c r="G66" s="56">
        <v>20417805878</v>
      </c>
      <c r="H66" s="46" t="str">
        <f>IFERROR(IF('Jun-22'!$G66="","-",VLOOKUP('Jun-22'!$G66,Lista_CUIT!$A$1:$D$1871,2,0)),"CUIT NO CARGADO")</f>
        <v>FERABOLI OSPAL SANTIAGO HERNAN</v>
      </c>
      <c r="I66" s="49">
        <v>79260</v>
      </c>
      <c r="J66" s="47" t="str">
        <f>IFERROR(IF('Jun-22'!$G66="","-",VLOOKUP('Jun-22'!$G66,Lista_CUIT!$A$1:$D$1871,3,0)),"CUIT NO CARGADO")</f>
        <v>Control medidores masicos</v>
      </c>
      <c r="K66" s="47">
        <f>IFERROR(IF('Jun-22'!$G66="","-",VLOOKUP('Jun-22'!$G66,Lista_CUIT!$A$1:$D$1871,4,0)),"CUIT NO CARGADO")</f>
        <v>0</v>
      </c>
    </row>
    <row r="67" spans="2:18" ht="15.75" customHeight="1" x14ac:dyDescent="0.25">
      <c r="D67" s="55">
        <v>44722</v>
      </c>
      <c r="E67" s="55">
        <v>2</v>
      </c>
      <c r="F67" s="55">
        <v>72</v>
      </c>
      <c r="G67" s="56">
        <v>20244271740</v>
      </c>
      <c r="H67" s="46" t="str">
        <f>IFERROR(IF('Jun-22'!$G67="","-",VLOOKUP('Jun-22'!$G67,Lista_CUIT!$A$1:$D$1871,2,0)),"CUIT NO CARGADO")</f>
        <v xml:space="preserve">KENNEL SEBASTIAN </v>
      </c>
      <c r="I67" s="49">
        <v>172800</v>
      </c>
      <c r="J67" s="47" t="str">
        <f>IFERROR(IF('Jun-22'!$G67="","-",VLOOKUP('Jun-22'!$G67,Lista_CUIT!$A$1:$D$1871,3,0)),"CUIT NO CARGADO")</f>
        <v>SOFTWARE MANTENIMIENTO</v>
      </c>
      <c r="K67" s="47">
        <f>IFERROR(IF('Jun-22'!$G67="","-",VLOOKUP('Jun-22'!$G67,Lista_CUIT!$A$1:$D$1871,4,0)),"CUIT NO CARGADO")</f>
        <v>0</v>
      </c>
    </row>
    <row r="68" spans="2:18" ht="15.75" customHeight="1" x14ac:dyDescent="0.25">
      <c r="D68" s="55">
        <v>44727</v>
      </c>
      <c r="E68" s="55">
        <v>1</v>
      </c>
      <c r="F68" s="55">
        <v>13</v>
      </c>
      <c r="G68" s="56">
        <v>20365938688</v>
      </c>
      <c r="H68" s="46" t="str">
        <f>IFERROR(IF('Jun-22'!$G68="","-",VLOOKUP('Jun-22'!$G68,Lista_CUIT!$A$1:$D$1871,2,0)),"CUIT NO CARGADO")</f>
        <v>LIPANOVICH JUAN CRUZ</v>
      </c>
      <c r="I68" s="49">
        <v>220000</v>
      </c>
      <c r="J68" s="47" t="str">
        <f>IFERROR(IF('Jun-22'!$G68="","-",VLOOKUP('Jun-22'!$G68,Lista_CUIT!$A$1:$D$1871,3,0)),"CUIT NO CARGADO")</f>
        <v>Servicios Informatica</v>
      </c>
      <c r="K68" s="47">
        <f>IFERROR(IF('Jun-22'!$G68="","-",VLOOKUP('Jun-22'!$G68,Lista_CUIT!$A$1:$D$1871,4,0)),"CUIT NO CARGADO")</f>
        <v>0</v>
      </c>
    </row>
    <row r="69" spans="2:18" ht="15.75" customHeight="1" x14ac:dyDescent="0.25">
      <c r="D69" s="55">
        <v>44731</v>
      </c>
      <c r="E69" s="55">
        <v>2</v>
      </c>
      <c r="F69" s="55">
        <v>533</v>
      </c>
      <c r="G69" s="56">
        <v>20320877947</v>
      </c>
      <c r="H69" s="46" t="str">
        <f>IFERROR(IF('Jun-22'!$G69="","-",VLOOKUP('Jun-22'!$G69,Lista_CUIT!$A$1:$D$1871,2,0)),"CUIT NO CARGADO")</f>
        <v>ROUSSEAU PABLO ANDRES</v>
      </c>
      <c r="I69" s="49">
        <v>9800</v>
      </c>
      <c r="J69" s="47" t="str">
        <f>IFERROR(IF('Jun-22'!$G69="","-",VLOOKUP('Jun-22'!$G69,Lista_CUIT!$A$1:$D$1871,3,0)),"CUIT NO CARGADO")</f>
        <v>SERVICIO</v>
      </c>
      <c r="K69" s="47">
        <f>IFERROR(IF('Jun-22'!$G69="","-",VLOOKUP('Jun-22'!$G69,Lista_CUIT!$A$1:$D$1871,4,0)),"CUIT NO CARGADO")</f>
        <v>0</v>
      </c>
    </row>
    <row r="70" spans="2:18" ht="15.75" customHeight="1" x14ac:dyDescent="0.25">
      <c r="D70" s="10"/>
      <c r="E70" s="12"/>
      <c r="F70" s="13"/>
      <c r="G70" s="14"/>
      <c r="H70" s="46" t="str">
        <f>IFERROR(IF('Jun-22'!$G70="","-",VLOOKUP('Jun-22'!$G70,Lista_CUIT!$A$1:$D$1871,2,0)),"CUIT NO CARGADO")</f>
        <v>-</v>
      </c>
      <c r="I70" s="42"/>
      <c r="J70" s="47" t="str">
        <f>IFERROR(IF('Jun-22'!$G70="","-",VLOOKUP('Jun-22'!$G70,Lista_CUIT!$A$1:$D$1871,3,0)),"CUIT NO CARGADO")</f>
        <v>-</v>
      </c>
      <c r="K70" s="47" t="str">
        <f>IFERROR(IF('Jun-22'!$G70="","-",VLOOKUP('Jun-22'!$G70,Lista_CUIT!$A$1:$D$1871,4,0)),"CUIT NO CARGADO")</f>
        <v>-</v>
      </c>
    </row>
    <row r="71" spans="2:18" ht="15.75" customHeight="1" x14ac:dyDescent="0.25">
      <c r="D71" s="10"/>
      <c r="E71" s="12"/>
      <c r="F71" s="13"/>
      <c r="G71" s="14"/>
      <c r="H71" s="46" t="str">
        <f>IFERROR(IF('Jun-22'!$G71="","-",VLOOKUP('Jun-22'!$G71,Lista_CUIT!$A$1:$D$1871,2,0)),"CUIT NO CARGADO")</f>
        <v>-</v>
      </c>
      <c r="I71" s="42"/>
      <c r="J71" s="47" t="str">
        <f>IFERROR(IF('Jun-22'!$G71="","-",VLOOKUP('Jun-22'!$G71,Lista_CUIT!$A$1:$D$1871,3,0)),"CUIT NO CARGADO")</f>
        <v>-</v>
      </c>
      <c r="K71" s="47" t="str">
        <f>IFERROR(IF('Jun-22'!$G71="","-",VLOOKUP('Jun-22'!$G71,Lista_CUIT!$A$1:$D$1871,4,0)),"CUIT NO CARGADO")</f>
        <v>-</v>
      </c>
    </row>
    <row r="72" spans="2:18" ht="15.75" customHeight="1" x14ac:dyDescent="0.25">
      <c r="D72" s="10"/>
      <c r="E72" s="12"/>
      <c r="F72" s="13"/>
      <c r="G72" s="14"/>
      <c r="H72" s="46" t="str">
        <f>IFERROR(IF('Jun-22'!$G72="","-",VLOOKUP('Jun-22'!$G72,Lista_CUIT!$A$1:$D$1871,2,0)),"CUIT NO CARGADO")</f>
        <v>-</v>
      </c>
      <c r="I72" s="42"/>
      <c r="J72" s="47" t="str">
        <f>IFERROR(IF('Jun-22'!$G72="","-",VLOOKUP('Jun-22'!$G72,Lista_CUIT!$A$1:$D$1871,3,0)),"CUIT NO CARGADO")</f>
        <v>-</v>
      </c>
      <c r="K72" s="47" t="str">
        <f>IFERROR(IF('Jun-22'!$G72="","-",VLOOKUP('Jun-22'!$G72,Lista_CUIT!$A$1:$D$1871,4,0)),"CUIT NO CARGADO")</f>
        <v>-</v>
      </c>
    </row>
    <row r="73" spans="2:18" ht="15.75" customHeight="1" x14ac:dyDescent="0.25">
      <c r="D73" s="10"/>
      <c r="E73" s="12"/>
      <c r="F73" s="13"/>
      <c r="G73" s="14"/>
      <c r="H73" s="46" t="str">
        <f>IFERROR(IF('Jun-22'!$G73="","-",VLOOKUP('Jun-22'!$G73,Lista_CUIT!$A$1:$D$1871,2,0)),"CUIT NO CARGADO")</f>
        <v>-</v>
      </c>
      <c r="I73" s="42"/>
      <c r="J73" s="47" t="str">
        <f>IFERROR(IF('Jun-22'!$G73="","-",VLOOKUP('Jun-22'!$G73,Lista_CUIT!$A$1:$D$1871,3,0)),"CUIT NO CARGADO")</f>
        <v>-</v>
      </c>
      <c r="K73" s="47" t="str">
        <f>IFERROR(IF('Jun-22'!$G73="","-",VLOOKUP('Jun-22'!$G73,Lista_CUIT!$A$1:$D$1871,4,0)),"CUIT NO CARGADO")</f>
        <v>-</v>
      </c>
    </row>
    <row r="74" spans="2:18" ht="15.75" customHeight="1" x14ac:dyDescent="0.25">
      <c r="D74" s="47" t="s">
        <v>1546</v>
      </c>
      <c r="E74" s="47"/>
      <c r="F74" s="47"/>
      <c r="G74" s="47"/>
      <c r="H74" s="48"/>
      <c r="I74" s="49">
        <f>SUBTOTAL(109,'Jun-22'!$I$58:$I$73)</f>
        <v>1084325</v>
      </c>
      <c r="J74" s="47"/>
      <c r="K74" s="47"/>
    </row>
    <row r="75" spans="2:18" ht="15.75" customHeight="1" x14ac:dyDescent="0.25">
      <c r="B75" s="50"/>
      <c r="C75" s="50"/>
      <c r="L75" s="50"/>
      <c r="M75" s="50"/>
      <c r="N75" s="50"/>
      <c r="O75" s="50"/>
      <c r="P75" s="50"/>
      <c r="Q75" s="50"/>
      <c r="R75" s="50"/>
    </row>
    <row r="76" spans="2:18" ht="15.75" customHeight="1" x14ac:dyDescent="0.25"/>
    <row r="77" spans="2:18" ht="25.5" customHeight="1" x14ac:dyDescent="0.25"/>
    <row r="78" spans="2:18" ht="15.75" customHeight="1" x14ac:dyDescent="0.25"/>
    <row r="79" spans="2:18" ht="17.25" customHeight="1" x14ac:dyDescent="0.25"/>
    <row r="80" spans="2:18" ht="31.5" customHeight="1" x14ac:dyDescent="0.25">
      <c r="B80" s="366" t="s">
        <v>1563</v>
      </c>
      <c r="C80" s="351"/>
      <c r="D80" s="351"/>
      <c r="E80" s="351"/>
      <c r="F80" s="351"/>
      <c r="G80" s="351"/>
      <c r="H80" s="351"/>
      <c r="I80" s="351"/>
      <c r="J80" s="352"/>
      <c r="K80" s="367">
        <f>N1</f>
        <v>44713</v>
      </c>
      <c r="L80" s="351"/>
      <c r="M80" s="352"/>
    </row>
    <row r="81" spans="2:13" ht="15.75" customHeight="1" x14ac:dyDescent="0.25"/>
    <row r="82" spans="2:13" ht="15.75" customHeight="1" x14ac:dyDescent="0.25">
      <c r="B82" s="368" t="s">
        <v>1564</v>
      </c>
      <c r="C82" s="369"/>
    </row>
    <row r="83" spans="2:13" ht="15.75" customHeight="1" x14ac:dyDescent="0.25">
      <c r="B83" s="51" t="s">
        <v>1532</v>
      </c>
      <c r="C83" s="52" t="s">
        <v>1533</v>
      </c>
      <c r="D83" s="52" t="s">
        <v>1565</v>
      </c>
      <c r="E83" s="52" t="s">
        <v>1566</v>
      </c>
      <c r="F83" s="52" t="s">
        <v>0</v>
      </c>
      <c r="G83" s="52" t="s">
        <v>1</v>
      </c>
      <c r="H83" s="52" t="s">
        <v>1567</v>
      </c>
      <c r="I83" s="52" t="s">
        <v>1551</v>
      </c>
      <c r="J83" s="52" t="s">
        <v>1539</v>
      </c>
      <c r="K83" s="52" t="s">
        <v>1568</v>
      </c>
      <c r="L83" s="52" t="s">
        <v>1544</v>
      </c>
      <c r="M83" s="53" t="s">
        <v>1545</v>
      </c>
    </row>
    <row r="84" spans="2:13" ht="15.75" customHeight="1" x14ac:dyDescent="0.25">
      <c r="B84" s="10">
        <v>44726</v>
      </c>
      <c r="C84" s="11">
        <v>1</v>
      </c>
      <c r="D84" s="12">
        <v>3</v>
      </c>
      <c r="E84" s="13">
        <v>63</v>
      </c>
      <c r="F84" s="14">
        <v>30638318470</v>
      </c>
      <c r="G84" s="57" t="str">
        <f>IFERROR(IF('Jun-22'!$F84="","-",VLOOKUP('Jun-22'!$F84,Lista_CUIT!$A$1:$D$1871,2,0)),"CUIT NO CARGADO")</f>
        <v>DELTA COMPRESION S.R.L</v>
      </c>
      <c r="H84" s="58">
        <v>17122</v>
      </c>
      <c r="I84" s="59">
        <f>'Jun-22'!$H84*0.21</f>
        <v>3595.62</v>
      </c>
      <c r="J84" s="60"/>
      <c r="K84" s="60"/>
      <c r="L84" s="60">
        <f>SUM('Jun-22'!$H84:$K84)</f>
        <v>20717.62</v>
      </c>
      <c r="M84" s="61"/>
    </row>
    <row r="85" spans="2:13" ht="15.75" customHeight="1" x14ac:dyDescent="0.25">
      <c r="B85" s="10">
        <v>44726</v>
      </c>
      <c r="C85" s="11">
        <v>1</v>
      </c>
      <c r="D85" s="12">
        <v>3</v>
      </c>
      <c r="E85" s="13">
        <v>64</v>
      </c>
      <c r="F85" s="14">
        <v>30638318470</v>
      </c>
      <c r="G85" s="57" t="str">
        <f>IFERROR(IF('Jun-22'!$F85="","-",VLOOKUP('Jun-22'!$F85,Lista_CUIT!$A$1:$D$1871,2,0)),"CUIT NO CARGADO")</f>
        <v>DELTA COMPRESION S.R.L</v>
      </c>
      <c r="H85" s="58">
        <v>327886.3</v>
      </c>
      <c r="I85" s="59">
        <f>'Jun-22'!$H85*0.21</f>
        <v>68856.122999999992</v>
      </c>
      <c r="J85" s="60"/>
      <c r="K85" s="60"/>
      <c r="L85" s="60">
        <f>SUM('Jun-22'!$H85:$K85)</f>
        <v>396742.42299999995</v>
      </c>
      <c r="M85" s="61"/>
    </row>
    <row r="86" spans="2:13" ht="15.75" customHeight="1" x14ac:dyDescent="0.25">
      <c r="B86" s="10">
        <v>44727</v>
      </c>
      <c r="C86" s="11">
        <v>1</v>
      </c>
      <c r="D86" s="12">
        <v>3</v>
      </c>
      <c r="E86" s="13">
        <v>66</v>
      </c>
      <c r="F86" s="14">
        <v>23239931359</v>
      </c>
      <c r="G86" s="57" t="str">
        <f>IFERROR(IF('Jun-22'!$F86="","-",VLOOKUP('Jun-22'!$F86,Lista_CUIT!$A$1:$D$1871,2,0)),"CUIT NO CARGADO")</f>
        <v>SAN MIGUEL JOSE MARCELO</v>
      </c>
      <c r="H86" s="58">
        <v>24540</v>
      </c>
      <c r="I86" s="59">
        <f>'Jun-22'!$H86*0.21</f>
        <v>5153.3999999999996</v>
      </c>
      <c r="J86" s="60"/>
      <c r="K86" s="60"/>
      <c r="L86" s="60">
        <f>SUM('Jun-22'!$H86:$K86)</f>
        <v>29693.4</v>
      </c>
      <c r="M86" s="61"/>
    </row>
    <row r="87" spans="2:13" ht="15.75" customHeight="1" x14ac:dyDescent="0.25">
      <c r="B87" s="10">
        <v>44727</v>
      </c>
      <c r="C87" s="11">
        <v>1</v>
      </c>
      <c r="D87" s="12">
        <v>3</v>
      </c>
      <c r="E87" s="13">
        <v>65</v>
      </c>
      <c r="F87" s="14">
        <v>33717088269</v>
      </c>
      <c r="G87" s="57" t="str">
        <f>IFERROR(IF('Jun-22'!$F87="","-",VLOOKUP('Jun-22'!$F87,Lista_CUIT!$A$1:$D$1871,2,0)),"CUIT NO CARGADO")</f>
        <v>NEXT SERVICE GNC S.R.L.</v>
      </c>
      <c r="H87" s="58">
        <v>1312890</v>
      </c>
      <c r="I87" s="59">
        <v>18036.900000000001</v>
      </c>
      <c r="J87" s="60">
        <v>128835</v>
      </c>
      <c r="K87" s="60"/>
      <c r="L87" s="60">
        <f>SUM('Jun-22'!$H87:$K87)</f>
        <v>1459761.9</v>
      </c>
      <c r="M87" s="61"/>
    </row>
    <row r="88" spans="2:13" ht="15.75" customHeight="1" x14ac:dyDescent="0.25">
      <c r="B88" s="10">
        <v>44734</v>
      </c>
      <c r="C88" s="11">
        <v>1</v>
      </c>
      <c r="D88" s="12">
        <v>3</v>
      </c>
      <c r="E88" s="13">
        <v>67</v>
      </c>
      <c r="F88" s="14">
        <v>30628274327</v>
      </c>
      <c r="G88" s="57" t="str">
        <f>IFERROR(IF('Jun-22'!$F88="","-",VLOOKUP('Jun-22'!$F88,Lista_CUIT!$A$1:$D$1871,2,0)),"CUIT NO CARGADO")</f>
        <v>AGIRA SA</v>
      </c>
      <c r="H88" s="58">
        <v>1107219</v>
      </c>
      <c r="I88" s="59"/>
      <c r="J88" s="60">
        <v>116257.995</v>
      </c>
      <c r="K88" s="60"/>
      <c r="L88" s="60">
        <f>SUM('Jun-22'!$H88:$K88)</f>
        <v>1223476.9950000001</v>
      </c>
      <c r="M88" s="61"/>
    </row>
    <row r="89" spans="2:13" ht="15.75" customHeight="1" x14ac:dyDescent="0.25">
      <c r="B89" s="10"/>
      <c r="C89" s="11"/>
      <c r="D89" s="12"/>
      <c r="E89" s="13"/>
      <c r="F89" s="14"/>
      <c r="G89" s="57" t="str">
        <f>IFERROR(IF('Jun-22'!$F89="","-",VLOOKUP('Jun-22'!$F89,Lista_CUIT!$A$1:$D$1871,2,0)),"CUIT NO CARGADO")</f>
        <v>-</v>
      </c>
      <c r="H89" s="58"/>
      <c r="I89" s="59">
        <f>'Jun-22'!$H89*0.21</f>
        <v>0</v>
      </c>
      <c r="J89" s="60"/>
      <c r="K89" s="60"/>
      <c r="L89" s="60">
        <f>SUM('Jun-22'!$H89:$K89)</f>
        <v>0</v>
      </c>
      <c r="M89" s="61"/>
    </row>
    <row r="90" spans="2:13" ht="18.75" customHeight="1" x14ac:dyDescent="0.25">
      <c r="B90" s="10"/>
      <c r="C90" s="11"/>
      <c r="D90" s="12"/>
      <c r="E90" s="13"/>
      <c r="F90" s="14"/>
      <c r="G90" s="57" t="str">
        <f>IFERROR(IF('Jun-22'!$F90="","-",VLOOKUP('Jun-22'!$F90,Lista_CUIT!$A$1:$D$1871,2,0)),"CUIT NO CARGADO")</f>
        <v>-</v>
      </c>
      <c r="H90" s="58"/>
      <c r="I90" s="59">
        <f>'Jun-22'!$H90*0.21</f>
        <v>0</v>
      </c>
      <c r="J90" s="60"/>
      <c r="K90" s="60"/>
      <c r="L90" s="60">
        <f>SUM('Jun-22'!$H90:$K90)</f>
        <v>0</v>
      </c>
      <c r="M90" s="62"/>
    </row>
    <row r="91" spans="2:13" ht="28.5" customHeight="1" x14ac:dyDescent="0.25">
      <c r="B91" s="63"/>
      <c r="C91" s="64"/>
      <c r="D91" s="65"/>
      <c r="E91" s="66"/>
      <c r="F91" s="67"/>
      <c r="G91" s="57" t="str">
        <f>IFERROR(IF('Jun-22'!$F91="","-",VLOOKUP('Jun-22'!$F91,Lista_CUIT!$A$1:$D$1871,2,0)),"CUIT NO CARGADO")</f>
        <v>-</v>
      </c>
      <c r="H91" s="68"/>
      <c r="I91" s="69">
        <f>'Jun-22'!$H91*0.21</f>
        <v>0</v>
      </c>
      <c r="J91" s="70"/>
      <c r="K91" s="70"/>
      <c r="L91" s="70">
        <f>SUM('Jun-22'!$H91:$K91)</f>
        <v>0</v>
      </c>
      <c r="M91" s="62"/>
    </row>
    <row r="92" spans="2:13" ht="15.75" customHeight="1" x14ac:dyDescent="0.25">
      <c r="B92" s="71"/>
      <c r="C92" s="72"/>
      <c r="D92" s="73"/>
      <c r="E92" s="74"/>
      <c r="F92" s="75"/>
      <c r="G92" s="57" t="str">
        <f>IFERROR(IF('Jun-22'!$F92="","-",VLOOKUP('Jun-22'!$F92,Lista_CUIT!$A$1:$D$1871,2,0)),"CUIT NO CARGADO")</f>
        <v>-</v>
      </c>
      <c r="H92" s="58"/>
      <c r="I92" s="59">
        <f>'Jun-22'!$H92*0.21</f>
        <v>0</v>
      </c>
      <c r="J92" s="60"/>
      <c r="K92" s="60"/>
      <c r="L92" s="60">
        <f>SUM('Jun-22'!$H92:$K92)</f>
        <v>0</v>
      </c>
      <c r="M92" s="61"/>
    </row>
    <row r="93" spans="2:13" ht="15.75" customHeight="1" x14ac:dyDescent="0.25">
      <c r="B93" s="76" t="s">
        <v>1546</v>
      </c>
      <c r="C93" s="77"/>
      <c r="D93" s="77"/>
      <c r="E93" s="77"/>
      <c r="F93" s="77"/>
      <c r="G93" s="77"/>
      <c r="H93" s="78">
        <f>SUBTOTAL(109,'Jun-22'!$H$84:$H$92)</f>
        <v>2789657.3</v>
      </c>
      <c r="I93" s="79">
        <f>SUBTOTAL(109,'Jun-22'!$I$84:$I$92)</f>
        <v>95642.042999999976</v>
      </c>
      <c r="J93" s="70">
        <f>SUBTOTAL(109,'Jun-22'!$J$84:$J$92)</f>
        <v>245092.995</v>
      </c>
      <c r="K93" s="70">
        <f>SUBTOTAL(109,'Jun-22'!$K$84:$K$92)</f>
        <v>0</v>
      </c>
      <c r="L93" s="70">
        <f>SUBTOTAL(109,'Jun-22'!$L$84:$L$92)</f>
        <v>3130392.338</v>
      </c>
      <c r="M93" s="80">
        <f>SUBTOTAL(103,'Jun-22'!$M$84:$M$92)</f>
        <v>0</v>
      </c>
    </row>
    <row r="94" spans="2:13" ht="15.75" customHeight="1" x14ac:dyDescent="0.25"/>
    <row r="95" spans="2:13" ht="15.75" customHeight="1" x14ac:dyDescent="0.25"/>
    <row r="96" spans="2:13" ht="15.75" customHeight="1" x14ac:dyDescent="0.25">
      <c r="B96" s="368" t="s">
        <v>1569</v>
      </c>
      <c r="C96" s="369"/>
    </row>
    <row r="97" spans="2:13" ht="15.75" customHeight="1" x14ac:dyDescent="0.25">
      <c r="B97" s="51" t="s">
        <v>1532</v>
      </c>
      <c r="C97" s="52" t="s">
        <v>1533</v>
      </c>
      <c r="D97" s="52" t="s">
        <v>1565</v>
      </c>
      <c r="E97" s="52" t="s">
        <v>1566</v>
      </c>
      <c r="F97" s="52" t="s">
        <v>0</v>
      </c>
      <c r="G97" s="52" t="s">
        <v>1</v>
      </c>
      <c r="H97" s="52" t="s">
        <v>1567</v>
      </c>
      <c r="I97" s="52" t="s">
        <v>1551</v>
      </c>
      <c r="J97" s="52" t="s">
        <v>1539</v>
      </c>
      <c r="K97" s="52" t="s">
        <v>1568</v>
      </c>
      <c r="L97" s="52" t="s">
        <v>1544</v>
      </c>
      <c r="M97" s="53" t="s">
        <v>1545</v>
      </c>
    </row>
    <row r="98" spans="2:13" ht="15.75" customHeight="1" x14ac:dyDescent="0.25">
      <c r="B98" s="10"/>
      <c r="C98" s="11"/>
      <c r="D98" s="12"/>
      <c r="E98" s="13"/>
      <c r="F98" s="14"/>
      <c r="G98" s="81" t="str">
        <f>IFERROR(IF('Jun-22'!$F98="","-",VLOOKUP('Jun-22'!$F98,Lista_CUIT!$A$1:$D$1871,2,0)),"CUIT NO CARGADO")</f>
        <v>-</v>
      </c>
      <c r="H98" s="82"/>
      <c r="I98" s="82">
        <f>'Jun-22'!$H98*0.21</f>
        <v>0</v>
      </c>
      <c r="J98" s="82"/>
      <c r="K98" s="82"/>
      <c r="L98" s="82">
        <f>SUM('Jun-22'!$H98:$K98)</f>
        <v>0</v>
      </c>
      <c r="M98" s="61"/>
    </row>
    <row r="99" spans="2:13" ht="15.75" customHeight="1" x14ac:dyDescent="0.25">
      <c r="B99" s="10"/>
      <c r="C99" s="11"/>
      <c r="D99" s="12"/>
      <c r="E99" s="13"/>
      <c r="F99" s="14"/>
      <c r="G99" s="81" t="str">
        <f>IFERROR(IF('Jun-22'!$F99="","-",VLOOKUP('Jun-22'!$F99,Lista_CUIT!$A$1:$D$1871,2,0)),"CUIT NO CARGADO")</f>
        <v>-</v>
      </c>
      <c r="H99" s="82"/>
      <c r="I99" s="82">
        <f>'Jun-22'!$H99*0.21</f>
        <v>0</v>
      </c>
      <c r="J99" s="82"/>
      <c r="K99" s="82"/>
      <c r="L99" s="82">
        <f>SUM('Jun-22'!$H99:$K99)</f>
        <v>0</v>
      </c>
      <c r="M99" s="61"/>
    </row>
    <row r="100" spans="2:13" ht="15.75" customHeight="1" x14ac:dyDescent="0.25">
      <c r="B100" s="10"/>
      <c r="C100" s="11"/>
      <c r="D100" s="12"/>
      <c r="E100" s="13"/>
      <c r="F100" s="14"/>
      <c r="G100" s="81" t="str">
        <f>IFERROR(IF('Jun-22'!$F100="","-",VLOOKUP('Jun-22'!$F100,Lista_CUIT!$A$1:$D$1871,2,0)),"CUIT NO CARGADO")</f>
        <v>-</v>
      </c>
      <c r="H100" s="82"/>
      <c r="I100" s="82">
        <f>'Jun-22'!$H100*0.21</f>
        <v>0</v>
      </c>
      <c r="J100" s="82"/>
      <c r="K100" s="82"/>
      <c r="L100" s="82">
        <f>SUM('Jun-22'!$H100:$K100)</f>
        <v>0</v>
      </c>
      <c r="M100" s="61"/>
    </row>
    <row r="101" spans="2:13" ht="15.75" customHeight="1" x14ac:dyDescent="0.25">
      <c r="B101" s="10"/>
      <c r="C101" s="11"/>
      <c r="D101" s="12"/>
      <c r="E101" s="13"/>
      <c r="F101" s="14"/>
      <c r="G101" s="81"/>
      <c r="H101" s="82"/>
      <c r="I101" s="82">
        <f>'Jun-22'!$H101*0.21</f>
        <v>0</v>
      </c>
      <c r="J101" s="82"/>
      <c r="K101" s="82"/>
      <c r="L101" s="82">
        <f>SUM('Jun-22'!$H101:$K101)</f>
        <v>0</v>
      </c>
      <c r="M101" s="61"/>
    </row>
    <row r="102" spans="2:13" ht="15.75" customHeight="1" x14ac:dyDescent="0.25">
      <c r="B102" s="10"/>
      <c r="C102" s="11"/>
      <c r="D102" s="12"/>
      <c r="E102" s="13"/>
      <c r="F102" s="14"/>
      <c r="G102" s="81"/>
      <c r="H102" s="82"/>
      <c r="I102" s="82">
        <f>'Jun-22'!$H102*0.21</f>
        <v>0</v>
      </c>
      <c r="J102" s="82"/>
      <c r="K102" s="82"/>
      <c r="L102" s="82">
        <f>SUM('Jun-22'!$H102:$K102)</f>
        <v>0</v>
      </c>
      <c r="M102" s="61"/>
    </row>
    <row r="103" spans="2:13" ht="15.75" customHeight="1" x14ac:dyDescent="0.25">
      <c r="B103" s="10"/>
      <c r="C103" s="11"/>
      <c r="D103" s="12"/>
      <c r="E103" s="13"/>
      <c r="F103" s="14"/>
      <c r="G103" s="81"/>
      <c r="H103" s="82"/>
      <c r="I103" s="82">
        <f>'Jun-22'!$H103*0.21</f>
        <v>0</v>
      </c>
      <c r="J103" s="82"/>
      <c r="K103" s="82"/>
      <c r="L103" s="82">
        <f>SUM('Jun-22'!$H103:$K103)</f>
        <v>0</v>
      </c>
      <c r="M103" s="61"/>
    </row>
    <row r="104" spans="2:13" ht="15.75" customHeight="1" x14ac:dyDescent="0.25">
      <c r="B104" s="76" t="s">
        <v>1546</v>
      </c>
      <c r="C104" s="77"/>
      <c r="D104" s="77"/>
      <c r="E104" s="77"/>
      <c r="F104" s="77"/>
      <c r="G104" s="77"/>
      <c r="H104" s="83">
        <f>SUBTOTAL(109,'Jun-22'!$H$98:$H$103)</f>
        <v>0</v>
      </c>
      <c r="I104" s="83">
        <f>SUBTOTAL(109,'Jun-22'!$I$98:$I$103)</f>
        <v>0</v>
      </c>
      <c r="J104" s="84">
        <f>SUBTOTAL(109,'Jun-22'!$J$98:$J$103)</f>
        <v>0</v>
      </c>
      <c r="K104" s="84">
        <f>SUBTOTAL(109,'Jun-22'!$K$98:$K$103)</f>
        <v>0</v>
      </c>
      <c r="L104" s="84">
        <f>SUBTOTAL(109,'Jun-22'!$L$98:$L$103)</f>
        <v>0</v>
      </c>
      <c r="M104" s="80">
        <f>SUBTOTAL(103,'Jun-22'!$M$98:$M$103)</f>
        <v>0</v>
      </c>
    </row>
    <row r="105" spans="2:13" ht="15.75" customHeight="1" x14ac:dyDescent="0.25"/>
    <row r="106" spans="2:13" ht="15.75" customHeight="1" x14ac:dyDescent="0.25"/>
    <row r="107" spans="2:13" ht="15.75" customHeight="1" x14ac:dyDescent="0.25"/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/>
    <row r="112" spans="2:13" ht="15.75" customHeight="1" x14ac:dyDescent="0.25">
      <c r="C112" s="361" t="s">
        <v>1575</v>
      </c>
      <c r="D112" s="362"/>
      <c r="E112" s="362"/>
      <c r="F112" s="362"/>
      <c r="G112" s="363"/>
      <c r="H112" s="89"/>
      <c r="I112" s="89"/>
      <c r="J112" s="89"/>
    </row>
    <row r="113" spans="3:12" ht="15.75" customHeight="1" x14ac:dyDescent="0.25">
      <c r="C113" s="90" t="s">
        <v>1576</v>
      </c>
      <c r="D113" s="91" t="s">
        <v>1577</v>
      </c>
      <c r="E113" s="91" t="s">
        <v>1578</v>
      </c>
      <c r="F113" s="91" t="s">
        <v>0</v>
      </c>
      <c r="G113" s="91" t="s">
        <v>1</v>
      </c>
      <c r="H113" s="92" t="s">
        <v>1579</v>
      </c>
      <c r="I113" s="92" t="s">
        <v>1580</v>
      </c>
      <c r="J113" s="92" t="s">
        <v>1581</v>
      </c>
      <c r="K113" s="92" t="s">
        <v>1582</v>
      </c>
      <c r="L113" s="92" t="s">
        <v>1583</v>
      </c>
    </row>
    <row r="114" spans="3:12" ht="15.75" customHeight="1" x14ac:dyDescent="0.25">
      <c r="C114" s="54"/>
      <c r="D114" s="93"/>
      <c r="E114" s="93"/>
      <c r="F114" s="56"/>
      <c r="G114" s="46" t="str">
        <f>IFERROR(IF('Jun-22'!$F114="","-",VLOOKUP('Jun-22'!$F114,Lista_CUIT!$A$1:$D$1871,2,0)),"CUIT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25">
      <c r="C115" s="54"/>
      <c r="D115" s="93"/>
      <c r="E115" s="93"/>
      <c r="F115" s="56"/>
      <c r="G115" s="46" t="str">
        <f>IFERROR(IF('Jun-22'!$F115="","-",VLOOKUP('Jun-22'!$F115,Lista_CUIT!$A$1:$D$1871,2,0)),"CUIT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54"/>
      <c r="D116" s="93"/>
      <c r="E116" s="93"/>
      <c r="F116" s="56"/>
      <c r="G116" s="46" t="str">
        <f>IFERROR(IF('Jun-22'!$F116="","-",VLOOKUP('Jun-22'!$F116,Lista_CUIT!$A$1:$D$1871,2,0)),"CUIT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54"/>
      <c r="D117" s="93"/>
      <c r="E117" s="93"/>
      <c r="F117" s="56"/>
      <c r="G117" s="46" t="str">
        <f>IFERROR(IF('Jun-22'!$F117="","-",VLOOKUP('Jun-22'!$F117,Lista_CUIT!$A$1:$D$1871,2,0)),"CUIT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25">
      <c r="C118" s="3"/>
      <c r="D118" s="93"/>
      <c r="E118" s="93"/>
      <c r="F118" s="3"/>
      <c r="G118" s="46" t="str">
        <f>IFERROR(IF('Jun-22'!$F118="","-",VLOOKUP('Jun-22'!$F118,Lista_CUIT!$A$1:$D$1871,2,0)),"CUIT NO CARGADO")</f>
        <v>-</v>
      </c>
      <c r="H118" s="3"/>
      <c r="I118" s="3"/>
      <c r="J118" s="3"/>
      <c r="K118" s="3"/>
      <c r="L118" s="3"/>
    </row>
    <row r="119" spans="3:12" ht="15.75" customHeight="1" x14ac:dyDescent="0.25">
      <c r="C119" s="95"/>
    </row>
    <row r="120" spans="3:12" ht="15.75" customHeight="1" x14ac:dyDescent="0.25"/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M4:N4"/>
    <mergeCell ref="P4:R4"/>
    <mergeCell ref="D44:L44"/>
    <mergeCell ref="C112:G112"/>
    <mergeCell ref="B3:E3"/>
    <mergeCell ref="B4:E4"/>
    <mergeCell ref="G4:H4"/>
    <mergeCell ref="J4:K4"/>
    <mergeCell ref="D56:K56"/>
    <mergeCell ref="B80:J80"/>
    <mergeCell ref="K80:M80"/>
    <mergeCell ref="B82:C82"/>
    <mergeCell ref="B96:C96"/>
    <mergeCell ref="B1:F1"/>
    <mergeCell ref="G1:M1"/>
    <mergeCell ref="N1:R1"/>
    <mergeCell ref="G3:H3"/>
    <mergeCell ref="J3:K3"/>
    <mergeCell ref="M3:N3"/>
    <mergeCell ref="P3:R3"/>
  </mergeCells>
  <dataValidations count="12">
    <dataValidation type="decimal" allowBlank="1" showErrorMessage="1" sqref="C9:C38 C40:C43 C84:C92" xr:uid="{00000000-0002-0000-0300-000000000000}">
      <formula1>1</formula1>
      <formula2>3</formula2>
    </dataValidation>
    <dataValidation type="custom" allowBlank="1" showErrorMessage="1" sqref="L86:L88" xr:uid="{00000000-0002-0000-0300-000001000000}">
      <formula1>IF($C37=3,L37&lt;0,L37&gt;=0)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8" xr:uid="{00000000-0002-0000-0300-000002000000}">
      <formula1>IF($C9=3,H9&lt;0,H9&gt;=0)</formula1>
    </dataValidation>
    <dataValidation type="custom" allowBlank="1" showErrorMessage="1" sqref="H98:L103" xr:uid="{00000000-0002-0000-0300-000003000000}">
      <formula1>IF($C98=8,H98&lt;0,H98&gt;=0)</formula1>
    </dataValidation>
    <dataValidation type="custom" allowBlank="1" showErrorMessage="1" sqref="H84:K84 H86:K86 H88:K88 H90:K90" xr:uid="{00000000-0002-0000-0300-000004000000}">
      <formula1>IF($C84=3,H84&lt;0,H84&gt;=0)</formula1>
    </dataValidation>
    <dataValidation type="decimal" allowBlank="1" showErrorMessage="1" sqref="E9:E38 F58:F73 E84:E92 E98:E103" xr:uid="{00000000-0002-0000-0300-000005000000}">
      <formula1>1</formula1>
      <formula2>99999999</formula2>
    </dataValidation>
    <dataValidation type="custom" allowBlank="1" showErrorMessage="1" sqref="L89:L90" xr:uid="{00000000-0002-0000-0300-000006000000}">
      <formula1>IF($C39=3,L39&lt;0,L39&gt;=0)</formula1>
    </dataValidation>
    <dataValidation type="decimal" allowBlank="1" showErrorMessage="1" sqref="C98:C103" xr:uid="{00000000-0002-0000-0300-000007000000}">
      <formula1>6</formula1>
      <formula2>8</formula2>
    </dataValidation>
    <dataValidation type="decimal" allowBlank="1" showErrorMessage="1" sqref="F9:F38 G58:G73 F84:F92 F98:F103" xr:uid="{00000000-0002-0000-0300-000008000000}">
      <formula1>20000000000</formula1>
      <formula2>33999999999</formula2>
    </dataValidation>
    <dataValidation type="date" allowBlank="1" showErrorMessage="1" sqref="B9:B38 B40:B43 D46:D51 D58:D73 B84:B92 B98:B103" xr:uid="{00000000-0002-0000-0300-000009000000}">
      <formula1>40179</formula1>
      <formula2>TODAY()</formula2>
    </dataValidation>
    <dataValidation type="decimal" allowBlank="1" showErrorMessage="1" sqref="D9:D38 E58:E73 D84:D92 D98:D103" xr:uid="{00000000-0002-0000-0300-00000A000000}">
      <formula1>1</formula1>
      <formula2>9999</formula2>
    </dataValidation>
    <dataValidation type="custom" allowBlank="1" showErrorMessage="1" sqref="L84:L85" xr:uid="{00000000-0002-0000-0300-00000B000000}">
      <formula1>IF($C33=3,L33&lt;0,L33&gt;=0)</formula1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DE9D9"/>
  </sheetPr>
  <dimension ref="A1:Z1000"/>
  <sheetViews>
    <sheetView showGridLines="0" topLeftCell="A7" zoomScale="80" zoomScaleNormal="80" workbookViewId="0">
      <selection activeCell="F109" sqref="F109:J113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14" customWidth="1"/>
    <col min="4" max="4" width="13.28515625" customWidth="1"/>
    <col min="5" max="6" width="17.7109375" customWidth="1"/>
    <col min="7" max="7" width="29.42578125" customWidth="1"/>
    <col min="8" max="8" width="20" customWidth="1"/>
    <col min="9" max="9" width="17.5703125" customWidth="1"/>
    <col min="10" max="10" width="19.2851562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EDATE('Abr-22'!N1,3)</f>
        <v>44743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SUM('Jul-22'!$H$45)+'Jul-22'!$G$62</f>
        <v>1408951.9690476193</v>
      </c>
      <c r="C4" s="351"/>
      <c r="D4" s="351"/>
      <c r="E4" s="352"/>
      <c r="F4" s="8"/>
      <c r="G4" s="365">
        <f>'Jul-22'!$I$45+'Jul-22'!$J$45+'Jul-22'!$K$45+'Jul-22'!$H$62+'Jul-22'!$I$62</f>
        <v>294269.69139999995</v>
      </c>
      <c r="H4" s="352"/>
      <c r="I4" s="8"/>
      <c r="J4" s="370">
        <f>'Jul-22'!$H$114+'Jul-22'!$H$125</f>
        <v>-961700.7</v>
      </c>
      <c r="K4" s="352"/>
      <c r="L4" s="8"/>
      <c r="M4" s="370">
        <f>'Jul-22'!$I$114+'Jul-22'!$J$114+'Jul-22'!$I$125+'Jul-22'!$J$125</f>
        <v>-85699.152000000002</v>
      </c>
      <c r="N4" s="352"/>
      <c r="O4" s="8"/>
      <c r="P4" s="358">
        <f>G4-M4</f>
        <v>379968.84339999995</v>
      </c>
      <c r="Q4" s="351"/>
      <c r="R4" s="352"/>
    </row>
    <row r="5" spans="1:19" ht="12.75" customHeight="1" x14ac:dyDescent="0.25"/>
    <row r="6" spans="1:19" ht="10.5" customHeight="1" x14ac:dyDescent="0.25"/>
    <row r="7" spans="1:19" ht="10.5" customHeight="1" x14ac:dyDescent="0.25">
      <c r="A7" s="9"/>
      <c r="B7" s="10"/>
      <c r="C7" s="11"/>
      <c r="D7" s="12"/>
      <c r="E7" s="13"/>
      <c r="F7" s="14"/>
      <c r="G7" s="15"/>
      <c r="H7" s="16"/>
      <c r="I7" s="17"/>
      <c r="J7" s="17"/>
      <c r="K7" s="17"/>
      <c r="L7" s="17"/>
      <c r="M7" s="17"/>
      <c r="N7" s="17"/>
      <c r="O7" s="17"/>
      <c r="P7" s="20"/>
      <c r="Q7" s="21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22" t="s">
        <v>2</v>
      </c>
      <c r="R8" s="22" t="s">
        <v>1545</v>
      </c>
    </row>
    <row r="9" spans="1:19" ht="18.75" customHeight="1" x14ac:dyDescent="0.25">
      <c r="B9" s="10">
        <v>44769</v>
      </c>
      <c r="C9" s="11">
        <v>1</v>
      </c>
      <c r="D9" s="12">
        <v>106</v>
      </c>
      <c r="E9" s="13">
        <v>547354</v>
      </c>
      <c r="F9" s="14">
        <v>30594494187</v>
      </c>
      <c r="G9" s="15" t="str">
        <f>IFERROR(IF('Jul-22'!$F9="","-",VLOOKUP('Jul-22'!$F9,Lista_CUIT!$A$1:$D$1871,2,0)),"CUIT NO CARGADO")</f>
        <v>FEDERAL EXPRESS CORPORATION</v>
      </c>
      <c r="H9" s="16">
        <v>8160</v>
      </c>
      <c r="I9" s="23">
        <f>IF('Jul-22'!$H9="","",'Jul-22'!$H9*0.21)</f>
        <v>1713.6</v>
      </c>
      <c r="J9" s="23"/>
      <c r="K9" s="23"/>
      <c r="L9" s="23"/>
      <c r="M9" s="23"/>
      <c r="N9" s="23"/>
      <c r="O9" s="23">
        <v>14380.38</v>
      </c>
      <c r="P9" s="20">
        <f>SUM('Jul-22'!$H9:$O9)</f>
        <v>24253.98</v>
      </c>
      <c r="Q9" s="21" t="str">
        <f>IFERROR(IF('Jul-22'!$F9="","-",VLOOKUP('Jul-22'!$F9,Lista_CUIT!$A$1:$D$1871,3,0)),"CUIT NO CARGADO")</f>
        <v>GTOS IMP.</v>
      </c>
      <c r="R9" s="21">
        <f>IFERROR(IF('Jul-22'!$F9="","-",VLOOKUP('Jul-22'!$F9,Lista_CUIT!$A$1:$D$1871,4,0)),"CUIT NO CARGADO")</f>
        <v>0</v>
      </c>
    </row>
    <row r="10" spans="1:19" ht="18.75" customHeight="1" x14ac:dyDescent="0.25">
      <c r="B10" s="10">
        <v>44769</v>
      </c>
      <c r="C10" s="11">
        <v>1</v>
      </c>
      <c r="D10" s="12">
        <v>700</v>
      </c>
      <c r="E10" s="13">
        <v>405289</v>
      </c>
      <c r="F10" s="14">
        <v>30580111315</v>
      </c>
      <c r="G10" s="15" t="str">
        <f>IFERROR(IF('Jul-22'!$F10="","-",VLOOKUP('Jul-22'!$F10,Lista_CUIT!$A$1:$D$1871,2,0)),"CUIT NO CARGADO")</f>
        <v>DHL EXPRESS ARG SA</v>
      </c>
      <c r="H10" s="16">
        <v>1839.23809523809</v>
      </c>
      <c r="I10" s="23">
        <f>IF('Jul-22'!$H10="","",'Jul-22'!$H10*0.21)</f>
        <v>386.23999999999887</v>
      </c>
      <c r="J10" s="23"/>
      <c r="K10" s="23"/>
      <c r="L10" s="23"/>
      <c r="M10" s="23"/>
      <c r="N10" s="23"/>
      <c r="O10" s="23">
        <v>15790.96</v>
      </c>
      <c r="P10" s="20">
        <f>SUM('Jul-22'!$H10:$O10)</f>
        <v>18016.438095238089</v>
      </c>
      <c r="Q10" s="21" t="str">
        <f>IFERROR(IF('Jul-22'!$F10="","-",VLOOKUP('Jul-22'!$F10,Lista_CUIT!$A$1:$D$1871,3,0)),"CUIT NO CARGADO")</f>
        <v>GTOS IMP.</v>
      </c>
      <c r="R10" s="21">
        <f>IFERROR(IF('Jul-22'!$F10="","-",VLOOKUP('Jul-22'!$F10,Lista_CUIT!$A$1:$D$1871,4,0)),"CUIT NO CARGADO")</f>
        <v>0</v>
      </c>
    </row>
    <row r="11" spans="1:19" ht="18.75" customHeight="1" x14ac:dyDescent="0.25">
      <c r="B11" s="10">
        <v>44768</v>
      </c>
      <c r="C11" s="11">
        <v>1</v>
      </c>
      <c r="D11" s="12">
        <v>106</v>
      </c>
      <c r="E11" s="13">
        <v>546945</v>
      </c>
      <c r="F11" s="14">
        <v>30594494187</v>
      </c>
      <c r="G11" s="15" t="str">
        <f>IFERROR(IF('Jul-22'!$F11="","-",VLOOKUP('Jul-22'!$F11,Lista_CUIT!$A$1:$D$1871,2,0)),"CUIT NO CARGADO")</f>
        <v>FEDERAL EXPRESS CORPORATION</v>
      </c>
      <c r="H11" s="16">
        <v>6528</v>
      </c>
      <c r="I11" s="23">
        <f>IF('Jul-22'!$H11="","",'Jul-22'!$H11*0.21)</f>
        <v>1370.8799999999999</v>
      </c>
      <c r="J11" s="23"/>
      <c r="K11" s="23"/>
      <c r="L11" s="23"/>
      <c r="M11" s="23"/>
      <c r="N11" s="23"/>
      <c r="O11" s="23">
        <v>4464.37</v>
      </c>
      <c r="P11" s="20">
        <f>SUM('Jul-22'!$H11:$O11)</f>
        <v>12363.25</v>
      </c>
      <c r="Q11" s="21" t="str">
        <f>IFERROR(IF('Jul-22'!$F11="","-",VLOOKUP('Jul-22'!$F11,Lista_CUIT!$A$1:$D$1871,3,0)),"CUIT NO CARGADO")</f>
        <v>GTOS IMP.</v>
      </c>
      <c r="R11" s="21">
        <f>IFERROR(IF('Jul-22'!$F11="","-",VLOOKUP('Jul-22'!$F11,Lista_CUIT!$A$1:$D$1871,4,0)),"CUIT NO CARGADO")</f>
        <v>0</v>
      </c>
    </row>
    <row r="12" spans="1:19" ht="18.75" customHeight="1" x14ac:dyDescent="0.25">
      <c r="B12" s="10">
        <v>44765</v>
      </c>
      <c r="C12" s="11">
        <v>1</v>
      </c>
      <c r="D12" s="12">
        <v>280</v>
      </c>
      <c r="E12" s="13">
        <v>1379638</v>
      </c>
      <c r="F12" s="14">
        <v>30580111315</v>
      </c>
      <c r="G12" s="15" t="str">
        <f>IFERROR(IF('Jul-22'!$F12="","-",VLOOKUP('Jul-22'!$F12,Lista_CUIT!$A$1:$D$1871,2,0)),"CUIT NO CARGADO")</f>
        <v>DHL EXPRESS ARG SA</v>
      </c>
      <c r="H12" s="16">
        <v>138562.32</v>
      </c>
      <c r="I12" s="23">
        <f>IF('Jul-22'!$H12="","",'Jul-22'!$H12*0.21)</f>
        <v>29098.087200000002</v>
      </c>
      <c r="J12" s="23"/>
      <c r="K12" s="23"/>
      <c r="L12" s="23"/>
      <c r="M12" s="23"/>
      <c r="N12" s="23"/>
      <c r="O12" s="23">
        <v>-113168.3098</v>
      </c>
      <c r="P12" s="20">
        <f>SUM('Jul-22'!$H12:$O12)</f>
        <v>54492.097400000013</v>
      </c>
      <c r="Q12" s="21" t="str">
        <f>IFERROR(IF('Jul-22'!$F12="","-",VLOOKUP('Jul-22'!$F12,Lista_CUIT!$A$1:$D$1871,3,0)),"CUIT NO CARGADO")</f>
        <v>GTOS IMP.</v>
      </c>
      <c r="R12" s="21">
        <f>IFERROR(IF('Jul-22'!$F12="","-",VLOOKUP('Jul-22'!$F12,Lista_CUIT!$A$1:$D$1871,4,0)),"CUIT NO CARGADO")</f>
        <v>0</v>
      </c>
    </row>
    <row r="13" spans="1:19" ht="18.75" customHeight="1" x14ac:dyDescent="0.25">
      <c r="B13" s="10">
        <v>44764</v>
      </c>
      <c r="C13" s="11">
        <v>1</v>
      </c>
      <c r="D13" s="12">
        <v>106</v>
      </c>
      <c r="E13" s="13">
        <v>546462</v>
      </c>
      <c r="F13" s="14">
        <v>30594494187</v>
      </c>
      <c r="G13" s="15" t="str">
        <f>IFERROR(IF('Jul-22'!$F13="","-",VLOOKUP('Jul-22'!$F13,Lista_CUIT!$A$1:$D$1871,2,0)),"CUIT NO CARGADO")</f>
        <v>FEDERAL EXPRESS CORPORATION</v>
      </c>
      <c r="H13" s="16">
        <v>6516</v>
      </c>
      <c r="I13" s="23">
        <f>IF('Jul-22'!$H13="","",'Jul-22'!$H13*0.21)</f>
        <v>1368.36</v>
      </c>
      <c r="J13" s="23"/>
      <c r="K13" s="23"/>
      <c r="L13" s="23"/>
      <c r="M13" s="23"/>
      <c r="N13" s="23"/>
      <c r="O13" s="23">
        <v>4456.42</v>
      </c>
      <c r="P13" s="20">
        <f>SUM('Jul-22'!$H13:$O13)</f>
        <v>12340.779999999999</v>
      </c>
      <c r="Q13" s="21" t="str">
        <f>IFERROR(IF('Jul-22'!$F13="","-",VLOOKUP('Jul-22'!$F13,Lista_CUIT!$A$1:$D$1871,3,0)),"CUIT NO CARGADO")</f>
        <v>GTOS IMP.</v>
      </c>
      <c r="R13" s="21">
        <f>IFERROR(IF('Jul-22'!$F13="","-",VLOOKUP('Jul-22'!$F13,Lista_CUIT!$A$1:$D$1871,4,0)),"CUIT NO CARGADO")</f>
        <v>0</v>
      </c>
    </row>
    <row r="14" spans="1:19" ht="18.75" customHeight="1" x14ac:dyDescent="0.25">
      <c r="B14" s="10">
        <v>44771</v>
      </c>
      <c r="C14" s="11">
        <v>1</v>
      </c>
      <c r="D14" s="12">
        <v>1</v>
      </c>
      <c r="E14" s="13">
        <v>2057</v>
      </c>
      <c r="F14" s="14">
        <v>30716872463</v>
      </c>
      <c r="G14" s="15" t="str">
        <f>IFERROR(IF('Jul-22'!$F14="","-",VLOOKUP('Jul-22'!$F14,Lista_CUIT!$A$1:$D$1871,2,0)),"CUIT NO CARGADO")</f>
        <v>COMERCIAL MGM SRL</v>
      </c>
      <c r="H14" s="16">
        <v>15477.69</v>
      </c>
      <c r="I14" s="23">
        <f>IF('Jul-22'!$H14="","",'Jul-22'!$H14*0.21)</f>
        <v>3250.3148999999999</v>
      </c>
      <c r="J14" s="23"/>
      <c r="K14" s="23"/>
      <c r="L14" s="23"/>
      <c r="M14" s="23"/>
      <c r="N14" s="23"/>
      <c r="O14" s="23"/>
      <c r="P14" s="20">
        <f>SUM('Jul-22'!$H14:$O14)</f>
        <v>18728.0049</v>
      </c>
      <c r="Q14" s="21" t="str">
        <f>IFERROR(IF('Jul-22'!$F14="","-",VLOOKUP('Jul-22'!$F14,Lista_CUIT!$A$1:$D$1871,3,0)),"CUIT NO CARGADO")</f>
        <v>Gastos Varios</v>
      </c>
      <c r="R14" s="21">
        <f>IFERROR(IF('Jul-22'!$F14="","-",VLOOKUP('Jul-22'!$F14,Lista_CUIT!$A$1:$D$1871,4,0)),"CUIT NO CARGADO")</f>
        <v>0</v>
      </c>
    </row>
    <row r="15" spans="1:19" ht="18.75" customHeight="1" x14ac:dyDescent="0.25">
      <c r="B15" s="10">
        <v>44770</v>
      </c>
      <c r="C15" s="11">
        <v>1</v>
      </c>
      <c r="D15" s="12">
        <v>7</v>
      </c>
      <c r="E15" s="13">
        <v>26104</v>
      </c>
      <c r="F15" s="14">
        <v>30715267450</v>
      </c>
      <c r="G15" s="15" t="str">
        <f>IFERROR(IF('Jul-22'!$F15="","-",VLOOKUP('Jul-22'!$F15,Lista_CUIT!$A$1:$D$1871,2,0)),"CUIT NO CARGADO")</f>
        <v>ARCHMAR SRL</v>
      </c>
      <c r="H15" s="16">
        <v>5247.71</v>
      </c>
      <c r="I15" s="23">
        <v>190.56</v>
      </c>
      <c r="J15" s="23"/>
      <c r="K15" s="23">
        <v>455.73</v>
      </c>
      <c r="L15" s="23"/>
      <c r="M15" s="23"/>
      <c r="N15" s="23"/>
      <c r="O15" s="23"/>
      <c r="P15" s="20">
        <f>SUM('Jul-22'!$H15:$O15)</f>
        <v>5894</v>
      </c>
      <c r="Q15" s="21" t="str">
        <f>IFERROR(IF('Jul-22'!$F15="","-",VLOOKUP('Jul-22'!$F15,Lista_CUIT!$A$1:$D$1871,3,0)),"CUIT NO CARGADO")</f>
        <v>Gastos Varios</v>
      </c>
      <c r="R15" s="21">
        <f>IFERROR(IF('Jul-22'!$F15="","-",VLOOKUP('Jul-22'!$F15,Lista_CUIT!$A$1:$D$1871,4,0)),"CUIT NO CARGADO")</f>
        <v>0</v>
      </c>
    </row>
    <row r="16" spans="1:19" ht="18.75" customHeight="1" x14ac:dyDescent="0.25">
      <c r="B16" s="10">
        <v>44771</v>
      </c>
      <c r="C16" s="11">
        <v>1</v>
      </c>
      <c r="D16" s="12">
        <v>7002</v>
      </c>
      <c r="E16" s="13">
        <v>5382</v>
      </c>
      <c r="F16" s="14">
        <v>30678774495</v>
      </c>
      <c r="G16" s="15" t="str">
        <f>IFERROR(IF('Jul-22'!$F16="","-",VLOOKUP('Jul-22'!$F16,Lista_CUIT!$A$1:$D$1871,2,0)),"CUIT NO CARGADO")</f>
        <v>OPER. DE EST. DE SERV. SA</v>
      </c>
      <c r="H16" s="16">
        <v>3465.06</v>
      </c>
      <c r="I16" s="23">
        <f>IF('Jul-22'!$H16="","",'Jul-22'!$H16*0.21)</f>
        <v>727.6626</v>
      </c>
      <c r="J16" s="23"/>
      <c r="K16" s="23"/>
      <c r="L16" s="23"/>
      <c r="M16" s="23"/>
      <c r="N16" s="23"/>
      <c r="O16" s="23">
        <v>807.29</v>
      </c>
      <c r="P16" s="20">
        <f>SUM('Jul-22'!$H16:$O16)</f>
        <v>5000.0126</v>
      </c>
      <c r="Q16" s="21" t="str">
        <f>IFERROR(IF('Jul-22'!$F16="","-",VLOOKUP('Jul-22'!$F16,Lista_CUIT!$A$1:$D$1871,3,0)),"CUIT NO CARGADO")</f>
        <v>COMBUSTIBLE</v>
      </c>
      <c r="R16" s="21">
        <f>IFERROR(IF('Jul-22'!$F16="","-",VLOOKUP('Jul-22'!$F16,Lista_CUIT!$A$1:$D$1871,4,0)),"CUIT NO CARGADO")</f>
        <v>0</v>
      </c>
    </row>
    <row r="17" spans="2:18" ht="18.75" customHeight="1" x14ac:dyDescent="0.25">
      <c r="B17" s="10">
        <v>44771</v>
      </c>
      <c r="C17" s="11">
        <v>1</v>
      </c>
      <c r="D17" s="12">
        <v>2</v>
      </c>
      <c r="E17" s="13">
        <v>2164</v>
      </c>
      <c r="F17" s="14">
        <v>30709131733</v>
      </c>
      <c r="G17" s="15" t="str">
        <f>IFERROR(IF('Jul-22'!$F17="","-",VLOOKUP('Jul-22'!$F17,Lista_CUIT!$A$1:$D$1871,2,0)),"CUIT NO CARGADO")</f>
        <v>DIGAS SRL</v>
      </c>
      <c r="H17" s="16">
        <v>346556.26</v>
      </c>
      <c r="I17" s="23">
        <f>IF('Jul-22'!$H17="","",'Jul-22'!$H17*0.21)</f>
        <v>72776.814599999998</v>
      </c>
      <c r="J17" s="23"/>
      <c r="K17" s="23"/>
      <c r="L17" s="23"/>
      <c r="M17" s="23"/>
      <c r="N17" s="23"/>
      <c r="O17" s="23"/>
      <c r="P17" s="20">
        <f>SUM('Jul-22'!$H17:$O17)</f>
        <v>419333.07459999999</v>
      </c>
      <c r="Q17" s="21" t="str">
        <f>IFERROR(IF('Jul-22'!$F17="","-",VLOOKUP('Jul-22'!$F17,Lista_CUIT!$A$1:$D$1871,3,0)),"CUIT NO CARGADO")</f>
        <v>INSUMO</v>
      </c>
      <c r="R17" s="21">
        <f>IFERROR(IF('Jul-22'!$F17="","-",VLOOKUP('Jul-22'!$F17,Lista_CUIT!$A$1:$D$1871,4,0)),"CUIT NO CARGADO")</f>
        <v>0</v>
      </c>
    </row>
    <row r="18" spans="2:18" ht="18.75" customHeight="1" x14ac:dyDescent="0.25">
      <c r="B18" s="10">
        <v>44740</v>
      </c>
      <c r="C18" s="11">
        <v>1</v>
      </c>
      <c r="D18" s="12">
        <v>4</v>
      </c>
      <c r="E18" s="13">
        <v>39923</v>
      </c>
      <c r="F18" s="14">
        <v>30679067431</v>
      </c>
      <c r="G18" s="15" t="str">
        <f>IFERROR(IF('Jul-22'!$F18="","-",VLOOKUP('Jul-22'!$F18,Lista_CUIT!$A$1:$D$1871,2,0)),"CUIT NO CARGADO")</f>
        <v>LIBRERÍA PELUFFO SRL</v>
      </c>
      <c r="H18" s="16">
        <v>2181.81</v>
      </c>
      <c r="I18" s="23">
        <f>IF('Jul-22'!$H18="","",'Jul-22'!$H18*0.21)</f>
        <v>458.18009999999998</v>
      </c>
      <c r="J18" s="23"/>
      <c r="K18" s="23"/>
      <c r="L18" s="23"/>
      <c r="M18" s="23"/>
      <c r="N18" s="23"/>
      <c r="O18" s="23"/>
      <c r="P18" s="20">
        <f>SUM('Jul-22'!$H18:$O18)</f>
        <v>2639.9901</v>
      </c>
      <c r="Q18" s="21" t="str">
        <f>IFERROR(IF('Jul-22'!$F18="","-",VLOOKUP('Jul-22'!$F18,Lista_CUIT!$A$1:$D$1871,3,0)),"CUIT NO CARGADO")</f>
        <v>INSUMO</v>
      </c>
      <c r="R18" s="21">
        <f>IFERROR(IF('Jul-22'!$F18="","-",VLOOKUP('Jul-22'!$F18,Lista_CUIT!$A$1:$D$1871,4,0)),"CUIT NO CARGADO")</f>
        <v>0</v>
      </c>
    </row>
    <row r="19" spans="2:18" ht="18.75" customHeight="1" x14ac:dyDescent="0.25">
      <c r="B19" s="10">
        <v>44762</v>
      </c>
      <c r="C19" s="11">
        <v>1</v>
      </c>
      <c r="D19" s="12">
        <v>2</v>
      </c>
      <c r="E19" s="13">
        <v>142</v>
      </c>
      <c r="F19" s="14">
        <v>20125142851</v>
      </c>
      <c r="G19" s="15" t="str">
        <f>IFERROR(IF('Jul-22'!$F19="","-",VLOOKUP('Jul-22'!$F19,Lista_CUIT!$A$1:$D$1871,2,0)),"CUIT NO CARGADO")</f>
        <v>FEDERICI NICOLAS JOSE</v>
      </c>
      <c r="H19" s="16">
        <v>5984</v>
      </c>
      <c r="I19" s="23">
        <f>IF('Jul-22'!$H19="","",'Jul-22'!$H19*0.21)</f>
        <v>1256.6399999999999</v>
      </c>
      <c r="J19" s="23"/>
      <c r="K19" s="23"/>
      <c r="L19" s="23"/>
      <c r="M19" s="23"/>
      <c r="N19" s="23"/>
      <c r="O19" s="23"/>
      <c r="P19" s="20">
        <f>SUM('Jul-22'!$H19:$O19)</f>
        <v>7240.6399999999994</v>
      </c>
      <c r="Q19" s="21" t="str">
        <f>IFERROR(IF('Jul-22'!$F19="","-",VLOOKUP('Jul-22'!$F19,Lista_CUIT!$A$1:$D$1871,3,0)),"CUIT NO CARGADO")</f>
        <v>INSUMO</v>
      </c>
      <c r="R19" s="21">
        <f>IFERROR(IF('Jul-22'!$F19="","-",VLOOKUP('Jul-22'!$F19,Lista_CUIT!$A$1:$D$1871,4,0)),"CUIT NO CARGADO")</f>
        <v>0</v>
      </c>
    </row>
    <row r="20" spans="2:18" ht="18.75" customHeight="1" x14ac:dyDescent="0.25">
      <c r="B20" s="10">
        <v>44762</v>
      </c>
      <c r="C20" s="11">
        <v>1</v>
      </c>
      <c r="D20" s="12">
        <v>2</v>
      </c>
      <c r="E20" s="13">
        <v>140</v>
      </c>
      <c r="F20" s="14">
        <v>20125142851</v>
      </c>
      <c r="G20" s="15" t="str">
        <f>IFERROR(IF('Jul-22'!$F20="","-",VLOOKUP('Jul-22'!$F20,Lista_CUIT!$A$1:$D$1871,2,0)),"CUIT NO CARGADO")</f>
        <v>FEDERICI NICOLAS JOSE</v>
      </c>
      <c r="H20" s="16">
        <v>19717.2</v>
      </c>
      <c r="I20" s="23">
        <f>IF('Jul-22'!$H20="","",'Jul-22'!$H20*0.21)</f>
        <v>4140.6120000000001</v>
      </c>
      <c r="J20" s="23"/>
      <c r="K20" s="23"/>
      <c r="L20" s="23"/>
      <c r="M20" s="23"/>
      <c r="N20" s="23"/>
      <c r="O20" s="23"/>
      <c r="P20" s="20">
        <f>SUM('Jul-22'!$H20:$O20)</f>
        <v>23857.812000000002</v>
      </c>
      <c r="Q20" s="21" t="str">
        <f>IFERROR(IF('Jul-22'!$F20="","-",VLOOKUP('Jul-22'!$F20,Lista_CUIT!$A$1:$D$1871,3,0)),"CUIT NO CARGADO")</f>
        <v>INSUMO</v>
      </c>
      <c r="R20" s="21">
        <f>IFERROR(IF('Jul-22'!$F20="","-",VLOOKUP('Jul-22'!$F20,Lista_CUIT!$A$1:$D$1871,4,0)),"CUIT NO CARGADO")</f>
        <v>0</v>
      </c>
    </row>
    <row r="21" spans="2:18" ht="18.75" customHeight="1" x14ac:dyDescent="0.25">
      <c r="B21" s="10">
        <v>44762</v>
      </c>
      <c r="C21" s="11">
        <v>1</v>
      </c>
      <c r="D21" s="12">
        <v>2</v>
      </c>
      <c r="E21" s="13">
        <v>141</v>
      </c>
      <c r="F21" s="14">
        <v>20125142851</v>
      </c>
      <c r="G21" s="15" t="str">
        <f>IFERROR(IF('Jul-22'!$F21="","-",VLOOKUP('Jul-22'!$F21,Lista_CUIT!$A$1:$D$1871,2,0)),"CUIT NO CARGADO")</f>
        <v>FEDERICI NICOLAS JOSE</v>
      </c>
      <c r="H21" s="16">
        <v>37209.599999999999</v>
      </c>
      <c r="I21" s="23">
        <f>IF('Jul-22'!$H21="","",'Jul-22'!$H21*0.21)</f>
        <v>7814.0159999999996</v>
      </c>
      <c r="J21" s="23"/>
      <c r="K21" s="23"/>
      <c r="L21" s="23"/>
      <c r="M21" s="23"/>
      <c r="N21" s="23"/>
      <c r="O21" s="23"/>
      <c r="P21" s="20">
        <f>SUM('Jul-22'!$H21:$O21)</f>
        <v>45023.615999999995</v>
      </c>
      <c r="Q21" s="21" t="str">
        <f>IFERROR(IF('Jul-22'!$F21="","-",VLOOKUP('Jul-22'!$F21,Lista_CUIT!$A$1:$D$1871,3,0)),"CUIT NO CARGADO")</f>
        <v>INSUMO</v>
      </c>
      <c r="R21" s="21">
        <f>IFERROR(IF('Jul-22'!$F21="","-",VLOOKUP('Jul-22'!$F21,Lista_CUIT!$A$1:$D$1871,4,0)),"CUIT NO CARGADO")</f>
        <v>0</v>
      </c>
    </row>
    <row r="22" spans="2:18" ht="18.75" customHeight="1" x14ac:dyDescent="0.25">
      <c r="B22" s="10">
        <v>44763</v>
      </c>
      <c r="C22" s="11">
        <v>1</v>
      </c>
      <c r="D22" s="12">
        <v>3</v>
      </c>
      <c r="E22" s="13">
        <v>1</v>
      </c>
      <c r="F22" s="14">
        <v>20297899830</v>
      </c>
      <c r="G22" s="15" t="str">
        <f>IFERROR(IF('Jul-22'!$F22="","-",VLOOKUP('Jul-22'!$F22,Lista_CUIT!$A$1:$D$1871,2,0)),"CUIT NO CARGADO")</f>
        <v>FUNK MATIAS NICOLAS</v>
      </c>
      <c r="H22" s="16">
        <v>55000</v>
      </c>
      <c r="I22" s="23">
        <f>IF('Jul-22'!$H22="","",'Jul-22'!$H22*0.21)</f>
        <v>11550</v>
      </c>
      <c r="J22" s="23"/>
      <c r="K22" s="23"/>
      <c r="L22" s="23"/>
      <c r="M22" s="23"/>
      <c r="N22" s="23"/>
      <c r="O22" s="23"/>
      <c r="P22" s="20">
        <f>SUM('Jul-22'!$H22:$O22)</f>
        <v>66550</v>
      </c>
      <c r="Q22" s="21" t="str">
        <f>IFERROR(IF('Jul-22'!$F22="","-",VLOOKUP('Jul-22'!$F22,Lista_CUIT!$A$1:$D$1871,3,0)),"CUIT NO CARGADO")</f>
        <v>Servicios Torneria</v>
      </c>
      <c r="R22" s="21">
        <f>IFERROR(IF('Jul-22'!$F22="","-",VLOOKUP('Jul-22'!$F22,Lista_CUIT!$A$1:$D$1871,4,0)),"CUIT NO CARGADO")</f>
        <v>0</v>
      </c>
    </row>
    <row r="23" spans="2:18" ht="18.75" customHeight="1" x14ac:dyDescent="0.25">
      <c r="B23" s="10">
        <v>44761</v>
      </c>
      <c r="C23" s="11">
        <v>1</v>
      </c>
      <c r="D23" s="12">
        <v>6</v>
      </c>
      <c r="E23" s="13">
        <v>14572</v>
      </c>
      <c r="F23" s="14">
        <v>30538456876</v>
      </c>
      <c r="G23" s="15" t="str">
        <f>IFERROR(IF('Jul-22'!$F23="","-",VLOOKUP('Jul-22'!$F23,Lista_CUIT!$A$1:$D$1871,2,0)),"CUIT NO CARGADO")</f>
        <v xml:space="preserve">RIO DE JANEIRO SA </v>
      </c>
      <c r="H23" s="16">
        <v>5997.67</v>
      </c>
      <c r="I23" s="23">
        <f>IF('Jul-22'!$H23="","",'Jul-22'!$H23*0.21)</f>
        <v>1259.5107</v>
      </c>
      <c r="J23" s="23"/>
      <c r="K23" s="23"/>
      <c r="L23" s="23"/>
      <c r="M23" s="23"/>
      <c r="N23" s="23"/>
      <c r="O23" s="23">
        <v>643.52</v>
      </c>
      <c r="P23" s="20">
        <f>SUM('Jul-22'!$H23:$O23)</f>
        <v>7900.7006999999994</v>
      </c>
      <c r="Q23" s="21" t="str">
        <f>IFERROR(IF('Jul-22'!$F23="","-",VLOOKUP('Jul-22'!$F23,Lista_CUIT!$A$1:$D$1871,3,0)),"CUIT NO CARGADO")</f>
        <v>COMBUSTIBLE</v>
      </c>
      <c r="R23" s="21">
        <f>IFERROR(IF('Jul-22'!$F23="","-",VLOOKUP('Jul-22'!$F23,Lista_CUIT!$A$1:$D$1871,4,0)),"CUIT NO CARGADO")</f>
        <v>0</v>
      </c>
    </row>
    <row r="24" spans="2:18" ht="18.75" customHeight="1" x14ac:dyDescent="0.25">
      <c r="B24" s="10">
        <v>44757</v>
      </c>
      <c r="C24" s="11">
        <v>1</v>
      </c>
      <c r="D24" s="12">
        <v>5</v>
      </c>
      <c r="E24" s="13">
        <v>5817</v>
      </c>
      <c r="F24" s="14">
        <v>30715357255</v>
      </c>
      <c r="G24" s="15" t="str">
        <f>IFERROR(IF('Jul-22'!$F24="","-",VLOOKUP('Jul-22'!$F24,Lista_CUIT!$A$1:$D$1871,2,0)),"CUIT NO CARGADO")</f>
        <v>LIBECOM SRL</v>
      </c>
      <c r="H24" s="16">
        <v>1584.56</v>
      </c>
      <c r="I24" s="23">
        <v>78.099999999999994</v>
      </c>
      <c r="J24" s="23"/>
      <c r="K24" s="23">
        <v>127.33</v>
      </c>
      <c r="L24" s="23"/>
      <c r="M24" s="23"/>
      <c r="N24" s="23"/>
      <c r="O24" s="23"/>
      <c r="P24" s="20">
        <f>SUM('Jul-22'!$H24:$O24)</f>
        <v>1789.9899999999998</v>
      </c>
      <c r="Q24" s="21" t="str">
        <f>IFERROR(IF('Jul-22'!$F24="","-",VLOOKUP('Jul-22'!$F24,Lista_CUIT!$A$1:$D$1871,3,0)),"CUIT NO CARGADO")</f>
        <v>Gastos Oficina</v>
      </c>
      <c r="R24" s="21">
        <f>IFERROR(IF('Jul-22'!$F24="","-",VLOOKUP('Jul-22'!$F24,Lista_CUIT!$A$1:$D$1871,4,0)),"CUIT NO CARGADO")</f>
        <v>0</v>
      </c>
    </row>
    <row r="25" spans="2:18" ht="18.75" customHeight="1" x14ac:dyDescent="0.25">
      <c r="B25" s="10">
        <v>44749</v>
      </c>
      <c r="C25" s="11">
        <v>1</v>
      </c>
      <c r="D25" s="12">
        <v>4</v>
      </c>
      <c r="E25" s="13">
        <v>12472</v>
      </c>
      <c r="F25" s="14">
        <v>30709362875</v>
      </c>
      <c r="G25" s="15" t="str">
        <f>IFERROR(IF('Jul-22'!$F25="","-",VLOOKUP('Jul-22'!$F25,Lista_CUIT!$A$1:$D$1871,2,0)),"CUIT NO CARGADO")</f>
        <v>ELINDAR SRL</v>
      </c>
      <c r="H25" s="16">
        <v>4845.07</v>
      </c>
      <c r="I25" s="23">
        <f>IF('Jul-22'!$H25="","",'Jul-22'!$H25*0.21)</f>
        <v>1017.4646999999999</v>
      </c>
      <c r="J25" s="23"/>
      <c r="K25" s="23"/>
      <c r="L25" s="23"/>
      <c r="M25" s="23"/>
      <c r="N25" s="23"/>
      <c r="O25" s="23"/>
      <c r="P25" s="20">
        <f>SUM('Jul-22'!$H25:$O25)</f>
        <v>5862.5346999999992</v>
      </c>
      <c r="Q25" s="21" t="str">
        <f>IFERROR(IF('Jul-22'!$F25="","-",VLOOKUP('Jul-22'!$F25,Lista_CUIT!$A$1:$D$1871,3,0)),"CUIT NO CARGADO")</f>
        <v>INSUMO</v>
      </c>
      <c r="R25" s="21">
        <f>IFERROR(IF('Jul-22'!$F25="","-",VLOOKUP('Jul-22'!$F25,Lista_CUIT!$A$1:$D$1871,4,0)),"CUIT NO CARGADO")</f>
        <v>0</v>
      </c>
    </row>
    <row r="26" spans="2:18" ht="18.75" customHeight="1" x14ac:dyDescent="0.25">
      <c r="B26" s="10">
        <v>44743</v>
      </c>
      <c r="C26" s="11">
        <v>1</v>
      </c>
      <c r="D26" s="12">
        <v>3</v>
      </c>
      <c r="E26" s="13">
        <v>550</v>
      </c>
      <c r="F26" s="14">
        <v>30715402765</v>
      </c>
      <c r="G26" s="15" t="str">
        <f>IFERROR(IF('Jul-22'!$F26="","-",VLOOKUP('Jul-22'!$F26,Lista_CUIT!$A$1:$D$1871,2,0)),"CUIT NO CARGADO")</f>
        <v>RIO 265 SRL</v>
      </c>
      <c r="H26" s="16">
        <v>7768.6</v>
      </c>
      <c r="I26" s="23">
        <f>IF('Jul-22'!$H26="","",'Jul-22'!$H26*0.21)</f>
        <v>1631.4059999999999</v>
      </c>
      <c r="J26" s="23"/>
      <c r="K26" s="23"/>
      <c r="L26" s="23"/>
      <c r="M26" s="23"/>
      <c r="N26" s="23"/>
      <c r="O26" s="23"/>
      <c r="P26" s="20">
        <f>SUM('Jul-22'!$H26:$O26)</f>
        <v>9400.0060000000012</v>
      </c>
      <c r="Q26" s="21" t="str">
        <f>IFERROR(IF('Jul-22'!$F26="","-",VLOOKUP('Jul-22'!$F26,Lista_CUIT!$A$1:$D$1871,3,0)),"CUIT NO CARGADO")</f>
        <v>GTOS VARIOS-ESTACIONAMIENTO HORACIO</v>
      </c>
      <c r="R26" s="21">
        <f>IFERROR(IF('Jul-22'!$F26="","-",VLOOKUP('Jul-22'!$F26,Lista_CUIT!$A$1:$D$1871,4,0)),"CUIT NO CARGADO")</f>
        <v>0</v>
      </c>
    </row>
    <row r="27" spans="2:18" ht="18.75" customHeight="1" x14ac:dyDescent="0.25">
      <c r="B27" s="10">
        <v>44743</v>
      </c>
      <c r="C27" s="11">
        <v>1</v>
      </c>
      <c r="D27" s="12">
        <v>3</v>
      </c>
      <c r="E27" s="13">
        <v>161635</v>
      </c>
      <c r="F27" s="14">
        <v>30707135596</v>
      </c>
      <c r="G27" s="15" t="str">
        <f>IFERROR(IF('Jul-22'!$F27="","-",VLOOKUP('Jul-22'!$F27,Lista_CUIT!$A$1:$D$1871,2,0)),"CUIT NO CARGADO")</f>
        <v>CITILAN ARGENTINA SA</v>
      </c>
      <c r="H27" s="16">
        <v>3133.28</v>
      </c>
      <c r="I27" s="23">
        <f>IF('Jul-22'!$H27="","",'Jul-22'!$H27*0.21)</f>
        <v>657.98879999999997</v>
      </c>
      <c r="J27" s="23"/>
      <c r="K27" s="23"/>
      <c r="L27" s="23"/>
      <c r="M27" s="23"/>
      <c r="N27" s="23"/>
      <c r="O27" s="23"/>
      <c r="P27" s="20">
        <f>SUM('Jul-22'!$H27:$O27)</f>
        <v>3791.2688000000003</v>
      </c>
      <c r="Q27" s="21" t="str">
        <f>IFERROR(IF('Jul-22'!$F27="","-",VLOOKUP('Jul-22'!$F27,Lista_CUIT!$A$1:$D$1871,3,0)),"CUIT NO CARGADO")</f>
        <v>SERVICIOS GAS, LUZ, ETC</v>
      </c>
      <c r="R27" s="21">
        <f>IFERROR(IF('Jul-22'!$F27="","-",VLOOKUP('Jul-22'!$F27,Lista_CUIT!$A$1:$D$1871,4,0)),"CUIT NO CARGADO")</f>
        <v>0</v>
      </c>
    </row>
    <row r="28" spans="2:18" ht="18.75" customHeight="1" x14ac:dyDescent="0.25">
      <c r="B28" s="10">
        <v>44747</v>
      </c>
      <c r="C28" s="11">
        <v>1</v>
      </c>
      <c r="D28" s="12">
        <v>2</v>
      </c>
      <c r="E28" s="13">
        <v>517</v>
      </c>
      <c r="F28" s="14">
        <v>20296550184</v>
      </c>
      <c r="G28" s="15" t="str">
        <f>IFERROR(IF('Jul-22'!$F28="","-",VLOOKUP('Jul-22'!$F28,Lista_CUIT!$A$1:$D$1871,2,0)),"CUIT NO CARGADO")</f>
        <v>COSTA DIEGO ALEJANDRO</v>
      </c>
      <c r="H28" s="16">
        <v>132001.5</v>
      </c>
      <c r="I28" s="23">
        <f>IF('Jul-22'!$H28="","",'Jul-22'!$H28*0.21)</f>
        <v>27720.314999999999</v>
      </c>
      <c r="J28" s="23"/>
      <c r="K28" s="23"/>
      <c r="L28" s="23"/>
      <c r="M28" s="23"/>
      <c r="N28" s="23"/>
      <c r="O28" s="23"/>
      <c r="P28" s="20">
        <f>SUM('Jul-22'!$H28:$O28)</f>
        <v>159721.815</v>
      </c>
      <c r="Q28" s="21" t="str">
        <f>IFERROR(IF('Jul-22'!$F28="","-",VLOOKUP('Jul-22'!$F28,Lista_CUIT!$A$1:$D$1871,3,0)),"CUIT NO CARGADO")</f>
        <v>MAT. PRIM.</v>
      </c>
      <c r="R28" s="21">
        <f>IFERROR(IF('Jul-22'!$F28="","-",VLOOKUP('Jul-22'!$F28,Lista_CUIT!$A$1:$D$1871,4,0)),"CUIT NO CARGADO")</f>
        <v>0</v>
      </c>
    </row>
    <row r="29" spans="2:18" ht="18.75" customHeight="1" x14ac:dyDescent="0.25">
      <c r="B29" s="10">
        <v>44746</v>
      </c>
      <c r="C29" s="11">
        <v>1</v>
      </c>
      <c r="D29" s="12">
        <v>1</v>
      </c>
      <c r="E29" s="13">
        <v>1508</v>
      </c>
      <c r="F29" s="14">
        <v>20299039367</v>
      </c>
      <c r="G29" s="15" t="str">
        <f>IFERROR(IF('Jul-22'!$F29="","-",VLOOKUP('Jul-22'!$F29,Lista_CUIT!$A$1:$D$1871,2,0)),"CUIT NO CARGADO")</f>
        <v>ALBERTO IVAN SIRTAUTAS</v>
      </c>
      <c r="H29" s="16">
        <v>1758.68</v>
      </c>
      <c r="I29" s="23">
        <f>IF('Jul-22'!$H29="","",'Jul-22'!$H29*0.21)</f>
        <v>369.32279999999997</v>
      </c>
      <c r="J29" s="23"/>
      <c r="K29" s="23"/>
      <c r="L29" s="23"/>
      <c r="M29" s="23"/>
      <c r="N29" s="23"/>
      <c r="O29" s="23"/>
      <c r="P29" s="20">
        <f>SUM('Jul-22'!$H29:$O29)</f>
        <v>2128.0028000000002</v>
      </c>
      <c r="Q29" s="21" t="str">
        <f>IFERROR(IF('Jul-22'!$F29="","-",VLOOKUP('Jul-22'!$F29,Lista_CUIT!$A$1:$D$1871,3,0)),"CUIT NO CARGADO")</f>
        <v>Gastos Varios</v>
      </c>
      <c r="R29" s="21">
        <f>IFERROR(IF('Jul-22'!$F29="","-",VLOOKUP('Jul-22'!$F29,Lista_CUIT!$A$1:$D$1871,4,0)),"CUIT NO CARGADO")</f>
        <v>0</v>
      </c>
    </row>
    <row r="30" spans="2:18" ht="18.75" customHeight="1" x14ac:dyDescent="0.25">
      <c r="B30" s="10">
        <v>44745</v>
      </c>
      <c r="C30" s="11">
        <v>1</v>
      </c>
      <c r="D30" s="12">
        <v>1</v>
      </c>
      <c r="E30" s="13">
        <v>362</v>
      </c>
      <c r="F30" s="14">
        <v>30716807084</v>
      </c>
      <c r="G30" s="15" t="str">
        <f>IFERROR(IF('Jul-22'!$F30="","-",VLOOKUP('Jul-22'!$F30,Lista_CUIT!$A$1:$D$1871,2,0)),"CUIT NO CARGADO")</f>
        <v>MEVAVE SAS</v>
      </c>
      <c r="H30" s="16">
        <v>1704.99</v>
      </c>
      <c r="I30" s="23">
        <v>42.95</v>
      </c>
      <c r="J30" s="23"/>
      <c r="K30" s="23">
        <v>157.55000000000001</v>
      </c>
      <c r="L30" s="23"/>
      <c r="M30" s="23"/>
      <c r="N30" s="23"/>
      <c r="O30" s="23"/>
      <c r="P30" s="20">
        <f>SUM('Jul-22'!$H30:$O30)</f>
        <v>1905.49</v>
      </c>
      <c r="Q30" s="21" t="str">
        <f>IFERROR(IF('Jul-22'!$F30="","-",VLOOKUP('Jul-22'!$F30,Lista_CUIT!$A$1:$D$1871,3,0)),"CUIT NO CARGADO")</f>
        <v>Gastos Oficina</v>
      </c>
      <c r="R30" s="21">
        <f>IFERROR(IF('Jul-22'!$F30="","-",VLOOKUP('Jul-22'!$F30,Lista_CUIT!$A$1:$D$1871,4,0)),"CUIT NO CARGADO")</f>
        <v>0</v>
      </c>
    </row>
    <row r="31" spans="2:18" ht="15.75" customHeight="1" x14ac:dyDescent="0.25">
      <c r="B31" s="10">
        <v>44748</v>
      </c>
      <c r="C31" s="11">
        <v>1</v>
      </c>
      <c r="D31" s="12">
        <v>6</v>
      </c>
      <c r="E31" s="13">
        <v>622</v>
      </c>
      <c r="F31" s="14">
        <v>30714971782</v>
      </c>
      <c r="G31" s="15" t="str">
        <f>IFERROR(IF('Jul-22'!$F31="","-",VLOOKUP('Jul-22'!$F31,Lista_CUIT!$A$1:$D$1871,2,0)),"CUIT NO CARGADO")</f>
        <v>PINTOS SHMIDT ALDANA MARCELA Y SACK ADRIANA CRISTINA SH</v>
      </c>
      <c r="H31" s="16">
        <v>4925.62</v>
      </c>
      <c r="I31" s="23">
        <f>IF('Jul-22'!$H31="","",'Jul-22'!$H31*0.21)</f>
        <v>1034.3801999999998</v>
      </c>
      <c r="J31" s="23"/>
      <c r="K31" s="23"/>
      <c r="L31" s="23"/>
      <c r="M31" s="23"/>
      <c r="N31" s="23"/>
      <c r="O31" s="23"/>
      <c r="P31" s="20">
        <f>SUM('Jul-22'!$H31:$O31)</f>
        <v>5960.0001999999995</v>
      </c>
      <c r="Q31" s="21" t="str">
        <f>IFERROR(IF('Jul-22'!$F31="","-",VLOOKUP('Jul-22'!$F31,Lista_CUIT!$A$1:$D$1871,3,0)),"CUIT NO CARGADO")</f>
        <v>INSUMO</v>
      </c>
      <c r="R31" s="21">
        <f>IFERROR(IF('Jul-22'!$F31="","-",VLOOKUP('Jul-22'!$F31,Lista_CUIT!$A$1:$D$1871,4,0)),"CUIT NO CARGADO")</f>
        <v>0</v>
      </c>
    </row>
    <row r="32" spans="2:18" ht="15.75" customHeight="1" x14ac:dyDescent="0.25">
      <c r="B32" s="10">
        <v>44744</v>
      </c>
      <c r="C32" s="11">
        <v>1</v>
      </c>
      <c r="D32" s="12">
        <v>3</v>
      </c>
      <c r="E32" s="13">
        <v>741</v>
      </c>
      <c r="F32" s="14">
        <v>30716146509</v>
      </c>
      <c r="G32" s="15" t="str">
        <f>IFERROR(IF('Jul-22'!$F32="","-",VLOOKUP('Jul-22'!$F32,Lista_CUIT!$A$1:$D$1871,2,0)),"CUIT NO CARGADO")</f>
        <v>ONLINE MARKET SRL</v>
      </c>
      <c r="H32" s="16">
        <v>1338.1</v>
      </c>
      <c r="I32" s="23">
        <f>IF('Jul-22'!$H32="","",'Jul-22'!$H32*0.21)</f>
        <v>281.00099999999998</v>
      </c>
      <c r="J32" s="23"/>
      <c r="K32" s="23"/>
      <c r="L32" s="23"/>
      <c r="M32" s="23"/>
      <c r="N32" s="23"/>
      <c r="O32" s="23"/>
      <c r="P32" s="20">
        <f>SUM('Jul-22'!$H32:$O32)</f>
        <v>1619.1009999999999</v>
      </c>
      <c r="Q32" s="21" t="str">
        <f>IFERROR(IF('Jul-22'!$F32="","-",VLOOKUP('Jul-22'!$F32,Lista_CUIT!$A$1:$D$1871,3,0)),"CUIT NO CARGADO")</f>
        <v>Gastos Oficina</v>
      </c>
      <c r="R32" s="21">
        <f>IFERROR(IF('Jul-22'!$F32="","-",VLOOKUP('Jul-22'!$F32,Lista_CUIT!$A$1:$D$1871,4,0)),"CUIT NO CARGADO")</f>
        <v>0</v>
      </c>
    </row>
    <row r="33" spans="1:26" ht="15.75" customHeight="1" x14ac:dyDescent="0.25">
      <c r="B33" s="10">
        <v>44747</v>
      </c>
      <c r="C33" s="11">
        <v>1</v>
      </c>
      <c r="D33" s="12">
        <v>3</v>
      </c>
      <c r="E33" s="13">
        <v>669</v>
      </c>
      <c r="F33" s="14">
        <v>30716328178</v>
      </c>
      <c r="G33" s="15" t="str">
        <f>IFERROR(IF('Jul-22'!$F33="","-",VLOOKUP('Jul-22'!$F33,Lista_CUIT!$A$1:$D$1871,2,0)),"CUIT NO CARGADO")</f>
        <v>AJAVISION SAS</v>
      </c>
      <c r="H33" s="16">
        <v>2586.21</v>
      </c>
      <c r="I33" s="23">
        <f>IF('Jul-22'!$H33="","",'Jul-22'!$H33*0.21)</f>
        <v>543.10410000000002</v>
      </c>
      <c r="J33" s="23"/>
      <c r="K33" s="23"/>
      <c r="L33" s="23"/>
      <c r="M33" s="23"/>
      <c r="N33" s="23"/>
      <c r="O33" s="23"/>
      <c r="P33" s="20">
        <f>SUM('Jul-22'!$H33:$O33)</f>
        <v>3129.3141000000001</v>
      </c>
      <c r="Q33" s="21" t="str">
        <f>IFERROR(IF('Jul-22'!$F33="","-",VLOOKUP('Jul-22'!$F33,Lista_CUIT!$A$1:$D$1871,3,0)),"CUIT NO CARGADO")</f>
        <v>Servicios Informatica</v>
      </c>
      <c r="R33" s="21">
        <f>IFERROR(IF('Jul-22'!$F33="","-",VLOOKUP('Jul-22'!$F33,Lista_CUIT!$A$1:$D$1871,4,0)),"CUIT NO CARGADO")</f>
        <v>0</v>
      </c>
    </row>
    <row r="34" spans="1:26" ht="15.75" customHeight="1" x14ac:dyDescent="0.25">
      <c r="B34" s="24">
        <v>44746</v>
      </c>
      <c r="C34" s="25">
        <v>1</v>
      </c>
      <c r="D34" s="26">
        <v>8</v>
      </c>
      <c r="E34" s="27">
        <v>65151</v>
      </c>
      <c r="F34" s="28">
        <v>30586172308</v>
      </c>
      <c r="G34" s="29" t="str">
        <f>IFERROR(IF('Jul-22'!$F34="","-",VLOOKUP('Jul-22'!$F34,Lista_CUIT!$A$1:$D$1871,2,0)),"CUIT NO CARGADO")</f>
        <v>SANTA FE COMERCIAL SRL</v>
      </c>
      <c r="H34" s="30">
        <v>413.22</v>
      </c>
      <c r="I34" s="31">
        <f>IF('Jul-22'!$H34="","",'Jul-22'!$H34*0.21)</f>
        <v>86.776200000000003</v>
      </c>
      <c r="J34" s="31"/>
      <c r="K34" s="31"/>
      <c r="L34" s="31"/>
      <c r="M34" s="31"/>
      <c r="N34" s="31"/>
      <c r="O34" s="31"/>
      <c r="P34" s="32">
        <f>SUM('Jul-22'!$H34:$O34)</f>
        <v>499.99620000000004</v>
      </c>
      <c r="Q34" s="33" t="str">
        <f>IFERROR(IF('Jul-22'!$F34="","-",VLOOKUP('Jul-22'!$F34,Lista_CUIT!$A$1:$D$1871,3,0)),"CUIT NO CARGADO")</f>
        <v>Gastos Varios</v>
      </c>
      <c r="R34" s="21">
        <f>IFERROR(IF('Jul-22'!$F34="","-",VLOOKUP('Jul-22'!$F34,Lista_CUIT!$A$1:$D$1871,4,0)),"CUIT NO CARGADO")</f>
        <v>0</v>
      </c>
    </row>
    <row r="35" spans="1:26" ht="15.75" customHeight="1" x14ac:dyDescent="0.25">
      <c r="B35" s="24">
        <v>44753</v>
      </c>
      <c r="C35" s="25">
        <v>1</v>
      </c>
      <c r="D35" s="26">
        <v>2466</v>
      </c>
      <c r="E35" s="27">
        <v>383725</v>
      </c>
      <c r="F35" s="28">
        <v>30678814357</v>
      </c>
      <c r="G35" s="29" t="str">
        <f>IFERROR(IF('Jul-22'!$F35="","-",VLOOKUP('Jul-22'!$F35,Lista_CUIT!$A$1:$D$1871,2,0)),"CUIT NO CARGADO")</f>
        <v>Telefonica Moviles Argentina SA</v>
      </c>
      <c r="H35" s="30">
        <v>1987</v>
      </c>
      <c r="I35" s="31"/>
      <c r="J35" s="31">
        <v>536.49</v>
      </c>
      <c r="K35" s="31"/>
      <c r="L35" s="31"/>
      <c r="M35" s="31"/>
      <c r="N35" s="31"/>
      <c r="O35" s="31">
        <v>104.58</v>
      </c>
      <c r="P35" s="32">
        <f>SUM('Jul-22'!$H35:$O35)</f>
        <v>2628.0699999999997</v>
      </c>
      <c r="Q35" s="33" t="str">
        <f>IFERROR(IF('Jul-22'!$F35="","-",VLOOKUP('Jul-22'!$F35,Lista_CUIT!$A$1:$D$1871,3,0)),"CUIT NO CARGADO")</f>
        <v>SERVICIOS GAS, LUZ, ETC</v>
      </c>
      <c r="R35" s="21">
        <f>IFERROR(IF('Jul-22'!$F35="","-",VLOOKUP('Jul-22'!$F35,Lista_CUIT!$A$1:$D$1871,4,0)),"CUIT NO CARGADO")</f>
        <v>0</v>
      </c>
    </row>
    <row r="36" spans="1:26" ht="15.75" customHeight="1" x14ac:dyDescent="0.25">
      <c r="B36" s="24">
        <v>44754</v>
      </c>
      <c r="C36" s="25">
        <v>1</v>
      </c>
      <c r="D36" s="26">
        <v>14</v>
      </c>
      <c r="E36" s="27">
        <v>98</v>
      </c>
      <c r="F36" s="28">
        <v>30711849587</v>
      </c>
      <c r="G36" s="29" t="str">
        <f>IFERROR(IF('Jul-22'!$F36="","-",VLOOKUP('Jul-22'!$F36,Lista_CUIT!$A$1:$D$1871,2,0)),"CUIT NO CARGADO")</f>
        <v>CORPORACION SAN JUSTO SA</v>
      </c>
      <c r="H36" s="30">
        <v>11487.6</v>
      </c>
      <c r="I36" s="31">
        <f>IF('Jul-22'!$H36="","",'Jul-22'!$H36*0.21)</f>
        <v>2412.3960000000002</v>
      </c>
      <c r="J36" s="31"/>
      <c r="K36" s="31"/>
      <c r="L36" s="31"/>
      <c r="M36" s="31"/>
      <c r="N36" s="31"/>
      <c r="O36" s="31"/>
      <c r="P36" s="32">
        <f>SUM('Jul-22'!$H36:$O36)</f>
        <v>13899.996000000001</v>
      </c>
      <c r="Q36" s="33" t="str">
        <f>IFERROR(IF('Jul-22'!$F36="","-",VLOOKUP('Jul-22'!$F36,Lista_CUIT!$A$1:$D$1871,3,0)),"CUIT NO CARGADO")</f>
        <v>Gastos Varios</v>
      </c>
      <c r="R36" s="21">
        <f>IFERROR(IF('Jul-22'!$F36="","-",VLOOKUP('Jul-22'!$F36,Lista_CUIT!$A$1:$D$1871,4,0)),"CUIT NO CARGADO")</f>
        <v>0</v>
      </c>
    </row>
    <row r="37" spans="1:26" ht="15.75" customHeight="1" x14ac:dyDescent="0.25">
      <c r="B37" s="24">
        <v>44765</v>
      </c>
      <c r="C37" s="25">
        <v>1</v>
      </c>
      <c r="D37" s="26">
        <v>122</v>
      </c>
      <c r="E37" s="27">
        <v>248172</v>
      </c>
      <c r="F37" s="28">
        <v>30594494187</v>
      </c>
      <c r="G37" s="29" t="str">
        <f>IFERROR(IF('Jul-22'!$F37="","-",VLOOKUP('Jul-22'!$F37,Lista_CUIT!$A$1:$D$1871,2,0)),"CUIT NO CARGADO")</f>
        <v>FEDERAL EXPRESS CORPORATION</v>
      </c>
      <c r="H37" s="30">
        <v>7784.4</v>
      </c>
      <c r="I37" s="31">
        <f>IF('Jul-22'!$H37="","",'Jul-22'!$H37*0.21)</f>
        <v>1634.7239999999999</v>
      </c>
      <c r="J37" s="31"/>
      <c r="K37" s="31"/>
      <c r="L37" s="31"/>
      <c r="M37" s="31"/>
      <c r="N37" s="31"/>
      <c r="O37" s="31">
        <v>14380.38</v>
      </c>
      <c r="P37" s="32">
        <f>SUM('Jul-22'!$H37:$O37)</f>
        <v>23799.504000000001</v>
      </c>
      <c r="Q37" s="33" t="str">
        <f>IFERROR(IF('Jul-22'!$F37="","-",VLOOKUP('Jul-22'!$F37,Lista_CUIT!$A$1:$D$1871,3,0)),"CUIT NO CARGADO")</f>
        <v>GTOS IMP.</v>
      </c>
      <c r="R37" s="21">
        <f>IFERROR(IF('Jul-22'!$F37="","-",VLOOKUP('Jul-22'!$F37,Lista_CUIT!$A$1:$D$1871,4,0)),"CUIT NO CARGADO")</f>
        <v>0</v>
      </c>
    </row>
    <row r="38" spans="1:26" ht="18" customHeight="1" x14ac:dyDescent="0.25">
      <c r="A38" s="50"/>
      <c r="B38" s="24">
        <v>44769</v>
      </c>
      <c r="C38" s="25">
        <v>1</v>
      </c>
      <c r="D38" s="26">
        <v>3</v>
      </c>
      <c r="E38" s="27">
        <v>985936</v>
      </c>
      <c r="F38" s="28">
        <v>30712019359</v>
      </c>
      <c r="G38" s="29" t="str">
        <f>IFERROR(IF('Jul-22'!$F38="","-",VLOOKUP('Jul-22'!$F38,Lista_CUIT!$A$1:$D$1871,2,0)),"CUIT NO CARGADO")</f>
        <v>LINKEDSTORE ARGENTINA S.R.L.</v>
      </c>
      <c r="H38" s="30">
        <v>2478.5100000000002</v>
      </c>
      <c r="I38" s="31">
        <f>IF('Jul-22'!$H38="","",'Jul-22'!$H38*0.21)</f>
        <v>520.48710000000005</v>
      </c>
      <c r="J38" s="31"/>
      <c r="K38" s="31"/>
      <c r="L38" s="31"/>
      <c r="M38" s="31"/>
      <c r="N38" s="31"/>
      <c r="O38" s="31"/>
      <c r="P38" s="32">
        <f>SUM('Jul-22'!$H38:$O38)</f>
        <v>2998.9971000000005</v>
      </c>
      <c r="Q38" s="33" t="str">
        <f>IFERROR(IF('Jul-22'!$F38="","-",VLOOKUP('Jul-22'!$F38,Lista_CUIT!$A$1:$D$1871,3,0)),"CUIT NO CARGADO")</f>
        <v>Gastos Varios</v>
      </c>
      <c r="R38" s="21">
        <f>IFERROR(IF('Jul-22'!$F38="","-",VLOOKUP('Jul-22'!$F38,Lista_CUIT!$A$1:$D$1871,4,0)),"CUIT NO CARGADO")</f>
        <v>0</v>
      </c>
      <c r="S38" s="50"/>
      <c r="T38" s="50"/>
      <c r="U38" s="50"/>
      <c r="V38" s="50"/>
      <c r="W38" s="50"/>
      <c r="X38" s="50"/>
      <c r="Y38" s="50"/>
      <c r="Z38" s="50"/>
    </row>
    <row r="39" spans="1:26" ht="15.75" customHeight="1" x14ac:dyDescent="0.25">
      <c r="B39" s="24">
        <v>44770</v>
      </c>
      <c r="C39" s="25">
        <v>1</v>
      </c>
      <c r="D39" s="26">
        <v>9</v>
      </c>
      <c r="E39" s="27">
        <v>46850</v>
      </c>
      <c r="F39" s="28">
        <v>33715571639</v>
      </c>
      <c r="G39" s="29" t="str">
        <f>IFERROR(IF('Jul-22'!$F39="","-",VLOOKUP('Jul-22'!$F39,Lista_CUIT!$A$1:$D$1871,2,0)),"CUIT NO CARGADO")</f>
        <v>DUAITEK SRL</v>
      </c>
      <c r="H39" s="30">
        <v>701.64</v>
      </c>
      <c r="I39" s="31">
        <f>IF('Jul-22'!$H39="","",'Jul-22'!$H39*0.21)</f>
        <v>147.34439999999998</v>
      </c>
      <c r="J39" s="31"/>
      <c r="K39" s="31"/>
      <c r="L39" s="31"/>
      <c r="M39" s="31"/>
      <c r="N39" s="31"/>
      <c r="O39" s="31"/>
      <c r="P39" s="32">
        <f>SUM('Jul-22'!$H39:$O39)</f>
        <v>848.98439999999994</v>
      </c>
      <c r="Q39" s="33" t="str">
        <f>IFERROR(IF('Jul-22'!$F39="","-",VLOOKUP('Jul-22'!$F39,Lista_CUIT!$A$1:$D$1871,3,0)),"CUIT NO CARGADO")</f>
        <v>Gastos Varios</v>
      </c>
      <c r="R39" s="21">
        <f>IFERROR(IF('Jul-22'!$F39="","-",VLOOKUP('Jul-22'!$F39,Lista_CUIT!$A$1:$D$1871,4,0)),"CUIT NO CARGADO")</f>
        <v>0</v>
      </c>
    </row>
    <row r="40" spans="1:26" ht="15.75" customHeight="1" x14ac:dyDescent="0.25">
      <c r="B40" s="24">
        <v>44771</v>
      </c>
      <c r="C40" s="25">
        <v>1</v>
      </c>
      <c r="D40" s="26">
        <v>3</v>
      </c>
      <c r="E40" s="27">
        <v>5735</v>
      </c>
      <c r="F40" s="28">
        <v>20141343700</v>
      </c>
      <c r="G40" s="29" t="str">
        <f>IFERROR(IF('Jul-22'!$F40="","-",VLOOKUP('Jul-22'!$F40,Lista_CUIT!$A$1:$D$1871,2,0)),"CUIT NO CARGADO")</f>
        <v>Roberto A Caffaro</v>
      </c>
      <c r="H40" s="30">
        <v>9417.5</v>
      </c>
      <c r="I40" s="31"/>
      <c r="J40" s="31"/>
      <c r="K40" s="31">
        <v>988.83749999999998</v>
      </c>
      <c r="L40" s="31"/>
      <c r="M40" s="31"/>
      <c r="N40" s="31"/>
      <c r="O40" s="31"/>
      <c r="P40" s="32">
        <f>SUM('Jul-22'!$H40:$O40)</f>
        <v>10406.3375</v>
      </c>
      <c r="Q40" s="33" t="str">
        <f>IFERROR(IF('Jul-22'!$F40="","-",VLOOKUP('Jul-22'!$F40,Lista_CUIT!$A$1:$D$1871,3,0)),"CUIT NO CARGADO")</f>
        <v>MAT. PRIM.</v>
      </c>
      <c r="R40" s="21">
        <f>IFERROR(IF('Jul-22'!$F40="","-",VLOOKUP('Jul-22'!$F40,Lista_CUIT!$A$1:$D$1871,4,0)),"CUIT NO CARGADO")</f>
        <v>0</v>
      </c>
    </row>
    <row r="41" spans="1:26" ht="15.75" customHeight="1" x14ac:dyDescent="0.25">
      <c r="B41" s="24">
        <v>44762</v>
      </c>
      <c r="C41" s="25">
        <v>3</v>
      </c>
      <c r="D41" s="26">
        <v>1</v>
      </c>
      <c r="E41" s="27">
        <v>25</v>
      </c>
      <c r="F41" s="28">
        <v>30715048066</v>
      </c>
      <c r="G41" s="29" t="str">
        <f>IFERROR(IF('Jul-22'!$F41="","-",VLOOKUP('Jul-22'!$F41,Lista_CUIT!$A$1:$D$1871,2,0)),"CUIT NO CARGADO")</f>
        <v>ROLLS Y EMPANADAS SA</v>
      </c>
      <c r="H41" s="30">
        <v>-81105</v>
      </c>
      <c r="I41" s="31">
        <f>IF('Jul-22'!$H41="","",'Jul-22'!$H41*0.21)</f>
        <v>-17032.05</v>
      </c>
      <c r="J41" s="31"/>
      <c r="K41" s="31"/>
      <c r="L41" s="31"/>
      <c r="M41" s="31"/>
      <c r="N41" s="31"/>
      <c r="O41" s="31"/>
      <c r="P41" s="32">
        <f>SUM('Jul-22'!$H41:$O41)</f>
        <v>-98137.05</v>
      </c>
      <c r="Q41" s="33" t="str">
        <f>IFERROR(IF('Jul-22'!$F41="","-",VLOOKUP('Jul-22'!$F41,Lista_CUIT!$A$1:$D$1871,3,0)),"CUIT NO CARGADO")</f>
        <v>CATERING</v>
      </c>
      <c r="R41" s="21">
        <f>IFERROR(IF('Jul-22'!$F41="","-",VLOOKUP('Jul-22'!$F41,Lista_CUIT!$A$1:$D$1871,4,0)),"CUIT NO CARGADO")</f>
        <v>0</v>
      </c>
    </row>
    <row r="42" spans="1:26" ht="14.25" customHeight="1" x14ac:dyDescent="0.25">
      <c r="B42" s="24">
        <v>44767</v>
      </c>
      <c r="C42" s="25">
        <v>3</v>
      </c>
      <c r="D42" s="26">
        <v>122</v>
      </c>
      <c r="E42" s="27">
        <v>39607</v>
      </c>
      <c r="F42" s="28">
        <v>30594494187</v>
      </c>
      <c r="G42" s="29" t="str">
        <f>IFERROR(IF('Jul-22'!$F42="","-",VLOOKUP('Jul-22'!$F42,Lista_CUIT!$A$1:$D$1871,2,0)),"CUIT NO CARGADO")</f>
        <v>FEDERAL EXPRESS CORPORATION</v>
      </c>
      <c r="H42" s="30">
        <v>-7784.4</v>
      </c>
      <c r="I42" s="31">
        <f>IF('Jul-22'!$H42="","",'Jul-22'!$H42*0.21)</f>
        <v>-1634.7239999999999</v>
      </c>
      <c r="J42" s="31"/>
      <c r="K42" s="31"/>
      <c r="L42" s="31"/>
      <c r="M42" s="31"/>
      <c r="N42" s="31"/>
      <c r="O42" s="31">
        <v>-14380.38</v>
      </c>
      <c r="P42" s="32">
        <f>SUM('Jul-22'!$H42:$O42)</f>
        <v>-23799.504000000001</v>
      </c>
      <c r="Q42" s="33" t="str">
        <f>IFERROR(IF('Jul-22'!$F42="","-",VLOOKUP('Jul-22'!$F42,Lista_CUIT!$A$1:$D$1871,3,0)),"CUIT NO CARGADO")</f>
        <v>GTOS IMP.</v>
      </c>
      <c r="R42" s="21">
        <f>IFERROR(IF('Jul-22'!$F42="","-",VLOOKUP('Jul-22'!$F42,Lista_CUIT!$A$1:$D$1871,4,0)),"CUIT NO CARGADO")</f>
        <v>0</v>
      </c>
    </row>
    <row r="43" spans="1:26" ht="22.5" customHeight="1" x14ac:dyDescent="0.25">
      <c r="B43" s="24">
        <v>44771</v>
      </c>
      <c r="C43" s="25">
        <v>1</v>
      </c>
      <c r="D43" s="26">
        <v>1</v>
      </c>
      <c r="E43" s="27">
        <v>484</v>
      </c>
      <c r="F43" s="28">
        <v>30715048066</v>
      </c>
      <c r="G43" s="29" t="str">
        <f>IFERROR(IF('Jul-22'!$F43="","-",VLOOKUP('Jul-22'!$F43,Lista_CUIT!$A$1:$D$1871,2,0)),"CUIT NO CARGADO")</f>
        <v>ROLLS Y EMPANADAS SA</v>
      </c>
      <c r="H43" s="30">
        <v>105405</v>
      </c>
      <c r="I43" s="31">
        <f>IF('Jul-22'!$H43="","",'Jul-22'!$H43*0.21)</f>
        <v>22135.05</v>
      </c>
      <c r="J43" s="31"/>
      <c r="K43" s="31"/>
      <c r="L43" s="31"/>
      <c r="M43" s="31"/>
      <c r="N43" s="31"/>
      <c r="O43" s="31"/>
      <c r="P43" s="32">
        <f>SUM('Jul-22'!$H43:$O43)</f>
        <v>127540.05</v>
      </c>
      <c r="Q43" s="33" t="str">
        <f>IFERROR(IF('Jul-22'!$F43="","-",VLOOKUP('Jul-22'!$F43,Lista_CUIT!$A$1:$D$1871,3,0)),"CUIT NO CARGADO")</f>
        <v>CATERING</v>
      </c>
      <c r="R43" s="21">
        <f>IFERROR(IF('Jul-22'!$F43="","-",VLOOKUP('Jul-22'!$F43,Lista_CUIT!$A$1:$D$1871,4,0)),"CUIT NO CARGADO")</f>
        <v>0</v>
      </c>
    </row>
    <row r="44" spans="1:26" ht="25.5" customHeight="1" x14ac:dyDescent="0.25">
      <c r="B44" s="24">
        <v>44771</v>
      </c>
      <c r="C44" s="25">
        <v>1</v>
      </c>
      <c r="D44" s="26">
        <v>5</v>
      </c>
      <c r="E44" s="27">
        <v>697</v>
      </c>
      <c r="F44" s="28">
        <v>30707397256</v>
      </c>
      <c r="G44" s="29" t="str">
        <f>IFERROR(IF('Jul-22'!$F44="","-",VLOOKUP('Jul-22'!$F44,Lista_CUIT!$A$1:$D$1871,2,0)),"CUIT NO CARGADO")</f>
        <v>GRAFICA Y FOTOGRABADOS LA PLAZA SRL</v>
      </c>
      <c r="H44" s="30">
        <v>519889.5</v>
      </c>
      <c r="I44" s="31">
        <f>IF('Jul-22'!$H44="","",'Jul-22'!$H44*0.21)</f>
        <v>109176.795</v>
      </c>
      <c r="J44" s="31"/>
      <c r="K44" s="31"/>
      <c r="L44" s="31"/>
      <c r="M44" s="31"/>
      <c r="N44" s="31"/>
      <c r="O44" s="31"/>
      <c r="P44" s="32">
        <f>SUM('Jul-22'!$H44:$O44)</f>
        <v>629066.29500000004</v>
      </c>
      <c r="Q44" s="33" t="str">
        <f>IFERROR(IF('Jul-22'!$F44="","-",VLOOKUP('Jul-22'!$F44,Lista_CUIT!$A$1:$D$1871,3,0)),"CUIT NO CARGADO")</f>
        <v>Fotograbados</v>
      </c>
      <c r="R44" s="21">
        <f>IFERROR(IF('Jul-22'!$F44="","-",VLOOKUP('Jul-22'!$F44,Lista_CUIT!$A$1:$D$1871,4,0)),"CUIT NO CARGADO")</f>
        <v>0</v>
      </c>
    </row>
    <row r="45" spans="1:26" ht="18" customHeight="1" x14ac:dyDescent="0.25">
      <c r="A45" s="50"/>
      <c r="B45" s="21" t="s">
        <v>1546</v>
      </c>
      <c r="C45" s="21"/>
      <c r="D45" s="21"/>
      <c r="E45" s="21"/>
      <c r="F45" s="21"/>
      <c r="G45" s="15"/>
      <c r="H45" s="16">
        <f>SUBTOTAL(109,'Jul-22'!$H$9:$H$44)</f>
        <v>1390764.1380952382</v>
      </c>
      <c r="I45" s="16">
        <f>SUBTOTAL(109,'Jul-22'!$I$9:$I$44)</f>
        <v>288184.30939999997</v>
      </c>
      <c r="J45" s="16">
        <f>SUBTOTAL(109,'Jul-22'!$J$9:$J$44)</f>
        <v>536.49</v>
      </c>
      <c r="K45" s="16">
        <f>SUBTOTAL(109,'Jul-22'!$K$9:$K$44)</f>
        <v>1729.4475000000002</v>
      </c>
      <c r="L45" s="16">
        <f>SUBTOTAL(109,'Jul-22'!$L$9:$L$44)</f>
        <v>0</v>
      </c>
      <c r="M45" s="16">
        <f>SUBTOTAL(109,'Jul-22'!$M$9:$M$44)</f>
        <v>0</v>
      </c>
      <c r="N45" s="16">
        <f>SUBTOTAL(109,'Jul-22'!$N$9:$N$44)</f>
        <v>0</v>
      </c>
      <c r="O45" s="16">
        <f>SUBTOTAL(109,'Jul-22'!$O$9:$O$44)</f>
        <v>-72520.789799999999</v>
      </c>
      <c r="P45" s="16">
        <f>SUBTOTAL(109,'Jul-22'!$P$9:$P$44)</f>
        <v>1608693.5951952385</v>
      </c>
      <c r="Q45" s="21"/>
      <c r="R45" s="21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x14ac:dyDescent="0.25">
      <c r="B46" s="10"/>
      <c r="C46" s="11"/>
      <c r="D46" s="12"/>
      <c r="E46" s="13"/>
      <c r="F46" s="14"/>
      <c r="G46" s="15"/>
      <c r="H46" s="16"/>
      <c r="I46" s="17"/>
      <c r="J46" s="17"/>
      <c r="K46" s="17"/>
      <c r="L46" s="17"/>
      <c r="M46" s="17"/>
      <c r="N46" s="17"/>
      <c r="O46" s="17"/>
      <c r="P46" s="20"/>
      <c r="Q46" s="21"/>
      <c r="R46" s="21"/>
    </row>
    <row r="47" spans="1:26" ht="15.75" customHeight="1" x14ac:dyDescent="0.25">
      <c r="B47" s="10"/>
      <c r="C47" s="11"/>
      <c r="D47" s="12"/>
      <c r="E47" s="13"/>
      <c r="F47" s="14"/>
      <c r="G47" s="15"/>
      <c r="H47" s="15"/>
      <c r="I47" s="17"/>
      <c r="J47" s="17"/>
      <c r="K47" s="17"/>
      <c r="L47" s="17"/>
      <c r="M47" s="17"/>
      <c r="N47" s="17"/>
      <c r="O47" s="17"/>
      <c r="P47" s="20"/>
      <c r="Q47" s="21"/>
      <c r="R47" s="21"/>
    </row>
    <row r="48" spans="1:26" ht="15.75" customHeight="1" x14ac:dyDescent="0.25">
      <c r="B48" s="10"/>
      <c r="C48" s="11"/>
      <c r="D48" s="12"/>
      <c r="E48" s="13"/>
      <c r="F48" s="14"/>
      <c r="G48" s="15"/>
      <c r="H48" s="16"/>
      <c r="I48" s="17"/>
      <c r="J48" s="17"/>
      <c r="K48" s="17"/>
      <c r="L48" s="17"/>
      <c r="M48" s="17"/>
      <c r="N48" s="17"/>
      <c r="O48" s="17"/>
      <c r="P48" s="20"/>
      <c r="Q48" s="21"/>
      <c r="R48" s="21"/>
    </row>
    <row r="49" spans="2:12" ht="15.75" customHeight="1" x14ac:dyDescent="0.25">
      <c r="B49" s="10"/>
      <c r="C49" s="11"/>
      <c r="D49" s="12"/>
      <c r="E49" s="13"/>
      <c r="F49" s="14"/>
      <c r="G49" s="15"/>
      <c r="H49" s="16"/>
      <c r="I49" s="17"/>
      <c r="J49" s="17"/>
      <c r="K49" s="17"/>
      <c r="L49" s="17"/>
    </row>
    <row r="50" spans="2:12" ht="15.75" customHeight="1" x14ac:dyDescent="0.25">
      <c r="D50" s="359" t="s">
        <v>1547</v>
      </c>
      <c r="E50" s="351"/>
      <c r="F50" s="351"/>
      <c r="G50" s="351"/>
      <c r="H50" s="351"/>
      <c r="I50" s="351"/>
      <c r="J50" s="351"/>
      <c r="K50" s="351"/>
      <c r="L50" s="352"/>
    </row>
    <row r="51" spans="2:12" ht="15.75" customHeight="1" x14ac:dyDescent="0.25">
      <c r="D51" s="36" t="s">
        <v>1532</v>
      </c>
      <c r="E51" s="37" t="s">
        <v>1548</v>
      </c>
      <c r="F51" s="37" t="s">
        <v>1549</v>
      </c>
      <c r="G51" s="37" t="s">
        <v>1550</v>
      </c>
      <c r="H51" s="37" t="s">
        <v>1551</v>
      </c>
      <c r="I51" s="37" t="s">
        <v>1539</v>
      </c>
      <c r="J51" s="38" t="s">
        <v>1552</v>
      </c>
      <c r="K51" s="38" t="s">
        <v>1553</v>
      </c>
      <c r="L51" s="39" t="s">
        <v>1554</v>
      </c>
    </row>
    <row r="52" spans="2:12" ht="15.75" customHeight="1" x14ac:dyDescent="0.25">
      <c r="D52" s="10"/>
      <c r="E52" s="99"/>
      <c r="F52" s="98" t="s">
        <v>1555</v>
      </c>
      <c r="G52" s="42">
        <v>3706.3809523809523</v>
      </c>
      <c r="H52" s="42">
        <v>778.33999999999992</v>
      </c>
      <c r="I52" s="42"/>
      <c r="J52" s="42"/>
      <c r="K52" s="42"/>
      <c r="L52" s="42"/>
    </row>
    <row r="53" spans="2:12" ht="15.75" customHeight="1" x14ac:dyDescent="0.25">
      <c r="D53" s="10">
        <v>44743</v>
      </c>
      <c r="E53" s="99" t="s">
        <v>1591</v>
      </c>
      <c r="F53" s="98" t="s">
        <v>1592</v>
      </c>
      <c r="G53" s="42">
        <v>14401.45</v>
      </c>
      <c r="H53" s="42">
        <v>3024.3045000000002</v>
      </c>
      <c r="I53" s="42"/>
      <c r="J53" s="42"/>
      <c r="K53" s="42">
        <v>432.04</v>
      </c>
      <c r="L53" s="42"/>
    </row>
    <row r="54" spans="2:12" ht="15.75" customHeight="1" x14ac:dyDescent="0.25">
      <c r="D54" s="10"/>
      <c r="E54" s="99"/>
      <c r="F54" s="98" t="s">
        <v>1593</v>
      </c>
      <c r="G54" s="42"/>
      <c r="H54" s="42">
        <v>0</v>
      </c>
      <c r="I54" s="42"/>
      <c r="J54" s="42"/>
      <c r="K54" s="42"/>
      <c r="L54" s="42"/>
    </row>
    <row r="55" spans="2:12" ht="15.75" customHeight="1" x14ac:dyDescent="0.25">
      <c r="D55" s="10"/>
      <c r="E55" s="99"/>
      <c r="F55" s="98" t="s">
        <v>1594</v>
      </c>
      <c r="G55" s="42"/>
      <c r="H55" s="42">
        <v>0</v>
      </c>
      <c r="I55" s="42"/>
      <c r="J55" s="42"/>
      <c r="K55" s="42"/>
      <c r="L55" s="42"/>
    </row>
    <row r="56" spans="2:12" ht="15.75" customHeight="1" x14ac:dyDescent="0.25">
      <c r="D56" s="10"/>
      <c r="E56" s="99"/>
      <c r="F56" s="98" t="s">
        <v>1595</v>
      </c>
      <c r="G56" s="42"/>
      <c r="H56" s="42">
        <v>0</v>
      </c>
      <c r="I56" s="42"/>
      <c r="J56" s="42"/>
      <c r="K56" s="42"/>
      <c r="L56" s="42"/>
    </row>
    <row r="57" spans="2:12" ht="15.75" customHeight="1" x14ac:dyDescent="0.25">
      <c r="D57" s="10"/>
      <c r="E57" s="99"/>
      <c r="F57" s="98" t="s">
        <v>1596</v>
      </c>
      <c r="G57" s="42"/>
      <c r="H57" s="42">
        <v>0</v>
      </c>
      <c r="I57" s="42"/>
      <c r="J57" s="42"/>
      <c r="K57" s="42"/>
      <c r="L57" s="42"/>
    </row>
    <row r="58" spans="2:12" ht="19.5" customHeight="1" x14ac:dyDescent="0.25">
      <c r="D58" s="10"/>
      <c r="E58" s="98"/>
      <c r="F58" s="43" t="s">
        <v>1594</v>
      </c>
      <c r="G58" s="42"/>
      <c r="H58" s="42">
        <v>0</v>
      </c>
      <c r="I58" s="42"/>
      <c r="J58" s="42"/>
      <c r="K58" s="42"/>
      <c r="L58" s="42"/>
    </row>
    <row r="59" spans="2:12" ht="15.75" customHeight="1" x14ac:dyDescent="0.25">
      <c r="D59" s="10"/>
      <c r="E59" s="98"/>
      <c r="F59" s="43" t="s">
        <v>1589</v>
      </c>
      <c r="G59" s="42"/>
      <c r="H59" s="42">
        <v>0</v>
      </c>
      <c r="I59" s="42"/>
      <c r="J59" s="42"/>
      <c r="K59" s="42"/>
      <c r="L59" s="42"/>
    </row>
    <row r="60" spans="2:12" ht="18" customHeight="1" x14ac:dyDescent="0.25">
      <c r="D60" s="10"/>
      <c r="E60" s="98"/>
      <c r="F60" s="43" t="s">
        <v>1559</v>
      </c>
      <c r="G60" s="42">
        <v>80</v>
      </c>
      <c r="H60" s="42">
        <v>16.8</v>
      </c>
      <c r="I60" s="42"/>
      <c r="J60" s="42">
        <v>1.78</v>
      </c>
      <c r="K60" s="42"/>
      <c r="L60" s="42"/>
    </row>
    <row r="61" spans="2:12" ht="15.75" customHeight="1" x14ac:dyDescent="0.25">
      <c r="D61" s="10"/>
      <c r="E61" s="99"/>
      <c r="F61" s="43" t="s">
        <v>1590</v>
      </c>
      <c r="G61" s="42"/>
      <c r="H61" s="42"/>
      <c r="I61" s="42"/>
      <c r="J61" s="42"/>
      <c r="K61" s="42"/>
      <c r="L61" s="42"/>
    </row>
    <row r="62" spans="2:12" ht="15.75" customHeight="1" x14ac:dyDescent="0.25">
      <c r="D62" s="21" t="s">
        <v>1546</v>
      </c>
      <c r="E62" s="43"/>
      <c r="F62" s="43"/>
      <c r="G62" s="42">
        <f>SUBTOTAL(109,'Jul-22'!$G$52:$G$61)</f>
        <v>18187.830952380951</v>
      </c>
      <c r="H62" s="42">
        <f>SUBTOTAL(109,'Jul-22'!$H$52:$H$61)</f>
        <v>3819.4445000000005</v>
      </c>
      <c r="I62" s="42">
        <f>SUBTOTAL(109,'Jul-22'!$I$52:$I$61)</f>
        <v>0</v>
      </c>
      <c r="J62" s="42">
        <f>SUBTOTAL(109,'Jul-22'!$J$52:$J$61)</f>
        <v>1.78</v>
      </c>
      <c r="K62" s="42">
        <f>SUBTOTAL(109,'Jul-22'!$K$52:$K$61)</f>
        <v>432.04</v>
      </c>
      <c r="L62" s="42">
        <f>SUBTOTAL(109,'Jul-22'!$L$52:$L$61)</f>
        <v>0</v>
      </c>
    </row>
    <row r="63" spans="2:12" ht="15.75" customHeight="1" x14ac:dyDescent="0.25"/>
    <row r="64" spans="2:12" ht="15.75" customHeight="1" x14ac:dyDescent="0.25"/>
    <row r="65" spans="4:13" ht="15.75" customHeight="1" x14ac:dyDescent="0.25">
      <c r="D65" s="359" t="s">
        <v>1560</v>
      </c>
      <c r="E65" s="351"/>
      <c r="F65" s="351"/>
      <c r="G65" s="351"/>
      <c r="H65" s="351"/>
      <c r="I65" s="351"/>
      <c r="J65" s="351"/>
      <c r="K65" s="352"/>
    </row>
    <row r="66" spans="4:13" ht="15.75" customHeight="1" x14ac:dyDescent="0.25">
      <c r="D66" s="44" t="s">
        <v>1532</v>
      </c>
      <c r="E66" s="44" t="s">
        <v>1534</v>
      </c>
      <c r="F66" s="44" t="s">
        <v>1561</v>
      </c>
      <c r="G66" s="44" t="s">
        <v>0</v>
      </c>
      <c r="H66" s="44" t="s">
        <v>1</v>
      </c>
      <c r="I66" s="45" t="s">
        <v>1544</v>
      </c>
      <c r="J66" s="44" t="s">
        <v>1562</v>
      </c>
      <c r="K66" s="44" t="s">
        <v>1545</v>
      </c>
    </row>
    <row r="67" spans="4:13" ht="15.75" customHeight="1" x14ac:dyDescent="0.25">
      <c r="D67" s="117">
        <v>44773</v>
      </c>
      <c r="E67" s="55">
        <v>2</v>
      </c>
      <c r="F67" s="55">
        <v>114</v>
      </c>
      <c r="G67" s="56">
        <v>20136544625</v>
      </c>
      <c r="H67" s="46" t="str">
        <f>IFERROR(IF('Jul-22'!$G67="","-",VLOOKUP('Jul-22'!$G67,Lista_CUIT!$A$1:$D$1871,2,0)),"CUIT NO CARGADO")</f>
        <v>RODRIGUEZ DE LA FUEN HECTOR MARCELO</v>
      </c>
      <c r="I67" s="49">
        <v>170000</v>
      </c>
      <c r="J67" s="47" t="str">
        <f>IFERROR(IF('Jul-22'!$G67="","-",VLOOKUP('Jul-22'!$G67,Lista_CUIT!$A$1:$D$1871,3,0)),"CUIT NO CARGADO")</f>
        <v>Honorarios Administrativos-Cobranzas y Gestion Clientes</v>
      </c>
      <c r="K67" s="47">
        <f>IFERROR(IF('Jul-22'!$G67="","-",VLOOKUP('Jul-22'!$G67,Lista_CUIT!$A$1:$D$1871,4,0)),"CUIT NO CARGADO")</f>
        <v>0</v>
      </c>
    </row>
    <row r="68" spans="4:13" ht="15.75" customHeight="1" x14ac:dyDescent="0.25">
      <c r="D68" s="117">
        <v>44773</v>
      </c>
      <c r="E68" s="55">
        <v>2</v>
      </c>
      <c r="F68" s="55">
        <v>4</v>
      </c>
      <c r="G68" s="56">
        <v>20136544625</v>
      </c>
      <c r="H68" s="46" t="str">
        <f>IFERROR(IF('Jul-22'!$G68="","-",VLOOKUP('Jul-22'!$G68,Lista_CUIT!$A$1:$D$1871,2,0)),"CUIT NO CARGADO")</f>
        <v>RODRIGUEZ DE LA FUEN HECTOR MARCELO</v>
      </c>
      <c r="I68" s="49">
        <v>-200000</v>
      </c>
      <c r="J68" s="47" t="str">
        <f>IFERROR(IF('Jul-22'!$G68="","-",VLOOKUP('Jul-22'!$G68,Lista_CUIT!$A$1:$D$1871,3,0)),"CUIT NO CARGADO")</f>
        <v>Honorarios Administrativos-Cobranzas y Gestion Clientes</v>
      </c>
      <c r="K68" s="47">
        <f>IFERROR(IF('Jul-22'!$G68="","-",VLOOKUP('Jul-22'!$G68,Lista_CUIT!$A$1:$D$1871,4,0)),"CUIT NO CARGADO")</f>
        <v>0</v>
      </c>
    </row>
    <row r="69" spans="4:13" ht="15.75" customHeight="1" x14ac:dyDescent="0.25">
      <c r="D69" s="117">
        <v>44773</v>
      </c>
      <c r="E69" s="55">
        <v>2</v>
      </c>
      <c r="F69" s="55">
        <v>113</v>
      </c>
      <c r="G69" s="56">
        <v>20136544625</v>
      </c>
      <c r="H69" s="46" t="str">
        <f>IFERROR(IF('Jul-22'!$G69="","-",VLOOKUP('Jul-22'!$G69,Lista_CUIT!$A$1:$D$1871,2,0)),"CUIT NO CARGADO")</f>
        <v>RODRIGUEZ DE LA FUEN HECTOR MARCELO</v>
      </c>
      <c r="I69" s="49">
        <v>200000</v>
      </c>
      <c r="J69" s="47" t="str">
        <f>IFERROR(IF('Jul-22'!$G69="","-",VLOOKUP('Jul-22'!$G69,Lista_CUIT!$A$1:$D$1871,3,0)),"CUIT NO CARGADO")</f>
        <v>Honorarios Administrativos-Cobranzas y Gestion Clientes</v>
      </c>
      <c r="K69" s="47">
        <f>IFERROR(IF('Jul-22'!$G69="","-",VLOOKUP('Jul-22'!$G69,Lista_CUIT!$A$1:$D$1871,4,0)),"CUIT NO CARGADO")</f>
        <v>0</v>
      </c>
    </row>
    <row r="70" spans="4:13" ht="15.75" customHeight="1" x14ac:dyDescent="0.25">
      <c r="D70" s="117">
        <v>44769</v>
      </c>
      <c r="E70" s="55">
        <v>6</v>
      </c>
      <c r="F70" s="55">
        <v>578</v>
      </c>
      <c r="G70" s="56">
        <v>20200310412</v>
      </c>
      <c r="H70" s="46" t="str">
        <f>IFERROR(IF('Jul-22'!$G70="","-",VLOOKUP('Jul-22'!$G70,Lista_CUIT!$A$1:$D$1871,2,0)),"CUIT NO CARGADO")</f>
        <v>TAMURA ROBERTO</v>
      </c>
      <c r="I70" s="49">
        <v>3042</v>
      </c>
      <c r="J70" s="47" t="str">
        <f>IFERROR(IF('Jul-22'!$G70="","-",VLOOKUP('Jul-22'!$G70,Lista_CUIT!$A$1:$D$1871,3,0)),"CUIT NO CARGADO")</f>
        <v>Gastos Oficina</v>
      </c>
      <c r="K70" s="47">
        <f>IFERROR(IF('Jul-22'!$G70="","-",VLOOKUP('Jul-22'!$G70,Lista_CUIT!$A$1:$D$1871,4,0)),"CUIT NO CARGADO")</f>
        <v>0</v>
      </c>
    </row>
    <row r="71" spans="4:13" ht="15.75" customHeight="1" x14ac:dyDescent="0.25">
      <c r="D71" s="117">
        <v>44767</v>
      </c>
      <c r="E71" s="55">
        <v>1</v>
      </c>
      <c r="F71" s="55">
        <v>14</v>
      </c>
      <c r="G71" s="56">
        <v>20365938688</v>
      </c>
      <c r="H71" s="46" t="str">
        <f>IFERROR(IF('Jul-22'!$G71="","-",VLOOKUP('Jul-22'!$G71,Lista_CUIT!$A$1:$D$1871,2,0)),"CUIT NO CARGADO")</f>
        <v>LIPANOVICH JUAN CRUZ</v>
      </c>
      <c r="I71" s="49">
        <v>330000</v>
      </c>
      <c r="J71" s="47" t="str">
        <f>IFERROR(IF('Jul-22'!$G71="","-",VLOOKUP('Jul-22'!$G71,Lista_CUIT!$A$1:$D$1871,3,0)),"CUIT NO CARGADO")</f>
        <v>Servicios Informatica</v>
      </c>
      <c r="K71" s="47">
        <f>IFERROR(IF('Jul-22'!$G71="","-",VLOOKUP('Jul-22'!$G71,Lista_CUIT!$A$1:$D$1871,4,0)),"CUIT NO CARGADO")</f>
        <v>0</v>
      </c>
    </row>
    <row r="72" spans="4:13" ht="15.75" customHeight="1" x14ac:dyDescent="0.25">
      <c r="D72" s="117">
        <v>44747</v>
      </c>
      <c r="E72" s="55">
        <v>1</v>
      </c>
      <c r="F72" s="55">
        <v>86</v>
      </c>
      <c r="G72" s="56">
        <v>20341465134</v>
      </c>
      <c r="H72" s="46" t="str">
        <f>IFERROR(IF('Jul-22'!$G72="","-",VLOOKUP('Jul-22'!$G72,Lista_CUIT!$A$1:$D$1871,2,0)),"CUIT NO CARGADO")</f>
        <v xml:space="preserve">ABELEDO AGUSTIN ENRIQUE </v>
      </c>
      <c r="I72" s="49">
        <v>122600</v>
      </c>
      <c r="J72" s="47" t="str">
        <f>IFERROR(IF('Jul-22'!$G72="","-",VLOOKUP('Jul-22'!$G72,Lista_CUIT!$A$1:$D$1871,3,0)),"CUIT NO CARGADO")</f>
        <v>HONOR. INGENIERO</v>
      </c>
      <c r="K72" s="47">
        <f>IFERROR(IF('Jul-22'!$G72="","-",VLOOKUP('Jul-22'!$G72,Lista_CUIT!$A$1:$D$1871,4,0)),"CUIT NO CARGADO")</f>
        <v>0</v>
      </c>
    </row>
    <row r="73" spans="4:13" ht="15.75" customHeight="1" x14ac:dyDescent="0.25">
      <c r="D73" s="117">
        <v>44756</v>
      </c>
      <c r="E73" s="55">
        <v>3</v>
      </c>
      <c r="F73" s="55">
        <v>593</v>
      </c>
      <c r="G73" s="56">
        <v>20086277523</v>
      </c>
      <c r="H73" s="46" t="str">
        <f>IFERROR(IF('Jul-22'!$G73="","-",VLOOKUP('Jul-22'!$G73,Lista_CUIT!$A$1:$D$1871,2,0)),"CUIT NO CARGADO")</f>
        <v>JUAN CARLOS BOTINDARI</v>
      </c>
      <c r="I73" s="49">
        <v>8350</v>
      </c>
      <c r="J73" s="47" t="str">
        <f>IFERROR(IF('Jul-22'!$G73="","-",VLOOKUP('Jul-22'!$G73,Lista_CUIT!$A$1:$D$1871,3,0)),"CUIT NO CARGADO")</f>
        <v>HONORARIOS</v>
      </c>
      <c r="K73" s="47">
        <f>IFERROR(IF('Jul-22'!$G73="","-",VLOOKUP('Jul-22'!$G73,Lista_CUIT!$A$1:$D$1871,4,0)),"CUIT NO CARGADO")</f>
        <v>0</v>
      </c>
    </row>
    <row r="74" spans="4:13" ht="15.75" customHeight="1" x14ac:dyDescent="0.25">
      <c r="D74" s="117">
        <v>44767</v>
      </c>
      <c r="E74" s="55">
        <v>1</v>
      </c>
      <c r="F74" s="55">
        <v>6</v>
      </c>
      <c r="G74" s="56">
        <v>27925308884</v>
      </c>
      <c r="H74" s="46" t="str">
        <f>IFERROR(IF('Jul-22'!$G74="","-",VLOOKUP('Jul-22'!$G74,Lista_CUIT!$A$1:$D$1871,2,0)),"CUIT NO CARGADO")</f>
        <v>LOPEZ LOPEZ FLAVIA</v>
      </c>
      <c r="I74" s="49">
        <v>3000</v>
      </c>
      <c r="J74" s="47" t="str">
        <f>IFERROR(IF('Jul-22'!$G74="","-",VLOOKUP('Jul-22'!$G74,Lista_CUIT!$A$1:$D$1871,3,0)),"CUIT NO CARGADO")</f>
        <v>FLETE</v>
      </c>
      <c r="K74" s="47">
        <f>IFERROR(IF('Jul-22'!$G74="","-",VLOOKUP('Jul-22'!$G74,Lista_CUIT!$A$1:$D$1871,4,0)),"CUIT NO CARGADO")</f>
        <v>0</v>
      </c>
    </row>
    <row r="75" spans="4:13" ht="15.75" customHeight="1" x14ac:dyDescent="0.25">
      <c r="D75" s="117">
        <v>44749</v>
      </c>
      <c r="E75" s="55">
        <v>1</v>
      </c>
      <c r="F75" s="55">
        <v>8</v>
      </c>
      <c r="G75" s="56">
        <v>20417805878</v>
      </c>
      <c r="H75" s="46" t="str">
        <f>IFERROR(IF('Jul-22'!$G75="","-",VLOOKUP('Jul-22'!$G75,Lista_CUIT!$A$1:$D$1871,2,0)),"CUIT NO CARGADO")</f>
        <v>FERABOLI OSPAL SANTIAGO HERNAN</v>
      </c>
      <c r="I75" s="49">
        <v>104720</v>
      </c>
      <c r="J75" s="47" t="str">
        <f>IFERROR(IF('Jul-22'!$G75="","-",VLOOKUP('Jul-22'!$G75,Lista_CUIT!$A$1:$D$1871,3,0)),"CUIT NO CARGADO")</f>
        <v>Control medidores masicos</v>
      </c>
      <c r="K75" s="47">
        <f>IFERROR(IF('Jul-22'!$G75="","-",VLOOKUP('Jul-22'!$G75,Lista_CUIT!$A$1:$D$1871,4,0)),"CUIT NO CARGADO")</f>
        <v>0</v>
      </c>
    </row>
    <row r="76" spans="4:13" ht="15.75" customHeight="1" x14ac:dyDescent="0.25">
      <c r="D76" s="117">
        <v>44747</v>
      </c>
      <c r="E76" s="55">
        <v>3</v>
      </c>
      <c r="F76" s="55">
        <v>28</v>
      </c>
      <c r="G76" s="56">
        <v>20403931420</v>
      </c>
      <c r="H76" s="46" t="str">
        <f>IFERROR(IF('Jul-22'!$G76="","-",VLOOKUP('Jul-22'!$G76,Lista_CUIT!$A$1:$D$1871,2,0)),"CUIT NO CARGADO")</f>
        <v>FIORENTINO JORGE IGNACIO</v>
      </c>
      <c r="I76" s="49">
        <v>104130</v>
      </c>
      <c r="J76" s="47" t="str">
        <f>IFERROR(IF('Jul-22'!$G76="","-",VLOOKUP('Jul-22'!$G76,Lista_CUIT!$A$1:$D$1871,3,0)),"CUIT NO CARGADO")</f>
        <v>Honorarios Administrativos-Cobranzas y Gestion Clientes</v>
      </c>
      <c r="K76" s="47">
        <f>IFERROR(IF('Jul-22'!$G76="","-",VLOOKUP('Jul-22'!$G76,Lista_CUIT!$A$1:$D$1871,4,0)),"CUIT NO CARGADO")</f>
        <v>0</v>
      </c>
    </row>
    <row r="77" spans="4:13" ht="15.75" customHeight="1" x14ac:dyDescent="0.25">
      <c r="D77" s="117">
        <v>44746</v>
      </c>
      <c r="E77" s="55">
        <v>2</v>
      </c>
      <c r="F77" s="55">
        <v>12</v>
      </c>
      <c r="G77" s="56">
        <v>23326777269</v>
      </c>
      <c r="H77" s="46" t="str">
        <f>IFERROR(IF('Jul-22'!$G77="","-",VLOOKUP('Jul-22'!$G77,Lista_CUIT!$A$1:$D$1871,2,0)),"CUIT NO CARGADO")</f>
        <v>DE BONIS IGNACIO LUIS</v>
      </c>
      <c r="I77" s="49">
        <v>90730</v>
      </c>
      <c r="J77" s="47" t="str">
        <f>IFERROR(IF('Jul-22'!$G77="","-",VLOOKUP('Jul-22'!$G77,Lista_CUIT!$A$1:$D$1871,3,0)),"CUIT NO CARGADO")</f>
        <v>Control medidores masicos</v>
      </c>
      <c r="K77" s="47">
        <f>IFERROR(IF('Jul-22'!$G77="","-",VLOOKUP('Jul-22'!$G77,Lista_CUIT!$A$1:$D$1871,4,0)),"CUIT NO CARGADO")</f>
        <v>0</v>
      </c>
    </row>
    <row r="78" spans="4:13" ht="15.75" customHeight="1" x14ac:dyDescent="0.25">
      <c r="D78" s="117">
        <v>44748</v>
      </c>
      <c r="E78" s="55">
        <v>2</v>
      </c>
      <c r="F78" s="55">
        <v>843</v>
      </c>
      <c r="G78" s="56">
        <v>20260499085</v>
      </c>
      <c r="H78" s="46" t="str">
        <f>IFERROR(IF('Jul-22'!$G78="","-",VLOOKUP('Jul-22'!$G78,Lista_CUIT!$A$1:$D$1871,2,0)),"CUIT NO CARGADO")</f>
        <v>SABELLI ARIEL OSCAR</v>
      </c>
      <c r="I78" s="49">
        <v>8000</v>
      </c>
      <c r="J78" s="47" t="str">
        <f>IFERROR(IF('Jul-22'!$G78="","-",VLOOKUP('Jul-22'!$G78,Lista_CUIT!$A$1:$D$1871,3,0)),"CUIT NO CARGADO")</f>
        <v>TAXI</v>
      </c>
      <c r="K78" s="47">
        <f>IFERROR(IF('Jul-22'!$G78="","-",VLOOKUP('Jul-22'!$G78,Lista_CUIT!$A$1:$D$1871,4,0)),"CUIT NO CARGADO")</f>
        <v>0</v>
      </c>
    </row>
    <row r="79" spans="4:13" ht="15.75" customHeight="1" x14ac:dyDescent="0.25">
      <c r="D79" s="118">
        <v>44747</v>
      </c>
      <c r="E79" s="55">
        <v>2</v>
      </c>
      <c r="F79" s="55">
        <v>70</v>
      </c>
      <c r="G79" s="56">
        <v>20220423655</v>
      </c>
      <c r="H79" s="46" t="str">
        <f>IFERROR(IF('Jul-22'!$G79="","-",VLOOKUP('Jul-22'!$G79,Lista_CUIT!$A$1:$D$1871,2,0)),"CUIT NO CARGADO")</f>
        <v>LANDRO FERNANDO GABRIEL</v>
      </c>
      <c r="I79" s="49">
        <v>99485</v>
      </c>
      <c r="J79" s="47">
        <f>IFERROR(IF('Jul-22'!$G79="","-",VLOOKUP('Jul-22'!$G79,Lista_CUIT!$A$1:$D$1871,3,0)),"CUIT NO CARGADO")</f>
        <v>0</v>
      </c>
      <c r="K79" s="47">
        <f>IFERROR(IF('Jul-22'!$G79="","-",VLOOKUP('Jul-22'!$G79,Lista_CUIT!$A$1:$D$1871,4,0)),"CUIT NO CARGADO")</f>
        <v>0</v>
      </c>
    </row>
    <row r="80" spans="4:13" ht="15.75" customHeight="1" x14ac:dyDescent="0.25">
      <c r="D80" s="118">
        <v>44747</v>
      </c>
      <c r="E80" s="55">
        <v>2</v>
      </c>
      <c r="F80" s="55">
        <v>82</v>
      </c>
      <c r="G80" s="56">
        <v>27125997835</v>
      </c>
      <c r="H80" s="46" t="str">
        <f>IFERROR(IF('Jul-22'!$G80="","-",VLOOKUP('Jul-22'!$G80,Lista_CUIT!$A$1:$D$1871,2,0)),"CUIT NO CARGADO")</f>
        <v>DANSKY ULLMANN VIVIANA EVA YOLANDA</v>
      </c>
      <c r="I80" s="49">
        <v>66000</v>
      </c>
      <c r="J80" s="47" t="str">
        <f>IFERROR(IF('Jul-22'!$G80="","-",VLOOKUP('Jul-22'!$G80,Lista_CUIT!$A$1:$D$1871,3,0)),"CUIT NO CARGADO")</f>
        <v>Honorarios Legales</v>
      </c>
      <c r="K80" s="47">
        <f>IFERROR(IF('Jul-22'!$G80="","-",VLOOKUP('Jul-22'!$G80,Lista_CUIT!$A$1:$D$1871,4,0)),"CUIT NO CARGADO")</f>
        <v>0</v>
      </c>
      <c r="M80" t="s">
        <v>1749</v>
      </c>
    </row>
    <row r="81" spans="4:11" ht="15.75" customHeight="1" x14ac:dyDescent="0.25">
      <c r="D81" s="117">
        <v>44756</v>
      </c>
      <c r="E81" s="55">
        <v>1</v>
      </c>
      <c r="F81" s="55">
        <v>4</v>
      </c>
      <c r="G81" s="56">
        <v>27925308884</v>
      </c>
      <c r="H81" s="46" t="str">
        <f>IFERROR(IF('Jul-22'!$G81="","-",VLOOKUP('Jul-22'!$G81,Lista_CUIT!$A$1:$D$1871,2,0)),"CUIT NO CARGADO")</f>
        <v>LOPEZ LOPEZ FLAVIA</v>
      </c>
      <c r="I81" s="49">
        <v>8500</v>
      </c>
      <c r="J81" s="47" t="str">
        <f>IFERROR(IF('Jul-22'!$G81="","-",VLOOKUP('Jul-22'!$G81,Lista_CUIT!$A$1:$D$1871,3,0)),"CUIT NO CARGADO")</f>
        <v>FLETE</v>
      </c>
      <c r="K81" s="47">
        <f>IFERROR(IF('Jul-22'!$G81="","-",VLOOKUP('Jul-22'!$G81,Lista_CUIT!$A$1:$D$1871,4,0)),"CUIT NO CARGADO")</f>
        <v>0</v>
      </c>
    </row>
    <row r="82" spans="4:11" ht="15.75" customHeight="1" x14ac:dyDescent="0.25">
      <c r="D82" s="117">
        <v>44746</v>
      </c>
      <c r="E82" s="55">
        <v>3</v>
      </c>
      <c r="F82" s="55">
        <v>588</v>
      </c>
      <c r="G82" s="56">
        <v>20086277523</v>
      </c>
      <c r="H82" s="46" t="str">
        <f>IFERROR(IF('Jul-22'!$G82="","-",VLOOKUP('Jul-22'!$G82,Lista_CUIT!$A$1:$D$1871,2,0)),"CUIT NO CARGADO")</f>
        <v>JUAN CARLOS BOTINDARI</v>
      </c>
      <c r="I82" s="49">
        <v>51900</v>
      </c>
      <c r="J82" s="47" t="str">
        <f>IFERROR(IF('Jul-22'!$G82="","-",VLOOKUP('Jul-22'!$G82,Lista_CUIT!$A$1:$D$1871,3,0)),"CUIT NO CARGADO")</f>
        <v>HONORARIOS</v>
      </c>
      <c r="K82" s="47">
        <f>IFERROR(IF('Jul-22'!$G82="","-",VLOOKUP('Jul-22'!$G82,Lista_CUIT!$A$1:$D$1871,4,0)),"CUIT NO CARGADO")</f>
        <v>0</v>
      </c>
    </row>
    <row r="83" spans="4:11" ht="15.75" customHeight="1" x14ac:dyDescent="0.25">
      <c r="D83" s="118">
        <v>44756</v>
      </c>
      <c r="E83" s="55">
        <v>3</v>
      </c>
      <c r="F83" s="55">
        <v>596</v>
      </c>
      <c r="G83" s="56">
        <v>20086277523</v>
      </c>
      <c r="H83" s="46" t="str">
        <f>IFERROR(IF('Jul-22'!$G83="","-",VLOOKUP('Jul-22'!$G83,Lista_CUIT!$A$1:$D$1871,2,0)),"CUIT NO CARGADO")</f>
        <v>JUAN CARLOS BOTINDARI</v>
      </c>
      <c r="I83" s="49">
        <v>57500</v>
      </c>
      <c r="J83" s="47" t="str">
        <f>IFERROR(IF('Jul-22'!$G83="","-",VLOOKUP('Jul-22'!$G83,Lista_CUIT!$A$1:$D$1871,3,0)),"CUIT NO CARGADO")</f>
        <v>HONORARIOS</v>
      </c>
      <c r="K83" s="47">
        <f>IFERROR(IF('Jul-22'!$G83="","-",VLOOKUP('Jul-22'!$G83,Lista_CUIT!$A$1:$D$1871,4,0)),"CUIT NO CARGADO")</f>
        <v>0</v>
      </c>
    </row>
    <row r="84" spans="4:11" ht="15.75" customHeight="1" x14ac:dyDescent="0.25">
      <c r="D84" s="118">
        <v>44756</v>
      </c>
      <c r="E84" s="55">
        <v>2</v>
      </c>
      <c r="F84" s="55">
        <v>206</v>
      </c>
      <c r="G84" s="56">
        <v>27206941419</v>
      </c>
      <c r="H84" s="46" t="str">
        <f>IFERROR(IF('Jul-22'!$G84="","-",VLOOKUP('Jul-22'!$G84,Lista_CUIT!$A$1:$D$1871,2,0)),"CUIT NO CARGADO")</f>
        <v>DOBARRO PAULA MARCELA</v>
      </c>
      <c r="I84" s="49">
        <v>57500</v>
      </c>
      <c r="J84" s="47" t="str">
        <f>IFERROR(IF('Jul-22'!$G84="","-",VLOOKUP('Jul-22'!$G84,Lista_CUIT!$A$1:$D$1871,3,0)),"CUIT NO CARGADO")</f>
        <v>HONORARIOS CONTABLES</v>
      </c>
      <c r="K84" s="47">
        <f>IFERROR(IF('Jul-22'!$G84="","-",VLOOKUP('Jul-22'!$G84,Lista_CUIT!$A$1:$D$1871,4,0)),"CUIT NO CARGADO")</f>
        <v>0</v>
      </c>
    </row>
    <row r="85" spans="4:11" ht="15.75" customHeight="1" x14ac:dyDescent="0.25">
      <c r="D85" s="118">
        <v>44761</v>
      </c>
      <c r="E85" s="55">
        <v>2</v>
      </c>
      <c r="F85" s="55">
        <v>554</v>
      </c>
      <c r="G85" s="56">
        <v>20320877947</v>
      </c>
      <c r="H85" s="46" t="str">
        <f>IFERROR(IF('Jul-22'!$G85="","-",VLOOKUP('Jul-22'!$G85,Lista_CUIT!$A$1:$D$1871,2,0)),"CUIT NO CARGADO")</f>
        <v>ROUSSEAU PABLO ANDRES</v>
      </c>
      <c r="I85" s="49">
        <v>9800</v>
      </c>
      <c r="J85" s="47" t="str">
        <f>IFERROR(IF('Jul-22'!$G85="","-",VLOOKUP('Jul-22'!$G85,Lista_CUIT!$A$1:$D$1871,3,0)),"CUIT NO CARGADO")</f>
        <v>SERVICIO</v>
      </c>
      <c r="K85" s="47">
        <f>IFERROR(IF('Jul-22'!$G85="","-",VLOOKUP('Jul-22'!$G85,Lista_CUIT!$A$1:$D$1871,4,0)),"CUIT NO CARGADO")</f>
        <v>0</v>
      </c>
    </row>
    <row r="86" spans="4:11" ht="15.75" customHeight="1" x14ac:dyDescent="0.25">
      <c r="D86" s="118">
        <v>44753</v>
      </c>
      <c r="E86" s="55">
        <v>2</v>
      </c>
      <c r="F86" s="55">
        <v>3</v>
      </c>
      <c r="G86" s="56">
        <v>20220423655</v>
      </c>
      <c r="H86" s="46" t="str">
        <f>IFERROR(IF('Jul-22'!$G86="","-",VLOOKUP('Jul-22'!$G86,Lista_CUIT!$A$1:$D$1871,2,0)),"CUIT NO CARGADO")</f>
        <v>LANDRO FERNANDO GABRIEL</v>
      </c>
      <c r="I86" s="49">
        <v>-99485</v>
      </c>
      <c r="J86" s="47">
        <f>IFERROR(IF('Jul-22'!$G86="","-",VLOOKUP('Jul-22'!$G86,Lista_CUIT!$A$1:$D$1871,3,0)),"CUIT NO CARGADO")</f>
        <v>0</v>
      </c>
      <c r="K86" s="47">
        <f>IFERROR(IF('Jul-22'!$G86="","-",VLOOKUP('Jul-22'!$G86,Lista_CUIT!$A$1:$D$1871,4,0)),"CUIT NO CARGADO")</f>
        <v>0</v>
      </c>
    </row>
    <row r="87" spans="4:11" ht="15.75" customHeight="1" x14ac:dyDescent="0.25">
      <c r="D87" s="117">
        <v>44748</v>
      </c>
      <c r="E87" s="55">
        <v>4</v>
      </c>
      <c r="F87" s="55">
        <v>3</v>
      </c>
      <c r="G87" s="56">
        <v>20341462933</v>
      </c>
      <c r="H87" s="46" t="str">
        <f>IFERROR(IF('Jul-22'!$G87="","-",VLOOKUP('Jul-22'!$G87,Lista_CUIT!$A$1:$D$1871,2,0)),"CUIT NO CARGADO")</f>
        <v>CASTIGLIONI MATIAS EZEQUIEL</v>
      </c>
      <c r="I87" s="49">
        <v>100000</v>
      </c>
      <c r="J87" s="47" t="str">
        <f>IFERROR(IF('Jul-22'!$G87="","-",VLOOKUP('Jul-22'!$G87,Lista_CUIT!$A$1:$D$1871,3,0)),"CUIT NO CARGADO")</f>
        <v>MAT. PRIM.</v>
      </c>
      <c r="K87" s="47">
        <f>IFERROR(IF('Jul-22'!$G87="","-",VLOOKUP('Jul-22'!$G87,Lista_CUIT!$A$1:$D$1871,4,0)),"CUIT NO CARGADO")</f>
        <v>0</v>
      </c>
    </row>
    <row r="88" spans="4:11" ht="15.75" customHeight="1" x14ac:dyDescent="0.25">
      <c r="D88" s="117">
        <v>44749</v>
      </c>
      <c r="E88" s="55">
        <v>2</v>
      </c>
      <c r="F88" s="55">
        <v>73</v>
      </c>
      <c r="G88" s="56">
        <v>20244271740</v>
      </c>
      <c r="H88" s="46" t="str">
        <f>IFERROR(IF('Jul-22'!$G88="","-",VLOOKUP('Jul-22'!$G88,Lista_CUIT!$A$1:$D$1871,2,0)),"CUIT NO CARGADO")</f>
        <v xml:space="preserve">KENNEL SEBASTIAN </v>
      </c>
      <c r="I88" s="49">
        <v>167400</v>
      </c>
      <c r="J88" s="47" t="str">
        <f>IFERROR(IF('Jul-22'!$G88="","-",VLOOKUP('Jul-22'!$G88,Lista_CUIT!$A$1:$D$1871,3,0)),"CUIT NO CARGADO")</f>
        <v>SOFTWARE MANTENIMIENTO</v>
      </c>
      <c r="K88" s="47">
        <f>IFERROR(IF('Jul-22'!$G88="","-",VLOOKUP('Jul-22'!$G88,Lista_CUIT!$A$1:$D$1871,4,0)),"CUIT NO CARGADO")</f>
        <v>0</v>
      </c>
    </row>
    <row r="89" spans="4:11" ht="15.75" customHeight="1" x14ac:dyDescent="0.25">
      <c r="D89" s="55"/>
      <c r="E89" s="55"/>
      <c r="F89" s="55"/>
      <c r="G89" s="56"/>
      <c r="H89" s="46" t="str">
        <f>IFERROR(IF('Jul-22'!$G89="","-",VLOOKUP('Jul-22'!$G89,Lista_CUIT!$A$1:$D$1871,2,0)),"CUIT NO CARGADO")</f>
        <v>-</v>
      </c>
      <c r="I89" s="49"/>
      <c r="J89" s="47" t="str">
        <f>IFERROR(IF('Jul-22'!$G89="","-",VLOOKUP('Jul-22'!$G89,Lista_CUIT!$A$1:$D$1871,3,0)),"CUIT NO CARGADO")</f>
        <v>-</v>
      </c>
      <c r="K89" s="47" t="str">
        <f>IFERROR(IF('Jul-22'!$G89="","-",VLOOKUP('Jul-22'!$G89,Lista_CUIT!$A$1:$D$1871,4,0)),"CUIT NO CARGADO")</f>
        <v>-</v>
      </c>
    </row>
    <row r="90" spans="4:11" ht="15.75" customHeight="1" x14ac:dyDescent="0.25">
      <c r="D90" s="55"/>
      <c r="E90" s="55"/>
      <c r="F90" s="55"/>
      <c r="G90" s="56"/>
      <c r="H90" s="46" t="str">
        <f>IFERROR(IF('Jul-22'!$G90="","-",VLOOKUP('Jul-22'!$G90,Lista_CUIT!$A$1:$D$1871,2,0)),"CUIT NO CARGADO")</f>
        <v>-</v>
      </c>
      <c r="I90" s="49"/>
      <c r="J90" s="47" t="str">
        <f>IFERROR(IF('Jul-22'!$G90="","-",VLOOKUP('Jul-22'!$G90,Lista_CUIT!$A$1:$D$1871,3,0)),"CUIT NO CARGADO")</f>
        <v>-</v>
      </c>
      <c r="K90" s="47" t="str">
        <f>IFERROR(IF('Jul-22'!$G90="","-",VLOOKUP('Jul-22'!$G90,Lista_CUIT!$A$1:$D$1871,4,0)),"CUIT NO CARGADO")</f>
        <v>-</v>
      </c>
    </row>
    <row r="91" spans="4:11" ht="15.75" customHeight="1" x14ac:dyDescent="0.25">
      <c r="D91" s="55"/>
      <c r="E91" s="55"/>
      <c r="F91" s="55"/>
      <c r="G91" s="56"/>
      <c r="H91" s="46" t="str">
        <f>IFERROR(IF('Jul-22'!$G91="","-",VLOOKUP('Jul-22'!$G91,Lista_CUIT!$A$1:$D$1871,2,0)),"CUIT NO CARGADO")</f>
        <v>-</v>
      </c>
      <c r="I91" s="49"/>
      <c r="J91" s="47" t="str">
        <f>IFERROR(IF('Jul-22'!$G91="","-",VLOOKUP('Jul-22'!$G91,Lista_CUIT!$A$1:$D$1871,3,0)),"CUIT NO CARGADO")</f>
        <v>-</v>
      </c>
      <c r="K91" s="47" t="str">
        <f>IFERROR(IF('Jul-22'!$G91="","-",VLOOKUP('Jul-22'!$G91,Lista_CUIT!$A$1:$D$1871,4,0)),"CUIT NO CARGADO")</f>
        <v>-</v>
      </c>
    </row>
    <row r="92" spans="4:11" ht="15.75" customHeight="1" x14ac:dyDescent="0.25">
      <c r="D92" s="55"/>
      <c r="E92" s="55"/>
      <c r="F92" s="55"/>
      <c r="G92" s="56"/>
      <c r="H92" s="46" t="str">
        <f>IFERROR(IF('Jul-22'!$G92="","-",VLOOKUP('Jul-22'!$G92,Lista_CUIT!$A$1:$D$1871,2,0)),"CUIT NO CARGADO")</f>
        <v>-</v>
      </c>
      <c r="I92" s="49"/>
      <c r="J92" s="47" t="str">
        <f>IFERROR(IF('Jul-22'!$G92="","-",VLOOKUP('Jul-22'!$G92,Lista_CUIT!$A$1:$D$1871,3,0)),"CUIT NO CARGADO")</f>
        <v>-</v>
      </c>
      <c r="K92" s="47" t="str">
        <f>IFERROR(IF('Jul-22'!$G92="","-",VLOOKUP('Jul-22'!$G92,Lista_CUIT!$A$1:$D$1871,4,0)),"CUIT NO CARGADO")</f>
        <v>-</v>
      </c>
    </row>
    <row r="93" spans="4:11" ht="15.75" customHeight="1" x14ac:dyDescent="0.25">
      <c r="D93" s="55"/>
      <c r="E93" s="55"/>
      <c r="F93" s="55"/>
      <c r="G93" s="56"/>
      <c r="H93" s="46" t="str">
        <f>IFERROR(IF('Jul-22'!$G93="","-",VLOOKUP('Jul-22'!$G93,Lista_CUIT!$A$1:$D$1871,2,0)),"CUIT NO CARGADO")</f>
        <v>-</v>
      </c>
      <c r="I93" s="49"/>
      <c r="J93" s="47" t="str">
        <f>IFERROR(IF('Jul-22'!$G93="","-",VLOOKUP('Jul-22'!$G93,Lista_CUIT!$A$1:$D$1871,3,0)),"CUIT NO CARGADO")</f>
        <v>-</v>
      </c>
      <c r="K93" s="47" t="str">
        <f>IFERROR(IF('Jul-22'!$G93="","-",VLOOKUP('Jul-22'!$G93,Lista_CUIT!$A$1:$D$1871,4,0)),"CUIT NO CARGADO")</f>
        <v>-</v>
      </c>
    </row>
    <row r="94" spans="4:11" ht="15.75" customHeight="1" x14ac:dyDescent="0.25">
      <c r="D94" s="55"/>
      <c r="E94" s="55"/>
      <c r="F94" s="55"/>
      <c r="G94" s="56"/>
      <c r="H94" s="46" t="str">
        <f>IFERROR(IF('Jul-22'!$G94="","-",VLOOKUP('Jul-22'!$G94,Lista_CUIT!$A$1:$D$1871,2,0)),"CUIT NO CARGADO")</f>
        <v>-</v>
      </c>
      <c r="I94" s="49"/>
      <c r="J94" s="47" t="str">
        <f>IFERROR(IF('Jul-22'!$G94="","-",VLOOKUP('Jul-22'!$G94,Lista_CUIT!$A$1:$D$1871,3,0)),"CUIT NO CARGADO")</f>
        <v>-</v>
      </c>
      <c r="K94" s="47" t="str">
        <f>IFERROR(IF('Jul-22'!$G94="","-",VLOOKUP('Jul-22'!$G94,Lista_CUIT!$A$1:$D$1871,4,0)),"CUIT NO CARGADO")</f>
        <v>-</v>
      </c>
    </row>
    <row r="95" spans="4:11" ht="15.75" customHeight="1" x14ac:dyDescent="0.25">
      <c r="D95" s="10"/>
      <c r="E95" s="12"/>
      <c r="F95" s="13"/>
      <c r="G95" s="14"/>
      <c r="H95" s="46" t="str">
        <f>IFERROR(IF('Jul-22'!$G95="","-",VLOOKUP('Jul-22'!$G95,Lista_CUIT!$A$1:$D$1871,2,0)),"CUIT NO CARGADO")</f>
        <v>-</v>
      </c>
      <c r="I95" s="42"/>
      <c r="J95" s="47" t="str">
        <f>IFERROR(IF('Jul-22'!$G95="","-",VLOOKUP('Jul-22'!$G95,Lista_CUIT!$A$1:$D$1871,3,0)),"CUIT NO CARGADO")</f>
        <v>-</v>
      </c>
      <c r="K95" s="47" t="str">
        <f>IFERROR(IF('Jul-22'!$G95="","-",VLOOKUP('Jul-22'!$G95,Lista_CUIT!$A$1:$D$1871,4,0)),"CUIT NO CARGADO")</f>
        <v>-</v>
      </c>
    </row>
    <row r="96" spans="4:11" ht="15.75" customHeight="1" x14ac:dyDescent="0.25">
      <c r="D96" s="10"/>
      <c r="E96" s="12"/>
      <c r="F96" s="13"/>
      <c r="G96" s="14"/>
      <c r="H96" s="46" t="str">
        <f>IFERROR(IF('Jul-22'!$G96="","-",VLOOKUP('Jul-22'!$G96,Lista_CUIT!$A$1:$D$1871,2,0)),"CUIT NO CARGADO")</f>
        <v>-</v>
      </c>
      <c r="I96" s="42"/>
      <c r="J96" s="47" t="str">
        <f>IFERROR(IF('Jul-22'!$G96="","-",VLOOKUP('Jul-22'!$G96,Lista_CUIT!$A$1:$D$1871,3,0)),"CUIT NO CARGADO")</f>
        <v>-</v>
      </c>
      <c r="K96" s="47" t="str">
        <f>IFERROR(IF('Jul-22'!$G96="","-",VLOOKUP('Jul-22'!$G96,Lista_CUIT!$A$1:$D$1871,4,0)),"CUIT NO CARGADO")</f>
        <v>-</v>
      </c>
    </row>
    <row r="97" spans="2:18" ht="15.75" customHeight="1" x14ac:dyDescent="0.25">
      <c r="D97" s="10"/>
      <c r="E97" s="12"/>
      <c r="F97" s="13"/>
      <c r="G97" s="14"/>
      <c r="H97" s="46" t="str">
        <f>IFERROR(IF('Jul-22'!$G97="","-",VLOOKUP('Jul-22'!$G97,Lista_CUIT!$A$1:$D$1871,2,0)),"CUIT NO CARGADO")</f>
        <v>-</v>
      </c>
      <c r="I97" s="42"/>
      <c r="J97" s="47" t="str">
        <f>IFERROR(IF('Jul-22'!$G97="","-",VLOOKUP('Jul-22'!$G97,Lista_CUIT!$A$1:$D$1871,3,0)),"CUIT NO CARGADO")</f>
        <v>-</v>
      </c>
      <c r="K97" s="47" t="str">
        <f>IFERROR(IF('Jul-22'!$G97="","-",VLOOKUP('Jul-22'!$G97,Lista_CUIT!$A$1:$D$1871,4,0)),"CUIT NO CARGADO")</f>
        <v>-</v>
      </c>
    </row>
    <row r="98" spans="2:18" ht="19.5" customHeight="1" x14ac:dyDescent="0.25">
      <c r="D98" s="10"/>
      <c r="E98" s="12"/>
      <c r="F98" s="13"/>
      <c r="G98" s="14"/>
      <c r="H98" s="46" t="str">
        <f>IFERROR(IF('Jul-22'!$G98="","-",VLOOKUP('Jul-22'!$G98,Lista_CUIT!$A$1:$D$1871,2,0)),"CUIT NO CARGADO")</f>
        <v>-</v>
      </c>
      <c r="I98" s="42"/>
      <c r="J98" s="47" t="str">
        <f>IFERROR(IF('Jul-22'!$G98="","-",VLOOKUP('Jul-22'!$G98,Lista_CUIT!$A$1:$D$1871,3,0)),"CUIT NO CARGADO")</f>
        <v>-</v>
      </c>
      <c r="K98" s="47" t="str">
        <f>IFERROR(IF('Jul-22'!$G98="","-",VLOOKUP('Jul-22'!$G98,Lista_CUIT!$A$1:$D$1871,4,0)),"CUIT NO CARGADO")</f>
        <v>-</v>
      </c>
    </row>
    <row r="99" spans="2:18" ht="15.75" customHeight="1" x14ac:dyDescent="0.25">
      <c r="D99" s="47" t="s">
        <v>1546</v>
      </c>
      <c r="E99" s="47"/>
      <c r="F99" s="47"/>
      <c r="G99" s="47"/>
      <c r="H99" s="48"/>
      <c r="I99" s="49">
        <f>SUBTOTAL(109,'Jul-22'!$I$67:$I$98)</f>
        <v>1463172</v>
      </c>
      <c r="J99" s="47"/>
      <c r="K99" s="47"/>
    </row>
    <row r="100" spans="2:18" ht="17.25" customHeight="1" x14ac:dyDescent="0.25">
      <c r="B100" s="50"/>
      <c r="C100" s="50"/>
      <c r="L100" s="50"/>
      <c r="M100" s="50"/>
      <c r="N100" s="50"/>
      <c r="O100" s="50"/>
      <c r="P100" s="50"/>
      <c r="Q100" s="50"/>
      <c r="R100" s="50"/>
    </row>
    <row r="101" spans="2:18" ht="31.5" customHeight="1" x14ac:dyDescent="0.25"/>
    <row r="102" spans="2:18" ht="15.75" customHeight="1" x14ac:dyDescent="0.25"/>
    <row r="103" spans="2:18" ht="15.75" customHeight="1" x14ac:dyDescent="0.25"/>
    <row r="104" spans="2:18" ht="15.75" customHeight="1" x14ac:dyDescent="0.25"/>
    <row r="105" spans="2:18" ht="15.75" customHeight="1" x14ac:dyDescent="0.25">
      <c r="B105" s="366" t="s">
        <v>1563</v>
      </c>
      <c r="C105" s="351"/>
      <c r="D105" s="351"/>
      <c r="E105" s="351"/>
      <c r="F105" s="351"/>
      <c r="G105" s="351"/>
      <c r="H105" s="351"/>
      <c r="I105" s="351"/>
      <c r="J105" s="352"/>
      <c r="K105" s="367">
        <f>N1</f>
        <v>44743</v>
      </c>
      <c r="L105" s="351"/>
      <c r="M105" s="352"/>
    </row>
    <row r="106" spans="2:18" ht="15.75" customHeight="1" x14ac:dyDescent="0.25"/>
    <row r="107" spans="2:18" ht="15.75" customHeight="1" x14ac:dyDescent="0.25">
      <c r="B107" s="368" t="s">
        <v>1564</v>
      </c>
      <c r="C107" s="369"/>
    </row>
    <row r="108" spans="2:18" ht="15.75" customHeight="1" x14ac:dyDescent="0.25">
      <c r="B108" s="51" t="s">
        <v>1532</v>
      </c>
      <c r="C108" s="52" t="s">
        <v>1533</v>
      </c>
      <c r="D108" s="52" t="s">
        <v>1565</v>
      </c>
      <c r="E108" s="52" t="s">
        <v>1566</v>
      </c>
      <c r="F108" s="52" t="s">
        <v>0</v>
      </c>
      <c r="G108" s="52" t="s">
        <v>1</v>
      </c>
      <c r="H108" s="52" t="s">
        <v>1567</v>
      </c>
      <c r="I108" s="52" t="s">
        <v>1551</v>
      </c>
      <c r="J108" s="52" t="s">
        <v>1539</v>
      </c>
      <c r="K108" s="52" t="s">
        <v>1568</v>
      </c>
      <c r="L108" s="52" t="s">
        <v>1544</v>
      </c>
      <c r="M108" s="53" t="s">
        <v>1545</v>
      </c>
    </row>
    <row r="109" spans="2:18" ht="15.75" customHeight="1" x14ac:dyDescent="0.25">
      <c r="B109" s="10">
        <v>44754</v>
      </c>
      <c r="C109" s="11">
        <v>1</v>
      </c>
      <c r="D109" s="12">
        <v>3</v>
      </c>
      <c r="E109" s="13">
        <v>68</v>
      </c>
      <c r="F109" s="14">
        <v>30710473710</v>
      </c>
      <c r="G109" s="57" t="str">
        <f>IFERROR(IF('Jul-22'!$F109="","-",VLOOKUP('Jul-22'!$F109,Lista_CUIT!$A$1:$D$1871,2,0)),"CUIT NO CARGADO")</f>
        <v>POWER TEKNIC S.A.</v>
      </c>
      <c r="H109" s="58">
        <v>210127.5</v>
      </c>
      <c r="I109" s="59">
        <f>'Jul-22'!$H109*0.21</f>
        <v>44126.775000000001</v>
      </c>
      <c r="J109" s="60"/>
      <c r="K109" s="60"/>
      <c r="L109" s="60">
        <f>SUM('Jul-22'!$H109:$K109)</f>
        <v>254254.27499999999</v>
      </c>
      <c r="M109" s="61"/>
    </row>
    <row r="110" spans="2:18" ht="15.75" customHeight="1" x14ac:dyDescent="0.25">
      <c r="B110" s="10">
        <v>44754</v>
      </c>
      <c r="C110" s="11">
        <v>1</v>
      </c>
      <c r="D110" s="12">
        <v>3</v>
      </c>
      <c r="E110" s="13">
        <v>69</v>
      </c>
      <c r="F110" s="14">
        <v>30710473710</v>
      </c>
      <c r="G110" s="57" t="str">
        <f>IFERROR(IF('Jul-22'!$F110="","-",VLOOKUP('Jul-22'!$F110,Lista_CUIT!$A$1:$D$1871,2,0)),"CUIT NO CARGADO")</f>
        <v>POWER TEKNIC S.A.</v>
      </c>
      <c r="H110" s="58">
        <v>133717.5</v>
      </c>
      <c r="I110" s="59">
        <f>'Jul-22'!$H110*0.21</f>
        <v>28080.674999999999</v>
      </c>
      <c r="J110" s="60"/>
      <c r="K110" s="60"/>
      <c r="L110" s="60">
        <f>SUM('Jul-22'!$H110:$K110)</f>
        <v>161798.17499999999</v>
      </c>
      <c r="M110" s="61"/>
    </row>
    <row r="111" spans="2:18" ht="18.75" customHeight="1" x14ac:dyDescent="0.25">
      <c r="B111" s="10">
        <v>44754</v>
      </c>
      <c r="C111" s="11">
        <v>3</v>
      </c>
      <c r="D111" s="12">
        <v>3</v>
      </c>
      <c r="E111" s="13">
        <v>12</v>
      </c>
      <c r="F111" s="14">
        <v>30710473710</v>
      </c>
      <c r="G111" s="57" t="str">
        <f>IFERROR(IF('Jul-22'!$F111="","-",VLOOKUP('Jul-22'!$F111,Lista_CUIT!$A$1:$D$1871,2,0)),"CUIT NO CARGADO")</f>
        <v>POWER TEKNIC S.A.</v>
      </c>
      <c r="H111" s="58">
        <v>-210127.5</v>
      </c>
      <c r="I111" s="59">
        <f>'Jul-22'!$H111*0.21</f>
        <v>-44126.775000000001</v>
      </c>
      <c r="J111" s="60"/>
      <c r="K111" s="60"/>
      <c r="L111" s="60">
        <f>SUM('Jul-22'!$H111:$K111)</f>
        <v>-254254.27499999999</v>
      </c>
      <c r="M111" s="61"/>
    </row>
    <row r="112" spans="2:18" ht="28.5" customHeight="1" x14ac:dyDescent="0.25">
      <c r="B112" s="10">
        <v>44762</v>
      </c>
      <c r="C112" s="11">
        <v>3</v>
      </c>
      <c r="D112" s="12">
        <v>3</v>
      </c>
      <c r="E112" s="13">
        <v>13</v>
      </c>
      <c r="F112" s="14">
        <v>30628274327</v>
      </c>
      <c r="G112" s="57" t="str">
        <f>IFERROR(IF('Jul-22'!$F112="","-",VLOOKUP('Jul-22'!$F112,Lista_CUIT!$A$1:$D$1871,2,0)),"CUIT NO CARGADO")</f>
        <v>AGIRA SA</v>
      </c>
      <c r="H112" s="58">
        <v>-1107219</v>
      </c>
      <c r="I112" s="59"/>
      <c r="J112" s="60">
        <v>-116257.995</v>
      </c>
      <c r="K112" s="60"/>
      <c r="L112" s="60">
        <f>SUM('Jul-22'!$H112:$K112)</f>
        <v>-1223476.9950000001</v>
      </c>
      <c r="M112" s="61"/>
    </row>
    <row r="113" spans="2:13" ht="15.75" customHeight="1" x14ac:dyDescent="0.25">
      <c r="B113" s="10">
        <v>44770</v>
      </c>
      <c r="C113" s="11">
        <v>1</v>
      </c>
      <c r="D113" s="12">
        <v>3</v>
      </c>
      <c r="E113" s="13">
        <v>70</v>
      </c>
      <c r="F113" s="14">
        <v>30574668715</v>
      </c>
      <c r="G113" s="57" t="str">
        <f>IFERROR(IF('Jul-22'!$F113="","-",VLOOKUP('Jul-22'!$F113,Lista_CUIT!$A$1:$D$1871,2,0)),"CUIT NO CARGADO")</f>
        <v>ESTACION DE SERVICIOS LAURENCENA S R L</v>
      </c>
      <c r="H113" s="58">
        <v>11800.800000000001</v>
      </c>
      <c r="I113" s="59">
        <f>'Jul-22'!$H113*0.21</f>
        <v>2478.1680000000001</v>
      </c>
      <c r="J113" s="60"/>
      <c r="K113" s="60"/>
      <c r="L113" s="60">
        <f>SUM('Jul-22'!$H113:$K113)</f>
        <v>14278.968000000001</v>
      </c>
      <c r="M113" s="61"/>
    </row>
    <row r="114" spans="2:13" ht="15.75" customHeight="1" x14ac:dyDescent="0.25">
      <c r="B114" s="76" t="s">
        <v>1546</v>
      </c>
      <c r="C114" s="77"/>
      <c r="D114" s="77"/>
      <c r="E114" s="77"/>
      <c r="F114" s="77"/>
      <c r="G114" s="77"/>
      <c r="H114" s="78">
        <f>SUBTOTAL(109,'Jul-22'!$H$109:$H$113)</f>
        <v>-961700.7</v>
      </c>
      <c r="I114" s="79">
        <f>SUBTOTAL(109,'Jul-22'!$I$109:$I$113)</f>
        <v>30558.842999999997</v>
      </c>
      <c r="J114" s="70">
        <f>SUBTOTAL(109,'Jul-22'!$J$109:$J$113)</f>
        <v>-116257.995</v>
      </c>
      <c r="K114" s="70">
        <f>SUBTOTAL(109,'Jul-22'!$K$109:$K$113)</f>
        <v>0</v>
      </c>
      <c r="L114" s="70">
        <f>SUBTOTAL(109,'Jul-22'!$L$109:$L$113)</f>
        <v>-1047399.8520000001</v>
      </c>
      <c r="M114" s="80">
        <f>SUBTOTAL(103,'Jul-22'!$M$109:$M$113)</f>
        <v>0</v>
      </c>
    </row>
    <row r="115" spans="2:13" ht="15.75" customHeight="1" x14ac:dyDescent="0.25"/>
    <row r="116" spans="2:13" ht="15.75" customHeight="1" x14ac:dyDescent="0.25"/>
    <row r="117" spans="2:13" ht="15.75" customHeight="1" x14ac:dyDescent="0.25">
      <c r="B117" s="368" t="s">
        <v>1569</v>
      </c>
      <c r="C117" s="369"/>
    </row>
    <row r="118" spans="2:13" ht="15.75" customHeight="1" x14ac:dyDescent="0.25">
      <c r="B118" s="51" t="s">
        <v>1532</v>
      </c>
      <c r="C118" s="52" t="s">
        <v>1533</v>
      </c>
      <c r="D118" s="52" t="s">
        <v>1565</v>
      </c>
      <c r="E118" s="52" t="s">
        <v>1566</v>
      </c>
      <c r="F118" s="52" t="s">
        <v>0</v>
      </c>
      <c r="G118" s="52" t="s">
        <v>1</v>
      </c>
      <c r="H118" s="52" t="s">
        <v>1567</v>
      </c>
      <c r="I118" s="52" t="s">
        <v>1551</v>
      </c>
      <c r="J118" s="52" t="s">
        <v>1539</v>
      </c>
      <c r="K118" s="52" t="s">
        <v>1568</v>
      </c>
      <c r="L118" s="52" t="s">
        <v>1544</v>
      </c>
      <c r="M118" s="53" t="s">
        <v>1545</v>
      </c>
    </row>
    <row r="119" spans="2:13" ht="15.75" customHeight="1" x14ac:dyDescent="0.25">
      <c r="B119" s="10"/>
      <c r="C119" s="11"/>
      <c r="D119" s="12"/>
      <c r="E119" s="13"/>
      <c r="F119" s="14"/>
      <c r="G119" s="81" t="str">
        <f>IFERROR(IF('Jul-22'!$F119="","-",VLOOKUP('Jul-22'!$F119,Lista_CUIT!$A$1:$D$1871,2,0)),"CUIT NO CARGADO")</f>
        <v>-</v>
      </c>
      <c r="H119" s="82"/>
      <c r="I119" s="82">
        <f>'Jul-22'!$H119*0.21</f>
        <v>0</v>
      </c>
      <c r="J119" s="82"/>
      <c r="K119" s="82"/>
      <c r="L119" s="82">
        <f>SUM('Jul-22'!$H119:$K119)</f>
        <v>0</v>
      </c>
      <c r="M119" s="61"/>
    </row>
    <row r="120" spans="2:13" ht="15.75" customHeight="1" x14ac:dyDescent="0.25">
      <c r="B120" s="10"/>
      <c r="C120" s="11"/>
      <c r="D120" s="12"/>
      <c r="E120" s="13"/>
      <c r="F120" s="14"/>
      <c r="G120" s="81" t="str">
        <f>IFERROR(IF('Jul-22'!$F120="","-",VLOOKUP('Jul-22'!$F120,Lista_CUIT!$A$1:$D$1871,2,0)),"CUIT NO CARGADO")</f>
        <v>-</v>
      </c>
      <c r="H120" s="82"/>
      <c r="I120" s="82">
        <f>'Jul-22'!$H120*0.21</f>
        <v>0</v>
      </c>
      <c r="J120" s="82"/>
      <c r="K120" s="82"/>
      <c r="L120" s="82">
        <f>SUM('Jul-22'!$H120:$K120)</f>
        <v>0</v>
      </c>
      <c r="M120" s="61"/>
    </row>
    <row r="121" spans="2:13" ht="15.75" customHeight="1" x14ac:dyDescent="0.25">
      <c r="B121" s="10"/>
      <c r="C121" s="11"/>
      <c r="D121" s="12"/>
      <c r="E121" s="13"/>
      <c r="F121" s="14"/>
      <c r="G121" s="81"/>
      <c r="H121" s="82"/>
      <c r="I121" s="82">
        <f>'Jul-22'!$H121*0.21</f>
        <v>0</v>
      </c>
      <c r="J121" s="82"/>
      <c r="K121" s="82"/>
      <c r="L121" s="82">
        <f>SUM('Jul-22'!$H121:$K121)</f>
        <v>0</v>
      </c>
      <c r="M121" s="61"/>
    </row>
    <row r="122" spans="2:13" ht="15.75" customHeight="1" x14ac:dyDescent="0.25">
      <c r="B122" s="10"/>
      <c r="C122" s="11"/>
      <c r="D122" s="12"/>
      <c r="E122" s="13"/>
      <c r="F122" s="14"/>
      <c r="G122" s="81"/>
      <c r="H122" s="82"/>
      <c r="I122" s="82">
        <f>'Jul-22'!$H122*0.21</f>
        <v>0</v>
      </c>
      <c r="J122" s="82"/>
      <c r="K122" s="82"/>
      <c r="L122" s="82">
        <f>SUM('Jul-22'!$H122:$K122)</f>
        <v>0</v>
      </c>
      <c r="M122" s="61"/>
    </row>
    <row r="123" spans="2:13" ht="15.75" customHeight="1" x14ac:dyDescent="0.25">
      <c r="B123" s="10"/>
      <c r="C123" s="11"/>
      <c r="D123" s="12"/>
      <c r="E123" s="13"/>
      <c r="F123" s="14"/>
      <c r="G123" s="81"/>
      <c r="H123" s="82"/>
      <c r="I123" s="82">
        <f>'Jul-22'!$H123*0.21</f>
        <v>0</v>
      </c>
      <c r="J123" s="82"/>
      <c r="K123" s="82"/>
      <c r="L123" s="82">
        <f>SUM('Jul-22'!$H123:$K123)</f>
        <v>0</v>
      </c>
      <c r="M123" s="61"/>
    </row>
    <row r="124" spans="2:13" ht="15.75" customHeight="1" x14ac:dyDescent="0.25">
      <c r="B124" s="10"/>
      <c r="C124" s="11"/>
      <c r="D124" s="12"/>
      <c r="E124" s="13"/>
      <c r="F124" s="14"/>
      <c r="G124" s="81"/>
      <c r="H124" s="82"/>
      <c r="I124" s="82">
        <f>'Jul-22'!$H124*0.21</f>
        <v>0</v>
      </c>
      <c r="J124" s="82"/>
      <c r="K124" s="82"/>
      <c r="L124" s="82">
        <f>SUM('Jul-22'!$H124:$K124)</f>
        <v>0</v>
      </c>
      <c r="M124" s="61"/>
    </row>
    <row r="125" spans="2:13" ht="15.75" customHeight="1" x14ac:dyDescent="0.25">
      <c r="B125" s="76" t="s">
        <v>1546</v>
      </c>
      <c r="C125" s="77"/>
      <c r="D125" s="77"/>
      <c r="E125" s="77"/>
      <c r="F125" s="77"/>
      <c r="G125" s="77"/>
      <c r="H125" s="83">
        <f>SUBTOTAL(109,'Jul-22'!$H$119:$H$124)</f>
        <v>0</v>
      </c>
      <c r="I125" s="83">
        <f>SUBTOTAL(109,'Jul-22'!$I$119:$I$124)</f>
        <v>0</v>
      </c>
      <c r="J125" s="84">
        <f>SUBTOTAL(109,'Jul-22'!$J$119:$J$124)</f>
        <v>0</v>
      </c>
      <c r="K125" s="84">
        <f>SUBTOTAL(109,'Jul-22'!$K$119:$K$124)</f>
        <v>0</v>
      </c>
      <c r="L125" s="84">
        <f>SUBTOTAL(109,'Jul-22'!$L$119:$L$124)</f>
        <v>0</v>
      </c>
      <c r="M125" s="80">
        <f>SUBTOTAL(103,'Jul-22'!$M$119:$M$124)</f>
        <v>0</v>
      </c>
    </row>
    <row r="126" spans="2:13" ht="15.75" customHeight="1" x14ac:dyDescent="0.25"/>
    <row r="127" spans="2:13" ht="15.75" customHeight="1" x14ac:dyDescent="0.25">
      <c r="B127" s="360" t="s">
        <v>1570</v>
      </c>
      <c r="C127" s="351"/>
      <c r="D127" s="351"/>
      <c r="E127" s="352"/>
    </row>
    <row r="128" spans="2:13" ht="20.25" customHeight="1" x14ac:dyDescent="0.25">
      <c r="B128" s="51" t="s">
        <v>1532</v>
      </c>
      <c r="C128" s="51" t="s">
        <v>1565</v>
      </c>
      <c r="D128" s="52" t="s">
        <v>1571</v>
      </c>
      <c r="E128" s="52" t="s">
        <v>0</v>
      </c>
      <c r="F128" s="52" t="s">
        <v>1</v>
      </c>
      <c r="G128" s="52" t="s">
        <v>1572</v>
      </c>
      <c r="H128" s="52" t="s">
        <v>1573</v>
      </c>
      <c r="I128" s="52" t="s">
        <v>1574</v>
      </c>
      <c r="J128" s="53" t="s">
        <v>1597</v>
      </c>
    </row>
    <row r="129" spans="2:12" ht="15.75" customHeight="1" x14ac:dyDescent="0.25">
      <c r="B129" s="117">
        <v>44764</v>
      </c>
      <c r="C129" s="119">
        <v>30</v>
      </c>
      <c r="D129" s="109">
        <v>46</v>
      </c>
      <c r="E129" s="3"/>
      <c r="F129" s="120" t="s">
        <v>1598</v>
      </c>
      <c r="G129" s="3">
        <v>7935</v>
      </c>
      <c r="H129" s="3"/>
      <c r="I129" s="3">
        <v>129.58000000000001</v>
      </c>
      <c r="J129" s="3">
        <f>'Jul-22'!$G129*'Jul-22'!$I129</f>
        <v>1028217.3</v>
      </c>
    </row>
    <row r="130" spans="2:12" ht="15.75" customHeight="1" x14ac:dyDescent="0.25">
      <c r="B130" s="117">
        <v>44764</v>
      </c>
      <c r="C130" s="119">
        <v>30</v>
      </c>
      <c r="D130" s="109">
        <v>47</v>
      </c>
      <c r="E130" s="3"/>
      <c r="F130" s="120" t="s">
        <v>1599</v>
      </c>
      <c r="G130" s="3">
        <v>2503.83</v>
      </c>
      <c r="H130" s="3"/>
      <c r="I130" s="3">
        <v>129.58000000000001</v>
      </c>
      <c r="J130" s="3">
        <f>'Jul-22'!$G130*'Jul-22'!$I130</f>
        <v>324446.29140000005</v>
      </c>
    </row>
    <row r="131" spans="2:12" ht="15.75" customHeight="1" x14ac:dyDescent="0.25">
      <c r="B131" s="117">
        <v>44768</v>
      </c>
      <c r="C131" s="119">
        <v>30</v>
      </c>
      <c r="D131" s="109">
        <v>10</v>
      </c>
      <c r="E131" s="3"/>
      <c r="F131" s="120" t="s">
        <v>1599</v>
      </c>
      <c r="G131" s="3">
        <v>-2503.83</v>
      </c>
      <c r="H131" s="3"/>
      <c r="I131" s="3">
        <v>130.4</v>
      </c>
      <c r="J131" s="3">
        <f>'Jul-22'!$G131*'Jul-22'!$I131</f>
        <v>-326499.43200000003</v>
      </c>
    </row>
    <row r="132" spans="2:12" ht="15.75" customHeight="1" x14ac:dyDescent="0.25">
      <c r="B132" s="117">
        <v>44768</v>
      </c>
      <c r="C132" s="119">
        <v>30</v>
      </c>
      <c r="D132" s="109">
        <v>48</v>
      </c>
      <c r="E132" s="3"/>
      <c r="F132" s="120" t="s">
        <v>1599</v>
      </c>
      <c r="G132" s="3">
        <v>2503.83</v>
      </c>
      <c r="H132" s="3"/>
      <c r="I132" s="3">
        <v>130.4</v>
      </c>
      <c r="J132" s="3">
        <f>'Jul-22'!$G132*'Jul-22'!$I132</f>
        <v>326499.43200000003</v>
      </c>
    </row>
    <row r="133" spans="2:12" ht="15.75" customHeight="1" x14ac:dyDescent="0.25">
      <c r="B133" s="121" t="s">
        <v>1546</v>
      </c>
      <c r="C133" s="122"/>
      <c r="D133" s="122"/>
      <c r="E133" s="122"/>
      <c r="F133" s="122"/>
      <c r="G133" s="122"/>
      <c r="H133" s="122"/>
      <c r="I133" s="122"/>
      <c r="J133" s="123">
        <f>J129+J130+J131+J132</f>
        <v>1352663.5914</v>
      </c>
    </row>
    <row r="134" spans="2:12" ht="15.75" customHeight="1" x14ac:dyDescent="0.25"/>
    <row r="135" spans="2:12" ht="15.75" customHeight="1" x14ac:dyDescent="0.25"/>
    <row r="136" spans="2:12" ht="15.75" customHeight="1" x14ac:dyDescent="0.25"/>
    <row r="137" spans="2:12" ht="15.75" customHeight="1" x14ac:dyDescent="0.25"/>
    <row r="138" spans="2:12" ht="15.75" customHeight="1" x14ac:dyDescent="0.25">
      <c r="C138" s="361" t="s">
        <v>1575</v>
      </c>
      <c r="D138" s="362"/>
      <c r="E138" s="362"/>
      <c r="F138" s="362"/>
      <c r="G138" s="363"/>
      <c r="H138" s="89"/>
      <c r="I138" s="89"/>
      <c r="J138" s="89"/>
    </row>
    <row r="139" spans="2:12" ht="15.75" customHeight="1" x14ac:dyDescent="0.25">
      <c r="C139" s="90" t="s">
        <v>1576</v>
      </c>
      <c r="D139" s="91" t="s">
        <v>1577</v>
      </c>
      <c r="E139" s="91" t="s">
        <v>1578</v>
      </c>
      <c r="F139" s="91" t="s">
        <v>0</v>
      </c>
      <c r="G139" s="91" t="s">
        <v>1</v>
      </c>
      <c r="H139" s="92" t="s">
        <v>1579</v>
      </c>
      <c r="I139" s="92" t="s">
        <v>1580</v>
      </c>
      <c r="J139" s="92" t="s">
        <v>1581</v>
      </c>
      <c r="K139" s="92" t="s">
        <v>1582</v>
      </c>
      <c r="L139" s="92" t="s">
        <v>1583</v>
      </c>
    </row>
    <row r="140" spans="2:12" ht="15.75" customHeight="1" x14ac:dyDescent="0.25">
      <c r="C140" s="54"/>
      <c r="D140" s="93"/>
      <c r="E140" s="93"/>
      <c r="F140" s="56"/>
      <c r="G140" s="46" t="str">
        <f>IFERROR(IF('Jul-22'!$F140="","-",VLOOKUP('Jul-22'!$F140,Lista_CUIT!$A$1:$D$1871,2,0)),"CUIT NO CARGADO")</f>
        <v>-</v>
      </c>
      <c r="H140" s="94"/>
      <c r="I140" s="94"/>
      <c r="J140" s="94"/>
      <c r="K140" s="94"/>
      <c r="L140" s="94"/>
    </row>
    <row r="141" spans="2:12" ht="15.75" customHeight="1" x14ac:dyDescent="0.25">
      <c r="C141" s="54"/>
      <c r="D141" s="93"/>
      <c r="E141" s="93"/>
      <c r="F141" s="56"/>
      <c r="G141" s="46" t="str">
        <f>IFERROR(IF('Jul-22'!$F141="","-",VLOOKUP('Jul-22'!$F141,Lista_CUIT!$A$1:$D$1871,2,0)),"CUIT NO CARGADO")</f>
        <v>-</v>
      </c>
      <c r="H141" s="94"/>
      <c r="I141" s="94"/>
      <c r="J141" s="94"/>
      <c r="K141" s="94"/>
      <c r="L141" s="94"/>
    </row>
    <row r="142" spans="2:12" ht="15.75" customHeight="1" x14ac:dyDescent="0.25">
      <c r="C142" s="54"/>
      <c r="D142" s="93"/>
      <c r="E142" s="93"/>
      <c r="F142" s="56"/>
      <c r="G142" s="46" t="str">
        <f>IFERROR(IF('Jul-22'!$F142="","-",VLOOKUP('Jul-22'!$F142,Lista_CUIT!$A$1:$D$1871,2,0)),"CUIT NO CARGADO")</f>
        <v>-</v>
      </c>
      <c r="H142" s="94"/>
      <c r="I142" s="94"/>
      <c r="J142" s="94"/>
      <c r="K142" s="94"/>
      <c r="L142" s="94"/>
    </row>
    <row r="143" spans="2:12" ht="15.75" customHeight="1" x14ac:dyDescent="0.25">
      <c r="C143" s="54"/>
      <c r="D143" s="93"/>
      <c r="E143" s="93"/>
      <c r="F143" s="56"/>
      <c r="G143" s="46" t="str">
        <f>IFERROR(IF('Jul-22'!$F143="","-",VLOOKUP('Jul-22'!$F143,Lista_CUIT!$A$1:$D$1871,2,0)),"CUIT NO CARGADO")</f>
        <v>-</v>
      </c>
      <c r="H143" s="94"/>
      <c r="I143" s="94"/>
      <c r="J143" s="94"/>
      <c r="K143" s="94"/>
      <c r="L143" s="94"/>
    </row>
    <row r="144" spans="2:12" ht="15.75" customHeight="1" x14ac:dyDescent="0.25">
      <c r="C144" s="3"/>
      <c r="D144" s="93"/>
      <c r="E144" s="93"/>
      <c r="F144" s="3"/>
      <c r="G144" s="46" t="str">
        <f>IFERROR(IF('Jul-22'!$F144="","-",VLOOKUP('Jul-22'!$F144,Lista_CUIT!$A$1:$D$1871,2,0)),"CUIT NO CARGADO")</f>
        <v>-</v>
      </c>
      <c r="H144" s="3"/>
      <c r="I144" s="3"/>
      <c r="J144" s="3"/>
      <c r="K144" s="3"/>
      <c r="L144" s="3"/>
    </row>
    <row r="145" spans="3:3" ht="15.75" customHeight="1" x14ac:dyDescent="0.25">
      <c r="C145" s="95"/>
    </row>
    <row r="146" spans="3:3" ht="15.75" customHeight="1" x14ac:dyDescent="0.25"/>
    <row r="147" spans="3:3" ht="15.75" customHeight="1" x14ac:dyDescent="0.25"/>
    <row r="148" spans="3:3" ht="15.75" customHeight="1" x14ac:dyDescent="0.25"/>
    <row r="149" spans="3:3" ht="15.75" customHeight="1" x14ac:dyDescent="0.25"/>
    <row r="150" spans="3:3" ht="15.75" customHeight="1" x14ac:dyDescent="0.25"/>
    <row r="151" spans="3:3" ht="15.75" customHeight="1" x14ac:dyDescent="0.25"/>
    <row r="152" spans="3:3" ht="15.75" customHeight="1" x14ac:dyDescent="0.25"/>
    <row r="153" spans="3:3" ht="15.75" customHeight="1" x14ac:dyDescent="0.25"/>
    <row r="154" spans="3:3" ht="15.75" customHeight="1" x14ac:dyDescent="0.25"/>
    <row r="155" spans="3:3" ht="15.75" customHeight="1" x14ac:dyDescent="0.25"/>
    <row r="156" spans="3:3" ht="15.75" customHeight="1" x14ac:dyDescent="0.25"/>
    <row r="157" spans="3:3" ht="15.75" customHeight="1" x14ac:dyDescent="0.25"/>
    <row r="158" spans="3:3" ht="15.75" customHeight="1" x14ac:dyDescent="0.25"/>
    <row r="159" spans="3:3" ht="15.75" customHeight="1" x14ac:dyDescent="0.25"/>
    <row r="160" spans="3:3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P4:R4"/>
    <mergeCell ref="D50:L50"/>
    <mergeCell ref="B127:E127"/>
    <mergeCell ref="C138:G138"/>
    <mergeCell ref="B3:E3"/>
    <mergeCell ref="B4:E4"/>
    <mergeCell ref="G4:H4"/>
    <mergeCell ref="D65:K65"/>
    <mergeCell ref="B105:J105"/>
    <mergeCell ref="K105:M105"/>
    <mergeCell ref="B107:C107"/>
    <mergeCell ref="B117:C117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decimal" operator="lessThanOrEqual" allowBlank="1" showErrorMessage="1" sqref="C129:C132" xr:uid="{00000000-0002-0000-0400-000000000000}">
      <formula1>9999</formula1>
    </dataValidation>
    <dataValidation type="custom" allowBlank="1" showErrorMessage="1" sqref="H119:L124" xr:uid="{00000000-0002-0000-0400-000001000000}">
      <formula1>IF($C119=8,H119&lt;0,H119&gt;=0)</formula1>
    </dataValidation>
    <dataValidation type="decimal" allowBlank="1" showErrorMessage="1" sqref="E9:E44 F67:F98 E109:E113 E119:E124" xr:uid="{00000000-0002-0000-0400-000002000000}">
      <formula1>1</formula1>
      <formula2>99999999</formula2>
    </dataValidation>
    <dataValidation type="custom" allowBlank="1" showErrorMessage="1" sqref="L111:L113" xr:uid="{00000000-0002-0000-0400-000003000000}">
      <formula1>IF($C35=3,L35&lt;0,L35&gt;=0)</formula1>
    </dataValidation>
    <dataValidation type="decimal" allowBlank="1" showErrorMessage="1" sqref="C9:C44 C46:C49 C109:C113" xr:uid="{00000000-0002-0000-0400-000004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4" xr:uid="{00000000-0002-0000-0400-000005000000}">
      <formula1>IF($C9=3,H9&lt;0,H9&gt;=0)</formula1>
    </dataValidation>
    <dataValidation type="custom" allowBlank="1" showErrorMessage="1" sqref="L109:L110" xr:uid="{00000000-0002-0000-0400-000006000000}">
      <formula1>IF($C31=3,L31&lt;0,L31&gt;=0)</formula1>
    </dataValidation>
    <dataValidation type="decimal" operator="lessThanOrEqual" allowBlank="1" showErrorMessage="1" sqref="D129:D132" xr:uid="{00000000-0002-0000-0400-000007000000}">
      <formula1>99999999</formula1>
    </dataValidation>
    <dataValidation type="custom" allowBlank="1" showErrorMessage="1" sqref="H109:K109 H111:K111 H113:K113" xr:uid="{00000000-0002-0000-0400-000008000000}">
      <formula1>IF($C109=3,H109&lt;0,H109&gt;=0)</formula1>
    </dataValidation>
    <dataValidation type="decimal" allowBlank="1" showErrorMessage="1" sqref="C119:C124" xr:uid="{00000000-0002-0000-0400-000009000000}">
      <formula1>6</formula1>
      <formula2>8</formula2>
    </dataValidation>
    <dataValidation type="decimal" allowBlank="1" showErrorMessage="1" sqref="F9:F44 G67:G98 F109:F113 F119:F124" xr:uid="{00000000-0002-0000-0400-00000A000000}">
      <formula1>20000000000</formula1>
      <formula2>33999999999</formula2>
    </dataValidation>
    <dataValidation type="date" allowBlank="1" showErrorMessage="1" sqref="B9:B44 B46:B49 D52:D61 D89:D98 B109:B113 B119:B124" xr:uid="{00000000-0002-0000-0400-00000B000000}">
      <formula1>40179</formula1>
      <formula2>TODAY()</formula2>
    </dataValidation>
    <dataValidation type="decimal" allowBlank="1" showErrorMessage="1" sqref="D9:D44 E67:E98 D109:D113 D119:D124" xr:uid="{00000000-0002-0000-0400-00000C000000}">
      <formula1>1</formula1>
      <formula2>9999</formula2>
    </dataValidation>
    <dataValidation type="date" operator="lessThan" allowBlank="1" showErrorMessage="1" sqref="B129:B132" xr:uid="{00000000-0002-0000-0400-00000D000000}">
      <formula1>$Q$1+1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DE9D9"/>
  </sheetPr>
  <dimension ref="A1:Z1000"/>
  <sheetViews>
    <sheetView showGridLines="0" zoomScale="80" zoomScaleNormal="80" workbookViewId="0">
      <selection activeCell="O104" sqref="O104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EDATE('Abr-22'!N1,4)</f>
        <v>44774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SUM('Ago-22'!$H$50)+'Ago-22'!$G$63</f>
        <v>5675678.4302333323</v>
      </c>
      <c r="C4" s="351"/>
      <c r="D4" s="351"/>
      <c r="E4" s="352"/>
      <c r="F4" s="8"/>
      <c r="G4" s="365">
        <f>'Ago-22'!$I$50+'Ago-22'!$J$50+'Ago-22'!$K$50+'Ago-22'!$H$63+'Ago-22'!$I$63</f>
        <v>1120010.3055509999</v>
      </c>
      <c r="H4" s="352"/>
      <c r="I4" s="8"/>
      <c r="J4" s="370">
        <f>'Ago-22'!$H$101+'Ago-22'!$H$112</f>
        <v>13720992.781399999</v>
      </c>
      <c r="K4" s="352"/>
      <c r="L4" s="8"/>
      <c r="M4" s="370">
        <f>'Ago-22'!$I$101+'Ago-22'!$J$101+'Ago-22'!$I$112+'Ago-22'!$J$112</f>
        <v>1567231.7860539998</v>
      </c>
      <c r="N4" s="352"/>
      <c r="O4" s="8"/>
      <c r="P4" s="358">
        <f>G4-M4</f>
        <v>-447221.48050299985</v>
      </c>
      <c r="Q4" s="351"/>
      <c r="R4" s="352"/>
    </row>
    <row r="5" spans="1:19" ht="12.75" customHeight="1" x14ac:dyDescent="0.25"/>
    <row r="6" spans="1:19" ht="10.5" customHeight="1" x14ac:dyDescent="0.25"/>
    <row r="7" spans="1:19" ht="10.5" customHeight="1" x14ac:dyDescent="0.25">
      <c r="A7" s="9"/>
      <c r="B7" s="10"/>
      <c r="C7" s="11"/>
      <c r="D7" s="12"/>
      <c r="E7" s="13"/>
      <c r="F7" s="14"/>
      <c r="G7" s="15"/>
      <c r="H7" s="16"/>
      <c r="I7" s="17"/>
      <c r="J7" s="17"/>
      <c r="K7" s="17"/>
      <c r="L7" s="17"/>
      <c r="M7" s="17"/>
      <c r="N7" s="17"/>
      <c r="O7" s="17"/>
      <c r="P7" s="20"/>
      <c r="Q7" s="21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22" t="s">
        <v>2</v>
      </c>
      <c r="R8" s="22" t="s">
        <v>1545</v>
      </c>
    </row>
    <row r="9" spans="1:19" ht="16.5" customHeight="1" x14ac:dyDescent="0.25">
      <c r="B9" s="10">
        <v>44792</v>
      </c>
      <c r="C9" s="11">
        <v>1</v>
      </c>
      <c r="D9" s="12">
        <v>106</v>
      </c>
      <c r="E9" s="13">
        <v>555670</v>
      </c>
      <c r="F9" s="14">
        <v>30594494187</v>
      </c>
      <c r="G9" s="15" t="str">
        <f>IFERROR(IF('Ago-22'!$F9="","-",VLOOKUP('Ago-22'!$F9,Lista_CUIT!$A$1:$D$1871,2,0)),"CUIT NO CARGADO")</f>
        <v>FEDERAL EXPRESS CORPORATION</v>
      </c>
      <c r="H9" s="16">
        <v>14175</v>
      </c>
      <c r="I9" s="23">
        <f>IF('Ago-22'!$H9="","",'Ago-22'!$H9*0.21)</f>
        <v>2976.75</v>
      </c>
      <c r="J9" s="23"/>
      <c r="K9" s="23"/>
      <c r="L9" s="23"/>
      <c r="M9" s="23"/>
      <c r="N9" s="23"/>
      <c r="O9" s="23">
        <v>147823.92000000001</v>
      </c>
      <c r="P9" s="20">
        <f>SUM('Ago-22'!$H9:$O9)</f>
        <v>164975.67000000001</v>
      </c>
      <c r="Q9" s="21" t="str">
        <f>IFERROR(IF('Ago-22'!$F9="","-",VLOOKUP('Ago-22'!$F9,Lista_CUIT!$A$1:$D$1871,3,0)),"CUIT NO CARGADO")</f>
        <v>GTOS IMP.</v>
      </c>
      <c r="R9" s="21">
        <f>IFERROR(IF('Ago-22'!$F9="","-",VLOOKUP('Ago-22'!$F9,Lista_CUIT!$A$1:$D$1871,4,0)),"CUIT NO CARGADO")</f>
        <v>0</v>
      </c>
    </row>
    <row r="10" spans="1:19" ht="16.5" customHeight="1" x14ac:dyDescent="0.25">
      <c r="B10" s="10">
        <v>44775</v>
      </c>
      <c r="C10" s="11">
        <v>1</v>
      </c>
      <c r="D10" s="12">
        <v>280</v>
      </c>
      <c r="E10" s="13">
        <v>1381451</v>
      </c>
      <c r="F10" s="14">
        <v>30580111315</v>
      </c>
      <c r="G10" s="15" t="str">
        <f>IFERROR(IF('Ago-22'!$F10="","-",VLOOKUP('Ago-22'!$F10,Lista_CUIT!$A$1:$D$1871,2,0)),"CUIT NO CARGADO")</f>
        <v>DHL EXPRESS ARG SA</v>
      </c>
      <c r="H10" s="16">
        <v>439627.61810000002</v>
      </c>
      <c r="I10" s="23">
        <f>IF('Ago-22'!$H10="","",'Ago-22'!$H10*0.21)</f>
        <v>92321.799801000001</v>
      </c>
      <c r="J10" s="23"/>
      <c r="K10" s="23"/>
      <c r="L10" s="23"/>
      <c r="M10" s="23"/>
      <c r="N10" s="23"/>
      <c r="O10" s="23">
        <v>-366109.49430000002</v>
      </c>
      <c r="P10" s="20">
        <f>SUM('Ago-22'!$H10:$O10)</f>
        <v>165839.92360099999</v>
      </c>
      <c r="Q10" s="21" t="str">
        <f>IFERROR(IF('Ago-22'!$F10="","-",VLOOKUP('Ago-22'!$F10,Lista_CUIT!$A$1:$D$1871,3,0)),"CUIT NO CARGADO")</f>
        <v>GTOS IMP.</v>
      </c>
      <c r="R10" s="21">
        <f>IFERROR(IF('Ago-22'!$F10="","-",VLOOKUP('Ago-22'!$F10,Lista_CUIT!$A$1:$D$1871,4,0)),"CUIT NO CARGADO")</f>
        <v>0</v>
      </c>
    </row>
    <row r="11" spans="1:19" ht="16.5" customHeight="1" x14ac:dyDescent="0.25">
      <c r="B11" s="10">
        <v>44783</v>
      </c>
      <c r="C11" s="11">
        <v>1</v>
      </c>
      <c r="D11" s="12">
        <v>280</v>
      </c>
      <c r="E11" s="13">
        <v>1382909</v>
      </c>
      <c r="F11" s="14">
        <v>30580111315</v>
      </c>
      <c r="G11" s="15" t="str">
        <f>IFERROR(IF('Ago-22'!$F11="","-",VLOOKUP('Ago-22'!$F11,Lista_CUIT!$A$1:$D$1871,2,0)),"CUIT NO CARGADO")</f>
        <v>DHL EXPRESS ARG SA</v>
      </c>
      <c r="H11" s="16">
        <v>418587.00880000001</v>
      </c>
      <c r="I11" s="23">
        <v>841.49</v>
      </c>
      <c r="J11" s="23"/>
      <c r="K11" s="23">
        <v>43530.463000000003</v>
      </c>
      <c r="L11" s="23"/>
      <c r="M11" s="23"/>
      <c r="N11" s="23"/>
      <c r="O11" s="23">
        <v>-376890.46189999999</v>
      </c>
      <c r="P11" s="20">
        <f>SUM('Ago-22'!$H11:$O11)</f>
        <v>86068.499899999995</v>
      </c>
      <c r="Q11" s="21" t="str">
        <f>IFERROR(IF('Ago-22'!$F11="","-",VLOOKUP('Ago-22'!$F11,Lista_CUIT!$A$1:$D$1871,3,0)),"CUIT NO CARGADO")</f>
        <v>GTOS IMP.</v>
      </c>
      <c r="R11" s="21">
        <f>IFERROR(IF('Ago-22'!$F11="","-",VLOOKUP('Ago-22'!$F11,Lista_CUIT!$A$1:$D$1871,4,0)),"CUIT NO CARGADO")</f>
        <v>0</v>
      </c>
    </row>
    <row r="12" spans="1:19" ht="16.5" customHeight="1" x14ac:dyDescent="0.25">
      <c r="B12" s="10">
        <v>44804</v>
      </c>
      <c r="C12" s="11">
        <v>1</v>
      </c>
      <c r="D12" s="12">
        <v>4</v>
      </c>
      <c r="E12" s="13">
        <v>18961</v>
      </c>
      <c r="F12" s="14">
        <v>33644560509</v>
      </c>
      <c r="G12" s="15" t="str">
        <f>IFERROR(IF('Ago-22'!$F12="","-",VLOOKUP('Ago-22'!$F12,Lista_CUIT!$A$1:$D$1871,2,0)),"CUIT NO CARGADO")</f>
        <v>ELECTRICIDAD BELTRAME  SA</v>
      </c>
      <c r="H12" s="16">
        <v>38192.949999999997</v>
      </c>
      <c r="I12" s="23">
        <f>IF('Ago-22'!$H12="","",'Ago-22'!$H12*0.21)</f>
        <v>8020.5194999999994</v>
      </c>
      <c r="J12" s="23"/>
      <c r="K12" s="23"/>
      <c r="L12" s="23"/>
      <c r="M12" s="23"/>
      <c r="N12" s="23"/>
      <c r="O12" s="23"/>
      <c r="P12" s="20">
        <f>SUM('Ago-22'!$H12:$O12)</f>
        <v>46213.469499999999</v>
      </c>
      <c r="Q12" s="21" t="str">
        <f>IFERROR(IF('Ago-22'!$F12="","-",VLOOKUP('Ago-22'!$F12,Lista_CUIT!$A$1:$D$1871,3,0)),"CUIT NO CARGADO")</f>
        <v>INSUMO</v>
      </c>
      <c r="R12" s="21">
        <f>IFERROR(IF('Ago-22'!$F12="","-",VLOOKUP('Ago-22'!$F12,Lista_CUIT!$A$1:$D$1871,4,0)),"CUIT NO CARGADO")</f>
        <v>0</v>
      </c>
    </row>
    <row r="13" spans="1:19" ht="16.5" customHeight="1" x14ac:dyDescent="0.25">
      <c r="B13" s="10">
        <v>44803</v>
      </c>
      <c r="C13" s="11">
        <v>1</v>
      </c>
      <c r="D13" s="12">
        <v>8</v>
      </c>
      <c r="E13" s="13">
        <v>158254</v>
      </c>
      <c r="F13" s="14">
        <v>33606484599</v>
      </c>
      <c r="G13" s="15" t="str">
        <f>IFERROR(IF('Ago-22'!$F13="","-",VLOOKUP('Ago-22'!$F13,Lista_CUIT!$A$1:$D$1871,2,0)),"CUIT NO CARGADO")</f>
        <v>JORVICAL ACEROS SA</v>
      </c>
      <c r="H13" s="16">
        <v>487342.97</v>
      </c>
      <c r="I13" s="23">
        <f>IF('Ago-22'!$H13="","",'Ago-22'!$H13*0.21)</f>
        <v>102342.02369999999</v>
      </c>
      <c r="J13" s="23"/>
      <c r="K13" s="23"/>
      <c r="L13" s="23"/>
      <c r="M13" s="23"/>
      <c r="N13" s="23"/>
      <c r="O13" s="23"/>
      <c r="P13" s="20">
        <f>SUM('Ago-22'!$H13:$O13)</f>
        <v>589684.99369999999</v>
      </c>
      <c r="Q13" s="21" t="str">
        <f>IFERROR(IF('Ago-22'!$F13="","-",VLOOKUP('Ago-22'!$F13,Lista_CUIT!$A$1:$D$1871,3,0)),"CUIT NO CARGADO")</f>
        <v>MAT. PRIM.</v>
      </c>
      <c r="R13" s="21">
        <f>IFERROR(IF('Ago-22'!$F13="","-",VLOOKUP('Ago-22'!$F13,Lista_CUIT!$A$1:$D$1871,4,0)),"CUIT NO CARGADO")</f>
        <v>0</v>
      </c>
    </row>
    <row r="14" spans="1:19" ht="16.5" customHeight="1" x14ac:dyDescent="0.25">
      <c r="B14" s="10">
        <v>44802</v>
      </c>
      <c r="C14" s="11">
        <v>1</v>
      </c>
      <c r="D14" s="12">
        <v>5</v>
      </c>
      <c r="E14" s="13">
        <v>49509</v>
      </c>
      <c r="F14" s="14">
        <v>30609968792</v>
      </c>
      <c r="G14" s="15" t="str">
        <f>IFERROR(IF('Ago-22'!$F14="","-",VLOOKUP('Ago-22'!$F14,Lista_CUIT!$A$1:$D$1871,2,0)),"CUIT NO CARGADO")</f>
        <v>ABAC SRL</v>
      </c>
      <c r="H14" s="16">
        <v>465315.83999999991</v>
      </c>
      <c r="I14" s="23">
        <f>IF('Ago-22'!$H14="","",'Ago-22'!$H14*0.21)</f>
        <v>97716.326399999976</v>
      </c>
      <c r="J14" s="23"/>
      <c r="K14" s="23"/>
      <c r="L14" s="23"/>
      <c r="M14" s="23"/>
      <c r="N14" s="23"/>
      <c r="O14" s="23"/>
      <c r="P14" s="20">
        <f>SUM('Ago-22'!$H14:$O14)</f>
        <v>563032.16639999987</v>
      </c>
      <c r="Q14" s="21" t="str">
        <f>IFERROR(IF('Ago-22'!$F14="","-",VLOOKUP('Ago-22'!$F14,Lista_CUIT!$A$1:$D$1871,3,0)),"CUIT NO CARGADO")</f>
        <v>MAT. PRIM.</v>
      </c>
      <c r="R14" s="21">
        <f>IFERROR(IF('Ago-22'!$F14="","-",VLOOKUP('Ago-22'!$F14,Lista_CUIT!$A$1:$D$1871,4,0)),"CUIT NO CARGADO")</f>
        <v>0</v>
      </c>
    </row>
    <row r="15" spans="1:19" ht="16.5" customHeight="1" x14ac:dyDescent="0.25">
      <c r="B15" s="10">
        <v>44799</v>
      </c>
      <c r="C15" s="11">
        <v>1</v>
      </c>
      <c r="D15" s="12">
        <v>2</v>
      </c>
      <c r="E15" s="13">
        <v>12097</v>
      </c>
      <c r="F15" s="14">
        <v>20103565309</v>
      </c>
      <c r="G15" s="15" t="str">
        <f>IFERROR(IF('Ago-22'!$F15="","-",VLOOKUP('Ago-22'!$F15,Lista_CUIT!$A$1:$D$1871,2,0)),"CUIT NO CARGADO")</f>
        <v>CASATI ENRIQUE ARIEL</v>
      </c>
      <c r="H15" s="16">
        <v>33840</v>
      </c>
      <c r="I15" s="23">
        <f>IF('Ago-22'!$H15="","",'Ago-22'!$H15*0.21)</f>
        <v>7106.4</v>
      </c>
      <c r="J15" s="23"/>
      <c r="K15" s="23"/>
      <c r="L15" s="23"/>
      <c r="M15" s="23"/>
      <c r="N15" s="23"/>
      <c r="O15" s="23"/>
      <c r="P15" s="20">
        <f>SUM('Ago-22'!$H15:$O15)</f>
        <v>40946.400000000001</v>
      </c>
      <c r="Q15" s="21" t="str">
        <f>IFERROR(IF('Ago-22'!$F15="","-",VLOOKUP('Ago-22'!$F15,Lista_CUIT!$A$1:$D$1871,3,0)),"CUIT NO CARGADO")</f>
        <v>Gastos Varios</v>
      </c>
      <c r="R15" s="21">
        <f>IFERROR(IF('Ago-22'!$F15="","-",VLOOKUP('Ago-22'!$F15,Lista_CUIT!$A$1:$D$1871,4,0)),"CUIT NO CARGADO")</f>
        <v>0</v>
      </c>
    </row>
    <row r="16" spans="1:19" ht="16.5" customHeight="1" x14ac:dyDescent="0.25">
      <c r="B16" s="10">
        <v>44791</v>
      </c>
      <c r="C16" s="11">
        <v>1</v>
      </c>
      <c r="D16" s="12">
        <v>2</v>
      </c>
      <c r="E16" s="13">
        <v>2188</v>
      </c>
      <c r="F16" s="14">
        <v>30709131733</v>
      </c>
      <c r="G16" s="15" t="str">
        <f>IFERROR(IF('Ago-22'!$F16="","-",VLOOKUP('Ago-22'!$F16,Lista_CUIT!$A$1:$D$1871,2,0)),"CUIT NO CARGADO")</f>
        <v>DIGAS SRL</v>
      </c>
      <c r="H16" s="16">
        <v>358550</v>
      </c>
      <c r="I16" s="23">
        <f>IF('Ago-22'!$H16="","",'Ago-22'!$H16*0.21)</f>
        <v>75295.5</v>
      </c>
      <c r="J16" s="23"/>
      <c r="K16" s="23"/>
      <c r="L16" s="23"/>
      <c r="M16" s="23"/>
      <c r="N16" s="23"/>
      <c r="O16" s="23"/>
      <c r="P16" s="20">
        <f>SUM('Ago-22'!$H16:$O16)</f>
        <v>433845.5</v>
      </c>
      <c r="Q16" s="21" t="str">
        <f>IFERROR(IF('Ago-22'!$F16="","-",VLOOKUP('Ago-22'!$F16,Lista_CUIT!$A$1:$D$1871,3,0)),"CUIT NO CARGADO")</f>
        <v>INSUMO</v>
      </c>
      <c r="R16" s="21">
        <f>IFERROR(IF('Ago-22'!$F16="","-",VLOOKUP('Ago-22'!$F16,Lista_CUIT!$A$1:$D$1871,4,0)),"CUIT NO CARGADO")</f>
        <v>0</v>
      </c>
    </row>
    <row r="17" spans="2:18" ht="16.5" customHeight="1" x14ac:dyDescent="0.25">
      <c r="B17" s="10">
        <v>44791</v>
      </c>
      <c r="C17" s="11">
        <v>1</v>
      </c>
      <c r="D17" s="12">
        <v>2</v>
      </c>
      <c r="E17" s="13">
        <v>535</v>
      </c>
      <c r="F17" s="14">
        <v>20296550184</v>
      </c>
      <c r="G17" s="15" t="str">
        <f>IFERROR(IF('Ago-22'!$F17="","-",VLOOKUP('Ago-22'!$F17,Lista_CUIT!$A$1:$D$1871,2,0)),"CUIT NO CARGADO")</f>
        <v>COSTA DIEGO ALEJANDRO</v>
      </c>
      <c r="H17" s="16">
        <v>16200</v>
      </c>
      <c r="I17" s="23">
        <f>IF('Ago-22'!$H17="","",'Ago-22'!$H17*0.21)</f>
        <v>3402</v>
      </c>
      <c r="J17" s="23"/>
      <c r="K17" s="23"/>
      <c r="L17" s="23"/>
      <c r="M17" s="23"/>
      <c r="N17" s="23"/>
      <c r="O17" s="23"/>
      <c r="P17" s="20">
        <f>SUM('Ago-22'!$H17:$O17)</f>
        <v>19602</v>
      </c>
      <c r="Q17" s="21" t="str">
        <f>IFERROR(IF('Ago-22'!$F17="","-",VLOOKUP('Ago-22'!$F17,Lista_CUIT!$A$1:$D$1871,3,0)),"CUIT NO CARGADO")</f>
        <v>MAT. PRIM.</v>
      </c>
      <c r="R17" s="21">
        <f>IFERROR(IF('Ago-22'!$F17="","-",VLOOKUP('Ago-22'!$F17,Lista_CUIT!$A$1:$D$1871,4,0)),"CUIT NO CARGADO")</f>
        <v>0</v>
      </c>
    </row>
    <row r="18" spans="2:18" ht="16.5" customHeight="1" x14ac:dyDescent="0.25">
      <c r="B18" s="10">
        <v>44795</v>
      </c>
      <c r="C18" s="11">
        <v>1</v>
      </c>
      <c r="D18" s="12">
        <v>700</v>
      </c>
      <c r="E18" s="13">
        <v>418162</v>
      </c>
      <c r="F18" s="14">
        <v>30580111315</v>
      </c>
      <c r="G18" s="15" t="str">
        <f>IFERROR(IF('Ago-22'!$F18="","-",VLOOKUP('Ago-22'!$F18,Lista_CUIT!$A$1:$D$1871,2,0)),"CUIT NO CARGADO")</f>
        <v>DHL EXPRESS ARG SA</v>
      </c>
      <c r="H18" s="16"/>
      <c r="I18" s="23" t="str">
        <f>IF('Ago-22'!$H18="","",'Ago-22'!$H18*0.21)</f>
        <v/>
      </c>
      <c r="J18" s="23"/>
      <c r="K18" s="23"/>
      <c r="L18" s="23"/>
      <c r="M18" s="23"/>
      <c r="N18" s="23"/>
      <c r="O18" s="23">
        <v>15762.7225</v>
      </c>
      <c r="P18" s="20">
        <f>SUM('Ago-22'!$H18:$O18)</f>
        <v>15762.7225</v>
      </c>
      <c r="Q18" s="21" t="str">
        <f>IFERROR(IF('Ago-22'!$F18="","-",VLOOKUP('Ago-22'!$F18,Lista_CUIT!$A$1:$D$1871,3,0)),"CUIT NO CARGADO")</f>
        <v>GTOS IMP.</v>
      </c>
      <c r="R18" s="21">
        <f>IFERROR(IF('Ago-22'!$F18="","-",VLOOKUP('Ago-22'!$F18,Lista_CUIT!$A$1:$D$1871,4,0)),"CUIT NO CARGADO")</f>
        <v>0</v>
      </c>
    </row>
    <row r="19" spans="2:18" ht="16.5" customHeight="1" x14ac:dyDescent="0.25">
      <c r="B19" s="10">
        <v>44798</v>
      </c>
      <c r="C19" s="11">
        <v>1</v>
      </c>
      <c r="D19" s="12">
        <v>4</v>
      </c>
      <c r="E19" s="13">
        <v>12400</v>
      </c>
      <c r="F19" s="14">
        <v>30716701820</v>
      </c>
      <c r="G19" s="15" t="str">
        <f>IFERROR(IF('Ago-22'!$F19="","-",VLOOKUP('Ago-22'!$F19,Lista_CUIT!$A$1:$D$1871,2,0)),"CUIT NO CARGADO")</f>
        <v>MENTA GRANIZADA</v>
      </c>
      <c r="H19" s="16">
        <v>211492.18</v>
      </c>
      <c r="I19" s="23"/>
      <c r="J19" s="23"/>
      <c r="K19" s="23">
        <v>22206.678899999999</v>
      </c>
      <c r="L19" s="23"/>
      <c r="M19" s="23"/>
      <c r="N19" s="23"/>
      <c r="O19" s="23"/>
      <c r="P19" s="20">
        <f>SUM('Ago-22'!$H19:$O19)</f>
        <v>233698.85889999999</v>
      </c>
      <c r="Q19" s="21" t="str">
        <f>IFERROR(IF('Ago-22'!$F19="","-",VLOOKUP('Ago-22'!$F19,Lista_CUIT!$A$1:$D$1871,3,0)),"CUIT NO CARGADO")</f>
        <v>BIENES DE USO</v>
      </c>
      <c r="R19" s="21">
        <f>IFERROR(IF('Ago-22'!$F19="","-",VLOOKUP('Ago-22'!$F19,Lista_CUIT!$A$1:$D$1871,4,0)),"CUIT NO CARGADO")</f>
        <v>0</v>
      </c>
    </row>
    <row r="20" spans="2:18" ht="16.5" customHeight="1" x14ac:dyDescent="0.25">
      <c r="B20" s="10">
        <v>44792</v>
      </c>
      <c r="C20" s="11">
        <v>1</v>
      </c>
      <c r="D20" s="12">
        <v>3</v>
      </c>
      <c r="E20" s="13">
        <v>4</v>
      </c>
      <c r="F20" s="14">
        <v>20297899830</v>
      </c>
      <c r="G20" s="15" t="str">
        <f>IFERROR(IF('Ago-22'!$F20="","-",VLOOKUP('Ago-22'!$F20,Lista_CUIT!$A$1:$D$1871,2,0)),"CUIT NO CARGADO")</f>
        <v>FUNK MATIAS NICOLAS</v>
      </c>
      <c r="H20" s="16">
        <v>266303.8</v>
      </c>
      <c r="I20" s="23">
        <f>IF('Ago-22'!$H20="","",'Ago-22'!$H20*0.21)</f>
        <v>55923.797999999995</v>
      </c>
      <c r="J20" s="23"/>
      <c r="K20" s="23"/>
      <c r="L20" s="23"/>
      <c r="M20" s="23"/>
      <c r="N20" s="23"/>
      <c r="O20" s="23"/>
      <c r="P20" s="20">
        <f>SUM('Ago-22'!$H20:$O20)</f>
        <v>322227.598</v>
      </c>
      <c r="Q20" s="21" t="str">
        <f>IFERROR(IF('Ago-22'!$F20="","-",VLOOKUP('Ago-22'!$F20,Lista_CUIT!$A$1:$D$1871,3,0)),"CUIT NO CARGADO")</f>
        <v>Servicios Torneria</v>
      </c>
      <c r="R20" s="21">
        <f>IFERROR(IF('Ago-22'!$F20="","-",VLOOKUP('Ago-22'!$F20,Lista_CUIT!$A$1:$D$1871,4,0)),"CUIT NO CARGADO")</f>
        <v>0</v>
      </c>
    </row>
    <row r="21" spans="2:18" ht="16.5" customHeight="1" x14ac:dyDescent="0.25">
      <c r="B21" s="10">
        <v>44795</v>
      </c>
      <c r="C21" s="11">
        <v>1</v>
      </c>
      <c r="D21" s="12">
        <v>9</v>
      </c>
      <c r="E21" s="13">
        <v>1297</v>
      </c>
      <c r="F21" s="14">
        <v>30631047145</v>
      </c>
      <c r="G21" s="15" t="str">
        <f>IFERROR(IF('Ago-22'!$F21="","-",VLOOKUP('Ago-22'!$F21,Lista_CUIT!$A$1:$D$1871,2,0)),"CUIT NO CARGADO")</f>
        <v>SEMICONDUC. Y COMPON. SRL</v>
      </c>
      <c r="H21" s="16">
        <v>57772</v>
      </c>
      <c r="I21" s="23">
        <v>9948.94</v>
      </c>
      <c r="J21" s="23"/>
      <c r="K21" s="23">
        <v>1091.5899999999999</v>
      </c>
      <c r="L21" s="23"/>
      <c r="M21" s="23"/>
      <c r="N21" s="23"/>
      <c r="O21" s="23"/>
      <c r="P21" s="20">
        <f>SUM('Ago-22'!$H21:$O21)</f>
        <v>68812.53</v>
      </c>
      <c r="Q21" s="21" t="str">
        <f>IFERROR(IF('Ago-22'!$F21="","-",VLOOKUP('Ago-22'!$F21,Lista_CUIT!$A$1:$D$1871,3,0)),"CUIT NO CARGADO")</f>
        <v>INSUMO</v>
      </c>
      <c r="R21" s="21">
        <f>IFERROR(IF('Ago-22'!$F21="","-",VLOOKUP('Ago-22'!$F21,Lista_CUIT!$A$1:$D$1871,4,0)),"CUIT NO CARGADO")</f>
        <v>0</v>
      </c>
    </row>
    <row r="22" spans="2:18" ht="16.5" customHeight="1" x14ac:dyDescent="0.25">
      <c r="B22" s="10">
        <v>44795</v>
      </c>
      <c r="C22" s="11">
        <v>1</v>
      </c>
      <c r="D22" s="12">
        <v>9</v>
      </c>
      <c r="E22" s="13">
        <v>1298</v>
      </c>
      <c r="F22" s="14">
        <v>30631047145</v>
      </c>
      <c r="G22" s="15" t="str">
        <f>IFERROR(IF('Ago-22'!$F22="","-",VLOOKUP('Ago-22'!$F22,Lista_CUIT!$A$1:$D$1871,2,0)),"CUIT NO CARGADO")</f>
        <v>SEMICONDUC. Y COMPON. SRL</v>
      </c>
      <c r="H22" s="16">
        <v>7865</v>
      </c>
      <c r="I22" s="23">
        <f>IF('Ago-22'!$H22="","",'Ago-22'!$H22*0.21)</f>
        <v>1651.6499999999999</v>
      </c>
      <c r="J22" s="23"/>
      <c r="K22" s="23"/>
      <c r="L22" s="23"/>
      <c r="M22" s="23"/>
      <c r="N22" s="23"/>
      <c r="O22" s="23"/>
      <c r="P22" s="20">
        <f>SUM('Ago-22'!$H22:$O22)</f>
        <v>9516.65</v>
      </c>
      <c r="Q22" s="21" t="str">
        <f>IFERROR(IF('Ago-22'!$F22="","-",VLOOKUP('Ago-22'!$F22,Lista_CUIT!$A$1:$D$1871,3,0)),"CUIT NO CARGADO")</f>
        <v>INSUMO</v>
      </c>
      <c r="R22" s="21">
        <f>IFERROR(IF('Ago-22'!$F22="","-",VLOOKUP('Ago-22'!$F22,Lista_CUIT!$A$1:$D$1871,4,0)),"CUIT NO CARGADO")</f>
        <v>0</v>
      </c>
    </row>
    <row r="23" spans="2:18" ht="16.5" customHeight="1" x14ac:dyDescent="0.25">
      <c r="B23" s="10">
        <v>44791</v>
      </c>
      <c r="C23" s="11">
        <v>1</v>
      </c>
      <c r="D23" s="12">
        <v>4</v>
      </c>
      <c r="E23" s="13">
        <v>3155</v>
      </c>
      <c r="F23" s="14">
        <v>30714049123</v>
      </c>
      <c r="G23" s="15" t="str">
        <f>IFERROR(IF('Ago-22'!$F23="","-",VLOOKUP('Ago-22'!$F23,Lista_CUIT!$A$1:$D$1871,2,0)),"CUIT NO CARGADO")</f>
        <v>TECNOLOGIA EN SEMICONDUCTORES S</v>
      </c>
      <c r="H23" s="16">
        <v>45364.71</v>
      </c>
      <c r="I23" s="23"/>
      <c r="J23" s="23"/>
      <c r="K23" s="23">
        <v>4763.2945499999996</v>
      </c>
      <c r="L23" s="23"/>
      <c r="M23" s="23"/>
      <c r="N23" s="23"/>
      <c r="O23" s="23"/>
      <c r="P23" s="20">
        <f>SUM('Ago-22'!$H23:$O23)</f>
        <v>50128.004549999998</v>
      </c>
      <c r="Q23" s="21" t="str">
        <f>IFERROR(IF('Ago-22'!$F23="","-",VLOOKUP('Ago-22'!$F23,Lista_CUIT!$A$1:$D$1871,3,0)),"CUIT NO CARGADO")</f>
        <v>Gastos Oficina</v>
      </c>
      <c r="R23" s="21">
        <f>IFERROR(IF('Ago-22'!$F23="","-",VLOOKUP('Ago-22'!$F23,Lista_CUIT!$A$1:$D$1871,4,0)),"CUIT NO CARGADO")</f>
        <v>0</v>
      </c>
    </row>
    <row r="24" spans="2:18" ht="16.5" customHeight="1" x14ac:dyDescent="0.25">
      <c r="B24" s="10">
        <v>44790</v>
      </c>
      <c r="C24" s="11">
        <v>1</v>
      </c>
      <c r="D24" s="12">
        <v>4</v>
      </c>
      <c r="E24" s="13">
        <v>2129</v>
      </c>
      <c r="F24" s="14">
        <v>20289114212</v>
      </c>
      <c r="G24" s="15" t="str">
        <f>IFERROR(IF('Ago-22'!$F24="","-",VLOOKUP('Ago-22'!$F24,Lista_CUIT!$A$1:$D$1871,2,0)),"CUIT NO CARGADO")</f>
        <v>BADARACCO FRANCO ALEJANDRO ARIEL</v>
      </c>
      <c r="H24" s="16">
        <v>5495.87</v>
      </c>
      <c r="I24" s="23">
        <f>IF('Ago-22'!$H24="","",'Ago-22'!$H24*0.21)</f>
        <v>1154.1326999999999</v>
      </c>
      <c r="J24" s="23"/>
      <c r="K24" s="23"/>
      <c r="L24" s="23"/>
      <c r="M24" s="23"/>
      <c r="N24" s="23"/>
      <c r="O24" s="23"/>
      <c r="P24" s="20">
        <f>SUM('Ago-22'!$H24:$O24)</f>
        <v>6650.0027</v>
      </c>
      <c r="Q24" s="21" t="str">
        <f>IFERROR(IF('Ago-22'!$F24="","-",VLOOKUP('Ago-22'!$F24,Lista_CUIT!$A$1:$D$1871,3,0)),"CUIT NO CARGADO")</f>
        <v>Gastos Oficina</v>
      </c>
      <c r="R24" s="21">
        <f>IFERROR(IF('Ago-22'!$F24="","-",VLOOKUP('Ago-22'!$F24,Lista_CUIT!$A$1:$D$1871,4,0)),"CUIT NO CARGADO")</f>
        <v>0</v>
      </c>
    </row>
    <row r="25" spans="2:18" ht="16.5" customHeight="1" x14ac:dyDescent="0.25">
      <c r="B25" s="10">
        <v>44794</v>
      </c>
      <c r="C25" s="11">
        <v>1</v>
      </c>
      <c r="D25" s="12">
        <v>6992</v>
      </c>
      <c r="E25" s="13">
        <v>9165</v>
      </c>
      <c r="F25" s="14">
        <v>30678774495</v>
      </c>
      <c r="G25" s="15" t="str">
        <f>IFERROR(IF('Ago-22'!$F25="","-",VLOOKUP('Ago-22'!$F25,Lista_CUIT!$A$1:$D$1871,2,0)),"CUIT NO CARGADO")</f>
        <v>OPER. DE EST. DE SERV. SA</v>
      </c>
      <c r="H25" s="16">
        <v>4790.88</v>
      </c>
      <c r="I25" s="23">
        <f>IF('Ago-22'!$H25="","",'Ago-22'!$H25*0.21)</f>
        <v>1006.0848</v>
      </c>
      <c r="J25" s="23"/>
      <c r="K25" s="23"/>
      <c r="L25" s="23"/>
      <c r="M25" s="23"/>
      <c r="N25" s="23"/>
      <c r="O25" s="23">
        <v>1003.74</v>
      </c>
      <c r="P25" s="20">
        <f>SUM('Ago-22'!$H25:$O25)</f>
        <v>6800.7047999999995</v>
      </c>
      <c r="Q25" s="21" t="str">
        <f>IFERROR(IF('Ago-22'!$F25="","-",VLOOKUP('Ago-22'!$F25,Lista_CUIT!$A$1:$D$1871,3,0)),"CUIT NO CARGADO")</f>
        <v>COMBUSTIBLE</v>
      </c>
      <c r="R25" s="21">
        <f>IFERROR(IF('Ago-22'!$F25="","-",VLOOKUP('Ago-22'!$F25,Lista_CUIT!$A$1:$D$1871,4,0)),"CUIT NO CARGADO")</f>
        <v>0</v>
      </c>
    </row>
    <row r="26" spans="2:18" ht="16.5" customHeight="1" x14ac:dyDescent="0.25">
      <c r="B26" s="10">
        <v>44790</v>
      </c>
      <c r="C26" s="11">
        <v>1</v>
      </c>
      <c r="D26" s="12">
        <v>7</v>
      </c>
      <c r="E26" s="13">
        <v>4231</v>
      </c>
      <c r="F26" s="14">
        <v>30631515815</v>
      </c>
      <c r="G26" s="15" t="str">
        <f>IFERROR(IF('Ago-22'!$F26="","-",VLOOKUP('Ago-22'!$F26,Lista_CUIT!$A$1:$D$1871,2,0)),"CUIT NO CARGADO")</f>
        <v>M-ELEK SA</v>
      </c>
      <c r="H26" s="16">
        <v>9305.7900000000009</v>
      </c>
      <c r="I26" s="23">
        <f>IF('Ago-22'!$H26="","",'Ago-22'!$H26*0.21)</f>
        <v>1954.2159000000001</v>
      </c>
      <c r="J26" s="23"/>
      <c r="K26" s="23"/>
      <c r="L26" s="23"/>
      <c r="M26" s="23"/>
      <c r="N26" s="23"/>
      <c r="O26" s="23"/>
      <c r="P26" s="20">
        <f>SUM('Ago-22'!$H26:$O26)</f>
        <v>11260.0059</v>
      </c>
      <c r="Q26" s="21" t="str">
        <f>IFERROR(IF('Ago-22'!$F26="","-",VLOOKUP('Ago-22'!$F26,Lista_CUIT!$A$1:$D$1871,3,0)),"CUIT NO CARGADO")</f>
        <v>Gastos Oficina</v>
      </c>
      <c r="R26" s="21">
        <f>IFERROR(IF('Ago-22'!$F26="","-",VLOOKUP('Ago-22'!$F26,Lista_CUIT!$A$1:$D$1871,4,0)),"CUIT NO CARGADO")</f>
        <v>0</v>
      </c>
    </row>
    <row r="27" spans="2:18" ht="16.5" customHeight="1" x14ac:dyDescent="0.25">
      <c r="B27" s="10">
        <v>44785</v>
      </c>
      <c r="C27" s="11">
        <v>1</v>
      </c>
      <c r="D27" s="12">
        <v>1006</v>
      </c>
      <c r="E27" s="13">
        <v>773577</v>
      </c>
      <c r="F27" s="14">
        <v>30538068841</v>
      </c>
      <c r="G27" s="15" t="str">
        <f>IFERROR(IF('Ago-22'!$F27="","-",VLOOKUP('Ago-22'!$F27,Lista_CUIT!$A$1:$D$1871,2,0)),"CUIT NO CARGADO")</f>
        <v>FAMIQ SRL</v>
      </c>
      <c r="H27" s="16">
        <v>784205.8</v>
      </c>
      <c r="I27" s="23">
        <f>IF('Ago-22'!$H27="","",'Ago-22'!$H27*0.21)</f>
        <v>164683.21799999999</v>
      </c>
      <c r="J27" s="23"/>
      <c r="K27" s="23"/>
      <c r="L27" s="23"/>
      <c r="M27" s="23"/>
      <c r="N27" s="23"/>
      <c r="O27" s="23"/>
      <c r="P27" s="20">
        <f>SUM('Ago-22'!$H27:$O27)</f>
        <v>948889.01800000004</v>
      </c>
      <c r="Q27" s="21" t="str">
        <f>IFERROR(IF('Ago-22'!$F27="","-",VLOOKUP('Ago-22'!$F27,Lista_CUIT!$A$1:$D$1871,3,0)),"CUIT NO CARGADO")</f>
        <v>Gastos Varios</v>
      </c>
      <c r="R27" s="21">
        <f>IFERROR(IF('Ago-22'!$F27="","-",VLOOKUP('Ago-22'!$F27,Lista_CUIT!$A$1:$D$1871,4,0)),"CUIT NO CARGADO")</f>
        <v>0</v>
      </c>
    </row>
    <row r="28" spans="2:18" ht="16.5" customHeight="1" x14ac:dyDescent="0.25">
      <c r="B28" s="10">
        <v>44785</v>
      </c>
      <c r="C28" s="11">
        <v>1</v>
      </c>
      <c r="D28" s="12">
        <v>2</v>
      </c>
      <c r="E28" s="13">
        <v>532</v>
      </c>
      <c r="F28" s="14">
        <v>20296550184</v>
      </c>
      <c r="G28" s="15" t="str">
        <f>IFERROR(IF('Ago-22'!$F28="","-",VLOOKUP('Ago-22'!$F28,Lista_CUIT!$A$1:$D$1871,2,0)),"CUIT NO CARGADO")</f>
        <v>COSTA DIEGO ALEJANDRO</v>
      </c>
      <c r="H28" s="16">
        <v>30360</v>
      </c>
      <c r="I28" s="23">
        <f>IF('Ago-22'!$H28="","",'Ago-22'!$H28*0.21)</f>
        <v>6375.5999999999995</v>
      </c>
      <c r="J28" s="23"/>
      <c r="K28" s="23"/>
      <c r="L28" s="23"/>
      <c r="M28" s="23"/>
      <c r="N28" s="23"/>
      <c r="O28" s="23"/>
      <c r="P28" s="20">
        <f>SUM('Ago-22'!$H28:$O28)</f>
        <v>36735.599999999999</v>
      </c>
      <c r="Q28" s="21" t="str">
        <f>IFERROR(IF('Ago-22'!$F28="","-",VLOOKUP('Ago-22'!$F28,Lista_CUIT!$A$1:$D$1871,3,0)),"CUIT NO CARGADO")</f>
        <v>MAT. PRIM.</v>
      </c>
      <c r="R28" s="21">
        <f>IFERROR(IF('Ago-22'!$F28="","-",VLOOKUP('Ago-22'!$F28,Lista_CUIT!$A$1:$D$1871,4,0)),"CUIT NO CARGADO")</f>
        <v>0</v>
      </c>
    </row>
    <row r="29" spans="2:18" ht="16.5" customHeight="1" x14ac:dyDescent="0.25">
      <c r="B29" s="10">
        <v>44781</v>
      </c>
      <c r="C29" s="11">
        <v>1</v>
      </c>
      <c r="D29" s="12">
        <v>4</v>
      </c>
      <c r="E29" s="13">
        <v>88182</v>
      </c>
      <c r="F29" s="14">
        <v>30559932236</v>
      </c>
      <c r="G29" s="15" t="str">
        <f>IFERROR(IF('Ago-22'!$F29="","-",VLOOKUP('Ago-22'!$F29,Lista_CUIT!$A$1:$D$1871,2,0)),"CUIT NO CARGADO")</f>
        <v>ELECTRONICA ELEMON SA</v>
      </c>
      <c r="H29" s="16">
        <v>53041.07</v>
      </c>
      <c r="I29" s="23">
        <f>IF('Ago-22'!$H29="","",'Ago-22'!$H29*0.21)</f>
        <v>11138.6247</v>
      </c>
      <c r="J29" s="23"/>
      <c r="K29" s="23"/>
      <c r="L29" s="23"/>
      <c r="M29" s="23"/>
      <c r="N29" s="23"/>
      <c r="O29" s="23"/>
      <c r="P29" s="20">
        <f>SUM('Ago-22'!$H29:$O29)</f>
        <v>64179.6947</v>
      </c>
      <c r="Q29" s="21" t="str">
        <f>IFERROR(IF('Ago-22'!$F29="","-",VLOOKUP('Ago-22'!$F29,Lista_CUIT!$A$1:$D$1871,3,0)),"CUIT NO CARGADO")</f>
        <v>MAT. PRIM.</v>
      </c>
      <c r="R29" s="21">
        <f>IFERROR(IF('Ago-22'!$F29="","-",VLOOKUP('Ago-22'!$F29,Lista_CUIT!$A$1:$D$1871,4,0)),"CUIT NO CARGADO")</f>
        <v>0</v>
      </c>
    </row>
    <row r="30" spans="2:18" ht="16.5" customHeight="1" x14ac:dyDescent="0.25">
      <c r="B30" s="10">
        <v>44774</v>
      </c>
      <c r="C30" s="11">
        <v>1</v>
      </c>
      <c r="D30" s="12">
        <v>3</v>
      </c>
      <c r="E30" s="13">
        <v>560</v>
      </c>
      <c r="F30" s="14">
        <v>30715402765</v>
      </c>
      <c r="G30" s="15" t="str">
        <f>IFERROR(IF('Ago-22'!$F30="","-",VLOOKUP('Ago-22'!$F30,Lista_CUIT!$A$1:$D$1871,2,0)),"CUIT NO CARGADO")</f>
        <v>RIO 265 SRL</v>
      </c>
      <c r="H30" s="16">
        <v>7768.6</v>
      </c>
      <c r="I30" s="23">
        <f>IF('Ago-22'!$H30="","",'Ago-22'!$H30*0.21)</f>
        <v>1631.4059999999999</v>
      </c>
      <c r="J30" s="23"/>
      <c r="K30" s="23"/>
      <c r="L30" s="23"/>
      <c r="M30" s="23"/>
      <c r="N30" s="23"/>
      <c r="O30" s="23"/>
      <c r="P30" s="20">
        <f>SUM('Ago-22'!$H30:$O30)</f>
        <v>9400.0060000000012</v>
      </c>
      <c r="Q30" s="21" t="str">
        <f>IFERROR(IF('Ago-22'!$F30="","-",VLOOKUP('Ago-22'!$F30,Lista_CUIT!$A$1:$D$1871,3,0)),"CUIT NO CARGADO")</f>
        <v>GTOS VARIOS-ESTACIONAMIENTO HORACIO</v>
      </c>
      <c r="R30" s="21">
        <f>IFERROR(IF('Ago-22'!$F30="","-",VLOOKUP('Ago-22'!$F30,Lista_CUIT!$A$1:$D$1871,4,0)),"CUIT NO CARGADO")</f>
        <v>0</v>
      </c>
    </row>
    <row r="31" spans="2:18" ht="15" customHeight="1" x14ac:dyDescent="0.25">
      <c r="B31" s="10">
        <v>44781</v>
      </c>
      <c r="C31" s="11">
        <v>1</v>
      </c>
      <c r="D31" s="12">
        <v>700</v>
      </c>
      <c r="E31" s="13">
        <v>412103</v>
      </c>
      <c r="F31" s="14">
        <v>30580111315</v>
      </c>
      <c r="G31" s="15" t="str">
        <f>IFERROR(IF('Ago-22'!$F31="","-",VLOOKUP('Ago-22'!$F31,Lista_CUIT!$A$1:$D$1871,2,0)),"CUIT NO CARGADO")</f>
        <v>DHL EXPRESS ARG SA</v>
      </c>
      <c r="H31" s="16"/>
      <c r="I31" s="23" t="str">
        <f>IF('Ago-22'!$H31="","",'Ago-22'!$H31*0.21)</f>
        <v/>
      </c>
      <c r="J31" s="23"/>
      <c r="K31" s="23"/>
      <c r="L31" s="23"/>
      <c r="M31" s="23"/>
      <c r="N31" s="23"/>
      <c r="O31" s="23">
        <v>35149.537499999999</v>
      </c>
      <c r="P31" s="20">
        <f>SUM('Ago-22'!$H31:$O31)</f>
        <v>35149.537499999999</v>
      </c>
      <c r="Q31" s="21" t="str">
        <f>IFERROR(IF('Ago-22'!$F31="","-",VLOOKUP('Ago-22'!$F31,Lista_CUIT!$A$1:$D$1871,3,0)),"CUIT NO CARGADO")</f>
        <v>GTOS IMP.</v>
      </c>
      <c r="R31" s="21">
        <f>IFERROR(IF('Ago-22'!$F31="","-",VLOOKUP('Ago-22'!$F31,Lista_CUIT!$A$1:$D$1871,4,0)),"CUIT NO CARGADO")</f>
        <v>0</v>
      </c>
    </row>
    <row r="32" spans="2:18" ht="15" customHeight="1" x14ac:dyDescent="0.25">
      <c r="B32" s="10">
        <v>44783</v>
      </c>
      <c r="C32" s="11">
        <v>1</v>
      </c>
      <c r="D32" s="12">
        <v>3</v>
      </c>
      <c r="E32" s="13">
        <v>6784</v>
      </c>
      <c r="F32" s="14">
        <v>30710212127</v>
      </c>
      <c r="G32" s="15" t="str">
        <f>IFERROR(IF('Ago-22'!$F32="","-",VLOOKUP('Ago-22'!$F32,Lista_CUIT!$A$1:$D$1871,2,0)),"CUIT NO CARGADO")</f>
        <v>COMPONENTES ELECTRICOS SA</v>
      </c>
      <c r="H32" s="16">
        <v>913821.89</v>
      </c>
      <c r="I32" s="23">
        <f>IF('Ago-22'!$H32="","",'Ago-22'!$H32*0.21)</f>
        <v>191902.5969</v>
      </c>
      <c r="J32" s="23"/>
      <c r="K32" s="23"/>
      <c r="L32" s="23"/>
      <c r="M32" s="23"/>
      <c r="N32" s="23"/>
      <c r="O32" s="23"/>
      <c r="P32" s="20">
        <f>SUM('Ago-22'!$H32:$O32)</f>
        <v>1105724.4868999999</v>
      </c>
      <c r="Q32" s="21" t="str">
        <f>IFERROR(IF('Ago-22'!$F32="","-",VLOOKUP('Ago-22'!$F32,Lista_CUIT!$A$1:$D$1871,3,0)),"CUIT NO CARGADO")</f>
        <v>INSUMO</v>
      </c>
      <c r="R32" s="21">
        <f>IFERROR(IF('Ago-22'!$F32="","-",VLOOKUP('Ago-22'!$F32,Lista_CUIT!$A$1:$D$1871,4,0)),"CUIT NO CARGADO")</f>
        <v>0</v>
      </c>
    </row>
    <row r="33" spans="2:18" ht="15" customHeight="1" x14ac:dyDescent="0.25">
      <c r="B33" s="10">
        <v>44783</v>
      </c>
      <c r="C33" s="11">
        <v>1</v>
      </c>
      <c r="D33" s="12">
        <v>6</v>
      </c>
      <c r="E33" s="13">
        <v>4244</v>
      </c>
      <c r="F33" s="14">
        <v>20289190148</v>
      </c>
      <c r="G33" s="15" t="str">
        <f>IFERROR(IF('Ago-22'!$F33="","-",VLOOKUP('Ago-22'!$F33,Lista_CUIT!$A$1:$D$1871,2,0)),"CUIT NO CARGADO")</f>
        <v>LAROCCA JUAN MARTIN</v>
      </c>
      <c r="H33" s="16">
        <v>4864.7</v>
      </c>
      <c r="I33" s="23">
        <f>IF('Ago-22'!$H33="","",'Ago-22'!$H33*0.21)</f>
        <v>1021.5869999999999</v>
      </c>
      <c r="J33" s="23"/>
      <c r="K33" s="23"/>
      <c r="L33" s="23"/>
      <c r="M33" s="23"/>
      <c r="N33" s="23"/>
      <c r="O33" s="23"/>
      <c r="P33" s="20">
        <f>SUM('Ago-22'!$H33:$O33)</f>
        <v>5886.2869999999994</v>
      </c>
      <c r="Q33" s="21" t="str">
        <f>IFERROR(IF('Ago-22'!$F33="","-",VLOOKUP('Ago-22'!$F33,Lista_CUIT!$A$1:$D$1871,3,0)),"CUIT NO CARGADO")</f>
        <v>Gastos Oficina</v>
      </c>
      <c r="R33" s="21">
        <f>IFERROR(IF('Ago-22'!$F33="","-",VLOOKUP('Ago-22'!$F33,Lista_CUIT!$A$1:$D$1871,4,0)),"CUIT NO CARGADO")</f>
        <v>0</v>
      </c>
    </row>
    <row r="34" spans="2:18" ht="15" customHeight="1" x14ac:dyDescent="0.25">
      <c r="B34" s="10">
        <v>44776</v>
      </c>
      <c r="C34" s="11">
        <v>1</v>
      </c>
      <c r="D34" s="12">
        <v>8</v>
      </c>
      <c r="E34" s="13">
        <v>157587</v>
      </c>
      <c r="F34" s="14">
        <v>33606484599</v>
      </c>
      <c r="G34" s="15" t="str">
        <f>IFERROR(IF('Ago-22'!$F34="","-",VLOOKUP('Ago-22'!$F34,Lista_CUIT!$A$1:$D$1871,2,0)),"CUIT NO CARGADO")</f>
        <v>JORVICAL ACEROS SA</v>
      </c>
      <c r="H34" s="16">
        <v>466420.22</v>
      </c>
      <c r="I34" s="23">
        <f>IF('Ago-22'!$H34="","",'Ago-22'!$H34*0.21)</f>
        <v>97948.246199999994</v>
      </c>
      <c r="J34" s="23"/>
      <c r="K34" s="23"/>
      <c r="L34" s="23"/>
      <c r="M34" s="23"/>
      <c r="N34" s="23"/>
      <c r="O34" s="23"/>
      <c r="P34" s="20">
        <f>SUM('Ago-22'!$H34:$O34)</f>
        <v>564368.46619999991</v>
      </c>
      <c r="Q34" s="21" t="str">
        <f>IFERROR(IF('Ago-22'!$F34="","-",VLOOKUP('Ago-22'!$F34,Lista_CUIT!$A$1:$D$1871,3,0)),"CUIT NO CARGADO")</f>
        <v>MAT. PRIM.</v>
      </c>
      <c r="R34" s="21">
        <f>IFERROR(IF('Ago-22'!$F34="","-",VLOOKUP('Ago-22'!$F34,Lista_CUIT!$A$1:$D$1871,4,0)),"CUIT NO CARGADO")</f>
        <v>0</v>
      </c>
    </row>
    <row r="35" spans="2:18" ht="15" customHeight="1" x14ac:dyDescent="0.25">
      <c r="B35" s="10">
        <v>44774</v>
      </c>
      <c r="C35" s="11">
        <v>1</v>
      </c>
      <c r="D35" s="12">
        <v>3</v>
      </c>
      <c r="E35" s="13">
        <v>164538</v>
      </c>
      <c r="F35" s="14">
        <v>30707135596</v>
      </c>
      <c r="G35" s="15" t="str">
        <f>IFERROR(IF('Ago-22'!$F35="","-",VLOOKUP('Ago-22'!$F35,Lista_CUIT!$A$1:$D$1871,2,0)),"CUIT NO CARGADO")</f>
        <v>CITILAN ARGENTINA SA</v>
      </c>
      <c r="H35" s="16">
        <v>3062.6</v>
      </c>
      <c r="I35" s="23">
        <f>IF('Ago-22'!$H35="","",'Ago-22'!$H35*0.21)</f>
        <v>643.14599999999996</v>
      </c>
      <c r="J35" s="23"/>
      <c r="K35" s="23"/>
      <c r="L35" s="23"/>
      <c r="M35" s="23"/>
      <c r="N35" s="23"/>
      <c r="O35" s="23"/>
      <c r="P35" s="20">
        <f>SUM('Ago-22'!$H35:$O35)</f>
        <v>3705.7460000000001</v>
      </c>
      <c r="Q35" s="21" t="str">
        <f>IFERROR(IF('Ago-22'!$F35="","-",VLOOKUP('Ago-22'!$F35,Lista_CUIT!$A$1:$D$1871,3,0)),"CUIT NO CARGADO")</f>
        <v>SERVICIOS GAS, LUZ, ETC</v>
      </c>
      <c r="R35" s="21">
        <f>IFERROR(IF('Ago-22'!$F35="","-",VLOOKUP('Ago-22'!$F35,Lista_CUIT!$A$1:$D$1871,4,0)),"CUIT NO CARGADO")</f>
        <v>0</v>
      </c>
    </row>
    <row r="36" spans="2:18" ht="15" customHeight="1" x14ac:dyDescent="0.25">
      <c r="B36" s="10">
        <v>44774</v>
      </c>
      <c r="C36" s="11">
        <v>1</v>
      </c>
      <c r="D36" s="12">
        <v>2</v>
      </c>
      <c r="E36" s="13">
        <v>14593</v>
      </c>
      <c r="F36" s="14">
        <v>30624684628</v>
      </c>
      <c r="G36" s="15" t="str">
        <f>IFERROR(IF('Ago-22'!$F36="","-",VLOOKUP('Ago-22'!$F36,Lista_CUIT!$A$1:$D$1871,2,0)),"CUIT NO CARGADO")</f>
        <v>MITSUKO ARGENTINA SRL</v>
      </c>
      <c r="H36" s="16">
        <v>153480</v>
      </c>
      <c r="I36" s="23">
        <f>IF('Ago-22'!$H36="","",'Ago-22'!$H36*0.21)</f>
        <v>32230.799999999999</v>
      </c>
      <c r="J36" s="23"/>
      <c r="K36" s="23"/>
      <c r="L36" s="23"/>
      <c r="M36" s="23"/>
      <c r="N36" s="23"/>
      <c r="O36" s="23"/>
      <c r="P36" s="20">
        <f>SUM('Ago-22'!$H36:$O36)</f>
        <v>185710.8</v>
      </c>
      <c r="Q36" s="21" t="str">
        <f>IFERROR(IF('Ago-22'!$F36="","-",VLOOKUP('Ago-22'!$F36,Lista_CUIT!$A$1:$D$1871,3,0)),"CUIT NO CARGADO")</f>
        <v>MAT. PRIM.</v>
      </c>
      <c r="R36" s="21">
        <f>IFERROR(IF('Ago-22'!$F36="","-",VLOOKUP('Ago-22'!$F36,Lista_CUIT!$A$1:$D$1871,4,0)),"CUIT NO CARGADO")</f>
        <v>0</v>
      </c>
    </row>
    <row r="37" spans="2:18" ht="15" customHeight="1" x14ac:dyDescent="0.25">
      <c r="B37" s="10">
        <v>44775</v>
      </c>
      <c r="C37" s="11">
        <v>1</v>
      </c>
      <c r="D37" s="12">
        <v>2</v>
      </c>
      <c r="E37" s="13">
        <v>528</v>
      </c>
      <c r="F37" s="14">
        <v>20296550184</v>
      </c>
      <c r="G37" s="15" t="str">
        <f>IFERROR(IF('Ago-22'!$F37="","-",VLOOKUP('Ago-22'!$F37,Lista_CUIT!$A$1:$D$1871,2,0)),"CUIT NO CARGADO")</f>
        <v>COSTA DIEGO ALEJANDRO</v>
      </c>
      <c r="H37" s="16">
        <v>35260</v>
      </c>
      <c r="I37" s="23">
        <f>IF('Ago-22'!$H37="","",'Ago-22'!$H37*0.21)</f>
        <v>7404.5999999999995</v>
      </c>
      <c r="J37" s="23"/>
      <c r="K37" s="23"/>
      <c r="L37" s="23"/>
      <c r="M37" s="23"/>
      <c r="N37" s="23"/>
      <c r="O37" s="23"/>
      <c r="P37" s="20">
        <f>SUM('Ago-22'!$H37:$O37)</f>
        <v>42664.6</v>
      </c>
      <c r="Q37" s="21" t="str">
        <f>IFERROR(IF('Ago-22'!$F37="","-",VLOOKUP('Ago-22'!$F37,Lista_CUIT!$A$1:$D$1871,3,0)),"CUIT NO CARGADO")</f>
        <v>MAT. PRIM.</v>
      </c>
      <c r="R37" s="21">
        <f>IFERROR(IF('Ago-22'!$F37="","-",VLOOKUP('Ago-22'!$F37,Lista_CUIT!$A$1:$D$1871,4,0)),"CUIT NO CARGADO")</f>
        <v>0</v>
      </c>
    </row>
    <row r="38" spans="2:18" ht="15" customHeight="1" x14ac:dyDescent="0.25">
      <c r="B38" s="24">
        <v>44782</v>
      </c>
      <c r="C38" s="25">
        <v>1</v>
      </c>
      <c r="D38" s="26">
        <v>8</v>
      </c>
      <c r="E38" s="27">
        <v>4848</v>
      </c>
      <c r="F38" s="28">
        <v>30715619055</v>
      </c>
      <c r="G38" s="29" t="str">
        <f>IFERROR(IF('Ago-22'!$F38="","-",VLOOKUP('Ago-22'!$F38,Lista_CUIT!$A$1:$D$1871,2,0)),"CUIT NO CARGADO")</f>
        <v>PETIT PET SHOP S.R.L</v>
      </c>
      <c r="H38" s="30">
        <v>10412.379999999999</v>
      </c>
      <c r="I38" s="31">
        <f>IF('Ago-22'!$H38="","",'Ago-22'!$H38*0.21)</f>
        <v>2186.5998</v>
      </c>
      <c r="J38" s="31"/>
      <c r="K38" s="31"/>
      <c r="L38" s="31"/>
      <c r="M38" s="31"/>
      <c r="N38" s="31"/>
      <c r="O38" s="31"/>
      <c r="P38" s="32">
        <f>SUM('Ago-22'!$H38:$O38)</f>
        <v>12598.979799999999</v>
      </c>
      <c r="Q38" s="33" t="str">
        <f>IFERROR(IF('Ago-22'!$F38="","-",VLOOKUP('Ago-22'!$F38,Lista_CUIT!$A$1:$D$1871,3,0)),"CUIT NO CARGADO")</f>
        <v>Gastos Varios</v>
      </c>
      <c r="R38" s="21">
        <f>IFERROR(IF('Ago-22'!$F38="","-",VLOOKUP('Ago-22'!$F38,Lista_CUIT!$A$1:$D$1871,4,0)),"CUIT NO CARGADO")</f>
        <v>0</v>
      </c>
    </row>
    <row r="39" spans="2:18" ht="15" customHeight="1" x14ac:dyDescent="0.25">
      <c r="B39" s="24">
        <v>44783</v>
      </c>
      <c r="C39" s="25">
        <v>1</v>
      </c>
      <c r="D39" s="26">
        <v>1</v>
      </c>
      <c r="E39" s="27">
        <v>7388</v>
      </c>
      <c r="F39" s="28">
        <v>30716993376</v>
      </c>
      <c r="G39" s="29" t="str">
        <f>IFERROR(IF('Ago-22'!$F39="","-",VLOOKUP('Ago-22'!$F39,Lista_CUIT!$A$1:$D$1871,2,0)),"CUIT NO CARGADO")</f>
        <v>DETODONET S.A.</v>
      </c>
      <c r="H39" s="30">
        <v>15616.53</v>
      </c>
      <c r="I39" s="31">
        <f>IF('Ago-22'!$H39="","",'Ago-22'!$H39*0.21)</f>
        <v>3279.4713000000002</v>
      </c>
      <c r="J39" s="31"/>
      <c r="K39" s="31"/>
      <c r="L39" s="31"/>
      <c r="M39" s="31"/>
      <c r="N39" s="31"/>
      <c r="O39" s="31"/>
      <c r="P39" s="32">
        <f>SUM('Ago-22'!$H39:$O39)</f>
        <v>18896.0013</v>
      </c>
      <c r="Q39" s="33" t="str">
        <f>IFERROR(IF('Ago-22'!$F39="","-",VLOOKUP('Ago-22'!$F39,Lista_CUIT!$A$1:$D$1871,3,0)),"CUIT NO CARGADO")</f>
        <v>Gastos Oficina</v>
      </c>
      <c r="R39" s="21">
        <f>IFERROR(IF('Ago-22'!$F39="","-",VLOOKUP('Ago-22'!$F39,Lista_CUIT!$A$1:$D$1871,4,0)),"CUIT NO CARGADO")</f>
        <v>0</v>
      </c>
    </row>
    <row r="40" spans="2:18" ht="15" customHeight="1" x14ac:dyDescent="0.25">
      <c r="B40" s="24">
        <v>44784</v>
      </c>
      <c r="C40" s="25">
        <v>1</v>
      </c>
      <c r="D40" s="26">
        <v>2466</v>
      </c>
      <c r="E40" s="27">
        <v>396541</v>
      </c>
      <c r="F40" s="28">
        <v>30678814357</v>
      </c>
      <c r="G40" s="29" t="str">
        <f>IFERROR(IF('Ago-22'!$F40="","-",VLOOKUP('Ago-22'!$F40,Lista_CUIT!$A$1:$D$1871,2,0)),"CUIT NO CARGADO")</f>
        <v>Telefonica Moviles Argentina SA</v>
      </c>
      <c r="H40" s="30">
        <v>1987</v>
      </c>
      <c r="I40" s="31"/>
      <c r="J40" s="31">
        <v>536.49</v>
      </c>
      <c r="K40" s="31"/>
      <c r="L40" s="31"/>
      <c r="M40" s="31"/>
      <c r="N40" s="31"/>
      <c r="O40" s="31">
        <v>104.58</v>
      </c>
      <c r="P40" s="32">
        <f>SUM('Ago-22'!$H40:$O40)</f>
        <v>2628.0699999999997</v>
      </c>
      <c r="Q40" s="33" t="str">
        <f>IFERROR(IF('Ago-22'!$F40="","-",VLOOKUP('Ago-22'!$F40,Lista_CUIT!$A$1:$D$1871,3,0)),"CUIT NO CARGADO")</f>
        <v>SERVICIOS GAS, LUZ, ETC</v>
      </c>
      <c r="R40" s="21">
        <f>IFERROR(IF('Ago-22'!$F40="","-",VLOOKUP('Ago-22'!$F40,Lista_CUIT!$A$1:$D$1871,4,0)),"CUIT NO CARGADO")</f>
        <v>0</v>
      </c>
    </row>
    <row r="41" spans="2:18" ht="15" customHeight="1" x14ac:dyDescent="0.25">
      <c r="B41" s="24">
        <v>44790</v>
      </c>
      <c r="C41" s="25">
        <v>1</v>
      </c>
      <c r="D41" s="26">
        <v>5</v>
      </c>
      <c r="E41" s="27">
        <v>21897</v>
      </c>
      <c r="F41" s="28">
        <v>30710571801</v>
      </c>
      <c r="G41" s="29" t="str">
        <f>IFERROR(IF('Ago-22'!$F41="","-",VLOOKUP('Ago-22'!$F41,Lista_CUIT!$A$1:$D$1871,2,0)),"CUIT NO CARGADO")</f>
        <v>HOGAR ACTUAL SRL</v>
      </c>
      <c r="H41" s="30">
        <v>6355.37</v>
      </c>
      <c r="I41" s="31">
        <f>IF('Ago-22'!$H41="","",'Ago-22'!$H41*0.21)</f>
        <v>1334.6277</v>
      </c>
      <c r="J41" s="31"/>
      <c r="K41" s="31"/>
      <c r="L41" s="31"/>
      <c r="M41" s="31"/>
      <c r="N41" s="31"/>
      <c r="O41" s="31"/>
      <c r="P41" s="32">
        <f>SUM('Ago-22'!$H41:$O41)</f>
        <v>7689.9976999999999</v>
      </c>
      <c r="Q41" s="33" t="str">
        <f>IFERROR(IF('Ago-22'!$F41="","-",VLOOKUP('Ago-22'!$F41,Lista_CUIT!$A$1:$D$1871,3,0)),"CUIT NO CARGADO")</f>
        <v>Gastos Oficina</v>
      </c>
      <c r="R41" s="21">
        <f>IFERROR(IF('Ago-22'!$F41="","-",VLOOKUP('Ago-22'!$F41,Lista_CUIT!$A$1:$D$1871,4,0)),"CUIT NO CARGADO")</f>
        <v>0</v>
      </c>
    </row>
    <row r="42" spans="2:18" ht="15" customHeight="1" x14ac:dyDescent="0.25">
      <c r="B42" s="24">
        <v>44791</v>
      </c>
      <c r="C42" s="25">
        <v>1</v>
      </c>
      <c r="D42" s="26">
        <v>4</v>
      </c>
      <c r="E42" s="27">
        <v>57078</v>
      </c>
      <c r="F42" s="28">
        <v>30714749206</v>
      </c>
      <c r="G42" s="29" t="str">
        <f>IFERROR(IF('Ago-22'!$F42="","-",VLOOKUP('Ago-22'!$F42,Lista_CUIT!$A$1:$D$1871,2,0)),"CUIT NO CARGADO")</f>
        <v>EBOX SA</v>
      </c>
      <c r="H42" s="30">
        <v>3890.5</v>
      </c>
      <c r="I42" s="31"/>
      <c r="J42" s="31"/>
      <c r="K42" s="31">
        <v>408.5025</v>
      </c>
      <c r="L42" s="31"/>
      <c r="M42" s="31"/>
      <c r="N42" s="31"/>
      <c r="O42" s="31"/>
      <c r="P42" s="32">
        <f>SUM('Ago-22'!$H42:$O42)</f>
        <v>4299.0024999999996</v>
      </c>
      <c r="Q42" s="33" t="str">
        <f>IFERROR(IF('Ago-22'!$F42="","-",VLOOKUP('Ago-22'!$F42,Lista_CUIT!$A$1:$D$1871,3,0)),"CUIT NO CARGADO")</f>
        <v>Gastos Varios</v>
      </c>
      <c r="R42" s="21">
        <f>IFERROR(IF('Ago-22'!$F42="","-",VLOOKUP('Ago-22'!$F42,Lista_CUIT!$A$1:$D$1871,4,0)),"CUIT NO CARGADO")</f>
        <v>0</v>
      </c>
    </row>
    <row r="43" spans="2:18" ht="15" customHeight="1" x14ac:dyDescent="0.25">
      <c r="B43" s="24">
        <v>44791</v>
      </c>
      <c r="C43" s="25">
        <v>1</v>
      </c>
      <c r="D43" s="26">
        <v>4</v>
      </c>
      <c r="E43" s="27">
        <v>57107</v>
      </c>
      <c r="F43" s="28">
        <v>30714749206</v>
      </c>
      <c r="G43" s="29" t="str">
        <f>IFERROR(IF('Ago-22'!$F43="","-",VLOOKUP('Ago-22'!$F43,Lista_CUIT!$A$1:$D$1871,2,0)),"CUIT NO CARGADO")</f>
        <v>EBOX SA</v>
      </c>
      <c r="H43" s="30">
        <v>254.54</v>
      </c>
      <c r="I43" s="31">
        <f>IF('Ago-22'!$H43="","",'Ago-22'!$H43*0.21)</f>
        <v>53.453399999999995</v>
      </c>
      <c r="J43" s="31"/>
      <c r="K43" s="31"/>
      <c r="L43" s="31"/>
      <c r="M43" s="31"/>
      <c r="N43" s="31"/>
      <c r="O43" s="31"/>
      <c r="P43" s="32">
        <f>SUM('Ago-22'!$H43:$O43)</f>
        <v>307.99340000000001</v>
      </c>
      <c r="Q43" s="33" t="str">
        <f>IFERROR(IF('Ago-22'!$F43="","-",VLOOKUP('Ago-22'!$F43,Lista_CUIT!$A$1:$D$1871,3,0)),"CUIT NO CARGADO")</f>
        <v>Gastos Varios</v>
      </c>
      <c r="R43" s="21">
        <f>IFERROR(IF('Ago-22'!$F43="","-",VLOOKUP('Ago-22'!$F43,Lista_CUIT!$A$1:$D$1871,4,0)),"CUIT NO CARGADO")</f>
        <v>0</v>
      </c>
    </row>
    <row r="44" spans="2:18" ht="15" customHeight="1" x14ac:dyDescent="0.25">
      <c r="B44" s="24">
        <v>44802</v>
      </c>
      <c r="C44" s="25">
        <v>1</v>
      </c>
      <c r="D44" s="26">
        <v>3</v>
      </c>
      <c r="E44" s="27">
        <v>1</v>
      </c>
      <c r="F44" s="28">
        <v>20386178209</v>
      </c>
      <c r="G44" s="29" t="str">
        <f>IFERROR(IF('Ago-22'!$F44="","-",VLOOKUP('Ago-22'!$F44,Lista_CUIT!$A$1:$D$1871,2,0)),"CUIT NO CARGADO")</f>
        <v>CLEMENTE LUCAS IVAN</v>
      </c>
      <c r="H44" s="30">
        <v>98500</v>
      </c>
      <c r="I44" s="31">
        <f>IF('Ago-22'!$H44="","",'Ago-22'!$H44*0.21)</f>
        <v>20685</v>
      </c>
      <c r="J44" s="31"/>
      <c r="K44" s="31"/>
      <c r="L44" s="31"/>
      <c r="M44" s="31"/>
      <c r="N44" s="31"/>
      <c r="O44" s="31"/>
      <c r="P44" s="32">
        <f>SUM('Ago-22'!$H44:$O44)</f>
        <v>119185</v>
      </c>
      <c r="Q44" s="33" t="str">
        <f>IFERROR(IF('Ago-22'!$F44="","-",VLOOKUP('Ago-22'!$F44,Lista_CUIT!$A$1:$D$1871,3,0)),"CUIT NO CARGADO")</f>
        <v>Servicios de Publicidad</v>
      </c>
      <c r="R44" s="21">
        <f>IFERROR(IF('Ago-22'!$F44="","-",VLOOKUP('Ago-22'!$F44,Lista_CUIT!$A$1:$D$1871,4,0)),"CUIT NO CARGADO")</f>
        <v>0</v>
      </c>
    </row>
    <row r="45" spans="2:18" ht="15" customHeight="1" x14ac:dyDescent="0.25">
      <c r="B45" s="24">
        <v>44803</v>
      </c>
      <c r="C45" s="25">
        <v>1</v>
      </c>
      <c r="D45" s="26">
        <v>17</v>
      </c>
      <c r="E45" s="27">
        <v>8037</v>
      </c>
      <c r="F45" s="28">
        <v>30534051049</v>
      </c>
      <c r="G45" s="29" t="str">
        <f>IFERROR(IF('Ago-22'!$F45="","-",VLOOKUP('Ago-22'!$F45,Lista_CUIT!$A$1:$D$1871,2,0)),"CUIT NO CARGADO")</f>
        <v>PLIN METAL SA</v>
      </c>
      <c r="H45" s="30">
        <v>21304.2</v>
      </c>
      <c r="I45" s="31">
        <f>IF('Ago-22'!$H45="","",'Ago-22'!$H45*0.21)</f>
        <v>4473.8819999999996</v>
      </c>
      <c r="J45" s="31"/>
      <c r="K45" s="31"/>
      <c r="L45" s="31"/>
      <c r="M45" s="31"/>
      <c r="N45" s="31"/>
      <c r="O45" s="31"/>
      <c r="P45" s="32">
        <f>SUM('Ago-22'!$H45:$O45)</f>
        <v>25778.082000000002</v>
      </c>
      <c r="Q45" s="33" t="str">
        <f>IFERROR(IF('Ago-22'!$F45="","-",VLOOKUP('Ago-22'!$F45,Lista_CUIT!$A$1:$D$1871,3,0)),"CUIT NO CARGADO")</f>
        <v>MAT. PRIM.</v>
      </c>
      <c r="R45" s="21">
        <f>IFERROR(IF('Ago-22'!$F45="","-",VLOOKUP('Ago-22'!$F45,Lista_CUIT!$A$1:$D$1871,4,0)),"CUIT NO CARGADO")</f>
        <v>0</v>
      </c>
    </row>
    <row r="46" spans="2:18" ht="15" customHeight="1" x14ac:dyDescent="0.25">
      <c r="B46" s="24">
        <v>44803</v>
      </c>
      <c r="C46" s="25">
        <v>1</v>
      </c>
      <c r="D46" s="26">
        <v>106</v>
      </c>
      <c r="E46" s="27">
        <v>558432</v>
      </c>
      <c r="F46" s="28">
        <v>30594494187</v>
      </c>
      <c r="G46" s="29" t="str">
        <f>IFERROR(IF('Ago-22'!$F46="","-",VLOOKUP('Ago-22'!$F46,Lista_CUIT!$A$1:$D$1871,2,0)),"CUIT NO CARGADO")</f>
        <v>FEDERAL EXPRESS CORPORATION</v>
      </c>
      <c r="H46" s="30">
        <v>0</v>
      </c>
      <c r="I46" s="31">
        <f>IF('Ago-22'!$H46="","",'Ago-22'!$H46*0.21)</f>
        <v>0</v>
      </c>
      <c r="J46" s="31"/>
      <c r="K46" s="31"/>
      <c r="L46" s="31"/>
      <c r="M46" s="31"/>
      <c r="N46" s="31"/>
      <c r="O46" s="31">
        <v>52410.239999999998</v>
      </c>
      <c r="P46" s="32">
        <f>SUM('Ago-22'!$H46:$O46)</f>
        <v>52410.239999999998</v>
      </c>
      <c r="Q46" s="33" t="str">
        <f>IFERROR(IF('Ago-22'!$F46="","-",VLOOKUP('Ago-22'!$F46,Lista_CUIT!$A$1:$D$1871,3,0)),"CUIT NO CARGADO")</f>
        <v>GTOS IMP.</v>
      </c>
      <c r="R46" s="21">
        <f>IFERROR(IF('Ago-22'!$F46="","-",VLOOKUP('Ago-22'!$F46,Lista_CUIT!$A$1:$D$1871,4,0)),"CUIT NO CARGADO")</f>
        <v>0</v>
      </c>
    </row>
    <row r="47" spans="2:18" ht="15" customHeight="1" x14ac:dyDescent="0.25">
      <c r="B47" s="24">
        <v>44804</v>
      </c>
      <c r="C47" s="25">
        <v>1</v>
      </c>
      <c r="D47" s="26">
        <v>3</v>
      </c>
      <c r="E47" s="27">
        <v>1033882</v>
      </c>
      <c r="F47" s="28">
        <v>30712019359</v>
      </c>
      <c r="G47" s="29" t="str">
        <f>IFERROR(IF('Ago-22'!$F47="","-",VLOOKUP('Ago-22'!$F47,Lista_CUIT!$A$1:$D$1871,2,0)),"CUIT NO CARGADO")</f>
        <v>LINKEDSTORE ARGENTINA S.R.L.</v>
      </c>
      <c r="H47" s="30">
        <v>2478.5100000000002</v>
      </c>
      <c r="I47" s="31">
        <f>IF('Ago-22'!$H47="","",'Ago-22'!$H47*0.21)</f>
        <v>520.48710000000005</v>
      </c>
      <c r="J47" s="31"/>
      <c r="K47" s="31"/>
      <c r="L47" s="31"/>
      <c r="M47" s="31"/>
      <c r="N47" s="31"/>
      <c r="O47" s="31"/>
      <c r="P47" s="32">
        <f>SUM('Ago-22'!$H47:$O47)</f>
        <v>2998.9971000000005</v>
      </c>
      <c r="Q47" s="33" t="str">
        <f>IFERROR(IF('Ago-22'!$F47="","-",VLOOKUP('Ago-22'!$F47,Lista_CUIT!$A$1:$D$1871,3,0)),"CUIT NO CARGADO")</f>
        <v>Gastos Varios</v>
      </c>
      <c r="R47" s="21">
        <f>IFERROR(IF('Ago-22'!$F47="","-",VLOOKUP('Ago-22'!$F47,Lista_CUIT!$A$1:$D$1871,4,0)),"CUIT NO CARGADO")</f>
        <v>0</v>
      </c>
    </row>
    <row r="48" spans="2:18" ht="15" customHeight="1" x14ac:dyDescent="0.25">
      <c r="B48" s="24">
        <v>44804</v>
      </c>
      <c r="C48" s="25">
        <v>1</v>
      </c>
      <c r="D48" s="26">
        <v>1</v>
      </c>
      <c r="E48" s="27">
        <v>491</v>
      </c>
      <c r="F48" s="28">
        <v>30715048066</v>
      </c>
      <c r="G48" s="29" t="str">
        <f>IFERROR(IF('Ago-22'!$F48="","-",VLOOKUP('Ago-22'!$F48,Lista_CUIT!$A$1:$D$1871,2,0)),"CUIT NO CARGADO")</f>
        <v>ROLLS Y EMPANADAS SA</v>
      </c>
      <c r="H48" s="30">
        <v>119110</v>
      </c>
      <c r="I48" s="31">
        <f>IF('Ago-22'!$H48="","",'Ago-22'!$H48*0.21)</f>
        <v>25013.1</v>
      </c>
      <c r="J48" s="31"/>
      <c r="K48" s="31"/>
      <c r="L48" s="31"/>
      <c r="M48" s="31"/>
      <c r="N48" s="31"/>
      <c r="O48" s="31"/>
      <c r="P48" s="32">
        <f>SUM('Ago-22'!$H48:$O48)</f>
        <v>144123.1</v>
      </c>
      <c r="Q48" s="33" t="str">
        <f>IFERROR(IF('Ago-22'!$F48="","-",VLOOKUP('Ago-22'!$F48,Lista_CUIT!$A$1:$D$1871,3,0)),"CUIT NO CARGADO")</f>
        <v>CATERING</v>
      </c>
      <c r="R48" s="21">
        <f>IFERROR(IF('Ago-22'!$F48="","-",VLOOKUP('Ago-22'!$F48,Lista_CUIT!$A$1:$D$1871,4,0)),"CUIT NO CARGADO")</f>
        <v>0</v>
      </c>
    </row>
    <row r="49" spans="1:26" ht="15" customHeight="1" x14ac:dyDescent="0.25">
      <c r="B49" s="24">
        <v>44791</v>
      </c>
      <c r="C49" s="25">
        <v>2</v>
      </c>
      <c r="D49" s="26">
        <v>1001</v>
      </c>
      <c r="E49" s="27">
        <v>77776</v>
      </c>
      <c r="F49" s="28">
        <v>30538068841</v>
      </c>
      <c r="G49" s="29" t="str">
        <f>IFERROR(IF('Ago-22'!$F49="","-",VLOOKUP('Ago-22'!$F49,Lista_CUIT!$A$1:$D$1871,2,0)),"CUIT NO CARGADO")</f>
        <v>FAMIQ SRL</v>
      </c>
      <c r="H49" s="30">
        <v>9802.57</v>
      </c>
      <c r="I49" s="31">
        <f>IF('Ago-22'!$H49="","",'Ago-22'!$H49*0.21)</f>
        <v>2058.5396999999998</v>
      </c>
      <c r="J49" s="31"/>
      <c r="K49" s="31"/>
      <c r="L49" s="31"/>
      <c r="M49" s="31"/>
      <c r="N49" s="31"/>
      <c r="O49" s="31"/>
      <c r="P49" s="32">
        <f>SUM('Ago-22'!$H49:$O49)</f>
        <v>11861.109699999999</v>
      </c>
      <c r="Q49" s="33" t="str">
        <f>IFERROR(IF('Ago-22'!$F49="","-",VLOOKUP('Ago-22'!$F49,Lista_CUIT!$A$1:$D$1871,3,0)),"CUIT NO CARGADO")</f>
        <v>Gastos Varios</v>
      </c>
      <c r="R49" s="21">
        <f>IFERROR(IF('Ago-22'!$F49="","-",VLOOKUP('Ago-22'!$F49,Lista_CUIT!$A$1:$D$1871,4,0)),"CUIT NO CARGADO")</f>
        <v>0</v>
      </c>
    </row>
    <row r="50" spans="1:26" ht="23.25" customHeight="1" x14ac:dyDescent="0.25">
      <c r="B50" s="21" t="s">
        <v>1546</v>
      </c>
      <c r="C50" s="21"/>
      <c r="D50" s="21"/>
      <c r="E50" s="21"/>
      <c r="F50" s="21"/>
      <c r="G50" s="15"/>
      <c r="H50" s="16">
        <f>SUBTOTAL(109,'Ago-22'!$H$9:$H$49)</f>
        <v>5622218.0968999993</v>
      </c>
      <c r="I50" s="16">
        <f>SUBTOTAL(109,'Ago-22'!$I$9:$I$49)</f>
        <v>1036246.616601</v>
      </c>
      <c r="J50" s="16">
        <f>SUBTOTAL(109,'Ago-22'!$J$9:$J$49)</f>
        <v>536.49</v>
      </c>
      <c r="K50" s="16">
        <f>SUBTOTAL(109,'Ago-22'!$K$9:$K$49)</f>
        <v>72000.528950000007</v>
      </c>
      <c r="L50" s="16">
        <f>SUBTOTAL(109,'Ago-22'!$L$9:$L$49)</f>
        <v>0</v>
      </c>
      <c r="M50" s="16">
        <f>SUBTOTAL(109,'Ago-22'!$M$9:$M$49)</f>
        <v>0</v>
      </c>
      <c r="N50" s="16">
        <f>SUBTOTAL(109,'Ago-22'!$N$9:$N$49)</f>
        <v>0</v>
      </c>
      <c r="O50" s="16">
        <f>SUBTOTAL(109,'Ago-22'!$O$9:$O$49)</f>
        <v>-490745.21620000002</v>
      </c>
      <c r="P50" s="16">
        <f>SUBTOTAL(109,'Ago-22'!$P$9:$P$49)</f>
        <v>6240256.5162509996</v>
      </c>
      <c r="Q50" s="21"/>
      <c r="R50" s="21"/>
    </row>
    <row r="51" spans="1:26" ht="15.75" customHeight="1" x14ac:dyDescent="0.25">
      <c r="B51" s="10"/>
      <c r="C51" s="11"/>
      <c r="D51" s="12"/>
      <c r="E51" s="12"/>
      <c r="F51" s="14"/>
      <c r="G51" s="15"/>
      <c r="H51" s="16"/>
      <c r="I51" s="17"/>
      <c r="J51" s="17"/>
      <c r="K51" s="17"/>
      <c r="L51" s="17"/>
      <c r="M51" s="17"/>
      <c r="N51" s="17"/>
      <c r="O51" s="17"/>
      <c r="P51" s="20"/>
      <c r="Q51" s="21"/>
      <c r="R51" s="21"/>
    </row>
    <row r="52" spans="1:26" ht="15.75" customHeight="1" x14ac:dyDescent="0.25">
      <c r="B52" s="10"/>
      <c r="C52" s="11"/>
      <c r="D52" s="12"/>
      <c r="E52" s="13"/>
      <c r="F52" s="14"/>
      <c r="G52" s="15"/>
      <c r="H52" s="16"/>
      <c r="I52" s="17"/>
      <c r="J52" s="17"/>
      <c r="K52" s="17"/>
      <c r="L52" s="17"/>
      <c r="M52" s="17"/>
      <c r="N52" s="17"/>
      <c r="O52" s="17"/>
      <c r="P52" s="20"/>
      <c r="Q52" s="21"/>
      <c r="R52" s="21"/>
    </row>
    <row r="53" spans="1:26" ht="15.75" customHeight="1" x14ac:dyDescent="0.25">
      <c r="B53" s="10"/>
      <c r="C53" s="11"/>
      <c r="D53" s="12"/>
      <c r="E53" s="13"/>
      <c r="F53" s="14"/>
      <c r="G53" s="15"/>
      <c r="H53" s="16"/>
      <c r="I53" s="17"/>
      <c r="J53" s="17"/>
      <c r="K53" s="17"/>
      <c r="L53" s="17"/>
      <c r="M53" s="17"/>
      <c r="N53" s="17"/>
      <c r="O53" s="17"/>
      <c r="P53" s="20"/>
      <c r="Q53" s="21"/>
      <c r="R53" s="21"/>
    </row>
    <row r="54" spans="1:26" ht="15.75" customHeight="1" x14ac:dyDescent="0.25">
      <c r="B54" s="10"/>
      <c r="C54" s="11"/>
      <c r="D54" s="12"/>
      <c r="E54" s="13"/>
      <c r="F54" s="14"/>
      <c r="G54" s="15"/>
      <c r="H54" s="16"/>
      <c r="I54" s="17"/>
      <c r="J54" s="17"/>
      <c r="K54" s="17"/>
      <c r="L54" s="17"/>
    </row>
    <row r="55" spans="1:26" ht="15.75" customHeight="1" x14ac:dyDescent="0.25">
      <c r="D55" s="359" t="s">
        <v>1547</v>
      </c>
      <c r="E55" s="351"/>
      <c r="F55" s="351"/>
      <c r="G55" s="351"/>
      <c r="H55" s="351"/>
      <c r="I55" s="351"/>
      <c r="J55" s="351"/>
      <c r="K55" s="351"/>
      <c r="L55" s="352"/>
    </row>
    <row r="56" spans="1:26" ht="18" customHeight="1" x14ac:dyDescent="0.25">
      <c r="A56" s="50"/>
      <c r="D56" s="36" t="s">
        <v>1532</v>
      </c>
      <c r="E56" s="37" t="s">
        <v>1548</v>
      </c>
      <c r="F56" s="37" t="s">
        <v>1549</v>
      </c>
      <c r="G56" s="37" t="s">
        <v>1550</v>
      </c>
      <c r="H56" s="37" t="s">
        <v>1551</v>
      </c>
      <c r="I56" s="37" t="s">
        <v>1539</v>
      </c>
      <c r="J56" s="38" t="s">
        <v>1552</v>
      </c>
      <c r="K56" s="38" t="s">
        <v>1553</v>
      </c>
      <c r="L56" s="39" t="s">
        <v>1554</v>
      </c>
      <c r="S56" s="50"/>
      <c r="T56" s="50"/>
      <c r="U56" s="50"/>
      <c r="V56" s="50"/>
      <c r="W56" s="50"/>
      <c r="X56" s="50"/>
      <c r="Y56" s="50"/>
      <c r="Z56" s="50"/>
    </row>
    <row r="57" spans="1:26" ht="18" customHeight="1" x14ac:dyDescent="0.25">
      <c r="A57" s="50"/>
      <c r="D57" s="10"/>
      <c r="E57" s="99"/>
      <c r="F57" s="98" t="s">
        <v>1555</v>
      </c>
      <c r="G57" s="42">
        <v>2736.0476190476193</v>
      </c>
      <c r="H57" s="42">
        <v>574.57000000000005</v>
      </c>
      <c r="I57" s="42"/>
      <c r="J57" s="42"/>
      <c r="K57" s="42"/>
      <c r="L57" s="42"/>
      <c r="S57" s="50"/>
      <c r="T57" s="50"/>
      <c r="U57" s="50"/>
      <c r="V57" s="50"/>
      <c r="W57" s="50"/>
      <c r="X57" s="50"/>
      <c r="Y57" s="50"/>
      <c r="Z57" s="50"/>
    </row>
    <row r="58" spans="1:26" ht="18" customHeight="1" x14ac:dyDescent="0.25">
      <c r="A58" s="50"/>
      <c r="D58" s="10">
        <v>44802</v>
      </c>
      <c r="E58" s="99" t="s">
        <v>1600</v>
      </c>
      <c r="F58" s="98" t="s">
        <v>1601</v>
      </c>
      <c r="G58" s="42">
        <v>15906.809523809523</v>
      </c>
      <c r="H58" s="42">
        <v>3340.43</v>
      </c>
      <c r="I58" s="42"/>
      <c r="J58" s="42"/>
      <c r="K58" s="42">
        <v>477.2</v>
      </c>
      <c r="L58" s="42"/>
      <c r="S58" s="50"/>
      <c r="T58" s="50"/>
      <c r="U58" s="50"/>
      <c r="V58" s="50"/>
      <c r="W58" s="50"/>
      <c r="X58" s="50"/>
      <c r="Y58" s="50"/>
      <c r="Z58" s="50"/>
    </row>
    <row r="59" spans="1:26" ht="18" customHeight="1" x14ac:dyDescent="0.25">
      <c r="A59" s="50"/>
      <c r="D59" s="10">
        <v>44802</v>
      </c>
      <c r="E59" s="99" t="s">
        <v>1602</v>
      </c>
      <c r="F59" s="98" t="s">
        <v>1601</v>
      </c>
      <c r="G59" s="42">
        <v>15835.523809523809</v>
      </c>
      <c r="H59" s="42">
        <v>3325.46</v>
      </c>
      <c r="I59" s="42"/>
      <c r="J59" s="42"/>
      <c r="K59" s="42">
        <v>475.07</v>
      </c>
      <c r="L59" s="42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x14ac:dyDescent="0.25">
      <c r="D60" s="10">
        <v>44791</v>
      </c>
      <c r="E60" s="98" t="s">
        <v>1603</v>
      </c>
      <c r="F60" s="43" t="s">
        <v>1601</v>
      </c>
      <c r="G60" s="42">
        <v>15585.952380952382</v>
      </c>
      <c r="H60" s="42">
        <v>3273.05</v>
      </c>
      <c r="I60" s="42"/>
      <c r="J60" s="42"/>
      <c r="K60" s="42">
        <v>467.58</v>
      </c>
      <c r="L60" s="42"/>
    </row>
    <row r="61" spans="1:26" ht="15.75" customHeight="1" x14ac:dyDescent="0.25">
      <c r="D61" s="10">
        <v>44777</v>
      </c>
      <c r="E61" s="98" t="s">
        <v>1604</v>
      </c>
      <c r="F61" s="43" t="s">
        <v>1605</v>
      </c>
      <c r="G61" s="42">
        <v>3316</v>
      </c>
      <c r="H61" s="42">
        <v>696.36</v>
      </c>
      <c r="I61" s="42"/>
      <c r="J61" s="42"/>
      <c r="K61" s="42">
        <v>99.48</v>
      </c>
      <c r="L61" s="42"/>
    </row>
    <row r="62" spans="1:26" ht="15.75" customHeight="1" x14ac:dyDescent="0.25">
      <c r="D62" s="10"/>
      <c r="E62" s="98"/>
      <c r="F62" s="43" t="s">
        <v>1559</v>
      </c>
      <c r="G62" s="42">
        <v>80</v>
      </c>
      <c r="H62" s="42">
        <v>16.8</v>
      </c>
      <c r="I62" s="42"/>
      <c r="J62" s="42">
        <v>1.78</v>
      </c>
      <c r="K62" s="42"/>
      <c r="L62" s="42"/>
    </row>
    <row r="63" spans="1:26" ht="15.75" customHeight="1" x14ac:dyDescent="0.25">
      <c r="D63" s="21" t="s">
        <v>1546</v>
      </c>
      <c r="E63" s="43"/>
      <c r="F63" s="43"/>
      <c r="G63" s="42">
        <f>SUBTOTAL(109,'Ago-22'!$G$57:$G$62)</f>
        <v>53460.333333333328</v>
      </c>
      <c r="H63" s="42">
        <f>SUBTOTAL(109,'Ago-22'!$H$57:$H$62)</f>
        <v>11226.67</v>
      </c>
      <c r="I63" s="42">
        <f>SUBTOTAL(109,'Ago-22'!$I$57:$I$62)</f>
        <v>0</v>
      </c>
      <c r="J63" s="42">
        <f>SUBTOTAL(109,'Ago-22'!$J$57:$J$62)</f>
        <v>1.78</v>
      </c>
      <c r="K63" s="42">
        <f>SUBTOTAL(109,'Ago-22'!$K$57:$K$62)</f>
        <v>1519.33</v>
      </c>
      <c r="L63" s="42">
        <f>SUBTOTAL(109,'Ago-22'!$L$57:$L$62)</f>
        <v>0</v>
      </c>
    </row>
    <row r="64" spans="1:26" ht="15.75" customHeight="1" x14ac:dyDescent="0.25"/>
    <row r="65" spans="4:11" ht="15.75" customHeight="1" x14ac:dyDescent="0.25"/>
    <row r="66" spans="4:11" ht="22.5" customHeight="1" x14ac:dyDescent="0.25"/>
    <row r="67" spans="4:11" ht="15.75" customHeight="1" x14ac:dyDescent="0.25">
      <c r="D67" s="359" t="s">
        <v>1560</v>
      </c>
      <c r="E67" s="351"/>
      <c r="F67" s="351"/>
      <c r="G67" s="351"/>
      <c r="H67" s="351"/>
      <c r="I67" s="351"/>
      <c r="J67" s="351"/>
      <c r="K67" s="352"/>
    </row>
    <row r="68" spans="4:11" ht="18" customHeight="1" x14ac:dyDescent="0.25">
      <c r="D68" s="44" t="s">
        <v>1532</v>
      </c>
      <c r="E68" s="44" t="s">
        <v>1534</v>
      </c>
      <c r="F68" s="44" t="s">
        <v>1561</v>
      </c>
      <c r="G68" s="44" t="s">
        <v>0</v>
      </c>
      <c r="H68" s="44" t="s">
        <v>1</v>
      </c>
      <c r="I68" s="45" t="s">
        <v>1544</v>
      </c>
      <c r="J68" s="44" t="s">
        <v>1562</v>
      </c>
      <c r="K68" s="44" t="s">
        <v>1545</v>
      </c>
    </row>
    <row r="69" spans="4:11" ht="18" customHeight="1" x14ac:dyDescent="0.25">
      <c r="D69" s="55">
        <v>44804</v>
      </c>
      <c r="E69" s="55">
        <v>2</v>
      </c>
      <c r="F69" s="55">
        <v>117</v>
      </c>
      <c r="G69" s="56">
        <v>20136544625</v>
      </c>
      <c r="H69" s="46" t="str">
        <f>IFERROR(IF('Ago-22'!$G69="","-",VLOOKUP('Ago-22'!$G69,Lista_CUIT!$A$1:$D$1871,2,0)),"CUIT NO CARGADO")</f>
        <v>RODRIGUEZ DE LA FUEN HECTOR MARCELO</v>
      </c>
      <c r="I69" s="49">
        <v>100000</v>
      </c>
      <c r="J69" s="47" t="str">
        <f>IFERROR(IF('Ago-22'!$G69="","-",VLOOKUP('Ago-22'!$G69,Lista_CUIT!$A$1:$D$1871,3,0)),"CUIT NO CARGADO")</f>
        <v>Honorarios Administrativos-Cobranzas y Gestion Clientes</v>
      </c>
      <c r="K69" s="47">
        <f>IFERROR(IF('Ago-22'!$G69="","-",VLOOKUP('Ago-22'!$G69,Lista_CUIT!$A$1:$D$1871,4,0)),"CUIT NO CARGADO")</f>
        <v>0</v>
      </c>
    </row>
    <row r="70" spans="4:11" ht="18" customHeight="1" x14ac:dyDescent="0.25">
      <c r="D70" s="55">
        <v>44804</v>
      </c>
      <c r="E70" s="55">
        <v>2</v>
      </c>
      <c r="F70" s="55">
        <v>183</v>
      </c>
      <c r="G70" s="56">
        <v>27173820866</v>
      </c>
      <c r="H70" s="46" t="str">
        <f>IFERROR(IF('Ago-22'!$G70="","-",VLOOKUP('Ago-22'!$G70,Lista_CUIT!$A$1:$D$1871,2,0)),"CUIT NO CARGADO")</f>
        <v>FREIER SANDRA DANIELA</v>
      </c>
      <c r="I70" s="49">
        <v>100000</v>
      </c>
      <c r="J70" s="47" t="str">
        <f>IFERROR(IF('Ago-22'!$G70="","-",VLOOKUP('Ago-22'!$G70,Lista_CUIT!$A$1:$D$1871,3,0)),"CUIT NO CARGADO")</f>
        <v>HONORARIOS</v>
      </c>
      <c r="K70" s="47">
        <f>IFERROR(IF('Ago-22'!$G70="","-",VLOOKUP('Ago-22'!$G70,Lista_CUIT!$A$1:$D$1871,4,0)),"CUIT NO CARGADO")</f>
        <v>0</v>
      </c>
    </row>
    <row r="71" spans="4:11" ht="18" customHeight="1" x14ac:dyDescent="0.25">
      <c r="D71" s="55">
        <v>44803</v>
      </c>
      <c r="E71" s="55">
        <v>1</v>
      </c>
      <c r="F71" s="55">
        <v>15</v>
      </c>
      <c r="G71" s="56">
        <v>20365938688</v>
      </c>
      <c r="H71" s="46" t="str">
        <f>IFERROR(IF('Ago-22'!$G71="","-",VLOOKUP('Ago-22'!$G71,Lista_CUIT!$A$1:$D$1871,2,0)),"CUIT NO CARGADO")</f>
        <v>LIPANOVICH JUAN CRUZ</v>
      </c>
      <c r="I71" s="49">
        <v>330000</v>
      </c>
      <c r="J71" s="47" t="str">
        <f>IFERROR(IF('Ago-22'!$G71="","-",VLOOKUP('Ago-22'!$G71,Lista_CUIT!$A$1:$D$1871,3,0)),"CUIT NO CARGADO")</f>
        <v>Servicios Informatica</v>
      </c>
      <c r="K71" s="47">
        <f>IFERROR(IF('Ago-22'!$G71="","-",VLOOKUP('Ago-22'!$G71,Lista_CUIT!$A$1:$D$1871,4,0)),"CUIT NO CARGADO")</f>
        <v>0</v>
      </c>
    </row>
    <row r="72" spans="4:11" ht="18" customHeight="1" x14ac:dyDescent="0.25">
      <c r="D72" s="55">
        <v>44799</v>
      </c>
      <c r="E72" s="55">
        <v>1</v>
      </c>
      <c r="F72" s="55">
        <v>15</v>
      </c>
      <c r="G72" s="56">
        <v>27925308884</v>
      </c>
      <c r="H72" s="46" t="str">
        <f>IFERROR(IF('Ago-22'!$G72="","-",VLOOKUP('Ago-22'!$G72,Lista_CUIT!$A$1:$D$1871,2,0)),"CUIT NO CARGADO")</f>
        <v>LOPEZ LOPEZ FLAVIA</v>
      </c>
      <c r="I72" s="49">
        <v>5800</v>
      </c>
      <c r="J72" s="47" t="str">
        <f>IFERROR(IF('Ago-22'!$G72="","-",VLOOKUP('Ago-22'!$G72,Lista_CUIT!$A$1:$D$1871,3,0)),"CUIT NO CARGADO")</f>
        <v>FLETE</v>
      </c>
      <c r="K72" s="47">
        <f>IFERROR(IF('Ago-22'!$G72="","-",VLOOKUP('Ago-22'!$G72,Lista_CUIT!$A$1:$D$1871,4,0)),"CUIT NO CARGADO")</f>
        <v>0</v>
      </c>
    </row>
    <row r="73" spans="4:11" ht="18" customHeight="1" x14ac:dyDescent="0.25">
      <c r="D73" s="55">
        <v>44783</v>
      </c>
      <c r="E73" s="55">
        <v>2</v>
      </c>
      <c r="F73" s="55">
        <v>13</v>
      </c>
      <c r="G73" s="56">
        <v>23326777269</v>
      </c>
      <c r="H73" s="46" t="str">
        <f>IFERROR(IF('Ago-22'!$G73="","-",VLOOKUP('Ago-22'!$G73,Lista_CUIT!$A$1:$D$1871,2,0)),"CUIT NO CARGADO")</f>
        <v>DE BONIS IGNACIO LUIS</v>
      </c>
      <c r="I73" s="49">
        <v>148940</v>
      </c>
      <c r="J73" s="47" t="str">
        <f>IFERROR(IF('Ago-22'!$G73="","-",VLOOKUP('Ago-22'!$G73,Lista_CUIT!$A$1:$D$1871,3,0)),"CUIT NO CARGADO")</f>
        <v>Control medidores masicos</v>
      </c>
      <c r="K73" s="47">
        <f>IFERROR(IF('Ago-22'!$G73="","-",VLOOKUP('Ago-22'!$G73,Lista_CUIT!$A$1:$D$1871,4,0)),"CUIT NO CARGADO")</f>
        <v>0</v>
      </c>
    </row>
    <row r="74" spans="4:11" ht="18" customHeight="1" x14ac:dyDescent="0.25">
      <c r="D74" s="55">
        <v>44781</v>
      </c>
      <c r="E74" s="55">
        <v>2</v>
      </c>
      <c r="F74" s="55">
        <v>74</v>
      </c>
      <c r="G74" s="56">
        <v>20244271740</v>
      </c>
      <c r="H74" s="46" t="str">
        <f>IFERROR(IF('Ago-22'!$G74="","-",VLOOKUP('Ago-22'!$G74,Lista_CUIT!$A$1:$D$1871,2,0)),"CUIT NO CARGADO")</f>
        <v xml:space="preserve">KENNEL SEBASTIAN </v>
      </c>
      <c r="I74" s="49">
        <v>173600</v>
      </c>
      <c r="J74" s="47" t="str">
        <f>IFERROR(IF('Ago-22'!$G74="","-",VLOOKUP('Ago-22'!$G74,Lista_CUIT!$A$1:$D$1871,3,0)),"CUIT NO CARGADO")</f>
        <v>SOFTWARE MANTENIMIENTO</v>
      </c>
      <c r="K74" s="47">
        <f>IFERROR(IF('Ago-22'!$G74="","-",VLOOKUP('Ago-22'!$G74,Lista_CUIT!$A$1:$D$1871,4,0)),"CUIT NO CARGADO")</f>
        <v>0</v>
      </c>
    </row>
    <row r="75" spans="4:11" ht="18" customHeight="1" x14ac:dyDescent="0.25">
      <c r="D75" s="55">
        <v>44781</v>
      </c>
      <c r="E75" s="55">
        <v>3</v>
      </c>
      <c r="F75" s="55">
        <v>29</v>
      </c>
      <c r="G75" s="56">
        <v>20403931420</v>
      </c>
      <c r="H75" s="46" t="str">
        <f>IFERROR(IF('Ago-22'!$G75="","-",VLOOKUP('Ago-22'!$G75,Lista_CUIT!$A$1:$D$1871,2,0)),"CUIT NO CARGADO")</f>
        <v>FIORENTINO JORGE IGNACIO</v>
      </c>
      <c r="I75" s="49">
        <v>117120</v>
      </c>
      <c r="J75" s="47" t="str">
        <f>IFERROR(IF('Ago-22'!$G75="","-",VLOOKUP('Ago-22'!$G75,Lista_CUIT!$A$1:$D$1871,3,0)),"CUIT NO CARGADO")</f>
        <v>Honorarios Administrativos-Cobranzas y Gestion Clientes</v>
      </c>
      <c r="K75" s="47">
        <f>IFERROR(IF('Ago-22'!$G75="","-",VLOOKUP('Ago-22'!$G75,Lista_CUIT!$A$1:$D$1871,4,0)),"CUIT NO CARGADO")</f>
        <v>0</v>
      </c>
    </row>
    <row r="76" spans="4:11" ht="18" customHeight="1" x14ac:dyDescent="0.25">
      <c r="D76" s="55">
        <v>44785</v>
      </c>
      <c r="E76" s="55">
        <v>1</v>
      </c>
      <c r="F76" s="55">
        <v>9</v>
      </c>
      <c r="G76" s="56">
        <v>20417805878</v>
      </c>
      <c r="H76" s="46" t="str">
        <f>IFERROR(IF('Ago-22'!$G76="","-",VLOOKUP('Ago-22'!$G76,Lista_CUIT!$A$1:$D$1871,2,0)),"CUIT NO CARGADO")</f>
        <v>FERABOLI OSPAL SANTIAGO HERNAN</v>
      </c>
      <c r="I76" s="49">
        <v>127560</v>
      </c>
      <c r="J76" s="47" t="str">
        <f>IFERROR(IF('Ago-22'!$G76="","-",VLOOKUP('Ago-22'!$G76,Lista_CUIT!$A$1:$D$1871,3,0)),"CUIT NO CARGADO")</f>
        <v>Control medidores masicos</v>
      </c>
      <c r="K76" s="47">
        <f>IFERROR(IF('Ago-22'!$G76="","-",VLOOKUP('Ago-22'!$G76,Lista_CUIT!$A$1:$D$1871,4,0)),"CUIT NO CARGADO")</f>
        <v>0</v>
      </c>
    </row>
    <row r="77" spans="4:11" ht="18" customHeight="1" x14ac:dyDescent="0.25">
      <c r="D77" s="55">
        <v>44778</v>
      </c>
      <c r="E77" s="55">
        <v>1</v>
      </c>
      <c r="F77" s="55">
        <v>87</v>
      </c>
      <c r="G77" s="56">
        <v>20341465134</v>
      </c>
      <c r="H77" s="46" t="str">
        <f>IFERROR(IF('Ago-22'!$G77="","-",VLOOKUP('Ago-22'!$G77,Lista_CUIT!$A$1:$D$1871,2,0)),"CUIT NO CARGADO")</f>
        <v xml:space="preserve">ABELEDO AGUSTIN ENRIQUE </v>
      </c>
      <c r="I77" s="49">
        <v>124800</v>
      </c>
      <c r="J77" s="47" t="str">
        <f>IFERROR(IF('Ago-22'!$G77="","-",VLOOKUP('Ago-22'!$G77,Lista_CUIT!$A$1:$D$1871,3,0)),"CUIT NO CARGADO")</f>
        <v>HONOR. INGENIERO</v>
      </c>
      <c r="K77" s="47">
        <f>IFERROR(IF('Ago-22'!$G77="","-",VLOOKUP('Ago-22'!$G77,Lista_CUIT!$A$1:$D$1871,4,0)),"CUIT NO CARGADO")</f>
        <v>0</v>
      </c>
    </row>
    <row r="78" spans="4:11" ht="18" customHeight="1" x14ac:dyDescent="0.25">
      <c r="D78" s="55">
        <v>44783</v>
      </c>
      <c r="E78" s="55">
        <v>3</v>
      </c>
      <c r="F78" s="55">
        <v>609</v>
      </c>
      <c r="G78" s="56">
        <v>20086277523</v>
      </c>
      <c r="H78" s="46" t="str">
        <f>IFERROR(IF('Ago-22'!$G78="","-",VLOOKUP('Ago-22'!$G78,Lista_CUIT!$A$1:$D$1871,2,0)),"CUIT NO CARGADO")</f>
        <v>JUAN CARLOS BOTINDARI</v>
      </c>
      <c r="I78" s="49">
        <v>8350</v>
      </c>
      <c r="J78" s="47" t="str">
        <f>IFERROR(IF('Ago-22'!$G78="","-",VLOOKUP('Ago-22'!$G78,Lista_CUIT!$A$1:$D$1871,3,0)),"CUIT NO CARGADO")</f>
        <v>HONORARIOS</v>
      </c>
      <c r="K78" s="47">
        <f>IFERROR(IF('Ago-22'!$G78="","-",VLOOKUP('Ago-22'!$G78,Lista_CUIT!$A$1:$D$1871,4,0)),"CUIT NO CARGADO")</f>
        <v>0</v>
      </c>
    </row>
    <row r="79" spans="4:11" ht="18" customHeight="1" x14ac:dyDescent="0.25">
      <c r="D79" s="55">
        <v>44784</v>
      </c>
      <c r="E79" s="55">
        <v>1</v>
      </c>
      <c r="F79" s="55">
        <v>9</v>
      </c>
      <c r="G79" s="56">
        <v>20338344695</v>
      </c>
      <c r="H79" s="46" t="str">
        <f>IFERROR(IF('Ago-22'!$G79="","-",VLOOKUP('Ago-22'!$G79,Lista_CUIT!$A$1:$D$1871,2,0)),"CUIT NO CARGADO")</f>
        <v>FUERTES DAMIAN MATIAS</v>
      </c>
      <c r="I79" s="49">
        <v>19200</v>
      </c>
      <c r="J79" s="47" t="str">
        <f>IFERROR(IF('Ago-22'!$G79="","-",VLOOKUP('Ago-22'!$G79,Lista_CUIT!$A$1:$D$1871,3,0)),"CUIT NO CARGADO")</f>
        <v>INSUMO</v>
      </c>
      <c r="K79" s="47">
        <f>IFERROR(IF('Ago-22'!$G79="","-",VLOOKUP('Ago-22'!$G79,Lista_CUIT!$A$1:$D$1871,4,0)),"CUIT NO CARGADO")</f>
        <v>0</v>
      </c>
    </row>
    <row r="80" spans="4:11" ht="18" customHeight="1" x14ac:dyDescent="0.25">
      <c r="D80" s="55">
        <v>44776</v>
      </c>
      <c r="E80" s="55">
        <v>2</v>
      </c>
      <c r="F80" s="55">
        <v>115</v>
      </c>
      <c r="G80" s="56">
        <v>20136544625</v>
      </c>
      <c r="H80" s="46" t="str">
        <f>IFERROR(IF('Ago-22'!$G80="","-",VLOOKUP('Ago-22'!$G80,Lista_CUIT!$A$1:$D$1871,2,0)),"CUIT NO CARGADO")</f>
        <v>RODRIGUEZ DE LA FUEN HECTOR MARCELO</v>
      </c>
      <c r="I80" s="49">
        <v>30000</v>
      </c>
      <c r="J80" s="47" t="str">
        <f>IFERROR(IF('Ago-22'!$G80="","-",VLOOKUP('Ago-22'!$G80,Lista_CUIT!$A$1:$D$1871,3,0)),"CUIT NO CARGADO")</f>
        <v>Honorarios Administrativos-Cobranzas y Gestion Clientes</v>
      </c>
      <c r="K80" s="47">
        <f>IFERROR(IF('Ago-22'!$G80="","-",VLOOKUP('Ago-22'!$G80,Lista_CUIT!$A$1:$D$1871,4,0)),"CUIT NO CARGADO")</f>
        <v>0</v>
      </c>
    </row>
    <row r="81" spans="2:18" ht="18" customHeight="1" x14ac:dyDescent="0.25">
      <c r="D81" s="55">
        <v>44775</v>
      </c>
      <c r="E81" s="55">
        <v>3</v>
      </c>
      <c r="F81" s="55">
        <v>603</v>
      </c>
      <c r="G81" s="56">
        <v>20086277523</v>
      </c>
      <c r="H81" s="46" t="str">
        <f>IFERROR(IF('Ago-22'!$G81="","-",VLOOKUP('Ago-22'!$G81,Lista_CUIT!$A$1:$D$1871,2,0)),"CUIT NO CARGADO")</f>
        <v>JUAN CARLOS BOTINDARI</v>
      </c>
      <c r="I81" s="49">
        <v>51900</v>
      </c>
      <c r="J81" s="47" t="str">
        <f>IFERROR(IF('Ago-22'!$G81="","-",VLOOKUP('Ago-22'!$G81,Lista_CUIT!$A$1:$D$1871,3,0)),"CUIT NO CARGADO")</f>
        <v>HONORARIOS</v>
      </c>
      <c r="K81" s="47">
        <f>IFERROR(IF('Ago-22'!$G81="","-",VLOOKUP('Ago-22'!$G81,Lista_CUIT!$A$1:$D$1871,4,0)),"CUIT NO CARGADO")</f>
        <v>0</v>
      </c>
    </row>
    <row r="82" spans="2:18" ht="18" customHeight="1" x14ac:dyDescent="0.25">
      <c r="D82" s="55">
        <v>44777</v>
      </c>
      <c r="E82" s="55">
        <v>4</v>
      </c>
      <c r="F82" s="55">
        <v>4</v>
      </c>
      <c r="G82" s="56">
        <v>20341462933</v>
      </c>
      <c r="H82" s="46" t="str">
        <f>IFERROR(IF('Ago-22'!$G82="","-",VLOOKUP('Ago-22'!$G82,Lista_CUIT!$A$1:$D$1871,2,0)),"CUIT NO CARGADO")</f>
        <v>CASTIGLIONI MATIAS EZEQUIEL</v>
      </c>
      <c r="I82" s="49">
        <v>195000</v>
      </c>
      <c r="J82" s="47" t="str">
        <f>IFERROR(IF('Ago-22'!$G82="","-",VLOOKUP('Ago-22'!$G82,Lista_CUIT!$A$1:$D$1871,3,0)),"CUIT NO CARGADO")</f>
        <v>MAT. PRIM.</v>
      </c>
      <c r="K82" s="47">
        <f>IFERROR(IF('Ago-22'!$G82="","-",VLOOKUP('Ago-22'!$G82,Lista_CUIT!$A$1:$D$1871,4,0)),"CUIT NO CARGADO")</f>
        <v>0</v>
      </c>
    </row>
    <row r="83" spans="2:18" ht="15.75" customHeight="1" x14ac:dyDescent="0.25">
      <c r="D83" s="47" t="s">
        <v>1546</v>
      </c>
      <c r="E83" s="47"/>
      <c r="F83" s="47"/>
      <c r="G83" s="47"/>
      <c r="H83" s="48"/>
      <c r="I83" s="49">
        <f>SUBTOTAL(109,'Ago-22'!$I$69:$I$82)</f>
        <v>1532270</v>
      </c>
      <c r="J83" s="47"/>
      <c r="K83" s="47"/>
    </row>
    <row r="84" spans="2:18" ht="15.75" customHeight="1" x14ac:dyDescent="0.25">
      <c r="B84" s="50"/>
      <c r="C84" s="50"/>
      <c r="L84" s="50"/>
      <c r="M84" s="50"/>
      <c r="N84" s="50"/>
      <c r="O84" s="50"/>
      <c r="P84" s="50"/>
      <c r="Q84" s="50"/>
      <c r="R84" s="50"/>
    </row>
    <row r="85" spans="2:18" ht="15.75" customHeight="1" x14ac:dyDescent="0.25"/>
    <row r="86" spans="2:18" ht="15.75" customHeight="1" x14ac:dyDescent="0.25"/>
    <row r="87" spans="2:18" ht="15.75" customHeight="1" x14ac:dyDescent="0.25"/>
    <row r="88" spans="2:18" ht="25.5" customHeight="1" x14ac:dyDescent="0.25"/>
    <row r="89" spans="2:18" ht="15.75" customHeight="1" x14ac:dyDescent="0.25">
      <c r="B89" s="366" t="s">
        <v>1563</v>
      </c>
      <c r="C89" s="351"/>
      <c r="D89" s="351"/>
      <c r="E89" s="351"/>
      <c r="F89" s="351"/>
      <c r="G89" s="351"/>
      <c r="H89" s="351"/>
      <c r="I89" s="351"/>
      <c r="J89" s="352"/>
      <c r="K89" s="367">
        <f>N1</f>
        <v>44774</v>
      </c>
      <c r="L89" s="351"/>
      <c r="M89" s="352"/>
    </row>
    <row r="90" spans="2:18" ht="17.25" customHeight="1" x14ac:dyDescent="0.25"/>
    <row r="91" spans="2:18" ht="31.5" customHeight="1" x14ac:dyDescent="0.25">
      <c r="B91" s="368" t="s">
        <v>1564</v>
      </c>
      <c r="C91" s="369"/>
    </row>
    <row r="92" spans="2:18" ht="15.75" customHeight="1" x14ac:dyDescent="0.25">
      <c r="B92" s="51" t="s">
        <v>1532</v>
      </c>
      <c r="C92" s="52" t="s">
        <v>1533</v>
      </c>
      <c r="D92" s="52" t="s">
        <v>1565</v>
      </c>
      <c r="E92" s="52" t="s">
        <v>1566</v>
      </c>
      <c r="F92" s="52" t="s">
        <v>0</v>
      </c>
      <c r="G92" s="52" t="s">
        <v>1</v>
      </c>
      <c r="H92" s="52" t="s">
        <v>1567</v>
      </c>
      <c r="I92" s="52" t="s">
        <v>1551</v>
      </c>
      <c r="J92" s="52" t="s">
        <v>1539</v>
      </c>
      <c r="K92" s="52" t="s">
        <v>1568</v>
      </c>
      <c r="L92" s="52" t="s">
        <v>1544</v>
      </c>
      <c r="M92" s="53" t="s">
        <v>1545</v>
      </c>
    </row>
    <row r="93" spans="2:18" ht="15.75" customHeight="1" x14ac:dyDescent="0.25">
      <c r="B93" s="10" t="s">
        <v>1606</v>
      </c>
      <c r="C93" s="11">
        <v>1</v>
      </c>
      <c r="D93" s="12">
        <v>3</v>
      </c>
      <c r="E93" s="13">
        <v>71</v>
      </c>
      <c r="F93" s="14">
        <v>30638318470</v>
      </c>
      <c r="G93" s="57" t="str">
        <f>IFERROR(IF('Ago-22'!$F93="","-",VLOOKUP('Ago-22'!$F93,Lista_CUIT!$A$1:$D$1871,2,0)),"CUIT NO CARGADO")</f>
        <v>DELTA COMPRESION S.R.L</v>
      </c>
      <c r="H93" s="58">
        <v>6093317.9999999991</v>
      </c>
      <c r="I93" s="59"/>
      <c r="J93" s="60">
        <v>639798.3899999999</v>
      </c>
      <c r="K93" s="60"/>
      <c r="L93" s="60">
        <f>SUM('Ago-22'!$H93:$K93)</f>
        <v>6733116.3899999987</v>
      </c>
      <c r="M93" s="61"/>
    </row>
    <row r="94" spans="2:18" ht="15.75" customHeight="1" x14ac:dyDescent="0.25">
      <c r="B94" s="10" t="s">
        <v>1607</v>
      </c>
      <c r="C94" s="11">
        <v>1</v>
      </c>
      <c r="D94" s="12">
        <v>3</v>
      </c>
      <c r="E94" s="13">
        <v>72</v>
      </c>
      <c r="F94" s="14">
        <v>30638318470</v>
      </c>
      <c r="G94" s="57" t="str">
        <f>IFERROR(IF('Ago-22'!$F94="","-",VLOOKUP('Ago-22'!$F94,Lista_CUIT!$A$1:$D$1871,2,0)),"CUIT NO CARGADO")</f>
        <v>DELTA COMPRESION S.R.L</v>
      </c>
      <c r="H94" s="58">
        <v>1027452.3239999999</v>
      </c>
      <c r="I94" s="59">
        <v>180463.29</v>
      </c>
      <c r="J94" s="60">
        <v>17651.77</v>
      </c>
      <c r="K94" s="60"/>
      <c r="L94" s="60">
        <f>SUM('Ago-22'!$H94:$K94)</f>
        <v>1225567.3839999998</v>
      </c>
      <c r="M94" s="61"/>
    </row>
    <row r="95" spans="2:18" ht="15.75" customHeight="1" x14ac:dyDescent="0.25">
      <c r="B95" s="10" t="s">
        <v>1607</v>
      </c>
      <c r="C95" s="11">
        <v>1</v>
      </c>
      <c r="D95" s="12">
        <v>3</v>
      </c>
      <c r="E95" s="13">
        <v>73</v>
      </c>
      <c r="F95" s="14">
        <v>30638318470</v>
      </c>
      <c r="G95" s="57" t="str">
        <f>IFERROR(IF('Ago-22'!$F95="","-",VLOOKUP('Ago-22'!$F95,Lista_CUIT!$A$1:$D$1871,2,0)),"CUIT NO CARGADO")</f>
        <v>DELTA COMPRESION S.R.L</v>
      </c>
      <c r="H95" s="58">
        <v>194107.10739999998</v>
      </c>
      <c r="I95" s="59">
        <f>'Ago-22'!$H95*0.21</f>
        <v>40762.492553999997</v>
      </c>
      <c r="J95" s="60"/>
      <c r="K95" s="60"/>
      <c r="L95" s="60">
        <f>SUM('Ago-22'!$H95:$K95)</f>
        <v>234869.59995399998</v>
      </c>
      <c r="M95" s="61"/>
    </row>
    <row r="96" spans="2:18" ht="15.75" customHeight="1" x14ac:dyDescent="0.25">
      <c r="B96" s="10" t="s">
        <v>1608</v>
      </c>
      <c r="C96" s="11">
        <v>1</v>
      </c>
      <c r="D96" s="12">
        <v>3</v>
      </c>
      <c r="E96" s="13">
        <v>74</v>
      </c>
      <c r="F96" s="14">
        <v>30638318470</v>
      </c>
      <c r="G96" s="57" t="str">
        <f>IFERROR(IF('Ago-22'!$F96="","-",VLOOKUP('Ago-22'!$F96,Lista_CUIT!$A$1:$D$1871,2,0)),"CUIT NO CARGADO")</f>
        <v>DELTA COMPRESION S.R.L</v>
      </c>
      <c r="H96" s="58">
        <v>3109029</v>
      </c>
      <c r="I96" s="59"/>
      <c r="J96" s="60">
        <v>326448.04499999998</v>
      </c>
      <c r="K96" s="60"/>
      <c r="L96" s="60">
        <f>SUM('Ago-22'!$H96:$K96)</f>
        <v>3435477.0449999999</v>
      </c>
      <c r="M96" s="61"/>
    </row>
    <row r="97" spans="2:13" ht="15.75" customHeight="1" x14ac:dyDescent="0.25">
      <c r="B97" s="10" t="s">
        <v>1608</v>
      </c>
      <c r="C97" s="11">
        <v>1</v>
      </c>
      <c r="D97" s="12">
        <v>3</v>
      </c>
      <c r="E97" s="13">
        <v>75</v>
      </c>
      <c r="F97" s="14">
        <v>20124583463</v>
      </c>
      <c r="G97" s="57" t="str">
        <f>IFERROR(IF('Ago-22'!$F97="","-",VLOOKUP('Ago-22'!$F97,Lista_CUIT!$A$1:$D$1871,2,0)),"CUIT NO CARGADO")</f>
        <v>CUIT NO CARGADO</v>
      </c>
      <c r="H97" s="58">
        <v>51817.15</v>
      </c>
      <c r="I97" s="59">
        <f>'Ago-22'!$H97*0.21</f>
        <v>10881.601500000001</v>
      </c>
      <c r="J97" s="60"/>
      <c r="K97" s="60"/>
      <c r="L97" s="60">
        <f>SUM('Ago-22'!$H97:$K97)</f>
        <v>62698.751499999998</v>
      </c>
      <c r="M97" s="61"/>
    </row>
    <row r="98" spans="2:13" ht="15.75" customHeight="1" x14ac:dyDescent="0.25">
      <c r="B98" s="10" t="s">
        <v>1609</v>
      </c>
      <c r="C98" s="11">
        <v>1</v>
      </c>
      <c r="D98" s="12">
        <v>3</v>
      </c>
      <c r="E98" s="13">
        <v>76</v>
      </c>
      <c r="F98" s="14">
        <v>30638318470</v>
      </c>
      <c r="G98" s="57" t="str">
        <f>IFERROR(IF('Ago-22'!$F98="","-",VLOOKUP('Ago-22'!$F98,Lista_CUIT!$A$1:$D$1871,2,0)),"CUIT NO CARGADO")</f>
        <v>DELTA COMPRESION S.R.L</v>
      </c>
      <c r="H98" s="58">
        <v>3145526.9999999995</v>
      </c>
      <c r="I98" s="59"/>
      <c r="J98" s="60">
        <v>330280.33499999996</v>
      </c>
      <c r="K98" s="60"/>
      <c r="L98" s="60">
        <f>SUM('Ago-22'!$H98:$K98)</f>
        <v>3475807.3349999995</v>
      </c>
      <c r="M98" s="61"/>
    </row>
    <row r="99" spans="2:13" ht="15.75" customHeight="1" x14ac:dyDescent="0.25">
      <c r="B99" s="10" t="s">
        <v>1609</v>
      </c>
      <c r="C99" s="11">
        <v>1</v>
      </c>
      <c r="D99" s="12">
        <v>3</v>
      </c>
      <c r="E99" s="13">
        <v>77</v>
      </c>
      <c r="F99" s="14">
        <v>30628274327</v>
      </c>
      <c r="G99" s="57" t="str">
        <f>IFERROR(IF('Ago-22'!$F99="","-",VLOOKUP('Ago-22'!$F99,Lista_CUIT!$A$1:$D$1871,2,0)),"CUIT NO CARGADO")</f>
        <v>AGIRA SA</v>
      </c>
      <c r="H99" s="58">
        <v>52425.45</v>
      </c>
      <c r="I99" s="59">
        <f>'Ago-22'!$H99*0.21</f>
        <v>11009.344499999999</v>
      </c>
      <c r="J99" s="60"/>
      <c r="K99" s="60"/>
      <c r="L99" s="60">
        <f>SUM('Ago-22'!$H99:$K99)</f>
        <v>63434.794499999996</v>
      </c>
      <c r="M99" s="62"/>
    </row>
    <row r="100" spans="2:13" ht="15.75" customHeight="1" x14ac:dyDescent="0.25">
      <c r="B100" s="63" t="s">
        <v>1610</v>
      </c>
      <c r="C100" s="64">
        <v>1</v>
      </c>
      <c r="D100" s="65">
        <v>3</v>
      </c>
      <c r="E100" s="66">
        <v>78</v>
      </c>
      <c r="F100" s="67">
        <v>30574668715</v>
      </c>
      <c r="G100" s="57" t="str">
        <f>IFERROR(IF('Ago-22'!$F100="","-",VLOOKUP('Ago-22'!$F100,Lista_CUIT!$A$1:$D$1871,2,0)),"CUIT NO CARGADO")</f>
        <v>ESTACION DE SERVICIOS LAURENCENA S R L</v>
      </c>
      <c r="H100" s="68">
        <v>47316.75</v>
      </c>
      <c r="I100" s="69">
        <f>'Ago-22'!$H100*0.21</f>
        <v>9936.5174999999999</v>
      </c>
      <c r="J100" s="70"/>
      <c r="K100" s="70"/>
      <c r="L100" s="70">
        <f>SUM('Ago-22'!$H100:$K100)</f>
        <v>57253.267500000002</v>
      </c>
      <c r="M100" s="62"/>
    </row>
    <row r="101" spans="2:13" ht="28.5" customHeight="1" x14ac:dyDescent="0.25">
      <c r="B101" s="76" t="s">
        <v>1546</v>
      </c>
      <c r="C101" s="77"/>
      <c r="D101" s="77"/>
      <c r="E101" s="77"/>
      <c r="F101" s="77"/>
      <c r="G101" s="77"/>
      <c r="H101" s="124">
        <f>SUBTOTAL(109,'Ago-22'!$H$93:$H$100)</f>
        <v>13720992.781399999</v>
      </c>
      <c r="I101" s="124">
        <f>SUBTOTAL(109,'Ago-22'!$I$93:$I$100)</f>
        <v>253053.24605399999</v>
      </c>
      <c r="J101" s="124">
        <f>SUBTOTAL(109,'Ago-22'!$J$93:$J$100)</f>
        <v>1314178.5399999998</v>
      </c>
      <c r="K101" s="124">
        <f>SUBTOTAL(109,'Ago-22'!$K$93:$K$100)</f>
        <v>0</v>
      </c>
      <c r="L101" s="124">
        <f>SUBTOTAL(109,'Ago-22'!$L$93:$L$100)</f>
        <v>15288224.567453997</v>
      </c>
      <c r="M101" s="80">
        <f>SUBTOTAL(103,'Ago-22'!$M$93:$M$100)</f>
        <v>0</v>
      </c>
    </row>
    <row r="102" spans="2:13" ht="15.75" customHeight="1" x14ac:dyDescent="0.25"/>
    <row r="103" spans="2:13" ht="15.75" customHeight="1" x14ac:dyDescent="0.25"/>
    <row r="104" spans="2:13" ht="15.75" customHeight="1" x14ac:dyDescent="0.25">
      <c r="B104" s="368" t="s">
        <v>1569</v>
      </c>
      <c r="C104" s="369"/>
    </row>
    <row r="105" spans="2:13" ht="15.75" customHeight="1" x14ac:dyDescent="0.25">
      <c r="B105" s="51" t="s">
        <v>1532</v>
      </c>
      <c r="C105" s="52" t="s">
        <v>1533</v>
      </c>
      <c r="D105" s="52" t="s">
        <v>1565</v>
      </c>
      <c r="E105" s="52" t="s">
        <v>1566</v>
      </c>
      <c r="F105" s="52" t="s">
        <v>0</v>
      </c>
      <c r="G105" s="52" t="s">
        <v>1</v>
      </c>
      <c r="H105" s="52" t="s">
        <v>1567</v>
      </c>
      <c r="I105" s="52" t="s">
        <v>1551</v>
      </c>
      <c r="J105" s="52" t="s">
        <v>1539</v>
      </c>
      <c r="K105" s="52" t="s">
        <v>1568</v>
      </c>
      <c r="L105" s="52" t="s">
        <v>1544</v>
      </c>
      <c r="M105" s="53" t="s">
        <v>1545</v>
      </c>
    </row>
    <row r="106" spans="2:13" ht="15.75" customHeight="1" x14ac:dyDescent="0.25">
      <c r="B106" s="10"/>
      <c r="C106" s="11"/>
      <c r="D106" s="12"/>
      <c r="E106" s="13"/>
      <c r="F106" s="56"/>
      <c r="G106" s="81" t="str">
        <f>IFERROR(IF('Ago-22'!$F106="","-",VLOOKUP('Ago-22'!$F106,Lista_CUIT!$A$1:$D$1871,2,0)),"CUIT NO CARGADO")</f>
        <v>-</v>
      </c>
      <c r="H106" s="82"/>
      <c r="I106" s="82">
        <f>'Ago-22'!$H106*0.21</f>
        <v>0</v>
      </c>
      <c r="J106" s="82"/>
      <c r="K106" s="82"/>
      <c r="L106" s="82">
        <f>SUM('Ago-22'!$H106:$K106)</f>
        <v>0</v>
      </c>
      <c r="M106" s="61"/>
    </row>
    <row r="107" spans="2:13" ht="15.75" customHeight="1" x14ac:dyDescent="0.25">
      <c r="B107" s="10"/>
      <c r="C107" s="11"/>
      <c r="D107" s="12"/>
      <c r="E107" s="13"/>
      <c r="F107" s="14"/>
      <c r="G107" s="81" t="str">
        <f>IFERROR(IF('Ago-22'!$F107="","-",VLOOKUP('Ago-22'!$F107,Lista_CUIT!$A$1:$D$1871,2,0)),"CUIT NO CARGADO")</f>
        <v>-</v>
      </c>
      <c r="H107" s="82"/>
      <c r="I107" s="82">
        <f>'Ago-22'!$H107*0.21</f>
        <v>0</v>
      </c>
      <c r="J107" s="82"/>
      <c r="K107" s="82"/>
      <c r="L107" s="82">
        <f>SUM('Ago-22'!$H107:$K107)</f>
        <v>0</v>
      </c>
      <c r="M107" s="61"/>
    </row>
    <row r="108" spans="2:13" ht="15.75" customHeight="1" x14ac:dyDescent="0.25">
      <c r="B108" s="10"/>
      <c r="C108" s="11"/>
      <c r="D108" s="12"/>
      <c r="E108" s="13"/>
      <c r="F108" s="14"/>
      <c r="G108" s="81" t="str">
        <f>IFERROR(IF('Ago-22'!$F108="","-",VLOOKUP('Ago-22'!$F108,Lista_CUIT!$A$1:$D$1871,2,0)),"CUIT NO CARGADO")</f>
        <v>-</v>
      </c>
      <c r="H108" s="82"/>
      <c r="I108" s="82">
        <f>'Ago-22'!$H108*0.21</f>
        <v>0</v>
      </c>
      <c r="J108" s="82"/>
      <c r="K108" s="82"/>
      <c r="L108" s="82">
        <f>SUM('Ago-22'!$H108:$K108)</f>
        <v>0</v>
      </c>
      <c r="M108" s="61"/>
    </row>
    <row r="109" spans="2:13" ht="15.75" customHeight="1" x14ac:dyDescent="0.25">
      <c r="B109" s="10"/>
      <c r="C109" s="11"/>
      <c r="D109" s="12"/>
      <c r="E109" s="13"/>
      <c r="F109" s="14"/>
      <c r="G109" s="81" t="str">
        <f>IFERROR(IF('Ago-22'!$F109="","-",VLOOKUP('Ago-22'!$F109,Lista_CUIT!$A$1:$D$1871,2,0)),"CUIT NO CARGADO")</f>
        <v>-</v>
      </c>
      <c r="H109" s="82"/>
      <c r="I109" s="82">
        <f>'Ago-22'!$H109*0.21</f>
        <v>0</v>
      </c>
      <c r="J109" s="82"/>
      <c r="K109" s="82"/>
      <c r="L109" s="82">
        <f>SUM('Ago-22'!$H109:$K109)</f>
        <v>0</v>
      </c>
      <c r="M109" s="61"/>
    </row>
    <row r="110" spans="2:13" ht="15.75" customHeight="1" x14ac:dyDescent="0.25">
      <c r="B110" s="10"/>
      <c r="C110" s="11"/>
      <c r="D110" s="12"/>
      <c r="E110" s="13"/>
      <c r="F110" s="14"/>
      <c r="G110" s="81" t="str">
        <f>IFERROR(IF('Ago-22'!$F110="","-",VLOOKUP('Ago-22'!$F110,Lista_CUIT!$A$1:$D$1871,2,0)),"CUIT NO CARGADO")</f>
        <v>-</v>
      </c>
      <c r="H110" s="82"/>
      <c r="I110" s="82">
        <f>'Ago-22'!$H110*0.21</f>
        <v>0</v>
      </c>
      <c r="J110" s="82"/>
      <c r="K110" s="82"/>
      <c r="L110" s="82">
        <f>SUM('Ago-22'!$H110:$K110)</f>
        <v>0</v>
      </c>
      <c r="M110" s="61"/>
    </row>
    <row r="111" spans="2:13" ht="15.75" customHeight="1" x14ac:dyDescent="0.25">
      <c r="B111" s="10"/>
      <c r="C111" s="11"/>
      <c r="D111" s="12"/>
      <c r="E111" s="13"/>
      <c r="F111" s="14"/>
      <c r="G111" s="81" t="str">
        <f>IFERROR(IF('Ago-22'!$F111="","-",VLOOKUP('Ago-22'!$F111,Lista_CUIT!$A$1:$D$1871,2,0)),"CUIT NO CARGADO")</f>
        <v>-</v>
      </c>
      <c r="H111" s="82"/>
      <c r="I111" s="82">
        <f>'Ago-22'!$H111*0.21</f>
        <v>0</v>
      </c>
      <c r="J111" s="82"/>
      <c r="K111" s="82"/>
      <c r="L111" s="82">
        <f>SUM('Ago-22'!$H111:$K111)</f>
        <v>0</v>
      </c>
      <c r="M111" s="61"/>
    </row>
    <row r="112" spans="2:13" ht="15.75" customHeight="1" x14ac:dyDescent="0.25">
      <c r="B112" s="76" t="s">
        <v>1546</v>
      </c>
      <c r="C112" s="77"/>
      <c r="D112" s="77"/>
      <c r="E112" s="77"/>
      <c r="F112" s="77"/>
      <c r="G112" s="77"/>
      <c r="H112" s="83">
        <f>SUBTOTAL(109,'Ago-22'!$H$106:$H$111)</f>
        <v>0</v>
      </c>
      <c r="I112" s="83">
        <f>SUBTOTAL(109,'Ago-22'!$I$106:$I$111)</f>
        <v>0</v>
      </c>
      <c r="J112" s="84">
        <f>SUBTOTAL(109,'Ago-22'!$J$106:$J$111)</f>
        <v>0</v>
      </c>
      <c r="K112" s="84">
        <f>SUBTOTAL(109,'Ago-22'!$K$106:$K$111)</f>
        <v>0</v>
      </c>
      <c r="L112" s="84">
        <f>SUBTOTAL(109,'Ago-22'!$L$106:$L$111)</f>
        <v>0</v>
      </c>
      <c r="M112" s="80">
        <f>SUBTOTAL(103,'Ago-22'!$M$106:$M$111)</f>
        <v>0</v>
      </c>
    </row>
    <row r="113" spans="3:12" ht="15.75" customHeight="1" x14ac:dyDescent="0.25"/>
    <row r="114" spans="3:12" ht="15.75" customHeight="1" x14ac:dyDescent="0.25"/>
    <row r="115" spans="3:12" ht="15.75" customHeight="1" x14ac:dyDescent="0.25"/>
    <row r="116" spans="3:12" ht="15.75" customHeight="1" x14ac:dyDescent="0.25"/>
    <row r="117" spans="3:12" ht="15.75" customHeight="1" x14ac:dyDescent="0.25"/>
    <row r="118" spans="3:12" ht="15.75" customHeight="1" x14ac:dyDescent="0.25"/>
    <row r="119" spans="3:12" ht="15.75" customHeight="1" x14ac:dyDescent="0.25"/>
    <row r="120" spans="3:12" ht="15.75" customHeight="1" x14ac:dyDescent="0.25">
      <c r="C120" s="361" t="s">
        <v>1575</v>
      </c>
      <c r="D120" s="362"/>
      <c r="E120" s="362"/>
      <c r="F120" s="362"/>
      <c r="G120" s="363"/>
      <c r="H120" s="89"/>
      <c r="I120" s="89"/>
      <c r="J120" s="89"/>
    </row>
    <row r="121" spans="3:12" ht="15.75" customHeight="1" x14ac:dyDescent="0.25">
      <c r="C121" s="90" t="s">
        <v>1576</v>
      </c>
      <c r="D121" s="91" t="s">
        <v>1577</v>
      </c>
      <c r="E121" s="91" t="s">
        <v>1578</v>
      </c>
      <c r="F121" s="91" t="s">
        <v>0</v>
      </c>
      <c r="G121" s="91" t="s">
        <v>1</v>
      </c>
      <c r="H121" s="92" t="s">
        <v>1579</v>
      </c>
      <c r="I121" s="92" t="s">
        <v>1580</v>
      </c>
      <c r="J121" s="92" t="s">
        <v>1581</v>
      </c>
      <c r="K121" s="92" t="s">
        <v>1582</v>
      </c>
      <c r="L121" s="92" t="s">
        <v>1583</v>
      </c>
    </row>
    <row r="122" spans="3:12" ht="15.75" customHeight="1" x14ac:dyDescent="0.25">
      <c r="C122" s="54"/>
      <c r="D122" s="93"/>
      <c r="E122" s="93"/>
      <c r="F122" s="56"/>
      <c r="G122" s="46" t="str">
        <f>IFERROR(IF('Ago-22'!$F122="","-",VLOOKUP('Ago-22'!$F122,Lista_CUIT!$A$1:$D$1871,2,0)),"CUIT NO CARGADO")</f>
        <v>-</v>
      </c>
      <c r="H122" s="94"/>
      <c r="I122" s="94"/>
      <c r="J122" s="94"/>
      <c r="K122" s="94"/>
      <c r="L122" s="94"/>
    </row>
    <row r="123" spans="3:12" ht="15.75" customHeight="1" x14ac:dyDescent="0.25">
      <c r="C123" s="54"/>
      <c r="D123" s="93"/>
      <c r="E123" s="93"/>
      <c r="F123" s="56"/>
      <c r="G123" s="46" t="str">
        <f>IFERROR(IF('Ago-22'!$F123="","-",VLOOKUP('Ago-22'!$F123,Lista_CUIT!$A$1:$D$1871,2,0)),"CUIT NO CARGADO")</f>
        <v>-</v>
      </c>
      <c r="H123" s="94"/>
      <c r="I123" s="94"/>
      <c r="J123" s="94"/>
      <c r="K123" s="94"/>
      <c r="L123" s="94"/>
    </row>
    <row r="124" spans="3:12" ht="15.75" customHeight="1" x14ac:dyDescent="0.25">
      <c r="C124" s="54"/>
      <c r="D124" s="93"/>
      <c r="E124" s="93"/>
      <c r="F124" s="56"/>
      <c r="G124" s="46" t="str">
        <f>IFERROR(IF('Ago-22'!$F124="","-",VLOOKUP('Ago-22'!$F124,Lista_CUIT!$A$1:$D$1871,2,0)),"CUIT NO CARGADO")</f>
        <v>-</v>
      </c>
      <c r="H124" s="94"/>
      <c r="I124" s="94"/>
      <c r="J124" s="94"/>
      <c r="K124" s="94"/>
      <c r="L124" s="94"/>
    </row>
    <row r="125" spans="3:12" ht="15.75" customHeight="1" x14ac:dyDescent="0.25">
      <c r="C125" s="54"/>
      <c r="D125" s="93"/>
      <c r="E125" s="93"/>
      <c r="F125" s="56"/>
      <c r="G125" s="46" t="str">
        <f>IFERROR(IF('Ago-22'!$F125="","-",VLOOKUP('Ago-22'!$F125,Lista_CUIT!$A$1:$D$1871,2,0)),"CUIT NO CARGADO")</f>
        <v>-</v>
      </c>
      <c r="H125" s="94"/>
      <c r="I125" s="94"/>
      <c r="J125" s="94"/>
      <c r="K125" s="94"/>
      <c r="L125" s="94"/>
    </row>
    <row r="126" spans="3:12" ht="15.75" customHeight="1" x14ac:dyDescent="0.25">
      <c r="C126" s="3"/>
      <c r="D126" s="93"/>
      <c r="E126" s="93"/>
      <c r="F126" s="3"/>
      <c r="G126" s="46" t="str">
        <f>IFERROR(IF('Ago-22'!$F126="","-",VLOOKUP('Ago-22'!$F126,Lista_CUIT!$A$1:$D$1871,2,0)),"CUIT NO CARGADO")</f>
        <v>-</v>
      </c>
      <c r="H126" s="3"/>
      <c r="I126" s="3"/>
      <c r="J126" s="3"/>
      <c r="K126" s="3"/>
      <c r="L126" s="3"/>
    </row>
    <row r="127" spans="3:12" ht="15.75" customHeight="1" x14ac:dyDescent="0.25">
      <c r="C127" s="95"/>
    </row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M4:N4"/>
    <mergeCell ref="P4:R4"/>
    <mergeCell ref="D55:L55"/>
    <mergeCell ref="C120:G120"/>
    <mergeCell ref="B3:E3"/>
    <mergeCell ref="B4:E4"/>
    <mergeCell ref="G4:H4"/>
    <mergeCell ref="J4:K4"/>
    <mergeCell ref="D67:K67"/>
    <mergeCell ref="B89:J89"/>
    <mergeCell ref="K89:M89"/>
    <mergeCell ref="B91:C91"/>
    <mergeCell ref="B104:C104"/>
    <mergeCell ref="B1:F1"/>
    <mergeCell ref="G1:M1"/>
    <mergeCell ref="N1:R1"/>
    <mergeCell ref="G3:H3"/>
    <mergeCell ref="J3:K3"/>
    <mergeCell ref="M3:N3"/>
    <mergeCell ref="P3:R3"/>
  </mergeCells>
  <dataValidations count="11">
    <dataValidation type="decimal" allowBlank="1" showErrorMessage="1" sqref="C9:C49 C51:C54 C93:C100" xr:uid="{00000000-0002-0000-0500-000000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9" xr:uid="{00000000-0002-0000-0500-000001000000}">
      <formula1>IF($C9=3,H9&lt;0,H9&gt;=0)</formula1>
    </dataValidation>
    <dataValidation type="custom" allowBlank="1" showErrorMessage="1" sqref="H106:L111" xr:uid="{00000000-0002-0000-0500-000002000000}">
      <formula1>IF($C106=8,H106&lt;0,H106&gt;=0)</formula1>
    </dataValidation>
    <dataValidation type="custom" allowBlank="1" showErrorMessage="1" sqref="H93:K93 H95:K95 H97:K97 H99:K99" xr:uid="{00000000-0002-0000-0500-000003000000}">
      <formula1>IF($C93=3,H93&lt;0,H93&gt;=0)</formula1>
    </dataValidation>
    <dataValidation type="custom" allowBlank="1" showErrorMessage="1" sqref="L93:L97" xr:uid="{00000000-0002-0000-0500-000004000000}">
      <formula1>IF(#REF!=3,#REF!&lt;0,#REF!&gt;=0)</formula1>
    </dataValidation>
    <dataValidation type="decimal" allowBlank="1" showErrorMessage="1" sqref="E9:E49 F69:F82 E93:E100 E106:E111" xr:uid="{00000000-0002-0000-0500-000005000000}">
      <formula1>1</formula1>
      <formula2>99999999</formula2>
    </dataValidation>
    <dataValidation type="decimal" allowBlank="1" showErrorMessage="1" sqref="C106:C111" xr:uid="{00000000-0002-0000-0500-000006000000}">
      <formula1>6</formula1>
      <formula2>8</formula2>
    </dataValidation>
    <dataValidation type="decimal" allowBlank="1" showErrorMessage="1" sqref="F9:F49 G69:G82 F93:F100 F107:F111" xr:uid="{00000000-0002-0000-0500-000007000000}">
      <formula1>20000000000</formula1>
      <formula2>33999999999</formula2>
    </dataValidation>
    <dataValidation type="date" allowBlank="1" showErrorMessage="1" sqref="B9:B49 B51:B54 D57:D62 D69:D82 B93:B100 B106:B111" xr:uid="{00000000-0002-0000-0500-000008000000}">
      <formula1>40179</formula1>
      <formula2>TODAY()</formula2>
    </dataValidation>
    <dataValidation type="decimal" allowBlank="1" showErrorMessage="1" sqref="D9:D49 E69:E82 D93:D100 D106:D111" xr:uid="{00000000-0002-0000-0500-000009000000}">
      <formula1>1</formula1>
      <formula2>9999</formula2>
    </dataValidation>
    <dataValidation type="custom" allowBlank="1" showErrorMessage="1" sqref="L98:L99" xr:uid="{00000000-0002-0000-0500-00000A000000}">
      <formula1>IF($C50=3,L50&lt;0,L50&gt;=0)</formula1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DE9D9"/>
  </sheetPr>
  <dimension ref="A1:Z997"/>
  <sheetViews>
    <sheetView showGridLines="0" topLeftCell="A4" zoomScale="80" zoomScaleNormal="80" workbookViewId="0">
      <selection activeCell="F85" sqref="F85:J87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13" customWidth="1"/>
    <col min="4" max="4" width="13.28515625" customWidth="1"/>
    <col min="5" max="5" width="16.42578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EDATE('Abr-22'!N1,5)</f>
        <v>44805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SUM('Sep-22'!$H$39)+'Sep-22'!$G$50</f>
        <v>5396704.8806095244</v>
      </c>
      <c r="C4" s="351"/>
      <c r="D4" s="351"/>
      <c r="E4" s="352"/>
      <c r="F4" s="8"/>
      <c r="G4" s="365">
        <f>'Sep-22'!$I$39+'Sep-22'!$J$39+'Sep-22'!$K$39+'Sep-22'!$H$50+'Sep-22'!$I$50</f>
        <v>1133454.0506279999</v>
      </c>
      <c r="H4" s="352"/>
      <c r="I4" s="8"/>
      <c r="J4" s="370">
        <f>'Sep-22'!$H$94+'Sep-22'!$H$105</f>
        <v>15626360.145199999</v>
      </c>
      <c r="K4" s="352"/>
      <c r="L4" s="8"/>
      <c r="M4" s="370">
        <f>'Sep-22'!$I$94+'Sep-22'!$J$94+'Sep-22'!$I$105+'Sep-22'!$J$105</f>
        <v>1916900.8204920001</v>
      </c>
      <c r="N4" s="352"/>
      <c r="O4" s="8"/>
      <c r="P4" s="358">
        <f>G4-M4</f>
        <v>-783446.76986400015</v>
      </c>
      <c r="Q4" s="351"/>
      <c r="R4" s="352"/>
    </row>
    <row r="5" spans="1:19" ht="12.75" customHeight="1" x14ac:dyDescent="0.25"/>
    <row r="6" spans="1:19" ht="10.5" customHeight="1" x14ac:dyDescent="0.25"/>
    <row r="7" spans="1:19" ht="10.5" customHeight="1" x14ac:dyDescent="0.25">
      <c r="A7" s="9"/>
      <c r="B7" s="10"/>
      <c r="C7" s="11"/>
      <c r="D7" s="12"/>
      <c r="E7" s="13"/>
      <c r="F7" s="14"/>
      <c r="G7" s="15"/>
      <c r="H7" s="16"/>
      <c r="I7" s="17"/>
      <c r="J7" s="17"/>
      <c r="K7" s="17"/>
      <c r="L7" s="17"/>
      <c r="M7" s="17"/>
      <c r="N7" s="17"/>
      <c r="O7" s="17"/>
      <c r="P7" s="20"/>
      <c r="Q7" s="21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22" t="s">
        <v>2</v>
      </c>
      <c r="R8" s="22" t="s">
        <v>1545</v>
      </c>
    </row>
    <row r="9" spans="1:19" ht="18" customHeight="1" x14ac:dyDescent="0.25">
      <c r="B9" s="125">
        <v>44805</v>
      </c>
      <c r="C9" s="126">
        <v>1</v>
      </c>
      <c r="D9" s="127">
        <v>7</v>
      </c>
      <c r="E9" s="128">
        <v>8715</v>
      </c>
      <c r="F9" s="129">
        <v>30690966790</v>
      </c>
      <c r="G9" s="15" t="str">
        <f>IFERROR(IF('Sep-22'!$F9="","-",VLOOKUP('Sep-22'!$F9,Lista_CUIT!$A$1:$D$1871,2,0)),"CUIT NO CARGADO")</f>
        <v xml:space="preserve">SUMINISTROS Y TUBERIAS </v>
      </c>
      <c r="H9" s="16">
        <v>700997.14079999994</v>
      </c>
      <c r="I9" s="23">
        <f>IF('Sep-22'!$H9="","",'Sep-22'!$H9*0.21)</f>
        <v>147209.39956799999</v>
      </c>
      <c r="J9" s="23"/>
      <c r="K9" s="23"/>
      <c r="L9" s="23"/>
      <c r="M9" s="23"/>
      <c r="N9" s="23"/>
      <c r="O9" s="23"/>
      <c r="P9" s="20">
        <f>SUM('Sep-22'!$H9:$O9)</f>
        <v>848206.54036799993</v>
      </c>
      <c r="Q9" s="21" t="str">
        <f>IFERROR(IF('Sep-22'!$F9="","-",VLOOKUP('Sep-22'!$F9,Lista_CUIT!$A$1:$D$1871,3,0)),"CUIT NO CARGADO")</f>
        <v>INSUMO</v>
      </c>
      <c r="R9" s="21">
        <f>IFERROR(IF('Sep-22'!$F9="","-",VLOOKUP('Sep-22'!$F9,Lista_CUIT!$A$1:$D$1871,4,0)),"CUIT NO CARGADO")</f>
        <v>0</v>
      </c>
    </row>
    <row r="10" spans="1:19" ht="18" customHeight="1" x14ac:dyDescent="0.25">
      <c r="B10" s="125">
        <v>44805</v>
      </c>
      <c r="C10" s="126">
        <v>1</v>
      </c>
      <c r="D10" s="130">
        <v>3</v>
      </c>
      <c r="E10" s="131">
        <v>267</v>
      </c>
      <c r="F10" s="132">
        <v>20921575743</v>
      </c>
      <c r="G10" s="15" t="str">
        <f>IFERROR(IF('Sep-22'!$F10="","-",VLOOKUP('Sep-22'!$F10,Lista_CUIT!$A$1:$D$1871,2,0)),"CUIT NO CARGADO")</f>
        <v>RIOS GOMEZ JOSE ANTONIO</v>
      </c>
      <c r="H10" s="16">
        <v>182227.48</v>
      </c>
      <c r="I10" s="23">
        <f>IF('Sep-22'!$H10="","",'Sep-22'!$H10*0.21)</f>
        <v>38267.770799999998</v>
      </c>
      <c r="J10" s="23"/>
      <c r="K10" s="23"/>
      <c r="L10" s="23"/>
      <c r="M10" s="23"/>
      <c r="N10" s="23"/>
      <c r="O10" s="23"/>
      <c r="P10" s="20">
        <f>SUM('Sep-22'!$H10:$O10)</f>
        <v>220495.25080000001</v>
      </c>
      <c r="Q10" s="21" t="str">
        <f>IFERROR(IF('Sep-22'!$F10="","-",VLOOKUP('Sep-22'!$F10,Lista_CUIT!$A$1:$D$1871,3,0)),"CUIT NO CARGADO")</f>
        <v xml:space="preserve">Papeleria e Impresos </v>
      </c>
      <c r="R10" s="21">
        <f>IFERROR(IF('Sep-22'!$F10="","-",VLOOKUP('Sep-22'!$F10,Lista_CUIT!$A$1:$D$1871,4,0)),"CUIT NO CARGADO")</f>
        <v>0</v>
      </c>
    </row>
    <row r="11" spans="1:19" ht="18" customHeight="1" x14ac:dyDescent="0.25">
      <c r="B11" s="125">
        <v>44805</v>
      </c>
      <c r="C11" s="126">
        <v>1</v>
      </c>
      <c r="D11" s="130">
        <v>3</v>
      </c>
      <c r="E11" s="131">
        <v>569</v>
      </c>
      <c r="F11" s="132">
        <v>30715402765</v>
      </c>
      <c r="G11" s="15" t="str">
        <f>IFERROR(IF('Sep-22'!$F11="","-",VLOOKUP('Sep-22'!$F11,Lista_CUIT!$A$1:$D$1871,2,0)),"CUIT NO CARGADO")</f>
        <v>RIO 265 SRL</v>
      </c>
      <c r="H11" s="16">
        <v>7768.62</v>
      </c>
      <c r="I11" s="23">
        <f>IF('Sep-22'!$H11="","",'Sep-22'!$H11*0.21)</f>
        <v>1631.4101999999998</v>
      </c>
      <c r="J11" s="23"/>
      <c r="K11" s="23"/>
      <c r="L11" s="23"/>
      <c r="M11" s="23"/>
      <c r="N11" s="23"/>
      <c r="O11" s="23"/>
      <c r="P11" s="20">
        <f>SUM('Sep-22'!$H11:$O11)</f>
        <v>9400.0301999999992</v>
      </c>
      <c r="Q11" s="21" t="str">
        <f>IFERROR(IF('Sep-22'!$F11="","-",VLOOKUP('Sep-22'!$F11,Lista_CUIT!$A$1:$D$1871,3,0)),"CUIT NO CARGADO")</f>
        <v>GTOS VARIOS-ESTACIONAMIENTO HORACIO</v>
      </c>
      <c r="R11" s="21">
        <f>IFERROR(IF('Sep-22'!$F11="","-",VLOOKUP('Sep-22'!$F11,Lista_CUIT!$A$1:$D$1871,4,0)),"CUIT NO CARGADO")</f>
        <v>0</v>
      </c>
    </row>
    <row r="12" spans="1:19" ht="18" customHeight="1" x14ac:dyDescent="0.25">
      <c r="B12" s="125">
        <v>44806</v>
      </c>
      <c r="C12" s="126">
        <v>1</v>
      </c>
      <c r="D12" s="130">
        <v>3</v>
      </c>
      <c r="E12" s="131">
        <v>166211</v>
      </c>
      <c r="F12" s="132">
        <v>30707135596</v>
      </c>
      <c r="G12" s="15" t="str">
        <f>IFERROR(IF('Sep-22'!$F12="","-",VLOOKUP('Sep-22'!$F12,Lista_CUIT!$A$1:$D$1871,2,0)),"CUIT NO CARGADO")</f>
        <v>CITILAN ARGENTINA SA</v>
      </c>
      <c r="H12" s="16">
        <v>3075.6</v>
      </c>
      <c r="I12" s="23">
        <f>IF('Sep-22'!$H12="","",'Sep-22'!$H12*0.21)</f>
        <v>645.87599999999998</v>
      </c>
      <c r="J12" s="23"/>
      <c r="K12" s="23"/>
      <c r="L12" s="23"/>
      <c r="M12" s="23"/>
      <c r="N12" s="23"/>
      <c r="O12" s="23"/>
      <c r="P12" s="20">
        <f>SUM('Sep-22'!$H12:$O12)</f>
        <v>3721.4759999999997</v>
      </c>
      <c r="Q12" s="21" t="str">
        <f>IFERROR(IF('Sep-22'!$F12="","-",VLOOKUP('Sep-22'!$F12,Lista_CUIT!$A$1:$D$1871,3,0)),"CUIT NO CARGADO")</f>
        <v>SERVICIOS GAS, LUZ, ETC</v>
      </c>
      <c r="R12" s="21">
        <f>IFERROR(IF('Sep-22'!$F12="","-",VLOOKUP('Sep-22'!$F12,Lista_CUIT!$A$1:$D$1871,4,0)),"CUIT NO CARGADO")</f>
        <v>0</v>
      </c>
    </row>
    <row r="13" spans="1:19" ht="18" customHeight="1" x14ac:dyDescent="0.25">
      <c r="B13" s="125">
        <v>44809</v>
      </c>
      <c r="C13" s="126">
        <v>1</v>
      </c>
      <c r="D13" s="130">
        <v>3</v>
      </c>
      <c r="E13" s="131">
        <v>5</v>
      </c>
      <c r="F13" s="132">
        <v>20297899830</v>
      </c>
      <c r="G13" s="15" t="str">
        <f>IFERROR(IF('Sep-22'!$F13="","-",VLOOKUP('Sep-22'!$F13,Lista_CUIT!$A$1:$D$1871,2,0)),"CUIT NO CARGADO")</f>
        <v>FUNK MATIAS NICOLAS</v>
      </c>
      <c r="H13" s="16">
        <v>797337.05</v>
      </c>
      <c r="I13" s="23">
        <f>IF('Sep-22'!$H13="","",'Sep-22'!$H13*0.21)</f>
        <v>167440.78049999999</v>
      </c>
      <c r="J13" s="23"/>
      <c r="K13" s="23"/>
      <c r="L13" s="23"/>
      <c r="M13" s="23"/>
      <c r="N13" s="23"/>
      <c r="O13" s="23"/>
      <c r="P13" s="20">
        <f>SUM('Sep-22'!$H13:$O13)</f>
        <v>964777.83050000004</v>
      </c>
      <c r="Q13" s="21" t="str">
        <f>IFERROR(IF('Sep-22'!$F13="","-",VLOOKUP('Sep-22'!$F13,Lista_CUIT!$A$1:$D$1871,3,0)),"CUIT NO CARGADO")</f>
        <v>Servicios Torneria</v>
      </c>
      <c r="R13" s="21">
        <f>IFERROR(IF('Sep-22'!$F13="","-",VLOOKUP('Sep-22'!$F13,Lista_CUIT!$A$1:$D$1871,4,0)),"CUIT NO CARGADO")</f>
        <v>0</v>
      </c>
    </row>
    <row r="14" spans="1:19" ht="18" customHeight="1" x14ac:dyDescent="0.25">
      <c r="B14" s="125">
        <v>44810</v>
      </c>
      <c r="C14" s="126">
        <v>1</v>
      </c>
      <c r="D14" s="130">
        <v>2</v>
      </c>
      <c r="E14" s="131">
        <v>143</v>
      </c>
      <c r="F14" s="132">
        <v>20125142851</v>
      </c>
      <c r="G14" s="15" t="str">
        <f>IFERROR(IF('Sep-22'!$F14="","-",VLOOKUP('Sep-22'!$F14,Lista_CUIT!$A$1:$D$1871,2,0)),"CUIT NO CARGADO")</f>
        <v>FEDERICI NICOLAS JOSE</v>
      </c>
      <c r="H14" s="16">
        <v>28747.38</v>
      </c>
      <c r="I14" s="23">
        <f>IF('Sep-22'!$H14="","",'Sep-22'!$H14*0.21)</f>
        <v>6036.9498000000003</v>
      </c>
      <c r="J14" s="23"/>
      <c r="K14" s="23"/>
      <c r="L14" s="23"/>
      <c r="M14" s="23"/>
      <c r="N14" s="23"/>
      <c r="O14" s="23"/>
      <c r="P14" s="20">
        <f>SUM('Sep-22'!$H14:$O14)</f>
        <v>34784.3298</v>
      </c>
      <c r="Q14" s="21" t="str">
        <f>IFERROR(IF('Sep-22'!$F14="","-",VLOOKUP('Sep-22'!$F14,Lista_CUIT!$A$1:$D$1871,3,0)),"CUIT NO CARGADO")</f>
        <v>INSUMO</v>
      </c>
      <c r="R14" s="21">
        <f>IFERROR(IF('Sep-22'!$F14="","-",VLOOKUP('Sep-22'!$F14,Lista_CUIT!$A$1:$D$1871,4,0)),"CUIT NO CARGADO")</f>
        <v>0</v>
      </c>
    </row>
    <row r="15" spans="1:19" ht="18" customHeight="1" x14ac:dyDescent="0.25">
      <c r="B15" s="125">
        <v>44810</v>
      </c>
      <c r="C15" s="126">
        <v>1</v>
      </c>
      <c r="D15" s="130">
        <v>3</v>
      </c>
      <c r="E15" s="131">
        <v>4424</v>
      </c>
      <c r="F15" s="132">
        <v>30709665967</v>
      </c>
      <c r="G15" s="15" t="str">
        <f>IFERROR(IF('Sep-22'!$F15="","-",VLOOKUP('Sep-22'!$F15,Lista_CUIT!$A$1:$D$1871,2,0)),"CUIT NO CARGADO")</f>
        <v>INDUSTRIAS FEMAN SRL</v>
      </c>
      <c r="H15" s="16">
        <v>1585706</v>
      </c>
      <c r="I15" s="23">
        <f>IF('Sep-22'!$H15="","",'Sep-22'!$H15*0.21)</f>
        <v>332998.26</v>
      </c>
      <c r="J15" s="23"/>
      <c r="K15" s="23"/>
      <c r="L15" s="23"/>
      <c r="M15" s="23"/>
      <c r="N15" s="23"/>
      <c r="O15" s="23"/>
      <c r="P15" s="20">
        <f>SUM('Sep-22'!$H15:$O15)</f>
        <v>1918704.26</v>
      </c>
      <c r="Q15" s="21" t="str">
        <f>IFERROR(IF('Sep-22'!$F15="","-",VLOOKUP('Sep-22'!$F15,Lista_CUIT!$A$1:$D$1871,3,0)),"CUIT NO CARGADO")</f>
        <v>MAT. PRIM.</v>
      </c>
      <c r="R15" s="21">
        <f>IFERROR(IF('Sep-22'!$F15="","-",VLOOKUP('Sep-22'!$F15,Lista_CUIT!$A$1:$D$1871,4,0)),"CUIT NO CARGADO")</f>
        <v>0</v>
      </c>
    </row>
    <row r="16" spans="1:19" ht="18" customHeight="1" x14ac:dyDescent="0.25">
      <c r="B16" s="125">
        <v>44811</v>
      </c>
      <c r="C16" s="126">
        <v>1</v>
      </c>
      <c r="D16" s="130">
        <v>589</v>
      </c>
      <c r="E16" s="131">
        <v>1300</v>
      </c>
      <c r="F16" s="132">
        <v>30590360763</v>
      </c>
      <c r="G16" s="15" t="str">
        <f>IFERROR(IF('Sep-22'!$F16="","-",VLOOKUP('Sep-22'!$F16,Lista_CUIT!$A$1:$D$1871,2,0)),"CUIT NO CARGADO")</f>
        <v>CENCOSUD S.A.</v>
      </c>
      <c r="H16" s="16">
        <v>28999.17</v>
      </c>
      <c r="I16" s="23">
        <f>IF('Sep-22'!$H16="","",'Sep-22'!$H16*0.21)</f>
        <v>6089.8256999999994</v>
      </c>
      <c r="J16" s="23"/>
      <c r="K16" s="23"/>
      <c r="L16" s="23"/>
      <c r="M16" s="23"/>
      <c r="N16" s="23"/>
      <c r="O16" s="23"/>
      <c r="P16" s="20">
        <f>SUM('Sep-22'!$H16:$O16)</f>
        <v>35088.995699999999</v>
      </c>
      <c r="Q16" s="21" t="str">
        <f>IFERROR(IF('Sep-22'!$F16="","-",VLOOKUP('Sep-22'!$F16,Lista_CUIT!$A$1:$D$1871,3,0)),"CUIT NO CARGADO")</f>
        <v>Gastos Varios</v>
      </c>
      <c r="R16" s="21">
        <f>IFERROR(IF('Sep-22'!$F16="","-",VLOOKUP('Sep-22'!$F16,Lista_CUIT!$A$1:$D$1871,4,0)),"CUIT NO CARGADO")</f>
        <v>0</v>
      </c>
    </row>
    <row r="17" spans="1:26" ht="18" customHeight="1" x14ac:dyDescent="0.25">
      <c r="B17" s="125">
        <v>44811</v>
      </c>
      <c r="C17" s="126">
        <v>1</v>
      </c>
      <c r="D17" s="130">
        <v>12</v>
      </c>
      <c r="E17" s="131">
        <v>1223</v>
      </c>
      <c r="F17" s="132">
        <v>30694497701</v>
      </c>
      <c r="G17" s="15" t="str">
        <f>IFERROR(IF('Sep-22'!$F17="","-",VLOOKUP('Sep-22'!$F17,Lista_CUIT!$A$1:$D$1871,2,0)),"CUIT NO CARGADO")</f>
        <v>DECORALUM SRL</v>
      </c>
      <c r="H17" s="16">
        <v>10445</v>
      </c>
      <c r="I17" s="23">
        <f>IF('Sep-22'!$H17="","",'Sep-22'!$H17*0.21)</f>
        <v>2193.4499999999998</v>
      </c>
      <c r="J17" s="23"/>
      <c r="K17" s="23"/>
      <c r="L17" s="23"/>
      <c r="M17" s="23"/>
      <c r="N17" s="23"/>
      <c r="O17" s="23"/>
      <c r="P17" s="20">
        <f>SUM('Sep-22'!$H17:$O17)</f>
        <v>12638.45</v>
      </c>
      <c r="Q17" s="21" t="str">
        <f>IFERROR(IF('Sep-22'!$F17="","-",VLOOKUP('Sep-22'!$F17,Lista_CUIT!$A$1:$D$1871,3,0)),"CUIT NO CARGADO")</f>
        <v>Gastos Varios</v>
      </c>
      <c r="R17" s="21">
        <f>IFERROR(IF('Sep-22'!$F17="","-",VLOOKUP('Sep-22'!$F17,Lista_CUIT!$A$1:$D$1871,4,0)),"CUIT NO CARGADO")</f>
        <v>0</v>
      </c>
    </row>
    <row r="18" spans="1:26" ht="18" customHeight="1" x14ac:dyDescent="0.25">
      <c r="B18" s="125">
        <v>44811</v>
      </c>
      <c r="C18" s="126">
        <v>1</v>
      </c>
      <c r="D18" s="130">
        <v>591</v>
      </c>
      <c r="E18" s="131">
        <v>1119</v>
      </c>
      <c r="F18" s="132">
        <v>30590360763</v>
      </c>
      <c r="G18" s="15" t="str">
        <f>IFERROR(IF('Sep-22'!$F18="","-",VLOOKUP('Sep-22'!$F18,Lista_CUIT!$A$1:$D$1871,2,0)),"CUIT NO CARGADO")</f>
        <v>CENCOSUD S.A.</v>
      </c>
      <c r="H18" s="16">
        <v>8561.98</v>
      </c>
      <c r="I18" s="23">
        <f>IF('Sep-22'!$H18="","",'Sep-22'!$H18*0.21)</f>
        <v>1798.0157999999999</v>
      </c>
      <c r="J18" s="23"/>
      <c r="K18" s="23"/>
      <c r="L18" s="23"/>
      <c r="M18" s="23"/>
      <c r="N18" s="23"/>
      <c r="O18" s="23"/>
      <c r="P18" s="20">
        <f>SUM('Sep-22'!$H18:$O18)</f>
        <v>10359.995799999999</v>
      </c>
      <c r="Q18" s="21" t="str">
        <f>IFERROR(IF('Sep-22'!$F18="","-",VLOOKUP('Sep-22'!$F18,Lista_CUIT!$A$1:$D$1871,3,0)),"CUIT NO CARGADO")</f>
        <v>Gastos Varios</v>
      </c>
      <c r="R18" s="21">
        <f>IFERROR(IF('Sep-22'!$F18="","-",VLOOKUP('Sep-22'!$F18,Lista_CUIT!$A$1:$D$1871,4,0)),"CUIT NO CARGADO")</f>
        <v>0</v>
      </c>
    </row>
    <row r="19" spans="1:26" ht="18" customHeight="1" x14ac:dyDescent="0.25">
      <c r="B19" s="125">
        <v>44814</v>
      </c>
      <c r="C19" s="126">
        <v>1</v>
      </c>
      <c r="D19" s="130">
        <v>2</v>
      </c>
      <c r="E19" s="131">
        <v>10415</v>
      </c>
      <c r="F19" s="132">
        <v>30716675447</v>
      </c>
      <c r="G19" s="15" t="str">
        <f>IFERROR(IF('Sep-22'!$F19="","-",VLOOKUP('Sep-22'!$F19,Lista_CUIT!$A$1:$D$1871,2,0)),"CUIT NO CARGADO")</f>
        <v>DIXON TOOLS SA</v>
      </c>
      <c r="H19" s="16">
        <v>2651.24</v>
      </c>
      <c r="I19" s="23">
        <f>IF('Sep-22'!$H19="","",'Sep-22'!$H19*0.21)</f>
        <v>556.76039999999989</v>
      </c>
      <c r="J19" s="23"/>
      <c r="K19" s="23"/>
      <c r="L19" s="23"/>
      <c r="M19" s="23"/>
      <c r="N19" s="23"/>
      <c r="O19" s="23"/>
      <c r="P19" s="20">
        <f>SUM('Sep-22'!$H19:$O19)</f>
        <v>3208.0003999999999</v>
      </c>
      <c r="Q19" s="21" t="str">
        <f>IFERROR(IF('Sep-22'!$F19="","-",VLOOKUP('Sep-22'!$F19,Lista_CUIT!$A$1:$D$1871,3,0)),"CUIT NO CARGADO")</f>
        <v>Gastos Oficina</v>
      </c>
      <c r="R19" s="21">
        <f>IFERROR(IF('Sep-22'!$F19="","-",VLOOKUP('Sep-22'!$F19,Lista_CUIT!$A$1:$D$1871,4,0)),"CUIT NO CARGADO")</f>
        <v>0</v>
      </c>
    </row>
    <row r="20" spans="1:26" ht="18" customHeight="1" x14ac:dyDescent="0.25">
      <c r="B20" s="125">
        <v>44815</v>
      </c>
      <c r="C20" s="126">
        <v>1</v>
      </c>
      <c r="D20" s="130">
        <v>2466</v>
      </c>
      <c r="E20" s="131">
        <v>409365</v>
      </c>
      <c r="F20" s="132">
        <v>30678814357</v>
      </c>
      <c r="G20" s="15" t="str">
        <f>IFERROR(IF('Sep-22'!$F20="","-",VLOOKUP('Sep-22'!$F20,Lista_CUIT!$A$1:$D$1871,2,0)),"CUIT NO CARGADO")</f>
        <v>Telefonica Moviles Argentina SA</v>
      </c>
      <c r="H20" s="16">
        <v>2433.83</v>
      </c>
      <c r="I20" s="23"/>
      <c r="J20" s="23">
        <v>657.13</v>
      </c>
      <c r="K20" s="23"/>
      <c r="L20" s="23"/>
      <c r="M20" s="23"/>
      <c r="N20" s="23"/>
      <c r="O20" s="23"/>
      <c r="P20" s="20">
        <f>SUM('Sep-22'!$H20:$O20)</f>
        <v>3090.96</v>
      </c>
      <c r="Q20" s="21" t="str">
        <f>IFERROR(IF('Sep-22'!$F20="","-",VLOOKUP('Sep-22'!$F20,Lista_CUIT!$A$1:$D$1871,3,0)),"CUIT NO CARGADO")</f>
        <v>SERVICIOS GAS, LUZ, ETC</v>
      </c>
      <c r="R20" s="21">
        <f>IFERROR(IF('Sep-22'!$F20="","-",VLOOKUP('Sep-22'!$F20,Lista_CUIT!$A$1:$D$1871,4,0)),"CUIT NO CARGADO")</f>
        <v>0</v>
      </c>
    </row>
    <row r="21" spans="1:26" ht="18" customHeight="1" x14ac:dyDescent="0.25">
      <c r="B21" s="125">
        <v>44816</v>
      </c>
      <c r="C21" s="126">
        <v>1</v>
      </c>
      <c r="D21" s="130">
        <v>2</v>
      </c>
      <c r="E21" s="131">
        <v>145</v>
      </c>
      <c r="F21" s="132">
        <v>20125142851</v>
      </c>
      <c r="G21" s="15" t="str">
        <f>IFERROR(IF('Sep-22'!$F21="","-",VLOOKUP('Sep-22'!$F21,Lista_CUIT!$A$1:$D$1871,2,0)),"CUIT NO CARGADO")</f>
        <v>FEDERICI NICOLAS JOSE</v>
      </c>
      <c r="H21" s="16">
        <v>70671.62</v>
      </c>
      <c r="I21" s="23">
        <f>IF('Sep-22'!$H21="","",'Sep-22'!$H21*0.21)</f>
        <v>14841.040199999998</v>
      </c>
      <c r="J21" s="23"/>
      <c r="K21" s="23"/>
      <c r="L21" s="23"/>
      <c r="M21" s="23"/>
      <c r="N21" s="23"/>
      <c r="O21" s="23"/>
      <c r="P21" s="20">
        <f>SUM('Sep-22'!$H21:$O21)</f>
        <v>85512.660199999998</v>
      </c>
      <c r="Q21" s="21" t="str">
        <f>IFERROR(IF('Sep-22'!$F21="","-",VLOOKUP('Sep-22'!$F21,Lista_CUIT!$A$1:$D$1871,3,0)),"CUIT NO CARGADO")</f>
        <v>INSUMO</v>
      </c>
      <c r="R21" s="21">
        <f>IFERROR(IF('Sep-22'!$F21="","-",VLOOKUP('Sep-22'!$F21,Lista_CUIT!$A$1:$D$1871,4,0)),"CUIT NO CARGADO")</f>
        <v>0</v>
      </c>
    </row>
    <row r="22" spans="1:26" ht="18" customHeight="1" x14ac:dyDescent="0.25">
      <c r="B22" s="125">
        <v>44816</v>
      </c>
      <c r="C22" s="126">
        <v>1</v>
      </c>
      <c r="D22" s="130">
        <v>16</v>
      </c>
      <c r="E22" s="131">
        <v>309</v>
      </c>
      <c r="F22" s="132">
        <v>30716668750</v>
      </c>
      <c r="G22" s="15" t="str">
        <f>IFERROR(IF('Sep-22'!$F22="","-",VLOOKUP('Sep-22'!$F22,Lista_CUIT!$A$1:$D$1871,2,0)),"CUIT NO CARGADO")</f>
        <v>BIKE CLUB SRL</v>
      </c>
      <c r="H22" s="16">
        <v>7554.08</v>
      </c>
      <c r="I22" s="23">
        <f>IF('Sep-22'!$H22="","",'Sep-22'!$H22*0.21)</f>
        <v>1586.3568</v>
      </c>
      <c r="J22" s="23"/>
      <c r="K22" s="23"/>
      <c r="L22" s="23"/>
      <c r="M22" s="23"/>
      <c r="N22" s="23"/>
      <c r="O22" s="23"/>
      <c r="P22" s="20">
        <f>SUM('Sep-22'!$H22:$O22)</f>
        <v>9140.4367999999995</v>
      </c>
      <c r="Q22" s="21" t="str">
        <f>IFERROR(IF('Sep-22'!$F22="","-",VLOOKUP('Sep-22'!$F22,Lista_CUIT!$A$1:$D$1871,3,0)),"CUIT NO CARGADO")</f>
        <v>Gastos Varios</v>
      </c>
      <c r="R22" s="21">
        <f>IFERROR(IF('Sep-22'!$F22="","-",VLOOKUP('Sep-22'!$F22,Lista_CUIT!$A$1:$D$1871,4,0)),"CUIT NO CARGADO")</f>
        <v>0</v>
      </c>
    </row>
    <row r="23" spans="1:26" ht="18" customHeight="1" x14ac:dyDescent="0.25">
      <c r="B23" s="125">
        <v>44816</v>
      </c>
      <c r="C23" s="126">
        <v>1</v>
      </c>
      <c r="D23" s="130">
        <v>2</v>
      </c>
      <c r="E23" s="131">
        <v>144</v>
      </c>
      <c r="F23" s="132">
        <v>20125142851</v>
      </c>
      <c r="G23" s="15" t="str">
        <f>IFERROR(IF('Sep-22'!$F23="","-",VLOOKUP('Sep-22'!$F23,Lista_CUIT!$A$1:$D$1871,2,0)),"CUIT NO CARGADO")</f>
        <v>FEDERICI NICOLAS JOSE</v>
      </c>
      <c r="H23" s="16">
        <v>64838.76</v>
      </c>
      <c r="I23" s="23">
        <f>IF('Sep-22'!$H23="","",'Sep-22'!$H23*0.21)</f>
        <v>13616.1396</v>
      </c>
      <c r="J23" s="23"/>
      <c r="K23" s="23"/>
      <c r="L23" s="23"/>
      <c r="M23" s="23"/>
      <c r="N23" s="23"/>
      <c r="O23" s="23"/>
      <c r="P23" s="20">
        <f>SUM('Sep-22'!$H23:$O23)</f>
        <v>78454.899600000004</v>
      </c>
      <c r="Q23" s="21" t="str">
        <f>IFERROR(IF('Sep-22'!$F23="","-",VLOOKUP('Sep-22'!$F23,Lista_CUIT!$A$1:$D$1871,3,0)),"CUIT NO CARGADO")</f>
        <v>INSUMO</v>
      </c>
      <c r="R23" s="21">
        <f>IFERROR(IF('Sep-22'!$F23="","-",VLOOKUP('Sep-22'!$F23,Lista_CUIT!$A$1:$D$1871,4,0)),"CUIT NO CARGADO")</f>
        <v>0</v>
      </c>
    </row>
    <row r="24" spans="1:26" ht="15.75" customHeight="1" x14ac:dyDescent="0.25">
      <c r="B24" s="125">
        <v>44817</v>
      </c>
      <c r="C24" s="126">
        <v>1</v>
      </c>
      <c r="D24" s="130">
        <v>7</v>
      </c>
      <c r="E24" s="131">
        <v>8555</v>
      </c>
      <c r="F24" s="132">
        <v>30604413482</v>
      </c>
      <c r="G24" s="15" t="str">
        <f>IFERROR(IF('Sep-22'!$F24="","-",VLOOKUP('Sep-22'!$F24,Lista_CUIT!$A$1:$D$1871,2,0)),"CUIT NO CARGADO")</f>
        <v>BULONERA VIETRI SRL</v>
      </c>
      <c r="H24" s="16">
        <v>15660</v>
      </c>
      <c r="I24" s="23">
        <f>IF('Sep-22'!$H24="","",'Sep-22'!$H24*0.21)</f>
        <v>3288.6</v>
      </c>
      <c r="J24" s="23"/>
      <c r="K24" s="23"/>
      <c r="L24" s="23"/>
      <c r="M24" s="23"/>
      <c r="N24" s="23"/>
      <c r="O24" s="23"/>
      <c r="P24" s="20">
        <f>SUM('Sep-22'!$H24:$O24)</f>
        <v>18948.599999999999</v>
      </c>
      <c r="Q24" s="21" t="str">
        <f>IFERROR(IF('Sep-22'!$F24="","-",VLOOKUP('Sep-22'!$F24,Lista_CUIT!$A$1:$D$1871,3,0)),"CUIT NO CARGADO")</f>
        <v>INSUMO</v>
      </c>
      <c r="R24" s="21">
        <f>IFERROR(IF('Sep-22'!$F24="","-",VLOOKUP('Sep-22'!$F24,Lista_CUIT!$A$1:$D$1871,4,0)),"CUIT NO CARGADO")</f>
        <v>0</v>
      </c>
    </row>
    <row r="25" spans="1:26" ht="15.75" customHeight="1" x14ac:dyDescent="0.25">
      <c r="B25" s="125">
        <v>44818</v>
      </c>
      <c r="C25" s="126">
        <v>1</v>
      </c>
      <c r="D25" s="130">
        <v>12</v>
      </c>
      <c r="E25" s="131">
        <v>1700</v>
      </c>
      <c r="F25" s="132">
        <v>30707097465</v>
      </c>
      <c r="G25" s="15" t="str">
        <f>IFERROR(IF('Sep-22'!$F25="","-",VLOOKUP('Sep-22'!$F25,Lista_CUIT!$A$1:$D$1871,2,0)),"CUIT NO CARGADO")</f>
        <v>BIKE GROUP SA</v>
      </c>
      <c r="H25" s="16">
        <v>28207.24</v>
      </c>
      <c r="I25" s="23">
        <f>IF('Sep-22'!$H25="","",'Sep-22'!$H25*0.21)</f>
        <v>5923.5204000000003</v>
      </c>
      <c r="J25" s="23"/>
      <c r="K25" s="23"/>
      <c r="L25" s="23"/>
      <c r="M25" s="23"/>
      <c r="N25" s="23"/>
      <c r="O25" s="23"/>
      <c r="P25" s="20">
        <f>SUM('Sep-22'!$H25:$O25)</f>
        <v>34130.760399999999</v>
      </c>
      <c r="Q25" s="21" t="str">
        <f>IFERROR(IF('Sep-22'!$F25="","-",VLOOKUP('Sep-22'!$F25,Lista_CUIT!$A$1:$D$1871,3,0)),"CUIT NO CARGADO")</f>
        <v>INSUMO</v>
      </c>
      <c r="R25" s="21">
        <f>IFERROR(IF('Sep-22'!$F25="","-",VLOOKUP('Sep-22'!$F25,Lista_CUIT!$A$1:$D$1871,4,0)),"CUIT NO CARGADO")</f>
        <v>0</v>
      </c>
    </row>
    <row r="26" spans="1:26" ht="15.75" customHeight="1" x14ac:dyDescent="0.25">
      <c r="B26" s="125">
        <v>44820</v>
      </c>
      <c r="C26" s="126">
        <v>1</v>
      </c>
      <c r="D26" s="130">
        <v>5</v>
      </c>
      <c r="E26" s="131">
        <v>4516</v>
      </c>
      <c r="F26" s="132">
        <v>33711557119</v>
      </c>
      <c r="G26" s="15" t="str">
        <f>IFERROR(IF('Sep-22'!$F26="","-",VLOOKUP('Sep-22'!$F26,Lista_CUIT!$A$1:$D$1871,2,0)),"CUIT NO CARGADO")</f>
        <v>ELECTROMINGO SRL</v>
      </c>
      <c r="H26" s="16">
        <v>3050.99</v>
      </c>
      <c r="I26" s="23">
        <f>IF('Sep-22'!$H26="","",'Sep-22'!$H26*0.21)</f>
        <v>640.70789999999988</v>
      </c>
      <c r="J26" s="23"/>
      <c r="K26" s="23"/>
      <c r="L26" s="23"/>
      <c r="M26" s="23"/>
      <c r="N26" s="23"/>
      <c r="O26" s="23"/>
      <c r="P26" s="20">
        <f>SUM('Sep-22'!$H26:$O26)</f>
        <v>3691.6978999999997</v>
      </c>
      <c r="Q26" s="21" t="str">
        <f>IFERROR(IF('Sep-22'!$F26="","-",VLOOKUP('Sep-22'!$F26,Lista_CUIT!$A$1:$D$1871,3,0)),"CUIT NO CARGADO")</f>
        <v>MAT. PRIM.</v>
      </c>
      <c r="R26" s="21">
        <f>IFERROR(IF('Sep-22'!$F26="","-",VLOOKUP('Sep-22'!$F26,Lista_CUIT!$A$1:$D$1871,4,0)),"CUIT NO CARGADO")</f>
        <v>0</v>
      </c>
    </row>
    <row r="27" spans="1:26" ht="18" customHeight="1" x14ac:dyDescent="0.25">
      <c r="A27" s="50"/>
      <c r="B27" s="125">
        <v>44823</v>
      </c>
      <c r="C27" s="126">
        <v>1</v>
      </c>
      <c r="D27" s="130">
        <v>10</v>
      </c>
      <c r="E27" s="131">
        <v>9010</v>
      </c>
      <c r="F27" s="132">
        <v>30702073657</v>
      </c>
      <c r="G27" s="15" t="str">
        <f>IFERROR(IF('Sep-22'!$F27="","-",VLOOKUP('Sep-22'!$F27,Lista_CUIT!$A$1:$D$1871,2,0)),"CUIT NO CARGADO")</f>
        <v>MICROELECTRONICA COMP. SRL</v>
      </c>
      <c r="H27" s="16">
        <v>50397.760000000002</v>
      </c>
      <c r="I27" s="23">
        <f>IF('Sep-22'!$H27="","",'Sep-22'!$H27*0.21)</f>
        <v>10583.5296</v>
      </c>
      <c r="J27" s="23"/>
      <c r="K27" s="23"/>
      <c r="L27" s="23"/>
      <c r="M27" s="23"/>
      <c r="N27" s="23"/>
      <c r="O27" s="23"/>
      <c r="P27" s="20">
        <f>SUM('Sep-22'!$H27:$O27)</f>
        <v>60981.289600000004</v>
      </c>
      <c r="Q27" s="21" t="str">
        <f>IFERROR(IF('Sep-22'!$F27="","-",VLOOKUP('Sep-22'!$F27,Lista_CUIT!$A$1:$D$1871,3,0)),"CUIT NO CARGADO")</f>
        <v>MAT. PRIM.</v>
      </c>
      <c r="R27" s="21">
        <f>IFERROR(IF('Sep-22'!$F27="","-",VLOOKUP('Sep-22'!$F27,Lista_CUIT!$A$1:$D$1871,4,0)),"CUIT NO CARGADO")</f>
        <v>0</v>
      </c>
      <c r="S27" s="50"/>
      <c r="T27" s="50"/>
      <c r="U27" s="50"/>
      <c r="V27" s="50"/>
      <c r="W27" s="50"/>
      <c r="X27" s="50"/>
      <c r="Y27" s="50"/>
      <c r="Z27" s="50"/>
    </row>
    <row r="28" spans="1:26" ht="15.75" customHeight="1" x14ac:dyDescent="0.25">
      <c r="B28" s="125">
        <v>44823</v>
      </c>
      <c r="C28" s="126">
        <v>1</v>
      </c>
      <c r="D28" s="130">
        <v>60</v>
      </c>
      <c r="E28" s="131">
        <v>7773</v>
      </c>
      <c r="F28" s="132">
        <v>30547188760</v>
      </c>
      <c r="G28" s="15" t="str">
        <f>IFERROR(IF('Sep-22'!$F28="","-",VLOOKUP('Sep-22'!$F28,Lista_CUIT!$A$1:$D$1871,2,0)),"CUIT NO CARGADO")</f>
        <v>LONCO HUE SA</v>
      </c>
      <c r="H28" s="16">
        <v>78303.490000000005</v>
      </c>
      <c r="I28" s="23">
        <f>IF('Sep-22'!$H28="","",'Sep-22'!$H28*0.21)</f>
        <v>16443.732899999999</v>
      </c>
      <c r="J28" s="23"/>
      <c r="K28" s="23"/>
      <c r="L28" s="23"/>
      <c r="M28" s="23"/>
      <c r="N28" s="23"/>
      <c r="O28" s="23"/>
      <c r="P28" s="20">
        <f>SUM('Sep-22'!$H28:$O28)</f>
        <v>94747.222900000008</v>
      </c>
      <c r="Q28" s="21" t="str">
        <f>IFERROR(IF('Sep-22'!$F28="","-",VLOOKUP('Sep-22'!$F28,Lista_CUIT!$A$1:$D$1871,3,0)),"CUIT NO CARGADO")</f>
        <v>INSUMO</v>
      </c>
      <c r="R28" s="21">
        <f>IFERROR(IF('Sep-22'!$F28="","-",VLOOKUP('Sep-22'!$F28,Lista_CUIT!$A$1:$D$1871,4,0)),"CUIT NO CARGADO")</f>
        <v>0</v>
      </c>
    </row>
    <row r="29" spans="1:26" ht="15.75" customHeight="1" x14ac:dyDescent="0.25">
      <c r="B29" s="125">
        <v>44824</v>
      </c>
      <c r="C29" s="126">
        <v>1</v>
      </c>
      <c r="D29" s="130">
        <v>5</v>
      </c>
      <c r="E29" s="131">
        <v>802</v>
      </c>
      <c r="F29" s="132">
        <v>23275937959</v>
      </c>
      <c r="G29" s="15" t="str">
        <f>IFERROR(IF('Sep-22'!$F29="","-",VLOOKUP('Sep-22'!$F29,Lista_CUIT!$A$1:$D$1871,2,0)),"CUIT NO CARGADO")</f>
        <v>ESPOSITO PABLO JOSE</v>
      </c>
      <c r="H29" s="16">
        <v>462.94</v>
      </c>
      <c r="I29" s="23">
        <f>IF('Sep-22'!$H29="","",'Sep-22'!$H29*0.21)</f>
        <v>97.217399999999998</v>
      </c>
      <c r="J29" s="23"/>
      <c r="K29" s="23"/>
      <c r="L29" s="23"/>
      <c r="M29" s="23"/>
      <c r="N29" s="23"/>
      <c r="O29" s="23"/>
      <c r="P29" s="20">
        <f>SUM('Sep-22'!$H29:$O29)</f>
        <v>560.15740000000005</v>
      </c>
      <c r="Q29" s="21" t="str">
        <f>IFERROR(IF('Sep-22'!$F29="","-",VLOOKUP('Sep-22'!$F29,Lista_CUIT!$A$1:$D$1871,3,0)),"CUIT NO CARGADO")</f>
        <v>Gastos Oficina</v>
      </c>
      <c r="R29" s="21">
        <f>IFERROR(IF('Sep-22'!$F29="","-",VLOOKUP('Sep-22'!$F29,Lista_CUIT!$A$1:$D$1871,4,0)),"CUIT NO CARGADO")</f>
        <v>0</v>
      </c>
    </row>
    <row r="30" spans="1:26" ht="15.75" customHeight="1" x14ac:dyDescent="0.25">
      <c r="B30" s="125">
        <v>44825</v>
      </c>
      <c r="C30" s="126">
        <v>1</v>
      </c>
      <c r="D30" s="130">
        <v>2</v>
      </c>
      <c r="E30" s="131">
        <v>546</v>
      </c>
      <c r="F30" s="132">
        <v>20296550184</v>
      </c>
      <c r="G30" s="15" t="str">
        <f>IFERROR(IF('Sep-22'!$F30="","-",VLOOKUP('Sep-22'!$F30,Lista_CUIT!$A$1:$D$1871,2,0)),"CUIT NO CARGADO")</f>
        <v>COSTA DIEGO ALEJANDRO</v>
      </c>
      <c r="H30" s="16">
        <v>33560</v>
      </c>
      <c r="I30" s="23">
        <f>IF('Sep-22'!$H30="","",'Sep-22'!$H30*0.21)</f>
        <v>7047.5999999999995</v>
      </c>
      <c r="J30" s="23"/>
      <c r="K30" s="23"/>
      <c r="L30" s="23"/>
      <c r="M30" s="23"/>
      <c r="N30" s="23"/>
      <c r="O30" s="23"/>
      <c r="P30" s="20">
        <f>SUM('Sep-22'!$H30:$O30)</f>
        <v>40607.599999999999</v>
      </c>
      <c r="Q30" s="21" t="str">
        <f>IFERROR(IF('Sep-22'!$F30="","-",VLOOKUP('Sep-22'!$F30,Lista_CUIT!$A$1:$D$1871,3,0)),"CUIT NO CARGADO")</f>
        <v>MAT. PRIM.</v>
      </c>
      <c r="R30" s="21">
        <f>IFERROR(IF('Sep-22'!$F30="","-",VLOOKUP('Sep-22'!$F30,Lista_CUIT!$A$1:$D$1871,4,0)),"CUIT NO CARGADO")</f>
        <v>0</v>
      </c>
    </row>
    <row r="31" spans="1:26" ht="14.25" customHeight="1" x14ac:dyDescent="0.25">
      <c r="B31" s="125">
        <v>44826</v>
      </c>
      <c r="C31" s="126">
        <v>1</v>
      </c>
      <c r="D31" s="130">
        <v>1</v>
      </c>
      <c r="E31" s="131">
        <v>501</v>
      </c>
      <c r="F31" s="132">
        <v>30715048066</v>
      </c>
      <c r="G31" s="15" t="str">
        <f>IFERROR(IF('Sep-22'!$F31="","-",VLOOKUP('Sep-22'!$F31,Lista_CUIT!$A$1:$D$1871,2,0)),"CUIT NO CARGADO")</f>
        <v>ROLLS Y EMPANADAS SA</v>
      </c>
      <c r="H31" s="16">
        <v>119310</v>
      </c>
      <c r="I31" s="23">
        <f>IF('Sep-22'!$H31="","",'Sep-22'!$H31*0.21)</f>
        <v>25055.1</v>
      </c>
      <c r="J31" s="23"/>
      <c r="K31" s="23"/>
      <c r="L31" s="23"/>
      <c r="M31" s="23"/>
      <c r="N31" s="23"/>
      <c r="O31" s="23"/>
      <c r="P31" s="20">
        <f>SUM('Sep-22'!$H31:$O31)</f>
        <v>144365.1</v>
      </c>
      <c r="Q31" s="21" t="str">
        <f>IFERROR(IF('Sep-22'!$F31="","-",VLOOKUP('Sep-22'!$F31,Lista_CUIT!$A$1:$D$1871,3,0)),"CUIT NO CARGADO")</f>
        <v>CATERING</v>
      </c>
      <c r="R31" s="21">
        <f>IFERROR(IF('Sep-22'!$F31="","-",VLOOKUP('Sep-22'!$F31,Lista_CUIT!$A$1:$D$1871,4,0)),"CUIT NO CARGADO")</f>
        <v>0</v>
      </c>
    </row>
    <row r="32" spans="1:26" ht="15.75" customHeight="1" x14ac:dyDescent="0.25">
      <c r="B32" s="125">
        <v>44828</v>
      </c>
      <c r="C32" s="126">
        <v>1</v>
      </c>
      <c r="D32" s="130">
        <v>3</v>
      </c>
      <c r="E32" s="131">
        <v>1079695</v>
      </c>
      <c r="F32" s="132">
        <v>30712019359</v>
      </c>
      <c r="G32" s="15" t="str">
        <f>IFERROR(IF('Sep-22'!$F32="","-",VLOOKUP('Sep-22'!$F32,Lista_CUIT!$A$1:$D$1871,2,0)),"CUIT NO CARGADO")</f>
        <v>LINKEDSTORE ARGENTINA S.R.L.</v>
      </c>
      <c r="H32" s="16">
        <v>3304.96</v>
      </c>
      <c r="I32" s="23">
        <f>IF('Sep-22'!$H32="","",'Sep-22'!$H32*0.21)</f>
        <v>694.04160000000002</v>
      </c>
      <c r="J32" s="23"/>
      <c r="K32" s="23"/>
      <c r="L32" s="23"/>
      <c r="M32" s="23"/>
      <c r="N32" s="23"/>
      <c r="O32" s="23"/>
      <c r="P32" s="20">
        <f>SUM('Sep-22'!$H32:$O32)</f>
        <v>3999.0016000000001</v>
      </c>
      <c r="Q32" s="21" t="str">
        <f>IFERROR(IF('Sep-22'!$F32="","-",VLOOKUP('Sep-22'!$F32,Lista_CUIT!$A$1:$D$1871,3,0)),"CUIT NO CARGADO")</f>
        <v>Gastos Varios</v>
      </c>
      <c r="R32" s="21">
        <f>IFERROR(IF('Sep-22'!$F32="","-",VLOOKUP('Sep-22'!$F32,Lista_CUIT!$A$1:$D$1871,4,0)),"CUIT NO CARGADO")</f>
        <v>0</v>
      </c>
    </row>
    <row r="33" spans="1:26" ht="15.75" customHeight="1" x14ac:dyDescent="0.25">
      <c r="B33" s="125">
        <v>44830</v>
      </c>
      <c r="C33" s="126">
        <v>1</v>
      </c>
      <c r="D33" s="130">
        <v>3</v>
      </c>
      <c r="E33" s="131">
        <v>8835</v>
      </c>
      <c r="F33" s="132">
        <v>30696881576</v>
      </c>
      <c r="G33" s="15" t="str">
        <f>IFERROR(IF('Sep-22'!$F33="","-",VLOOKUP('Sep-22'!$F33,Lista_CUIT!$A$1:$D$1871,2,0)),"CUIT NO CARGADO")</f>
        <v>PRIMALCO SA</v>
      </c>
      <c r="H33" s="16">
        <v>4000</v>
      </c>
      <c r="I33" s="23">
        <f>IF('Sep-22'!$H33="","",'Sep-22'!$H33*0.21)</f>
        <v>840</v>
      </c>
      <c r="J33" s="23"/>
      <c r="K33" s="23"/>
      <c r="L33" s="23"/>
      <c r="M33" s="23"/>
      <c r="N33" s="23"/>
      <c r="O33" s="23"/>
      <c r="P33" s="20">
        <f>SUM('Sep-22'!$H33:$O33)</f>
        <v>4840</v>
      </c>
      <c r="Q33" s="21" t="str">
        <f>IFERROR(IF('Sep-22'!$F33="","-",VLOOKUP('Sep-22'!$F33,Lista_CUIT!$A$1:$D$1871,3,0)),"CUIT NO CARGADO")</f>
        <v>INSUMO</v>
      </c>
      <c r="R33" s="21">
        <f>IFERROR(IF('Sep-22'!$F33="","-",VLOOKUP('Sep-22'!$F33,Lista_CUIT!$A$1:$D$1871,4,0)),"CUIT NO CARGADO")</f>
        <v>0</v>
      </c>
    </row>
    <row r="34" spans="1:26" ht="14.25" customHeight="1" x14ac:dyDescent="0.25">
      <c r="B34" s="125">
        <v>44830</v>
      </c>
      <c r="C34" s="126">
        <v>1</v>
      </c>
      <c r="D34" s="130">
        <v>3</v>
      </c>
      <c r="E34" s="131">
        <v>3</v>
      </c>
      <c r="F34" s="132">
        <v>20386178209</v>
      </c>
      <c r="G34" s="15" t="str">
        <f>IFERROR(IF('Sep-22'!$F34="","-",VLOOKUP('Sep-22'!$F34,Lista_CUIT!$A$1:$D$1871,2,0)),"CUIT NO CARGADO")</f>
        <v>CLEMENTE LUCAS IVAN</v>
      </c>
      <c r="H34" s="16">
        <v>98500</v>
      </c>
      <c r="I34" s="23">
        <f>IF('Sep-22'!$H34="","",'Sep-22'!$H34*0.21)</f>
        <v>20685</v>
      </c>
      <c r="J34" s="23"/>
      <c r="K34" s="23"/>
      <c r="L34" s="23"/>
      <c r="M34" s="23"/>
      <c r="N34" s="23"/>
      <c r="O34" s="23"/>
      <c r="P34" s="20">
        <f>SUM('Sep-22'!$H34:$O34)</f>
        <v>119185</v>
      </c>
      <c r="Q34" s="21" t="str">
        <f>IFERROR(IF('Sep-22'!$F34="","-",VLOOKUP('Sep-22'!$F34,Lista_CUIT!$A$1:$D$1871,3,0)),"CUIT NO CARGADO")</f>
        <v>Servicios de Publicidad</v>
      </c>
      <c r="R34" s="21">
        <f>IFERROR(IF('Sep-22'!$F34="","-",VLOOKUP('Sep-22'!$F34,Lista_CUIT!$A$1:$D$1871,4,0)),"CUIT NO CARGADO")</f>
        <v>0</v>
      </c>
    </row>
    <row r="35" spans="1:26" ht="14.25" customHeight="1" x14ac:dyDescent="0.25">
      <c r="B35" s="125">
        <v>44831</v>
      </c>
      <c r="C35" s="126">
        <v>1</v>
      </c>
      <c r="D35" s="130">
        <v>5</v>
      </c>
      <c r="E35" s="131">
        <v>14544</v>
      </c>
      <c r="F35" s="132">
        <v>30578341397</v>
      </c>
      <c r="G35" s="15" t="str">
        <f>IFERROR(IF('Sep-22'!$F35="","-",VLOOKUP('Sep-22'!$F35,Lista_CUIT!$A$1:$D$1871,2,0)),"CUIT NO CARGADO")</f>
        <v>YEL S.R.L.</v>
      </c>
      <c r="H35" s="16">
        <v>229367.86</v>
      </c>
      <c r="I35" s="23">
        <f>IF('Sep-22'!$H35="","",'Sep-22'!$H35*0.21)</f>
        <v>48167.250599999992</v>
      </c>
      <c r="J35" s="23"/>
      <c r="K35" s="23"/>
      <c r="L35" s="23"/>
      <c r="M35" s="23"/>
      <c r="N35" s="23"/>
      <c r="O35" s="23"/>
      <c r="P35" s="20">
        <f>SUM('Sep-22'!$H35:$O35)</f>
        <v>277535.11059999996</v>
      </c>
      <c r="Q35" s="21" t="str">
        <f>IFERROR(IF('Sep-22'!$F35="","-",VLOOKUP('Sep-22'!$F35,Lista_CUIT!$A$1:$D$1871,3,0)),"CUIT NO CARGADO")</f>
        <v>MAT. PRIM.</v>
      </c>
      <c r="R35" s="21">
        <f>IFERROR(IF('Sep-22'!$F35="","-",VLOOKUP('Sep-22'!$F35,Lista_CUIT!$A$1:$D$1871,4,0)),"CUIT NO CARGADO")</f>
        <v>0</v>
      </c>
    </row>
    <row r="36" spans="1:26" ht="15" customHeight="1" x14ac:dyDescent="0.25">
      <c r="B36" s="125">
        <v>44833</v>
      </c>
      <c r="C36" s="126">
        <v>1</v>
      </c>
      <c r="D36" s="130">
        <v>5</v>
      </c>
      <c r="E36" s="131">
        <v>843</v>
      </c>
      <c r="F36" s="132">
        <v>30707397256</v>
      </c>
      <c r="G36" s="15" t="str">
        <f>IFERROR(IF('Sep-22'!$F36="","-",VLOOKUP('Sep-22'!$F36,Lista_CUIT!$A$1:$D$1871,2,0)),"CUIT NO CARGADO")</f>
        <v>GRAFICA Y FOTOGRABADOS LA PLAZA SRL</v>
      </c>
      <c r="H36" s="16">
        <v>316735.3</v>
      </c>
      <c r="I36" s="23">
        <f>IF('Sep-22'!$H36="","",'Sep-22'!$H36*0.21)</f>
        <v>66514.413</v>
      </c>
      <c r="J36" s="23"/>
      <c r="K36" s="23"/>
      <c r="L36" s="23"/>
      <c r="M36" s="23"/>
      <c r="N36" s="23"/>
      <c r="O36" s="23"/>
      <c r="P36" s="20">
        <f>SUM('Sep-22'!$H36:$O36)</f>
        <v>383249.71299999999</v>
      </c>
      <c r="Q36" s="21" t="str">
        <f>IFERROR(IF('Sep-22'!$F36="","-",VLOOKUP('Sep-22'!$F36,Lista_CUIT!$A$1:$D$1871,3,0)),"CUIT NO CARGADO")</f>
        <v>Fotograbados</v>
      </c>
      <c r="R36" s="21">
        <f>IFERROR(IF('Sep-22'!$F36="","-",VLOOKUP('Sep-22'!$F36,Lista_CUIT!$A$1:$D$1871,4,0)),"CUIT NO CARGADO")</f>
        <v>0</v>
      </c>
    </row>
    <row r="37" spans="1:26" ht="15" customHeight="1" x14ac:dyDescent="0.25">
      <c r="B37" s="125">
        <v>44806</v>
      </c>
      <c r="C37" s="126">
        <v>1</v>
      </c>
      <c r="D37" s="130">
        <v>280</v>
      </c>
      <c r="E37" s="131">
        <v>1387056</v>
      </c>
      <c r="F37" s="132">
        <v>30580111315</v>
      </c>
      <c r="G37" s="15" t="str">
        <f>IFERROR(IF('Sep-22'!$F37="","-",VLOOKUP('Sep-22'!$F37,Lista_CUIT!$A$1:$D$1871,2,0)),"CUIT NO CARGADO")</f>
        <v>DHL EXPRESS ARG SA</v>
      </c>
      <c r="H37" s="16">
        <v>441703.87119999999</v>
      </c>
      <c r="I37" s="23">
        <f>IF('Sep-22'!$H37="","",'Sep-22'!$H37*0.21)</f>
        <v>92757.812951999993</v>
      </c>
      <c r="J37" s="23"/>
      <c r="K37" s="23"/>
      <c r="L37" s="23"/>
      <c r="M37" s="23"/>
      <c r="N37" s="23"/>
      <c r="O37" s="23">
        <v>-367674.56</v>
      </c>
      <c r="P37" s="20">
        <f>SUM('Sep-22'!$H37:$O37)</f>
        <v>166787.124152</v>
      </c>
      <c r="Q37" s="21" t="str">
        <f>IFERROR(IF('Sep-22'!$F37="","-",VLOOKUP('Sep-22'!$F37,Lista_CUIT!$A$1:$D$1871,3,0)),"CUIT NO CARGADO")</f>
        <v>GTOS IMP.</v>
      </c>
      <c r="R37" s="21">
        <f>IFERROR(IF('Sep-22'!$F37="","-",VLOOKUP('Sep-22'!$F37,Lista_CUIT!$A$1:$D$1871,4,0)),"CUIT NO CARGADO")</f>
        <v>0</v>
      </c>
    </row>
    <row r="38" spans="1:26" ht="15" customHeight="1" x14ac:dyDescent="0.25">
      <c r="B38" s="125">
        <v>44819</v>
      </c>
      <c r="C38" s="126">
        <v>1</v>
      </c>
      <c r="D38" s="130">
        <v>280</v>
      </c>
      <c r="E38" s="131">
        <v>1389520</v>
      </c>
      <c r="F38" s="132">
        <v>30580111315</v>
      </c>
      <c r="G38" s="15" t="str">
        <f>IFERROR(IF('Sep-22'!$F38="","-",VLOOKUP('Sep-22'!$F38,Lista_CUIT!$A$1:$D$1871,2,0)),"CUIT NO CARGADO")</f>
        <v>DHL EXPRESS ARG SA</v>
      </c>
      <c r="H38" s="16">
        <v>452316.64480000001</v>
      </c>
      <c r="I38" s="23">
        <f>IF('Sep-22'!$H38="","",'Sep-22'!$H38*0.21)</f>
        <v>94986.495408000002</v>
      </c>
      <c r="J38" s="23"/>
      <c r="K38" s="23"/>
      <c r="L38" s="23"/>
      <c r="M38" s="23"/>
      <c r="N38" s="23"/>
      <c r="O38" s="23">
        <v>-376495.94</v>
      </c>
      <c r="P38" s="20">
        <f>SUM('Sep-22'!$H38:$O38)</f>
        <v>170807.20020799997</v>
      </c>
      <c r="Q38" s="21" t="str">
        <f>IFERROR(IF('Sep-22'!$F38="","-",VLOOKUP('Sep-22'!$F38,Lista_CUIT!$A$1:$D$1871,3,0)),"CUIT NO CARGADO")</f>
        <v>GTOS IMP.</v>
      </c>
      <c r="R38" s="21">
        <f>IFERROR(IF('Sep-22'!$F38="","-",VLOOKUP('Sep-22'!$F38,Lista_CUIT!$A$1:$D$1871,4,0)),"CUIT NO CARGADO")</f>
        <v>0</v>
      </c>
    </row>
    <row r="39" spans="1:26" ht="15" customHeight="1" x14ac:dyDescent="0.25">
      <c r="B39" s="21" t="s">
        <v>1546</v>
      </c>
      <c r="C39" s="21"/>
      <c r="D39" s="21"/>
      <c r="E39" s="21"/>
      <c r="F39" s="21"/>
      <c r="G39" s="15"/>
      <c r="H39" s="16">
        <f>SUBTOTAL(109,'Sep-22'!$H$9:$H$38)</f>
        <v>5376896.0068000006</v>
      </c>
      <c r="I39" s="16">
        <f>SUBTOTAL(109,'Sep-22'!$I$9:$I$38)</f>
        <v>1128637.0571280001</v>
      </c>
      <c r="J39" s="16">
        <f>SUBTOTAL(109,'Sep-22'!$J$9:$J$38)</f>
        <v>657.13</v>
      </c>
      <c r="K39" s="16">
        <f>SUBTOTAL(109,'Sep-22'!$K$9:$K$38)</f>
        <v>0</v>
      </c>
      <c r="L39" s="16">
        <f>SUBTOTAL(109,'Sep-22'!$L$9:$L$38)</f>
        <v>0</v>
      </c>
      <c r="M39" s="16">
        <f>SUBTOTAL(109,'Sep-22'!$M$9:$M$38)</f>
        <v>0</v>
      </c>
      <c r="N39" s="16">
        <f>SUBTOTAL(109,'Sep-22'!$N$9:$N$38)</f>
        <v>0</v>
      </c>
      <c r="O39" s="16">
        <f>SUBTOTAL(109,'Sep-22'!$O$9:$O$38)</f>
        <v>-744170.5</v>
      </c>
      <c r="P39" s="16">
        <f>SUBTOTAL(109,'Sep-22'!$P$9:$P$38)</f>
        <v>5762019.6939279977</v>
      </c>
      <c r="Q39" s="21"/>
      <c r="R39" s="21"/>
    </row>
    <row r="40" spans="1:26" ht="15" customHeight="1" x14ac:dyDescent="0.25">
      <c r="B40" s="10"/>
      <c r="C40" s="11"/>
      <c r="D40" s="12"/>
      <c r="E40" s="13"/>
      <c r="F40" s="14"/>
      <c r="G40" s="15"/>
      <c r="H40" s="16"/>
      <c r="I40" s="17"/>
      <c r="J40" s="17"/>
      <c r="K40" s="17"/>
      <c r="L40" s="17"/>
      <c r="M40" s="17"/>
      <c r="N40" s="17"/>
      <c r="O40" s="17"/>
      <c r="P40" s="20"/>
      <c r="Q40" s="21"/>
      <c r="R40" s="21"/>
    </row>
    <row r="41" spans="1:26" ht="23.25" customHeight="1" x14ac:dyDescent="0.25">
      <c r="B41" s="10"/>
      <c r="C41" s="11"/>
      <c r="D41" s="12"/>
      <c r="E41" s="13"/>
      <c r="F41" s="14"/>
      <c r="G41" s="15"/>
      <c r="H41" s="16"/>
      <c r="I41" s="17"/>
      <c r="J41" s="17"/>
      <c r="K41" s="17"/>
      <c r="L41" s="17"/>
      <c r="M41" s="17"/>
      <c r="N41" s="17"/>
      <c r="O41" s="17"/>
      <c r="P41" s="20"/>
      <c r="Q41" s="21"/>
      <c r="R41" s="21"/>
    </row>
    <row r="42" spans="1:26" ht="38.25" customHeight="1" x14ac:dyDescent="0.25">
      <c r="B42" s="10"/>
      <c r="C42" s="11"/>
      <c r="D42" s="12"/>
      <c r="E42" s="13"/>
      <c r="F42" s="14"/>
      <c r="G42" s="15"/>
      <c r="H42" s="16"/>
      <c r="I42" s="17"/>
      <c r="J42" s="17"/>
      <c r="K42" s="17"/>
      <c r="L42" s="17"/>
      <c r="M42" s="17"/>
      <c r="N42" s="17"/>
      <c r="O42" s="17"/>
      <c r="P42" s="20"/>
      <c r="Q42" s="21"/>
      <c r="R42" s="21"/>
    </row>
    <row r="43" spans="1:26" ht="15.75" customHeight="1" x14ac:dyDescent="0.25">
      <c r="B43" s="10"/>
      <c r="C43" s="11"/>
      <c r="D43" s="12"/>
      <c r="E43" s="13"/>
      <c r="F43" s="14"/>
      <c r="G43" s="15"/>
      <c r="H43" s="16"/>
      <c r="I43" s="17"/>
      <c r="J43" s="17"/>
      <c r="K43" s="17"/>
      <c r="L43" s="17"/>
    </row>
    <row r="44" spans="1:26" ht="15.75" customHeight="1" x14ac:dyDescent="0.25">
      <c r="D44" s="359" t="s">
        <v>1547</v>
      </c>
      <c r="E44" s="351"/>
      <c r="F44" s="351"/>
      <c r="G44" s="351"/>
      <c r="H44" s="351"/>
      <c r="I44" s="351"/>
      <c r="J44" s="351"/>
      <c r="K44" s="351"/>
      <c r="L44" s="352"/>
    </row>
    <row r="45" spans="1:26" ht="15.75" customHeight="1" x14ac:dyDescent="0.25">
      <c r="D45" s="36" t="s">
        <v>1532</v>
      </c>
      <c r="E45" s="37" t="s">
        <v>1548</v>
      </c>
      <c r="F45" s="37" t="s">
        <v>1549</v>
      </c>
      <c r="G45" s="37" t="s">
        <v>1550</v>
      </c>
      <c r="H45" s="37" t="s">
        <v>1551</v>
      </c>
      <c r="I45" s="37" t="s">
        <v>1539</v>
      </c>
      <c r="J45" s="38" t="s">
        <v>1552</v>
      </c>
      <c r="K45" s="38" t="s">
        <v>1553</v>
      </c>
      <c r="L45" s="39" t="s">
        <v>1554</v>
      </c>
    </row>
    <row r="46" spans="1:26" ht="15.75" customHeight="1" x14ac:dyDescent="0.25">
      <c r="D46" s="10"/>
      <c r="E46" s="99"/>
      <c r="F46" s="98" t="s">
        <v>1611</v>
      </c>
      <c r="G46" s="42"/>
      <c r="H46" s="42"/>
      <c r="I46" s="42"/>
      <c r="J46" s="42"/>
      <c r="K46" s="42"/>
      <c r="L46" s="42"/>
    </row>
    <row r="47" spans="1:26" ht="15.75" customHeight="1" x14ac:dyDescent="0.25">
      <c r="D47" s="24">
        <v>44826</v>
      </c>
      <c r="E47" s="133" t="s">
        <v>1612</v>
      </c>
      <c r="F47" s="134" t="s">
        <v>1613</v>
      </c>
      <c r="G47" s="135">
        <v>16662.349999999999</v>
      </c>
      <c r="H47" s="136">
        <v>3499.0934999999999</v>
      </c>
      <c r="I47" s="135"/>
      <c r="J47" s="135"/>
      <c r="K47" s="135">
        <v>499.87</v>
      </c>
      <c r="L47" s="135"/>
    </row>
    <row r="48" spans="1:26" ht="18" customHeight="1" x14ac:dyDescent="0.25">
      <c r="A48" s="50"/>
      <c r="D48" s="24">
        <v>44834</v>
      </c>
      <c r="E48" s="134"/>
      <c r="F48" s="137" t="s">
        <v>1614</v>
      </c>
      <c r="G48" s="135">
        <v>3018.5238095238096</v>
      </c>
      <c r="H48" s="136">
        <v>633.89</v>
      </c>
      <c r="I48" s="135"/>
      <c r="J48" s="135"/>
      <c r="K48" s="135"/>
      <c r="L48" s="135"/>
      <c r="S48" s="50"/>
      <c r="T48" s="50"/>
      <c r="U48" s="50"/>
      <c r="V48" s="50"/>
      <c r="W48" s="50"/>
      <c r="X48" s="50"/>
      <c r="Y48" s="50"/>
      <c r="Z48" s="50"/>
    </row>
    <row r="49" spans="4:12" ht="15.75" customHeight="1" x14ac:dyDescent="0.25">
      <c r="D49" s="10"/>
      <c r="E49" s="99"/>
      <c r="F49" s="43" t="s">
        <v>1559</v>
      </c>
      <c r="G49" s="136">
        <v>128</v>
      </c>
      <c r="H49" s="136">
        <v>26.88</v>
      </c>
      <c r="I49" s="42"/>
      <c r="J49" s="42"/>
      <c r="K49" s="42"/>
      <c r="L49" s="42"/>
    </row>
    <row r="50" spans="4:12" ht="15.75" customHeight="1" x14ac:dyDescent="0.25">
      <c r="D50" s="21" t="s">
        <v>1546</v>
      </c>
      <c r="E50" s="43"/>
      <c r="F50" s="43"/>
      <c r="G50" s="42">
        <f>SUBTOTAL(109,'Sep-22'!$G$46:$G$49)</f>
        <v>19808.873809523808</v>
      </c>
      <c r="H50" s="42">
        <f>SUBTOTAL(109,'Sep-22'!$H$46:$H$49)</f>
        <v>4159.8635000000004</v>
      </c>
      <c r="I50" s="42">
        <f>SUBTOTAL(109,'Sep-22'!$I$46:$I$49)</f>
        <v>0</v>
      </c>
      <c r="J50" s="42">
        <f>SUBTOTAL(109,'Sep-22'!$J$46:$J$49)</f>
        <v>0</v>
      </c>
      <c r="K50" s="42">
        <f>SUBTOTAL(109,'Sep-22'!$K$46:$K$49)</f>
        <v>499.87</v>
      </c>
      <c r="L50" s="42">
        <f>SUBTOTAL(109,'Sep-22'!$L$46:$L$49)</f>
        <v>0</v>
      </c>
    </row>
    <row r="51" spans="4:12" ht="15.75" customHeight="1" x14ac:dyDescent="0.25"/>
    <row r="52" spans="4:12" ht="15.75" customHeight="1" x14ac:dyDescent="0.25"/>
    <row r="53" spans="4:12" ht="15.75" customHeight="1" x14ac:dyDescent="0.25">
      <c r="D53" s="359" t="s">
        <v>1560</v>
      </c>
      <c r="E53" s="351"/>
      <c r="F53" s="351"/>
      <c r="G53" s="351"/>
      <c r="H53" s="351"/>
      <c r="I53" s="351"/>
      <c r="J53" s="351"/>
      <c r="K53" s="352"/>
    </row>
    <row r="54" spans="4:12" ht="15.75" customHeight="1" x14ac:dyDescent="0.25">
      <c r="D54" s="44" t="s">
        <v>1532</v>
      </c>
      <c r="E54" s="44" t="s">
        <v>1534</v>
      </c>
      <c r="F54" s="44" t="s">
        <v>1561</v>
      </c>
      <c r="G54" s="44" t="s">
        <v>0</v>
      </c>
      <c r="H54" s="44" t="s">
        <v>1</v>
      </c>
      <c r="I54" s="45" t="s">
        <v>1544</v>
      </c>
      <c r="J54" s="44" t="s">
        <v>1562</v>
      </c>
      <c r="K54" s="44" t="s">
        <v>1545</v>
      </c>
    </row>
    <row r="55" spans="4:12" ht="15.75" customHeight="1" x14ac:dyDescent="0.25">
      <c r="D55" s="55" t="s">
        <v>1615</v>
      </c>
      <c r="E55" s="12">
        <v>2</v>
      </c>
      <c r="F55" s="13">
        <v>118</v>
      </c>
      <c r="G55" s="14">
        <v>20136544625</v>
      </c>
      <c r="H55" s="46" t="str">
        <f>IFERROR(IF('Sep-22'!$G55="","-",VLOOKUP('Sep-22'!$G55,Lista_CUIT!$A$1:$D$1871,2,0)),"CUIT NO CARGADO")</f>
        <v>RODRIGUEZ DE LA FUEN HECTOR MARCELO</v>
      </c>
      <c r="I55" s="49">
        <v>40000</v>
      </c>
      <c r="J55" s="47" t="str">
        <f>IFERROR(IF('Sep-22'!$G55="","-",VLOOKUP('Sep-22'!$G55,Lista_CUIT!$A$1:$D$1871,3,0)),"CUIT NO CARGADO")</f>
        <v>Honorarios Administrativos-Cobranzas y Gestion Clientes</v>
      </c>
      <c r="K55" s="47">
        <f>IFERROR(IF('Sep-22'!$G55="","-",VLOOKUP('Sep-22'!$G55,Lista_CUIT!$A$1:$D$1871,4,0)),"CUIT NO CARGADO")</f>
        <v>0</v>
      </c>
    </row>
    <row r="56" spans="4:12" ht="15.75" customHeight="1" x14ac:dyDescent="0.25">
      <c r="D56" s="55" t="s">
        <v>1615</v>
      </c>
      <c r="E56" s="12">
        <v>3</v>
      </c>
      <c r="F56" s="13">
        <v>619</v>
      </c>
      <c r="G56" s="14">
        <v>20086277523</v>
      </c>
      <c r="H56" s="46" t="str">
        <f>IFERROR(IF('Sep-22'!$G56="","-",VLOOKUP('Sep-22'!$G56,Lista_CUIT!$A$1:$D$1871,2,0)),"CUIT NO CARGADO")</f>
        <v>JUAN CARLOS BOTINDARI</v>
      </c>
      <c r="I56" s="49">
        <v>51900</v>
      </c>
      <c r="J56" s="47" t="str">
        <f>IFERROR(IF('Sep-22'!$G56="","-",VLOOKUP('Sep-22'!$G56,Lista_CUIT!$A$1:$D$1871,3,0)),"CUIT NO CARGADO")</f>
        <v>HONORARIOS</v>
      </c>
      <c r="K56" s="47">
        <f>IFERROR(IF('Sep-22'!$G56="","-",VLOOKUP('Sep-22'!$G56,Lista_CUIT!$A$1:$D$1871,4,0)),"CUIT NO CARGADO")</f>
        <v>0</v>
      </c>
    </row>
    <row r="57" spans="4:12" ht="15.75" customHeight="1" x14ac:dyDescent="0.25">
      <c r="D57" s="55" t="s">
        <v>1616</v>
      </c>
      <c r="E57" s="12">
        <v>1</v>
      </c>
      <c r="F57" s="13">
        <v>88</v>
      </c>
      <c r="G57" s="14">
        <v>20341465134</v>
      </c>
      <c r="H57" s="46" t="str">
        <f>IFERROR(IF('Sep-22'!$G57="","-",VLOOKUP('Sep-22'!$G57,Lista_CUIT!$A$1:$D$1871,2,0)),"CUIT NO CARGADO")</f>
        <v xml:space="preserve">ABELEDO AGUSTIN ENRIQUE </v>
      </c>
      <c r="I57" s="49">
        <v>131400</v>
      </c>
      <c r="J57" s="47" t="str">
        <f>IFERROR(IF('Sep-22'!$G57="","-",VLOOKUP('Sep-22'!$G57,Lista_CUIT!$A$1:$D$1871,3,0)),"CUIT NO CARGADO")</f>
        <v>HONOR. INGENIERO</v>
      </c>
      <c r="K57" s="47">
        <f>IFERROR(IF('Sep-22'!$G57="","-",VLOOKUP('Sep-22'!$G57,Lista_CUIT!$A$1:$D$1871,4,0)),"CUIT NO CARGADO")</f>
        <v>0</v>
      </c>
    </row>
    <row r="58" spans="4:12" ht="15.75" customHeight="1" x14ac:dyDescent="0.25">
      <c r="D58" s="55" t="s">
        <v>1617</v>
      </c>
      <c r="E58" s="12">
        <v>1</v>
      </c>
      <c r="F58" s="13">
        <v>17</v>
      </c>
      <c r="G58" s="14">
        <v>27925308884</v>
      </c>
      <c r="H58" s="46" t="str">
        <f>IFERROR(IF('Sep-22'!$G58="","-",VLOOKUP('Sep-22'!$G58,Lista_CUIT!$A$1:$D$1871,2,0)),"CUIT NO CARGADO")</f>
        <v>LOPEZ LOPEZ FLAVIA</v>
      </c>
      <c r="I58" s="49">
        <v>1000</v>
      </c>
      <c r="J58" s="47" t="str">
        <f>IFERROR(IF('Sep-22'!$G58="","-",VLOOKUP('Sep-22'!$G58,Lista_CUIT!$A$1:$D$1871,3,0)),"CUIT NO CARGADO")</f>
        <v>FLETE</v>
      </c>
      <c r="K58" s="47">
        <f>IFERROR(IF('Sep-22'!$G58="","-",VLOOKUP('Sep-22'!$G58,Lista_CUIT!$A$1:$D$1871,4,0)),"CUIT NO CARGADO")</f>
        <v>0</v>
      </c>
    </row>
    <row r="59" spans="4:12" ht="15.75" customHeight="1" x14ac:dyDescent="0.25">
      <c r="D59" s="55" t="s">
        <v>1617</v>
      </c>
      <c r="E59" s="12">
        <v>4</v>
      </c>
      <c r="F59" s="13">
        <v>5</v>
      </c>
      <c r="G59" s="14">
        <v>20341462933</v>
      </c>
      <c r="H59" s="46" t="str">
        <f>IFERROR(IF('Sep-22'!$G59="","-",VLOOKUP('Sep-22'!$G59,Lista_CUIT!$A$1:$D$1871,2,0)),"CUIT NO CARGADO")</f>
        <v>CASTIGLIONI MATIAS EZEQUIEL</v>
      </c>
      <c r="I59" s="49">
        <v>195000</v>
      </c>
      <c r="J59" s="47" t="str">
        <f>IFERROR(IF('Sep-22'!$G59="","-",VLOOKUP('Sep-22'!$G59,Lista_CUIT!$A$1:$D$1871,3,0)),"CUIT NO CARGADO")</f>
        <v>MAT. PRIM.</v>
      </c>
      <c r="K59" s="47">
        <f>IFERROR(IF('Sep-22'!$G59="","-",VLOOKUP('Sep-22'!$G59,Lista_CUIT!$A$1:$D$1871,4,0)),"CUIT NO CARGADO")</f>
        <v>0</v>
      </c>
    </row>
    <row r="60" spans="4:12" ht="15.75" customHeight="1" x14ac:dyDescent="0.25">
      <c r="D60" s="55" t="s">
        <v>1617</v>
      </c>
      <c r="E60" s="12">
        <v>1</v>
      </c>
      <c r="F60" s="13">
        <v>16</v>
      </c>
      <c r="G60" s="14">
        <v>27925308884</v>
      </c>
      <c r="H60" s="46" t="str">
        <f>IFERROR(IF('Sep-22'!$G60="","-",VLOOKUP('Sep-22'!$G60,Lista_CUIT!$A$1:$D$1871,2,0)),"CUIT NO CARGADO")</f>
        <v>LOPEZ LOPEZ FLAVIA</v>
      </c>
      <c r="I60" s="49">
        <v>8000</v>
      </c>
      <c r="J60" s="47" t="str">
        <f>IFERROR(IF('Sep-22'!$G60="","-",VLOOKUP('Sep-22'!$G60,Lista_CUIT!$A$1:$D$1871,3,0)),"CUIT NO CARGADO")</f>
        <v>FLETE</v>
      </c>
      <c r="K60" s="47">
        <f>IFERROR(IF('Sep-22'!$G60="","-",VLOOKUP('Sep-22'!$G60,Lista_CUIT!$A$1:$D$1871,4,0)),"CUIT NO CARGADO")</f>
        <v>0</v>
      </c>
    </row>
    <row r="61" spans="4:12" ht="15.75" customHeight="1" x14ac:dyDescent="0.25">
      <c r="D61" s="55" t="s">
        <v>1618</v>
      </c>
      <c r="E61" s="12">
        <v>3</v>
      </c>
      <c r="F61" s="13">
        <v>621</v>
      </c>
      <c r="G61" s="14">
        <v>20086277523</v>
      </c>
      <c r="H61" s="46" t="str">
        <f>IFERROR(IF('Sep-22'!$G61="","-",VLOOKUP('Sep-22'!$G61,Lista_CUIT!$A$1:$D$1871,2,0)),"CUIT NO CARGADO")</f>
        <v>JUAN CARLOS BOTINDARI</v>
      </c>
      <c r="I61" s="49">
        <v>9870</v>
      </c>
      <c r="J61" s="47" t="str">
        <f>IFERROR(IF('Sep-22'!$G61="","-",VLOOKUP('Sep-22'!$G61,Lista_CUIT!$A$1:$D$1871,3,0)),"CUIT NO CARGADO")</f>
        <v>HONORARIOS</v>
      </c>
      <c r="K61" s="47">
        <f>IFERROR(IF('Sep-22'!$G61="","-",VLOOKUP('Sep-22'!$G61,Lista_CUIT!$A$1:$D$1871,4,0)),"CUIT NO CARGADO")</f>
        <v>0</v>
      </c>
    </row>
    <row r="62" spans="4:12" ht="15.75" customHeight="1" x14ac:dyDescent="0.25">
      <c r="D62" s="55" t="s">
        <v>1619</v>
      </c>
      <c r="E62" s="12">
        <v>2</v>
      </c>
      <c r="F62" s="13">
        <v>75</v>
      </c>
      <c r="G62" s="14">
        <v>20244271740</v>
      </c>
      <c r="H62" s="46" t="str">
        <f>IFERROR(IF('Sep-22'!$G62="","-",VLOOKUP('Sep-22'!$G62,Lista_CUIT!$A$1:$D$1871,2,0)),"CUIT NO CARGADO")</f>
        <v xml:space="preserve">KENNEL SEBASTIAN </v>
      </c>
      <c r="I62" s="49">
        <v>195300</v>
      </c>
      <c r="J62" s="47" t="str">
        <f>IFERROR(IF('Sep-22'!$G62="","-",VLOOKUP('Sep-22'!$G62,Lista_CUIT!$A$1:$D$1871,3,0)),"CUIT NO CARGADO")</f>
        <v>SOFTWARE MANTENIMIENTO</v>
      </c>
      <c r="K62" s="47">
        <f>IFERROR(IF('Sep-22'!$G62="","-",VLOOKUP('Sep-22'!$G62,Lista_CUIT!$A$1:$D$1871,4,0)),"CUIT NO CARGADO")</f>
        <v>0</v>
      </c>
    </row>
    <row r="63" spans="4:12" ht="15.75" customHeight="1" x14ac:dyDescent="0.25">
      <c r="D63" s="55" t="s">
        <v>1619</v>
      </c>
      <c r="E63" s="12">
        <v>3</v>
      </c>
      <c r="F63" s="13">
        <v>30</v>
      </c>
      <c r="G63" s="14">
        <v>20403931420</v>
      </c>
      <c r="H63" s="46" t="str">
        <f>IFERROR(IF('Sep-22'!$G63="","-",VLOOKUP('Sep-22'!$G63,Lista_CUIT!$A$1:$D$1871,2,0)),"CUIT NO CARGADO")</f>
        <v>FIORENTINO JORGE IGNACIO</v>
      </c>
      <c r="I63" s="49">
        <v>117050</v>
      </c>
      <c r="J63" s="47" t="str">
        <f>IFERROR(IF('Sep-22'!$G63="","-",VLOOKUP('Sep-22'!$G63,Lista_CUIT!$A$1:$D$1871,3,0)),"CUIT NO CARGADO")</f>
        <v>Honorarios Administrativos-Cobranzas y Gestion Clientes</v>
      </c>
      <c r="K63" s="47">
        <f>IFERROR(IF('Sep-22'!$G63="","-",VLOOKUP('Sep-22'!$G63,Lista_CUIT!$A$1:$D$1871,4,0)),"CUIT NO CARGADO")</f>
        <v>0</v>
      </c>
    </row>
    <row r="64" spans="4:12" ht="15.75" customHeight="1" x14ac:dyDescent="0.25">
      <c r="D64" s="55" t="s">
        <v>1620</v>
      </c>
      <c r="E64" s="12">
        <v>1</v>
      </c>
      <c r="F64" s="13">
        <v>10</v>
      </c>
      <c r="G64" s="14">
        <v>20417805878</v>
      </c>
      <c r="H64" s="46" t="str">
        <f>IFERROR(IF('Sep-22'!$G64="","-",VLOOKUP('Sep-22'!$G64,Lista_CUIT!$A$1:$D$1871,2,0)),"CUIT NO CARGADO")</f>
        <v>FERABOLI OSPAL SANTIAGO HERNAN</v>
      </c>
      <c r="I64" s="49">
        <v>127720</v>
      </c>
      <c r="J64" s="47" t="str">
        <f>IFERROR(IF('Sep-22'!$G64="","-",VLOOKUP('Sep-22'!$G64,Lista_CUIT!$A$1:$D$1871,3,0)),"CUIT NO CARGADO")</f>
        <v>Control medidores masicos</v>
      </c>
      <c r="K64" s="47">
        <f>IFERROR(IF('Sep-22'!$G64="","-",VLOOKUP('Sep-22'!$G64,Lista_CUIT!$A$1:$D$1871,4,0)),"CUIT NO CARGADO")</f>
        <v>0</v>
      </c>
    </row>
    <row r="65" spans="2:18" ht="15.75" customHeight="1" x14ac:dyDescent="0.25">
      <c r="D65" s="55" t="s">
        <v>1620</v>
      </c>
      <c r="E65" s="12">
        <v>2</v>
      </c>
      <c r="F65" s="13">
        <v>577</v>
      </c>
      <c r="G65" s="14">
        <v>20320877947</v>
      </c>
      <c r="H65" s="46" t="str">
        <f>IFERROR(IF('Sep-22'!$G65="","-",VLOOKUP('Sep-22'!$G65,Lista_CUIT!$A$1:$D$1871,2,0)),"CUIT NO CARGADO")</f>
        <v>ROUSSEAU PABLO ANDRES</v>
      </c>
      <c r="I65" s="49">
        <v>9800</v>
      </c>
      <c r="J65" s="47" t="str">
        <f>IFERROR(IF('Sep-22'!$G65="","-",VLOOKUP('Sep-22'!$G65,Lista_CUIT!$A$1:$D$1871,3,0)),"CUIT NO CARGADO")</f>
        <v>SERVICIO</v>
      </c>
      <c r="K65" s="47">
        <f>IFERROR(IF('Sep-22'!$G65="","-",VLOOKUP('Sep-22'!$G65,Lista_CUIT!$A$1:$D$1871,4,0)),"CUIT NO CARGADO")</f>
        <v>0</v>
      </c>
    </row>
    <row r="66" spans="2:18" ht="15.75" customHeight="1" x14ac:dyDescent="0.25">
      <c r="D66" s="55" t="s">
        <v>1621</v>
      </c>
      <c r="E66" s="12">
        <v>2</v>
      </c>
      <c r="F66" s="13">
        <v>14</v>
      </c>
      <c r="G66" s="14">
        <v>23326777269</v>
      </c>
      <c r="H66" s="46" t="str">
        <f>IFERROR(IF('Sep-22'!$G66="","-",VLOOKUP('Sep-22'!$G66,Lista_CUIT!$A$1:$D$1871,2,0)),"CUIT NO CARGADO")</f>
        <v>DE BONIS IGNACIO LUIS</v>
      </c>
      <c r="I66" s="49">
        <v>178230</v>
      </c>
      <c r="J66" s="47" t="str">
        <f>IFERROR(IF('Sep-22'!$G66="","-",VLOOKUP('Sep-22'!$G66,Lista_CUIT!$A$1:$D$1871,3,0)),"CUIT NO CARGADO")</f>
        <v>Control medidores masicos</v>
      </c>
      <c r="K66" s="47">
        <f>IFERROR(IF('Sep-22'!$G66="","-",VLOOKUP('Sep-22'!$G66,Lista_CUIT!$A$1:$D$1871,4,0)),"CUIT NO CARGADO")</f>
        <v>0</v>
      </c>
    </row>
    <row r="67" spans="2:18" ht="15.75" customHeight="1" x14ac:dyDescent="0.25">
      <c r="D67" s="55" t="s">
        <v>1622</v>
      </c>
      <c r="E67" s="12">
        <v>1</v>
      </c>
      <c r="F67" s="13">
        <v>19</v>
      </c>
      <c r="G67" s="14">
        <v>27925308884</v>
      </c>
      <c r="H67" s="46" t="str">
        <f>IFERROR(IF('Sep-22'!$G67="","-",VLOOKUP('Sep-22'!$G67,Lista_CUIT!$A$1:$D$1871,2,0)),"CUIT NO CARGADO")</f>
        <v>LOPEZ LOPEZ FLAVIA</v>
      </c>
      <c r="I67" s="49">
        <v>5000</v>
      </c>
      <c r="J67" s="47" t="str">
        <f>IFERROR(IF('Sep-22'!$G67="","-",VLOOKUP('Sep-22'!$G67,Lista_CUIT!$A$1:$D$1871,3,0)),"CUIT NO CARGADO")</f>
        <v>FLETE</v>
      </c>
      <c r="K67" s="47">
        <f>IFERROR(IF('Sep-22'!$G67="","-",VLOOKUP('Sep-22'!$G67,Lista_CUIT!$A$1:$D$1871,4,0)),"CUIT NO CARGADO")</f>
        <v>0</v>
      </c>
    </row>
    <row r="68" spans="2:18" ht="15.75" customHeight="1" x14ac:dyDescent="0.25">
      <c r="D68" s="55" t="s">
        <v>1623</v>
      </c>
      <c r="E68" s="12">
        <v>2</v>
      </c>
      <c r="F68" s="13">
        <v>212</v>
      </c>
      <c r="G68" s="14">
        <v>27206941419</v>
      </c>
      <c r="H68" s="46" t="str">
        <f>IFERROR(IF('Sep-22'!$G68="","-",VLOOKUP('Sep-22'!$G68,Lista_CUIT!$A$1:$D$1871,2,0)),"CUIT NO CARGADO")</f>
        <v>DOBARRO PAULA MARCELA</v>
      </c>
      <c r="I68" s="49">
        <v>50000</v>
      </c>
      <c r="J68" s="47" t="str">
        <f>IFERROR(IF('Sep-22'!$G68="","-",VLOOKUP('Sep-22'!$G68,Lista_CUIT!$A$1:$D$1871,3,0)),"CUIT NO CARGADO")</f>
        <v>HONORARIOS CONTABLES</v>
      </c>
      <c r="K68" s="47">
        <f>IFERROR(IF('Sep-22'!$G68="","-",VLOOKUP('Sep-22'!$G68,Lista_CUIT!$A$1:$D$1871,4,0)),"CUIT NO CARGADO")</f>
        <v>0</v>
      </c>
    </row>
    <row r="69" spans="2:18" ht="15.75" customHeight="1" x14ac:dyDescent="0.25">
      <c r="D69" s="55" t="s">
        <v>1623</v>
      </c>
      <c r="E69" s="12">
        <v>1</v>
      </c>
      <c r="F69" s="13">
        <v>16</v>
      </c>
      <c r="G69" s="14">
        <v>20365938688</v>
      </c>
      <c r="H69" s="46" t="str">
        <f>IFERROR(IF('Sep-22'!$G69="","-",VLOOKUP('Sep-22'!$G69,Lista_CUIT!$A$1:$D$1871,2,0)),"CUIT NO CARGADO")</f>
        <v>LIPANOVICH JUAN CRUZ</v>
      </c>
      <c r="I69" s="49">
        <v>330000</v>
      </c>
      <c r="J69" s="47" t="str">
        <f>IFERROR(IF('Sep-22'!$G69="","-",VLOOKUP('Sep-22'!$G69,Lista_CUIT!$A$1:$D$1871,3,0)),"CUIT NO CARGADO")</f>
        <v>Servicios Informatica</v>
      </c>
      <c r="K69" s="47">
        <f>IFERROR(IF('Sep-22'!$G69="","-",VLOOKUP('Sep-22'!$G69,Lista_CUIT!$A$1:$D$1871,4,0)),"CUIT NO CARGADO")</f>
        <v>0</v>
      </c>
    </row>
    <row r="70" spans="2:18" ht="15.75" customHeight="1" x14ac:dyDescent="0.25">
      <c r="D70" s="55" t="s">
        <v>1623</v>
      </c>
      <c r="E70" s="12">
        <v>2</v>
      </c>
      <c r="F70" s="13">
        <v>432</v>
      </c>
      <c r="G70" s="14">
        <v>20400104094</v>
      </c>
      <c r="H70" s="46" t="str">
        <f>IFERROR(IF('Sep-22'!$G70="","-",VLOOKUP('Sep-22'!$G70,Lista_CUIT!$A$1:$D$1871,2,0)),"CUIT NO CARGADO")</f>
        <v>FEDERICO BOTINDARI</v>
      </c>
      <c r="I70" s="49">
        <v>165000</v>
      </c>
      <c r="J70" s="47" t="str">
        <f>IFERROR(IF('Sep-22'!$G70="","-",VLOOKUP('Sep-22'!$G70,Lista_CUIT!$A$1:$D$1871,3,0)),"CUIT NO CARGADO")</f>
        <v>HONORARIOS</v>
      </c>
      <c r="K70" s="47">
        <f>IFERROR(IF('Sep-22'!$G70="","-",VLOOKUP('Sep-22'!$G70,Lista_CUIT!$A$1:$D$1871,4,0)),"CUIT NO CARGADO")</f>
        <v>0</v>
      </c>
    </row>
    <row r="71" spans="2:18" ht="16.5" customHeight="1" x14ac:dyDescent="0.25">
      <c r="D71" s="55" t="s">
        <v>1624</v>
      </c>
      <c r="E71" s="12">
        <v>2</v>
      </c>
      <c r="F71" s="13">
        <v>90</v>
      </c>
      <c r="G71" s="14">
        <v>27125997835</v>
      </c>
      <c r="H71" s="46"/>
      <c r="I71" s="42">
        <v>66000</v>
      </c>
      <c r="J71" s="47" t="str">
        <f>IFERROR(IF('Sep-22'!$G71="","-",VLOOKUP('Sep-22'!$G71,Lista_CUIT!$A$1:$D$1871,3,0)),"CUIT NO CARGADO")</f>
        <v>Honorarios Legales</v>
      </c>
      <c r="K71" s="47">
        <f>IFERROR(IF('Sep-22'!$G71="","-",VLOOKUP('Sep-22'!$G71,Lista_CUIT!$A$1:$D$1871,4,0)),"CUIT NO CARGADO")</f>
        <v>0</v>
      </c>
    </row>
    <row r="72" spans="2:18" ht="15.75" customHeight="1" x14ac:dyDescent="0.25">
      <c r="D72" s="55" t="s">
        <v>1624</v>
      </c>
      <c r="E72" s="12">
        <v>2</v>
      </c>
      <c r="F72" s="13">
        <v>89</v>
      </c>
      <c r="G72" s="14">
        <v>27125997835</v>
      </c>
      <c r="H72" s="46" t="str">
        <f>IFERROR(IF('Sep-22'!$G72="","-",VLOOKUP('Sep-22'!$G72,Lista_CUIT!$A$1:$D$1871,2,0)),"CUIT NO CARGADO")</f>
        <v>DANSKY ULLMANN VIVIANA EVA YOLANDA</v>
      </c>
      <c r="I72" s="42">
        <v>66000</v>
      </c>
      <c r="J72" s="47" t="str">
        <f>IFERROR(IF('Sep-22'!$G72="","-",VLOOKUP('Sep-22'!$G72,Lista_CUIT!$A$1:$D$1871,3,0)),"CUIT NO CARGADO")</f>
        <v>Honorarios Legales</v>
      </c>
      <c r="K72" s="47">
        <f>IFERROR(IF('Sep-22'!$G72="","-",VLOOKUP('Sep-22'!$G72,Lista_CUIT!$A$1:$D$1871,4,0)),"CUIT NO CARGADO")</f>
        <v>0</v>
      </c>
    </row>
    <row r="73" spans="2:18" ht="18" customHeight="1" x14ac:dyDescent="0.25">
      <c r="D73" s="55" t="s">
        <v>1625</v>
      </c>
      <c r="E73" s="12">
        <v>1</v>
      </c>
      <c r="F73" s="13">
        <v>10</v>
      </c>
      <c r="G73" s="14">
        <v>20338344695</v>
      </c>
      <c r="H73" s="46" t="str">
        <f>IFERROR(IF('Sep-22'!$G73="","-",VLOOKUP('Sep-22'!$G73,Lista_CUIT!$A$1:$D$1871,2,0)),"CUIT NO CARGADO")</f>
        <v>FUERTES DAMIAN MATIAS</v>
      </c>
      <c r="I73" s="42">
        <v>21000</v>
      </c>
      <c r="J73" s="47" t="str">
        <f>IFERROR(IF('Sep-22'!$G73="","-",VLOOKUP('Sep-22'!$G73,Lista_CUIT!$A$1:$D$1871,3,0)),"CUIT NO CARGADO")</f>
        <v>INSUMO</v>
      </c>
      <c r="K73" s="47">
        <f>IFERROR(IF('Sep-22'!$G73="","-",VLOOKUP('Sep-22'!$G73,Lista_CUIT!$A$1:$D$1871,4,0)),"CUIT NO CARGADO")</f>
        <v>0</v>
      </c>
    </row>
    <row r="74" spans="2:18" ht="15.75" customHeight="1" x14ac:dyDescent="0.25">
      <c r="D74" s="10"/>
      <c r="E74" s="12"/>
      <c r="F74" s="13"/>
      <c r="G74" s="14"/>
      <c r="H74" s="46" t="str">
        <f>IFERROR(IF('Sep-22'!$G74="","-",VLOOKUP('Sep-22'!$G74,Lista_CUIT!$A$1:$D$1871,2,0)),"CUIT NO CARGADO")</f>
        <v>-</v>
      </c>
      <c r="I74" s="42"/>
      <c r="J74" s="47" t="str">
        <f>IFERROR(IF('Sep-22'!$G74="","-",VLOOKUP('Sep-22'!$G74,Lista_CUIT!$A$1:$D$1871,3,0)),"CUIT NO CARGADO")</f>
        <v>-</v>
      </c>
      <c r="K74" s="47" t="str">
        <f>IFERROR(IF('Sep-22'!$G74="","-",VLOOKUP('Sep-22'!$G74,Lista_CUIT!$A$1:$D$1871,4,0)),"CUIT NO CARGADO")</f>
        <v>-</v>
      </c>
    </row>
    <row r="75" spans="2:18" ht="15.75" customHeight="1" x14ac:dyDescent="0.25">
      <c r="D75" s="47" t="s">
        <v>1546</v>
      </c>
      <c r="E75" s="47"/>
      <c r="F75" s="47"/>
      <c r="G75" s="47"/>
      <c r="H75" s="48"/>
      <c r="I75" s="49">
        <f>SUBTOTAL(109,'Sep-22'!$I$55:$I$74)</f>
        <v>1768270</v>
      </c>
      <c r="J75" s="47"/>
      <c r="K75" s="47"/>
    </row>
    <row r="76" spans="2:18" ht="15.75" customHeight="1" x14ac:dyDescent="0.25">
      <c r="B76" s="50"/>
      <c r="C76" s="50"/>
      <c r="L76" s="50"/>
      <c r="M76" s="50"/>
      <c r="N76" s="50"/>
      <c r="O76" s="50"/>
      <c r="P76" s="50"/>
      <c r="Q76" s="50"/>
      <c r="R76" s="50"/>
    </row>
    <row r="77" spans="2:18" ht="15.75" customHeight="1" x14ac:dyDescent="0.25"/>
    <row r="78" spans="2:18" ht="15.75" customHeight="1" x14ac:dyDescent="0.25"/>
    <row r="79" spans="2:18" ht="15.75" customHeight="1" x14ac:dyDescent="0.25"/>
    <row r="80" spans="2:18" ht="15.75" customHeight="1" x14ac:dyDescent="0.25"/>
    <row r="81" spans="2:13" ht="15.75" customHeight="1" x14ac:dyDescent="0.25">
      <c r="B81" s="366" t="s">
        <v>1563</v>
      </c>
      <c r="C81" s="351"/>
      <c r="D81" s="351"/>
      <c r="E81" s="351"/>
      <c r="F81" s="351"/>
      <c r="G81" s="351"/>
      <c r="H81" s="351"/>
      <c r="I81" s="351"/>
      <c r="J81" s="352"/>
      <c r="K81" s="367">
        <f>N1</f>
        <v>44805</v>
      </c>
      <c r="L81" s="351"/>
      <c r="M81" s="352"/>
    </row>
    <row r="82" spans="2:13" ht="15.75" customHeight="1" x14ac:dyDescent="0.25"/>
    <row r="83" spans="2:13" ht="25.5" customHeight="1" x14ac:dyDescent="0.25">
      <c r="B83" s="368" t="s">
        <v>1564</v>
      </c>
      <c r="C83" s="369"/>
    </row>
    <row r="84" spans="2:13" ht="15.75" customHeight="1" x14ac:dyDescent="0.25">
      <c r="B84" s="51" t="s">
        <v>1532</v>
      </c>
      <c r="C84" s="52" t="s">
        <v>1533</v>
      </c>
      <c r="D84" s="52" t="s">
        <v>1565</v>
      </c>
      <c r="E84" s="52" t="s">
        <v>1566</v>
      </c>
      <c r="F84" s="52" t="s">
        <v>0</v>
      </c>
      <c r="G84" s="52" t="s">
        <v>1</v>
      </c>
      <c r="H84" s="52" t="s">
        <v>1567</v>
      </c>
      <c r="I84" s="52" t="s">
        <v>1551</v>
      </c>
      <c r="J84" s="52" t="s">
        <v>1539</v>
      </c>
      <c r="K84" s="52" t="s">
        <v>1568</v>
      </c>
      <c r="L84" s="52" t="s">
        <v>1544</v>
      </c>
      <c r="M84" s="53" t="s">
        <v>1545</v>
      </c>
    </row>
    <row r="85" spans="2:13" ht="17.25" customHeight="1" x14ac:dyDescent="0.25">
      <c r="B85" s="10" t="s">
        <v>1615</v>
      </c>
      <c r="C85" s="11">
        <v>1</v>
      </c>
      <c r="D85" s="12">
        <v>3</v>
      </c>
      <c r="E85" s="13">
        <v>79</v>
      </c>
      <c r="F85" s="14">
        <v>30638318470</v>
      </c>
      <c r="G85" s="57" t="str">
        <f>IFERROR(IF('Sep-22'!$F85="","-",VLOOKUP('Sep-22'!$F85,Lista_CUIT!$A$1:$D$1871,2,0)),"CUIT NO CARGADO")</f>
        <v>DELTA COMPRESION S.R.L</v>
      </c>
      <c r="H85" s="58">
        <v>6409325.9999999991</v>
      </c>
      <c r="I85" s="59"/>
      <c r="J85" s="60">
        <v>672979.22999999986</v>
      </c>
      <c r="K85" s="60"/>
      <c r="L85" s="60">
        <f>SUM('Sep-22'!$H85:$K85)</f>
        <v>7082305.2299999986</v>
      </c>
      <c r="M85" s="61"/>
    </row>
    <row r="86" spans="2:13" ht="17.25" customHeight="1" x14ac:dyDescent="0.25">
      <c r="B86" s="10" t="s">
        <v>1626</v>
      </c>
      <c r="C86" s="11">
        <v>1</v>
      </c>
      <c r="D86" s="12">
        <v>3</v>
      </c>
      <c r="E86" s="13">
        <v>80</v>
      </c>
      <c r="F86" s="14">
        <v>30638318470</v>
      </c>
      <c r="G86" s="57" t="str">
        <f>IFERROR(IF('Sep-22'!$F86="","-",VLOOKUP('Sep-22'!$F86,Lista_CUIT!$A$1:$D$1871,2,0)),"CUIT NO CARGADO")</f>
        <v>DELTA COMPRESION S.R.L</v>
      </c>
      <c r="H86" s="58">
        <v>6587196.0000000009</v>
      </c>
      <c r="I86" s="59"/>
      <c r="J86" s="60">
        <v>691655.58000000019</v>
      </c>
      <c r="K86" s="60"/>
      <c r="L86" s="60">
        <f>SUM('Sep-22'!$H86:$K86)</f>
        <v>7278851.580000001</v>
      </c>
      <c r="M86" s="61"/>
    </row>
    <row r="87" spans="2:13" ht="15.75" customHeight="1" x14ac:dyDescent="0.25">
      <c r="B87" s="10" t="s">
        <v>1621</v>
      </c>
      <c r="C87" s="11">
        <v>2</v>
      </c>
      <c r="D87" s="12">
        <v>3</v>
      </c>
      <c r="E87" s="13">
        <v>3</v>
      </c>
      <c r="F87" s="14">
        <v>30638318470</v>
      </c>
      <c r="G87" s="57" t="str">
        <f>IFERROR(IF('Sep-22'!$F87="","-",VLOOKUP('Sep-22'!$F87,Lista_CUIT!$A$1:$D$1871,2,0)),"CUIT NO CARGADO")</f>
        <v>DELTA COMPRESION S.R.L</v>
      </c>
      <c r="H87" s="58">
        <v>2629838.1452000001</v>
      </c>
      <c r="I87" s="59">
        <f>'Sep-22'!$H87*0.21</f>
        <v>552266.01049200003</v>
      </c>
      <c r="J87" s="60"/>
      <c r="K87" s="60"/>
      <c r="L87" s="60">
        <f>SUM('Sep-22'!$H87:$K87)</f>
        <v>3182104.1556919999</v>
      </c>
      <c r="M87" s="61"/>
    </row>
    <row r="88" spans="2:13" ht="15.75" customHeight="1" x14ac:dyDescent="0.25">
      <c r="B88" s="10"/>
      <c r="C88" s="11"/>
      <c r="D88" s="12"/>
      <c r="E88" s="13"/>
      <c r="F88" s="14"/>
      <c r="G88" s="57" t="str">
        <f>IFERROR(IF('Sep-22'!$F88="","-",VLOOKUP('Sep-22'!$F88,Lista_CUIT!$A$1:$D$1871,2,0)),"CUIT NO CARGADO")</f>
        <v>-</v>
      </c>
      <c r="H88" s="58"/>
      <c r="I88" s="59">
        <f>'Sep-22'!$H88*0.21</f>
        <v>0</v>
      </c>
      <c r="J88" s="60"/>
      <c r="K88" s="60"/>
      <c r="L88" s="60">
        <f>SUM('Sep-22'!$H88:$K88)</f>
        <v>0</v>
      </c>
      <c r="M88" s="61"/>
    </row>
    <row r="89" spans="2:13" ht="15.75" customHeight="1" x14ac:dyDescent="0.25">
      <c r="B89" s="10"/>
      <c r="C89" s="11"/>
      <c r="D89" s="12"/>
      <c r="E89" s="13"/>
      <c r="F89" s="14"/>
      <c r="G89" s="57" t="str">
        <f>IFERROR(IF('Sep-22'!$F89="","-",VLOOKUP('Sep-22'!$F89,Lista_CUIT!$A$1:$D$1871,2,0)),"CUIT NO CARGADO")</f>
        <v>-</v>
      </c>
      <c r="H89" s="58"/>
      <c r="I89" s="59">
        <f>'Sep-22'!$H89*0.21</f>
        <v>0</v>
      </c>
      <c r="J89" s="60"/>
      <c r="K89" s="60"/>
      <c r="L89" s="60">
        <f>SUM('Sep-22'!$H89:$K89)</f>
        <v>0</v>
      </c>
      <c r="M89" s="61"/>
    </row>
    <row r="90" spans="2:13" ht="15.75" customHeight="1" x14ac:dyDescent="0.25">
      <c r="B90" s="10"/>
      <c r="C90" s="11"/>
      <c r="D90" s="12"/>
      <c r="E90" s="13"/>
      <c r="F90" s="14"/>
      <c r="G90" s="57" t="str">
        <f>IFERROR(IF('Sep-22'!$F90="","-",VLOOKUP('Sep-22'!$F90,Lista_CUIT!$A$1:$D$1871,2,0)),"CUIT NO CARGADO")</f>
        <v>-</v>
      </c>
      <c r="H90" s="58"/>
      <c r="I90" s="59">
        <f>'Sep-22'!$H90*0.21</f>
        <v>0</v>
      </c>
      <c r="J90" s="60"/>
      <c r="K90" s="60"/>
      <c r="L90" s="60">
        <f>SUM('Sep-22'!$H90:$K90)</f>
        <v>0</v>
      </c>
      <c r="M90" s="61"/>
    </row>
    <row r="91" spans="2:13" ht="15.75" customHeight="1" x14ac:dyDescent="0.25">
      <c r="B91" s="10"/>
      <c r="C91" s="11"/>
      <c r="D91" s="12"/>
      <c r="E91" s="13"/>
      <c r="F91" s="14"/>
      <c r="G91" s="57" t="str">
        <f>IFERROR(IF('Sep-22'!$F91="","-",VLOOKUP('Sep-22'!$F91,Lista_CUIT!$A$1:$D$1871,2,0)),"CUIT NO CARGADO")</f>
        <v>-</v>
      </c>
      <c r="H91" s="58"/>
      <c r="I91" s="59">
        <f>'Sep-22'!$H91*0.21</f>
        <v>0</v>
      </c>
      <c r="J91" s="60"/>
      <c r="K91" s="60"/>
      <c r="L91" s="60">
        <f>SUM('Sep-22'!$H91:$K91)</f>
        <v>0</v>
      </c>
      <c r="M91" s="62"/>
    </row>
    <row r="92" spans="2:13" ht="15.75" customHeight="1" x14ac:dyDescent="0.25">
      <c r="B92" s="63"/>
      <c r="C92" s="64"/>
      <c r="D92" s="65"/>
      <c r="E92" s="66"/>
      <c r="F92" s="67"/>
      <c r="G92" s="57" t="str">
        <f>IFERROR(IF('Sep-22'!$F92="","-",VLOOKUP('Sep-22'!$F92,Lista_CUIT!$A$1:$D$1871,2,0)),"CUIT NO CARGADO")</f>
        <v>-</v>
      </c>
      <c r="H92" s="68"/>
      <c r="I92" s="69">
        <f>'Sep-22'!$H92*0.21</f>
        <v>0</v>
      </c>
      <c r="J92" s="70"/>
      <c r="K92" s="70"/>
      <c r="L92" s="70">
        <f>SUM('Sep-22'!$H92:$K92)</f>
        <v>0</v>
      </c>
      <c r="M92" s="62"/>
    </row>
    <row r="93" spans="2:13" ht="15.75" customHeight="1" x14ac:dyDescent="0.25">
      <c r="B93" s="71"/>
      <c r="C93" s="72"/>
      <c r="D93" s="73"/>
      <c r="E93" s="74"/>
      <c r="F93" s="75"/>
      <c r="G93" s="57" t="str">
        <f>IFERROR(IF('Sep-22'!$F93="","-",VLOOKUP('Sep-22'!$F93,Lista_CUIT!$A$1:$D$1871,2,0)),"CUIT NO CARGADO")</f>
        <v>-</v>
      </c>
      <c r="H93" s="58"/>
      <c r="I93" s="59">
        <f>'Sep-22'!$H93*0.21</f>
        <v>0</v>
      </c>
      <c r="J93" s="60"/>
      <c r="K93" s="60"/>
      <c r="L93" s="60">
        <f>SUM('Sep-22'!$H93:$K93)</f>
        <v>0</v>
      </c>
      <c r="M93" s="61"/>
    </row>
    <row r="94" spans="2:13" ht="15.75" customHeight="1" x14ac:dyDescent="0.25">
      <c r="B94" s="76" t="s">
        <v>1546</v>
      </c>
      <c r="C94" s="77"/>
      <c r="D94" s="77"/>
      <c r="E94" s="77"/>
      <c r="F94" s="77"/>
      <c r="G94" s="77"/>
      <c r="H94" s="78">
        <f>SUBTOTAL(109,'Sep-22'!$H$85:$H$93)</f>
        <v>15626360.145199999</v>
      </c>
      <c r="I94" s="79">
        <f>SUBTOTAL(109,'Sep-22'!$I$85:$I$93)</f>
        <v>552266.01049200003</v>
      </c>
      <c r="J94" s="70">
        <f>SUBTOTAL(109,'Sep-22'!$J$85:$J$93)</f>
        <v>1364634.81</v>
      </c>
      <c r="K94" s="70">
        <f>SUBTOTAL(109,'Sep-22'!$K$85:$K$93)</f>
        <v>0</v>
      </c>
      <c r="L94" s="70">
        <f>SUBTOTAL(109,'Sep-22'!$L$85:$L$93)</f>
        <v>17543260.965691999</v>
      </c>
      <c r="M94" s="80">
        <f>SUBTOTAL(103,'Sep-22'!$M$85:$M$93)</f>
        <v>0</v>
      </c>
    </row>
    <row r="95" spans="2:13" ht="15.75" customHeight="1" x14ac:dyDescent="0.25"/>
    <row r="96" spans="2:13" ht="18.75" customHeight="1" x14ac:dyDescent="0.25"/>
    <row r="97" spans="2:13" ht="28.5" customHeight="1" x14ac:dyDescent="0.25">
      <c r="B97" s="368" t="s">
        <v>1569</v>
      </c>
      <c r="C97" s="369"/>
    </row>
    <row r="98" spans="2:13" ht="15.75" customHeight="1" x14ac:dyDescent="0.25">
      <c r="B98" s="51" t="s">
        <v>1532</v>
      </c>
      <c r="C98" s="52" t="s">
        <v>1533</v>
      </c>
      <c r="D98" s="52" t="s">
        <v>1565</v>
      </c>
      <c r="E98" s="52" t="s">
        <v>1566</v>
      </c>
      <c r="F98" s="52" t="s">
        <v>0</v>
      </c>
      <c r="G98" s="52" t="s">
        <v>1</v>
      </c>
      <c r="H98" s="52" t="s">
        <v>1567</v>
      </c>
      <c r="I98" s="52" t="s">
        <v>1551</v>
      </c>
      <c r="J98" s="52" t="s">
        <v>1539</v>
      </c>
      <c r="K98" s="52" t="s">
        <v>1568</v>
      </c>
      <c r="L98" s="52" t="s">
        <v>1544</v>
      </c>
      <c r="M98" s="53" t="s">
        <v>1545</v>
      </c>
    </row>
    <row r="99" spans="2:13" ht="15.75" customHeight="1" x14ac:dyDescent="0.25">
      <c r="B99" s="10"/>
      <c r="C99" s="11"/>
      <c r="D99" s="12"/>
      <c r="E99" s="13"/>
      <c r="F99" s="14"/>
      <c r="G99" s="81" t="str">
        <f>IFERROR(IF('Sep-22'!$F99="","-",VLOOKUP('Sep-22'!$F99,Lista_CUIT!$A$1:$D$1871,2,0)),"CUIT NO CARGADO")</f>
        <v>-</v>
      </c>
      <c r="H99" s="82"/>
      <c r="I99" s="82">
        <f>'Sep-22'!$H99*0.21</f>
        <v>0</v>
      </c>
      <c r="J99" s="82"/>
      <c r="K99" s="82"/>
      <c r="L99" s="82">
        <f>SUM('Sep-22'!$H99:$K99)</f>
        <v>0</v>
      </c>
      <c r="M99" s="61"/>
    </row>
    <row r="100" spans="2:13" ht="15.75" customHeight="1" x14ac:dyDescent="0.25">
      <c r="B100" s="10"/>
      <c r="C100" s="11"/>
      <c r="D100" s="12"/>
      <c r="E100" s="13"/>
      <c r="F100" s="14"/>
      <c r="G100" s="81" t="str">
        <f>IFERROR(IF('Sep-22'!$F100="","-",VLOOKUP('Sep-22'!$F100,Lista_CUIT!$A$1:$D$1871,2,0)),"CUIT NO CARGADO")</f>
        <v>-</v>
      </c>
      <c r="H100" s="82"/>
      <c r="I100" s="82">
        <f>'Sep-22'!$H100*0.21</f>
        <v>0</v>
      </c>
      <c r="J100" s="82"/>
      <c r="K100" s="82"/>
      <c r="L100" s="82">
        <f>SUM('Sep-22'!$H100:$K100)</f>
        <v>0</v>
      </c>
      <c r="M100" s="61"/>
    </row>
    <row r="101" spans="2:13" ht="15.75" customHeight="1" x14ac:dyDescent="0.25">
      <c r="B101" s="10"/>
      <c r="C101" s="11"/>
      <c r="D101" s="12"/>
      <c r="E101" s="13"/>
      <c r="F101" s="14"/>
      <c r="G101" s="81" t="str">
        <f>IFERROR(IF('Sep-22'!$F101="","-",VLOOKUP('Sep-22'!$F101,Lista_CUIT!$A$1:$D$1871,2,0)),"CUIT NO CARGADO")</f>
        <v>-</v>
      </c>
      <c r="H101" s="82"/>
      <c r="I101" s="82">
        <f>'Sep-22'!$H101*0.21</f>
        <v>0</v>
      </c>
      <c r="J101" s="82"/>
      <c r="K101" s="82"/>
      <c r="L101" s="82">
        <f>SUM('Sep-22'!$H101:$K101)</f>
        <v>0</v>
      </c>
      <c r="M101" s="61"/>
    </row>
    <row r="102" spans="2:13" ht="15.75" customHeight="1" x14ac:dyDescent="0.25">
      <c r="B102" s="10"/>
      <c r="C102" s="11"/>
      <c r="D102" s="12"/>
      <c r="E102" s="13"/>
      <c r="F102" s="14"/>
      <c r="G102" s="81"/>
      <c r="H102" s="82"/>
      <c r="I102" s="82">
        <f>'Sep-22'!$H102*0.21</f>
        <v>0</v>
      </c>
      <c r="J102" s="82"/>
      <c r="K102" s="82"/>
      <c r="L102" s="82">
        <f>SUM('Sep-22'!$H102:$K102)</f>
        <v>0</v>
      </c>
      <c r="M102" s="61"/>
    </row>
    <row r="103" spans="2:13" ht="15.75" customHeight="1" x14ac:dyDescent="0.25">
      <c r="B103" s="10"/>
      <c r="C103" s="11"/>
      <c r="D103" s="12"/>
      <c r="E103" s="13"/>
      <c r="F103" s="14"/>
      <c r="G103" s="81"/>
      <c r="H103" s="82"/>
      <c r="I103" s="82">
        <f>'Sep-22'!$H103*0.21</f>
        <v>0</v>
      </c>
      <c r="J103" s="82"/>
      <c r="K103" s="82"/>
      <c r="L103" s="82">
        <f>SUM('Sep-22'!$H103:$K103)</f>
        <v>0</v>
      </c>
      <c r="M103" s="61"/>
    </row>
    <row r="104" spans="2:13" ht="15.75" customHeight="1" x14ac:dyDescent="0.25">
      <c r="B104" s="10"/>
      <c r="C104" s="11"/>
      <c r="D104" s="12"/>
      <c r="E104" s="13"/>
      <c r="F104" s="14"/>
      <c r="G104" s="81"/>
      <c r="H104" s="82"/>
      <c r="I104" s="82">
        <f>'Sep-22'!$H104*0.21</f>
        <v>0</v>
      </c>
      <c r="J104" s="82"/>
      <c r="K104" s="82"/>
      <c r="L104" s="82">
        <f>SUM('Sep-22'!$H104:$K104)</f>
        <v>0</v>
      </c>
      <c r="M104" s="61"/>
    </row>
    <row r="105" spans="2:13" ht="15.75" customHeight="1" x14ac:dyDescent="0.25">
      <c r="B105" s="76" t="s">
        <v>1546</v>
      </c>
      <c r="C105" s="77"/>
      <c r="D105" s="77"/>
      <c r="E105" s="77"/>
      <c r="F105" s="77"/>
      <c r="G105" s="77"/>
      <c r="H105" s="83">
        <f>SUBTOTAL(109,'Sep-22'!$H$99:$H$104)</f>
        <v>0</v>
      </c>
      <c r="I105" s="83">
        <f>SUBTOTAL(109,'Sep-22'!$I$99:$I$104)</f>
        <v>0</v>
      </c>
      <c r="J105" s="84">
        <f>SUBTOTAL(109,'Sep-22'!$J$99:$J$104)</f>
        <v>0</v>
      </c>
      <c r="K105" s="84">
        <f>SUBTOTAL(109,'Sep-22'!$K$99:$K$104)</f>
        <v>0</v>
      </c>
      <c r="L105" s="84">
        <f>SUBTOTAL(109,'Sep-22'!$L$99:$L$104)</f>
        <v>0</v>
      </c>
      <c r="M105" s="80">
        <f>SUBTOTAL(103,'Sep-22'!$M$99:$M$104)</f>
        <v>0</v>
      </c>
    </row>
    <row r="106" spans="2:13" ht="15.75" customHeight="1" x14ac:dyDescent="0.25"/>
    <row r="107" spans="2:13" ht="15.75" customHeight="1" x14ac:dyDescent="0.25">
      <c r="B107" s="360" t="s">
        <v>1570</v>
      </c>
      <c r="C107" s="351"/>
      <c r="D107" s="351"/>
      <c r="E107" s="352"/>
    </row>
    <row r="108" spans="2:13" ht="36.75" customHeight="1" x14ac:dyDescent="0.25">
      <c r="B108" s="138" t="s">
        <v>1532</v>
      </c>
      <c r="C108" s="113" t="s">
        <v>1571</v>
      </c>
      <c r="D108" s="113" t="s">
        <v>0</v>
      </c>
      <c r="E108" s="113" t="s">
        <v>1</v>
      </c>
      <c r="F108" s="113" t="s">
        <v>1572</v>
      </c>
      <c r="G108" s="113" t="s">
        <v>1573</v>
      </c>
      <c r="H108" s="113" t="s">
        <v>1574</v>
      </c>
      <c r="I108" s="139" t="s">
        <v>1544</v>
      </c>
    </row>
    <row r="109" spans="2:13" ht="15.75" customHeight="1" x14ac:dyDescent="0.25">
      <c r="B109" s="140" t="s">
        <v>1624</v>
      </c>
      <c r="C109" s="110" t="s">
        <v>1627</v>
      </c>
      <c r="D109" s="141">
        <v>55000000050</v>
      </c>
      <c r="E109" s="3"/>
      <c r="F109" s="142">
        <v>5500</v>
      </c>
      <c r="G109" s="3"/>
      <c r="H109" s="143">
        <v>146.26</v>
      </c>
      <c r="I109" s="3">
        <f>'Sep-22'!$F109*'Sep-22'!$H109</f>
        <v>804430</v>
      </c>
    </row>
    <row r="110" spans="2:13" ht="15.75" customHeight="1" x14ac:dyDescent="0.25">
      <c r="B110" s="3"/>
      <c r="C110" s="3"/>
      <c r="D110" s="3"/>
      <c r="E110" s="3"/>
      <c r="F110" s="3"/>
      <c r="G110" s="3"/>
      <c r="H110" s="3"/>
      <c r="I110" s="3">
        <f>'Sep-22'!$F110*'Sep-22'!$H110</f>
        <v>0</v>
      </c>
    </row>
    <row r="111" spans="2:13" ht="15.75" customHeight="1" x14ac:dyDescent="0.25">
      <c r="B111" s="123" t="s">
        <v>1546</v>
      </c>
      <c r="C111" s="122"/>
      <c r="D111" s="122"/>
      <c r="E111" s="122"/>
      <c r="F111" s="122"/>
      <c r="G111" s="122"/>
      <c r="H111" s="122"/>
      <c r="I111" s="123">
        <f>SUBTOTAL(109,I109:I110)</f>
        <v>804430</v>
      </c>
    </row>
    <row r="112" spans="2:13" ht="15.75" customHeight="1" x14ac:dyDescent="0.25"/>
    <row r="113" spans="3:12" ht="15.75" customHeight="1" x14ac:dyDescent="0.25">
      <c r="C113" s="361" t="s">
        <v>1575</v>
      </c>
      <c r="D113" s="362"/>
      <c r="E113" s="362"/>
      <c r="F113" s="362"/>
      <c r="G113" s="363"/>
      <c r="H113" s="89"/>
      <c r="I113" s="89"/>
      <c r="J113" s="89"/>
    </row>
    <row r="114" spans="3:12" ht="15.75" customHeight="1" x14ac:dyDescent="0.25">
      <c r="C114" s="90" t="s">
        <v>1576</v>
      </c>
      <c r="D114" s="91" t="s">
        <v>1577</v>
      </c>
      <c r="E114" s="91" t="s">
        <v>1578</v>
      </c>
      <c r="F114" s="91" t="s">
        <v>0</v>
      </c>
      <c r="G114" s="91" t="s">
        <v>1</v>
      </c>
      <c r="H114" s="92" t="s">
        <v>1579</v>
      </c>
      <c r="I114" s="92" t="s">
        <v>1580</v>
      </c>
      <c r="J114" s="92" t="s">
        <v>1581</v>
      </c>
      <c r="K114" s="92" t="s">
        <v>1582</v>
      </c>
      <c r="L114" s="92" t="s">
        <v>1583</v>
      </c>
    </row>
    <row r="115" spans="3:12" ht="15.75" customHeight="1" x14ac:dyDescent="0.25">
      <c r="C115" s="54"/>
      <c r="D115" s="93"/>
      <c r="E115" s="93"/>
      <c r="F115" s="56"/>
      <c r="G115" s="46" t="str">
        <f>IFERROR(IF('Sep-22'!$F115="","-",VLOOKUP('Sep-22'!$F115,Lista_CUIT!$A$1:$D$1871,2,0)),"CUIT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54"/>
      <c r="D116" s="93"/>
      <c r="E116" s="93"/>
      <c r="F116" s="56"/>
      <c r="G116" s="46" t="str">
        <f>IFERROR(IF('Sep-22'!$F116="","-",VLOOKUP('Sep-22'!$F116,Lista_CUIT!$A$1:$D$1871,2,0)),"CUIT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54"/>
      <c r="D117" s="93"/>
      <c r="E117" s="93"/>
      <c r="F117" s="56"/>
      <c r="G117" s="46" t="str">
        <f>IFERROR(IF('Sep-22'!$F117="","-",VLOOKUP('Sep-22'!$F117,Lista_CUIT!$A$1:$D$1871,2,0)),"CUIT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25">
      <c r="C118" s="54"/>
      <c r="D118" s="93"/>
      <c r="E118" s="93"/>
      <c r="F118" s="56"/>
      <c r="G118" s="46" t="str">
        <f>IFERROR(IF('Sep-22'!$F118="","-",VLOOKUP('Sep-22'!$F118,Lista_CUIT!$A$1:$D$1871,2,0)),"CUIT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3"/>
      <c r="D119" s="93"/>
      <c r="E119" s="93"/>
      <c r="F119" s="3"/>
      <c r="G119" s="46" t="str">
        <f>IFERROR(IF('Sep-22'!$F119="","-",VLOOKUP('Sep-22'!$F119,Lista_CUIT!$A$1:$D$1871,2,0)),"CUIT NO CARGADO")</f>
        <v>-</v>
      </c>
      <c r="H119" s="3"/>
      <c r="I119" s="3"/>
      <c r="J119" s="3"/>
      <c r="K119" s="3"/>
      <c r="L119" s="3"/>
    </row>
    <row r="120" spans="3:12" ht="15.75" customHeight="1" x14ac:dyDescent="0.25">
      <c r="C120" s="95"/>
    </row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1">
    <mergeCell ref="P4:R4"/>
    <mergeCell ref="D44:L44"/>
    <mergeCell ref="B107:E107"/>
    <mergeCell ref="C113:G113"/>
    <mergeCell ref="B3:E3"/>
    <mergeCell ref="B4:E4"/>
    <mergeCell ref="G4:H4"/>
    <mergeCell ref="D53:K53"/>
    <mergeCell ref="B81:J81"/>
    <mergeCell ref="K81:M81"/>
    <mergeCell ref="B83:C83"/>
    <mergeCell ref="B97:C97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7">
    <dataValidation type="decimal" operator="lessThanOrEqual" allowBlank="1" showErrorMessage="1" sqref="D9:D38" xr:uid="{00000000-0002-0000-0600-000000000000}">
      <formula1>9999</formula1>
    </dataValidation>
    <dataValidation type="custom" allowBlank="1" showErrorMessage="1" sqref="H99:L104" xr:uid="{00000000-0002-0000-0600-000001000000}">
      <formula1>IF($C99=8,H99&lt;0,H99&gt;=0)</formula1>
    </dataValidation>
    <dataValidation type="decimal" allowBlank="1" showErrorMessage="1" sqref="F9:F12 F14:F21 D109" xr:uid="{00000000-0002-0000-0600-000002000000}">
      <formula1>10000000000</formula1>
      <formula2>99999999999</formula2>
    </dataValidation>
    <dataValidation type="custom" allowBlank="1" showErrorMessage="1" sqref="L90:L91" xr:uid="{00000000-0002-0000-0600-000003000000}">
      <formula1>IF($C39=3,L39&lt;0,L39&gt;=0)</formula1>
    </dataValidation>
    <dataValidation type="custom" allowBlank="1" showErrorMessage="1" sqref="L85:L86" xr:uid="{00000000-0002-0000-0600-000004000000}">
      <formula1>IF(#REF!=3,#REF!&lt;0,#REF!&gt;=0)</formula1>
    </dataValidation>
    <dataValidation type="decimal" allowBlank="1" showErrorMessage="1" sqref="F55:F74 E85:E93 E99:E104" xr:uid="{00000000-0002-0000-0600-000005000000}">
      <formula1>1</formula1>
      <formula2>99999999</formula2>
    </dataValidation>
    <dataValidation type="custom" allowBlank="1" showErrorMessage="1" sqref="L87:L89" xr:uid="{00000000-0002-0000-0600-000006000000}">
      <formula1>IF($C24=3,L24&lt;0,L24&gt;=0)</formula1>
    </dataValidation>
    <dataValidation type="custom" allowBlank="1" showInputMessage="1" showErrorMessage="1" prompt="1-FA_x000a_2-ND_x000a_3-NC" sqref="C9:C38" xr:uid="{00000000-0002-0000-0600-000007000000}">
      <formula1>OR(C9=1,C9=3,C9=99,C9=2,C9=52,C9=51,C9=53)</formula1>
    </dataValidation>
    <dataValidation type="decimal" allowBlank="1" showErrorMessage="1" sqref="C40:C43 C85:C93" xr:uid="{00000000-0002-0000-0600-000008000000}">
      <formula1>1</formula1>
      <formula2>3</formula2>
    </dataValidation>
    <dataValidation type="decimal" operator="lessThanOrEqual" allowBlank="1" showErrorMessage="1" sqref="E9:E38" xr:uid="{00000000-0002-0000-0600-000009000000}">
      <formula1>99999999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8" xr:uid="{00000000-0002-0000-0600-00000A000000}">
      <formula1>IF($C9=3,H9&lt;0,H9&gt;=0)</formula1>
    </dataValidation>
    <dataValidation type="custom" allowBlank="1" showErrorMessage="1" sqref="H85:K85 H87:K87 H89:K89 H91:K91" xr:uid="{00000000-0002-0000-0600-00000B000000}">
      <formula1>IF($C85=3,H85&lt;0,H85&gt;=0)</formula1>
    </dataValidation>
    <dataValidation type="decimal" allowBlank="1" showErrorMessage="1" sqref="C99:C104" xr:uid="{00000000-0002-0000-0600-00000C000000}">
      <formula1>6</formula1>
      <formula2>8</formula2>
    </dataValidation>
    <dataValidation type="decimal" allowBlank="1" showErrorMessage="1" sqref="G55:G74 F85:F93 F99:F104" xr:uid="{00000000-0002-0000-0600-00000D000000}">
      <formula1>20000000000</formula1>
      <formula2>33999999999</formula2>
    </dataValidation>
    <dataValidation type="date" allowBlank="1" showErrorMessage="1" sqref="B40:B43 D55:D74 B85:B93 B99:B104 D46:D49" xr:uid="{00000000-0002-0000-0600-00000E000000}">
      <formula1>40179</formula1>
      <formula2>TODAY()</formula2>
    </dataValidation>
    <dataValidation type="decimal" allowBlank="1" showErrorMessage="1" sqref="E55:E74 D85:D93 D99:D104" xr:uid="{00000000-0002-0000-0600-00000F000000}">
      <formula1>1</formula1>
      <formula2>9999</formula2>
    </dataValidation>
    <dataValidation type="date" operator="lessThan" allowBlank="1" showErrorMessage="1" sqref="B9:B38" xr:uid="{00000000-0002-0000-0600-000010000000}">
      <formula1>$Q$1+1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DE9D9"/>
  </sheetPr>
  <dimension ref="A1:Z997"/>
  <sheetViews>
    <sheetView showGridLines="0" topLeftCell="A16" zoomScale="90" zoomScaleNormal="90" workbookViewId="0">
      <selection activeCell="E42" sqref="E42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5.42578125" customWidth="1"/>
    <col min="10" max="10" width="16.71093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53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EDATE('Abr-22'!N1,6)</f>
        <v>44835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SUM('Oct-22'!$H$50)+'Oct-22'!$G$62</f>
        <v>2590395.1274285703</v>
      </c>
      <c r="C4" s="351"/>
      <c r="D4" s="351"/>
      <c r="E4" s="352"/>
      <c r="F4" s="8"/>
      <c r="G4" s="365">
        <f>'Oct-22'!$I$50+'Oct-22'!$J$50+'Oct-22'!$K$50+'Oct-22'!$H$62+'Oct-22'!$I$62</f>
        <v>535689.20879999991</v>
      </c>
      <c r="H4" s="352"/>
      <c r="I4" s="8"/>
      <c r="J4" s="370">
        <f>'Oct-22'!$H$106+'Oct-22'!$H$117</f>
        <v>24333688.563099999</v>
      </c>
      <c r="K4" s="352"/>
      <c r="L4" s="8"/>
      <c r="M4" s="370">
        <f>'Oct-22'!$I$106+'Oct-22'!$J$106+'Oct-22'!$I$117+'Oct-22'!$J$117</f>
        <v>2916639.192516</v>
      </c>
      <c r="N4" s="352"/>
      <c r="O4" s="8"/>
      <c r="P4" s="358">
        <f>G4-M4</f>
        <v>-2380949.9837159999</v>
      </c>
      <c r="Q4" s="351"/>
      <c r="R4" s="352"/>
    </row>
    <row r="5" spans="1:19" ht="12.75" customHeight="1" x14ac:dyDescent="0.25"/>
    <row r="6" spans="1:19" ht="10.5" customHeight="1" x14ac:dyDescent="0.25"/>
    <row r="7" spans="1:19" ht="25.5" customHeight="1" x14ac:dyDescent="0.25">
      <c r="A7" s="9"/>
      <c r="B7" s="10"/>
      <c r="C7" s="11"/>
      <c r="D7" s="12"/>
      <c r="E7" s="13"/>
      <c r="F7" s="14"/>
      <c r="G7" s="144" t="s">
        <v>1628</v>
      </c>
      <c r="H7" s="16"/>
      <c r="I7" s="17"/>
      <c r="J7" s="17"/>
      <c r="K7" s="17"/>
      <c r="L7" s="17"/>
      <c r="M7" s="17"/>
      <c r="N7" s="17"/>
      <c r="O7" s="17"/>
      <c r="P7" s="20"/>
      <c r="Q7" s="21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22" t="s">
        <v>2</v>
      </c>
      <c r="R8" s="22" t="s">
        <v>1545</v>
      </c>
    </row>
    <row r="9" spans="1:19" ht="15" customHeight="1" x14ac:dyDescent="0.25">
      <c r="B9" s="24">
        <v>44837</v>
      </c>
      <c r="C9" s="25">
        <v>3</v>
      </c>
      <c r="D9" s="26">
        <v>2</v>
      </c>
      <c r="E9" s="27">
        <v>2</v>
      </c>
      <c r="F9" s="28">
        <v>20125142851</v>
      </c>
      <c r="G9" s="29" t="str">
        <f>IFERROR(IF('Oct-22'!$F9="","-",VLOOKUP('Oct-22'!$F9,Lista_CUIT!$A$1:$D$1871,2,0)),"CUIT NO CARGADO")</f>
        <v>FEDERICI NICOLAS JOSE</v>
      </c>
      <c r="H9" s="30">
        <v>-72376.33</v>
      </c>
      <c r="I9" s="31">
        <f>IF('Oct-22'!$H9="","",'Oct-22'!$H9*0.21)</f>
        <v>-15199.0293</v>
      </c>
      <c r="J9" s="31"/>
      <c r="K9" s="31"/>
      <c r="L9" s="31"/>
      <c r="M9" s="31"/>
      <c r="N9" s="31"/>
      <c r="O9" s="31"/>
      <c r="P9" s="32">
        <f>SUM('Oct-22'!$H9:$O9)</f>
        <v>-87575.359299999996</v>
      </c>
      <c r="Q9" s="21" t="str">
        <f>IFERROR(IF('Oct-22'!$F9="","-",VLOOKUP('Oct-22'!$F9,Lista_CUIT!$A$1:$D$1871,3,0)),"CUIT NO CARGADO")</f>
        <v>INSUMO</v>
      </c>
      <c r="R9" s="21">
        <f>IFERROR(IF('Oct-22'!$F9="","-",VLOOKUP('Oct-22'!$F9,Lista_CUIT!$A$1:$D$1871,4,0)),"CUIT NO CARGADO")</f>
        <v>0</v>
      </c>
    </row>
    <row r="10" spans="1:19" ht="15" customHeight="1" x14ac:dyDescent="0.25">
      <c r="B10" s="10">
        <v>44834</v>
      </c>
      <c r="C10" s="11">
        <v>1</v>
      </c>
      <c r="D10" s="12">
        <v>3</v>
      </c>
      <c r="E10" s="13">
        <v>7</v>
      </c>
      <c r="F10" s="14">
        <v>20386178209</v>
      </c>
      <c r="G10" s="15" t="str">
        <f>IFERROR(IF('Oct-22'!$F10="","-",VLOOKUP('Oct-22'!$F10,Lista_CUIT!$A$1:$D$1871,2,0)),"CUIT NO CARGADO")</f>
        <v>CLEMENTE LUCAS IVAN</v>
      </c>
      <c r="H10" s="16">
        <v>120000</v>
      </c>
      <c r="I10" s="23">
        <f>IF('Oct-22'!$H10="","",'Oct-22'!$H10*0.21)</f>
        <v>25200</v>
      </c>
      <c r="J10" s="23"/>
      <c r="K10" s="23"/>
      <c r="L10" s="23"/>
      <c r="M10" s="23"/>
      <c r="N10" s="23"/>
      <c r="O10" s="23"/>
      <c r="P10" s="20">
        <f>SUM('Oct-22'!$H10:$O10)</f>
        <v>145200</v>
      </c>
      <c r="Q10" s="21" t="str">
        <f>IFERROR(IF('Oct-22'!$F10="","-",VLOOKUP('Oct-22'!$F10,Lista_CUIT!$A$1:$D$1871,3,0)),"CUIT NO CARGADO")</f>
        <v>Servicios de Publicidad</v>
      </c>
      <c r="R10" s="21">
        <f>IFERROR(IF('Oct-22'!$F10="","-",VLOOKUP('Oct-22'!$F10,Lista_CUIT!$A$1:$D$1871,4,0)),"CUIT NO CARGADO")</f>
        <v>0</v>
      </c>
    </row>
    <row r="11" spans="1:19" ht="15" customHeight="1" x14ac:dyDescent="0.25">
      <c r="B11" s="10">
        <v>44854</v>
      </c>
      <c r="C11" s="11">
        <v>1</v>
      </c>
      <c r="D11" s="12">
        <v>3</v>
      </c>
      <c r="E11" s="13">
        <v>8</v>
      </c>
      <c r="F11" s="14">
        <v>20297899830</v>
      </c>
      <c r="G11" s="15" t="str">
        <f>IFERROR(IF('Oct-22'!$F11="","-",VLOOKUP('Oct-22'!$F11,Lista_CUIT!$A$1:$D$1871,2,0)),"CUIT NO CARGADO")</f>
        <v>FUNK MATIAS NICOLAS</v>
      </c>
      <c r="H11" s="16">
        <v>91908</v>
      </c>
      <c r="I11" s="23">
        <f>IF('Oct-22'!$H11="","",'Oct-22'!$H11*0.21)</f>
        <v>19300.68</v>
      </c>
      <c r="J11" s="23"/>
      <c r="K11" s="23"/>
      <c r="L11" s="23"/>
      <c r="M11" s="23"/>
      <c r="N11" s="23"/>
      <c r="O11" s="23">
        <v>638.72</v>
      </c>
      <c r="P11" s="20">
        <f>SUM('Oct-22'!$H11:$O11)</f>
        <v>111847.4</v>
      </c>
      <c r="Q11" s="21" t="str">
        <f>IFERROR(IF('Oct-22'!$F11="","-",VLOOKUP('Oct-22'!$F11,Lista_CUIT!$A$1:$D$1871,3,0)),"CUIT NO CARGADO")</f>
        <v>Servicios Torneria</v>
      </c>
      <c r="R11" s="21">
        <f>IFERROR(IF('Oct-22'!$F11="","-",VLOOKUP('Oct-22'!$F11,Lista_CUIT!$A$1:$D$1871,4,0)),"CUIT NO CARGADO")</f>
        <v>0</v>
      </c>
    </row>
    <row r="12" spans="1:19" ht="15" customHeight="1" x14ac:dyDescent="0.25">
      <c r="B12" s="24">
        <v>44845</v>
      </c>
      <c r="C12" s="25">
        <v>3</v>
      </c>
      <c r="D12" s="26">
        <v>5</v>
      </c>
      <c r="E12" s="27">
        <v>17</v>
      </c>
      <c r="F12" s="28">
        <v>27314756121</v>
      </c>
      <c r="G12" s="29" t="str">
        <f>IFERROR(IF('Oct-22'!$F12="","-",VLOOKUP('Oct-22'!$F12,Lista_CUIT!$A$1:$D$1871,2,0)),"CUIT NO CARGADO")</f>
        <v>TABORDA DRA. NADIA J.</v>
      </c>
      <c r="H12" s="30">
        <v>-6500</v>
      </c>
      <c r="I12" s="31">
        <f>IF('Oct-22'!$H12="","",'Oct-22'!$H12*0.21)</f>
        <v>-1365</v>
      </c>
      <c r="J12" s="31"/>
      <c r="K12" s="31"/>
      <c r="L12" s="31"/>
      <c r="M12" s="31"/>
      <c r="N12" s="31"/>
      <c r="O12" s="31">
        <v>-447</v>
      </c>
      <c r="P12" s="32">
        <f>SUM('Oct-22'!$H12:$O12)</f>
        <v>-8312</v>
      </c>
      <c r="Q12" s="21" t="str">
        <f>IFERROR(IF('Oct-22'!$F12="","-",VLOOKUP('Oct-22'!$F12,Lista_CUIT!$A$1:$D$1871,3,0)),"CUIT NO CARGADO")</f>
        <v>Honorarios Legales</v>
      </c>
      <c r="R12" s="21">
        <f>IFERROR(IF('Oct-22'!$F12="","-",VLOOKUP('Oct-22'!$F12,Lista_CUIT!$A$1:$D$1871,4,0)),"CUIT NO CARGADO")</f>
        <v>0</v>
      </c>
    </row>
    <row r="13" spans="1:19" ht="15" customHeight="1" x14ac:dyDescent="0.25">
      <c r="B13" s="10">
        <v>44837</v>
      </c>
      <c r="C13" s="11">
        <v>1</v>
      </c>
      <c r="D13" s="12">
        <v>2</v>
      </c>
      <c r="E13" s="13">
        <v>146</v>
      </c>
      <c r="F13" s="14">
        <v>20125142851</v>
      </c>
      <c r="G13" s="15" t="str">
        <f>IFERROR(IF('Oct-22'!$F13="","-",VLOOKUP('Oct-22'!$F13,Lista_CUIT!$A$1:$D$1871,2,0)),"CUIT NO CARGADO")</f>
        <v>FEDERICI NICOLAS JOSE</v>
      </c>
      <c r="H13" s="16">
        <v>64838.76</v>
      </c>
      <c r="I13" s="23">
        <f>IF('Oct-22'!$H13="","",'Oct-22'!$H13*0.21)</f>
        <v>13616.1396</v>
      </c>
      <c r="J13" s="23"/>
      <c r="K13" s="23"/>
      <c r="L13" s="23"/>
      <c r="M13" s="23"/>
      <c r="N13" s="23"/>
      <c r="O13" s="23"/>
      <c r="P13" s="20">
        <f>SUM('Oct-22'!$H13:$O13)</f>
        <v>78454.899600000004</v>
      </c>
      <c r="Q13" s="21" t="str">
        <f>IFERROR(IF('Oct-22'!$F13="","-",VLOOKUP('Oct-22'!$F13,Lista_CUIT!$A$1:$D$1871,3,0)),"CUIT NO CARGADO")</f>
        <v>INSUMO</v>
      </c>
      <c r="R13" s="21">
        <f>IFERROR(IF('Oct-22'!$F13="","-",VLOOKUP('Oct-22'!$F13,Lista_CUIT!$A$1:$D$1871,4,0)),"CUIT NO CARGADO")</f>
        <v>0</v>
      </c>
    </row>
    <row r="14" spans="1:19" ht="15" customHeight="1" x14ac:dyDescent="0.25">
      <c r="B14" s="10">
        <v>44837</v>
      </c>
      <c r="C14" s="11">
        <v>1</v>
      </c>
      <c r="D14" s="12">
        <v>2</v>
      </c>
      <c r="E14" s="13">
        <v>148</v>
      </c>
      <c r="F14" s="14">
        <v>20125142851</v>
      </c>
      <c r="G14" s="15" t="str">
        <f>IFERROR(IF('Oct-22'!$F14="","-",VLOOKUP('Oct-22'!$F14,Lista_CUIT!$A$1:$D$1871,2,0)),"CUIT NO CARGADO")</f>
        <v>FEDERICI NICOLAS JOSE</v>
      </c>
      <c r="H14" s="16">
        <v>72376.320000000007</v>
      </c>
      <c r="I14" s="23">
        <f>IF('Oct-22'!$H14="","",'Oct-22'!$H14*0.21)</f>
        <v>15199.0272</v>
      </c>
      <c r="J14" s="23"/>
      <c r="K14" s="23"/>
      <c r="L14" s="23"/>
      <c r="M14" s="23"/>
      <c r="N14" s="23"/>
      <c r="O14" s="23"/>
      <c r="P14" s="20">
        <f>SUM('Oct-22'!$H14:$O14)</f>
        <v>87575.347200000004</v>
      </c>
      <c r="Q14" s="21" t="str">
        <f>IFERROR(IF('Oct-22'!$F14="","-",VLOOKUP('Oct-22'!$F14,Lista_CUIT!$A$1:$D$1871,3,0)),"CUIT NO CARGADO")</f>
        <v>INSUMO</v>
      </c>
      <c r="R14" s="21">
        <f>IFERROR(IF('Oct-22'!$F14="","-",VLOOKUP('Oct-22'!$F14,Lista_CUIT!$A$1:$D$1871,4,0)),"CUIT NO CARGADO")</f>
        <v>0</v>
      </c>
    </row>
    <row r="15" spans="1:19" ht="15" customHeight="1" x14ac:dyDescent="0.25">
      <c r="B15" s="10">
        <v>44844</v>
      </c>
      <c r="C15" s="11">
        <v>1</v>
      </c>
      <c r="D15" s="12">
        <v>2</v>
      </c>
      <c r="E15" s="13">
        <v>149</v>
      </c>
      <c r="F15" s="14">
        <v>20125142851</v>
      </c>
      <c r="G15" s="15" t="str">
        <f>IFERROR(IF('Oct-22'!$F15="","-",VLOOKUP('Oct-22'!$F15,Lista_CUIT!$A$1:$D$1871,2,0)),"CUIT NO CARGADO")</f>
        <v>FEDERICI NICOLAS JOSE</v>
      </c>
      <c r="H15" s="16">
        <v>64838.76</v>
      </c>
      <c r="I15" s="23">
        <f>IF('Oct-22'!$H15="","",'Oct-22'!$H15*0.21)</f>
        <v>13616.1396</v>
      </c>
      <c r="J15" s="23"/>
      <c r="K15" s="23"/>
      <c r="L15" s="23"/>
      <c r="M15" s="23"/>
      <c r="N15" s="23"/>
      <c r="O15" s="23">
        <v>1560.79</v>
      </c>
      <c r="P15" s="20">
        <f>SUM('Oct-22'!$H15:$O15)</f>
        <v>80015.689599999998</v>
      </c>
      <c r="Q15" s="21" t="str">
        <f>IFERROR(IF('Oct-22'!$F15="","-",VLOOKUP('Oct-22'!$F15,Lista_CUIT!$A$1:$D$1871,3,0)),"CUIT NO CARGADO")</f>
        <v>INSUMO</v>
      </c>
      <c r="R15" s="21">
        <f>IFERROR(IF('Oct-22'!$F15="","-",VLOOKUP('Oct-22'!$F15,Lista_CUIT!$A$1:$D$1871,4,0)),"CUIT NO CARGADO")</f>
        <v>0</v>
      </c>
    </row>
    <row r="16" spans="1:19" ht="15" customHeight="1" x14ac:dyDescent="0.25">
      <c r="B16" s="10">
        <v>44844</v>
      </c>
      <c r="C16" s="11">
        <v>1</v>
      </c>
      <c r="D16" s="12">
        <v>2</v>
      </c>
      <c r="E16" s="13">
        <v>150</v>
      </c>
      <c r="F16" s="14">
        <v>20125142851</v>
      </c>
      <c r="G16" s="15" t="str">
        <f>IFERROR(IF('Oct-22'!$F16="","-",VLOOKUP('Oct-22'!$F16,Lista_CUIT!$A$1:$D$1871,2,0)),"CUIT NO CARGADO")</f>
        <v>FEDERICI NICOLAS JOSE</v>
      </c>
      <c r="H16" s="16">
        <v>73328.639999999999</v>
      </c>
      <c r="I16" s="23">
        <f>IF('Oct-22'!$H16="","",'Oct-22'!$H16*0.21)</f>
        <v>15399.0144</v>
      </c>
      <c r="J16" s="23"/>
      <c r="K16" s="23"/>
      <c r="L16" s="23"/>
      <c r="M16" s="23"/>
      <c r="N16" s="23"/>
      <c r="O16" s="23"/>
      <c r="P16" s="20">
        <f>SUM('Oct-22'!$H16:$O16)</f>
        <v>88727.654399999999</v>
      </c>
      <c r="Q16" s="21" t="str">
        <f>IFERROR(IF('Oct-22'!$F16="","-",VLOOKUP('Oct-22'!$F16,Lista_CUIT!$A$1:$D$1871,3,0)),"CUIT NO CARGADO")</f>
        <v>INSUMO</v>
      </c>
      <c r="R16" s="21">
        <f>IFERROR(IF('Oct-22'!$F16="","-",VLOOKUP('Oct-22'!$F16,Lista_CUIT!$A$1:$D$1871,4,0)),"CUIT NO CARGADO")</f>
        <v>0</v>
      </c>
    </row>
    <row r="17" spans="1:26" ht="15" customHeight="1" x14ac:dyDescent="0.25">
      <c r="B17" s="145">
        <v>44862</v>
      </c>
      <c r="C17" s="146">
        <v>1</v>
      </c>
      <c r="D17" s="147">
        <v>5</v>
      </c>
      <c r="E17" s="148">
        <v>188</v>
      </c>
      <c r="F17" s="149">
        <v>20187460570</v>
      </c>
      <c r="G17" s="150" t="str">
        <f>IFERROR(IF('Oct-22'!$F17="","-",VLOOKUP('Oct-22'!$F17,Lista_CUIT!$A$1:$D$1871,2,0)),"CUIT NO CARGADO")</f>
        <v>OSINAGA PEREZ PEDRO</v>
      </c>
      <c r="H17" s="151">
        <v>11755.65</v>
      </c>
      <c r="I17" s="152"/>
      <c r="J17" s="152"/>
      <c r="K17" s="152">
        <v>1234.3399999999999</v>
      </c>
      <c r="L17" s="152"/>
      <c r="M17" s="152"/>
      <c r="N17" s="152"/>
      <c r="O17" s="152">
        <v>2799.96</v>
      </c>
      <c r="P17" s="153">
        <f>SUM('Oct-22'!$H17:$O17)</f>
        <v>15789.95</v>
      </c>
      <c r="Q17" s="21" t="str">
        <f>IFERROR(IF('Oct-22'!$F17="","-",VLOOKUP('Oct-22'!$F17,Lista_CUIT!$A$1:$D$1871,3,0)),"CUIT NO CARGADO")</f>
        <v>Gastos Oficina</v>
      </c>
      <c r="R17" s="21">
        <f>IFERROR(IF('Oct-22'!$F17="","-",VLOOKUP('Oct-22'!$F17,Lista_CUIT!$A$1:$D$1871,4,0)),"CUIT NO CARGADO")</f>
        <v>0</v>
      </c>
    </row>
    <row r="18" spans="1:26" ht="15" customHeight="1" x14ac:dyDescent="0.25">
      <c r="B18" s="24">
        <v>44839</v>
      </c>
      <c r="C18" s="25">
        <v>1</v>
      </c>
      <c r="D18" s="26">
        <v>3</v>
      </c>
      <c r="E18" s="27">
        <v>270</v>
      </c>
      <c r="F18" s="28">
        <v>20921575743</v>
      </c>
      <c r="G18" s="29" t="str">
        <f>IFERROR(IF('Oct-22'!$F18="","-",VLOOKUP('Oct-22'!$F18,Lista_CUIT!$A$1:$D$1871,2,0)),"CUIT NO CARGADO")</f>
        <v>RIOS GOMEZ JOSE ANTONIO</v>
      </c>
      <c r="H18" s="30">
        <v>209197.19</v>
      </c>
      <c r="I18" s="31">
        <f>IF('Oct-22'!$H18="","",'Oct-22'!$H18*0.21)</f>
        <v>43931.409899999999</v>
      </c>
      <c r="J18" s="31"/>
      <c r="K18" s="31"/>
      <c r="L18" s="31"/>
      <c r="M18" s="31"/>
      <c r="N18" s="31"/>
      <c r="O18" s="31"/>
      <c r="P18" s="32">
        <f>SUM('Oct-22'!$H18:$O18)</f>
        <v>253128.5999</v>
      </c>
      <c r="Q18" s="21" t="str">
        <f>IFERROR(IF('Oct-22'!$F18="","-",VLOOKUP('Oct-22'!$F18,Lista_CUIT!$A$1:$D$1871,3,0)),"CUIT NO CARGADO")</f>
        <v xml:space="preserve">Papeleria e Impresos </v>
      </c>
      <c r="R18" s="21">
        <f>IFERROR(IF('Oct-22'!$F18="","-",VLOOKUP('Oct-22'!$F18,Lista_CUIT!$A$1:$D$1871,4,0)),"CUIT NO CARGADO")</f>
        <v>0</v>
      </c>
    </row>
    <row r="19" spans="1:26" ht="15" customHeight="1" x14ac:dyDescent="0.25">
      <c r="B19" s="10">
        <v>44861</v>
      </c>
      <c r="C19" s="11">
        <v>1</v>
      </c>
      <c r="D19" s="12">
        <v>6</v>
      </c>
      <c r="E19" s="13">
        <v>382</v>
      </c>
      <c r="F19" s="14">
        <v>30683407468</v>
      </c>
      <c r="G19" s="15" t="str">
        <f>IFERROR(IF('Oct-22'!$F19="","-",VLOOKUP('Oct-22'!$F19,Lista_CUIT!$A$1:$D$1871,2,0)),"CUIT NO CARGADO")</f>
        <v>REDIN TRADING SA</v>
      </c>
      <c r="H19" s="16">
        <v>85123.97</v>
      </c>
      <c r="I19" s="23">
        <f>IF('Oct-22'!$H19="","",'Oct-22'!$H19*0.21)</f>
        <v>17876.0337</v>
      </c>
      <c r="J19" s="23"/>
      <c r="K19" s="23"/>
      <c r="L19" s="23"/>
      <c r="M19" s="23"/>
      <c r="N19" s="23"/>
      <c r="O19" s="23">
        <v>-58558.01</v>
      </c>
      <c r="P19" s="20">
        <f>SUM('Oct-22'!$H19:$O19)</f>
        <v>44441.993699999999</v>
      </c>
      <c r="Q19" s="21" t="str">
        <f>IFERROR(IF('Oct-22'!$F19="","-",VLOOKUP('Oct-22'!$F19,Lista_CUIT!$A$1:$D$1871,3,0)),"CUIT NO CARGADO")</f>
        <v>Mantenimiento</v>
      </c>
      <c r="R19" s="21">
        <f>IFERROR(IF('Oct-22'!$F19="","-",VLOOKUP('Oct-22'!$F19,Lista_CUIT!$A$1:$D$1871,4,0)),"CUIT NO CARGADO")</f>
        <v>0</v>
      </c>
    </row>
    <row r="20" spans="1:26" ht="15" customHeight="1" x14ac:dyDescent="0.25">
      <c r="B20" s="10">
        <v>44840</v>
      </c>
      <c r="C20" s="11">
        <v>1</v>
      </c>
      <c r="D20" s="12">
        <v>5</v>
      </c>
      <c r="E20" s="13">
        <v>432</v>
      </c>
      <c r="F20" s="14">
        <v>27314756121</v>
      </c>
      <c r="G20" s="15" t="str">
        <f>IFERROR(IF('Oct-22'!$F20="","-",VLOOKUP('Oct-22'!$F20,Lista_CUIT!$A$1:$D$1871,2,0)),"CUIT NO CARGADO")</f>
        <v>TABORDA DRA. NADIA J.</v>
      </c>
      <c r="H20" s="16">
        <v>6500</v>
      </c>
      <c r="I20" s="23">
        <f>IF('Oct-22'!$H20="","",'Oct-22'!$H20*0.21)</f>
        <v>1365</v>
      </c>
      <c r="J20" s="23"/>
      <c r="K20" s="23"/>
      <c r="L20" s="23"/>
      <c r="M20" s="23"/>
      <c r="N20" s="23"/>
      <c r="O20" s="23">
        <v>447</v>
      </c>
      <c r="P20" s="20">
        <f>SUM('Oct-22'!$H20:$O20)</f>
        <v>8312</v>
      </c>
      <c r="Q20" s="21" t="str">
        <f>IFERROR(IF('Oct-22'!$F20="","-",VLOOKUP('Oct-22'!$F20,Lista_CUIT!$A$1:$D$1871,3,0)),"CUIT NO CARGADO")</f>
        <v>Honorarios Legales</v>
      </c>
      <c r="R20" s="21">
        <f>IFERROR(IF('Oct-22'!$F20="","-",VLOOKUP('Oct-22'!$F20,Lista_CUIT!$A$1:$D$1871,4,0)),"CUIT NO CARGADO")</f>
        <v>0</v>
      </c>
    </row>
    <row r="21" spans="1:26" ht="15.75" customHeight="1" x14ac:dyDescent="0.25">
      <c r="B21" s="24">
        <v>44845</v>
      </c>
      <c r="C21" s="25">
        <v>1</v>
      </c>
      <c r="D21" s="26">
        <v>5</v>
      </c>
      <c r="E21" s="27">
        <v>435</v>
      </c>
      <c r="F21" s="28">
        <v>27314756121</v>
      </c>
      <c r="G21" s="29" t="str">
        <f>IFERROR(IF('Oct-22'!$F21="","-",VLOOKUP('Oct-22'!$F21,Lista_CUIT!$A$1:$D$1871,2,0)),"CUIT NO CARGADO")</f>
        <v>TABORDA DRA. NADIA J.</v>
      </c>
      <c r="H21" s="30">
        <v>3430</v>
      </c>
      <c r="I21" s="31">
        <f>IF('Oct-22'!$H21="","",'Oct-22'!$H21*0.21)</f>
        <v>720.3</v>
      </c>
      <c r="J21" s="31"/>
      <c r="K21" s="31"/>
      <c r="L21" s="31"/>
      <c r="M21" s="31"/>
      <c r="N21" s="31"/>
      <c r="O21" s="31">
        <v>447</v>
      </c>
      <c r="P21" s="32">
        <f>SUM('Oct-22'!$H21:$O21)</f>
        <v>4597.3</v>
      </c>
      <c r="Q21" s="21" t="str">
        <f>IFERROR(IF('Oct-22'!$F21="","-",VLOOKUP('Oct-22'!$F21,Lista_CUIT!$A$1:$D$1871,3,0)),"CUIT NO CARGADO")</f>
        <v>Honorarios Legales</v>
      </c>
      <c r="R21" s="21">
        <f>IFERROR(IF('Oct-22'!$F21="","-",VLOOKUP('Oct-22'!$F21,Lista_CUIT!$A$1:$D$1871,4,0)),"CUIT NO CARGADO")</f>
        <v>0</v>
      </c>
    </row>
    <row r="22" spans="1:26" ht="15.75" customHeight="1" x14ac:dyDescent="0.25">
      <c r="B22" s="10">
        <v>44861</v>
      </c>
      <c r="C22" s="11">
        <v>1</v>
      </c>
      <c r="D22" s="12">
        <v>1</v>
      </c>
      <c r="E22" s="13">
        <v>514</v>
      </c>
      <c r="F22" s="14">
        <v>30715048066</v>
      </c>
      <c r="G22" s="15" t="str">
        <f>IFERROR(IF('Oct-22'!$F22="","-",VLOOKUP('Oct-22'!$F22,Lista_CUIT!$A$1:$D$1871,2,0)),"CUIT NO CARGADO")</f>
        <v>ROLLS Y EMPANADAS SA</v>
      </c>
      <c r="H22" s="16">
        <v>113975</v>
      </c>
      <c r="I22" s="23">
        <f>IF('Oct-22'!$H22="","",'Oct-22'!$H22*0.21)</f>
        <v>23934.75</v>
      </c>
      <c r="J22" s="23"/>
      <c r="K22" s="23"/>
      <c r="L22" s="23"/>
      <c r="M22" s="23"/>
      <c r="N22" s="23"/>
      <c r="O22" s="23"/>
      <c r="P22" s="20">
        <f>SUM('Oct-22'!$H22:$O22)</f>
        <v>137909.75</v>
      </c>
      <c r="Q22" s="21" t="str">
        <f>IFERROR(IF('Oct-22'!$F22="","-",VLOOKUP('Oct-22'!$F22,Lista_CUIT!$A$1:$D$1871,3,0)),"CUIT NO CARGADO")</f>
        <v>CATERING</v>
      </c>
      <c r="R22" s="21">
        <f>IFERROR(IF('Oct-22'!$F22="","-",VLOOKUP('Oct-22'!$F22,Lista_CUIT!$A$1:$D$1871,4,0)),"CUIT NO CARGADO")</f>
        <v>0</v>
      </c>
    </row>
    <row r="23" spans="1:26" ht="15.75" customHeight="1" x14ac:dyDescent="0.25">
      <c r="B23" s="10">
        <v>44862</v>
      </c>
      <c r="C23" s="11">
        <v>1</v>
      </c>
      <c r="D23" s="12">
        <v>2</v>
      </c>
      <c r="E23" s="13">
        <v>556</v>
      </c>
      <c r="F23" s="14">
        <v>20296550184</v>
      </c>
      <c r="G23" s="15" t="str">
        <f>IFERROR(IF('Oct-22'!$F23="","-",VLOOKUP('Oct-22'!$F23,Lista_CUIT!$A$1:$D$1871,2,0)),"CUIT NO CARGADO")</f>
        <v>COSTA DIEGO ALEJANDRO</v>
      </c>
      <c r="H23" s="16">
        <v>70750</v>
      </c>
      <c r="I23" s="23">
        <f>IF('Oct-22'!$H23="","",'Oct-22'!$H23*0.21)</f>
        <v>14857.5</v>
      </c>
      <c r="J23" s="23"/>
      <c r="K23" s="23"/>
      <c r="L23" s="23"/>
      <c r="M23" s="23"/>
      <c r="N23" s="23"/>
      <c r="O23" s="23"/>
      <c r="P23" s="20">
        <f>SUM('Oct-22'!$H23:$O23)</f>
        <v>85607.5</v>
      </c>
      <c r="Q23" s="21" t="str">
        <f>IFERROR(IF('Oct-22'!$F23="","-",VLOOKUP('Oct-22'!$F23,Lista_CUIT!$A$1:$D$1871,3,0)),"CUIT NO CARGADO")</f>
        <v>MAT. PRIM.</v>
      </c>
      <c r="R23" s="21">
        <f>IFERROR(IF('Oct-22'!$F23="","-",VLOOKUP('Oct-22'!$F23,Lista_CUIT!$A$1:$D$1871,4,0)),"CUIT NO CARGADO")</f>
        <v>0</v>
      </c>
    </row>
    <row r="24" spans="1:26" ht="15.75" customHeight="1" x14ac:dyDescent="0.25">
      <c r="B24" s="145">
        <v>44835</v>
      </c>
      <c r="C24" s="146">
        <v>1</v>
      </c>
      <c r="D24" s="147">
        <v>3</v>
      </c>
      <c r="E24" s="148">
        <v>578</v>
      </c>
      <c r="F24" s="149">
        <v>30715402765</v>
      </c>
      <c r="G24" s="150" t="str">
        <f>IFERROR(IF('Oct-22'!$F24="","-",VLOOKUP('Oct-22'!$F24,Lista_CUIT!$A$1:$D$1871,2,0)),"CUIT NO CARGADO")</f>
        <v>RIO 265 SRL</v>
      </c>
      <c r="H24" s="151">
        <v>8429.75</v>
      </c>
      <c r="I24" s="152">
        <f>IF('Oct-22'!$H24="","",'Oct-22'!$H24*0.21)</f>
        <v>1770.2474999999999</v>
      </c>
      <c r="J24" s="152"/>
      <c r="K24" s="152"/>
      <c r="L24" s="152"/>
      <c r="M24" s="152"/>
      <c r="N24" s="152"/>
      <c r="O24" s="152"/>
      <c r="P24" s="153">
        <f>SUM('Oct-22'!$H24:$O24)</f>
        <v>10199.997499999999</v>
      </c>
      <c r="Q24" s="21" t="str">
        <f>IFERROR(IF('Oct-22'!$F24="","-",VLOOKUP('Oct-22'!$F24,Lista_CUIT!$A$1:$D$1871,3,0)),"CUIT NO CARGADO")</f>
        <v>GTOS VARIOS-ESTACIONAMIENTO HORACIO</v>
      </c>
      <c r="R24" s="21">
        <f>IFERROR(IF('Oct-22'!$F24="","-",VLOOKUP('Oct-22'!$F24,Lista_CUIT!$A$1:$D$1871,4,0)),"CUIT NO CARGADO")</f>
        <v>0</v>
      </c>
    </row>
    <row r="25" spans="1:26" ht="15.75" customHeight="1" x14ac:dyDescent="0.25">
      <c r="B25" s="10">
        <v>44838</v>
      </c>
      <c r="C25" s="11">
        <v>1</v>
      </c>
      <c r="D25" s="12">
        <v>2</v>
      </c>
      <c r="E25" s="13">
        <v>804</v>
      </c>
      <c r="F25" s="14">
        <v>30500805222</v>
      </c>
      <c r="G25" s="15" t="str">
        <f>IFERROR(IF('Oct-22'!$F25="","-",VLOOKUP('Oct-22'!$F25,Lista_CUIT!$A$1:$D$1871,2,0)),"CUIT NO CARGADO")</f>
        <v>KAVCIC SRL</v>
      </c>
      <c r="H25" s="16">
        <v>549472</v>
      </c>
      <c r="I25" s="23">
        <f>IF('Oct-22'!$H25="","",'Oct-22'!$H25*0.21)</f>
        <v>115389.12</v>
      </c>
      <c r="J25" s="23"/>
      <c r="K25" s="23"/>
      <c r="L25" s="23"/>
      <c r="M25" s="23"/>
      <c r="N25" s="23"/>
      <c r="O25" s="23"/>
      <c r="P25" s="20">
        <f>SUM('Oct-22'!$H25:$O25)</f>
        <v>664861.12</v>
      </c>
      <c r="Q25" s="21" t="str">
        <f>IFERROR(IF('Oct-22'!$F25="","-",VLOOKUP('Oct-22'!$F25,Lista_CUIT!$A$1:$D$1871,3,0)),"CUIT NO CARGADO")</f>
        <v>INSUMO</v>
      </c>
      <c r="R25" s="21">
        <f>IFERROR(IF('Oct-22'!$F25="","-",VLOOKUP('Oct-22'!$F25,Lista_CUIT!$A$1:$D$1871,4,0)),"CUIT NO CARGADO")</f>
        <v>0</v>
      </c>
    </row>
    <row r="26" spans="1:26" ht="15.75" customHeight="1" x14ac:dyDescent="0.25">
      <c r="B26" s="145">
        <v>44837</v>
      </c>
      <c r="C26" s="146">
        <v>1</v>
      </c>
      <c r="D26" s="147">
        <v>1</v>
      </c>
      <c r="E26" s="148">
        <v>820</v>
      </c>
      <c r="F26" s="149">
        <v>30716358646</v>
      </c>
      <c r="G26" s="150" t="str">
        <f>IFERROR(IF('Oct-22'!$F26="","-",VLOOKUP('Oct-22'!$F26,Lista_CUIT!$A$1:$D$1871,2,0)),"CUIT NO CARGADO")</f>
        <v>PALMA BITTI SA</v>
      </c>
      <c r="H26" s="151">
        <v>2696.99</v>
      </c>
      <c r="I26" s="152">
        <f>IF('Oct-22'!$H26="","",'Oct-22'!$H26*0.21)</f>
        <v>566.36789999999996</v>
      </c>
      <c r="J26" s="152"/>
      <c r="K26" s="152"/>
      <c r="L26" s="152"/>
      <c r="M26" s="152"/>
      <c r="N26" s="152"/>
      <c r="O26" s="152"/>
      <c r="P26" s="153">
        <f>SUM('Oct-22'!$H26:$O26)</f>
        <v>3263.3579</v>
      </c>
      <c r="Q26" s="21" t="str">
        <f>IFERROR(IF('Oct-22'!$F26="","-",VLOOKUP('Oct-22'!$F26,Lista_CUIT!$A$1:$D$1871,3,0)),"CUIT NO CARGADO")</f>
        <v>FLETE</v>
      </c>
      <c r="R26" s="21">
        <f>IFERROR(IF('Oct-22'!$F26="","-",VLOOKUP('Oct-22'!$F26,Lista_CUIT!$A$1:$D$1871,4,0)),"CUIT NO CARGADO")</f>
        <v>0</v>
      </c>
    </row>
    <row r="27" spans="1:26" ht="15.75" customHeight="1" x14ac:dyDescent="0.25">
      <c r="B27" s="24">
        <v>44855</v>
      </c>
      <c r="C27" s="25">
        <v>1</v>
      </c>
      <c r="D27" s="26">
        <v>7</v>
      </c>
      <c r="E27" s="27">
        <v>853</v>
      </c>
      <c r="F27" s="28">
        <v>30715717863</v>
      </c>
      <c r="G27" s="29" t="str">
        <f>IFERROR(IF('Oct-22'!$F27="","-",VLOOKUP('Oct-22'!$F27,Lista_CUIT!$A$1:$D$1871,2,0)),"CUIT NO CARGADO")</f>
        <v>ENDANIK SRL</v>
      </c>
      <c r="H27" s="30">
        <v>2974.38</v>
      </c>
      <c r="I27" s="31">
        <f>IF('Oct-22'!$H27="","",'Oct-22'!$H27*0.21)</f>
        <v>624.61980000000005</v>
      </c>
      <c r="J27" s="31"/>
      <c r="K27" s="31"/>
      <c r="L27" s="31"/>
      <c r="M27" s="31"/>
      <c r="N27" s="31"/>
      <c r="O27" s="31"/>
      <c r="P27" s="32">
        <f>SUM('Oct-22'!$H27:$O27)</f>
        <v>3598.9998000000001</v>
      </c>
      <c r="Q27" s="21" t="str">
        <f>IFERROR(IF('Oct-22'!$F27="","-",VLOOKUP('Oct-22'!$F27,Lista_CUIT!$A$1:$D$1871,3,0)),"CUIT NO CARGADO")</f>
        <v>COMBUSTIBLE</v>
      </c>
      <c r="R27" s="21">
        <f>IFERROR(IF('Oct-22'!$F27="","-",VLOOKUP('Oct-22'!$F27,Lista_CUIT!$A$1:$D$1871,4,0)),"CUIT NO CARGADO")</f>
        <v>0</v>
      </c>
    </row>
    <row r="28" spans="1:26" ht="18" customHeight="1" x14ac:dyDescent="0.25">
      <c r="A28" s="50"/>
      <c r="B28" s="10">
        <v>44854</v>
      </c>
      <c r="C28" s="11">
        <v>1</v>
      </c>
      <c r="D28" s="12">
        <v>35</v>
      </c>
      <c r="E28" s="13">
        <v>1038</v>
      </c>
      <c r="F28" s="14">
        <v>20182998908</v>
      </c>
      <c r="G28" s="15" t="str">
        <f>IFERROR(IF('Oct-22'!$F28="","-",VLOOKUP('Oct-22'!$F28,Lista_CUIT!$A$1:$D$1871,2,0)),"CUIT NO CARGADO")</f>
        <v>FERNANDO MARCELO SZUCHMAN</v>
      </c>
      <c r="H28" s="16">
        <v>21734.71</v>
      </c>
      <c r="I28" s="23">
        <f>IF('Oct-22'!$H28="","",'Oct-22'!$H28*0.21)</f>
        <v>4564.2891</v>
      </c>
      <c r="J28" s="23"/>
      <c r="K28" s="23"/>
      <c r="L28" s="23"/>
      <c r="M28" s="23"/>
      <c r="N28" s="23"/>
      <c r="O28" s="23"/>
      <c r="P28" s="20">
        <f>SUM('Oct-22'!$H28:$O28)</f>
        <v>26298.999100000001</v>
      </c>
      <c r="Q28" s="21" t="str">
        <f>IFERROR(IF('Oct-22'!$F28="","-",VLOOKUP('Oct-22'!$F28,Lista_CUIT!$A$1:$D$1871,3,0)),"CUIT NO CARGADO")</f>
        <v>Gastos Oficina</v>
      </c>
      <c r="R28" s="21">
        <f>IFERROR(IF('Oct-22'!$F28="","-",VLOOKUP('Oct-22'!$F28,Lista_CUIT!$A$1:$D$1871,4,0)),"CUIT NO CARGADO")</f>
        <v>0</v>
      </c>
      <c r="S28" s="50"/>
      <c r="T28" s="50"/>
      <c r="U28" s="50"/>
      <c r="V28" s="50"/>
      <c r="W28" s="50"/>
      <c r="X28" s="50"/>
      <c r="Y28" s="50"/>
      <c r="Z28" s="50"/>
    </row>
    <row r="29" spans="1:26" ht="15.75" customHeight="1" x14ac:dyDescent="0.25">
      <c r="B29" s="24">
        <v>44862</v>
      </c>
      <c r="C29" s="25">
        <v>1</v>
      </c>
      <c r="D29" s="26">
        <v>3</v>
      </c>
      <c r="E29" s="27">
        <v>1062</v>
      </c>
      <c r="F29" s="28">
        <v>30708802855</v>
      </c>
      <c r="G29" s="29" t="str">
        <f>IFERROR(IF('Oct-22'!$F29="","-",VLOOKUP('Oct-22'!$F29,Lista_CUIT!$A$1:$D$1871,2,0)),"CUIT NO CARGADO")</f>
        <v>SWEDEN MOTORS SA</v>
      </c>
      <c r="H29" s="30">
        <v>66115.7</v>
      </c>
      <c r="I29" s="31">
        <f>IF('Oct-22'!$H29="","",'Oct-22'!$H29*0.21)</f>
        <v>13884.296999999999</v>
      </c>
      <c r="J29" s="31"/>
      <c r="K29" s="31"/>
      <c r="L29" s="31"/>
      <c r="M29" s="31"/>
      <c r="N29" s="31"/>
      <c r="O29" s="31"/>
      <c r="P29" s="32">
        <f>SUM('Oct-22'!$H29:$O29)</f>
        <v>79999.997000000003</v>
      </c>
      <c r="Q29" s="21" t="str">
        <f>IFERROR(IF('Oct-22'!$F29="","-",VLOOKUP('Oct-22'!$F29,Lista_CUIT!$A$1:$D$1871,3,0)),"CUIT NO CARGADO")</f>
        <v>INSUMO</v>
      </c>
      <c r="R29" s="21">
        <f>IFERROR(IF('Oct-22'!$F29="","-",VLOOKUP('Oct-22'!$F29,Lista_CUIT!$A$1:$D$1871,4,0)),"CUIT NO CARGADO")</f>
        <v>0</v>
      </c>
    </row>
    <row r="30" spans="1:26" ht="15.75" customHeight="1" x14ac:dyDescent="0.25">
      <c r="B30" s="24">
        <v>44837</v>
      </c>
      <c r="C30" s="25">
        <v>1</v>
      </c>
      <c r="D30" s="26">
        <v>1</v>
      </c>
      <c r="E30" s="27">
        <v>1105</v>
      </c>
      <c r="F30" s="28">
        <v>30717029271</v>
      </c>
      <c r="G30" s="29" t="str">
        <f>IFERROR(IF('Oct-22'!$F30="","-",VLOOKUP('Oct-22'!$F30,Lista_CUIT!$A$1:$D$1871,2,0)),"CUIT NO CARGADO")</f>
        <v>EIMAT S.R.L.</v>
      </c>
      <c r="H30" s="30">
        <v>2834.71</v>
      </c>
      <c r="I30" s="31">
        <f>IF('Oct-22'!$H30="","",'Oct-22'!$H30*0.21)</f>
        <v>595.28909999999996</v>
      </c>
      <c r="J30" s="31"/>
      <c r="K30" s="31"/>
      <c r="L30" s="31"/>
      <c r="M30" s="31"/>
      <c r="N30" s="31"/>
      <c r="O30" s="31"/>
      <c r="P30" s="32">
        <f>SUM('Oct-22'!$H30:$O30)</f>
        <v>3429.9991</v>
      </c>
      <c r="Q30" s="21" t="str">
        <f>IFERROR(IF('Oct-22'!$F30="","-",VLOOKUP('Oct-22'!$F30,Lista_CUIT!$A$1:$D$1871,3,0)),"CUIT NO CARGADO")</f>
        <v>INSUMO</v>
      </c>
      <c r="R30" s="21">
        <f>IFERROR(IF('Oct-22'!$F30="","-",VLOOKUP('Oct-22'!$F30,Lista_CUIT!$A$1:$D$1871,4,0)),"CUIT NO CARGADO")</f>
        <v>0</v>
      </c>
    </row>
    <row r="31" spans="1:26" ht="15.75" customHeight="1" x14ac:dyDescent="0.25">
      <c r="B31" s="10">
        <v>44854</v>
      </c>
      <c r="C31" s="11">
        <v>1</v>
      </c>
      <c r="D31" s="12">
        <v>7</v>
      </c>
      <c r="E31" s="13">
        <v>4352</v>
      </c>
      <c r="F31" s="14">
        <v>30538456876</v>
      </c>
      <c r="G31" s="15" t="str">
        <f>IFERROR(IF('Oct-22'!$F31="","-",VLOOKUP('Oct-22'!$F31,Lista_CUIT!$A$1:$D$1871,2,0)),"CUIT NO CARGADO")</f>
        <v xml:space="preserve">RIO DE JANEIRO SA </v>
      </c>
      <c r="H31" s="16">
        <v>5880.6</v>
      </c>
      <c r="I31" s="23">
        <f>IF('Oct-22'!$H31="","",'Oct-22'!$H31*0.21)</f>
        <v>1234.9259999999999</v>
      </c>
      <c r="J31" s="23"/>
      <c r="K31" s="23"/>
      <c r="L31" s="23"/>
      <c r="M31" s="23"/>
      <c r="N31" s="23"/>
      <c r="O31" s="23"/>
      <c r="P31" s="20">
        <f>SUM('Oct-22'!$H31:$O31)</f>
        <v>7115.5259999999998</v>
      </c>
      <c r="Q31" s="21" t="str">
        <f>IFERROR(IF('Oct-22'!$F31="","-",VLOOKUP('Oct-22'!$F31,Lista_CUIT!$A$1:$D$1871,3,0)),"CUIT NO CARGADO")</f>
        <v>COMBUSTIBLE</v>
      </c>
      <c r="R31" s="21">
        <f>IFERROR(IF('Oct-22'!$F31="","-",VLOOKUP('Oct-22'!$F31,Lista_CUIT!$A$1:$D$1871,4,0)),"CUIT NO CARGADO")</f>
        <v>0</v>
      </c>
    </row>
    <row r="32" spans="1:26" ht="14.25" customHeight="1" x14ac:dyDescent="0.25">
      <c r="B32" s="24">
        <v>44836</v>
      </c>
      <c r="C32" s="25">
        <v>1</v>
      </c>
      <c r="D32" s="26">
        <v>3337</v>
      </c>
      <c r="E32" s="27">
        <v>5787</v>
      </c>
      <c r="F32" s="28">
        <v>30526874249</v>
      </c>
      <c r="G32" s="29" t="str">
        <f>IFERROR(IF('Oct-22'!$F32="","-",VLOOKUP('Oct-22'!$F32,Lista_CUIT!$A$1:$D$1871,2,0)),"CUIT NO CARGADO")</f>
        <v>FRAVEGA</v>
      </c>
      <c r="H32" s="30">
        <v>84283.06</v>
      </c>
      <c r="I32" s="31">
        <f>IF('Oct-22'!$H32="","",'Oct-22'!$H32*0.21)</f>
        <v>17699.442599999998</v>
      </c>
      <c r="J32" s="31"/>
      <c r="K32" s="31"/>
      <c r="L32" s="31"/>
      <c r="M32" s="31"/>
      <c r="N32" s="31"/>
      <c r="O32" s="31"/>
      <c r="P32" s="32">
        <f>SUM('Oct-22'!$H32:$O32)</f>
        <v>101982.50259999999</v>
      </c>
      <c r="Q32" s="21" t="str">
        <f>IFERROR(IF('Oct-22'!$F32="","-",VLOOKUP('Oct-22'!$F32,Lista_CUIT!$A$1:$D$1871,3,0)),"CUIT NO CARGADO")</f>
        <v>Gastos Varios</v>
      </c>
      <c r="R32" s="21">
        <f>IFERROR(IF('Oct-22'!$F32="","-",VLOOKUP('Oct-22'!$F32,Lista_CUIT!$A$1:$D$1871,4,0)),"CUIT NO CARGADO")</f>
        <v>0</v>
      </c>
    </row>
    <row r="33" spans="2:18" ht="15.75" customHeight="1" x14ac:dyDescent="0.25">
      <c r="B33" s="24">
        <v>44836</v>
      </c>
      <c r="C33" s="25">
        <v>1</v>
      </c>
      <c r="D33" s="26">
        <v>30</v>
      </c>
      <c r="E33" s="27">
        <v>6855</v>
      </c>
      <c r="F33" s="28">
        <v>20217293791</v>
      </c>
      <c r="G33" s="29" t="str">
        <f>IFERROR(IF('Oct-22'!$F33="","-",VLOOKUP('Oct-22'!$F33,Lista_CUIT!$A$1:$D$1871,2,0)),"CUIT NO CARGADO")</f>
        <v>VELASCO LEIVA DEMIAN</v>
      </c>
      <c r="H33" s="30">
        <v>11345.45</v>
      </c>
      <c r="I33" s="31">
        <f>IF('Oct-22'!$H33="","",'Oct-22'!$H33*0.21)</f>
        <v>2382.5445</v>
      </c>
      <c r="J33" s="31"/>
      <c r="K33" s="31"/>
      <c r="L33" s="31"/>
      <c r="M33" s="31"/>
      <c r="N33" s="31"/>
      <c r="O33" s="31"/>
      <c r="P33" s="32">
        <f>SUM('Oct-22'!$H33:$O33)</f>
        <v>13727.994500000001</v>
      </c>
      <c r="Q33" s="21" t="str">
        <f>IFERROR(IF('Oct-22'!$F33="","-",VLOOKUP('Oct-22'!$F33,Lista_CUIT!$A$1:$D$1871,3,0)),"CUIT NO CARGADO")</f>
        <v>Gastos Varios</v>
      </c>
      <c r="R33" s="21">
        <f>IFERROR(IF('Oct-22'!$F33="","-",VLOOKUP('Oct-22'!$F33,Lista_CUIT!$A$1:$D$1871,4,0)),"CUIT NO CARGADO")</f>
        <v>0</v>
      </c>
    </row>
    <row r="34" spans="2:18" ht="15.75" customHeight="1" x14ac:dyDescent="0.25">
      <c r="B34" s="145">
        <v>44852</v>
      </c>
      <c r="C34" s="146">
        <v>1</v>
      </c>
      <c r="D34" s="147">
        <v>1</v>
      </c>
      <c r="E34" s="148">
        <v>8232</v>
      </c>
      <c r="F34" s="149">
        <v>33716043989</v>
      </c>
      <c r="G34" s="150" t="str">
        <f>IFERROR(IF('Oct-22'!$F34="","-",VLOOKUP('Oct-22'!$F34,Lista_CUIT!$A$1:$D$1871,2,0)),"CUIT NO CARGADO")</f>
        <v>DANIEL Y LUCIO RIAL SOCIEDAD SIMPLE</v>
      </c>
      <c r="H34" s="151">
        <v>20247.95</v>
      </c>
      <c r="I34" s="152">
        <f>IF('Oct-22'!$H34="","",'Oct-22'!$H34*0.21)</f>
        <v>4252.0694999999996</v>
      </c>
      <c r="J34" s="152"/>
      <c r="K34" s="152"/>
      <c r="L34" s="152"/>
      <c r="M34" s="152"/>
      <c r="N34" s="152"/>
      <c r="O34" s="152"/>
      <c r="P34" s="153">
        <f>SUM('Oct-22'!$H34:$O34)</f>
        <v>24500.019500000002</v>
      </c>
      <c r="Q34" s="21" t="str">
        <f>IFERROR(IF('Oct-22'!$F34="","-",VLOOKUP('Oct-22'!$F34,Lista_CUIT!$A$1:$D$1871,3,0)),"CUIT NO CARGADO")</f>
        <v>INSUMO</v>
      </c>
      <c r="R34" s="21">
        <f>IFERROR(IF('Oct-22'!$F34="","-",VLOOKUP('Oct-22'!$F34,Lista_CUIT!$A$1:$D$1871,4,0)),"CUIT NO CARGADO")</f>
        <v>0</v>
      </c>
    </row>
    <row r="35" spans="2:18" ht="14.25" customHeight="1" x14ac:dyDescent="0.25">
      <c r="B35" s="10">
        <v>44844</v>
      </c>
      <c r="C35" s="11">
        <v>1</v>
      </c>
      <c r="D35" s="12">
        <v>6992</v>
      </c>
      <c r="E35" s="13">
        <v>10312</v>
      </c>
      <c r="F35" s="14">
        <v>30678774495</v>
      </c>
      <c r="G35" s="15" t="str">
        <f>IFERROR(IF('Oct-22'!$F35="","-",VLOOKUP('Oct-22'!$F35,Lista_CUIT!$A$1:$D$1871,2,0)),"CUIT NO CARGADO")</f>
        <v>OPER. DE EST. DE SERV. SA</v>
      </c>
      <c r="H35" s="16">
        <v>6033.56</v>
      </c>
      <c r="I35" s="23"/>
      <c r="J35" s="23"/>
      <c r="K35" s="23"/>
      <c r="L35" s="23"/>
      <c r="M35" s="23"/>
      <c r="N35" s="23"/>
      <c r="O35" s="23"/>
      <c r="P35" s="20">
        <f>SUM('Oct-22'!$H35:$O35)</f>
        <v>6033.56</v>
      </c>
      <c r="Q35" s="21" t="str">
        <f>IFERROR(IF('Oct-22'!$F35="","-",VLOOKUP('Oct-22'!$F35,Lista_CUIT!$A$1:$D$1871,3,0)),"CUIT NO CARGADO")</f>
        <v>COMBUSTIBLE</v>
      </c>
      <c r="R35" s="21">
        <f>IFERROR(IF('Oct-22'!$F35="","-",VLOOKUP('Oct-22'!$F35,Lista_CUIT!$A$1:$D$1871,4,0)),"CUIT NO CARGADO")</f>
        <v>0</v>
      </c>
    </row>
    <row r="36" spans="2:18" ht="14.25" customHeight="1" x14ac:dyDescent="0.25">
      <c r="B36" s="10">
        <v>44861</v>
      </c>
      <c r="C36" s="11">
        <v>1</v>
      </c>
      <c r="D36" s="12">
        <v>99</v>
      </c>
      <c r="E36" s="13">
        <v>10595</v>
      </c>
      <c r="F36" s="14">
        <v>30711398992</v>
      </c>
      <c r="G36" s="15" t="str">
        <f>IFERROR(IF('Oct-22'!$F36="","-",VLOOKUP('Oct-22'!$F36,Lista_CUIT!$A$1:$D$1871,2,0)),"CUIT NO CARGADO")</f>
        <v>COMPUFAN SRL</v>
      </c>
      <c r="H36" s="16">
        <v>8735.3799999999992</v>
      </c>
      <c r="I36" s="23"/>
      <c r="J36" s="23"/>
      <c r="K36" s="23">
        <v>917.21489999999983</v>
      </c>
      <c r="L36" s="23"/>
      <c r="M36" s="23"/>
      <c r="N36" s="23"/>
      <c r="O36" s="23"/>
      <c r="P36" s="20">
        <f>SUM('Oct-22'!$H36:$O36)</f>
        <v>9652.5948999999982</v>
      </c>
      <c r="Q36" s="21" t="str">
        <f>IFERROR(IF('Oct-22'!$F36="","-",VLOOKUP('Oct-22'!$F36,Lista_CUIT!$A$1:$D$1871,3,0)),"CUIT NO CARGADO")</f>
        <v>Gastos Oficina</v>
      </c>
      <c r="R36" s="21">
        <f>IFERROR(IF('Oct-22'!$F36="","-",VLOOKUP('Oct-22'!$F36,Lista_CUIT!$A$1:$D$1871,4,0)),"CUIT NO CARGADO")</f>
        <v>0</v>
      </c>
    </row>
    <row r="37" spans="2:18" ht="15" customHeight="1" x14ac:dyDescent="0.25">
      <c r="B37" s="24">
        <v>44839</v>
      </c>
      <c r="C37" s="25">
        <v>1</v>
      </c>
      <c r="D37" s="26">
        <v>2</v>
      </c>
      <c r="E37" s="27">
        <v>12323</v>
      </c>
      <c r="F37" s="28">
        <v>20103565309</v>
      </c>
      <c r="G37" s="29" t="str">
        <f>IFERROR(IF('Oct-22'!$F37="","-",VLOOKUP('Oct-22'!$F37,Lista_CUIT!$A$1:$D$1871,2,0)),"CUIT NO CARGADO")</f>
        <v>CASATI ENRIQUE ARIEL</v>
      </c>
      <c r="H37" s="30">
        <v>105686</v>
      </c>
      <c r="I37" s="31">
        <f>IF('Oct-22'!$H37="","",'Oct-22'!$H37*0.21)</f>
        <v>22194.059999999998</v>
      </c>
      <c r="J37" s="31"/>
      <c r="K37" s="31"/>
      <c r="L37" s="31"/>
      <c r="M37" s="31"/>
      <c r="N37" s="31"/>
      <c r="O37" s="31"/>
      <c r="P37" s="32">
        <f>SUM('Oct-22'!$H37:$O37)</f>
        <v>127880.06</v>
      </c>
      <c r="Q37" s="21" t="str">
        <f>IFERROR(IF('Oct-22'!$F37="","-",VLOOKUP('Oct-22'!$F37,Lista_CUIT!$A$1:$D$1871,3,0)),"CUIT NO CARGADO")</f>
        <v>Gastos Varios</v>
      </c>
      <c r="R37" s="21">
        <f>IFERROR(IF('Oct-22'!$F37="","-",VLOOKUP('Oct-22'!$F37,Lista_CUIT!$A$1:$D$1871,4,0)),"CUIT NO CARGADO")</f>
        <v>0</v>
      </c>
    </row>
    <row r="38" spans="2:18" ht="15" customHeight="1" x14ac:dyDescent="0.25">
      <c r="B38" s="10">
        <v>44860</v>
      </c>
      <c r="C38" s="11">
        <v>1</v>
      </c>
      <c r="D38" s="12">
        <v>2</v>
      </c>
      <c r="E38" s="13">
        <v>12436</v>
      </c>
      <c r="F38" s="14">
        <v>20103565309</v>
      </c>
      <c r="G38" s="15" t="str">
        <f>IFERROR(IF('Oct-22'!$F38="","-",VLOOKUP('Oct-22'!$F38,Lista_CUIT!$A$1:$D$1871,2,0)),"CUIT NO CARGADO")</f>
        <v>CASATI ENRIQUE ARIEL</v>
      </c>
      <c r="H38" s="16">
        <v>83408.350000000006</v>
      </c>
      <c r="I38" s="23">
        <f>IF('Oct-22'!$H38="","",'Oct-22'!$H38*0.21)</f>
        <v>17515.753499999999</v>
      </c>
      <c r="J38" s="23"/>
      <c r="K38" s="23"/>
      <c r="L38" s="23"/>
      <c r="M38" s="23"/>
      <c r="N38" s="23"/>
      <c r="O38" s="23"/>
      <c r="P38" s="20">
        <f>SUM('Oct-22'!$H38:$O38)</f>
        <v>100924.1035</v>
      </c>
      <c r="Q38" s="21" t="str">
        <f>IFERROR(IF('Oct-22'!$F38="","-",VLOOKUP('Oct-22'!$F38,Lista_CUIT!$A$1:$D$1871,3,0)),"CUIT NO CARGADO")</f>
        <v>Gastos Varios</v>
      </c>
      <c r="R38" s="21">
        <f>IFERROR(IF('Oct-22'!$F38="","-",VLOOKUP('Oct-22'!$F38,Lista_CUIT!$A$1:$D$1871,4,0)),"CUIT NO CARGADO")</f>
        <v>0</v>
      </c>
    </row>
    <row r="39" spans="2:18" ht="15" customHeight="1" x14ac:dyDescent="0.25">
      <c r="B39" s="10">
        <v>44860</v>
      </c>
      <c r="C39" s="11">
        <v>1</v>
      </c>
      <c r="D39" s="12">
        <v>2</v>
      </c>
      <c r="E39" s="13">
        <v>12439</v>
      </c>
      <c r="F39" s="14">
        <v>20103565309</v>
      </c>
      <c r="G39" s="15" t="str">
        <f>IFERROR(IF('Oct-22'!$F39="","-",VLOOKUP('Oct-22'!$F39,Lista_CUIT!$A$1:$D$1871,2,0)),"CUIT NO CARGADO")</f>
        <v>CASATI ENRIQUE ARIEL</v>
      </c>
      <c r="H39" s="16">
        <v>19647.2</v>
      </c>
      <c r="I39" s="23">
        <f>IF('Oct-22'!$H39="","",'Oct-22'!$H39*0.21)</f>
        <v>4125.9120000000003</v>
      </c>
      <c r="J39" s="23"/>
      <c r="K39" s="23"/>
      <c r="L39" s="23"/>
      <c r="M39" s="23"/>
      <c r="N39" s="23"/>
      <c r="O39" s="23"/>
      <c r="P39" s="20">
        <f>SUM('Oct-22'!$H39:$O39)</f>
        <v>23773.112000000001</v>
      </c>
      <c r="Q39" s="21" t="str">
        <f>IFERROR(IF('Oct-22'!$F39="","-",VLOOKUP('Oct-22'!$F39,Lista_CUIT!$A$1:$D$1871,3,0)),"CUIT NO CARGADO")</f>
        <v>Gastos Varios</v>
      </c>
      <c r="R39" s="21">
        <f>IFERROR(IF('Oct-22'!$F39="","-",VLOOKUP('Oct-22'!$F39,Lista_CUIT!$A$1:$D$1871,4,0)),"CUIT NO CARGADO")</f>
        <v>0</v>
      </c>
    </row>
    <row r="40" spans="2:18" ht="15" customHeight="1" x14ac:dyDescent="0.25">
      <c r="B40" s="10">
        <v>44861</v>
      </c>
      <c r="C40" s="11">
        <v>1</v>
      </c>
      <c r="D40" s="12">
        <v>11</v>
      </c>
      <c r="E40" s="13">
        <v>19832</v>
      </c>
      <c r="F40" s="14">
        <v>30710373414</v>
      </c>
      <c r="G40" s="15" t="str">
        <f>IFERROR(IF('Oct-22'!$F40="","-",VLOOKUP('Oct-22'!$F40,Lista_CUIT!$A$1:$D$1871,2,0)),"CUIT NO CARGADO")</f>
        <v>GRUPOS INTEGRADOS</v>
      </c>
      <c r="H40" s="16">
        <v>7411.76</v>
      </c>
      <c r="I40" s="23"/>
      <c r="J40" s="23"/>
      <c r="K40" s="23">
        <v>778.23479999999995</v>
      </c>
      <c r="L40" s="23"/>
      <c r="M40" s="23"/>
      <c r="N40" s="23"/>
      <c r="O40" s="23"/>
      <c r="P40" s="20">
        <f>SUM('Oct-22'!$H40:$O40)</f>
        <v>8189.9948000000004</v>
      </c>
      <c r="Q40" s="21" t="str">
        <f>IFERROR(IF('Oct-22'!$F40="","-",VLOOKUP('Oct-22'!$F40,Lista_CUIT!$A$1:$D$1871,3,0)),"CUIT NO CARGADO")</f>
        <v>Gastos Oficina</v>
      </c>
      <c r="R40" s="21">
        <f>IFERROR(IF('Oct-22'!$F40="","-",VLOOKUP('Oct-22'!$F40,Lista_CUIT!$A$1:$D$1871,4,0)),"CUIT NO CARGADO")</f>
        <v>0</v>
      </c>
    </row>
    <row r="41" spans="2:18" ht="15" customHeight="1" x14ac:dyDescent="0.25">
      <c r="B41" s="10">
        <v>44847</v>
      </c>
      <c r="C41" s="11">
        <v>1</v>
      </c>
      <c r="D41" s="12">
        <v>3</v>
      </c>
      <c r="E41" s="13">
        <v>34360</v>
      </c>
      <c r="F41" s="14">
        <v>30710018479</v>
      </c>
      <c r="G41" s="15" t="str">
        <f>IFERROR(IF('Oct-22'!$F41="","-",VLOOKUP('Oct-22'!$F41,Lista_CUIT!$A$1:$D$1871,2,0)),"CUIT NO CARGADO")</f>
        <v>TECNOLOGIA ELECTRODOMESTICOS E INSUMOS</v>
      </c>
      <c r="H41" s="16">
        <v>2818.18</v>
      </c>
      <c r="I41" s="23">
        <f>IF('Oct-22'!$H41="","",'Oct-22'!$H41*0.21)</f>
        <v>591.81779999999992</v>
      </c>
      <c r="J41" s="23"/>
      <c r="K41" s="23"/>
      <c r="L41" s="23"/>
      <c r="M41" s="23"/>
      <c r="N41" s="23"/>
      <c r="O41" s="23"/>
      <c r="P41" s="20">
        <f>SUM('Oct-22'!$H41:$O41)</f>
        <v>3409.9977999999996</v>
      </c>
      <c r="Q41" s="21" t="str">
        <f>IFERROR(IF('Oct-22'!$F41="","-",VLOOKUP('Oct-22'!$F41,Lista_CUIT!$A$1:$D$1871,3,0)),"CUIT NO CARGADO")</f>
        <v>INSUMO</v>
      </c>
      <c r="R41" s="21">
        <f>IFERROR(IF('Oct-22'!$F41="","-",VLOOKUP('Oct-22'!$F41,Lista_CUIT!$A$1:$D$1871,4,0)),"CUIT NO CARGADO")</f>
        <v>0</v>
      </c>
    </row>
    <row r="42" spans="2:18" ht="15.75" customHeight="1" x14ac:dyDescent="0.25">
      <c r="B42" s="145">
        <v>44838</v>
      </c>
      <c r="C42" s="146">
        <v>1</v>
      </c>
      <c r="D42" s="147">
        <v>9</v>
      </c>
      <c r="E42" s="148">
        <v>55655</v>
      </c>
      <c r="F42" s="149">
        <v>33715571639</v>
      </c>
      <c r="G42" s="150" t="str">
        <f>IFERROR(IF('Oct-22'!$F42="","-",VLOOKUP('Oct-22'!$F42,Lista_CUIT!$A$1:$D$1871,2,0)),"CUIT NO CARGADO")</f>
        <v>DUAITEK SRL</v>
      </c>
      <c r="H42" s="151">
        <v>1304.42</v>
      </c>
      <c r="I42" s="152"/>
      <c r="J42" s="152"/>
      <c r="K42" s="152"/>
      <c r="L42" s="152"/>
      <c r="M42" s="152"/>
      <c r="N42" s="152"/>
      <c r="O42" s="152"/>
      <c r="P42" s="153">
        <f>SUM('Oct-22'!$H42:$O42)</f>
        <v>1304.42</v>
      </c>
      <c r="Q42" s="21" t="str">
        <f>IFERROR(IF('Oct-22'!$F42="","-",VLOOKUP('Oct-22'!$F42,Lista_CUIT!$A$1:$D$1871,3,0)),"CUIT NO CARGADO")</f>
        <v>Gastos Varios</v>
      </c>
      <c r="R42" s="21">
        <f>IFERROR(IF('Oct-22'!$F42="","-",VLOOKUP('Oct-22'!$F42,Lista_CUIT!$A$1:$D$1871,4,0)),"CUIT NO CARGADO")</f>
        <v>0</v>
      </c>
    </row>
    <row r="43" spans="2:18" ht="15.75" customHeight="1" x14ac:dyDescent="0.25">
      <c r="B43" s="10">
        <v>44839</v>
      </c>
      <c r="C43" s="11">
        <v>1</v>
      </c>
      <c r="D43" s="12">
        <v>5</v>
      </c>
      <c r="E43" s="13">
        <v>57205</v>
      </c>
      <c r="F43" s="14">
        <v>30692857611</v>
      </c>
      <c r="G43" s="15" t="str">
        <f>IFERROR(IF('Oct-22'!$F43="","-",VLOOKUP('Oct-22'!$F43,Lista_CUIT!$A$1:$D$1871,2,0)),"CUIT NO CARGADO")</f>
        <v>BAGUI S.A.</v>
      </c>
      <c r="H43" s="16">
        <v>385948.5</v>
      </c>
      <c r="I43" s="23">
        <f>IF('Oct-22'!$H43="","",'Oct-22'!$H43*0.21)</f>
        <v>81049.184999999998</v>
      </c>
      <c r="J43" s="23"/>
      <c r="K43" s="23"/>
      <c r="L43" s="23"/>
      <c r="M43" s="23"/>
      <c r="N43" s="23"/>
      <c r="O43" s="23"/>
      <c r="P43" s="20">
        <f>SUM('Oct-22'!$H43:$O43)</f>
        <v>466997.685</v>
      </c>
      <c r="Q43" s="21" t="str">
        <f>IFERROR(IF('Oct-22'!$F43="","-",VLOOKUP('Oct-22'!$F43,Lista_CUIT!$A$1:$D$1871,3,0)),"CUIT NO CARGADO")</f>
        <v>MAT. PRIM.</v>
      </c>
      <c r="R43" s="21">
        <f>IFERROR(IF('Oct-22'!$F43="","-",VLOOKUP('Oct-22'!$F43,Lista_CUIT!$A$1:$D$1871,4,0)),"CUIT NO CARGADO")</f>
        <v>0</v>
      </c>
    </row>
    <row r="44" spans="2:18" ht="15.75" customHeight="1" x14ac:dyDescent="0.25">
      <c r="B44" s="24">
        <v>44835</v>
      </c>
      <c r="C44" s="25">
        <v>1</v>
      </c>
      <c r="D44" s="26">
        <v>3</v>
      </c>
      <c r="E44" s="27">
        <v>170017</v>
      </c>
      <c r="F44" s="28">
        <v>30707135596</v>
      </c>
      <c r="G44" s="29" t="str">
        <f>IFERROR(IF('Oct-22'!$F44="","-",VLOOKUP('Oct-22'!$F44,Lista_CUIT!$A$1:$D$1871,2,0)),"CUIT NO CARGADO")</f>
        <v>CITILAN ARGENTINA SA</v>
      </c>
      <c r="H44" s="30">
        <v>3679.81</v>
      </c>
      <c r="I44" s="31">
        <f>IF('Oct-22'!$H44="","",'Oct-22'!$H44*0.21)</f>
        <v>772.76009999999997</v>
      </c>
      <c r="J44" s="31"/>
      <c r="K44" s="31"/>
      <c r="L44" s="31"/>
      <c r="M44" s="31"/>
      <c r="N44" s="31"/>
      <c r="O44" s="31"/>
      <c r="P44" s="32">
        <f>SUM('Oct-22'!$H44:$O44)</f>
        <v>4452.5700999999999</v>
      </c>
      <c r="Q44" s="21" t="str">
        <f>IFERROR(IF('Oct-22'!$F44="","-",VLOOKUP('Oct-22'!$F44,Lista_CUIT!$A$1:$D$1871,3,0)),"CUIT NO CARGADO")</f>
        <v>SERVICIOS GAS, LUZ, ETC</v>
      </c>
      <c r="R44" s="21">
        <f>IFERROR(IF('Oct-22'!$F44="","-",VLOOKUP('Oct-22'!$F44,Lista_CUIT!$A$1:$D$1871,4,0)),"CUIT NO CARGADO")</f>
        <v>0</v>
      </c>
    </row>
    <row r="45" spans="2:18" ht="15.75" customHeight="1" x14ac:dyDescent="0.25">
      <c r="B45" s="10">
        <v>44862</v>
      </c>
      <c r="C45" s="11">
        <v>1</v>
      </c>
      <c r="D45" s="12">
        <v>53</v>
      </c>
      <c r="E45" s="13">
        <v>264449</v>
      </c>
      <c r="F45" s="14">
        <v>30689153689</v>
      </c>
      <c r="G45" s="15" t="str">
        <f>IFERROR(IF('Oct-22'!$F45="","-",VLOOKUP('Oct-22'!$F45,Lista_CUIT!$A$1:$D$1871,2,0)),"CUIT NO CARGADO")</f>
        <v>LIBRERÍA INTERNACIONAL</v>
      </c>
      <c r="H45" s="16">
        <v>254.57142857142799</v>
      </c>
      <c r="I45" s="23">
        <f>IF('Oct-22'!$H45="","",'Oct-22'!$H45*0.21)</f>
        <v>53.459999999999873</v>
      </c>
      <c r="J45" s="23"/>
      <c r="K45" s="23"/>
      <c r="L45" s="23"/>
      <c r="M45" s="23"/>
      <c r="N45" s="23"/>
      <c r="O45" s="23">
        <v>-143277.33599999998</v>
      </c>
      <c r="P45" s="20">
        <f>SUM('Oct-22'!$H45:$O45)</f>
        <v>-142969.30457142854</v>
      </c>
      <c r="Q45" s="21" t="str">
        <f>IFERROR(IF('Oct-22'!$F45="","-",VLOOKUP('Oct-22'!$F45,Lista_CUIT!$A$1:$D$1871,3,0)),"CUIT NO CARGADO")</f>
        <v xml:space="preserve">Papeleria e Impresos </v>
      </c>
      <c r="R45" s="21">
        <f>IFERROR(IF('Oct-22'!$F45="","-",VLOOKUP('Oct-22'!$F45,Lista_CUIT!$A$1:$D$1871,4,0)),"CUIT NO CARGADO")</f>
        <v>0</v>
      </c>
    </row>
    <row r="46" spans="2:18" ht="15.75" customHeight="1" x14ac:dyDescent="0.25">
      <c r="B46" s="24">
        <v>44845</v>
      </c>
      <c r="C46" s="25">
        <v>1</v>
      </c>
      <c r="D46" s="26">
        <v>2466</v>
      </c>
      <c r="E46" s="27">
        <v>422089</v>
      </c>
      <c r="F46" s="28">
        <v>30678814357</v>
      </c>
      <c r="G46" s="29" t="str">
        <f>IFERROR(IF('Oct-22'!$F46="","-",VLOOKUP('Oct-22'!$F46,Lista_CUIT!$A$1:$D$1871,2,0)),"CUIT NO CARGADO")</f>
        <v>Telefonica Moviles Argentina SA</v>
      </c>
      <c r="H46" s="30">
        <v>2469.2600000000002</v>
      </c>
      <c r="I46" s="31"/>
      <c r="J46" s="31">
        <v>666.7</v>
      </c>
      <c r="K46" s="31"/>
      <c r="L46" s="31"/>
      <c r="M46" s="31"/>
      <c r="N46" s="31"/>
      <c r="O46" s="31">
        <v>198.39</v>
      </c>
      <c r="P46" s="32">
        <f>SUM('Oct-22'!$H46:$O46)</f>
        <v>3334.35</v>
      </c>
      <c r="Q46" s="21" t="str">
        <f>IFERROR(IF('Oct-22'!$F46="","-",VLOOKUP('Oct-22'!$F46,Lista_CUIT!$A$1:$D$1871,3,0)),"CUIT NO CARGADO")</f>
        <v>SERVICIOS GAS, LUZ, ETC</v>
      </c>
      <c r="R46" s="21">
        <f>IFERROR(IF('Oct-22'!$F46="","-",VLOOKUP('Oct-22'!$F46,Lista_CUIT!$A$1:$D$1871,4,0)),"CUIT NO CARGADO")</f>
        <v>0</v>
      </c>
    </row>
    <row r="47" spans="2:18" ht="15.75" customHeight="1" x14ac:dyDescent="0.25">
      <c r="B47" s="145">
        <v>44865</v>
      </c>
      <c r="C47" s="146">
        <v>1</v>
      </c>
      <c r="D47" s="147">
        <v>700</v>
      </c>
      <c r="E47" s="148">
        <v>446102</v>
      </c>
      <c r="F47" s="149">
        <v>30580111315</v>
      </c>
      <c r="G47" s="150" t="str">
        <f>IFERROR(IF('Oct-22'!$F47="","-",VLOOKUP('Oct-22'!$F47,Lista_CUIT!$A$1:$D$1871,2,0)),"CUIT NO CARGADO")</f>
        <v>DHL EXPRESS ARG SA</v>
      </c>
      <c r="H47" s="151">
        <v>2180.25</v>
      </c>
      <c r="I47" s="152">
        <f>IF('Oct-22'!$H47="","",'Oct-22'!$H47*0.21)</f>
        <v>457.85249999999996</v>
      </c>
      <c r="J47" s="152"/>
      <c r="K47" s="152"/>
      <c r="L47" s="152"/>
      <c r="M47" s="152"/>
      <c r="N47" s="152"/>
      <c r="O47" s="152">
        <v>72878.490000000005</v>
      </c>
      <c r="P47" s="153">
        <f>SUM('Oct-22'!$H47:$O47)</f>
        <v>75516.592499999999</v>
      </c>
      <c r="Q47" s="21" t="str">
        <f>IFERROR(IF('Oct-22'!$F47="","-",VLOOKUP('Oct-22'!$F47,Lista_CUIT!$A$1:$D$1871,3,0)),"CUIT NO CARGADO")</f>
        <v>GTOS IMP.</v>
      </c>
      <c r="R47" s="21">
        <f>IFERROR(IF('Oct-22'!$F47="","-",VLOOKUP('Oct-22'!$F47,Lista_CUIT!$A$1:$D$1871,4,0)),"CUIT NO CARGADO")</f>
        <v>0</v>
      </c>
    </row>
    <row r="48" spans="2:18" ht="15.75" customHeight="1" x14ac:dyDescent="0.25">
      <c r="B48" s="10">
        <v>44861</v>
      </c>
      <c r="C48" s="11">
        <v>1</v>
      </c>
      <c r="D48" s="12">
        <v>13</v>
      </c>
      <c r="E48" s="13">
        <v>793700</v>
      </c>
      <c r="F48" s="14">
        <v>30700940957</v>
      </c>
      <c r="G48" s="15" t="str">
        <f>IFERROR(IF('Oct-22'!$F48="","-",VLOOKUP('Oct-22'!$F48,Lista_CUIT!$A$1:$D$1871,2,0)),"CUIT NO CARGADO")</f>
        <v>UPS de ARGENTINA SA</v>
      </c>
      <c r="H48" s="16">
        <v>81712.86</v>
      </c>
      <c r="I48" s="23">
        <f>IF('Oct-22'!$H48="","",'Oct-22'!$H48*0.21)</f>
        <v>17159.7006</v>
      </c>
      <c r="J48" s="23"/>
      <c r="K48" s="23"/>
      <c r="L48" s="23"/>
      <c r="M48" s="23"/>
      <c r="N48" s="23"/>
      <c r="O48" s="23"/>
      <c r="P48" s="20">
        <f>SUM('Oct-22'!$H48:$O48)</f>
        <v>98872.560599999997</v>
      </c>
      <c r="Q48" s="21" t="str">
        <f>IFERROR(IF('Oct-22'!$F48="","-",VLOOKUP('Oct-22'!$F48,Lista_CUIT!$A$1:$D$1871,3,0)),"CUIT NO CARGADO")</f>
        <v>GTOS IMP.</v>
      </c>
      <c r="R48" s="21">
        <f>IFERROR(IF('Oct-22'!$F48="","-",VLOOKUP('Oct-22'!$F48,Lista_CUIT!$A$1:$D$1871,4,0)),"CUIT NO CARGADO")</f>
        <v>0</v>
      </c>
    </row>
    <row r="49" spans="1:26" ht="18" customHeight="1" x14ac:dyDescent="0.25">
      <c r="A49" s="50"/>
      <c r="B49" s="10">
        <v>44862</v>
      </c>
      <c r="C49" s="11">
        <v>1</v>
      </c>
      <c r="D49" s="12">
        <v>280</v>
      </c>
      <c r="E49" s="13">
        <v>1397328</v>
      </c>
      <c r="F49" s="14">
        <v>30580111315</v>
      </c>
      <c r="G49" s="15" t="str">
        <f>IFERROR(IF('Oct-22'!$F49="","-",VLOOKUP('Oct-22'!$F49,Lista_CUIT!$A$1:$D$1871,2,0)),"CUIT NO CARGADO")</f>
        <v>DHL EXPRESS ARG SA</v>
      </c>
      <c r="H49" s="16">
        <v>175242.09599999999</v>
      </c>
      <c r="I49" s="23">
        <v>28860.731100000001</v>
      </c>
      <c r="J49" s="23"/>
      <c r="K49" s="23">
        <v>3968.9576999999995</v>
      </c>
      <c r="L49" s="23"/>
      <c r="M49" s="23"/>
      <c r="N49" s="23"/>
      <c r="O49" s="23"/>
      <c r="P49" s="20">
        <f>SUM('Oct-22'!$H49:$O49)</f>
        <v>208071.78479999999</v>
      </c>
      <c r="Q49" s="21" t="str">
        <f>IFERROR(IF('Oct-22'!$F49="","-",VLOOKUP('Oct-22'!$F49,Lista_CUIT!$A$1:$D$1871,3,0)),"CUIT NO CARGADO")</f>
        <v>GTOS IMP.</v>
      </c>
      <c r="R49" s="21">
        <f>IFERROR(IF('Oct-22'!$F49="","-",VLOOKUP('Oct-22'!$F49,Lista_CUIT!$A$1:$D$1871,4,0)),"CUIT NO CARGADO")</f>
        <v>0</v>
      </c>
      <c r="S49" s="50"/>
      <c r="T49" s="50"/>
      <c r="U49" s="50"/>
      <c r="V49" s="50"/>
      <c r="W49" s="50"/>
      <c r="X49" s="50"/>
      <c r="Y49" s="50"/>
      <c r="Z49" s="50"/>
    </row>
    <row r="50" spans="1:26" ht="15.75" customHeight="1" x14ac:dyDescent="0.25">
      <c r="B50" s="21" t="s">
        <v>1546</v>
      </c>
      <c r="C50" s="21"/>
      <c r="D50" s="21"/>
      <c r="E50" s="21"/>
      <c r="F50" s="21"/>
      <c r="G50" s="15"/>
      <c r="H50" s="16">
        <f>SUBTOTAL(109,'Oct-22'!$H$9:$H$49)</f>
        <v>2571693.4574285704</v>
      </c>
      <c r="I50" s="16">
        <f>SUBTOTAL(109,'Oct-22'!$I$9:$I$49)</f>
        <v>524196.41069999995</v>
      </c>
      <c r="J50" s="16">
        <f>SUBTOTAL(109,'Oct-22'!$J$9:$J$49)</f>
        <v>666.7</v>
      </c>
      <c r="K50" s="16">
        <f>SUBTOTAL(109,'Oct-22'!$K$9:$K$49)</f>
        <v>6898.7473999999984</v>
      </c>
      <c r="L50" s="16">
        <f>SUBTOTAL(109,'Oct-22'!$L$9:$L$49)</f>
        <v>0</v>
      </c>
      <c r="M50" s="16">
        <f>SUBTOTAL(109,'Oct-22'!$M$9:$M$49)</f>
        <v>0</v>
      </c>
      <c r="N50" s="16">
        <f>SUBTOTAL(109,'Oct-22'!$N$9:$N$49)</f>
        <v>0</v>
      </c>
      <c r="O50" s="16">
        <f>SUBTOTAL(109,'Oct-22'!$O$9:$O$49)</f>
        <v>-123311.99599999997</v>
      </c>
      <c r="P50" s="16">
        <f>SUBTOTAL(109,'Oct-22'!$P$9:$P$49)</f>
        <v>2980143.3195285718</v>
      </c>
      <c r="Q50" s="21"/>
      <c r="R50" s="21"/>
    </row>
    <row r="51" spans="1:26" ht="15.75" customHeight="1" x14ac:dyDescent="0.25">
      <c r="B51" s="10"/>
      <c r="C51" s="11"/>
      <c r="D51" s="12"/>
      <c r="E51" s="13"/>
      <c r="F51" s="14"/>
      <c r="G51" s="15"/>
      <c r="H51" s="16"/>
      <c r="I51" s="17"/>
      <c r="J51" s="17"/>
      <c r="K51" s="17"/>
      <c r="L51" s="17"/>
      <c r="M51" s="17"/>
      <c r="N51" s="17"/>
      <c r="O51" s="17"/>
      <c r="P51" s="20"/>
      <c r="Q51" s="21"/>
      <c r="R51" s="21"/>
    </row>
    <row r="52" spans="1:26" ht="15.75" customHeight="1" x14ac:dyDescent="0.25">
      <c r="B52" s="10"/>
      <c r="C52" s="11"/>
      <c r="D52" s="12"/>
      <c r="E52" s="13"/>
      <c r="F52" s="14"/>
      <c r="G52" s="15"/>
      <c r="H52" s="16"/>
      <c r="I52" s="17"/>
      <c r="J52" s="17"/>
      <c r="K52" s="17"/>
      <c r="L52" s="17"/>
      <c r="M52" s="17"/>
      <c r="N52" s="17"/>
      <c r="O52" s="17"/>
      <c r="P52" s="20"/>
      <c r="Q52" s="21"/>
      <c r="R52" s="21"/>
    </row>
    <row r="53" spans="1:26" ht="15.75" customHeight="1" x14ac:dyDescent="0.25">
      <c r="B53" s="10"/>
      <c r="C53" s="11"/>
      <c r="D53" s="12"/>
      <c r="E53" s="13"/>
      <c r="F53" s="14"/>
      <c r="G53" s="15"/>
      <c r="H53" s="16"/>
      <c r="I53" s="17"/>
      <c r="J53" s="17"/>
      <c r="K53" s="17"/>
      <c r="L53" s="17"/>
      <c r="M53" s="17"/>
      <c r="N53" s="17"/>
      <c r="O53" s="17"/>
      <c r="P53" s="20"/>
      <c r="Q53" s="21"/>
      <c r="R53" s="21"/>
    </row>
    <row r="54" spans="1:26" ht="15.75" customHeight="1" x14ac:dyDescent="0.25">
      <c r="B54" s="10"/>
      <c r="C54" s="11"/>
      <c r="D54" s="12"/>
      <c r="E54" s="13"/>
      <c r="F54" s="14"/>
      <c r="G54" s="15"/>
      <c r="H54" s="16"/>
      <c r="I54" s="17"/>
      <c r="J54" s="17"/>
      <c r="K54" s="17"/>
      <c r="L54" s="17"/>
    </row>
    <row r="55" spans="1:26" ht="15.75" customHeight="1" x14ac:dyDescent="0.25">
      <c r="D55" s="359" t="s">
        <v>1547</v>
      </c>
      <c r="E55" s="351"/>
      <c r="F55" s="351"/>
      <c r="G55" s="351"/>
      <c r="H55" s="351"/>
      <c r="I55" s="351"/>
      <c r="J55" s="351"/>
      <c r="K55" s="351"/>
      <c r="L55" s="352"/>
    </row>
    <row r="56" spans="1:26" ht="22.5" customHeight="1" x14ac:dyDescent="0.25">
      <c r="D56" s="36" t="s">
        <v>1532</v>
      </c>
      <c r="E56" s="37" t="s">
        <v>1548</v>
      </c>
      <c r="F56" s="37" t="s">
        <v>1549</v>
      </c>
      <c r="G56" s="37" t="s">
        <v>1550</v>
      </c>
      <c r="H56" s="37" t="s">
        <v>1551</v>
      </c>
      <c r="I56" s="37" t="s">
        <v>1539</v>
      </c>
      <c r="J56" s="38" t="s">
        <v>1552</v>
      </c>
      <c r="K56" s="38" t="s">
        <v>1553</v>
      </c>
      <c r="L56" s="39" t="s">
        <v>1554</v>
      </c>
    </row>
    <row r="57" spans="1:26" ht="18" customHeight="1" x14ac:dyDescent="0.25">
      <c r="D57" s="154">
        <v>44854</v>
      </c>
      <c r="E57" s="155" t="s">
        <v>1629</v>
      </c>
      <c r="F57" s="98" t="s">
        <v>1630</v>
      </c>
      <c r="G57" s="42">
        <v>11488.5</v>
      </c>
      <c r="H57" s="42">
        <v>2412.585</v>
      </c>
      <c r="I57" s="42"/>
      <c r="J57" s="42"/>
      <c r="K57" s="42">
        <v>344.66</v>
      </c>
      <c r="L57" s="42"/>
    </row>
    <row r="58" spans="1:26" ht="18" customHeight="1" x14ac:dyDescent="0.25">
      <c r="D58" s="154">
        <v>44853</v>
      </c>
      <c r="E58" s="155" t="s">
        <v>1631</v>
      </c>
      <c r="F58" s="98" t="s">
        <v>1632</v>
      </c>
      <c r="G58" s="42">
        <v>1531.8</v>
      </c>
      <c r="H58" s="42">
        <v>321.678</v>
      </c>
      <c r="I58" s="42"/>
      <c r="J58" s="42"/>
      <c r="K58" s="42"/>
      <c r="L58" s="42"/>
    </row>
    <row r="59" spans="1:26" ht="18" customHeight="1" x14ac:dyDescent="0.25">
      <c r="D59" s="156">
        <v>44851</v>
      </c>
      <c r="E59" s="155" t="s">
        <v>1633</v>
      </c>
      <c r="F59" s="98" t="s">
        <v>1634</v>
      </c>
      <c r="G59" s="42">
        <v>1525</v>
      </c>
      <c r="H59" s="42">
        <v>320.25</v>
      </c>
      <c r="I59" s="42"/>
      <c r="J59" s="42"/>
      <c r="K59" s="42"/>
      <c r="L59" s="42"/>
    </row>
    <row r="60" spans="1:26" ht="17.25" customHeight="1" x14ac:dyDescent="0.25">
      <c r="D60" s="10"/>
      <c r="E60" s="99"/>
      <c r="F60" s="98" t="s">
        <v>1635</v>
      </c>
      <c r="G60" s="42">
        <v>128</v>
      </c>
      <c r="H60" s="42">
        <v>26.88</v>
      </c>
      <c r="I60" s="42"/>
      <c r="J60" s="42">
        <v>1.78</v>
      </c>
      <c r="K60" s="42"/>
      <c r="L60" s="42"/>
    </row>
    <row r="61" spans="1:26" ht="17.25" customHeight="1" x14ac:dyDescent="0.25">
      <c r="D61" s="10"/>
      <c r="E61" s="99"/>
      <c r="F61" s="98" t="s">
        <v>1636</v>
      </c>
      <c r="G61" s="42">
        <v>4028.37</v>
      </c>
      <c r="H61" s="42">
        <v>845.95769999999993</v>
      </c>
      <c r="I61" s="42"/>
      <c r="J61" s="42"/>
      <c r="K61" s="42">
        <v>72</v>
      </c>
      <c r="L61" s="42"/>
    </row>
    <row r="62" spans="1:26" ht="15.75" customHeight="1" x14ac:dyDescent="0.25">
      <c r="D62" s="21" t="s">
        <v>1546</v>
      </c>
      <c r="E62" s="43"/>
      <c r="F62" s="43"/>
      <c r="G62" s="42">
        <f>SUBTOTAL(109,'Oct-22'!$G$57:$G$61)</f>
        <v>18701.669999999998</v>
      </c>
      <c r="H62" s="42">
        <f>SUBTOTAL(109,'Oct-22'!$H$57:$H$61)</f>
        <v>3927.3507</v>
      </c>
      <c r="I62" s="42">
        <f>SUBTOTAL(109,'Oct-22'!$I$57:$I$61)</f>
        <v>0</v>
      </c>
      <c r="J62" s="42">
        <f>SUBTOTAL(109,'Oct-22'!$J$57:$J$61)</f>
        <v>1.78</v>
      </c>
      <c r="K62" s="42">
        <f>SUBTOTAL(109,'Oct-22'!$K$57:$K$61)</f>
        <v>416.66</v>
      </c>
      <c r="L62" s="42">
        <f>SUBTOTAL(109,'Oct-22'!$L$57:$L$61)</f>
        <v>0</v>
      </c>
    </row>
    <row r="63" spans="1:26" ht="15.75" customHeight="1" x14ac:dyDescent="0.25"/>
    <row r="64" spans="1:26" ht="15.75" customHeight="1" x14ac:dyDescent="0.25"/>
    <row r="65" spans="4:11" ht="15.75" customHeight="1" x14ac:dyDescent="0.25"/>
    <row r="66" spans="4:11" ht="15.75" customHeight="1" x14ac:dyDescent="0.25">
      <c r="D66" s="359" t="s">
        <v>1560</v>
      </c>
      <c r="E66" s="351"/>
      <c r="F66" s="351"/>
      <c r="G66" s="351"/>
      <c r="H66" s="351"/>
      <c r="I66" s="351"/>
      <c r="J66" s="351"/>
      <c r="K66" s="352"/>
    </row>
    <row r="67" spans="4:11" ht="15.75" customHeight="1" x14ac:dyDescent="0.25">
      <c r="D67" s="44" t="s">
        <v>1532</v>
      </c>
      <c r="E67" s="44" t="s">
        <v>1534</v>
      </c>
      <c r="F67" s="44" t="s">
        <v>1561</v>
      </c>
      <c r="G67" s="44" t="s">
        <v>0</v>
      </c>
      <c r="H67" s="44" t="s">
        <v>1</v>
      </c>
      <c r="I67" s="45" t="s">
        <v>1544</v>
      </c>
      <c r="J67" s="44" t="s">
        <v>1562</v>
      </c>
      <c r="K67" s="44" t="s">
        <v>1545</v>
      </c>
    </row>
    <row r="68" spans="4:11" ht="15.75" customHeight="1" x14ac:dyDescent="0.25">
      <c r="D68" s="117">
        <v>44857</v>
      </c>
      <c r="E68" s="119">
        <v>2</v>
      </c>
      <c r="F68" s="55">
        <v>722</v>
      </c>
      <c r="G68" s="56">
        <v>20399085013</v>
      </c>
      <c r="H68" s="46" t="str">
        <f>IFERROR(IF('Oct-22'!$G68="","-",VLOOKUP('Oct-22'!$G68,Lista_CUIT!$A$1:$D$1871,2,0)),"CUIT NO CARGADO")</f>
        <v>CESPEDES BRANDON BRIAN</v>
      </c>
      <c r="I68" s="49">
        <v>3906.99</v>
      </c>
      <c r="J68" s="47" t="str">
        <f>IFERROR(IF('Oct-22'!$G68="","-",VLOOKUP('Oct-22'!$G68,Lista_CUIT!$A$1:$D$1871,3,0)),"CUIT NO CARGADO")</f>
        <v>Gastos Varios</v>
      </c>
      <c r="K68" s="47">
        <f>IFERROR(IF('Oct-22'!$G68="","-",VLOOKUP('Oct-22'!$G68,Lista_CUIT!$A$1:$D$1871,4,0)),"CUIT NO CARGADO")</f>
        <v>0</v>
      </c>
    </row>
    <row r="69" spans="4:11" ht="15.75" customHeight="1" x14ac:dyDescent="0.25">
      <c r="D69" s="117">
        <v>44837</v>
      </c>
      <c r="E69" s="119">
        <v>2</v>
      </c>
      <c r="F69" s="55">
        <v>109</v>
      </c>
      <c r="G69" s="56">
        <v>27397607602</v>
      </c>
      <c r="H69" s="46" t="str">
        <f>IFERROR(IF('Oct-22'!$G69="","-",VLOOKUP('Oct-22'!$G69,Lista_CUIT!$A$1:$D$1871,2,0)),"CUIT NO CARGADO")</f>
        <v>RIOS ALDANA SOFIA</v>
      </c>
      <c r="I69" s="49">
        <v>98547.45</v>
      </c>
      <c r="J69" s="47" t="str">
        <f>IFERROR(IF('Oct-22'!$G69="","-",VLOOKUP('Oct-22'!$G69,Lista_CUIT!$A$1:$D$1871,3,0)),"CUIT NO CARGADO")</f>
        <v>Honorarios Profesionales</v>
      </c>
      <c r="K69" s="47">
        <f>IFERROR(IF('Oct-22'!$G69="","-",VLOOKUP('Oct-22'!$G69,Lista_CUIT!$A$1:$D$1871,4,0)),"CUIT NO CARGADO")</f>
        <v>0</v>
      </c>
    </row>
    <row r="70" spans="4:11" ht="15.75" customHeight="1" x14ac:dyDescent="0.25">
      <c r="D70" s="117">
        <v>44860</v>
      </c>
      <c r="E70" s="119">
        <v>2</v>
      </c>
      <c r="F70" s="55">
        <v>121</v>
      </c>
      <c r="G70" s="56">
        <v>20136544625</v>
      </c>
      <c r="H70" s="46" t="str">
        <f>IFERROR(IF('Oct-22'!$G70="","-",VLOOKUP('Oct-22'!$G70,Lista_CUIT!$A$1:$D$1871,2,0)),"CUIT NO CARGADO")</f>
        <v>RODRIGUEZ DE LA FUEN HECTOR MARCELO</v>
      </c>
      <c r="I70" s="49">
        <v>140000</v>
      </c>
      <c r="J70" s="47" t="str">
        <f>IFERROR(IF('Oct-22'!$G70="","-",VLOOKUP('Oct-22'!$G70,Lista_CUIT!$A$1:$D$1871,3,0)),"CUIT NO CARGADO")</f>
        <v>Honorarios Administrativos-Cobranzas y Gestion Clientes</v>
      </c>
      <c r="K70" s="47">
        <f>IFERROR(IF('Oct-22'!$G70="","-",VLOOKUP('Oct-22'!$G70,Lista_CUIT!$A$1:$D$1871,4,0)),"CUIT NO CARGADO")</f>
        <v>0</v>
      </c>
    </row>
    <row r="71" spans="4:11" ht="15.75" customHeight="1" x14ac:dyDescent="0.25">
      <c r="D71" s="117">
        <v>44859</v>
      </c>
      <c r="E71" s="119">
        <v>1</v>
      </c>
      <c r="F71" s="55">
        <v>17</v>
      </c>
      <c r="G71" s="56">
        <v>20365938688</v>
      </c>
      <c r="H71" s="46" t="str">
        <f>IFERROR(IF('Oct-22'!$G71="","-",VLOOKUP('Oct-22'!$G71,Lista_CUIT!$A$1:$D$1871,2,0)),"CUIT NO CARGADO")</f>
        <v>LIPANOVICH JUAN CRUZ</v>
      </c>
      <c r="I71" s="49">
        <v>330000</v>
      </c>
      <c r="J71" s="47" t="str">
        <f>IFERROR(IF('Oct-22'!$G71="","-",VLOOKUP('Oct-22'!$G71,Lista_CUIT!$A$1:$D$1871,3,0)),"CUIT NO CARGADO")</f>
        <v>Servicios Informatica</v>
      </c>
      <c r="K71" s="47">
        <f>IFERROR(IF('Oct-22'!$G71="","-",VLOOKUP('Oct-22'!$G71,Lista_CUIT!$A$1:$D$1871,4,0)),"CUIT NO CARGADO")</f>
        <v>0</v>
      </c>
    </row>
    <row r="72" spans="4:11" ht="15.75" customHeight="1" x14ac:dyDescent="0.25">
      <c r="D72" s="117">
        <v>44848</v>
      </c>
      <c r="E72" s="119">
        <v>3</v>
      </c>
      <c r="F72" s="55">
        <v>635</v>
      </c>
      <c r="G72" s="56">
        <v>20086277523</v>
      </c>
      <c r="H72" s="46" t="str">
        <f>IFERROR(IF('Oct-22'!$G72="","-",VLOOKUP('Oct-22'!$G72,Lista_CUIT!$A$1:$D$1871,2,0)),"CUIT NO CARGADO")</f>
        <v>JUAN CARLOS BOTINDARI</v>
      </c>
      <c r="I72" s="49">
        <v>9870</v>
      </c>
      <c r="J72" s="47" t="str">
        <f>IFERROR(IF('Oct-22'!$G72="","-",VLOOKUP('Oct-22'!$G72,Lista_CUIT!$A$1:$D$1871,3,0)),"CUIT NO CARGADO")</f>
        <v>HONORARIOS</v>
      </c>
      <c r="K72" s="47">
        <f>IFERROR(IF('Oct-22'!$G72="","-",VLOOKUP('Oct-22'!$G72,Lista_CUIT!$A$1:$D$1871,4,0)),"CUIT NO CARGADO")</f>
        <v>0</v>
      </c>
    </row>
    <row r="73" spans="4:11" ht="15.75" customHeight="1" x14ac:dyDescent="0.25">
      <c r="D73" s="117">
        <v>44839</v>
      </c>
      <c r="E73" s="119">
        <v>1</v>
      </c>
      <c r="F73" s="55">
        <v>89</v>
      </c>
      <c r="G73" s="56">
        <v>20341465134</v>
      </c>
      <c r="H73" s="46" t="str">
        <f>IFERROR(IF('Oct-22'!$G73="","-",VLOOKUP('Oct-22'!$G73,Lista_CUIT!$A$1:$D$1871,2,0)),"CUIT NO CARGADO")</f>
        <v xml:space="preserve">ABELEDO AGUSTIN ENRIQUE </v>
      </c>
      <c r="I73" s="49">
        <v>127000</v>
      </c>
      <c r="J73" s="47" t="str">
        <f>IFERROR(IF('Oct-22'!$G73="","-",VLOOKUP('Oct-22'!$G73,Lista_CUIT!$A$1:$D$1871,3,0)),"CUIT NO CARGADO")</f>
        <v>HONOR. INGENIERO</v>
      </c>
      <c r="K73" s="47">
        <f>IFERROR(IF('Oct-22'!$G73="","-",VLOOKUP('Oct-22'!$G73,Lista_CUIT!$A$1:$D$1871,4,0)),"CUIT NO CARGADO")</f>
        <v>0</v>
      </c>
    </row>
    <row r="74" spans="4:11" ht="15.75" customHeight="1" x14ac:dyDescent="0.25">
      <c r="D74" s="117">
        <v>44851</v>
      </c>
      <c r="E74" s="119">
        <v>1</v>
      </c>
      <c r="F74" s="55">
        <v>24</v>
      </c>
      <c r="G74" s="56">
        <v>27925308884</v>
      </c>
      <c r="H74" s="46" t="str">
        <f>IFERROR(IF('Oct-22'!$G74="","-",VLOOKUP('Oct-22'!$G74,Lista_CUIT!$A$1:$D$1871,2,0)),"CUIT NO CARGADO")</f>
        <v>LOPEZ LOPEZ FLAVIA</v>
      </c>
      <c r="I74" s="49">
        <v>1200</v>
      </c>
      <c r="J74" s="47" t="str">
        <f>IFERROR(IF('Oct-22'!$G74="","-",VLOOKUP('Oct-22'!$G74,Lista_CUIT!$A$1:$D$1871,3,0)),"CUIT NO CARGADO")</f>
        <v>FLETE</v>
      </c>
      <c r="K74" s="47">
        <f>IFERROR(IF('Oct-22'!$G74="","-",VLOOKUP('Oct-22'!$G74,Lista_CUIT!$A$1:$D$1871,4,0)),"CUIT NO CARGADO")</f>
        <v>0</v>
      </c>
    </row>
    <row r="75" spans="4:11" ht="15.75" customHeight="1" x14ac:dyDescent="0.25">
      <c r="D75" s="117">
        <v>44840</v>
      </c>
      <c r="E75" s="119">
        <v>1</v>
      </c>
      <c r="F75" s="55">
        <v>22</v>
      </c>
      <c r="G75" s="56">
        <v>27925308884</v>
      </c>
      <c r="H75" s="46" t="str">
        <f>IFERROR(IF('Oct-22'!$G75="","-",VLOOKUP('Oct-22'!$G75,Lista_CUIT!$A$1:$D$1871,2,0)),"CUIT NO CARGADO")</f>
        <v>LOPEZ LOPEZ FLAVIA</v>
      </c>
      <c r="I75" s="49">
        <v>18500</v>
      </c>
      <c r="J75" s="47" t="str">
        <f>IFERROR(IF('Oct-22'!$G75="","-",VLOOKUP('Oct-22'!$G75,Lista_CUIT!$A$1:$D$1871,3,0)),"CUIT NO CARGADO")</f>
        <v>FLETE</v>
      </c>
      <c r="K75" s="47">
        <f>IFERROR(IF('Oct-22'!$G75="","-",VLOOKUP('Oct-22'!$G75,Lista_CUIT!$A$1:$D$1871,4,0)),"CUIT NO CARGADO")</f>
        <v>0</v>
      </c>
    </row>
    <row r="76" spans="4:11" ht="15.75" customHeight="1" x14ac:dyDescent="0.25">
      <c r="D76" s="117">
        <v>44847</v>
      </c>
      <c r="E76" s="119">
        <v>1</v>
      </c>
      <c r="F76" s="55">
        <v>23</v>
      </c>
      <c r="G76" s="56">
        <v>27925308884</v>
      </c>
      <c r="H76" s="46" t="str">
        <f>IFERROR(IF('Oct-22'!$G76="","-",VLOOKUP('Oct-22'!$G76,Lista_CUIT!$A$1:$D$1871,2,0)),"CUIT NO CARGADO")</f>
        <v>LOPEZ LOPEZ FLAVIA</v>
      </c>
      <c r="I76" s="49">
        <v>3000</v>
      </c>
      <c r="J76" s="47" t="str">
        <f>IFERROR(IF('Oct-22'!$G76="","-",VLOOKUP('Oct-22'!$G76,Lista_CUIT!$A$1:$D$1871,3,0)),"CUIT NO CARGADO")</f>
        <v>FLETE</v>
      </c>
      <c r="K76" s="47">
        <f>IFERROR(IF('Oct-22'!$G76="","-",VLOOKUP('Oct-22'!$G76,Lista_CUIT!$A$1:$D$1871,4,0)),"CUIT NO CARGADO")</f>
        <v>0</v>
      </c>
    </row>
    <row r="77" spans="4:11" ht="15.75" customHeight="1" x14ac:dyDescent="0.25">
      <c r="D77" s="117">
        <v>44838</v>
      </c>
      <c r="E77" s="119">
        <v>3</v>
      </c>
      <c r="F77" s="55">
        <v>631</v>
      </c>
      <c r="G77" s="56">
        <v>20086277523</v>
      </c>
      <c r="H77" s="46" t="str">
        <f>IFERROR(IF('Oct-22'!$G77="","-",VLOOKUP('Oct-22'!$G77,Lista_CUIT!$A$1:$D$1871,2,0)),"CUIT NO CARGADO")</f>
        <v>JUAN CARLOS BOTINDARI</v>
      </c>
      <c r="I77" s="49">
        <v>51900</v>
      </c>
      <c r="J77" s="47" t="str">
        <f>IFERROR(IF('Oct-22'!$G77="","-",VLOOKUP('Oct-22'!$G77,Lista_CUIT!$A$1:$D$1871,3,0)),"CUIT NO CARGADO")</f>
        <v>HONORARIOS</v>
      </c>
      <c r="K77" s="47">
        <f>IFERROR(IF('Oct-22'!$G77="","-",VLOOKUP('Oct-22'!$G77,Lista_CUIT!$A$1:$D$1871,4,0)),"CUIT NO CARGADO")</f>
        <v>0</v>
      </c>
    </row>
    <row r="78" spans="4:11" ht="15.75" customHeight="1" x14ac:dyDescent="0.25">
      <c r="D78" s="117">
        <v>44837</v>
      </c>
      <c r="E78" s="119">
        <v>9</v>
      </c>
      <c r="F78" s="55">
        <v>3412121</v>
      </c>
      <c r="G78" s="56">
        <v>33715179119</v>
      </c>
      <c r="H78" s="157" t="str">
        <f>IFERROR(IF('Oct-22'!$G78="","-",VLOOKUP('Oct-22'!$G78,Lista_CUIT!$A$1:$D$1871,2,0)),"CUIT NO CARGADO")</f>
        <v>NIC ARGENTINA</v>
      </c>
      <c r="I78" s="49">
        <v>475</v>
      </c>
      <c r="J78" s="47" t="str">
        <f>IFERROR(IF('Oct-22'!$G78="","-",VLOOKUP('Oct-22'!$G78,Lista_CUIT!$A$1:$D$1871,3,0)),"CUIT NO CARGADO")</f>
        <v>SERVICIOS GAS, LUZ, ETC</v>
      </c>
      <c r="K78" s="47">
        <f>IFERROR(IF('Oct-22'!$G78="","-",VLOOKUP('Oct-22'!$G78,Lista_CUIT!$A$1:$D$1871,4,0)),"CUIT NO CARGADO")</f>
        <v>0</v>
      </c>
    </row>
    <row r="79" spans="4:11" ht="15.75" customHeight="1" x14ac:dyDescent="0.25">
      <c r="D79" s="117">
        <v>44846</v>
      </c>
      <c r="E79" s="119">
        <v>4</v>
      </c>
      <c r="F79" s="55">
        <v>6</v>
      </c>
      <c r="G79" s="56">
        <v>20341462933</v>
      </c>
      <c r="H79" s="157" t="str">
        <f>IFERROR(IF('Oct-22'!$G79="","-",VLOOKUP('Oct-22'!$G79,Lista_CUIT!$A$1:$D$1871,2,0)),"CUIT NO CARGADO")</f>
        <v>CASTIGLIONI MATIAS EZEQUIEL</v>
      </c>
      <c r="I79" s="49">
        <v>195000</v>
      </c>
      <c r="J79" s="47" t="str">
        <f>IFERROR(IF('Oct-22'!$G79="","-",VLOOKUP('Oct-22'!$G79,Lista_CUIT!$A$1:$D$1871,3,0)),"CUIT NO CARGADO")</f>
        <v>MAT. PRIM.</v>
      </c>
      <c r="K79" s="47">
        <f>IFERROR(IF('Oct-22'!$G79="","-",VLOOKUP('Oct-22'!$G79,Lista_CUIT!$A$1:$D$1871,4,0)),"CUIT NO CARGADO")</f>
        <v>0</v>
      </c>
    </row>
    <row r="80" spans="4:11" ht="15.75" customHeight="1" x14ac:dyDescent="0.25">
      <c r="D80" s="117">
        <v>44853</v>
      </c>
      <c r="E80" s="119">
        <v>2</v>
      </c>
      <c r="F80" s="55">
        <v>590</v>
      </c>
      <c r="G80" s="56">
        <v>20320877947</v>
      </c>
      <c r="H80" s="157" t="str">
        <f>IFERROR(IF('Oct-22'!$G80="","-",VLOOKUP('Oct-22'!$G80,Lista_CUIT!$A$1:$D$1871,2,0)),"CUIT NO CARGADO")</f>
        <v>ROUSSEAU PABLO ANDRES</v>
      </c>
      <c r="I80" s="49">
        <v>14000</v>
      </c>
      <c r="J80" s="47" t="str">
        <f>IFERROR(IF('Oct-22'!$G80="","-",VLOOKUP('Oct-22'!$G80,Lista_CUIT!$A$1:$D$1871,3,0)),"CUIT NO CARGADO")</f>
        <v>SERVICIO</v>
      </c>
      <c r="K80" s="47">
        <f>IFERROR(IF('Oct-22'!$G80="","-",VLOOKUP('Oct-22'!$G80,Lista_CUIT!$A$1:$D$1871,4,0)),"CUIT NO CARGADO")</f>
        <v>0</v>
      </c>
    </row>
    <row r="81" spans="2:18" ht="15.75" customHeight="1" x14ac:dyDescent="0.25">
      <c r="D81" s="117">
        <v>44844</v>
      </c>
      <c r="E81" s="119">
        <v>3</v>
      </c>
      <c r="F81" s="55">
        <v>32</v>
      </c>
      <c r="G81" s="56">
        <v>20403931420</v>
      </c>
      <c r="H81" s="157" t="str">
        <f>IFERROR(IF('Oct-22'!$G81="","-",VLOOKUP('Oct-22'!$G81,Lista_CUIT!$A$1:$D$1871,2,0)),"CUIT NO CARGADO")</f>
        <v>FIORENTINO JORGE IGNACIO</v>
      </c>
      <c r="I81" s="49">
        <v>117270</v>
      </c>
      <c r="J81" s="47" t="str">
        <f>IFERROR(IF('Oct-22'!$G81="","-",VLOOKUP('Oct-22'!$G81,Lista_CUIT!$A$1:$D$1871,3,0)),"CUIT NO CARGADO")</f>
        <v>Honorarios Administrativos-Cobranzas y Gestion Clientes</v>
      </c>
      <c r="K81" s="47">
        <f>IFERROR(IF('Oct-22'!$G81="","-",VLOOKUP('Oct-22'!$G81,Lista_CUIT!$A$1:$D$1871,4,0)),"CUIT NO CARGADO")</f>
        <v>0</v>
      </c>
    </row>
    <row r="82" spans="2:18" ht="20.25" customHeight="1" x14ac:dyDescent="0.25">
      <c r="D82" s="10">
        <v>44838</v>
      </c>
      <c r="E82" s="119">
        <v>2</v>
      </c>
      <c r="F82" s="55">
        <v>15</v>
      </c>
      <c r="G82" s="56">
        <v>23326777269</v>
      </c>
      <c r="H82" s="46" t="str">
        <f>IFERROR(IF('Oct-22'!$G82="","-",VLOOKUP('Oct-22'!$G82,Lista_CUIT!$A$1:$D$1871,2,0)),"CUIT NO CARGADO")</f>
        <v>DE BONIS IGNACIO LUIS</v>
      </c>
      <c r="I82" s="49">
        <v>91050</v>
      </c>
      <c r="J82" s="47" t="str">
        <f>IFERROR(IF('Oct-22'!$G82="","-",VLOOKUP('Oct-22'!$G82,Lista_CUIT!$A$1:$D$1871,3,0)),"CUIT NO CARGADO")</f>
        <v>Control medidores masicos</v>
      </c>
      <c r="K82" s="47">
        <f>IFERROR(IF('Oct-22'!$G82="","-",VLOOKUP('Oct-22'!$G82,Lista_CUIT!$A$1:$D$1871,4,0)),"CUIT NO CARGADO")</f>
        <v>0</v>
      </c>
    </row>
    <row r="83" spans="2:18" ht="15.75" customHeight="1" x14ac:dyDescent="0.25">
      <c r="D83" s="10">
        <v>44839</v>
      </c>
      <c r="E83" s="119">
        <v>1</v>
      </c>
      <c r="F83" s="55">
        <v>11</v>
      </c>
      <c r="G83" s="56">
        <v>20417805878</v>
      </c>
      <c r="H83" s="46" t="str">
        <f>IFERROR(IF('Oct-22'!$G83="","-",VLOOKUP('Oct-22'!$G83,Lista_CUIT!$A$1:$D$1871,2,0)),"CUIT NO CARGADO")</f>
        <v>FERABOLI OSPAL SANTIAGO HERNAN</v>
      </c>
      <c r="I83" s="49">
        <v>76850</v>
      </c>
      <c r="J83" s="47" t="str">
        <f>IFERROR(IF('Oct-22'!$G83="","-",VLOOKUP('Oct-22'!$G83,Lista_CUIT!$A$1:$D$1871,3,0)),"CUIT NO CARGADO")</f>
        <v>Control medidores masicos</v>
      </c>
      <c r="K83" s="47">
        <f>IFERROR(IF('Oct-22'!$G83="","-",VLOOKUP('Oct-22'!$G83,Lista_CUIT!$A$1:$D$1871,4,0)),"CUIT NO CARGADO")</f>
        <v>0</v>
      </c>
    </row>
    <row r="84" spans="2:18" ht="17.25" customHeight="1" x14ac:dyDescent="0.25">
      <c r="D84" s="47" t="s">
        <v>1546</v>
      </c>
      <c r="E84" s="47"/>
      <c r="F84" s="47"/>
      <c r="G84" s="47"/>
      <c r="H84" s="48"/>
      <c r="I84" s="49">
        <f>SUBTOTAL(109,'Oct-22'!$I$68:$I$83)</f>
        <v>1278569.44</v>
      </c>
      <c r="J84" s="47"/>
      <c r="K84" s="47"/>
    </row>
    <row r="85" spans="2:18" ht="31.5" customHeight="1" x14ac:dyDescent="0.25">
      <c r="B85" s="50"/>
      <c r="C85" s="50"/>
      <c r="L85" s="50"/>
      <c r="M85" s="50"/>
      <c r="N85" s="50"/>
      <c r="O85" s="50"/>
      <c r="P85" s="50"/>
      <c r="Q85" s="50"/>
      <c r="R85" s="50"/>
    </row>
    <row r="86" spans="2:18" ht="15.75" customHeight="1" x14ac:dyDescent="0.25"/>
    <row r="87" spans="2:18" ht="15.75" customHeight="1" x14ac:dyDescent="0.25"/>
    <row r="88" spans="2:18" ht="15.75" customHeight="1" x14ac:dyDescent="0.25"/>
    <row r="89" spans="2:18" ht="15.75" customHeight="1" x14ac:dyDescent="0.25"/>
    <row r="90" spans="2:18" ht="15.75" customHeight="1" x14ac:dyDescent="0.25">
      <c r="B90" s="366" t="s">
        <v>1563</v>
      </c>
      <c r="C90" s="351"/>
      <c r="D90" s="351"/>
      <c r="E90" s="351"/>
      <c r="F90" s="351"/>
      <c r="G90" s="351"/>
      <c r="H90" s="351"/>
      <c r="I90" s="351"/>
      <c r="J90" s="352"/>
      <c r="K90" s="367">
        <f>N1</f>
        <v>44835</v>
      </c>
      <c r="L90" s="351"/>
      <c r="M90" s="352"/>
    </row>
    <row r="91" spans="2:18" ht="15.75" customHeight="1" x14ac:dyDescent="0.25"/>
    <row r="92" spans="2:18" ht="15.75" customHeight="1" x14ac:dyDescent="0.25">
      <c r="B92" s="368" t="s">
        <v>1564</v>
      </c>
      <c r="C92" s="369"/>
    </row>
    <row r="93" spans="2:18" ht="15.75" customHeight="1" x14ac:dyDescent="0.25">
      <c r="B93" s="51" t="s">
        <v>1532</v>
      </c>
      <c r="C93" s="52" t="s">
        <v>1533</v>
      </c>
      <c r="D93" s="52" t="s">
        <v>1565</v>
      </c>
      <c r="E93" s="52" t="s">
        <v>1566</v>
      </c>
      <c r="F93" s="52" t="s">
        <v>0</v>
      </c>
      <c r="G93" s="52" t="s">
        <v>1</v>
      </c>
      <c r="H93" s="52" t="s">
        <v>1567</v>
      </c>
      <c r="I93" s="52" t="s">
        <v>1551</v>
      </c>
      <c r="J93" s="52" t="s">
        <v>1539</v>
      </c>
      <c r="K93" s="52" t="s">
        <v>1568</v>
      </c>
      <c r="L93" s="52" t="s">
        <v>1544</v>
      </c>
      <c r="M93" s="53" t="s">
        <v>1545</v>
      </c>
    </row>
    <row r="94" spans="2:18" ht="15.75" customHeight="1" x14ac:dyDescent="0.25">
      <c r="B94" s="71" t="s">
        <v>1637</v>
      </c>
      <c r="C94" s="72">
        <v>1</v>
      </c>
      <c r="D94" s="73">
        <v>3</v>
      </c>
      <c r="E94" s="74">
        <v>82</v>
      </c>
      <c r="F94" s="75">
        <v>30715595105</v>
      </c>
      <c r="G94" s="57" t="str">
        <f>IFERROR(IF('Oct-22'!$F94="","-",VLOOKUP('Oct-22'!$F94,Lista_CUIT!$A$1:$D$1871,2,0)),"CUIT NO CARGADO")</f>
        <v>ASPRO SERVICIOS PETROLEROS S.A.</v>
      </c>
      <c r="H94" s="58">
        <v>515620</v>
      </c>
      <c r="I94" s="59">
        <f>'Oct-22'!$H94*0.21</f>
        <v>108280.2</v>
      </c>
      <c r="J94" s="60"/>
      <c r="K94" s="60"/>
      <c r="L94" s="60">
        <f>SUM('Oct-22'!$H94:$K94)</f>
        <v>623900.19999999995</v>
      </c>
      <c r="M94" s="61"/>
    </row>
    <row r="95" spans="2:18" ht="15.75" customHeight="1" x14ac:dyDescent="0.25">
      <c r="B95" s="71" t="s">
        <v>1637</v>
      </c>
      <c r="C95" s="72">
        <v>1</v>
      </c>
      <c r="D95" s="73">
        <v>3</v>
      </c>
      <c r="E95" s="74">
        <v>83</v>
      </c>
      <c r="F95" s="75">
        <v>30638318470</v>
      </c>
      <c r="G95" s="57" t="str">
        <f>IFERROR(IF('Oct-22'!$F95="","-",VLOOKUP('Oct-22'!$F95,Lista_CUIT!$A$1:$D$1871,2,0)),"CUIT NO CARGADO")</f>
        <v>DELTA COMPRESION S.R.L</v>
      </c>
      <c r="H95" s="58">
        <v>515620</v>
      </c>
      <c r="I95" s="59">
        <f>'Oct-22'!$H95*0.21</f>
        <v>108280.2</v>
      </c>
      <c r="J95" s="60"/>
      <c r="K95" s="60"/>
      <c r="L95" s="60">
        <f>SUM('Oct-22'!$H95:$K95)</f>
        <v>623900.19999999995</v>
      </c>
      <c r="M95" s="61"/>
    </row>
    <row r="96" spans="2:18" ht="15.75" customHeight="1" x14ac:dyDescent="0.25">
      <c r="B96" s="71" t="s">
        <v>1637</v>
      </c>
      <c r="C96" s="72">
        <v>1</v>
      </c>
      <c r="D96" s="73">
        <v>3</v>
      </c>
      <c r="E96" s="74">
        <v>81</v>
      </c>
      <c r="F96" s="75">
        <v>33711590809</v>
      </c>
      <c r="G96" s="57" t="str">
        <f>IFERROR(IF('Oct-22'!$F96="","-",VLOOKUP('Oct-22'!$F96,Lista_CUIT!$A$1:$D$1871,2,0)),"CUIT NO CARGADO")</f>
        <v>LAS QUINAS S.A.</v>
      </c>
      <c r="H96" s="58">
        <v>1208180</v>
      </c>
      <c r="I96" s="59">
        <v>18643.8</v>
      </c>
      <c r="J96" s="60">
        <v>117537</v>
      </c>
      <c r="K96" s="60"/>
      <c r="L96" s="60">
        <f>SUM('Oct-22'!$H96:$K96)</f>
        <v>1344360.8</v>
      </c>
      <c r="M96" s="61"/>
    </row>
    <row r="97" spans="2:13" ht="15.75" customHeight="1" x14ac:dyDescent="0.25">
      <c r="B97" s="10" t="s">
        <v>1637</v>
      </c>
      <c r="C97" s="11">
        <v>1</v>
      </c>
      <c r="D97" s="12">
        <v>3</v>
      </c>
      <c r="E97" s="13">
        <v>84</v>
      </c>
      <c r="F97" s="14">
        <v>30628274327</v>
      </c>
      <c r="G97" s="57" t="str">
        <f>IFERROR(IF('Oct-22'!$F97="","-",VLOOKUP('Oct-22'!$F97,Lista_CUIT!$A$1:$D$1871,2,0)),"CUIT NO CARGADO")</f>
        <v>AGIRA SA</v>
      </c>
      <c r="H97" s="58">
        <v>3292602</v>
      </c>
      <c r="I97" s="59"/>
      <c r="J97" s="60">
        <v>345723.20999999996</v>
      </c>
      <c r="K97" s="60"/>
      <c r="L97" s="60">
        <f>SUM('Oct-22'!$H97:$K97)</f>
        <v>3638325.21</v>
      </c>
      <c r="M97" s="61"/>
    </row>
    <row r="98" spans="2:13" ht="15.75" customHeight="1" x14ac:dyDescent="0.25">
      <c r="B98" s="10" t="s">
        <v>1638</v>
      </c>
      <c r="C98" s="11">
        <v>1</v>
      </c>
      <c r="D98" s="12">
        <v>3</v>
      </c>
      <c r="E98" s="13">
        <v>87</v>
      </c>
      <c r="F98" s="14">
        <v>30638318470</v>
      </c>
      <c r="G98" s="57" t="str">
        <f>IFERROR(IF('Oct-22'!$F98="","-",VLOOKUP('Oct-22'!$F98,Lista_CUIT!$A$1:$D$1871,2,0)),"CUIT NO CARGADO")</f>
        <v>DELTA COMPRESION S.R.L</v>
      </c>
      <c r="H98" s="58">
        <v>736626.00959999999</v>
      </c>
      <c r="I98" s="59">
        <f>'Oct-22'!$H98*0.21</f>
        <v>154691.462016</v>
      </c>
      <c r="J98" s="60"/>
      <c r="K98" s="60"/>
      <c r="L98" s="60">
        <f>SUM('Oct-22'!$H98:$K98)</f>
        <v>891317.47161599994</v>
      </c>
      <c r="M98" s="61"/>
    </row>
    <row r="99" spans="2:13" ht="15" customHeight="1" x14ac:dyDescent="0.25">
      <c r="B99" s="10" t="s">
        <v>1638</v>
      </c>
      <c r="C99" s="11">
        <v>1</v>
      </c>
      <c r="D99" s="12">
        <v>3</v>
      </c>
      <c r="E99" s="13">
        <v>85</v>
      </c>
      <c r="F99" s="14">
        <v>30638318470</v>
      </c>
      <c r="G99" s="57" t="str">
        <f>IFERROR(IF('Oct-22'!$F99="","-",VLOOKUP('Oct-22'!$F99,Lista_CUIT!$A$1:$D$1871,2,0)),"CUIT NO CARGADO")</f>
        <v>DELTA COMPRESION S.R.L</v>
      </c>
      <c r="H99" s="58">
        <v>6864858</v>
      </c>
      <c r="I99" s="59"/>
      <c r="J99" s="60">
        <v>720810.09</v>
      </c>
      <c r="K99" s="60"/>
      <c r="L99" s="60">
        <f>SUM('Oct-22'!$H99:$K99)</f>
        <v>7585668.0899999999</v>
      </c>
      <c r="M99" s="61"/>
    </row>
    <row r="100" spans="2:13" ht="15.75" customHeight="1" x14ac:dyDescent="0.25">
      <c r="B100" s="10" t="s">
        <v>1638</v>
      </c>
      <c r="C100" s="11">
        <v>1</v>
      </c>
      <c r="D100" s="12">
        <v>3</v>
      </c>
      <c r="E100" s="13">
        <v>86</v>
      </c>
      <c r="F100" s="14">
        <v>30638318470</v>
      </c>
      <c r="G100" s="57" t="str">
        <f>IFERROR(IF('Oct-22'!$F100="","-",VLOOKUP('Oct-22'!$F100,Lista_CUIT!$A$1:$D$1871,2,0)),"CUIT NO CARGADO")</f>
        <v>DELTA COMPRESION S.R.L</v>
      </c>
      <c r="H100" s="58">
        <v>613379.52</v>
      </c>
      <c r="I100" s="59">
        <v>71706.5622</v>
      </c>
      <c r="J100" s="60">
        <v>28551.568500000001</v>
      </c>
      <c r="K100" s="60"/>
      <c r="L100" s="60">
        <f>SUM('Oct-22'!$H100:$K100)</f>
        <v>713637.65070000011</v>
      </c>
      <c r="M100" s="61"/>
    </row>
    <row r="101" spans="2:13" ht="15.75" customHeight="1" x14ac:dyDescent="0.25">
      <c r="B101" s="10" t="s">
        <v>1639</v>
      </c>
      <c r="C101" s="11">
        <v>1</v>
      </c>
      <c r="D101" s="12">
        <v>3</v>
      </c>
      <c r="E101" s="13">
        <v>88</v>
      </c>
      <c r="F101" s="14">
        <v>30716041596</v>
      </c>
      <c r="G101" s="57" t="str">
        <f>IFERROR(IF('Oct-22'!$F101="","-",VLOOKUP('Oct-22'!$F101,Lista_CUIT!$A$1:$D$1871,2,0)),"CUIT NO CARGADO")</f>
        <v>EXA COMPRESION SRL</v>
      </c>
      <c r="H101" s="58">
        <v>555037.5</v>
      </c>
      <c r="I101" s="59">
        <f>'Oct-22'!$H101*0.21</f>
        <v>116557.875</v>
      </c>
      <c r="J101" s="60"/>
      <c r="K101" s="60"/>
      <c r="L101" s="60">
        <f>SUM('Oct-22'!$H101:$K101)</f>
        <v>671595.375</v>
      </c>
      <c r="M101" s="61"/>
    </row>
    <row r="102" spans="2:13" ht="15.75" customHeight="1" x14ac:dyDescent="0.25">
      <c r="B102" s="10" t="s">
        <v>1640</v>
      </c>
      <c r="C102" s="11">
        <v>1</v>
      </c>
      <c r="D102" s="12">
        <v>3</v>
      </c>
      <c r="E102" s="13">
        <v>89</v>
      </c>
      <c r="F102" s="14">
        <v>30638318470</v>
      </c>
      <c r="G102" s="57" t="str">
        <f>IFERROR(IF('Oct-22'!$F102="","-",VLOOKUP('Oct-22'!$F102,Lista_CUIT!$A$1:$D$1871,2,0)),"CUIT NO CARGADO")</f>
        <v>DELTA COMPRESION S.R.L</v>
      </c>
      <c r="H102" s="58">
        <v>6342242.6234999998</v>
      </c>
      <c r="I102" s="59">
        <v>90742.831200000001</v>
      </c>
      <c r="J102" s="60">
        <v>620564.17500000005</v>
      </c>
      <c r="K102" s="60"/>
      <c r="L102" s="60">
        <f>SUM('Oct-22'!$H102:$K102)</f>
        <v>7053549.6296999995</v>
      </c>
      <c r="M102" s="61"/>
    </row>
    <row r="103" spans="2:13" ht="15.75" customHeight="1" x14ac:dyDescent="0.25">
      <c r="B103" s="10" t="s">
        <v>1641</v>
      </c>
      <c r="C103" s="11">
        <v>1</v>
      </c>
      <c r="D103" s="12">
        <v>3</v>
      </c>
      <c r="E103" s="13">
        <v>90</v>
      </c>
      <c r="F103" s="14">
        <v>30628274327</v>
      </c>
      <c r="G103" s="57" t="str">
        <f>IFERROR(IF('Oct-22'!$F103="","-",VLOOKUP('Oct-22'!$F103,Lista_CUIT!$A$1:$D$1871,2,0)),"CUIT NO CARGADO")</f>
        <v>AGIRA SA</v>
      </c>
      <c r="H103" s="58">
        <v>3430948.5</v>
      </c>
      <c r="I103" s="59"/>
      <c r="J103" s="60">
        <v>360249.59249999997</v>
      </c>
      <c r="K103" s="60"/>
      <c r="L103" s="60">
        <f>SUM('Oct-22'!$H103:$K103)</f>
        <v>3791198.0924999998</v>
      </c>
      <c r="M103" s="62"/>
    </row>
    <row r="104" spans="2:13" ht="15.75" customHeight="1" x14ac:dyDescent="0.25">
      <c r="B104" s="63" t="s">
        <v>1642</v>
      </c>
      <c r="C104" s="64">
        <v>1</v>
      </c>
      <c r="D104" s="65">
        <v>30</v>
      </c>
      <c r="E104" s="66">
        <v>11</v>
      </c>
      <c r="F104" s="67"/>
      <c r="G104" s="57" t="str">
        <f>IFERROR(IF('Oct-22'!$F104="","-",VLOOKUP('Oct-22'!$F104,Lista_CUIT!$A$1:$D$1871,2,0)),"CUIT NO CARGADO")</f>
        <v>-</v>
      </c>
      <c r="H104" s="68">
        <v>0</v>
      </c>
      <c r="I104" s="69">
        <f>'Oct-22'!$H104*0.21</f>
        <v>0</v>
      </c>
      <c r="J104" s="70"/>
      <c r="K104" s="70">
        <v>804430</v>
      </c>
      <c r="L104" s="70">
        <f>SUM('Oct-22'!$H104:$K104)</f>
        <v>804430</v>
      </c>
      <c r="M104" s="62"/>
    </row>
    <row r="105" spans="2:13" ht="15.75" customHeight="1" x14ac:dyDescent="0.25">
      <c r="B105" s="71" t="s">
        <v>1643</v>
      </c>
      <c r="C105" s="72">
        <v>1</v>
      </c>
      <c r="D105" s="73">
        <v>3</v>
      </c>
      <c r="E105" s="74">
        <v>91</v>
      </c>
      <c r="F105" s="75">
        <v>20215856314</v>
      </c>
      <c r="G105" s="57" t="str">
        <f>IFERROR(IF('Oct-22'!$F105="","-",VLOOKUP('Oct-22'!$F105,Lista_CUIT!$A$1:$D$1871,2,0)),"CUIT NO CARGADO")</f>
        <v>GUGLIELMI GUSTAVO FABIAN</v>
      </c>
      <c r="H105" s="58">
        <v>139851</v>
      </c>
      <c r="I105" s="59">
        <f>'Oct-22'!$H105*0.21</f>
        <v>29368.71</v>
      </c>
      <c r="J105" s="60"/>
      <c r="K105" s="60"/>
      <c r="L105" s="60">
        <f>SUM('Oct-22'!$H105:$K105)</f>
        <v>169219.71</v>
      </c>
      <c r="M105" s="61"/>
    </row>
    <row r="106" spans="2:13" ht="15.75" customHeight="1" x14ac:dyDescent="0.25">
      <c r="B106" s="76" t="s">
        <v>1546</v>
      </c>
      <c r="C106" s="77"/>
      <c r="D106" s="77"/>
      <c r="E106" s="77"/>
      <c r="F106" s="77"/>
      <c r="G106" s="77"/>
      <c r="H106" s="78">
        <f>SUBTOTAL(109,'Oct-22'!$H$94:$H$105)</f>
        <v>24214965.153099999</v>
      </c>
      <c r="I106" s="79">
        <f>SUBTOTAL(109,'Oct-22'!$I$94:$I$105)</f>
        <v>698271.64041599992</v>
      </c>
      <c r="J106" s="70">
        <f>SUBTOTAL(109,'Oct-22'!$J$94:$J$105)</f>
        <v>2193435.6359999999</v>
      </c>
      <c r="K106" s="70">
        <f>SUBTOTAL(109,'Oct-22'!$K$94:$K$105)</f>
        <v>804430</v>
      </c>
      <c r="L106" s="70">
        <f>SUBTOTAL(109,'Oct-22'!$L$94:$L$105)</f>
        <v>27911102.429516003</v>
      </c>
      <c r="M106" s="80">
        <f>SUBTOTAL(103,'Oct-22'!$M$94:$M$105)</f>
        <v>0</v>
      </c>
    </row>
    <row r="107" spans="2:13" ht="15.75" customHeight="1" x14ac:dyDescent="0.25"/>
    <row r="108" spans="2:13" ht="15.75" customHeight="1" x14ac:dyDescent="0.25"/>
    <row r="109" spans="2:13" ht="15.75" customHeight="1" x14ac:dyDescent="0.25">
      <c r="B109" s="368" t="s">
        <v>1569</v>
      </c>
      <c r="C109" s="369"/>
    </row>
    <row r="110" spans="2:13" ht="15.75" customHeight="1" x14ac:dyDescent="0.25">
      <c r="B110" s="51" t="s">
        <v>1532</v>
      </c>
      <c r="C110" s="52" t="s">
        <v>1533</v>
      </c>
      <c r="D110" s="52" t="s">
        <v>1565</v>
      </c>
      <c r="E110" s="52" t="s">
        <v>1566</v>
      </c>
      <c r="F110" s="52" t="s">
        <v>0</v>
      </c>
      <c r="G110" s="52" t="s">
        <v>1</v>
      </c>
      <c r="H110" s="52" t="s">
        <v>1567</v>
      </c>
      <c r="I110" s="52" t="s">
        <v>1551</v>
      </c>
      <c r="J110" s="52" t="s">
        <v>1539</v>
      </c>
      <c r="K110" s="52" t="s">
        <v>1568</v>
      </c>
      <c r="L110" s="52" t="s">
        <v>1544</v>
      </c>
      <c r="M110" s="53" t="s">
        <v>1545</v>
      </c>
    </row>
    <row r="111" spans="2:13" ht="15.75" customHeight="1" x14ac:dyDescent="0.25">
      <c r="B111" s="140">
        <v>44840</v>
      </c>
      <c r="C111" s="107">
        <v>6</v>
      </c>
      <c r="D111" s="119">
        <v>3</v>
      </c>
      <c r="E111" s="109">
        <v>1</v>
      </c>
      <c r="F111" s="14"/>
      <c r="G111" s="81" t="str">
        <f>IFERROR(IF('Oct-22'!$F111="","-",VLOOKUP('Oct-22'!$F111,Lista_CUIT!$A$1:$D$1871,2,0)),"CUIT NO CARGADO")</f>
        <v>-</v>
      </c>
      <c r="H111" s="82">
        <v>118723.41</v>
      </c>
      <c r="I111" s="82">
        <f>'Oct-22'!$H111*0.21</f>
        <v>24931.916099999999</v>
      </c>
      <c r="J111" s="82"/>
      <c r="K111" s="82"/>
      <c r="L111" s="82">
        <f>SUM('Oct-22'!$H111:$K111)</f>
        <v>143655.32610000001</v>
      </c>
      <c r="M111" s="61"/>
    </row>
    <row r="112" spans="2:13" ht="15.75" customHeight="1" x14ac:dyDescent="0.25">
      <c r="B112" s="10"/>
      <c r="C112" s="11"/>
      <c r="D112" s="12"/>
      <c r="E112" s="13"/>
      <c r="F112" s="14"/>
      <c r="G112" s="81" t="str">
        <f>IFERROR(IF('Oct-22'!$F112="","-",VLOOKUP('Oct-22'!$F112,Lista_CUIT!$A$1:$D$1871,2,0)),"CUIT NO CARGADO")</f>
        <v>-</v>
      </c>
      <c r="H112" s="82"/>
      <c r="I112" s="82">
        <f>'Oct-22'!$H112*0.21</f>
        <v>0</v>
      </c>
      <c r="J112" s="82"/>
      <c r="K112" s="82"/>
      <c r="L112" s="82">
        <f>SUM('Oct-22'!$H112:$K112)</f>
        <v>0</v>
      </c>
      <c r="M112" s="61"/>
    </row>
    <row r="113" spans="2:13" ht="15.75" customHeight="1" x14ac:dyDescent="0.25">
      <c r="B113" s="10"/>
      <c r="C113" s="11"/>
      <c r="D113" s="12"/>
      <c r="E113" s="13"/>
      <c r="F113" s="14"/>
      <c r="G113" s="81"/>
      <c r="H113" s="82"/>
      <c r="I113" s="82">
        <f>'Oct-22'!$H113*0.21</f>
        <v>0</v>
      </c>
      <c r="J113" s="82"/>
      <c r="K113" s="82"/>
      <c r="L113" s="82">
        <f>SUM('Oct-22'!$H113:$K113)</f>
        <v>0</v>
      </c>
      <c r="M113" s="61"/>
    </row>
    <row r="114" spans="2:13" ht="15.75" customHeight="1" x14ac:dyDescent="0.25">
      <c r="B114" s="10"/>
      <c r="C114" s="11"/>
      <c r="D114" s="12"/>
      <c r="E114" s="13"/>
      <c r="F114" s="14"/>
      <c r="G114" s="81"/>
      <c r="H114" s="82"/>
      <c r="I114" s="82">
        <f>'Oct-22'!$H114*0.21</f>
        <v>0</v>
      </c>
      <c r="J114" s="82"/>
      <c r="K114" s="82"/>
      <c r="L114" s="82">
        <f>SUM('Oct-22'!$H114:$K114)</f>
        <v>0</v>
      </c>
      <c r="M114" s="61"/>
    </row>
    <row r="115" spans="2:13" ht="15.75" customHeight="1" x14ac:dyDescent="0.25">
      <c r="B115" s="10"/>
      <c r="C115" s="11"/>
      <c r="D115" s="12"/>
      <c r="E115" s="13"/>
      <c r="F115" s="14"/>
      <c r="G115" s="81"/>
      <c r="H115" s="82"/>
      <c r="I115" s="82">
        <f>'Oct-22'!$H115*0.21</f>
        <v>0</v>
      </c>
      <c r="J115" s="82"/>
      <c r="K115" s="82"/>
      <c r="L115" s="82">
        <f>SUM('Oct-22'!$H115:$K115)</f>
        <v>0</v>
      </c>
      <c r="M115" s="61"/>
    </row>
    <row r="116" spans="2:13" ht="15.75" customHeight="1" x14ac:dyDescent="0.25">
      <c r="B116" s="10"/>
      <c r="C116" s="11"/>
      <c r="D116" s="12"/>
      <c r="E116" s="13"/>
      <c r="F116" s="14"/>
      <c r="G116" s="81"/>
      <c r="H116" s="82"/>
      <c r="I116" s="82">
        <f>'Oct-22'!$H116*0.21</f>
        <v>0</v>
      </c>
      <c r="J116" s="82"/>
      <c r="K116" s="82"/>
      <c r="L116" s="82">
        <f>SUM('Oct-22'!$H116:$K116)</f>
        <v>0</v>
      </c>
      <c r="M116" s="61"/>
    </row>
    <row r="117" spans="2:13" ht="15.75" customHeight="1" x14ac:dyDescent="0.25">
      <c r="B117" s="76" t="s">
        <v>1546</v>
      </c>
      <c r="C117" s="77"/>
      <c r="D117" s="77"/>
      <c r="E117" s="77"/>
      <c r="F117" s="77"/>
      <c r="G117" s="77"/>
      <c r="H117" s="83">
        <f>SUBTOTAL(109,'Oct-22'!$H$111:$H$116)</f>
        <v>118723.41</v>
      </c>
      <c r="I117" s="83">
        <f>SUBTOTAL(109,'Oct-22'!$I$111:$I$116)</f>
        <v>24931.916099999999</v>
      </c>
      <c r="J117" s="84">
        <f>SUBTOTAL(109,'Oct-22'!$J$111:$J$116)</f>
        <v>0</v>
      </c>
      <c r="K117" s="84">
        <f>SUBTOTAL(109,'Oct-22'!$K$111:$K$116)</f>
        <v>0</v>
      </c>
      <c r="L117" s="84">
        <f>SUBTOTAL(109,'Oct-22'!$L$111:$L$116)</f>
        <v>143655.32610000001</v>
      </c>
      <c r="M117" s="80">
        <f>SUBTOTAL(103,'Oct-22'!$M$111:$M$116)</f>
        <v>0</v>
      </c>
    </row>
    <row r="118" spans="2:13" ht="15.75" customHeight="1" x14ac:dyDescent="0.25"/>
    <row r="119" spans="2:13" ht="21" customHeight="1" x14ac:dyDescent="0.25">
      <c r="B119" s="372" t="s">
        <v>1644</v>
      </c>
      <c r="C119" s="351"/>
      <c r="D119" s="352"/>
    </row>
    <row r="120" spans="2:13" ht="15.75" customHeight="1" x14ac:dyDescent="0.25">
      <c r="B120" s="51" t="s">
        <v>1532</v>
      </c>
      <c r="C120" s="52" t="s">
        <v>1565</v>
      </c>
      <c r="D120" s="52" t="s">
        <v>1566</v>
      </c>
      <c r="E120" s="52" t="s">
        <v>1645</v>
      </c>
      <c r="F120" s="52" t="s">
        <v>1</v>
      </c>
      <c r="G120" s="52" t="s">
        <v>1646</v>
      </c>
      <c r="H120" s="52" t="s">
        <v>1574</v>
      </c>
      <c r="I120" s="52" t="s">
        <v>1647</v>
      </c>
      <c r="J120" s="52" t="s">
        <v>1648</v>
      </c>
    </row>
    <row r="121" spans="2:13" ht="15.75" customHeight="1" x14ac:dyDescent="0.25">
      <c r="B121" s="10">
        <v>44851</v>
      </c>
      <c r="C121" s="12">
        <v>30</v>
      </c>
      <c r="D121" s="13">
        <v>50</v>
      </c>
      <c r="E121" s="14">
        <v>55000000050</v>
      </c>
      <c r="F121" s="158"/>
      <c r="G121" s="82">
        <v>5500</v>
      </c>
      <c r="H121" s="82">
        <v>151.63999999999999</v>
      </c>
      <c r="I121" s="82">
        <f>'Oct-22'!$G121*'Oct-22'!$H121</f>
        <v>834019.99999999988</v>
      </c>
      <c r="J121" s="82"/>
    </row>
    <row r="122" spans="2:13" ht="15.75" customHeight="1" x14ac:dyDescent="0.25">
      <c r="B122" s="10">
        <v>44860</v>
      </c>
      <c r="C122" s="12">
        <v>30</v>
      </c>
      <c r="D122" s="13">
        <v>51</v>
      </c>
      <c r="E122" s="14">
        <v>55000000050</v>
      </c>
      <c r="F122" s="158"/>
      <c r="G122" s="82">
        <v>5500</v>
      </c>
      <c r="H122" s="82">
        <v>154.74</v>
      </c>
      <c r="I122" s="82">
        <f>'Oct-22'!$G122*'Oct-22'!$H122</f>
        <v>851070</v>
      </c>
      <c r="J122" s="82"/>
    </row>
    <row r="123" spans="2:13" ht="15.75" customHeight="1" x14ac:dyDescent="0.25">
      <c r="B123" s="10">
        <v>44860</v>
      </c>
      <c r="C123" s="12">
        <v>30</v>
      </c>
      <c r="D123" s="13">
        <v>11</v>
      </c>
      <c r="E123" s="14">
        <v>55000000050</v>
      </c>
      <c r="F123" s="158"/>
      <c r="G123" s="82">
        <v>-5500</v>
      </c>
      <c r="H123" s="82">
        <v>146.26</v>
      </c>
      <c r="I123" s="82">
        <f>'Oct-22'!$G123*'Oct-22'!$H123</f>
        <v>-804430</v>
      </c>
      <c r="J123" s="82"/>
    </row>
    <row r="124" spans="2:13" ht="15.75" customHeight="1" x14ac:dyDescent="0.25">
      <c r="B124" s="10">
        <v>44860</v>
      </c>
      <c r="C124" s="12">
        <v>30</v>
      </c>
      <c r="D124" s="13">
        <v>12</v>
      </c>
      <c r="E124" s="14">
        <v>55000000050</v>
      </c>
      <c r="F124" s="158"/>
      <c r="G124" s="82">
        <v>-5500</v>
      </c>
      <c r="H124" s="82">
        <v>151.63999999999999</v>
      </c>
      <c r="I124" s="82">
        <f>'Oct-22'!$G124*'Oct-22'!$H124</f>
        <v>-834019.99999999988</v>
      </c>
      <c r="J124" s="82"/>
    </row>
    <row r="125" spans="2:13" ht="15.75" customHeight="1" x14ac:dyDescent="0.25">
      <c r="B125" s="10">
        <v>44860</v>
      </c>
      <c r="C125" s="12">
        <v>30</v>
      </c>
      <c r="D125" s="13">
        <v>13</v>
      </c>
      <c r="E125" s="14">
        <v>55000004072</v>
      </c>
      <c r="F125" s="158"/>
      <c r="G125" s="82">
        <v>-7935</v>
      </c>
      <c r="H125" s="82">
        <v>129.58000000000001</v>
      </c>
      <c r="I125" s="82">
        <f>'Oct-22'!$G125*'Oct-22'!$H125</f>
        <v>-1028217.3</v>
      </c>
      <c r="J125" s="82"/>
    </row>
    <row r="126" spans="2:13" ht="15.75" customHeight="1" x14ac:dyDescent="0.25">
      <c r="B126" s="10"/>
      <c r="C126" s="12"/>
      <c r="D126" s="13"/>
      <c r="E126" s="14"/>
      <c r="F126" s="81"/>
      <c r="G126" s="82"/>
      <c r="H126" s="82"/>
      <c r="I126" s="82">
        <f>'Oct-22'!$G126*'Oct-22'!$H126</f>
        <v>0</v>
      </c>
      <c r="J126" s="82"/>
    </row>
    <row r="127" spans="2:13" ht="15.75" customHeight="1" x14ac:dyDescent="0.25">
      <c r="B127" s="76" t="s">
        <v>1546</v>
      </c>
      <c r="C127" s="77"/>
      <c r="D127" s="77"/>
      <c r="E127" s="77"/>
      <c r="F127" s="77"/>
      <c r="G127" s="83">
        <f>SUBTOTAL(109,'Oct-22'!$G$121:$G$126)</f>
        <v>-7935</v>
      </c>
      <c r="H127" s="83">
        <f>SUBTOTAL(109,'Oct-22'!$H$121:$H$126)</f>
        <v>733.86</v>
      </c>
      <c r="I127" s="84">
        <f>SUBTOTAL(109,'Oct-22'!$I$121:$I$126)</f>
        <v>-981577.29999999993</v>
      </c>
      <c r="J127" s="84">
        <f>SUBTOTAL(109,'Oct-22'!$J$121:$J$126)</f>
        <v>0</v>
      </c>
    </row>
    <row r="128" spans="2:13" ht="15.75" customHeight="1" x14ac:dyDescent="0.25"/>
    <row r="129" spans="3:12" ht="15.75" customHeight="1" x14ac:dyDescent="0.25"/>
    <row r="130" spans="3:12" ht="15.75" customHeight="1" x14ac:dyDescent="0.25">
      <c r="C130" s="361" t="s">
        <v>1575</v>
      </c>
      <c r="D130" s="362"/>
      <c r="E130" s="362"/>
      <c r="F130" s="362"/>
      <c r="G130" s="363"/>
      <c r="H130" s="89"/>
      <c r="I130" s="89"/>
      <c r="J130" s="89"/>
    </row>
    <row r="131" spans="3:12" ht="15.75" customHeight="1" x14ac:dyDescent="0.25">
      <c r="C131" s="90" t="s">
        <v>1576</v>
      </c>
      <c r="D131" s="91" t="s">
        <v>1577</v>
      </c>
      <c r="E131" s="91" t="s">
        <v>1578</v>
      </c>
      <c r="F131" s="91" t="s">
        <v>0</v>
      </c>
      <c r="G131" s="91" t="s">
        <v>1</v>
      </c>
      <c r="H131" s="92" t="s">
        <v>1579</v>
      </c>
      <c r="I131" s="92" t="s">
        <v>1580</v>
      </c>
      <c r="J131" s="92" t="s">
        <v>1581</v>
      </c>
      <c r="K131" s="92" t="s">
        <v>1582</v>
      </c>
      <c r="L131" s="92" t="s">
        <v>1583</v>
      </c>
    </row>
    <row r="132" spans="3:12" ht="15.75" customHeight="1" x14ac:dyDescent="0.25">
      <c r="C132" s="54"/>
      <c r="D132" s="93"/>
      <c r="E132" s="93"/>
      <c r="F132" s="56"/>
      <c r="G132" s="46" t="str">
        <f>IFERROR(IF('Oct-22'!$F132="","-",VLOOKUP('Oct-22'!$F132,Lista_CUIT!$A$1:$D$1871,2,0)),"CUIT NO CARGADO")</f>
        <v>-</v>
      </c>
      <c r="H132" s="94"/>
      <c r="I132" s="94"/>
      <c r="J132" s="94"/>
      <c r="K132" s="94"/>
      <c r="L132" s="94"/>
    </row>
    <row r="133" spans="3:12" ht="15.75" customHeight="1" x14ac:dyDescent="0.25">
      <c r="C133" s="54"/>
      <c r="D133" s="93"/>
      <c r="E133" s="93"/>
      <c r="F133" s="56"/>
      <c r="G133" s="46" t="str">
        <f>IFERROR(IF('Oct-22'!$F133="","-",VLOOKUP('Oct-22'!$F133,Lista_CUIT!$A$1:$D$1871,2,0)),"CUIT NO CARGADO")</f>
        <v>-</v>
      </c>
      <c r="H133" s="94"/>
      <c r="I133" s="94"/>
      <c r="J133" s="94"/>
      <c r="K133" s="94"/>
      <c r="L133" s="94"/>
    </row>
    <row r="134" spans="3:12" ht="15.75" customHeight="1" x14ac:dyDescent="0.25">
      <c r="C134" s="54"/>
      <c r="D134" s="93"/>
      <c r="E134" s="93"/>
      <c r="F134" s="56"/>
      <c r="G134" s="46" t="str">
        <f>IFERROR(IF('Oct-22'!$F134="","-",VLOOKUP('Oct-22'!$F134,Lista_CUIT!$A$1:$D$1871,2,0)),"CUIT NO CARGADO")</f>
        <v>-</v>
      </c>
      <c r="H134" s="94"/>
      <c r="I134" s="94"/>
      <c r="J134" s="94"/>
      <c r="K134" s="94"/>
      <c r="L134" s="94"/>
    </row>
    <row r="135" spans="3:12" ht="15.75" customHeight="1" x14ac:dyDescent="0.25">
      <c r="C135" s="54"/>
      <c r="D135" s="93"/>
      <c r="E135" s="93"/>
      <c r="F135" s="56"/>
      <c r="G135" s="46" t="str">
        <f>IFERROR(IF('Oct-22'!$F135="","-",VLOOKUP('Oct-22'!$F135,Lista_CUIT!$A$1:$D$1871,2,0)),"CUIT NO CARGADO")</f>
        <v>-</v>
      </c>
      <c r="H135" s="94"/>
      <c r="I135" s="94"/>
      <c r="J135" s="94"/>
      <c r="K135" s="94"/>
      <c r="L135" s="94"/>
    </row>
    <row r="136" spans="3:12" ht="15.75" customHeight="1" x14ac:dyDescent="0.25">
      <c r="C136" s="3"/>
      <c r="D136" s="93"/>
      <c r="E136" s="93"/>
      <c r="F136" s="3"/>
      <c r="G136" s="46" t="str">
        <f>IFERROR(IF('Oct-22'!$F136="","-",VLOOKUP('Oct-22'!$F136,Lista_CUIT!$A$1:$D$1871,2,0)),"CUIT NO CARGADO")</f>
        <v>-</v>
      </c>
      <c r="H136" s="3"/>
      <c r="I136" s="3"/>
      <c r="J136" s="3"/>
      <c r="K136" s="3"/>
      <c r="L136" s="3"/>
    </row>
    <row r="137" spans="3:12" ht="15.75" customHeight="1" x14ac:dyDescent="0.25">
      <c r="C137" s="95"/>
    </row>
    <row r="138" spans="3:12" ht="15.75" customHeight="1" x14ac:dyDescent="0.25"/>
    <row r="139" spans="3:12" ht="15.75" customHeight="1" x14ac:dyDescent="0.25"/>
    <row r="140" spans="3:12" ht="15.75" customHeight="1" x14ac:dyDescent="0.25"/>
    <row r="141" spans="3:12" ht="15.75" customHeight="1" x14ac:dyDescent="0.25"/>
    <row r="142" spans="3:12" ht="15.75" customHeight="1" x14ac:dyDescent="0.25"/>
    <row r="143" spans="3:12" ht="15.75" customHeight="1" x14ac:dyDescent="0.25"/>
    <row r="144" spans="3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1">
    <mergeCell ref="P4:R4"/>
    <mergeCell ref="D55:L55"/>
    <mergeCell ref="B119:D119"/>
    <mergeCell ref="C130:G130"/>
    <mergeCell ref="B3:E3"/>
    <mergeCell ref="B4:E4"/>
    <mergeCell ref="G4:H4"/>
    <mergeCell ref="D66:K66"/>
    <mergeCell ref="B90:J90"/>
    <mergeCell ref="K90:M90"/>
    <mergeCell ref="B92:C92"/>
    <mergeCell ref="B109:C109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7">
    <dataValidation type="decimal" operator="lessThanOrEqual" allowBlank="1" showErrorMessage="1" sqref="D111" xr:uid="{00000000-0002-0000-0700-000000000000}">
      <formula1>9999</formula1>
    </dataValidation>
    <dataValidation type="custom" allowBlank="1" showErrorMessage="1" sqref="H111:L116" xr:uid="{00000000-0002-0000-0700-000001000000}">
      <formula1>IF($C111=8,H111&lt;0,H111&gt;=0)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I34" xr:uid="{00000000-0002-0000-0700-000002000000}">
      <formula1>IF($C35=3,I34&lt;0,I34&gt;=0)</formula1>
    </dataValidation>
    <dataValidation type="decimal" allowBlank="1" showErrorMessage="1" sqref="G80:G81" xr:uid="{00000000-0002-0000-0700-000003000000}">
      <formula1>10000000000</formula1>
      <formula2>99999999999</formula2>
    </dataValidation>
    <dataValidation type="custom" allowBlank="1" showErrorMessage="1" sqref="L99:L101" xr:uid="{00000000-0002-0000-0700-000004000000}">
      <formula1>IF($C25=3,L25&lt;0,L25&gt;=0)</formula1>
    </dataValidation>
    <dataValidation type="decimal" allowBlank="1" showErrorMessage="1" sqref="E9:E49 F82:F83 E94:E105 E112:E116 D121:D126" xr:uid="{00000000-0002-0000-0700-000005000000}">
      <formula1>1</formula1>
      <formula2>99999999</formula2>
    </dataValidation>
    <dataValidation type="custom" allowBlank="1" showErrorMessage="1" sqref="L97:L98" xr:uid="{00000000-0002-0000-0700-000006000000}">
      <formula1>IF($C21=3,L21&lt;0,L21&gt;=0)</formula1>
    </dataValidation>
    <dataValidation type="decimal" allowBlank="1" showErrorMessage="1" sqref="C9:C49 C51:C54 C94:C105" xr:uid="{00000000-0002-0000-0700-000007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3 H34:H35 J34:O35 H36:O49" xr:uid="{00000000-0002-0000-0700-000008000000}">
      <formula1>IF($C9=3,H9&lt;0,H9&gt;=0)</formula1>
    </dataValidation>
    <dataValidation type="decimal" operator="lessThanOrEqual" allowBlank="1" showErrorMessage="1" sqref="E111" xr:uid="{00000000-0002-0000-0700-000009000000}">
      <formula1>99999999</formula1>
    </dataValidation>
    <dataValidation type="custom" allowBlank="1" showErrorMessage="1" sqref="H97:K97 H99:K99 H101:K101 H103:K103" xr:uid="{00000000-0002-0000-0700-00000A000000}">
      <formula1>IF($C97=3,H97&lt;0,H97&gt;=0)</formula1>
    </dataValidation>
    <dataValidation type="decimal" allowBlank="1" showErrorMessage="1" sqref="C111:C116" xr:uid="{00000000-0002-0000-0700-00000B000000}">
      <formula1>6</formula1>
      <formula2>8</formula2>
    </dataValidation>
    <dataValidation type="decimal" allowBlank="1" showErrorMessage="1" sqref="F9:F49 G82:G83 F94:F105 F111:F116 E121:E126" xr:uid="{00000000-0002-0000-0700-00000C000000}">
      <formula1>20000000000</formula1>
      <formula2>33999999999</formula2>
    </dataValidation>
    <dataValidation type="date" allowBlank="1" showErrorMessage="1" sqref="B9:B49 B51:B54 D82:D83 B94:B105 B112:B116 B121:B126 D60:D61" xr:uid="{00000000-0002-0000-0700-00000D000000}">
      <formula1>40179</formula1>
      <formula2>TODAY()</formula2>
    </dataValidation>
    <dataValidation type="decimal" allowBlank="1" showErrorMessage="1" sqref="D9:D49 E82:E83 D94:D105 D112:D116 C121:C126" xr:uid="{00000000-0002-0000-0700-00000E000000}">
      <formula1>1</formula1>
      <formula2>9999</formula2>
    </dataValidation>
    <dataValidation type="custom" allowBlank="1" showErrorMessage="1" sqref="L102:L103" xr:uid="{00000000-0002-0000-0700-00000F000000}">
      <formula1>IF($C50=3,L50&lt;0,L50&gt;=0)</formula1>
    </dataValidation>
    <dataValidation type="date" operator="lessThan" allowBlank="1" showErrorMessage="1" sqref="B111" xr:uid="{00000000-0002-0000-0700-000010000000}">
      <formula1>$Q$1+1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DE9D9"/>
  </sheetPr>
  <dimension ref="A1:Z1000"/>
  <sheetViews>
    <sheetView showGridLines="0" topLeftCell="A40" zoomScale="90" zoomScaleNormal="90" workbookViewId="0">
      <selection activeCell="K145" sqref="K145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6.5703125" customWidth="1"/>
    <col min="6" max="6" width="25.7109375" customWidth="1"/>
    <col min="7" max="7" width="26.85546875" customWidth="1"/>
    <col min="8" max="8" width="15.5703125" customWidth="1"/>
    <col min="9" max="9" width="14.7109375" customWidth="1"/>
    <col min="10" max="10" width="21.570312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15.28515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EDATE('Abr-22'!N1,7)</f>
        <v>44866</v>
      </c>
      <c r="O1" s="351"/>
      <c r="P1" s="351"/>
      <c r="Q1" s="351"/>
      <c r="R1" s="352"/>
    </row>
    <row r="3" spans="1:26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26" ht="24.75" customHeight="1" x14ac:dyDescent="0.35">
      <c r="B4" s="364">
        <f>SUM('Nov-22'!$H$63)+'Nov-22'!$G$82</f>
        <v>3062434.5089999996</v>
      </c>
      <c r="C4" s="351"/>
      <c r="D4" s="351"/>
      <c r="E4" s="352"/>
      <c r="F4" s="8"/>
      <c r="G4" s="365">
        <f>'Nov-22'!$I$63+'Nov-22'!$J$63+'Nov-22'!$K$63+'Nov-22'!$H$82+'Nov-22'!$I$82</f>
        <v>712790.14294000005</v>
      </c>
      <c r="H4" s="352"/>
      <c r="I4" s="8"/>
      <c r="J4" s="370">
        <f>'Nov-22'!$H$127+'Nov-22'!$H$138</f>
        <v>10543128.7006</v>
      </c>
      <c r="K4" s="352"/>
      <c r="L4" s="8"/>
      <c r="M4" s="370">
        <f>'Nov-22'!$I$127+'Nov-22'!$J$127+'Nov-22'!$I$138+'Nov-22'!$J$138</f>
        <v>1415274.1062739999</v>
      </c>
      <c r="N4" s="352"/>
      <c r="O4" s="8"/>
      <c r="P4" s="358">
        <f>G4-M4</f>
        <v>-702483.96333399985</v>
      </c>
      <c r="Q4" s="351"/>
      <c r="R4" s="352"/>
    </row>
    <row r="5" spans="1:26" ht="12.75" customHeight="1" x14ac:dyDescent="0.25"/>
    <row r="6" spans="1:26" ht="10.5" customHeight="1" x14ac:dyDescent="0.25"/>
    <row r="7" spans="1:26" ht="18" customHeight="1" x14ac:dyDescent="0.25">
      <c r="A7" s="9"/>
      <c r="B7" s="10"/>
      <c r="C7" s="11"/>
      <c r="D7" s="12"/>
      <c r="E7" s="159" t="s">
        <v>1649</v>
      </c>
      <c r="F7" s="160"/>
      <c r="G7" s="161"/>
      <c r="H7" s="16"/>
      <c r="I7" s="17"/>
      <c r="J7" s="17"/>
      <c r="K7" s="17"/>
      <c r="L7" s="17"/>
      <c r="M7" s="17"/>
      <c r="N7" s="17"/>
      <c r="O7" s="17"/>
      <c r="P7" s="20"/>
      <c r="Q7" s="21"/>
      <c r="R7" s="21"/>
      <c r="S7" s="9"/>
    </row>
    <row r="8" spans="1:26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22" t="s">
        <v>2</v>
      </c>
      <c r="R8" s="22" t="s">
        <v>1545</v>
      </c>
    </row>
    <row r="9" spans="1:26" x14ac:dyDescent="0.25">
      <c r="B9" s="162" t="s">
        <v>1650</v>
      </c>
      <c r="C9" s="163">
        <v>3</v>
      </c>
      <c r="D9" s="12">
        <v>3</v>
      </c>
      <c r="E9" s="13">
        <v>2</v>
      </c>
      <c r="F9" s="14">
        <v>20386178209</v>
      </c>
      <c r="G9" s="15" t="str">
        <f>IFERROR(IF('Nov-22'!$F9="","-",VLOOKUP('Nov-22'!$F9,Lista_CUIT!$A$1:$D$1871,2,0)),"CUIT NO CARGADO")</f>
        <v>CLEMENTE LUCAS IVAN</v>
      </c>
      <c r="H9" s="16">
        <v>-98500</v>
      </c>
      <c r="I9" s="23">
        <f>'Nov-22'!$H9*0.21</f>
        <v>-20685</v>
      </c>
      <c r="J9" s="23"/>
      <c r="K9" s="23"/>
      <c r="L9" s="23"/>
      <c r="M9" s="23"/>
      <c r="N9" s="23"/>
      <c r="O9" s="23"/>
      <c r="P9" s="20">
        <f>SUM('Nov-22'!$H9:$O9)</f>
        <v>-119185</v>
      </c>
      <c r="Q9" s="21" t="str">
        <f>IFERROR(IF('Nov-22'!$F9="","-",VLOOKUP('Nov-22'!$F9,Lista_CUIT!$A$1:$D$1871,3,0)),"CUIT NO CARGADO")</f>
        <v>Servicios de Publicidad</v>
      </c>
      <c r="R9" s="21">
        <f>IFERROR(IF('Nov-22'!$F9="","-",VLOOKUP('Nov-22'!$F9,Lista_CUIT!$A$1:$D$1871,4,0)),"CUIT NO CARGADO")</f>
        <v>0</v>
      </c>
    </row>
    <row r="10" spans="1:26" x14ac:dyDescent="0.25">
      <c r="B10" s="162" t="s">
        <v>1650</v>
      </c>
      <c r="C10" s="163">
        <v>1</v>
      </c>
      <c r="D10" s="12">
        <v>3</v>
      </c>
      <c r="E10" s="13">
        <v>8</v>
      </c>
      <c r="F10" s="14">
        <v>20386178209</v>
      </c>
      <c r="G10" s="15" t="str">
        <f>IFERROR(IF('Nov-22'!$F10="","-",VLOOKUP('Nov-22'!$F10,Lista_CUIT!$A$1:$D$1871,2,0)),"CUIT NO CARGADO")</f>
        <v>CLEMENTE LUCAS IVAN</v>
      </c>
      <c r="H10" s="16">
        <v>98500</v>
      </c>
      <c r="I10" s="23">
        <f>'Nov-22'!$H10*0.21</f>
        <v>20685</v>
      </c>
      <c r="J10" s="23"/>
      <c r="K10" s="23"/>
      <c r="L10" s="23"/>
      <c r="M10" s="23"/>
      <c r="N10" s="23"/>
      <c r="O10" s="23"/>
      <c r="P10" s="20">
        <f>SUM('Nov-22'!$H10:$O10)</f>
        <v>119185</v>
      </c>
      <c r="Q10" s="21" t="str">
        <f>IFERROR(IF('Nov-22'!$F10="","-",VLOOKUP('Nov-22'!$F10,Lista_CUIT!$A$1:$D$1871,3,0)),"CUIT NO CARGADO")</f>
        <v>Servicios de Publicidad</v>
      </c>
      <c r="R10" s="21">
        <f>IFERROR(IF('Nov-22'!$F10="","-",VLOOKUP('Nov-22'!$F10,Lista_CUIT!$A$1:$D$1871,4,0)),"CUIT NO CARGADO")</f>
        <v>0</v>
      </c>
    </row>
    <row r="11" spans="1:26" x14ac:dyDescent="0.25">
      <c r="B11" s="162" t="s">
        <v>1651</v>
      </c>
      <c r="C11" s="163">
        <v>3</v>
      </c>
      <c r="D11" s="12">
        <v>5</v>
      </c>
      <c r="E11" s="13">
        <v>8</v>
      </c>
      <c r="F11" s="14">
        <v>20222522111</v>
      </c>
      <c r="G11" s="15" t="str">
        <f>IFERROR(IF('Nov-22'!$F11="","-",VLOOKUP('Nov-22'!$F11,Lista_CUIT!$A$1:$D$1871,2,0)),"CUIT NO CARGADO")</f>
        <v>CALVO FEDERICO LUIS</v>
      </c>
      <c r="H11" s="16">
        <v>-352066.12</v>
      </c>
      <c r="I11" s="23">
        <f>'Nov-22'!$H11*0.21</f>
        <v>-73933.88519999999</v>
      </c>
      <c r="J11" s="23"/>
      <c r="K11" s="23"/>
      <c r="L11" s="23"/>
      <c r="M11" s="23"/>
      <c r="N11" s="23"/>
      <c r="O11" s="23"/>
      <c r="P11" s="20">
        <f>SUM('Nov-22'!$H11:$O11)</f>
        <v>-426000.00520000001</v>
      </c>
      <c r="Q11" s="21" t="str">
        <f>IFERROR(IF('Nov-22'!$F11="","-",VLOOKUP('Nov-22'!$F11,Lista_CUIT!$A$1:$D$1871,3,0)),"CUIT NO CARGADO")</f>
        <v>MANTENIMIENTO</v>
      </c>
      <c r="R11" s="21">
        <f>IFERROR(IF('Nov-22'!$F11="","-",VLOOKUP('Nov-22'!$F11,Lista_CUIT!$A$1:$D$1871,4,0)),"CUIT NO CARGADO")</f>
        <v>0</v>
      </c>
    </row>
    <row r="12" spans="1:26" x14ac:dyDescent="0.25">
      <c r="B12" s="162" t="s">
        <v>1650</v>
      </c>
      <c r="C12" s="163">
        <v>1</v>
      </c>
      <c r="D12" s="12">
        <v>3</v>
      </c>
      <c r="E12" s="13">
        <v>11</v>
      </c>
      <c r="F12" s="14">
        <v>20386178209</v>
      </c>
      <c r="G12" s="15" t="str">
        <f>IFERROR(IF('Nov-22'!$F12="","-",VLOOKUP('Nov-22'!$F12,Lista_CUIT!$A$1:$D$1871,2,0)),"CUIT NO CARGADO")</f>
        <v>CLEMENTE LUCAS IVAN</v>
      </c>
      <c r="H12" s="16">
        <v>98500</v>
      </c>
      <c r="I12" s="23">
        <f>'Nov-22'!$H12*0.21</f>
        <v>20685</v>
      </c>
      <c r="J12" s="23"/>
      <c r="K12" s="23"/>
      <c r="L12" s="23"/>
      <c r="M12" s="23"/>
      <c r="N12" s="23"/>
      <c r="O12" s="23"/>
      <c r="P12" s="20">
        <f>SUM('Nov-22'!$H12:$O12)</f>
        <v>119185</v>
      </c>
      <c r="Q12" s="21" t="str">
        <f>IFERROR(IF('Nov-22'!$F12="","-",VLOOKUP('Nov-22'!$F12,Lista_CUIT!$A$1:$D$1871,3,0)),"CUIT NO CARGADO")</f>
        <v>Servicios de Publicidad</v>
      </c>
      <c r="R12" s="21">
        <f>IFERROR(IF('Nov-22'!$F12="","-",VLOOKUP('Nov-22'!$F12,Lista_CUIT!$A$1:$D$1871,4,0)),"CUIT NO CARGADO")</f>
        <v>0</v>
      </c>
    </row>
    <row r="13" spans="1:26" x14ac:dyDescent="0.25">
      <c r="B13" s="162" t="s">
        <v>1652</v>
      </c>
      <c r="C13" s="163">
        <v>1</v>
      </c>
      <c r="D13" s="12">
        <v>3</v>
      </c>
      <c r="E13" s="13">
        <v>15</v>
      </c>
      <c r="F13" s="14">
        <v>20386178209</v>
      </c>
      <c r="G13" s="15" t="str">
        <f>IFERROR(IF('Nov-22'!$F13="","-",VLOOKUP('Nov-22'!$F13,Lista_CUIT!$A$1:$D$1871,2,0)),"CUIT NO CARGADO")</f>
        <v>CLEMENTE LUCAS IVAN</v>
      </c>
      <c r="H13" s="16">
        <v>98500</v>
      </c>
      <c r="I13" s="23">
        <f>'Nov-22'!$H13*0.21</f>
        <v>20685</v>
      </c>
      <c r="J13" s="23"/>
      <c r="K13" s="23"/>
      <c r="L13" s="23"/>
      <c r="M13" s="23"/>
      <c r="N13" s="23"/>
      <c r="O13" s="23"/>
      <c r="P13" s="20">
        <f>SUM('Nov-22'!$H13:$O13)</f>
        <v>119185</v>
      </c>
      <c r="Q13" s="21" t="str">
        <f>IFERROR(IF('Nov-22'!$F13="","-",VLOOKUP('Nov-22'!$F13,Lista_CUIT!$A$1:$D$1871,3,0)),"CUIT NO CARGADO")</f>
        <v>Servicios de Publicidad</v>
      </c>
      <c r="R13" s="21">
        <f>IFERROR(IF('Nov-22'!$F13="","-",VLOOKUP('Nov-22'!$F13,Lista_CUIT!$A$1:$D$1871,4,0)),"CUIT NO CARGADO")</f>
        <v>0</v>
      </c>
    </row>
    <row r="14" spans="1:26" x14ac:dyDescent="0.25">
      <c r="B14" s="162" t="s">
        <v>1651</v>
      </c>
      <c r="C14" s="163">
        <v>1</v>
      </c>
      <c r="D14" s="12">
        <v>1</v>
      </c>
      <c r="E14" s="13">
        <v>101</v>
      </c>
      <c r="F14" s="14">
        <v>30717029336</v>
      </c>
      <c r="G14" s="15" t="str">
        <f>IFERROR(IF('Nov-22'!$F14="","-",VLOOKUP('Nov-22'!$F14,Lista_CUIT!$A$1:$D$1871,2,0)),"CUIT NO CARGADO")</f>
        <v>ECOMOVE SRL</v>
      </c>
      <c r="H14" s="16">
        <v>352066.12</v>
      </c>
      <c r="I14" s="23">
        <f>'Nov-22'!$H14*0.21</f>
        <v>73933.88519999999</v>
      </c>
      <c r="J14" s="23"/>
      <c r="K14" s="23"/>
      <c r="L14" s="23"/>
      <c r="M14" s="23"/>
      <c r="N14" s="23"/>
      <c r="O14" s="23"/>
      <c r="P14" s="20">
        <f>SUM('Nov-22'!$H14:$O14)</f>
        <v>426000.00520000001</v>
      </c>
      <c r="Q14" s="21" t="str">
        <f>IFERROR(IF('Nov-22'!$F14="","-",VLOOKUP('Nov-22'!$F14,Lista_CUIT!$A$1:$D$1871,3,0)),"CUIT NO CARGADO")</f>
        <v>BIENES DE USO</v>
      </c>
      <c r="R14" s="21">
        <f>IFERROR(IF('Nov-22'!$F14="","-",VLOOKUP('Nov-22'!$F14,Lista_CUIT!$A$1:$D$1871,4,0)),"CUIT NO CARGADO")</f>
        <v>0</v>
      </c>
    </row>
    <row r="15" spans="1:26" x14ac:dyDescent="0.25">
      <c r="B15" s="162" t="s">
        <v>1653</v>
      </c>
      <c r="C15" s="163">
        <v>1</v>
      </c>
      <c r="D15" s="12">
        <v>5</v>
      </c>
      <c r="E15" s="13">
        <v>122</v>
      </c>
      <c r="F15" s="14">
        <v>20222522111</v>
      </c>
      <c r="G15" s="15" t="str">
        <f>IFERROR(IF('Nov-22'!$F15="","-",VLOOKUP('Nov-22'!$F15,Lista_CUIT!$A$1:$D$1871,2,0)),"CUIT NO CARGADO")</f>
        <v>CALVO FEDERICO LUIS</v>
      </c>
      <c r="H15" s="16">
        <v>352066.12</v>
      </c>
      <c r="I15" s="23">
        <f>'Nov-22'!$H15*0.21</f>
        <v>73933.88519999999</v>
      </c>
      <c r="J15" s="23"/>
      <c r="K15" s="23"/>
      <c r="L15" s="23"/>
      <c r="M15" s="23"/>
      <c r="N15" s="23"/>
      <c r="O15" s="23"/>
      <c r="P15" s="20">
        <f>SUM('Nov-22'!$H15:$O15)</f>
        <v>426000.00520000001</v>
      </c>
      <c r="Q15" s="21" t="str">
        <f>IFERROR(IF('Nov-22'!$F15="","-",VLOOKUP('Nov-22'!$F15,Lista_CUIT!$A$1:$D$1871,3,0)),"CUIT NO CARGADO")</f>
        <v>MANTENIMIENTO</v>
      </c>
      <c r="R15" s="21">
        <f>IFERROR(IF('Nov-22'!$F15="","-",VLOOKUP('Nov-22'!$F15,Lista_CUIT!$A$1:$D$1871,4,0)),"CUIT NO CARGADO")</f>
        <v>0</v>
      </c>
    </row>
    <row r="16" spans="1:26" x14ac:dyDescent="0.25">
      <c r="A16" s="50"/>
      <c r="B16" s="162" t="s">
        <v>1650</v>
      </c>
      <c r="C16" s="163">
        <v>1</v>
      </c>
      <c r="D16" s="12">
        <v>2</v>
      </c>
      <c r="E16" s="13">
        <v>151</v>
      </c>
      <c r="F16" s="14">
        <v>20125142851</v>
      </c>
      <c r="G16" s="15" t="str">
        <f>IFERROR(IF('Nov-22'!$F16="","-",VLOOKUP('Nov-22'!$F16,Lista_CUIT!$A$1:$D$1871,2,0)),"CUIT NO CARGADO")</f>
        <v>FEDERICI NICOLAS JOSE</v>
      </c>
      <c r="H16" s="16">
        <v>97258.14</v>
      </c>
      <c r="I16" s="23">
        <f>'Nov-22'!$H16*0.21</f>
        <v>20424.2094</v>
      </c>
      <c r="J16" s="23"/>
      <c r="K16" s="23"/>
      <c r="L16" s="23"/>
      <c r="M16" s="23"/>
      <c r="N16" s="23"/>
      <c r="O16" s="23"/>
      <c r="P16" s="20">
        <f>SUM('Nov-22'!$H16:$O16)</f>
        <v>117682.34940000001</v>
      </c>
      <c r="Q16" s="21" t="str">
        <f>IFERROR(IF('Nov-22'!$F16="","-",VLOOKUP('Nov-22'!$F16,Lista_CUIT!$A$1:$D$1871,3,0)),"CUIT NO CARGADO")</f>
        <v>INSUMO</v>
      </c>
      <c r="R16" s="21">
        <f>IFERROR(IF('Nov-22'!$F16="","-",VLOOKUP('Nov-22'!$F16,Lista_CUIT!$A$1:$D$1871,4,0)),"CUIT NO CARGADO")</f>
        <v>0</v>
      </c>
      <c r="S16" s="50"/>
      <c r="T16" s="50"/>
      <c r="U16" s="50"/>
      <c r="V16" s="50"/>
      <c r="W16" s="50"/>
      <c r="X16" s="50"/>
      <c r="Y16" s="50"/>
      <c r="Z16" s="50"/>
    </row>
    <row r="17" spans="2:18" x14ac:dyDescent="0.25">
      <c r="B17" s="162" t="s">
        <v>1650</v>
      </c>
      <c r="C17" s="163">
        <v>1</v>
      </c>
      <c r="D17" s="12">
        <v>2</v>
      </c>
      <c r="E17" s="13">
        <v>152</v>
      </c>
      <c r="F17" s="14">
        <v>20125142851</v>
      </c>
      <c r="G17" s="15" t="str">
        <f>IFERROR(IF('Nov-22'!$F17="","-",VLOOKUP('Nov-22'!$F17,Lista_CUIT!$A$1:$D$1871,2,0)),"CUIT NO CARGADO")</f>
        <v>FEDERICI NICOLAS JOSE</v>
      </c>
      <c r="H17" s="16">
        <v>114992.62</v>
      </c>
      <c r="I17" s="23">
        <f>'Nov-22'!$H17*0.21</f>
        <v>24148.450199999999</v>
      </c>
      <c r="J17" s="23"/>
      <c r="K17" s="23"/>
      <c r="L17" s="23"/>
      <c r="M17" s="23"/>
      <c r="N17" s="23"/>
      <c r="O17" s="23"/>
      <c r="P17" s="20">
        <f>SUM('Nov-22'!$H17:$O17)</f>
        <v>139141.07019999999</v>
      </c>
      <c r="Q17" s="21" t="str">
        <f>IFERROR(IF('Nov-22'!$F17="","-",VLOOKUP('Nov-22'!$F17,Lista_CUIT!$A$1:$D$1871,3,0)),"CUIT NO CARGADO")</f>
        <v>INSUMO</v>
      </c>
      <c r="R17" s="21">
        <f>IFERROR(IF('Nov-22'!$F17="","-",VLOOKUP('Nov-22'!$F17,Lista_CUIT!$A$1:$D$1871,4,0)),"CUIT NO CARGADO")</f>
        <v>0</v>
      </c>
    </row>
    <row r="18" spans="2:18" x14ac:dyDescent="0.25">
      <c r="B18" s="162" t="s">
        <v>1654</v>
      </c>
      <c r="C18" s="163">
        <v>1</v>
      </c>
      <c r="D18" s="12">
        <v>2</v>
      </c>
      <c r="E18" s="13">
        <v>153</v>
      </c>
      <c r="F18" s="14">
        <v>20125142851</v>
      </c>
      <c r="G18" s="15" t="str">
        <f>IFERROR(IF('Nov-22'!$F18="","-",VLOOKUP('Nov-22'!$F18,Lista_CUIT!$A$1:$D$1871,2,0)),"CUIT NO CARGADO")</f>
        <v>FEDERICI NICOLAS JOSE</v>
      </c>
      <c r="H18" s="16">
        <v>24961.52</v>
      </c>
      <c r="I18" s="23">
        <f>'Nov-22'!$H18*0.21</f>
        <v>5241.9192000000003</v>
      </c>
      <c r="J18" s="23"/>
      <c r="K18" s="23"/>
      <c r="L18" s="23"/>
      <c r="M18" s="23"/>
      <c r="N18" s="23"/>
      <c r="O18" s="23"/>
      <c r="P18" s="20">
        <f>SUM('Nov-22'!$H18:$O18)</f>
        <v>30203.439200000001</v>
      </c>
      <c r="Q18" s="21" t="str">
        <f>IFERROR(IF('Nov-22'!$F18="","-",VLOOKUP('Nov-22'!$F18,Lista_CUIT!$A$1:$D$1871,3,0)),"CUIT NO CARGADO")</f>
        <v>INSUMO</v>
      </c>
      <c r="R18" s="21">
        <f>IFERROR(IF('Nov-22'!$F18="","-",VLOOKUP('Nov-22'!$F18,Lista_CUIT!$A$1:$D$1871,4,0)),"CUIT NO CARGADO")</f>
        <v>0</v>
      </c>
    </row>
    <row r="19" spans="2:18" ht="14.25" customHeight="1" x14ac:dyDescent="0.25">
      <c r="B19" s="162" t="s">
        <v>1655</v>
      </c>
      <c r="C19" s="163">
        <v>1</v>
      </c>
      <c r="D19" s="12">
        <v>2</v>
      </c>
      <c r="E19" s="13">
        <v>154</v>
      </c>
      <c r="F19" s="14">
        <v>20125142851</v>
      </c>
      <c r="G19" s="15" t="str">
        <f>IFERROR(IF('Nov-22'!$F19="","-",VLOOKUP('Nov-22'!$F19,Lista_CUIT!$A$1:$D$1871,2,0)),"CUIT NO CARGADO")</f>
        <v>FEDERICI NICOLAS JOSE</v>
      </c>
      <c r="H19" s="16">
        <v>24776.62</v>
      </c>
      <c r="I19" s="23">
        <f>'Nov-22'!$H19*0.21</f>
        <v>5203.0901999999996</v>
      </c>
      <c r="J19" s="23"/>
      <c r="K19" s="23"/>
      <c r="L19" s="23"/>
      <c r="M19" s="23"/>
      <c r="N19" s="23"/>
      <c r="O19" s="23"/>
      <c r="P19" s="20">
        <f>SUM('Nov-22'!$H19:$O19)</f>
        <v>29979.710199999998</v>
      </c>
      <c r="Q19" s="21" t="str">
        <f>IFERROR(IF('Nov-22'!$F19="","-",VLOOKUP('Nov-22'!$F19,Lista_CUIT!$A$1:$D$1871,3,0)),"CUIT NO CARGADO")</f>
        <v>INSUMO</v>
      </c>
      <c r="R19" s="21">
        <f>IFERROR(IF('Nov-22'!$F19="","-",VLOOKUP('Nov-22'!$F19,Lista_CUIT!$A$1:$D$1871,4,0)),"CUIT NO CARGADO")</f>
        <v>0</v>
      </c>
    </row>
    <row r="20" spans="2:18" x14ac:dyDescent="0.25">
      <c r="B20" s="162" t="s">
        <v>1656</v>
      </c>
      <c r="C20" s="163">
        <v>1</v>
      </c>
      <c r="D20" s="12">
        <v>5</v>
      </c>
      <c r="E20" s="13">
        <v>444</v>
      </c>
      <c r="F20" s="14">
        <v>27314756121</v>
      </c>
      <c r="G20" s="15" t="str">
        <f>IFERROR(IF('Nov-22'!$F20="","-",VLOOKUP('Nov-22'!$F20,Lista_CUIT!$A$1:$D$1871,2,0)),"CUIT NO CARGADO")</f>
        <v>TABORDA DRA. NADIA J.</v>
      </c>
      <c r="H20" s="16">
        <v>5252</v>
      </c>
      <c r="I20" s="23">
        <f>'Nov-22'!$H20*0.21</f>
        <v>1102.92</v>
      </c>
      <c r="J20" s="23"/>
      <c r="K20" s="23"/>
      <c r="L20" s="23"/>
      <c r="M20" s="23"/>
      <c r="N20" s="23"/>
      <c r="O20" s="23">
        <v>300</v>
      </c>
      <c r="P20" s="20">
        <f>SUM('Nov-22'!$H20:$O20)</f>
        <v>6654.92</v>
      </c>
      <c r="Q20" s="21" t="str">
        <f>IFERROR(IF('Nov-22'!$F20="","-",VLOOKUP('Nov-22'!$F20,Lista_CUIT!$A$1:$D$1871,3,0)),"CUIT NO CARGADO")</f>
        <v>Honorarios Legales</v>
      </c>
      <c r="R20" s="21">
        <f>IFERROR(IF('Nov-22'!$F20="","-",VLOOKUP('Nov-22'!$F20,Lista_CUIT!$A$1:$D$1871,4,0)),"CUIT NO CARGADO")</f>
        <v>0</v>
      </c>
    </row>
    <row r="21" spans="2:18" ht="15.75" customHeight="1" x14ac:dyDescent="0.25">
      <c r="B21" s="162" t="s">
        <v>1657</v>
      </c>
      <c r="C21" s="163">
        <v>1</v>
      </c>
      <c r="D21" s="12">
        <v>3</v>
      </c>
      <c r="E21" s="13">
        <v>496</v>
      </c>
      <c r="F21" s="14">
        <v>30709317101</v>
      </c>
      <c r="G21" s="15" t="str">
        <f>IFERROR(IF('Nov-22'!$F21="","-",VLOOKUP('Nov-22'!$F21,Lista_CUIT!$A$1:$D$1871,2,0)),"CUIT NO CARGADO")</f>
        <v>CDTEK SRL</v>
      </c>
      <c r="H21" s="16">
        <v>2490.9</v>
      </c>
      <c r="I21" s="23">
        <f>'Nov-22'!$H21*0.21</f>
        <v>523.08900000000006</v>
      </c>
      <c r="J21" s="23"/>
      <c r="K21" s="23"/>
      <c r="L21" s="23"/>
      <c r="M21" s="23"/>
      <c r="N21" s="23"/>
      <c r="O21" s="23"/>
      <c r="P21" s="20">
        <f>SUM('Nov-22'!$H21:$O21)</f>
        <v>3013.989</v>
      </c>
      <c r="Q21" s="21" t="str">
        <f>IFERROR(IF('Nov-22'!$F21="","-",VLOOKUP('Nov-22'!$F21,Lista_CUIT!$A$1:$D$1871,3,0)),"CUIT NO CARGADO")</f>
        <v>BIENES DE USO</v>
      </c>
      <c r="R21" s="21">
        <f>IFERROR(IF('Nov-22'!$F21="","-",VLOOKUP('Nov-22'!$F21,Lista_CUIT!$A$1:$D$1871,4,0)),"CUIT NO CARGADO")</f>
        <v>0</v>
      </c>
    </row>
    <row r="22" spans="2:18" ht="14.25" customHeight="1" x14ac:dyDescent="0.25">
      <c r="B22" s="162" t="s">
        <v>1658</v>
      </c>
      <c r="C22" s="163">
        <v>1</v>
      </c>
      <c r="D22" s="12">
        <v>1</v>
      </c>
      <c r="E22" s="13">
        <v>531</v>
      </c>
      <c r="F22" s="14">
        <v>30715048066</v>
      </c>
      <c r="G22" s="15" t="str">
        <f>IFERROR(IF('Nov-22'!$F22="","-",VLOOKUP('Nov-22'!$F22,Lista_CUIT!$A$1:$D$1871,2,0)),"CUIT NO CARGADO")</f>
        <v>ROLLS Y EMPANADAS SA</v>
      </c>
      <c r="H22" s="16">
        <v>124705</v>
      </c>
      <c r="I22" s="23">
        <f>'Nov-22'!$H22*0.21</f>
        <v>26188.05</v>
      </c>
      <c r="J22" s="23"/>
      <c r="K22" s="23"/>
      <c r="L22" s="23"/>
      <c r="M22" s="23"/>
      <c r="N22" s="23"/>
      <c r="O22" s="23"/>
      <c r="P22" s="20">
        <f>SUM('Nov-22'!$H22:$O22)</f>
        <v>150893.04999999999</v>
      </c>
      <c r="Q22" s="21" t="str">
        <f>IFERROR(IF('Nov-22'!$F22="","-",VLOOKUP('Nov-22'!$F22,Lista_CUIT!$A$1:$D$1871,3,0)),"CUIT NO CARGADO")</f>
        <v>CATERING</v>
      </c>
      <c r="R22" s="21">
        <f>IFERROR(IF('Nov-22'!$F22="","-",VLOOKUP('Nov-22'!$F22,Lista_CUIT!$A$1:$D$1871,4,0)),"CUIT NO CARGADO")</f>
        <v>0</v>
      </c>
    </row>
    <row r="23" spans="2:18" ht="14.25" customHeight="1" x14ac:dyDescent="0.25">
      <c r="B23" s="162" t="s">
        <v>1659</v>
      </c>
      <c r="C23" s="163">
        <v>1</v>
      </c>
      <c r="D23" s="12">
        <v>3</v>
      </c>
      <c r="E23" s="13">
        <v>587</v>
      </c>
      <c r="F23" s="14">
        <v>30715402765</v>
      </c>
      <c r="G23" s="15" t="str">
        <f>IFERROR(IF('Nov-22'!$F23="","-",VLOOKUP('Nov-22'!$F23,Lista_CUIT!$A$1:$D$1871,2,0)),"CUIT NO CARGADO")</f>
        <v>RIO 265 SRL</v>
      </c>
      <c r="H23" s="16">
        <v>8429.76</v>
      </c>
      <c r="I23" s="23">
        <f>'Nov-22'!$H23*0.21</f>
        <v>1770.2495999999999</v>
      </c>
      <c r="J23" s="23"/>
      <c r="K23" s="23"/>
      <c r="L23" s="23"/>
      <c r="M23" s="23"/>
      <c r="N23" s="23"/>
      <c r="O23" s="23"/>
      <c r="P23" s="20">
        <f>SUM('Nov-22'!$H23:$O23)</f>
        <v>10200.009599999999</v>
      </c>
      <c r="Q23" s="21" t="str">
        <f>IFERROR(IF('Nov-22'!$F23="","-",VLOOKUP('Nov-22'!$F23,Lista_CUIT!$A$1:$D$1871,3,0)),"CUIT NO CARGADO")</f>
        <v>GTOS VARIOS-ESTACIONAMIENTO HORACIO</v>
      </c>
      <c r="R23" s="21">
        <f>IFERROR(IF('Nov-22'!$F23="","-",VLOOKUP('Nov-22'!$F23,Lista_CUIT!$A$1:$D$1871,4,0)),"CUIT NO CARGADO")</f>
        <v>0</v>
      </c>
    </row>
    <row r="24" spans="2:18" ht="15" customHeight="1" x14ac:dyDescent="0.25">
      <c r="B24" s="162" t="s">
        <v>1657</v>
      </c>
      <c r="C24" s="163">
        <v>1</v>
      </c>
      <c r="D24" s="12">
        <v>3</v>
      </c>
      <c r="E24" s="13">
        <v>592</v>
      </c>
      <c r="F24" s="14">
        <v>20418255537</v>
      </c>
      <c r="G24" s="15" t="str">
        <f>IFERROR(IF('Nov-22'!$F24="","-",VLOOKUP('Nov-22'!$F24,Lista_CUIT!$A$1:$D$1871,2,0)),"CUIT NO CARGADO")</f>
        <v>GOMEZ CHOQUE MARCOS JOEL</v>
      </c>
      <c r="H24" s="16">
        <v>6239.67</v>
      </c>
      <c r="I24" s="23">
        <f>'Nov-22'!$H24*0.21</f>
        <v>1310.3307</v>
      </c>
      <c r="J24" s="23"/>
      <c r="K24" s="23"/>
      <c r="L24" s="23"/>
      <c r="M24" s="23"/>
      <c r="N24" s="23"/>
      <c r="O24" s="23"/>
      <c r="P24" s="20">
        <f>SUM('Nov-22'!$H24:$O24)</f>
        <v>7550.0007000000005</v>
      </c>
      <c r="Q24" s="21" t="str">
        <f>IFERROR(IF('Nov-22'!$F24="","-",VLOOKUP('Nov-22'!$F24,Lista_CUIT!$A$1:$D$1871,3,0)),"CUIT NO CARGADO")</f>
        <v>Gastos Varios</v>
      </c>
      <c r="R24" s="21">
        <f>IFERROR(IF('Nov-22'!$F24="","-",VLOOKUP('Nov-22'!$F24,Lista_CUIT!$A$1:$D$1871,4,0)),"CUIT NO CARGADO")</f>
        <v>0</v>
      </c>
    </row>
    <row r="25" spans="2:18" ht="15" customHeight="1" x14ac:dyDescent="0.25">
      <c r="B25" s="162" t="s">
        <v>1660</v>
      </c>
      <c r="C25" s="163">
        <v>1</v>
      </c>
      <c r="D25" s="12">
        <v>4</v>
      </c>
      <c r="E25" s="13">
        <v>876</v>
      </c>
      <c r="F25" s="14">
        <v>30714356360</v>
      </c>
      <c r="G25" s="15" t="str">
        <f>IFERROR(IF('Nov-22'!$F25="","-",VLOOKUP('Nov-22'!$F25,Lista_CUIT!$A$1:$D$1871,2,0)),"CUIT NO CARGADO")</f>
        <v>IMPRENTA24 SRL</v>
      </c>
      <c r="H25" s="16">
        <v>3140.48</v>
      </c>
      <c r="I25" s="23">
        <f>'Nov-22'!$H25*0.21</f>
        <v>659.50080000000003</v>
      </c>
      <c r="J25" s="23"/>
      <c r="K25" s="23"/>
      <c r="L25" s="23"/>
      <c r="M25" s="23"/>
      <c r="N25" s="23"/>
      <c r="O25" s="23"/>
      <c r="P25" s="20">
        <f>SUM('Nov-22'!$H25:$O25)</f>
        <v>3799.9808000000003</v>
      </c>
      <c r="Q25" s="21" t="str">
        <f>IFERROR(IF('Nov-22'!$F25="","-",VLOOKUP('Nov-22'!$F25,Lista_CUIT!$A$1:$D$1871,3,0)),"CUIT NO CARGADO")</f>
        <v xml:space="preserve">Papeleria e Impresos </v>
      </c>
      <c r="R25" s="21">
        <f>IFERROR(IF('Nov-22'!$F25="","-",VLOOKUP('Nov-22'!$F25,Lista_CUIT!$A$1:$D$1871,4,0)),"CUIT NO CARGADO")</f>
        <v>0</v>
      </c>
    </row>
    <row r="26" spans="2:18" ht="15" customHeight="1" x14ac:dyDescent="0.25">
      <c r="B26" s="162" t="s">
        <v>1661</v>
      </c>
      <c r="C26" s="163">
        <v>1</v>
      </c>
      <c r="D26" s="12">
        <v>5</v>
      </c>
      <c r="E26" s="13">
        <v>919</v>
      </c>
      <c r="F26" s="14">
        <v>30707397256</v>
      </c>
      <c r="G26" s="15" t="str">
        <f>IFERROR(IF('Nov-22'!$F26="","-",VLOOKUP('Nov-22'!$F26,Lista_CUIT!$A$1:$D$1871,2,0)),"CUIT NO CARGADO")</f>
        <v>GRAFICA Y FOTOGRABADOS LA PLAZA SRL</v>
      </c>
      <c r="H26" s="16">
        <v>343981.2</v>
      </c>
      <c r="I26" s="23">
        <f>'Nov-22'!$H26*0.21</f>
        <v>72236.051999999996</v>
      </c>
      <c r="J26" s="23"/>
      <c r="K26" s="23"/>
      <c r="L26" s="23"/>
      <c r="M26" s="23"/>
      <c r="N26" s="23"/>
      <c r="O26" s="23"/>
      <c r="P26" s="20">
        <f>SUM('Nov-22'!$H26:$O26)</f>
        <v>416217.25199999998</v>
      </c>
      <c r="Q26" s="21" t="str">
        <f>IFERROR(IF('Nov-22'!$F26="","-",VLOOKUP('Nov-22'!$F26,Lista_CUIT!$A$1:$D$1871,3,0)),"CUIT NO CARGADO")</f>
        <v>Fotograbados</v>
      </c>
      <c r="R26" s="21">
        <f>IFERROR(IF('Nov-22'!$F26="","-",VLOOKUP('Nov-22'!$F26,Lista_CUIT!$A$1:$D$1871,4,0)),"CUIT NO CARGADO")</f>
        <v>0</v>
      </c>
    </row>
    <row r="27" spans="2:18" ht="15" customHeight="1" x14ac:dyDescent="0.25">
      <c r="B27" s="162" t="s">
        <v>1662</v>
      </c>
      <c r="C27" s="163">
        <v>1</v>
      </c>
      <c r="D27" s="12">
        <v>6</v>
      </c>
      <c r="E27" s="13">
        <v>974</v>
      </c>
      <c r="F27" s="14">
        <v>27444868088</v>
      </c>
      <c r="G27" s="15" t="str">
        <f>IFERROR(IF('Nov-22'!$F27="","-",VLOOKUP('Nov-22'!$F27,Lista_CUIT!$A$1:$D$1871,2,0)),"CUIT NO CARGADO")</f>
        <v>DALLAS MORESI CAMILA</v>
      </c>
      <c r="H27" s="16">
        <v>1238.8399999999999</v>
      </c>
      <c r="I27" s="23">
        <f>'Nov-22'!$H27*0.21</f>
        <v>260.15639999999996</v>
      </c>
      <c r="J27" s="23"/>
      <c r="K27" s="23"/>
      <c r="L27" s="23"/>
      <c r="M27" s="23"/>
      <c r="N27" s="23"/>
      <c r="O27" s="23"/>
      <c r="P27" s="20">
        <f>SUM('Nov-22'!$H27:$O27)</f>
        <v>1498.9964</v>
      </c>
      <c r="Q27" s="21" t="str">
        <f>IFERROR(IF('Nov-22'!$F27="","-",VLOOKUP('Nov-22'!$F27,Lista_CUIT!$A$1:$D$1871,3,0)),"CUIT NO CARGADO")</f>
        <v>Gastos Varios</v>
      </c>
      <c r="R27" s="21">
        <f>IFERROR(IF('Nov-22'!$F27="","-",VLOOKUP('Nov-22'!$F27,Lista_CUIT!$A$1:$D$1871,4,0)),"CUIT NO CARGADO")</f>
        <v>0</v>
      </c>
    </row>
    <row r="28" spans="2:18" ht="15" customHeight="1" x14ac:dyDescent="0.25">
      <c r="B28" s="162" t="s">
        <v>1661</v>
      </c>
      <c r="C28" s="163">
        <v>1</v>
      </c>
      <c r="D28" s="12">
        <v>3</v>
      </c>
      <c r="E28" s="13">
        <v>1071</v>
      </c>
      <c r="F28" s="14">
        <v>20136342283</v>
      </c>
      <c r="G28" s="15" t="str">
        <f>IFERROR(IF('Nov-22'!$F28="","-",VLOOKUP('Nov-22'!$F28,Lista_CUIT!$A$1:$D$1871,2,0)),"CUIT NO CARGADO")</f>
        <v>SAMARAS MARIO</v>
      </c>
      <c r="H28" s="16">
        <v>559170</v>
      </c>
      <c r="I28" s="23">
        <f>'Nov-22'!$H28*0.21</f>
        <v>117425.7</v>
      </c>
      <c r="J28" s="23"/>
      <c r="K28" s="23"/>
      <c r="L28" s="23"/>
      <c r="M28" s="23"/>
      <c r="N28" s="23"/>
      <c r="O28" s="23"/>
      <c r="P28" s="20">
        <f>SUM('Nov-22'!$H28:$O28)</f>
        <v>676595.7</v>
      </c>
      <c r="Q28" s="21" t="str">
        <f>IFERROR(IF('Nov-22'!$F28="","-",VLOOKUP('Nov-22'!$F28,Lista_CUIT!$A$1:$D$1871,3,0)),"CUIT NO CARGADO")</f>
        <v>INSUMO</v>
      </c>
      <c r="R28" s="21">
        <f>IFERROR(IF('Nov-22'!$F28="","-",VLOOKUP('Nov-22'!$F28,Lista_CUIT!$A$1:$D$1871,4,0)),"CUIT NO CARGADO")</f>
        <v>0</v>
      </c>
    </row>
    <row r="29" spans="2:18" ht="15.75" customHeight="1" x14ac:dyDescent="0.25">
      <c r="B29" s="162" t="s">
        <v>1657</v>
      </c>
      <c r="C29" s="163">
        <v>1</v>
      </c>
      <c r="D29" s="12">
        <v>3</v>
      </c>
      <c r="E29" s="13">
        <v>1082</v>
      </c>
      <c r="F29" s="14">
        <v>20136342283</v>
      </c>
      <c r="G29" s="15" t="str">
        <f>IFERROR(IF('Nov-22'!$F29="","-",VLOOKUP('Nov-22'!$F29,Lista_CUIT!$A$1:$D$1871,2,0)),"CUIT NO CARGADO")</f>
        <v>SAMARAS MARIO</v>
      </c>
      <c r="H29" s="16">
        <v>60000</v>
      </c>
      <c r="I29" s="23">
        <f>'Nov-22'!$H29*0.21</f>
        <v>12600</v>
      </c>
      <c r="J29" s="23"/>
      <c r="K29" s="23"/>
      <c r="L29" s="23"/>
      <c r="M29" s="23"/>
      <c r="N29" s="23"/>
      <c r="O29" s="23"/>
      <c r="P29" s="20">
        <f>SUM('Nov-22'!$H29:$O29)</f>
        <v>72600</v>
      </c>
      <c r="Q29" s="21" t="str">
        <f>IFERROR(IF('Nov-22'!$F29="","-",VLOOKUP('Nov-22'!$F29,Lista_CUIT!$A$1:$D$1871,3,0)),"CUIT NO CARGADO")</f>
        <v>INSUMO</v>
      </c>
      <c r="R29" s="21">
        <f>IFERROR(IF('Nov-22'!$F29="","-",VLOOKUP('Nov-22'!$F29,Lista_CUIT!$A$1:$D$1871,4,0)),"CUIT NO CARGADO")</f>
        <v>0</v>
      </c>
    </row>
    <row r="30" spans="2:18" ht="15.75" customHeight="1" x14ac:dyDescent="0.25">
      <c r="B30" s="162" t="s">
        <v>1661</v>
      </c>
      <c r="C30" s="163">
        <v>1</v>
      </c>
      <c r="D30" s="12">
        <v>3</v>
      </c>
      <c r="E30" s="13">
        <v>1199</v>
      </c>
      <c r="F30" s="14">
        <v>20319700081</v>
      </c>
      <c r="G30" s="15" t="str">
        <f>IFERROR(IF('Nov-22'!$F30="","-",VLOOKUP('Nov-22'!$F30,Lista_CUIT!$A$1:$D$1871,2,0)),"CUIT NO CARGADO")</f>
        <v>REA PABLO</v>
      </c>
      <c r="H30" s="16">
        <v>2975.54</v>
      </c>
      <c r="I30" s="23">
        <f>'Nov-22'!$H30*0.21</f>
        <v>624.86339999999996</v>
      </c>
      <c r="J30" s="23"/>
      <c r="K30" s="23"/>
      <c r="L30" s="23"/>
      <c r="M30" s="23"/>
      <c r="N30" s="23"/>
      <c r="O30" s="23"/>
      <c r="P30" s="20">
        <f>SUM('Nov-22'!$H30:$O30)</f>
        <v>3600.4034000000001</v>
      </c>
      <c r="Q30" s="21" t="str">
        <f>IFERROR(IF('Nov-22'!$F30="","-",VLOOKUP('Nov-22'!$F30,Lista_CUIT!$A$1:$D$1871,3,0)),"CUIT NO CARGADO")</f>
        <v>Gastos Varios</v>
      </c>
      <c r="R30" s="21">
        <f>IFERROR(IF('Nov-22'!$F30="","-",VLOOKUP('Nov-22'!$F30,Lista_CUIT!$A$1:$D$1871,4,0)),"CUIT NO CARGADO")</f>
        <v>0</v>
      </c>
    </row>
    <row r="31" spans="2:18" ht="15.75" customHeight="1" x14ac:dyDescent="0.25">
      <c r="B31" s="162" t="s">
        <v>1655</v>
      </c>
      <c r="C31" s="163">
        <v>1</v>
      </c>
      <c r="D31" s="12">
        <v>9</v>
      </c>
      <c r="E31" s="13">
        <v>1424</v>
      </c>
      <c r="F31" s="14">
        <v>30631047145</v>
      </c>
      <c r="G31" s="15" t="str">
        <f>IFERROR(IF('Nov-22'!$F31="","-",VLOOKUP('Nov-22'!$F31,Lista_CUIT!$A$1:$D$1871,2,0)),"CUIT NO CARGADO")</f>
        <v>SEMICONDUC. Y COMPON. SRL</v>
      </c>
      <c r="H31" s="16">
        <v>68297.399999999994</v>
      </c>
      <c r="I31" s="23">
        <f>'Nov-22'!$H31*0.21</f>
        <v>14342.453999999998</v>
      </c>
      <c r="J31" s="23"/>
      <c r="K31" s="23"/>
      <c r="L31" s="23"/>
      <c r="M31" s="23"/>
      <c r="N31" s="23"/>
      <c r="O31" s="23"/>
      <c r="P31" s="20">
        <f>SUM('Nov-22'!$H31:$O31)</f>
        <v>82639.853999999992</v>
      </c>
      <c r="Q31" s="21" t="str">
        <f>IFERROR(IF('Nov-22'!$F31="","-",VLOOKUP('Nov-22'!$F31,Lista_CUIT!$A$1:$D$1871,3,0)),"CUIT NO CARGADO")</f>
        <v>INSUMO</v>
      </c>
      <c r="R31" s="21">
        <f>IFERROR(IF('Nov-22'!$F31="","-",VLOOKUP('Nov-22'!$F31,Lista_CUIT!$A$1:$D$1871,4,0)),"CUIT NO CARGADO")</f>
        <v>0</v>
      </c>
    </row>
    <row r="32" spans="2:18" ht="15.75" customHeight="1" x14ac:dyDescent="0.25">
      <c r="B32" s="162" t="s">
        <v>1650</v>
      </c>
      <c r="C32" s="163">
        <v>1</v>
      </c>
      <c r="D32" s="12">
        <v>4</v>
      </c>
      <c r="E32" s="13">
        <v>2121</v>
      </c>
      <c r="F32" s="14">
        <v>27184156658</v>
      </c>
      <c r="G32" s="15" t="str">
        <f>IFERROR(IF('Nov-22'!$F32="","-",VLOOKUP('Nov-22'!$F32,Lista_CUIT!$A$1:$D$1871,2,0)),"CUIT NO CARGADO")</f>
        <v>NUDELMAN GRACIELA MONICA</v>
      </c>
      <c r="H32" s="16">
        <v>2132.5500000000002</v>
      </c>
      <c r="I32" s="23">
        <f>'Nov-22'!$H32*0.21</f>
        <v>447.83550000000002</v>
      </c>
      <c r="J32" s="23"/>
      <c r="K32" s="23"/>
      <c r="L32" s="23"/>
      <c r="M32" s="23"/>
      <c r="N32" s="23"/>
      <c r="O32" s="23"/>
      <c r="P32" s="20">
        <f>SUM('Nov-22'!$H32:$O32)</f>
        <v>2580.3855000000003</v>
      </c>
      <c r="Q32" s="21" t="str">
        <f>IFERROR(IF('Nov-22'!$F32="","-",VLOOKUP('Nov-22'!$F32,Lista_CUIT!$A$1:$D$1871,3,0)),"CUIT NO CARGADO")</f>
        <v>Gastos Varios</v>
      </c>
      <c r="R32" s="21">
        <f>IFERROR(IF('Nov-22'!$F32="","-",VLOOKUP('Nov-22'!$F32,Lista_CUIT!$A$1:$D$1871,4,0)),"CUIT NO CARGADO")</f>
        <v>0</v>
      </c>
    </row>
    <row r="33" spans="1:26" ht="15.75" customHeight="1" x14ac:dyDescent="0.25">
      <c r="B33" s="162" t="s">
        <v>1659</v>
      </c>
      <c r="C33" s="163">
        <v>1</v>
      </c>
      <c r="D33" s="12">
        <v>4</v>
      </c>
      <c r="E33" s="13">
        <v>2439</v>
      </c>
      <c r="F33" s="14">
        <v>20068864934</v>
      </c>
      <c r="G33" s="15" t="str">
        <f>IFERROR(IF('Nov-22'!$F33="","-",VLOOKUP('Nov-22'!$F33,Lista_CUIT!$A$1:$D$1871,2,0)),"CUIT NO CARGADO")</f>
        <v>DISTRIBUIDORA SANITARIA JACOBO</v>
      </c>
      <c r="H33" s="16">
        <v>2922.5</v>
      </c>
      <c r="I33" s="23">
        <f>'Nov-22'!$H33*0.21</f>
        <v>613.72500000000002</v>
      </c>
      <c r="J33" s="23"/>
      <c r="K33" s="23"/>
      <c r="L33" s="23"/>
      <c r="M33" s="23"/>
      <c r="N33" s="23"/>
      <c r="O33" s="23"/>
      <c r="P33" s="20">
        <f>SUM('Nov-22'!$H33:$O33)</f>
        <v>3536.2249999999999</v>
      </c>
      <c r="Q33" s="21" t="str">
        <f>IFERROR(IF('Nov-22'!$F33="","-",VLOOKUP('Nov-22'!$F33,Lista_CUIT!$A$1:$D$1871,3,0)),"CUIT NO CARGADO")</f>
        <v>INSUMO</v>
      </c>
      <c r="R33" s="21">
        <f>IFERROR(IF('Nov-22'!$F33="","-",VLOOKUP('Nov-22'!$F33,Lista_CUIT!$A$1:$D$1871,4,0)),"CUIT NO CARGADO")</f>
        <v>0</v>
      </c>
    </row>
    <row r="34" spans="1:26" ht="15.75" customHeight="1" x14ac:dyDescent="0.25">
      <c r="B34" s="162" t="s">
        <v>1663</v>
      </c>
      <c r="C34" s="163">
        <v>1</v>
      </c>
      <c r="D34" s="12">
        <v>3</v>
      </c>
      <c r="E34" s="13">
        <v>2555</v>
      </c>
      <c r="F34" s="14">
        <v>20378345465</v>
      </c>
      <c r="G34" s="15" t="str">
        <f>IFERROR(IF('Nov-22'!$F34="","-",VLOOKUP('Nov-22'!$F34,Lista_CUIT!$A$1:$D$1871,2,0)),"CUIT NO CARGADO")</f>
        <v>TRINCADO BRIAN</v>
      </c>
      <c r="H34" s="16">
        <v>4867.7700000000004</v>
      </c>
      <c r="I34" s="23">
        <f>'Nov-22'!$H34*0.21</f>
        <v>1022.2317</v>
      </c>
      <c r="J34" s="23"/>
      <c r="K34" s="23"/>
      <c r="L34" s="23"/>
      <c r="M34" s="23"/>
      <c r="N34" s="23"/>
      <c r="O34" s="23"/>
      <c r="P34" s="20">
        <f>SUM('Nov-22'!$H34:$O34)</f>
        <v>5890.0017000000007</v>
      </c>
      <c r="Q34" s="21" t="str">
        <f>IFERROR(IF('Nov-22'!$F34="","-",VLOOKUP('Nov-22'!$F34,Lista_CUIT!$A$1:$D$1871,3,0)),"CUIT NO CARGADO")</f>
        <v>Gastos Varios</v>
      </c>
      <c r="R34" s="21">
        <f>IFERROR(IF('Nov-22'!$F34="","-",VLOOKUP('Nov-22'!$F34,Lista_CUIT!$A$1:$D$1871,4,0)),"CUIT NO CARGADO")</f>
        <v>0</v>
      </c>
    </row>
    <row r="35" spans="1:26" ht="15.75" customHeight="1" x14ac:dyDescent="0.25">
      <c r="B35" s="162" t="s">
        <v>1656</v>
      </c>
      <c r="C35" s="163">
        <v>1</v>
      </c>
      <c r="D35" s="12">
        <v>2</v>
      </c>
      <c r="E35" s="13">
        <v>3108</v>
      </c>
      <c r="F35" s="14">
        <v>20294907174</v>
      </c>
      <c r="G35" s="15" t="str">
        <f>IFERROR(IF('Nov-22'!$F35="","-",VLOOKUP('Nov-22'!$F35,Lista_CUIT!$A$1:$D$1871,2,0)),"CUIT NO CARGADO")</f>
        <v>ORTUÑO ALVAREZ HECTOR MANUEL</v>
      </c>
      <c r="H35" s="16">
        <v>3272.72</v>
      </c>
      <c r="I35" s="23">
        <f>'Nov-22'!$H35*0.21</f>
        <v>687.27119999999991</v>
      </c>
      <c r="J35" s="23"/>
      <c r="K35" s="23"/>
      <c r="L35" s="23"/>
      <c r="M35" s="23"/>
      <c r="N35" s="23"/>
      <c r="O35" s="23"/>
      <c r="P35" s="20">
        <f>SUM('Nov-22'!$H35:$O35)</f>
        <v>3959.9911999999995</v>
      </c>
      <c r="Q35" s="21" t="str">
        <f>IFERROR(IF('Nov-22'!$F35="","-",VLOOKUP('Nov-22'!$F35,Lista_CUIT!$A$1:$D$1871,3,0)),"CUIT NO CARGADO")</f>
        <v>Gastos Varios</v>
      </c>
      <c r="R35" s="21">
        <f>IFERROR(IF('Nov-22'!$F35="","-",VLOOKUP('Nov-22'!$F35,Lista_CUIT!$A$1:$D$1871,4,0)),"CUIT NO CARGADO")</f>
        <v>0</v>
      </c>
    </row>
    <row r="36" spans="1:26" ht="18" customHeight="1" x14ac:dyDescent="0.25">
      <c r="A36" s="50"/>
      <c r="B36" s="162" t="s">
        <v>1656</v>
      </c>
      <c r="C36" s="163">
        <v>1</v>
      </c>
      <c r="D36" s="12">
        <v>3</v>
      </c>
      <c r="E36" s="13">
        <v>3208</v>
      </c>
      <c r="F36" s="14">
        <v>30715535471</v>
      </c>
      <c r="G36" s="15" t="str">
        <f>IFERROR(IF('Nov-22'!$F36="","-",VLOOKUP('Nov-22'!$F36,Lista_CUIT!$A$1:$D$1871,2,0)),"CUIT NO CARGADO")</f>
        <v>DHARMA DE SANTOS Y VACCARO</v>
      </c>
      <c r="H36" s="16">
        <v>15193.39</v>
      </c>
      <c r="I36" s="23">
        <f>'Nov-22'!$H36*0.21</f>
        <v>3190.6118999999999</v>
      </c>
      <c r="J36" s="23"/>
      <c r="K36" s="23"/>
      <c r="L36" s="23"/>
      <c r="M36" s="23"/>
      <c r="N36" s="23"/>
      <c r="O36" s="23"/>
      <c r="P36" s="20">
        <f>SUM('Nov-22'!$H36:$O36)</f>
        <v>18384.001899999999</v>
      </c>
      <c r="Q36" s="21" t="str">
        <f>IFERROR(IF('Nov-22'!$F36="","-",VLOOKUP('Nov-22'!$F36,Lista_CUIT!$A$1:$D$1871,3,0)),"CUIT NO CARGADO")</f>
        <v>FERRETERIA</v>
      </c>
      <c r="R36" s="21">
        <f>IFERROR(IF('Nov-22'!$F36="","-",VLOOKUP('Nov-22'!$F36,Lista_CUIT!$A$1:$D$1871,4,0)),"CUIT NO CARGADO")</f>
        <v>0</v>
      </c>
      <c r="S36" s="50"/>
      <c r="T36" s="50"/>
      <c r="U36" s="50"/>
      <c r="V36" s="50"/>
      <c r="W36" s="50"/>
      <c r="X36" s="50"/>
      <c r="Y36" s="50"/>
      <c r="Z36" s="50"/>
    </row>
    <row r="37" spans="1:26" ht="15.75" customHeight="1" x14ac:dyDescent="0.25">
      <c r="B37" s="162" t="s">
        <v>1664</v>
      </c>
      <c r="C37" s="163">
        <v>1</v>
      </c>
      <c r="D37" s="12">
        <v>10</v>
      </c>
      <c r="E37" s="13">
        <v>5896</v>
      </c>
      <c r="F37" s="14">
        <v>20341013691</v>
      </c>
      <c r="G37" s="15" t="str">
        <f>IFERROR(IF('Nov-22'!$F37="","-",VLOOKUP('Nov-22'!$F37,Lista_CUIT!$A$1:$D$1871,2,0)),"CUIT NO CARGADO")</f>
        <v>RAIMONDI FACUNDO ALBERTO</v>
      </c>
      <c r="H37" s="16">
        <v>2545.4499999999998</v>
      </c>
      <c r="I37" s="23">
        <f>'Nov-22'!$H37*0.21</f>
        <v>534.54449999999997</v>
      </c>
      <c r="J37" s="23"/>
      <c r="K37" s="23"/>
      <c r="L37" s="23"/>
      <c r="M37" s="23"/>
      <c r="N37" s="23"/>
      <c r="O37" s="23"/>
      <c r="P37" s="20">
        <f>SUM('Nov-22'!$H37:$O37)</f>
        <v>3079.9944999999998</v>
      </c>
      <c r="Q37" s="21" t="str">
        <f>IFERROR(IF('Nov-22'!$F37="","-",VLOOKUP('Nov-22'!$F37,Lista_CUIT!$A$1:$D$1871,3,0)),"CUIT NO CARGADO")</f>
        <v>Gastos Varios</v>
      </c>
      <c r="R37" s="21">
        <f>IFERROR(IF('Nov-22'!$F37="","-",VLOOKUP('Nov-22'!$F37,Lista_CUIT!$A$1:$D$1871,4,0)),"CUIT NO CARGADO")</f>
        <v>0</v>
      </c>
    </row>
    <row r="38" spans="1:26" ht="15.75" customHeight="1" x14ac:dyDescent="0.25">
      <c r="B38" s="162" t="s">
        <v>1651</v>
      </c>
      <c r="C38" s="163">
        <v>1</v>
      </c>
      <c r="D38" s="12">
        <v>3</v>
      </c>
      <c r="E38" s="13">
        <v>6799</v>
      </c>
      <c r="F38" s="14">
        <v>27261572775</v>
      </c>
      <c r="G38" s="15" t="str">
        <f>IFERROR(IF('Nov-22'!$F38="","-",VLOOKUP('Nov-22'!$F38,Lista_CUIT!$A$1:$D$1871,2,0)),"CUIT NO CARGADO")</f>
        <v xml:space="preserve">SZYRMAN ROMINA </v>
      </c>
      <c r="H38" s="16">
        <v>2650</v>
      </c>
      <c r="I38" s="23">
        <f>'Nov-22'!$H38*0.21</f>
        <v>556.5</v>
      </c>
      <c r="J38" s="23"/>
      <c r="K38" s="23"/>
      <c r="L38" s="23"/>
      <c r="M38" s="23"/>
      <c r="N38" s="23"/>
      <c r="O38" s="23"/>
      <c r="P38" s="20">
        <f>SUM('Nov-22'!$H38:$O38)</f>
        <v>3206.5</v>
      </c>
      <c r="Q38" s="21" t="str">
        <f>IFERROR(IF('Nov-22'!$F38="","-",VLOOKUP('Nov-22'!$F38,Lista_CUIT!$A$1:$D$1871,3,0)),"CUIT NO CARGADO")</f>
        <v>Gastos Varios</v>
      </c>
      <c r="R38" s="21">
        <f>IFERROR(IF('Nov-22'!$F38="","-",VLOOKUP('Nov-22'!$F38,Lista_CUIT!$A$1:$D$1871,4,0)),"CUIT NO CARGADO")</f>
        <v>0</v>
      </c>
    </row>
    <row r="39" spans="1:26" ht="15.75" customHeight="1" x14ac:dyDescent="0.25">
      <c r="B39" s="162" t="s">
        <v>1665</v>
      </c>
      <c r="C39" s="163">
        <v>1</v>
      </c>
      <c r="D39" s="12">
        <v>7002</v>
      </c>
      <c r="E39" s="13">
        <v>6886</v>
      </c>
      <c r="F39" s="14">
        <v>30678774495</v>
      </c>
      <c r="G39" s="15" t="str">
        <f>IFERROR(IF('Nov-22'!$F39="","-",VLOOKUP('Nov-22'!$F39,Lista_CUIT!$A$1:$D$1871,2,0)),"CUIT NO CARGADO")</f>
        <v>OPER. DE EST. DE SERV. SA</v>
      </c>
      <c r="H39" s="16">
        <v>5158.66</v>
      </c>
      <c r="I39" s="23">
        <f>'Nov-22'!$H39*0.21</f>
        <v>1083.3185999999998</v>
      </c>
      <c r="J39" s="23"/>
      <c r="K39" s="23"/>
      <c r="L39" s="23"/>
      <c r="M39" s="23"/>
      <c r="N39" s="23"/>
      <c r="O39" s="23">
        <v>1258.22</v>
      </c>
      <c r="P39" s="20">
        <f>SUM('Nov-22'!$H39:$O39)</f>
        <v>7500.1985999999997</v>
      </c>
      <c r="Q39" s="21" t="str">
        <f>IFERROR(IF('Nov-22'!$F39="","-",VLOOKUP('Nov-22'!$F39,Lista_CUIT!$A$1:$D$1871,3,0)),"CUIT NO CARGADO")</f>
        <v>COMBUSTIBLE</v>
      </c>
      <c r="R39" s="21">
        <f>IFERROR(IF('Nov-22'!$F39="","-",VLOOKUP('Nov-22'!$F39,Lista_CUIT!$A$1:$D$1871,4,0)),"CUIT NO CARGADO")</f>
        <v>0</v>
      </c>
    </row>
    <row r="40" spans="1:26" ht="15.75" customHeight="1" x14ac:dyDescent="0.25">
      <c r="B40" s="162" t="s">
        <v>1660</v>
      </c>
      <c r="C40" s="163">
        <v>3</v>
      </c>
      <c r="D40" s="12">
        <v>5</v>
      </c>
      <c r="E40" s="13">
        <v>6893</v>
      </c>
      <c r="F40" s="14">
        <v>30692857611</v>
      </c>
      <c r="G40" s="15" t="str">
        <f>IFERROR(IF('Nov-22'!$F40="","-",VLOOKUP('Nov-22'!$F40,Lista_CUIT!$A$1:$D$1871,2,0)),"CUIT NO CARGADO")</f>
        <v>BAGUI S.A.</v>
      </c>
      <c r="H40" s="16">
        <v>-23341.5</v>
      </c>
      <c r="I40" s="23">
        <f>'Nov-22'!$H40*0.21</f>
        <v>-4901.7150000000001</v>
      </c>
      <c r="J40" s="23"/>
      <c r="K40" s="23"/>
      <c r="L40" s="23"/>
      <c r="M40" s="23"/>
      <c r="N40" s="23"/>
      <c r="O40" s="23"/>
      <c r="P40" s="20">
        <f>SUM('Nov-22'!$H40:$O40)</f>
        <v>-28243.215</v>
      </c>
      <c r="Q40" s="21" t="str">
        <f>IFERROR(IF('Nov-22'!$F40="","-",VLOOKUP('Nov-22'!$F40,Lista_CUIT!$A$1:$D$1871,3,0)),"CUIT NO CARGADO")</f>
        <v>MAT. PRIM.</v>
      </c>
      <c r="R40" s="21">
        <f>IFERROR(IF('Nov-22'!$F40="","-",VLOOKUP('Nov-22'!$F40,Lista_CUIT!$A$1:$D$1871,4,0)),"CUIT NO CARGADO")</f>
        <v>0</v>
      </c>
    </row>
    <row r="41" spans="1:26" ht="15.75" customHeight="1" x14ac:dyDescent="0.25">
      <c r="B41" s="162" t="s">
        <v>1653</v>
      </c>
      <c r="C41" s="163">
        <v>1</v>
      </c>
      <c r="D41" s="12">
        <v>2000</v>
      </c>
      <c r="E41" s="13">
        <v>7570</v>
      </c>
      <c r="F41" s="14">
        <v>30716932245</v>
      </c>
      <c r="G41" s="15" t="str">
        <f>IFERROR(IF('Nov-22'!$F41="","-",VLOOKUP('Nov-22'!$F41,Lista_CUIT!$A$1:$D$1871,2,0)),"CUIT NO CARGADO")</f>
        <v>GAMERS POR NATURALEZA</v>
      </c>
      <c r="H41" s="16">
        <v>45238.91</v>
      </c>
      <c r="I41" s="23"/>
      <c r="J41" s="23"/>
      <c r="K41" s="23">
        <v>4750.09</v>
      </c>
      <c r="L41" s="23"/>
      <c r="M41" s="23"/>
      <c r="N41" s="23"/>
      <c r="O41" s="23"/>
      <c r="P41" s="20">
        <f>SUM('Nov-22'!$H41:$O41)</f>
        <v>49989</v>
      </c>
      <c r="Q41" s="21" t="str">
        <f>IFERROR(IF('Nov-22'!$F41="","-",VLOOKUP('Nov-22'!$F41,Lista_CUIT!$A$1:$D$1871,3,0)),"CUIT NO CARGADO")</f>
        <v>Gastos Oficina</v>
      </c>
      <c r="R41" s="21">
        <f>IFERROR(IF('Nov-22'!$F41="","-",VLOOKUP('Nov-22'!$F41,Lista_CUIT!$A$1:$D$1871,4,0)),"CUIT NO CARGADO")</f>
        <v>0</v>
      </c>
    </row>
    <row r="42" spans="1:26" ht="15.75" customHeight="1" x14ac:dyDescent="0.25">
      <c r="B42" s="162" t="s">
        <v>1652</v>
      </c>
      <c r="C42" s="163">
        <v>1</v>
      </c>
      <c r="D42" s="12">
        <v>10</v>
      </c>
      <c r="E42" s="13">
        <v>7619</v>
      </c>
      <c r="F42" s="14">
        <v>20168925582</v>
      </c>
      <c r="G42" s="15" t="str">
        <f>IFERROR(IF('Nov-22'!$F42="","-",VLOOKUP('Nov-22'!$F42,Lista_CUIT!$A$1:$D$1871,2,0)),"CUIT NO CARGADO")</f>
        <v>OXIGENO DORREGO</v>
      </c>
      <c r="H42" s="16">
        <v>15000</v>
      </c>
      <c r="I42" s="23">
        <f>'Nov-22'!$H42*0.21</f>
        <v>3150</v>
      </c>
      <c r="J42" s="23"/>
      <c r="K42" s="23"/>
      <c r="L42" s="23"/>
      <c r="M42" s="23"/>
      <c r="N42" s="23"/>
      <c r="O42" s="23"/>
      <c r="P42" s="20">
        <f>SUM('Nov-22'!$H42:$O42)</f>
        <v>18150</v>
      </c>
      <c r="Q42" s="21" t="str">
        <f>IFERROR(IF('Nov-22'!$F42="","-",VLOOKUP('Nov-22'!$F42,Lista_CUIT!$A$1:$D$1871,3,0)),"CUIT NO CARGADO")</f>
        <v>Gastos Varios</v>
      </c>
      <c r="R42" s="21">
        <f>IFERROR(IF('Nov-22'!$F42="","-",VLOOKUP('Nov-22'!$F42,Lista_CUIT!$A$1:$D$1871,4,0)),"CUIT NO CARGADO")</f>
        <v>0</v>
      </c>
    </row>
    <row r="43" spans="1:26" ht="15.75" customHeight="1" x14ac:dyDescent="0.25">
      <c r="B43" s="162" t="s">
        <v>1666</v>
      </c>
      <c r="C43" s="163">
        <v>1</v>
      </c>
      <c r="D43" s="12">
        <v>7</v>
      </c>
      <c r="E43" s="13">
        <v>8938</v>
      </c>
      <c r="F43" s="14">
        <v>30690966790</v>
      </c>
      <c r="G43" s="15" t="str">
        <f>IFERROR(IF('Nov-22'!$F43="","-",VLOOKUP('Nov-22'!$F43,Lista_CUIT!$A$1:$D$1871,2,0)),"CUIT NO CARGADO")</f>
        <v xml:space="preserve">SUMINISTROS Y TUBERIAS </v>
      </c>
      <c r="H43" s="16">
        <v>216180.864</v>
      </c>
      <c r="I43" s="23">
        <f>'Nov-22'!$H43*0.21</f>
        <v>45397.981439999996</v>
      </c>
      <c r="J43" s="23"/>
      <c r="K43" s="23"/>
      <c r="L43" s="23"/>
      <c r="M43" s="23"/>
      <c r="N43" s="23"/>
      <c r="O43" s="23"/>
      <c r="P43" s="20">
        <f>SUM('Nov-22'!$H43:$O43)</f>
        <v>261578.84544</v>
      </c>
      <c r="Q43" s="21" t="str">
        <f>IFERROR(IF('Nov-22'!$F43="","-",VLOOKUP('Nov-22'!$F43,Lista_CUIT!$A$1:$D$1871,3,0)),"CUIT NO CARGADO")</f>
        <v>INSUMO</v>
      </c>
      <c r="R43" s="21">
        <f>IFERROR(IF('Nov-22'!$F43="","-",VLOOKUP('Nov-22'!$F43,Lista_CUIT!$A$1:$D$1871,4,0)),"CUIT NO CARGADO")</f>
        <v>0</v>
      </c>
    </row>
    <row r="44" spans="1:26" ht="15.75" customHeight="1" x14ac:dyDescent="0.25">
      <c r="B44" s="162" t="s">
        <v>1667</v>
      </c>
      <c r="C44" s="163">
        <v>1</v>
      </c>
      <c r="D44" s="12">
        <v>7</v>
      </c>
      <c r="E44" s="13">
        <v>9719</v>
      </c>
      <c r="F44" s="14">
        <v>30604413482</v>
      </c>
      <c r="G44" s="15" t="str">
        <f>IFERROR(IF('Nov-22'!$F44="","-",VLOOKUP('Nov-22'!$F44,Lista_CUIT!$A$1:$D$1871,2,0)),"CUIT NO CARGADO")</f>
        <v>BULONERA VIETRI SRL</v>
      </c>
      <c r="H44" s="16">
        <v>70187</v>
      </c>
      <c r="I44" s="23">
        <f>'Nov-22'!$H44*0.21</f>
        <v>14739.269999999999</v>
      </c>
      <c r="J44" s="23"/>
      <c r="K44" s="23"/>
      <c r="L44" s="23"/>
      <c r="M44" s="23"/>
      <c r="N44" s="23"/>
      <c r="O44" s="23"/>
      <c r="P44" s="20">
        <f>SUM('Nov-22'!$H44:$O44)</f>
        <v>84926.27</v>
      </c>
      <c r="Q44" s="21" t="str">
        <f>IFERROR(IF('Nov-22'!$F44="","-",VLOOKUP('Nov-22'!$F44,Lista_CUIT!$A$1:$D$1871,3,0)),"CUIT NO CARGADO")</f>
        <v>INSUMO</v>
      </c>
      <c r="R44" s="21">
        <f>IFERROR(IF('Nov-22'!$F44="","-",VLOOKUP('Nov-22'!$F44,Lista_CUIT!$A$1:$D$1871,4,0)),"CUIT NO CARGADO")</f>
        <v>0</v>
      </c>
    </row>
    <row r="45" spans="1:26" ht="18" customHeight="1" x14ac:dyDescent="0.25">
      <c r="B45" s="162" t="s">
        <v>1654</v>
      </c>
      <c r="C45" s="163">
        <v>1</v>
      </c>
      <c r="D45" s="12">
        <v>3000</v>
      </c>
      <c r="E45" s="13">
        <v>19838</v>
      </c>
      <c r="F45" s="14">
        <v>33708543409</v>
      </c>
      <c r="G45" s="15" t="str">
        <f>IFERROR(IF('Nov-22'!$F45="","-",VLOOKUP('Nov-22'!$F45,Lista_CUIT!$A$1:$D$1871,2,0)),"CUIT NO CARGADO")</f>
        <v>DAMARFU SA</v>
      </c>
      <c r="H45" s="16">
        <v>293208.15000000002</v>
      </c>
      <c r="I45" s="23"/>
      <c r="J45" s="23"/>
      <c r="K45" s="23">
        <v>30786.855750000002</v>
      </c>
      <c r="L45" s="23"/>
      <c r="M45" s="23"/>
      <c r="N45" s="23"/>
      <c r="O45" s="23"/>
      <c r="P45" s="20">
        <f>SUM('Nov-22'!$H45:$O45)</f>
        <v>323995.00575000001</v>
      </c>
      <c r="Q45" s="21" t="str">
        <f>IFERROR(IF('Nov-22'!$F45="","-",VLOOKUP('Nov-22'!$F45,Lista_CUIT!$A$1:$D$1871,3,0)),"CUIT NO CARGADO")</f>
        <v>BIENES DE USO</v>
      </c>
      <c r="R45" s="21">
        <f>IFERROR(IF('Nov-22'!$F45="","-",VLOOKUP('Nov-22'!$F45,Lista_CUIT!$A$1:$D$1871,4,0)),"CUIT NO CARGADO")</f>
        <v>0</v>
      </c>
    </row>
    <row r="46" spans="1:26" ht="15.75" customHeight="1" x14ac:dyDescent="0.25">
      <c r="B46" s="162" t="s">
        <v>1654</v>
      </c>
      <c r="C46" s="163">
        <v>1</v>
      </c>
      <c r="D46" s="12">
        <v>5200</v>
      </c>
      <c r="E46" s="13">
        <v>25120</v>
      </c>
      <c r="F46" s="14">
        <v>30695542476</v>
      </c>
      <c r="G46" s="15" t="str">
        <f>IFERROR(IF('Nov-22'!$F46="","-",VLOOKUP('Nov-22'!$F46,Lista_CUIT!$A$1:$D$1871,2,0)),"CUIT NO CARGADO")</f>
        <v>PAN AMERICAN ENERGY LLC</v>
      </c>
      <c r="H46" s="16">
        <v>7215.29</v>
      </c>
      <c r="I46" s="23">
        <f>'Nov-22'!$H46*0.21</f>
        <v>1515.2109</v>
      </c>
      <c r="J46" s="23"/>
      <c r="K46" s="23"/>
      <c r="L46" s="23"/>
      <c r="M46" s="23"/>
      <c r="N46" s="23"/>
      <c r="O46" s="23">
        <v>1526.36</v>
      </c>
      <c r="P46" s="20">
        <f>SUM('Nov-22'!$H46:$O46)</f>
        <v>10256.8609</v>
      </c>
      <c r="Q46" s="21" t="str">
        <f>IFERROR(IF('Nov-22'!$F46="","-",VLOOKUP('Nov-22'!$F46,Lista_CUIT!$A$1:$D$1871,3,0)),"CUIT NO CARGADO")</f>
        <v>COMBUSTIBLE</v>
      </c>
      <c r="R46" s="21">
        <f>IFERROR(IF('Nov-22'!$F46="","-",VLOOKUP('Nov-22'!$F46,Lista_CUIT!$A$1:$D$1871,4,0)),"CUIT NO CARGADO")</f>
        <v>0</v>
      </c>
    </row>
    <row r="47" spans="1:26" ht="15.75" customHeight="1" x14ac:dyDescent="0.25">
      <c r="B47" s="162" t="s">
        <v>1652</v>
      </c>
      <c r="C47" s="163">
        <v>1</v>
      </c>
      <c r="D47" s="12">
        <v>10</v>
      </c>
      <c r="E47" s="13">
        <v>39961</v>
      </c>
      <c r="F47" s="14">
        <v>30715012835</v>
      </c>
      <c r="G47" s="15" t="str">
        <f>IFERROR(IF('Nov-22'!$F47="","-",VLOOKUP('Nov-22'!$F47,Lista_CUIT!$A$1:$D$1871,2,0)),"CUIT NO CARGADO")</f>
        <v>B M WEB SA</v>
      </c>
      <c r="H47" s="16">
        <v>15383.71</v>
      </c>
      <c r="I47" s="23"/>
      <c r="J47" s="23"/>
      <c r="K47" s="164">
        <v>1615.2895499999997</v>
      </c>
      <c r="L47" s="23"/>
      <c r="M47" s="23"/>
      <c r="N47" s="23"/>
      <c r="O47" s="23"/>
      <c r="P47" s="20">
        <f>SUM('Nov-22'!$H47:$O47)</f>
        <v>16998.99955</v>
      </c>
      <c r="Q47" s="21" t="str">
        <f>IFERROR(IF('Nov-22'!$F47="","-",VLOOKUP('Nov-22'!$F47,Lista_CUIT!$A$1:$D$1871,3,0)),"CUIT NO CARGADO")</f>
        <v>Gastos Oficina</v>
      </c>
      <c r="R47" s="21">
        <f>IFERROR(IF('Nov-22'!$F47="","-",VLOOKUP('Nov-22'!$F47,Lista_CUIT!$A$1:$D$1871,4,0)),"CUIT NO CARGADO")</f>
        <v>0</v>
      </c>
    </row>
    <row r="48" spans="1:26" ht="15.75" customHeight="1" x14ac:dyDescent="0.25">
      <c r="B48" s="162" t="s">
        <v>1653</v>
      </c>
      <c r="C48" s="163">
        <v>1</v>
      </c>
      <c r="D48" s="12">
        <v>5</v>
      </c>
      <c r="E48" s="13">
        <v>58210</v>
      </c>
      <c r="F48" s="14">
        <v>30692857611</v>
      </c>
      <c r="G48" s="15" t="str">
        <f>IFERROR(IF('Nov-22'!$F48="","-",VLOOKUP('Nov-22'!$F48,Lista_CUIT!$A$1:$D$1871,2,0)),"CUIT NO CARGADO")</f>
        <v>BAGUI S.A.</v>
      </c>
      <c r="H48" s="16">
        <v>46299.82</v>
      </c>
      <c r="I48" s="23">
        <f>'Nov-22'!$H48*0.21</f>
        <v>9722.9621999999999</v>
      </c>
      <c r="J48" s="23"/>
      <c r="K48" s="23"/>
      <c r="L48" s="23"/>
      <c r="M48" s="23"/>
      <c r="N48" s="23"/>
      <c r="O48" s="23"/>
      <c r="P48" s="20">
        <f>SUM('Nov-22'!$H48:$O48)</f>
        <v>56022.782200000001</v>
      </c>
      <c r="Q48" s="21" t="str">
        <f>IFERROR(IF('Nov-22'!$F48="","-",VLOOKUP('Nov-22'!$F48,Lista_CUIT!$A$1:$D$1871,3,0)),"CUIT NO CARGADO")</f>
        <v>MAT. PRIM.</v>
      </c>
      <c r="R48" s="21">
        <f>IFERROR(IF('Nov-22'!$F48="","-",VLOOKUP('Nov-22'!$F48,Lista_CUIT!$A$1:$D$1871,4,0)),"CUIT NO CARGADO")</f>
        <v>0</v>
      </c>
    </row>
    <row r="49" spans="2:18" ht="15.75" customHeight="1" x14ac:dyDescent="0.25">
      <c r="B49" s="162" t="s">
        <v>1660</v>
      </c>
      <c r="C49" s="163">
        <v>1</v>
      </c>
      <c r="D49" s="12">
        <v>5</v>
      </c>
      <c r="E49" s="13">
        <v>58585</v>
      </c>
      <c r="F49" s="14">
        <v>30692857611</v>
      </c>
      <c r="G49" s="15" t="str">
        <f>IFERROR(IF('Nov-22'!$F49="","-",VLOOKUP('Nov-22'!$F49,Lista_CUIT!$A$1:$D$1871,2,0)),"CUIT NO CARGADO")</f>
        <v>BAGUI S.A.</v>
      </c>
      <c r="H49" s="16">
        <v>23341.5</v>
      </c>
      <c r="I49" s="23">
        <f>'Nov-22'!$H49*0.21</f>
        <v>4901.7150000000001</v>
      </c>
      <c r="J49" s="23"/>
      <c r="K49" s="23"/>
      <c r="L49" s="23"/>
      <c r="M49" s="23"/>
      <c r="N49" s="23"/>
      <c r="O49" s="23"/>
      <c r="P49" s="20">
        <f>SUM('Nov-22'!$H49:$O49)</f>
        <v>28243.215</v>
      </c>
      <c r="Q49" s="21" t="str">
        <f>IFERROR(IF('Nov-22'!$F49="","-",VLOOKUP('Nov-22'!$F49,Lista_CUIT!$A$1:$D$1871,3,0)),"CUIT NO CARGADO")</f>
        <v>MAT. PRIM.</v>
      </c>
      <c r="R49" s="21">
        <f>IFERROR(IF('Nov-22'!$F49="","-",VLOOKUP('Nov-22'!$F49,Lista_CUIT!$A$1:$D$1871,4,0)),"CUIT NO CARGADO")</f>
        <v>0</v>
      </c>
    </row>
    <row r="50" spans="2:18" ht="15.75" customHeight="1" x14ac:dyDescent="0.25">
      <c r="B50" s="162" t="s">
        <v>1666</v>
      </c>
      <c r="C50" s="163">
        <v>1</v>
      </c>
      <c r="D50" s="12">
        <v>4</v>
      </c>
      <c r="E50" s="13">
        <v>91061</v>
      </c>
      <c r="F50" s="14">
        <v>30559932236</v>
      </c>
      <c r="G50" s="15" t="str">
        <f>IFERROR(IF('Nov-22'!$F50="","-",VLOOKUP('Nov-22'!$F50,Lista_CUIT!$A$1:$D$1871,2,0)),"CUIT NO CARGADO")</f>
        <v>ELECTRONICA ELEMON SA</v>
      </c>
      <c r="H50" s="16">
        <v>60407.31</v>
      </c>
      <c r="I50" s="23"/>
      <c r="J50" s="23"/>
      <c r="K50" s="23">
        <v>6342.7675499999996</v>
      </c>
      <c r="L50" s="23"/>
      <c r="M50" s="23"/>
      <c r="N50" s="23"/>
      <c r="O50" s="23"/>
      <c r="P50" s="20">
        <f>SUM('Nov-22'!$H50:$O50)</f>
        <v>66750.077550000002</v>
      </c>
      <c r="Q50" s="21" t="str">
        <f>IFERROR(IF('Nov-22'!$F50="","-",VLOOKUP('Nov-22'!$F50,Lista_CUIT!$A$1:$D$1871,3,0)),"CUIT NO CARGADO")</f>
        <v>MAT. PRIM.</v>
      </c>
      <c r="R50" s="21">
        <f>IFERROR(IF('Nov-22'!$F50="","-",VLOOKUP('Nov-22'!$F50,Lista_CUIT!$A$1:$D$1871,4,0)),"CUIT NO CARGADO")</f>
        <v>0</v>
      </c>
    </row>
    <row r="51" spans="2:18" ht="15.75" customHeight="1" x14ac:dyDescent="0.25">
      <c r="B51" s="162" t="s">
        <v>1659</v>
      </c>
      <c r="C51" s="163">
        <v>1</v>
      </c>
      <c r="D51" s="12">
        <v>3</v>
      </c>
      <c r="E51" s="13">
        <v>172505</v>
      </c>
      <c r="F51" s="14">
        <v>30707135596</v>
      </c>
      <c r="G51" s="15" t="str">
        <f>IFERROR(IF('Nov-22'!$F51="","-",VLOOKUP('Nov-22'!$F51,Lista_CUIT!$A$1:$D$1871,2,0)),"CUIT NO CARGADO")</f>
        <v>CITILAN ARGENTINA SA</v>
      </c>
      <c r="H51" s="16">
        <v>3705.88</v>
      </c>
      <c r="I51" s="23">
        <f>'Nov-22'!$H51*0.21</f>
        <v>778.23479999999995</v>
      </c>
      <c r="J51" s="23"/>
      <c r="K51" s="23"/>
      <c r="L51" s="23"/>
      <c r="M51" s="23"/>
      <c r="N51" s="23"/>
      <c r="O51" s="23"/>
      <c r="P51" s="20">
        <f>SUM('Nov-22'!$H51:$O51)</f>
        <v>4484.1148000000003</v>
      </c>
      <c r="Q51" s="21" t="str">
        <f>IFERROR(IF('Nov-22'!$F51="","-",VLOOKUP('Nov-22'!$F51,Lista_CUIT!$A$1:$D$1871,3,0)),"CUIT NO CARGADO")</f>
        <v>SERVICIOS GAS, LUZ, ETC</v>
      </c>
      <c r="R51" s="21">
        <f>IFERROR(IF('Nov-22'!$F51="","-",VLOOKUP('Nov-22'!$F51,Lista_CUIT!$A$1:$D$1871,4,0)),"CUIT NO CARGADO")</f>
        <v>0</v>
      </c>
    </row>
    <row r="52" spans="2:18" ht="15.75" customHeight="1" x14ac:dyDescent="0.25">
      <c r="B52" s="162" t="s">
        <v>1668</v>
      </c>
      <c r="C52" s="163">
        <v>1</v>
      </c>
      <c r="D52" s="12">
        <v>2466</v>
      </c>
      <c r="E52" s="13">
        <v>434692</v>
      </c>
      <c r="F52" s="14">
        <v>30678814357</v>
      </c>
      <c r="G52" s="15" t="str">
        <f>IFERROR(IF('Nov-22'!$F52="","-",VLOOKUP('Nov-22'!$F52,Lista_CUIT!$A$1:$D$1871,2,0)),"CUIT NO CARGADO")</f>
        <v>Telefonica Moviles Argentina SA</v>
      </c>
      <c r="H52" s="16">
        <v>2808</v>
      </c>
      <c r="I52" s="23"/>
      <c r="J52" s="23">
        <v>758.16</v>
      </c>
      <c r="K52" s="23"/>
      <c r="L52" s="23">
        <v>84.24</v>
      </c>
      <c r="M52" s="23"/>
      <c r="N52" s="23"/>
      <c r="O52" s="23">
        <v>147.79</v>
      </c>
      <c r="P52" s="20">
        <f>SUM('Nov-22'!$H52:$O52)</f>
        <v>3798.1899999999996</v>
      </c>
      <c r="Q52" s="21" t="str">
        <f>IFERROR(IF('Nov-22'!$F52="","-",VLOOKUP('Nov-22'!$F52,Lista_CUIT!$A$1:$D$1871,3,0)),"CUIT NO CARGADO")</f>
        <v>SERVICIOS GAS, LUZ, ETC</v>
      </c>
      <c r="R52" s="21">
        <f>IFERROR(IF('Nov-22'!$F52="","-",VLOOKUP('Nov-22'!$F52,Lista_CUIT!$A$1:$D$1871,4,0)),"CUIT NO CARGADO")</f>
        <v>0</v>
      </c>
    </row>
    <row r="53" spans="2:18" ht="15.75" customHeight="1" x14ac:dyDescent="0.25">
      <c r="B53" s="162" t="s">
        <v>1651</v>
      </c>
      <c r="C53" s="163">
        <v>1</v>
      </c>
      <c r="D53" s="12">
        <v>700</v>
      </c>
      <c r="E53" s="13">
        <v>452767</v>
      </c>
      <c r="F53" s="14">
        <v>30580111315</v>
      </c>
      <c r="G53" s="15" t="str">
        <f>IFERROR(IF('Nov-22'!$F53="","-",VLOOKUP('Nov-22'!$F53,Lista_CUIT!$A$1:$D$1871,2,0)),"CUIT NO CARGADO")</f>
        <v>DHL EXPRESS ARG SA</v>
      </c>
      <c r="H53" s="16">
        <v>0</v>
      </c>
      <c r="I53" s="23">
        <f>'Nov-22'!$H53*0.21</f>
        <v>0</v>
      </c>
      <c r="J53" s="23"/>
      <c r="K53" s="23"/>
      <c r="L53" s="23"/>
      <c r="M53" s="23"/>
      <c r="N53" s="23"/>
      <c r="O53" s="23">
        <v>45756.33</v>
      </c>
      <c r="P53" s="20">
        <f>SUM('Nov-22'!$H53:$O53)</f>
        <v>45756.33</v>
      </c>
      <c r="Q53" s="21" t="str">
        <f>IFERROR(IF('Nov-22'!$F53="","-",VLOOKUP('Nov-22'!$F53,Lista_CUIT!$A$1:$D$1871,3,0)),"CUIT NO CARGADO")</f>
        <v>GTOS IMP.</v>
      </c>
      <c r="R53" s="21">
        <f>IFERROR(IF('Nov-22'!$F53="","-",VLOOKUP('Nov-22'!$F53,Lista_CUIT!$A$1:$D$1871,4,0)),"CUIT NO CARGADO")</f>
        <v>0</v>
      </c>
    </row>
    <row r="54" spans="2:18" ht="15.75" customHeight="1" x14ac:dyDescent="0.25">
      <c r="B54" s="162" t="s">
        <v>1667</v>
      </c>
      <c r="C54" s="163">
        <v>1</v>
      </c>
      <c r="D54" s="12">
        <v>700</v>
      </c>
      <c r="E54" s="13">
        <v>457479</v>
      </c>
      <c r="F54" s="14">
        <v>30580111315</v>
      </c>
      <c r="G54" s="15" t="str">
        <f>IFERROR(IF('Nov-22'!$F54="","-",VLOOKUP('Nov-22'!$F54,Lista_CUIT!$A$1:$D$1871,2,0)),"CUIT NO CARGADO")</f>
        <v>DHL EXPRESS ARG SA</v>
      </c>
      <c r="H54" s="16">
        <v>2318.625</v>
      </c>
      <c r="I54" s="23">
        <f>'Nov-22'!$H54*0.21</f>
        <v>486.91125</v>
      </c>
      <c r="J54" s="23"/>
      <c r="K54" s="23"/>
      <c r="L54" s="23"/>
      <c r="M54" s="23"/>
      <c r="N54" s="23"/>
      <c r="O54" s="23">
        <v>45810.877500000002</v>
      </c>
      <c r="P54" s="20">
        <f>SUM('Nov-22'!$H54:$O54)</f>
        <v>48616.41375</v>
      </c>
      <c r="Q54" s="21" t="str">
        <f>IFERROR(IF('Nov-22'!$F54="","-",VLOOKUP('Nov-22'!$F54,Lista_CUIT!$A$1:$D$1871,3,0)),"CUIT NO CARGADO")</f>
        <v>GTOS IMP.</v>
      </c>
      <c r="R54" s="21">
        <f>IFERROR(IF('Nov-22'!$F54="","-",VLOOKUP('Nov-22'!$F54,Lista_CUIT!$A$1:$D$1871,4,0)),"CUIT NO CARGADO")</f>
        <v>0</v>
      </c>
    </row>
    <row r="55" spans="2:18" ht="15.75" customHeight="1" x14ac:dyDescent="0.25">
      <c r="B55" s="162" t="s">
        <v>1669</v>
      </c>
      <c r="C55" s="163">
        <v>1</v>
      </c>
      <c r="D55" s="12">
        <v>106</v>
      </c>
      <c r="E55" s="13">
        <v>583451</v>
      </c>
      <c r="F55" s="14">
        <v>30594494187</v>
      </c>
      <c r="G55" s="15" t="str">
        <f>IFERROR(IF('Nov-22'!$F55="","-",VLOOKUP('Nov-22'!$F55,Lista_CUIT!$A$1:$D$1871,2,0)),"CUIT NO CARGADO")</f>
        <v>FEDERAL EXPRESS CORPORATION</v>
      </c>
      <c r="H55" s="16">
        <v>0</v>
      </c>
      <c r="I55" s="23">
        <f>'Nov-22'!$H55*0.21</f>
        <v>0</v>
      </c>
      <c r="J55" s="23"/>
      <c r="K55" s="23"/>
      <c r="L55" s="23"/>
      <c r="M55" s="23"/>
      <c r="N55" s="23"/>
      <c r="O55" s="23">
        <v>108682.38</v>
      </c>
      <c r="P55" s="20">
        <f>SUM('Nov-22'!$H55:$O55)</f>
        <v>108682.38</v>
      </c>
      <c r="Q55" s="21" t="str">
        <f>IFERROR(IF('Nov-22'!$F55="","-",VLOOKUP('Nov-22'!$F55,Lista_CUIT!$A$1:$D$1871,3,0)),"CUIT NO CARGADO")</f>
        <v>GTOS IMP.</v>
      </c>
      <c r="R55" s="21">
        <f>IFERROR(IF('Nov-22'!$F55="","-",VLOOKUP('Nov-22'!$F55,Lista_CUIT!$A$1:$D$1871,4,0)),"CUIT NO CARGADO")</f>
        <v>0</v>
      </c>
    </row>
    <row r="56" spans="2:18" ht="15.75" customHeight="1" x14ac:dyDescent="0.25">
      <c r="B56" s="162" t="s">
        <v>1666</v>
      </c>
      <c r="C56" s="163">
        <v>1</v>
      </c>
      <c r="D56" s="12">
        <v>106</v>
      </c>
      <c r="E56" s="13">
        <v>585103</v>
      </c>
      <c r="F56" s="14">
        <v>30594494187</v>
      </c>
      <c r="G56" s="15" t="str">
        <f>IFERROR(IF('Nov-22'!$F56="","-",VLOOKUP('Nov-22'!$F56,Lista_CUIT!$A$1:$D$1871,2,0)),"CUIT NO CARGADO")</f>
        <v>FEDERAL EXPRESS CORPORATION</v>
      </c>
      <c r="H56" s="16">
        <v>17116.2</v>
      </c>
      <c r="I56" s="23">
        <f>'Nov-22'!$H56*0.21</f>
        <v>3594.402</v>
      </c>
      <c r="J56" s="23"/>
      <c r="K56" s="23"/>
      <c r="L56" s="23"/>
      <c r="M56" s="23"/>
      <c r="N56" s="23"/>
      <c r="O56" s="23">
        <v>18610.77</v>
      </c>
      <c r="P56" s="20">
        <f>SUM('Nov-22'!$H56:$O56)</f>
        <v>39321.372000000003</v>
      </c>
      <c r="Q56" s="21" t="str">
        <f>IFERROR(IF('Nov-22'!$F56="","-",VLOOKUP('Nov-22'!$F56,Lista_CUIT!$A$1:$D$1871,3,0)),"CUIT NO CARGADO")</f>
        <v>GTOS IMP.</v>
      </c>
      <c r="R56" s="21">
        <f>IFERROR(IF('Nov-22'!$F56="","-",VLOOKUP('Nov-22'!$F56,Lista_CUIT!$A$1:$D$1871,4,0)),"CUIT NO CARGADO")</f>
        <v>0</v>
      </c>
    </row>
    <row r="57" spans="2:18" ht="17.25" customHeight="1" x14ac:dyDescent="0.25">
      <c r="B57" s="162" t="s">
        <v>1667</v>
      </c>
      <c r="C57" s="163">
        <v>1</v>
      </c>
      <c r="D57" s="12">
        <v>106</v>
      </c>
      <c r="E57" s="13">
        <v>586994</v>
      </c>
      <c r="F57" s="14">
        <v>30594494187</v>
      </c>
      <c r="G57" s="15" t="str">
        <f>IFERROR(IF('Nov-22'!$F57="","-",VLOOKUP('Nov-22'!$F57,Lista_CUIT!$A$1:$D$1871,2,0)),"CUIT NO CARGADO")</f>
        <v>FEDERAL EXPRESS CORPORATION</v>
      </c>
      <c r="H57" s="16">
        <v>0</v>
      </c>
      <c r="I57" s="23">
        <f>'Nov-22'!$H57*0.21</f>
        <v>0</v>
      </c>
      <c r="J57" s="23"/>
      <c r="K57" s="23"/>
      <c r="L57" s="23"/>
      <c r="M57" s="23"/>
      <c r="N57" s="23"/>
      <c r="O57" s="23">
        <v>119376.56</v>
      </c>
      <c r="P57" s="20">
        <f>SUM('Nov-22'!$H57:$O57)</f>
        <v>119376.56</v>
      </c>
      <c r="Q57" s="21" t="str">
        <f>IFERROR(IF('Nov-22'!$F57="","-",VLOOKUP('Nov-22'!$F57,Lista_CUIT!$A$1:$D$1871,3,0)),"CUIT NO CARGADO")</f>
        <v>GTOS IMP.</v>
      </c>
      <c r="R57" s="21">
        <f>IFERROR(IF('Nov-22'!$F57="","-",VLOOKUP('Nov-22'!$F57,Lista_CUIT!$A$1:$D$1871,4,0)),"CUIT NO CARGADO")</f>
        <v>0</v>
      </c>
    </row>
    <row r="58" spans="2:18" ht="15.75" customHeight="1" x14ac:dyDescent="0.25">
      <c r="B58" s="162" t="s">
        <v>1670</v>
      </c>
      <c r="C58" s="163">
        <v>1</v>
      </c>
      <c r="D58" s="12">
        <v>3</v>
      </c>
      <c r="E58" s="13">
        <v>1146042</v>
      </c>
      <c r="F58" s="14">
        <v>30712019359</v>
      </c>
      <c r="G58" s="15" t="str">
        <f>IFERROR(IF('Nov-22'!$F58="","-",VLOOKUP('Nov-22'!$F58,Lista_CUIT!$A$1:$D$1871,2,0)),"CUIT NO CARGADO")</f>
        <v>LINKEDSTORE ARGENTINA S.R.L.</v>
      </c>
      <c r="H58" s="16">
        <v>3304.96</v>
      </c>
      <c r="I58" s="23">
        <f>'Nov-22'!$H58*0.21</f>
        <v>694.04160000000002</v>
      </c>
      <c r="J58" s="23"/>
      <c r="K58" s="23"/>
      <c r="L58" s="23"/>
      <c r="M58" s="23"/>
      <c r="N58" s="23"/>
      <c r="O58" s="23"/>
      <c r="P58" s="20">
        <f>SUM('Nov-22'!$H58:$O58)</f>
        <v>3999.0016000000001</v>
      </c>
      <c r="Q58" s="21" t="str">
        <f>IFERROR(IF('Nov-22'!$F58="","-",VLOOKUP('Nov-22'!$F58,Lista_CUIT!$A$1:$D$1871,3,0)),"CUIT NO CARGADO")</f>
        <v>Gastos Varios</v>
      </c>
      <c r="R58" s="21">
        <f>IFERROR(IF('Nov-22'!$F58="","-",VLOOKUP('Nov-22'!$F58,Lista_CUIT!$A$1:$D$1871,4,0)),"CUIT NO CARGADO")</f>
        <v>0</v>
      </c>
    </row>
    <row r="59" spans="2:18" ht="15.75" customHeight="1" x14ac:dyDescent="0.25">
      <c r="B59" s="162" t="s">
        <v>1662</v>
      </c>
      <c r="C59" s="163">
        <v>1</v>
      </c>
      <c r="D59" s="12">
        <v>3</v>
      </c>
      <c r="E59" s="13">
        <v>1167674</v>
      </c>
      <c r="F59" s="14">
        <v>30712019359</v>
      </c>
      <c r="G59" s="15" t="str">
        <f>IFERROR(IF('Nov-22'!$F59="","-",VLOOKUP('Nov-22'!$F59,Lista_CUIT!$A$1:$D$1871,2,0)),"CUIT NO CARGADO")</f>
        <v>LINKEDSTORE ARGENTINA S.R.L.</v>
      </c>
      <c r="H59" s="16">
        <v>3304.96</v>
      </c>
      <c r="I59" s="23">
        <f>'Nov-22'!$H59*0.21</f>
        <v>694.04160000000002</v>
      </c>
      <c r="J59" s="23"/>
      <c r="K59" s="23"/>
      <c r="L59" s="23"/>
      <c r="M59" s="23"/>
      <c r="N59" s="23"/>
      <c r="O59" s="23"/>
      <c r="P59" s="20">
        <f>SUM('Nov-22'!$H59:$O59)</f>
        <v>3999.0016000000001</v>
      </c>
      <c r="Q59" s="21" t="str">
        <f>IFERROR(IF('Nov-22'!$F59="","-",VLOOKUP('Nov-22'!$F59,Lista_CUIT!$A$1:$D$1871,3,0)),"CUIT NO CARGADO")</f>
        <v>Gastos Varios</v>
      </c>
      <c r="R59" s="21">
        <f>IFERROR(IF('Nov-22'!$F59="","-",VLOOKUP('Nov-22'!$F59,Lista_CUIT!$A$1:$D$1871,4,0)),"CUIT NO CARGADO")</f>
        <v>0</v>
      </c>
    </row>
    <row r="60" spans="2:18" ht="15.75" customHeight="1" x14ac:dyDescent="0.25">
      <c r="B60" s="165">
        <v>44861</v>
      </c>
      <c r="C60" s="166">
        <v>1</v>
      </c>
      <c r="D60" s="167">
        <v>4</v>
      </c>
      <c r="E60" s="168">
        <v>122136</v>
      </c>
      <c r="F60" s="169">
        <v>30716620634</v>
      </c>
      <c r="G60" s="170" t="str">
        <f>IFERROR(IF('Nov-22'!$F60="","-",VLOOKUP('Nov-22'!$F60,Lista_CUIT!$A$1:$D$1871,2,0)),"CUIT NO CARGADO")</f>
        <v>FIRST LABEL SRL</v>
      </c>
      <c r="H60" s="16">
        <v>9169.42</v>
      </c>
      <c r="I60" s="23">
        <f>'Nov-22'!$H60*0.21</f>
        <v>1925.5781999999999</v>
      </c>
      <c r="J60" s="23"/>
      <c r="K60" s="23"/>
      <c r="L60" s="23"/>
      <c r="M60" s="23"/>
      <c r="N60" s="23"/>
      <c r="O60" s="23"/>
      <c r="P60" s="20">
        <f>SUM('Nov-22'!$H60:$O60)</f>
        <v>11094.9982</v>
      </c>
      <c r="Q60" s="21" t="str">
        <f>IFERROR(IF('Nov-22'!$F60="","-",VLOOKUP('Nov-22'!$F60,Lista_CUIT!$A$1:$D$1871,3,0)),"CUIT NO CARGADO")</f>
        <v>Gastos Varios</v>
      </c>
      <c r="R60" s="21">
        <f>IFERROR(IF('Nov-22'!$F60="","-",VLOOKUP('Nov-22'!$F60,Lista_CUIT!$A$1:$D$1871,4,0)),"CUIT NO CARGADO")</f>
        <v>0</v>
      </c>
    </row>
    <row r="61" spans="2:18" ht="15.75" customHeight="1" x14ac:dyDescent="0.25">
      <c r="B61" s="165">
        <v>44872</v>
      </c>
      <c r="C61" s="166">
        <v>1</v>
      </c>
      <c r="D61" s="167">
        <v>106</v>
      </c>
      <c r="E61" s="168">
        <v>5735</v>
      </c>
      <c r="F61" s="169">
        <v>30710194927</v>
      </c>
      <c r="G61" s="170" t="str">
        <f>IFERROR(IF('Nov-22'!$F61="","-",VLOOKUP('Nov-22'!$F61,Lista_CUIT!$A$1:$D$1871,2,0)),"CUIT NO CARGADO")</f>
        <v>ANNEX S.A.</v>
      </c>
      <c r="H61" s="16">
        <v>5097.5200000000004</v>
      </c>
      <c r="I61" s="23">
        <f>'Nov-22'!$H61*0.21</f>
        <v>1070.4792</v>
      </c>
      <c r="J61" s="23"/>
      <c r="K61" s="23"/>
      <c r="L61" s="23"/>
      <c r="M61" s="23"/>
      <c r="N61" s="23"/>
      <c r="O61" s="23"/>
      <c r="P61" s="20">
        <f>SUM('Nov-22'!$H61:$O61)</f>
        <v>6167.9992000000002</v>
      </c>
      <c r="Q61" s="21" t="str">
        <f>IFERROR(IF('Nov-22'!$F61="","-",VLOOKUP('Nov-22'!$F61,Lista_CUIT!$A$1:$D$1871,3,0)),"CUIT NO CARGADO")</f>
        <v>Gastos Varios</v>
      </c>
      <c r="R61" s="21">
        <f>IFERROR(IF('Nov-22'!$F61="","-",VLOOKUP('Nov-22'!$F61,Lista_CUIT!$A$1:$D$1871,4,0)),"CUIT NO CARGADO")</f>
        <v>0</v>
      </c>
    </row>
    <row r="62" spans="2:18" ht="15.75" customHeight="1" x14ac:dyDescent="0.25">
      <c r="B62" s="171">
        <v>44890</v>
      </c>
      <c r="C62" s="172">
        <v>1</v>
      </c>
      <c r="D62" s="167">
        <v>280</v>
      </c>
      <c r="E62" s="168">
        <v>1402030</v>
      </c>
      <c r="F62" s="169">
        <v>30580111315</v>
      </c>
      <c r="G62" s="170" t="str">
        <f>IFERROR(IF('Nov-22'!$F62="","-",VLOOKUP('Nov-22'!$F62,Lista_CUIT!$A$1:$D$1871,2,0)),"CUIT NO CARGADO")</f>
        <v>DHL EXPRESS ARG SA</v>
      </c>
      <c r="H62" s="16">
        <v>146557.79</v>
      </c>
      <c r="I62" s="23">
        <f>'Nov-22'!$H62*0.21</f>
        <v>30777.135900000001</v>
      </c>
      <c r="J62" s="23"/>
      <c r="K62" s="23"/>
      <c r="L62" s="23"/>
      <c r="M62" s="23"/>
      <c r="N62" s="23"/>
      <c r="O62" s="173">
        <v>-118992.5</v>
      </c>
      <c r="P62" s="20">
        <f>SUM('Nov-22'!$H62:$O62)</f>
        <v>58342.425900000002</v>
      </c>
      <c r="Q62" s="21" t="str">
        <f>IFERROR(IF('Nov-22'!$F62="","-",VLOOKUP('Nov-22'!$F62,Lista_CUIT!$A$1:$D$1871,3,0)),"CUIT NO CARGADO")</f>
        <v>GTOS IMP.</v>
      </c>
      <c r="R62" s="21">
        <f>IFERROR(IF('Nov-22'!$F62="","-",VLOOKUP('Nov-22'!$F62,Lista_CUIT!$A$1:$D$1871,4,0)),"CUIT NO CARGADO")</f>
        <v>0</v>
      </c>
    </row>
    <row r="63" spans="2:18" ht="15.75" customHeight="1" x14ac:dyDescent="0.25">
      <c r="B63" s="21" t="s">
        <v>1546</v>
      </c>
      <c r="C63" s="21"/>
      <c r="D63" s="21"/>
      <c r="E63" s="21"/>
      <c r="F63" s="21"/>
      <c r="G63" s="15"/>
      <c r="H63" s="16">
        <f>SUBTOTAL(109,'Nov-22'!$H$9:$H$62)</f>
        <v>2998223.2589999996</v>
      </c>
      <c r="I63" s="16">
        <f>SUBTOTAL(109,'Nov-22'!$I$9:$I$62)</f>
        <v>542047.20759000001</v>
      </c>
      <c r="J63" s="16">
        <f>SUBTOTAL(109,'Nov-22'!$J$9:$J$62)</f>
        <v>758.16</v>
      </c>
      <c r="K63" s="16">
        <f>SUBTOTAL(109,'Nov-22'!$K$9:$K$62)</f>
        <v>43495.002849999997</v>
      </c>
      <c r="L63" s="16">
        <f>SUBTOTAL(109,'Nov-22'!$L$9:$L$62)</f>
        <v>84.24</v>
      </c>
      <c r="M63" s="16">
        <f>SUBTOTAL(109,'Nov-22'!$M$9:$M$62)</f>
        <v>0</v>
      </c>
      <c r="N63" s="16">
        <f>SUBTOTAL(109,'Nov-22'!$N$9:$N$62)</f>
        <v>0</v>
      </c>
      <c r="O63" s="16">
        <f>SUBTOTAL(109,'Nov-22'!$O$9:$O$62)</f>
        <v>222476.78749999998</v>
      </c>
      <c r="P63" s="16">
        <f>SUBTOTAL(109,'Nov-22'!$P$9:$P$62)</f>
        <v>3807084.6569399992</v>
      </c>
      <c r="Q63" s="21"/>
      <c r="R63" s="21"/>
    </row>
    <row r="64" spans="2:18" ht="15.75" customHeight="1" x14ac:dyDescent="0.25">
      <c r="B64" s="10"/>
      <c r="C64" s="11"/>
      <c r="D64" s="12"/>
      <c r="E64" s="13"/>
      <c r="F64" s="14"/>
      <c r="G64" s="15"/>
      <c r="H64" s="16"/>
      <c r="I64" s="17"/>
      <c r="J64" s="17"/>
      <c r="K64" s="17"/>
      <c r="L64" s="17"/>
      <c r="M64" s="17"/>
      <c r="N64" s="17"/>
      <c r="O64" s="17"/>
      <c r="P64" s="20"/>
      <c r="Q64" s="21"/>
      <c r="R64" s="21"/>
    </row>
    <row r="65" spans="2:18" ht="15.75" customHeight="1" x14ac:dyDescent="0.25">
      <c r="B65" s="10"/>
      <c r="C65" s="11"/>
      <c r="D65" s="12"/>
      <c r="E65" s="13"/>
      <c r="F65" s="14"/>
      <c r="G65" s="15"/>
      <c r="H65" s="16"/>
      <c r="I65" s="17"/>
      <c r="J65" s="17"/>
      <c r="K65" s="17"/>
      <c r="L65" s="17"/>
      <c r="M65" s="17"/>
      <c r="N65" s="17"/>
      <c r="O65" s="17"/>
      <c r="P65" s="20"/>
      <c r="Q65" s="21"/>
      <c r="R65" s="21"/>
    </row>
    <row r="66" spans="2:18" ht="15.75" customHeight="1" x14ac:dyDescent="0.25">
      <c r="B66" s="10"/>
      <c r="C66" s="11"/>
      <c r="D66" s="12"/>
      <c r="E66" s="13"/>
      <c r="F66" s="14"/>
      <c r="G66" s="15"/>
      <c r="H66" s="16"/>
      <c r="I66" s="17"/>
      <c r="J66" s="17"/>
      <c r="K66" s="17"/>
      <c r="L66" s="17"/>
      <c r="M66" s="17"/>
      <c r="N66" s="17"/>
      <c r="O66" s="17"/>
      <c r="P66" s="20"/>
      <c r="Q66" s="21"/>
      <c r="R66" s="21"/>
    </row>
    <row r="67" spans="2:18" ht="18.75" customHeight="1" x14ac:dyDescent="0.25">
      <c r="B67" s="10"/>
      <c r="C67" s="11"/>
      <c r="D67" s="12"/>
      <c r="E67" s="13"/>
      <c r="F67" s="14"/>
      <c r="G67" s="15"/>
      <c r="H67" s="16"/>
      <c r="I67" s="17"/>
      <c r="J67" s="17"/>
      <c r="K67" s="17"/>
      <c r="L67" s="17"/>
    </row>
    <row r="68" spans="2:18" ht="28.5" customHeight="1" x14ac:dyDescent="0.25">
      <c r="D68" s="359" t="s">
        <v>1547</v>
      </c>
      <c r="E68" s="351"/>
      <c r="F68" s="351"/>
      <c r="G68" s="351"/>
      <c r="H68" s="351"/>
      <c r="I68" s="351"/>
      <c r="J68" s="351"/>
      <c r="K68" s="351"/>
      <c r="L68" s="352"/>
    </row>
    <row r="69" spans="2:18" ht="15.75" customHeight="1" x14ac:dyDescent="0.25">
      <c r="D69" s="36" t="s">
        <v>1532</v>
      </c>
      <c r="E69" s="37" t="s">
        <v>1548</v>
      </c>
      <c r="F69" s="37" t="s">
        <v>1549</v>
      </c>
      <c r="G69" s="37" t="s">
        <v>1550</v>
      </c>
      <c r="H69" s="37" t="s">
        <v>1551</v>
      </c>
      <c r="I69" s="37" t="s">
        <v>1539</v>
      </c>
      <c r="J69" s="38" t="s">
        <v>1552</v>
      </c>
      <c r="K69" s="38" t="s">
        <v>1553</v>
      </c>
      <c r="L69" s="39" t="s">
        <v>1554</v>
      </c>
      <c r="N69" s="173"/>
    </row>
    <row r="70" spans="2:18" ht="15.75" customHeight="1" x14ac:dyDescent="0.25">
      <c r="D70" s="174">
        <v>44889</v>
      </c>
      <c r="E70" s="155" t="s">
        <v>1671</v>
      </c>
      <c r="F70" s="175" t="s">
        <v>1672</v>
      </c>
      <c r="G70" s="42">
        <v>4130.25</v>
      </c>
      <c r="H70" s="42">
        <v>867.35249999999996</v>
      </c>
      <c r="I70" s="42"/>
      <c r="J70" s="42"/>
      <c r="K70" s="42">
        <v>123.91</v>
      </c>
      <c r="L70" s="42"/>
    </row>
    <row r="71" spans="2:18" ht="15.75" customHeight="1" x14ac:dyDescent="0.25">
      <c r="D71" s="174">
        <v>44887</v>
      </c>
      <c r="E71" s="155" t="s">
        <v>1673</v>
      </c>
      <c r="F71" s="175" t="s">
        <v>1674</v>
      </c>
      <c r="G71" s="42">
        <v>4112.75</v>
      </c>
      <c r="H71" s="42">
        <v>863.67750000000001</v>
      </c>
      <c r="I71" s="42"/>
      <c r="J71" s="42"/>
      <c r="K71" s="42">
        <v>123.38</v>
      </c>
      <c r="L71" s="42"/>
    </row>
    <row r="72" spans="2:18" ht="15.75" customHeight="1" x14ac:dyDescent="0.25">
      <c r="D72" s="174">
        <v>44879</v>
      </c>
      <c r="E72" s="155" t="s">
        <v>1675</v>
      </c>
      <c r="F72" s="175" t="s">
        <v>1611</v>
      </c>
      <c r="G72" s="42">
        <v>12052.5</v>
      </c>
      <c r="H72" s="42">
        <v>2531.0250000000001</v>
      </c>
      <c r="I72" s="42"/>
      <c r="J72" s="42"/>
      <c r="K72" s="42">
        <v>361.58</v>
      </c>
      <c r="L72" s="42"/>
    </row>
    <row r="73" spans="2:18" ht="15.75" customHeight="1" x14ac:dyDescent="0.25">
      <c r="D73" s="174">
        <v>44874</v>
      </c>
      <c r="E73" s="155" t="s">
        <v>1676</v>
      </c>
      <c r="F73" s="175" t="s">
        <v>1677</v>
      </c>
      <c r="G73" s="42">
        <v>4000.5</v>
      </c>
      <c r="H73" s="42">
        <v>840.10500000000002</v>
      </c>
      <c r="I73" s="42"/>
      <c r="J73" s="42"/>
      <c r="K73" s="42">
        <v>120.02</v>
      </c>
      <c r="L73" s="42"/>
    </row>
    <row r="74" spans="2:18" ht="15.75" customHeight="1" x14ac:dyDescent="0.25">
      <c r="D74" s="174">
        <v>44874</v>
      </c>
      <c r="E74" s="155" t="s">
        <v>1678</v>
      </c>
      <c r="F74" s="175" t="s">
        <v>1677</v>
      </c>
      <c r="G74" s="42">
        <v>4000.5</v>
      </c>
      <c r="H74" s="42">
        <v>840.10500000000002</v>
      </c>
      <c r="I74" s="42"/>
      <c r="J74" s="42"/>
      <c r="K74" s="42">
        <v>120.02</v>
      </c>
      <c r="L74" s="42"/>
    </row>
    <row r="75" spans="2:18" ht="15.75" customHeight="1" x14ac:dyDescent="0.25">
      <c r="D75" s="176">
        <v>44871</v>
      </c>
      <c r="E75" s="155" t="s">
        <v>1679</v>
      </c>
      <c r="F75" s="175" t="s">
        <v>1680</v>
      </c>
      <c r="G75" s="42">
        <v>11952.75</v>
      </c>
      <c r="H75" s="42">
        <v>2510.0774999999999</v>
      </c>
      <c r="I75" s="42"/>
      <c r="J75" s="42"/>
      <c r="K75" s="42">
        <v>358.58</v>
      </c>
      <c r="L75" s="42"/>
    </row>
    <row r="76" spans="2:18" ht="15.75" customHeight="1" x14ac:dyDescent="0.25">
      <c r="D76" s="177">
        <v>44868</v>
      </c>
      <c r="E76" s="155" t="s">
        <v>1681</v>
      </c>
      <c r="F76" s="175" t="s">
        <v>1674</v>
      </c>
      <c r="G76" s="42">
        <v>3948</v>
      </c>
      <c r="H76" s="42">
        <v>829.07999999999993</v>
      </c>
      <c r="I76" s="42"/>
      <c r="J76" s="42"/>
      <c r="K76" s="42">
        <v>118.44</v>
      </c>
      <c r="L76" s="42"/>
    </row>
    <row r="77" spans="2:18" ht="15.75" customHeight="1" x14ac:dyDescent="0.25">
      <c r="D77" s="177">
        <v>44872</v>
      </c>
      <c r="E77" s="155" t="s">
        <v>1682</v>
      </c>
      <c r="F77" s="175" t="s">
        <v>1680</v>
      </c>
      <c r="G77" s="42">
        <v>11871</v>
      </c>
      <c r="H77" s="42">
        <v>2492.91</v>
      </c>
      <c r="I77" s="42"/>
      <c r="J77" s="42"/>
      <c r="K77" s="42">
        <v>356.13</v>
      </c>
      <c r="L77" s="42"/>
    </row>
    <row r="78" spans="2:18" ht="15.75" customHeight="1" x14ac:dyDescent="0.25">
      <c r="D78" s="177">
        <v>44872</v>
      </c>
      <c r="E78" s="155" t="s">
        <v>1683</v>
      </c>
      <c r="F78" s="175" t="s">
        <v>1680</v>
      </c>
      <c r="G78" s="42">
        <v>3957</v>
      </c>
      <c r="H78" s="42">
        <v>830.96999999999991</v>
      </c>
      <c r="I78" s="42"/>
      <c r="J78" s="42"/>
      <c r="K78" s="42">
        <v>118.71</v>
      </c>
      <c r="L78" s="42"/>
    </row>
    <row r="79" spans="2:18" ht="15.75" customHeight="1" x14ac:dyDescent="0.25">
      <c r="D79" s="177">
        <v>44868</v>
      </c>
      <c r="E79" s="155" t="s">
        <v>1684</v>
      </c>
      <c r="F79" s="175" t="s">
        <v>1677</v>
      </c>
      <c r="G79" s="42">
        <v>3948</v>
      </c>
      <c r="H79" s="42">
        <v>829.07999999999993</v>
      </c>
      <c r="I79" s="42"/>
      <c r="J79" s="42"/>
      <c r="K79" s="42">
        <v>118.44</v>
      </c>
      <c r="L79" s="42"/>
    </row>
    <row r="80" spans="2:18" ht="15.75" customHeight="1" x14ac:dyDescent="0.25">
      <c r="D80" s="177">
        <v>44895</v>
      </c>
      <c r="E80" s="99"/>
      <c r="F80" s="175" t="s">
        <v>1685</v>
      </c>
      <c r="G80" s="42">
        <v>238</v>
      </c>
      <c r="H80" s="42">
        <v>49.98</v>
      </c>
      <c r="I80" s="42"/>
      <c r="J80" s="178">
        <v>1.78</v>
      </c>
      <c r="K80" s="42"/>
      <c r="L80" s="42"/>
    </row>
    <row r="81" spans="4:12" ht="15.75" customHeight="1" x14ac:dyDescent="0.25">
      <c r="D81" s="10">
        <v>44887</v>
      </c>
      <c r="E81" s="155" t="s">
        <v>1686</v>
      </c>
      <c r="F81" s="175" t="s">
        <v>1687</v>
      </c>
      <c r="G81" s="42"/>
      <c r="H81" s="42">
        <v>113005.41</v>
      </c>
      <c r="I81" s="42"/>
      <c r="J81" s="42"/>
      <c r="K81" s="42"/>
      <c r="L81" s="42"/>
    </row>
    <row r="82" spans="4:12" ht="15.75" customHeight="1" x14ac:dyDescent="0.25">
      <c r="D82" s="21" t="s">
        <v>1546</v>
      </c>
      <c r="E82" s="43"/>
      <c r="F82" s="43"/>
      <c r="G82" s="42">
        <f>SUBTOTAL(109,'Nov-22'!$G$70:$G$81)</f>
        <v>64211.25</v>
      </c>
      <c r="H82" s="42">
        <f>SUBTOTAL(109,'Nov-22'!$H$70:$H$81)</f>
        <v>126489.77250000001</v>
      </c>
      <c r="I82" s="42">
        <f>SUBTOTAL(109,'Nov-22'!$I$70:$I$81)</f>
        <v>0</v>
      </c>
      <c r="J82" s="42">
        <f>SUBTOTAL(109,'Nov-22'!$J$70:$J$81)</f>
        <v>1.78</v>
      </c>
      <c r="K82" s="42">
        <f>SUBTOTAL(109,'Nov-22'!$K$70:$K$81)</f>
        <v>1919.21</v>
      </c>
      <c r="L82" s="42">
        <f>SUBTOTAL(109,'Nov-22'!$L$70:$L$81)</f>
        <v>0</v>
      </c>
    </row>
    <row r="83" spans="4:12" ht="15.75" customHeight="1" x14ac:dyDescent="0.25"/>
    <row r="84" spans="4:12" ht="15.75" customHeight="1" x14ac:dyDescent="0.25">
      <c r="D84" s="359" t="s">
        <v>1560</v>
      </c>
      <c r="E84" s="351"/>
      <c r="F84" s="351"/>
      <c r="G84" s="351"/>
      <c r="H84" s="351"/>
      <c r="I84" s="351"/>
      <c r="J84" s="351"/>
      <c r="K84" s="352"/>
    </row>
    <row r="85" spans="4:12" ht="15.75" customHeight="1" x14ac:dyDescent="0.25">
      <c r="D85" s="44" t="s">
        <v>1532</v>
      </c>
      <c r="E85" s="44" t="s">
        <v>1534</v>
      </c>
      <c r="F85" s="44" t="s">
        <v>1561</v>
      </c>
      <c r="G85" s="44" t="s">
        <v>0</v>
      </c>
      <c r="H85" s="44" t="s">
        <v>1</v>
      </c>
      <c r="I85" s="45" t="s">
        <v>1544</v>
      </c>
      <c r="J85" s="44" t="s">
        <v>1562</v>
      </c>
      <c r="K85" s="44" t="s">
        <v>1545</v>
      </c>
    </row>
    <row r="86" spans="4:12" ht="15.75" customHeight="1" x14ac:dyDescent="0.25">
      <c r="D86" s="10">
        <v>44838</v>
      </c>
      <c r="E86" s="12">
        <v>2</v>
      </c>
      <c r="F86" s="13">
        <v>15</v>
      </c>
      <c r="G86" s="14">
        <v>23326777269</v>
      </c>
      <c r="H86" s="46" t="str">
        <f>IFERROR(IF('Nov-22'!$G86="","-",VLOOKUP('Nov-22'!$G86,Lista_CUIT!$A$1:$D$1871,2,0)),"CUIT NO CARGADO")</f>
        <v>DE BONIS IGNACIO LUIS</v>
      </c>
      <c r="I86" s="42">
        <v>91050</v>
      </c>
      <c r="J86" s="47" t="str">
        <f>IFERROR(IF('Nov-22'!$G86="","-",VLOOKUP('Nov-22'!$G86,Lista_CUIT!$A$1:$D$1871,3,0)),"CUIT NO CARGADO")</f>
        <v>Control medidores masicos</v>
      </c>
      <c r="K86" s="47">
        <f>IFERROR(IF('Nov-22'!$G86="","-",VLOOKUP('Nov-22'!$G86,Lista_CUIT!$A$1:$D$1871,4,0)),"CUIT NO CARGADO")</f>
        <v>0</v>
      </c>
    </row>
    <row r="87" spans="4:12" ht="15.75" customHeight="1" x14ac:dyDescent="0.25">
      <c r="D87" s="10">
        <v>44839</v>
      </c>
      <c r="E87" s="12">
        <v>1</v>
      </c>
      <c r="F87" s="13">
        <v>11</v>
      </c>
      <c r="G87" s="14">
        <v>20417805878</v>
      </c>
      <c r="H87" s="46" t="str">
        <f>IFERROR(IF('Nov-22'!$G87="","-",VLOOKUP('Nov-22'!$G87,Lista_CUIT!$A$1:$D$1871,2,0)),"CUIT NO CARGADO")</f>
        <v>FERABOLI OSPAL SANTIAGO HERNAN</v>
      </c>
      <c r="I87" s="42">
        <v>76850</v>
      </c>
      <c r="J87" s="47" t="str">
        <f>IFERROR(IF('Nov-22'!$G87="","-",VLOOKUP('Nov-22'!$G87,Lista_CUIT!$A$1:$D$1871,3,0)),"CUIT NO CARGADO")</f>
        <v>Control medidores masicos</v>
      </c>
      <c r="K87" s="47">
        <f>IFERROR(IF('Nov-22'!$G87="","-",VLOOKUP('Nov-22'!$G87,Lista_CUIT!$A$1:$D$1871,4,0)),"CUIT NO CARGADO")</f>
        <v>0</v>
      </c>
    </row>
    <row r="88" spans="4:12" ht="15.75" customHeight="1" x14ac:dyDescent="0.25">
      <c r="D88" s="10">
        <v>44844</v>
      </c>
      <c r="E88" s="12">
        <v>3</v>
      </c>
      <c r="F88" s="13">
        <v>32</v>
      </c>
      <c r="G88" s="14">
        <v>20403931420</v>
      </c>
      <c r="H88" s="46" t="str">
        <f>IFERROR(IF('Nov-22'!$G88="","-",VLOOKUP('Nov-22'!$G88,Lista_CUIT!$A$1:$D$1871,2,0)),"CUIT NO CARGADO")</f>
        <v>FIORENTINO JORGE IGNACIO</v>
      </c>
      <c r="I88" s="49">
        <v>117270</v>
      </c>
      <c r="J88" s="47" t="str">
        <f>IFERROR(IF('Nov-22'!$G88="","-",VLOOKUP('Nov-22'!$G88,Lista_CUIT!$A$1:$D$1871,3,0)),"CUIT NO CARGADO")</f>
        <v>Honorarios Administrativos-Cobranzas y Gestion Clientes</v>
      </c>
      <c r="K88" s="47">
        <f>IFERROR(IF('Nov-22'!$G88="","-",VLOOKUP('Nov-22'!$G88,Lista_CUIT!$A$1:$D$1871,4,0)),"CUIT NO CARGADO")</f>
        <v>0</v>
      </c>
    </row>
    <row r="89" spans="4:12" ht="15.75" customHeight="1" x14ac:dyDescent="0.25">
      <c r="D89" s="10">
        <v>44840</v>
      </c>
      <c r="E89" s="12">
        <v>2</v>
      </c>
      <c r="F89" s="13">
        <v>76</v>
      </c>
      <c r="G89" s="14">
        <v>20244271740</v>
      </c>
      <c r="H89" s="46" t="str">
        <f>IFERROR(IF('Nov-22'!$G89="","-",VLOOKUP('Nov-22'!$G89,Lista_CUIT!$A$1:$D$1871,2,0)),"CUIT NO CARGADO")</f>
        <v xml:space="preserve">KENNEL SEBASTIAN </v>
      </c>
      <c r="I89" s="49">
        <v>182900</v>
      </c>
      <c r="J89" s="47" t="str">
        <f>IFERROR(IF('Nov-22'!$G89="","-",VLOOKUP('Nov-22'!$G89,Lista_CUIT!$A$1:$D$1871,3,0)),"CUIT NO CARGADO")</f>
        <v>SOFTWARE MANTENIMIENTO</v>
      </c>
      <c r="K89" s="47">
        <f>IFERROR(IF('Nov-22'!$G89="","-",VLOOKUP('Nov-22'!$G89,Lista_CUIT!$A$1:$D$1871,4,0)),"CUIT NO CARGADO")</f>
        <v>0</v>
      </c>
    </row>
    <row r="90" spans="4:12" ht="15.75" customHeight="1" x14ac:dyDescent="0.25">
      <c r="D90" s="10">
        <v>44895</v>
      </c>
      <c r="E90" s="12">
        <v>2</v>
      </c>
      <c r="F90" s="13">
        <v>123</v>
      </c>
      <c r="G90" s="14">
        <v>20136544625</v>
      </c>
      <c r="H90" s="46" t="str">
        <f>IFERROR(IF('Nov-22'!$G90="","-",VLOOKUP('Nov-22'!$G90,Lista_CUIT!$A$1:$D$1871,2,0)),"CUIT NO CARGADO")</f>
        <v>RODRIGUEZ DE LA FUEN HECTOR MARCELO</v>
      </c>
      <c r="I90" s="49">
        <v>140000</v>
      </c>
      <c r="J90" s="47" t="str">
        <f>IFERROR(IF('Nov-22'!$G90="","-",VLOOKUP('Nov-22'!$G90,Lista_CUIT!$A$1:$D$1871,3,0)),"CUIT NO CARGADO")</f>
        <v>Honorarios Administrativos-Cobranzas y Gestion Clientes</v>
      </c>
      <c r="K90" s="47">
        <f>IFERROR(IF('Nov-22'!$G90="","-",VLOOKUP('Nov-22'!$G90,Lista_CUIT!$A$1:$D$1871,4,0)),"CUIT NO CARGADO")</f>
        <v>0</v>
      </c>
    </row>
    <row r="91" spans="4:12" ht="15.75" customHeight="1" x14ac:dyDescent="0.25">
      <c r="D91" s="10">
        <v>44879</v>
      </c>
      <c r="E91" s="12">
        <v>1</v>
      </c>
      <c r="F91" s="13">
        <v>92</v>
      </c>
      <c r="G91" s="14">
        <v>20341465134</v>
      </c>
      <c r="H91" s="46" t="str">
        <f>IFERROR(IF('Nov-22'!$G91="","-",VLOOKUP('Nov-22'!$G91,Lista_CUIT!$A$1:$D$1871,2,0)),"CUIT NO CARGADO")</f>
        <v xml:space="preserve">ABELEDO AGUSTIN ENRIQUE </v>
      </c>
      <c r="I91" s="49">
        <v>138700</v>
      </c>
      <c r="J91" s="47" t="str">
        <f>IFERROR(IF('Nov-22'!$G91="","-",VLOOKUP('Nov-22'!$G91,Lista_CUIT!$A$1:$D$1871,3,0)),"CUIT NO CARGADO")</f>
        <v>HONOR. INGENIERO</v>
      </c>
      <c r="K91" s="47">
        <f>IFERROR(IF('Nov-22'!$G91="","-",VLOOKUP('Nov-22'!$G91,Lista_CUIT!$A$1:$D$1871,4,0)),"CUIT NO CARGADO")</f>
        <v>0</v>
      </c>
    </row>
    <row r="92" spans="4:12" ht="15.75" customHeight="1" x14ac:dyDescent="0.25">
      <c r="D92" s="10">
        <v>44876</v>
      </c>
      <c r="E92" s="12">
        <v>3</v>
      </c>
      <c r="F92" s="13">
        <v>648</v>
      </c>
      <c r="G92" s="14">
        <v>20086277523</v>
      </c>
      <c r="H92" s="46" t="str">
        <f>IFERROR(IF('Nov-22'!$G92="","-",VLOOKUP('Nov-22'!$G92,Lista_CUIT!$A$1:$D$1871,2,0)),"CUIT NO CARGADO")</f>
        <v>JUAN CARLOS BOTINDARI</v>
      </c>
      <c r="I92" s="49">
        <v>9870</v>
      </c>
      <c r="J92" s="47" t="str">
        <f>IFERROR(IF('Nov-22'!$G92="","-",VLOOKUP('Nov-22'!$G92,Lista_CUIT!$A$1:$D$1871,3,0)),"CUIT NO CARGADO")</f>
        <v>HONORARIOS</v>
      </c>
      <c r="K92" s="47">
        <f>IFERROR(IF('Nov-22'!$G92="","-",VLOOKUP('Nov-22'!$G92,Lista_CUIT!$A$1:$D$1871,4,0)),"CUIT NO CARGADO")</f>
        <v>0</v>
      </c>
    </row>
    <row r="93" spans="4:12" ht="15.75" customHeight="1" x14ac:dyDescent="0.25">
      <c r="D93" s="10">
        <v>44875</v>
      </c>
      <c r="E93" s="12">
        <v>1</v>
      </c>
      <c r="F93" s="13">
        <v>27</v>
      </c>
      <c r="G93" s="14">
        <v>27925308884</v>
      </c>
      <c r="H93" s="46" t="str">
        <f>IFERROR(IF('Nov-22'!$G93="","-",VLOOKUP('Nov-22'!$G93,Lista_CUIT!$A$1:$D$1871,2,0)),"CUIT NO CARGADO")</f>
        <v>LOPEZ LOPEZ FLAVIA</v>
      </c>
      <c r="I93" s="49">
        <v>4700</v>
      </c>
      <c r="J93" s="47" t="str">
        <f>IFERROR(IF('Nov-22'!$G93="","-",VLOOKUP('Nov-22'!$G93,Lista_CUIT!$A$1:$D$1871,3,0)),"CUIT NO CARGADO")</f>
        <v>FLETE</v>
      </c>
      <c r="K93" s="47">
        <f>IFERROR(IF('Nov-22'!$G93="","-",VLOOKUP('Nov-22'!$G93,Lista_CUIT!$A$1:$D$1871,4,0)),"CUIT NO CARGADO")</f>
        <v>0</v>
      </c>
    </row>
    <row r="94" spans="4:12" ht="15.75" customHeight="1" x14ac:dyDescent="0.25">
      <c r="D94" s="10">
        <v>44879</v>
      </c>
      <c r="E94" s="12">
        <v>1</v>
      </c>
      <c r="F94" s="13">
        <v>18</v>
      </c>
      <c r="G94" s="14">
        <v>20365938688</v>
      </c>
      <c r="H94" s="46" t="str">
        <f>IFERROR(IF('Nov-22'!$G94="","-",VLOOKUP('Nov-22'!$G94,Lista_CUIT!$A$1:$D$1871,2,0)),"CUIT NO CARGADO")</f>
        <v>LIPANOVICH JUAN CRUZ</v>
      </c>
      <c r="I94" s="49">
        <v>330000</v>
      </c>
      <c r="J94" s="47" t="str">
        <f>IFERROR(IF('Nov-22'!$G94="","-",VLOOKUP('Nov-22'!$G94,Lista_CUIT!$A$1:$D$1871,3,0)),"CUIT NO CARGADO")</f>
        <v>Servicios Informatica</v>
      </c>
      <c r="K94" s="47">
        <f>IFERROR(IF('Nov-22'!$G94="","-",VLOOKUP('Nov-22'!$G94,Lista_CUIT!$A$1:$D$1871,4,0)),"CUIT NO CARGADO")</f>
        <v>0</v>
      </c>
    </row>
    <row r="95" spans="4:12" ht="15.75" customHeight="1" x14ac:dyDescent="0.25">
      <c r="D95" s="10">
        <v>44866</v>
      </c>
      <c r="E95" s="12">
        <v>3</v>
      </c>
      <c r="F95" s="13">
        <v>645</v>
      </c>
      <c r="G95" s="14">
        <v>20086277523</v>
      </c>
      <c r="H95" s="46" t="str">
        <f>IFERROR(IF('Nov-22'!$G95="","-",VLOOKUP('Nov-22'!$G95,Lista_CUIT!$A$1:$D$1871,2,0)),"CUIT NO CARGADO")</f>
        <v>JUAN CARLOS BOTINDARI</v>
      </c>
      <c r="I95" s="49">
        <v>51900</v>
      </c>
      <c r="J95" s="47" t="str">
        <f>IFERROR(IF('Nov-22'!$G95="","-",VLOOKUP('Nov-22'!$G95,Lista_CUIT!$A$1:$D$1871,3,0)),"CUIT NO CARGADO")</f>
        <v>HONORARIOS</v>
      </c>
      <c r="K95" s="47">
        <f>IFERROR(IF('Nov-22'!$G95="","-",VLOOKUP('Nov-22'!$G95,Lista_CUIT!$A$1:$D$1871,4,0)),"CUIT NO CARGADO")</f>
        <v>0</v>
      </c>
    </row>
    <row r="96" spans="4:12" ht="15.75" customHeight="1" x14ac:dyDescent="0.25">
      <c r="D96" s="10">
        <v>44867</v>
      </c>
      <c r="E96" s="12">
        <v>2</v>
      </c>
      <c r="F96" s="13">
        <v>113</v>
      </c>
      <c r="G96" s="14">
        <v>27397607602</v>
      </c>
      <c r="H96" s="46" t="str">
        <f>IFERROR(IF('Nov-22'!$G96="","-",VLOOKUP('Nov-22'!$G96,Lista_CUIT!$A$1:$D$1871,2,0)),"CUIT NO CARGADO")</f>
        <v>RIOS ALDANA SOFIA</v>
      </c>
      <c r="I96" s="49">
        <v>23199</v>
      </c>
      <c r="J96" s="47" t="str">
        <f>IFERROR(IF('Nov-22'!$G96="","-",VLOOKUP('Nov-22'!$G96,Lista_CUIT!$A$1:$D$1871,3,0)),"CUIT NO CARGADO")</f>
        <v>Honorarios Profesionales</v>
      </c>
      <c r="K96" s="47">
        <f>IFERROR(IF('Nov-22'!$G96="","-",VLOOKUP('Nov-22'!$G96,Lista_CUIT!$A$1:$D$1871,4,0)),"CUIT NO CARGADO")</f>
        <v>0</v>
      </c>
    </row>
    <row r="97" spans="2:18" ht="15.75" customHeight="1" x14ac:dyDescent="0.25">
      <c r="D97" s="10">
        <v>44867</v>
      </c>
      <c r="E97" s="12">
        <v>2</v>
      </c>
      <c r="F97" s="13">
        <v>112</v>
      </c>
      <c r="G97" s="14">
        <v>27397607602</v>
      </c>
      <c r="H97" s="46" t="str">
        <f>IFERROR(IF('Nov-22'!$G97="","-",VLOOKUP('Nov-22'!$G97,Lista_CUIT!$A$1:$D$1871,2,0)),"CUIT NO CARGADO")</f>
        <v>RIOS ALDANA SOFIA</v>
      </c>
      <c r="I97" s="49">
        <v>45000</v>
      </c>
      <c r="J97" s="47" t="str">
        <f>IFERROR(IF('Nov-22'!$G97="","-",VLOOKUP('Nov-22'!$G97,Lista_CUIT!$A$1:$D$1871,3,0)),"CUIT NO CARGADO")</f>
        <v>Honorarios Profesionales</v>
      </c>
      <c r="K97" s="47">
        <f>IFERROR(IF('Nov-22'!$G97="","-",VLOOKUP('Nov-22'!$G97,Lista_CUIT!$A$1:$D$1871,4,0)),"CUIT NO CARGADO")</f>
        <v>0</v>
      </c>
    </row>
    <row r="98" spans="2:18" ht="15.75" customHeight="1" x14ac:dyDescent="0.25">
      <c r="D98" s="10">
        <v>44868</v>
      </c>
      <c r="E98" s="12">
        <v>1</v>
      </c>
      <c r="F98" s="13">
        <v>12</v>
      </c>
      <c r="G98" s="14">
        <v>20417805878</v>
      </c>
      <c r="H98" s="46" t="str">
        <f>IFERROR(IF('Nov-22'!$G98="","-",VLOOKUP('Nov-22'!$G98,Lista_CUIT!$A$1:$D$1871,2,0)),"CUIT NO CARGADO")</f>
        <v>FERABOLI OSPAL SANTIAGO HERNAN</v>
      </c>
      <c r="I98" s="49">
        <v>102570</v>
      </c>
      <c r="J98" s="47" t="str">
        <f>IFERROR(IF('Nov-22'!$G98="","-",VLOOKUP('Nov-22'!$G98,Lista_CUIT!$A$1:$D$1871,3,0)),"CUIT NO CARGADO")</f>
        <v>Control medidores masicos</v>
      </c>
      <c r="K98" s="47">
        <f>IFERROR(IF('Nov-22'!$G98="","-",VLOOKUP('Nov-22'!$G98,Lista_CUIT!$A$1:$D$1871,4,0)),"CUIT NO CARGADO")</f>
        <v>0</v>
      </c>
    </row>
    <row r="99" spans="2:18" ht="15.75" customHeight="1" x14ac:dyDescent="0.25">
      <c r="D99" s="10">
        <v>44868</v>
      </c>
      <c r="E99" s="12">
        <v>3</v>
      </c>
      <c r="F99" s="13">
        <v>35</v>
      </c>
      <c r="G99" s="14">
        <v>20403931420</v>
      </c>
      <c r="H99" s="46" t="str">
        <f>IFERROR(IF('Nov-22'!$G99="","-",VLOOKUP('Nov-22'!$G99,Lista_CUIT!$A$1:$D$1871,2,0)),"CUIT NO CARGADO")</f>
        <v>FIORENTINO JORGE IGNACIO</v>
      </c>
      <c r="I99" s="49">
        <v>117410</v>
      </c>
      <c r="J99" s="47" t="str">
        <f>IFERROR(IF('Nov-22'!$G99="","-",VLOOKUP('Nov-22'!$G99,Lista_CUIT!$A$1:$D$1871,3,0)),"CUIT NO CARGADO")</f>
        <v>Honorarios Administrativos-Cobranzas y Gestion Clientes</v>
      </c>
      <c r="K99" s="47">
        <f>IFERROR(IF('Nov-22'!$G99="","-",VLOOKUP('Nov-22'!$G99,Lista_CUIT!$A$1:$D$1871,4,0)),"CUIT NO CARGADO")</f>
        <v>0</v>
      </c>
    </row>
    <row r="100" spans="2:18" ht="15.75" customHeight="1" x14ac:dyDescent="0.25">
      <c r="D100" s="10">
        <v>44869</v>
      </c>
      <c r="E100" s="12">
        <v>2</v>
      </c>
      <c r="F100" s="13">
        <v>77</v>
      </c>
      <c r="G100" s="14">
        <v>20244271740</v>
      </c>
      <c r="H100" s="46" t="str">
        <f>IFERROR(IF('Nov-22'!$G100="","-",VLOOKUP('Nov-22'!$G100,Lista_CUIT!$A$1:$D$1871,2,0)),"CUIT NO CARGADO")</f>
        <v xml:space="preserve">KENNEL SEBASTIAN </v>
      </c>
      <c r="I100" s="49">
        <v>198400</v>
      </c>
      <c r="J100" s="47" t="str">
        <f>IFERROR(IF('Nov-22'!$G100="","-",VLOOKUP('Nov-22'!$G100,Lista_CUIT!$A$1:$D$1871,3,0)),"CUIT NO CARGADO")</f>
        <v>SOFTWARE MANTENIMIENTO</v>
      </c>
      <c r="K100" s="47">
        <f>IFERROR(IF('Nov-22'!$G100="","-",VLOOKUP('Nov-22'!$G100,Lista_CUIT!$A$1:$D$1871,4,0)),"CUIT NO CARGADO")</f>
        <v>0</v>
      </c>
    </row>
    <row r="101" spans="2:18" ht="15.75" customHeight="1" x14ac:dyDescent="0.25">
      <c r="D101" s="10">
        <v>44872</v>
      </c>
      <c r="E101" s="12">
        <v>2</v>
      </c>
      <c r="F101" s="13">
        <v>16</v>
      </c>
      <c r="G101" s="14">
        <v>23326777269</v>
      </c>
      <c r="H101" s="46" t="str">
        <f>IFERROR(IF('Nov-22'!$G101="","-",VLOOKUP('Nov-22'!$G101,Lista_CUIT!$A$1:$D$1871,2,0)),"CUIT NO CARGADO")</f>
        <v>DE BONIS IGNACIO LUIS</v>
      </c>
      <c r="I101" s="49">
        <v>120220</v>
      </c>
      <c r="J101" s="47" t="str">
        <f>IFERROR(IF('Nov-22'!$G101="","-",VLOOKUP('Nov-22'!$G101,Lista_CUIT!$A$1:$D$1871,3,0)),"CUIT NO CARGADO")</f>
        <v>Control medidores masicos</v>
      </c>
      <c r="K101" s="47">
        <f>IFERROR(IF('Nov-22'!$G101="","-",VLOOKUP('Nov-22'!$G101,Lista_CUIT!$A$1:$D$1871,4,0)),"CUIT NO CARGADO")</f>
        <v>0</v>
      </c>
    </row>
    <row r="102" spans="2:18" ht="15.75" customHeight="1" x14ac:dyDescent="0.25">
      <c r="D102" s="10">
        <v>44880</v>
      </c>
      <c r="E102" s="12">
        <v>2</v>
      </c>
      <c r="F102" s="13">
        <v>94</v>
      </c>
      <c r="G102" s="14">
        <v>27125997835</v>
      </c>
      <c r="H102" s="46" t="str">
        <f>IFERROR(IF('Nov-22'!$G102="","-",VLOOKUP('Nov-22'!$G102,Lista_CUIT!$A$1:$D$1871,2,0)),"CUIT NO CARGADO")</f>
        <v>DANSKY ULLMANN VIVIANA EVA YOLANDA</v>
      </c>
      <c r="I102" s="49">
        <v>50000</v>
      </c>
      <c r="J102" s="47" t="str">
        <f>IFERROR(IF('Nov-22'!$G102="","-",VLOOKUP('Nov-22'!$G102,Lista_CUIT!$A$1:$D$1871,3,0)),"CUIT NO CARGADO")</f>
        <v>Honorarios Legales</v>
      </c>
      <c r="K102" s="47">
        <f>IFERROR(IF('Nov-22'!$G102="","-",VLOOKUP('Nov-22'!$G102,Lista_CUIT!$A$1:$D$1871,4,0)),"CUIT NO CARGADO")</f>
        <v>0</v>
      </c>
    </row>
    <row r="103" spans="2:18" ht="15.75" customHeight="1" x14ac:dyDescent="0.25">
      <c r="D103" s="10">
        <v>44872</v>
      </c>
      <c r="E103" s="12">
        <v>410</v>
      </c>
      <c r="F103" s="179">
        <v>476072</v>
      </c>
      <c r="G103" s="14">
        <v>30638485733</v>
      </c>
      <c r="H103" s="46" t="str">
        <f>IFERROR(IF('Nov-22'!$G103="","-",VLOOKUP('Nov-22'!$G103,Lista_CUIT!$A$1:$D$1871,2,0)),"CUIT NO CARGADO")</f>
        <v>DABRA SOCIEDAD ANONIMA</v>
      </c>
      <c r="I103" s="49">
        <v>19799</v>
      </c>
      <c r="J103" s="47" t="str">
        <f>IFERROR(IF('Nov-22'!$G103="","-",VLOOKUP('Nov-22'!$G103,Lista_CUIT!$A$1:$D$1871,3,0)),"CUIT NO CARGADO")</f>
        <v>INSUMO</v>
      </c>
      <c r="K103" s="47">
        <f>IFERROR(IF('Nov-22'!$G103="","-",VLOOKUP('Nov-22'!$G103,Lista_CUIT!$A$1:$D$1871,4,0)),"CUIT NO CARGADO")</f>
        <v>0</v>
      </c>
    </row>
    <row r="104" spans="2:18" ht="15.75" customHeight="1" x14ac:dyDescent="0.25">
      <c r="D104" s="10">
        <v>44872</v>
      </c>
      <c r="E104" s="12">
        <v>345</v>
      </c>
      <c r="F104" s="179">
        <v>292965</v>
      </c>
      <c r="G104" s="14">
        <v>30525558246</v>
      </c>
      <c r="H104" s="46" t="str">
        <f>IFERROR(IF('Nov-22'!$G104="","-",VLOOKUP('Nov-22'!$G104,Lista_CUIT!$A$1:$D$1871,2,0)),"CUIT NO CARGADO")</f>
        <v>ANTONIO LUQUIN S A C I F E I</v>
      </c>
      <c r="I104" s="49">
        <v>19999</v>
      </c>
      <c r="J104" s="47" t="str">
        <f>IFERROR(IF('Nov-22'!$G104="","-",VLOOKUP('Nov-22'!$G104,Lista_CUIT!$A$1:$D$1871,3,0)),"CUIT NO CARGADO")</f>
        <v>mantenimiento</v>
      </c>
      <c r="K104" s="47">
        <f>IFERROR(IF('Nov-22'!$G104="","-",VLOOKUP('Nov-22'!$G104,Lista_CUIT!$A$1:$D$1871,4,0)),"CUIT NO CARGADO")</f>
        <v>0</v>
      </c>
    </row>
    <row r="105" spans="2:18" ht="15.75" customHeight="1" x14ac:dyDescent="0.25">
      <c r="D105" s="10">
        <v>44873</v>
      </c>
      <c r="E105" s="12">
        <v>18</v>
      </c>
      <c r="F105" s="179">
        <v>341537</v>
      </c>
      <c r="G105" s="14">
        <v>33709180849</v>
      </c>
      <c r="H105" s="46" t="str">
        <f>IFERROR(IF('Nov-22'!$G105="","-",VLOOKUP('Nov-22'!$G105,Lista_CUIT!$A$1:$D$1871,2,0)),"CUIT NO CARGADO")</f>
        <v>PILISAR SOCIEDAD ANONIMA</v>
      </c>
      <c r="I105" s="49">
        <v>20999</v>
      </c>
      <c r="J105" s="47" t="str">
        <f>IFERROR(IF('Nov-22'!$G105="","-",VLOOKUP('Nov-22'!$G105,Lista_CUIT!$A$1:$D$1871,3,0)),"CUIT NO CARGADO")</f>
        <v>MANTENIMIENTO</v>
      </c>
      <c r="K105" s="47">
        <f>IFERROR(IF('Nov-22'!$G105="","-",VLOOKUP('Nov-22'!$G105,Lista_CUIT!$A$1:$D$1871,4,0)),"CUIT NO CARGADO")</f>
        <v>0</v>
      </c>
    </row>
    <row r="106" spans="2:18" ht="15.75" customHeight="1" x14ac:dyDescent="0.25">
      <c r="D106" s="10">
        <v>44874</v>
      </c>
      <c r="E106" s="12">
        <v>87</v>
      </c>
      <c r="F106" s="179">
        <v>113242</v>
      </c>
      <c r="G106" s="14">
        <v>30529057594</v>
      </c>
      <c r="H106" s="46" t="str">
        <f>IFERROR(IF('Nov-22'!$G106="","-",VLOOKUP('Nov-22'!$G106,Lista_CUIT!$A$1:$D$1871,2,0)),"CUIT NO CARGADO")</f>
        <v>MATEU SPORTS SOCIEDAD ANONIMA</v>
      </c>
      <c r="I106" s="42">
        <v>20989</v>
      </c>
      <c r="J106" s="47" t="str">
        <f>IFERROR(IF('Nov-22'!$G106="","-",VLOOKUP('Nov-22'!$G106,Lista_CUIT!$A$1:$D$1871,3,0)),"CUIT NO CARGADO")</f>
        <v>MANTENIMIENTO</v>
      </c>
      <c r="K106" s="47">
        <f>IFERROR(IF('Nov-22'!$G106="","-",VLOOKUP('Nov-22'!$G106,Lista_CUIT!$A$1:$D$1871,4,0)),"CUIT NO CARGADO")</f>
        <v>0</v>
      </c>
      <c r="L106" s="3" t="s">
        <v>1688</v>
      </c>
    </row>
    <row r="107" spans="2:18" ht="15.75" customHeight="1" x14ac:dyDescent="0.25">
      <c r="D107" s="10">
        <v>44876</v>
      </c>
      <c r="E107" s="12">
        <v>18</v>
      </c>
      <c r="F107" s="179">
        <v>13756</v>
      </c>
      <c r="G107" s="14">
        <v>33709180849</v>
      </c>
      <c r="H107" s="46" t="str">
        <f>IFERROR(IF('Nov-22'!$G107="","-",VLOOKUP('Nov-22'!$G107,Lista_CUIT!$A$1:$D$1871,2,0)),"CUIT NO CARGADO")</f>
        <v>PILISAR SOCIEDAD ANONIMA</v>
      </c>
      <c r="I107" s="42">
        <v>-20999</v>
      </c>
      <c r="J107" s="47" t="str">
        <f>IFERROR(IF('Nov-22'!$G107="","-",VLOOKUP('Nov-22'!$G107,Lista_CUIT!$A$1:$D$1871,3,0)),"CUIT NO CARGADO")</f>
        <v>MANTENIMIENTO</v>
      </c>
      <c r="K107" s="47">
        <f>IFERROR(IF('Nov-22'!$G107="","-",VLOOKUP('Nov-22'!$G107,Lista_CUIT!$A$1:$D$1871,4,0)),"CUIT NO CARGADO")</f>
        <v>0</v>
      </c>
    </row>
    <row r="108" spans="2:18" ht="15.75" customHeight="1" x14ac:dyDescent="0.25">
      <c r="D108" s="10">
        <v>44868</v>
      </c>
      <c r="E108" s="12">
        <v>4</v>
      </c>
      <c r="F108" s="13">
        <v>7</v>
      </c>
      <c r="G108" s="14">
        <v>20341462933</v>
      </c>
      <c r="H108" s="46" t="str">
        <f>IFERROR(IF('Nov-22'!$G108="","-",VLOOKUP('Nov-22'!$G108,Lista_CUIT!$A$1:$D$1871,2,0)),"CUIT NO CARGADO")</f>
        <v>CASTIGLIONI MATIAS EZEQUIEL</v>
      </c>
      <c r="I108" s="49">
        <v>195000</v>
      </c>
      <c r="J108" s="47" t="str">
        <f>IFERROR(IF('Nov-22'!$G108="","-",VLOOKUP('Nov-22'!$G108,Lista_CUIT!$A$1:$D$1871,3,0)),"CUIT NO CARGADO")</f>
        <v>MAT. PRIM.</v>
      </c>
      <c r="K108" s="47">
        <f>IFERROR(IF('Nov-22'!$G108="","-",VLOOKUP('Nov-22'!$G108,Lista_CUIT!$A$1:$D$1871,4,0)),"CUIT NO CARGADO")</f>
        <v>0</v>
      </c>
    </row>
    <row r="109" spans="2:18" ht="15.75" customHeight="1" x14ac:dyDescent="0.25">
      <c r="B109" s="50"/>
      <c r="C109" s="50"/>
      <c r="D109" s="24">
        <v>44866</v>
      </c>
      <c r="E109" s="26">
        <v>1</v>
      </c>
      <c r="F109" s="27">
        <v>10507</v>
      </c>
      <c r="G109" s="28">
        <v>30709917567</v>
      </c>
      <c r="H109" s="180" t="str">
        <f>IFERROR(IF('Nov-22'!$G109="","-",VLOOKUP('Nov-22'!$G109,Lista_CUIT!$A$1:$D$1871,2,0)),"CUIT NO CARGADO")</f>
        <v xml:space="preserve">CONSORCIO DE PROPIETARIOS </v>
      </c>
      <c r="I109" s="181"/>
      <c r="J109" s="182" t="str">
        <f>IFERROR(IF('Nov-22'!$G109="","-",VLOOKUP('Nov-22'!$G109,Lista_CUIT!$A$1:$D$1871,3,0)),"CUIT NO CARGADO")</f>
        <v>SERVICIOS GAS, LUZ, ETC</v>
      </c>
      <c r="K109" s="182">
        <f>IFERROR(IF('Nov-22'!$G109="","-",VLOOKUP('Nov-22'!$G109,Lista_CUIT!$A$1:$D$1871,4,0)),"CUIT NO CARGADO")</f>
        <v>0</v>
      </c>
      <c r="L109" s="50"/>
      <c r="M109" s="50"/>
      <c r="N109" s="50"/>
      <c r="O109" s="50"/>
      <c r="P109" s="50"/>
      <c r="Q109" s="50"/>
      <c r="R109" s="50"/>
    </row>
    <row r="110" spans="2:18" ht="15.75" customHeight="1" x14ac:dyDescent="0.25">
      <c r="D110" s="47" t="s">
        <v>1546</v>
      </c>
      <c r="E110" s="47"/>
      <c r="F110" s="47"/>
      <c r="G110" s="47"/>
      <c r="H110" s="48"/>
      <c r="I110" s="49">
        <f>SUBTOTAL(109,'Nov-22'!$I$86:$I$109)</f>
        <v>2055826</v>
      </c>
      <c r="J110" s="47"/>
      <c r="K110" s="47"/>
    </row>
    <row r="111" spans="2:18" ht="15.75" customHeight="1" x14ac:dyDescent="0.25"/>
    <row r="112" spans="2:18" ht="15.75" customHeight="1" x14ac:dyDescent="0.25"/>
    <row r="113" spans="2:13" ht="15.75" customHeight="1" x14ac:dyDescent="0.25"/>
    <row r="114" spans="2:13" ht="15.75" customHeight="1" x14ac:dyDescent="0.25">
      <c r="B114" s="366" t="s">
        <v>1563</v>
      </c>
      <c r="C114" s="351"/>
      <c r="D114" s="351"/>
      <c r="E114" s="351"/>
      <c r="F114" s="351"/>
      <c r="G114" s="351"/>
      <c r="H114" s="351"/>
      <c r="I114" s="351"/>
      <c r="J114" s="352"/>
      <c r="K114" s="367">
        <f>N1</f>
        <v>44866</v>
      </c>
      <c r="L114" s="351"/>
      <c r="M114" s="352"/>
    </row>
    <row r="115" spans="2:13" ht="15.75" customHeight="1" x14ac:dyDescent="0.25"/>
    <row r="116" spans="2:13" ht="15.75" customHeight="1" x14ac:dyDescent="0.25">
      <c r="B116" s="368" t="s">
        <v>1564</v>
      </c>
      <c r="C116" s="369"/>
      <c r="G116" s="183" t="s">
        <v>1689</v>
      </c>
    </row>
    <row r="117" spans="2:13" ht="15.75" customHeight="1" x14ac:dyDescent="0.25">
      <c r="B117" s="51" t="s">
        <v>1532</v>
      </c>
      <c r="C117" s="52" t="s">
        <v>1533</v>
      </c>
      <c r="D117" s="52" t="s">
        <v>1565</v>
      </c>
      <c r="E117" s="52" t="s">
        <v>1566</v>
      </c>
      <c r="F117" s="52" t="s">
        <v>0</v>
      </c>
      <c r="G117" s="52" t="s">
        <v>1</v>
      </c>
      <c r="H117" s="52" t="s">
        <v>1567</v>
      </c>
      <c r="I117" s="52" t="s">
        <v>1551</v>
      </c>
      <c r="J117" s="52" t="s">
        <v>1539</v>
      </c>
      <c r="K117" s="52" t="s">
        <v>1568</v>
      </c>
      <c r="L117" s="52" t="s">
        <v>1544</v>
      </c>
      <c r="M117" s="53" t="s">
        <v>1545</v>
      </c>
    </row>
    <row r="118" spans="2:13" ht="15.75" customHeight="1" x14ac:dyDescent="0.25">
      <c r="B118" s="184">
        <v>44866</v>
      </c>
      <c r="C118" s="185">
        <v>1</v>
      </c>
      <c r="D118" s="186">
        <v>3</v>
      </c>
      <c r="E118" s="187">
        <v>92</v>
      </c>
      <c r="F118" s="188">
        <v>30638318470</v>
      </c>
      <c r="G118" s="189" t="str">
        <f>IFERROR(IF('Nov-22'!$F118="","-",VLOOKUP('Nov-22'!$F118,Lista_CUIT!$A$1:$D$1871,2,0)),"CUIT NO CARGADO")</f>
        <v>DELTA COMPRESION S.R.L</v>
      </c>
      <c r="H118" s="190">
        <v>6161855.7000000002</v>
      </c>
      <c r="I118" s="191"/>
      <c r="J118" s="192">
        <v>659681.022</v>
      </c>
      <c r="K118" s="192"/>
      <c r="L118" s="192">
        <f>SUM('Nov-22'!$H118:$K118)</f>
        <v>6821536.7220000001</v>
      </c>
      <c r="M118" s="61"/>
    </row>
    <row r="119" spans="2:13" ht="15.75" customHeight="1" x14ac:dyDescent="0.25">
      <c r="B119" s="10">
        <v>44866</v>
      </c>
      <c r="C119" s="11">
        <v>1</v>
      </c>
      <c r="D119" s="12">
        <v>3</v>
      </c>
      <c r="E119" s="13">
        <v>93</v>
      </c>
      <c r="F119" s="14">
        <v>30638318470</v>
      </c>
      <c r="G119" s="193" t="str">
        <f>IFERROR(IF('Nov-22'!$F119="","-",VLOOKUP('Nov-22'!$F119,Lista_CUIT!$A$1:$D$1871,2,0)),"CUIT NO CARGADO")</f>
        <v>DELTA COMPRESION S.R.L</v>
      </c>
      <c r="H119" s="58">
        <v>1155067.8594</v>
      </c>
      <c r="I119" s="59">
        <v>242564.25047399997</v>
      </c>
      <c r="J119" s="60"/>
      <c r="K119" s="60"/>
      <c r="L119" s="60">
        <f>SUM('Nov-22'!$H119:$K119)</f>
        <v>1397632.1098739998</v>
      </c>
      <c r="M119" s="61"/>
    </row>
    <row r="120" spans="2:13" ht="15.75" customHeight="1" x14ac:dyDescent="0.25">
      <c r="B120" s="10">
        <v>44873</v>
      </c>
      <c r="C120" s="11">
        <v>1</v>
      </c>
      <c r="D120" s="12">
        <v>3</v>
      </c>
      <c r="E120" s="13">
        <v>94</v>
      </c>
      <c r="F120" s="14">
        <v>30628274327</v>
      </c>
      <c r="G120" s="193" t="str">
        <f>IFERROR(IF('Nov-22'!$F120="","-",VLOOKUP('Nov-22'!$F120,Lista_CUIT!$A$1:$D$1871,2,0)),"CUIT NO CARGADO")</f>
        <v>AGIRA SA</v>
      </c>
      <c r="H120" s="58">
        <v>4274303.4000000004</v>
      </c>
      <c r="I120" s="59"/>
      <c r="J120" s="60">
        <v>448801.85700000002</v>
      </c>
      <c r="K120" s="60"/>
      <c r="L120" s="60">
        <f>SUM('Nov-22'!$H120:$K120)</f>
        <v>4723105.2570000002</v>
      </c>
      <c r="M120" s="61"/>
    </row>
    <row r="121" spans="2:13" ht="15.75" customHeight="1" x14ac:dyDescent="0.25">
      <c r="B121" s="10">
        <v>44881</v>
      </c>
      <c r="C121" s="11">
        <v>1</v>
      </c>
      <c r="D121" s="12">
        <v>3</v>
      </c>
      <c r="E121" s="13">
        <v>95</v>
      </c>
      <c r="F121" s="14">
        <v>33717088269</v>
      </c>
      <c r="G121" s="193" t="str">
        <f>IFERROR(IF('Nov-22'!$F121="","-",VLOOKUP('Nov-22'!$F121,Lista_CUIT!$A$1:$D$1871,2,0)),"CUIT NO CARGADO")</f>
        <v>NEXT SERVICE GNC S.R.L.</v>
      </c>
      <c r="H121" s="58">
        <v>661449.6</v>
      </c>
      <c r="I121" s="59">
        <v>138904.416</v>
      </c>
      <c r="J121" s="60"/>
      <c r="K121" s="60"/>
      <c r="L121" s="60">
        <f>SUM('Nov-22'!$H121:$K121)</f>
        <v>800354.01599999995</v>
      </c>
      <c r="M121" s="61"/>
    </row>
    <row r="122" spans="2:13" ht="15.75" customHeight="1" x14ac:dyDescent="0.25">
      <c r="B122" s="10">
        <v>44887</v>
      </c>
      <c r="C122" s="11">
        <v>1</v>
      </c>
      <c r="D122" s="12">
        <v>3</v>
      </c>
      <c r="E122" s="13">
        <v>96</v>
      </c>
      <c r="F122" s="14">
        <v>30711569843</v>
      </c>
      <c r="G122" s="193" t="str">
        <f>IFERROR(IF('Nov-22'!$F122="","-",VLOOKUP('Nov-22'!$F122,Lista_CUIT!$A$1:$D$1871,2,0)),"CUIT NO CARGADO")</f>
        <v>ELECTRO IND SRL</v>
      </c>
      <c r="H122" s="58">
        <v>81590</v>
      </c>
      <c r="I122" s="59">
        <v>17133.899999999998</v>
      </c>
      <c r="J122" s="60"/>
      <c r="K122" s="60"/>
      <c r="L122" s="60">
        <f>SUM('Nov-22'!$H122:$K122)</f>
        <v>98723.9</v>
      </c>
      <c r="M122" s="61"/>
    </row>
    <row r="123" spans="2:13" ht="15.75" customHeight="1" x14ac:dyDescent="0.25">
      <c r="B123" s="10">
        <v>44887</v>
      </c>
      <c r="C123" s="11">
        <v>1</v>
      </c>
      <c r="D123" s="12">
        <v>3</v>
      </c>
      <c r="E123" s="13">
        <v>97</v>
      </c>
      <c r="F123" s="14">
        <v>30638318470</v>
      </c>
      <c r="G123" s="193" t="str">
        <f>IFERROR(IF('Nov-22'!$F123="","-",VLOOKUP('Nov-22'!$F123,Lista_CUIT!$A$1:$D$1871,2,0)),"CUIT NO CARGADO")</f>
        <v>DELTA COMPRESION S.R.L</v>
      </c>
      <c r="H123" s="58">
        <v>169217.66</v>
      </c>
      <c r="I123" s="59">
        <v>35535.708599999998</v>
      </c>
      <c r="J123" s="60"/>
      <c r="K123" s="60"/>
      <c r="L123" s="60">
        <f>SUM('Nov-22'!$H123:$K123)</f>
        <v>204753.36859999999</v>
      </c>
      <c r="M123" s="61"/>
    </row>
    <row r="124" spans="2:13" ht="15.75" customHeight="1" x14ac:dyDescent="0.25">
      <c r="B124" s="184">
        <v>44887</v>
      </c>
      <c r="C124" s="185">
        <v>1</v>
      </c>
      <c r="D124" s="186">
        <v>3</v>
      </c>
      <c r="E124" s="187">
        <v>98</v>
      </c>
      <c r="F124" s="188">
        <v>30638318470</v>
      </c>
      <c r="G124" s="189" t="str">
        <f>IFERROR(IF('Nov-22'!$F124="","-",VLOOKUP('Nov-22'!$F124,Lista_CUIT!$A$1:$D$1871,2,0)),"CUIT NO CARGADO")</f>
        <v>DELTA COMPRESION S.R.L</v>
      </c>
      <c r="H124" s="190">
        <v>2313947.8812000002</v>
      </c>
      <c r="I124" s="191"/>
      <c r="J124" s="192">
        <v>321454.80920000002</v>
      </c>
      <c r="K124" s="192"/>
      <c r="L124" s="192">
        <f>SUM('Nov-22'!$H124:$K124)</f>
        <v>2635402.6904000002</v>
      </c>
      <c r="M124" s="62"/>
    </row>
    <row r="125" spans="2:13" ht="15.75" customHeight="1" x14ac:dyDescent="0.25">
      <c r="B125" s="63">
        <v>44895</v>
      </c>
      <c r="C125" s="64">
        <v>3</v>
      </c>
      <c r="D125" s="65">
        <v>3</v>
      </c>
      <c r="E125" s="66">
        <v>14</v>
      </c>
      <c r="F125" s="67">
        <v>30628274327</v>
      </c>
      <c r="G125" s="193" t="str">
        <f>IFERROR(IF('Nov-22'!$F125="","-",VLOOKUP('Nov-22'!$F125,Lista_CUIT!$A$1:$D$1871,2,0)),"CUIT NO CARGADO")</f>
        <v>AGIRA SA</v>
      </c>
      <c r="H125" s="68">
        <v>-4274303.4000000004</v>
      </c>
      <c r="I125" s="69"/>
      <c r="J125" s="70">
        <v>-448801.85700000002</v>
      </c>
      <c r="K125" s="70"/>
      <c r="L125" s="70">
        <f>SUM('Nov-22'!$H125:$K125)</f>
        <v>-4723105.2570000002</v>
      </c>
      <c r="M125" s="62"/>
    </row>
    <row r="126" spans="2:13" ht="15.75" customHeight="1" x14ac:dyDescent="0.25">
      <c r="B126" s="71"/>
      <c r="C126" s="72"/>
      <c r="D126" s="73"/>
      <c r="E126" s="74"/>
      <c r="F126" s="75"/>
      <c r="G126" s="57" t="str">
        <f>IFERROR(IF('Nov-22'!$F126="","-",VLOOKUP('Nov-22'!$F126,Lista_CUIT!$A$1:$D$1871,2,0)),"CUIT NO CARGADO")</f>
        <v>-</v>
      </c>
      <c r="H126" s="58"/>
      <c r="I126" s="59">
        <f>'Nov-22'!$H126*0.21</f>
        <v>0</v>
      </c>
      <c r="J126" s="60"/>
      <c r="K126" s="60"/>
      <c r="L126" s="60">
        <f>SUM('Nov-22'!$H126:$K126)</f>
        <v>0</v>
      </c>
      <c r="M126" s="61"/>
    </row>
    <row r="127" spans="2:13" ht="15.75" customHeight="1" x14ac:dyDescent="0.25">
      <c r="B127" s="76" t="s">
        <v>1546</v>
      </c>
      <c r="C127" s="77"/>
      <c r="D127" s="77"/>
      <c r="E127" s="77"/>
      <c r="F127" s="77"/>
      <c r="G127" s="77"/>
      <c r="H127" s="78">
        <f>SUBTOTAL(109,'Nov-22'!$H$118:$H$126)</f>
        <v>10543128.7006</v>
      </c>
      <c r="I127" s="79">
        <f>SUBTOTAL(109,'Nov-22'!$I$118:$I$126)</f>
        <v>434138.275074</v>
      </c>
      <c r="J127" s="70">
        <f>SUBTOTAL(109,'Nov-22'!$J$118:$J$126)</f>
        <v>981135.8311999999</v>
      </c>
      <c r="K127" s="70">
        <f>SUBTOTAL(109,'Nov-22'!$K$118:$K$126)</f>
        <v>0</v>
      </c>
      <c r="L127" s="70">
        <f>SUBTOTAL(109,'Nov-22'!$L$118:$L$126)</f>
        <v>11958402.806874003</v>
      </c>
      <c r="M127" s="80">
        <f>SUBTOTAL(103,'Nov-22'!$M$118:$M$126)</f>
        <v>0</v>
      </c>
    </row>
    <row r="128" spans="2:13" ht="15.75" customHeight="1" x14ac:dyDescent="0.25"/>
    <row r="129" spans="2:13" ht="15.75" customHeight="1" x14ac:dyDescent="0.25"/>
    <row r="130" spans="2:13" ht="15.75" customHeight="1" x14ac:dyDescent="0.25">
      <c r="B130" s="368" t="s">
        <v>1569</v>
      </c>
      <c r="C130" s="369"/>
    </row>
    <row r="131" spans="2:13" ht="15.75" customHeight="1" x14ac:dyDescent="0.25">
      <c r="B131" s="51" t="s">
        <v>1532</v>
      </c>
      <c r="C131" s="52" t="s">
        <v>1533</v>
      </c>
      <c r="D131" s="52" t="s">
        <v>1565</v>
      </c>
      <c r="E131" s="52" t="s">
        <v>1566</v>
      </c>
      <c r="F131" s="52" t="s">
        <v>0</v>
      </c>
      <c r="G131" s="52" t="s">
        <v>1</v>
      </c>
      <c r="H131" s="52" t="s">
        <v>1567</v>
      </c>
      <c r="I131" s="52" t="s">
        <v>1551</v>
      </c>
      <c r="J131" s="52" t="s">
        <v>1539</v>
      </c>
      <c r="K131" s="52" t="s">
        <v>1568</v>
      </c>
      <c r="L131" s="52" t="s">
        <v>1544</v>
      </c>
      <c r="M131" s="53" t="s">
        <v>1545</v>
      </c>
    </row>
    <row r="132" spans="2:13" ht="15.75" customHeight="1" x14ac:dyDescent="0.25">
      <c r="B132" s="10"/>
      <c r="C132" s="11"/>
      <c r="D132" s="12"/>
      <c r="E132" s="13"/>
      <c r="F132" s="14"/>
      <c r="G132" s="81" t="str">
        <f>IFERROR(IF('Nov-22'!$F132="","-",VLOOKUP('Nov-22'!$F132,Lista_CUIT!$A$1:$D$1871,2,0)),"CUIT NO CARGADO")</f>
        <v>-</v>
      </c>
      <c r="H132" s="82"/>
      <c r="I132" s="82"/>
      <c r="J132" s="82"/>
      <c r="K132" s="82"/>
      <c r="L132" s="82">
        <f>SUM('Nov-22'!$H132:$K132)</f>
        <v>0</v>
      </c>
      <c r="M132" s="61"/>
    </row>
    <row r="133" spans="2:13" ht="15.75" customHeight="1" x14ac:dyDescent="0.25">
      <c r="B133" s="10"/>
      <c r="C133" s="11"/>
      <c r="D133" s="12"/>
      <c r="E133" s="13"/>
      <c r="F133" s="14"/>
      <c r="G133" s="81"/>
      <c r="H133" s="82"/>
      <c r="I133" s="82"/>
      <c r="J133" s="82"/>
      <c r="K133" s="82"/>
      <c r="L133" s="82">
        <f>SUM('Nov-22'!$H133:$K133)</f>
        <v>0</v>
      </c>
      <c r="M133" s="61"/>
    </row>
    <row r="134" spans="2:13" ht="15.75" customHeight="1" x14ac:dyDescent="0.25">
      <c r="B134" s="10"/>
      <c r="C134" s="11"/>
      <c r="D134" s="12"/>
      <c r="E134" s="13"/>
      <c r="F134" s="14"/>
      <c r="G134" s="81"/>
      <c r="H134" s="82"/>
      <c r="I134" s="82"/>
      <c r="J134" s="82"/>
      <c r="K134" s="82"/>
      <c r="L134" s="82">
        <f>SUM('Nov-22'!$H134:$K134)</f>
        <v>0</v>
      </c>
      <c r="M134" s="61"/>
    </row>
    <row r="135" spans="2:13" ht="15.75" customHeight="1" x14ac:dyDescent="0.25">
      <c r="B135" s="10"/>
      <c r="C135" s="11"/>
      <c r="D135" s="12"/>
      <c r="E135" s="13"/>
      <c r="F135" s="14"/>
      <c r="G135" s="81"/>
      <c r="H135" s="82"/>
      <c r="I135" s="82"/>
      <c r="J135" s="82"/>
      <c r="K135" s="82"/>
      <c r="L135" s="82">
        <f>SUM('Nov-22'!$H135:$K135)</f>
        <v>0</v>
      </c>
      <c r="M135" s="61"/>
    </row>
    <row r="136" spans="2:13" ht="15.75" customHeight="1" x14ac:dyDescent="0.25">
      <c r="B136" s="10"/>
      <c r="C136" s="11"/>
      <c r="D136" s="12"/>
      <c r="E136" s="13"/>
      <c r="F136" s="14"/>
      <c r="G136" s="81"/>
      <c r="H136" s="82"/>
      <c r="I136" s="82"/>
      <c r="J136" s="82"/>
      <c r="K136" s="82"/>
      <c r="L136" s="82">
        <f>SUM('Nov-22'!$H136:$K136)</f>
        <v>0</v>
      </c>
      <c r="M136" s="61"/>
    </row>
    <row r="137" spans="2:13" ht="15.75" customHeight="1" x14ac:dyDescent="0.25">
      <c r="B137" s="10"/>
      <c r="C137" s="11"/>
      <c r="D137" s="12"/>
      <c r="E137" s="13"/>
      <c r="F137" s="14"/>
      <c r="G137" s="81"/>
      <c r="H137" s="82"/>
      <c r="I137" s="82"/>
      <c r="J137" s="82"/>
      <c r="K137" s="82"/>
      <c r="L137" s="82">
        <f>SUM('Nov-22'!$H137:$K137)</f>
        <v>0</v>
      </c>
      <c r="M137" s="61"/>
    </row>
    <row r="138" spans="2:13" ht="15.75" customHeight="1" x14ac:dyDescent="0.25">
      <c r="B138" s="76" t="s">
        <v>1546</v>
      </c>
      <c r="C138" s="77"/>
      <c r="D138" s="77"/>
      <c r="E138" s="77"/>
      <c r="F138" s="77"/>
      <c r="G138" s="77"/>
      <c r="H138" s="83">
        <f>SUBTOTAL(109,'Nov-22'!$H$132:$H$137)</f>
        <v>0</v>
      </c>
      <c r="I138" s="83">
        <f>SUBTOTAL(109,'Nov-22'!$I$132:$I$137)</f>
        <v>0</v>
      </c>
      <c r="J138" s="84">
        <f>SUBTOTAL(109,'Nov-22'!$J$132:$J$137)</f>
        <v>0</v>
      </c>
      <c r="K138" s="84">
        <f>SUBTOTAL(109,'Nov-22'!$K$132:$K$137)</f>
        <v>0</v>
      </c>
      <c r="L138" s="84">
        <f>SUBTOTAL(109,'Nov-22'!$L$132:$L$137)</f>
        <v>0</v>
      </c>
      <c r="M138" s="80">
        <f>SUBTOTAL(103,'Nov-22'!$M$132:$M$137)</f>
        <v>0</v>
      </c>
    </row>
    <row r="139" spans="2:13" ht="21" customHeight="1" x14ac:dyDescent="0.25"/>
    <row r="140" spans="2:13" ht="15.75" customHeight="1" x14ac:dyDescent="0.25">
      <c r="B140" s="372" t="s">
        <v>1644</v>
      </c>
      <c r="C140" s="351"/>
      <c r="D140" s="352"/>
    </row>
    <row r="141" spans="2:13" ht="15.75" customHeight="1" x14ac:dyDescent="0.25">
      <c r="B141" s="51" t="s">
        <v>1532</v>
      </c>
      <c r="C141" s="52" t="s">
        <v>1565</v>
      </c>
      <c r="D141" s="52" t="s">
        <v>1566</v>
      </c>
      <c r="E141" s="52" t="s">
        <v>1645</v>
      </c>
      <c r="F141" s="52" t="s">
        <v>1</v>
      </c>
      <c r="G141" s="52" t="s">
        <v>1646</v>
      </c>
      <c r="H141" s="52" t="s">
        <v>1574</v>
      </c>
      <c r="I141" s="52" t="s">
        <v>1647</v>
      </c>
      <c r="J141" s="52" t="s">
        <v>1648</v>
      </c>
    </row>
    <row r="142" spans="2:13" ht="15.75" customHeight="1" x14ac:dyDescent="0.25">
      <c r="B142" s="10">
        <v>44872</v>
      </c>
      <c r="C142" s="12">
        <v>30</v>
      </c>
      <c r="D142" s="13">
        <v>52</v>
      </c>
      <c r="E142" s="14"/>
      <c r="F142" s="158" t="s">
        <v>1264</v>
      </c>
      <c r="G142" s="82">
        <v>1000</v>
      </c>
      <c r="H142" s="82">
        <v>158.28</v>
      </c>
      <c r="I142" s="82">
        <f>'Nov-22'!$G142*'Nov-22'!$H142</f>
        <v>158280</v>
      </c>
      <c r="J142" s="111" t="s">
        <v>1572</v>
      </c>
    </row>
    <row r="143" spans="2:13" ht="15.75" customHeight="1" x14ac:dyDescent="0.25">
      <c r="B143" s="10">
        <v>44872</v>
      </c>
      <c r="C143" s="12">
        <v>30</v>
      </c>
      <c r="D143" s="13">
        <v>53</v>
      </c>
      <c r="E143" s="14">
        <v>55000002223</v>
      </c>
      <c r="F143" s="158" t="s">
        <v>1690</v>
      </c>
      <c r="G143" s="82">
        <v>2255</v>
      </c>
      <c r="H143" s="82">
        <v>158.28</v>
      </c>
      <c r="I143" s="82">
        <f>'Nov-22'!$G143*'Nov-22'!$H143</f>
        <v>356921.4</v>
      </c>
      <c r="J143" s="111" t="s">
        <v>1572</v>
      </c>
    </row>
    <row r="144" spans="2:13" ht="15.75" customHeight="1" x14ac:dyDescent="0.25">
      <c r="B144" s="10">
        <v>44875</v>
      </c>
      <c r="C144" s="12">
        <v>30</v>
      </c>
      <c r="D144" s="13">
        <v>54</v>
      </c>
      <c r="E144" s="14">
        <v>55000000050</v>
      </c>
      <c r="F144" s="158" t="s">
        <v>1691</v>
      </c>
      <c r="G144" s="82">
        <v>6091.13</v>
      </c>
      <c r="H144" s="82">
        <v>160.02000000000001</v>
      </c>
      <c r="I144" s="82">
        <f>'Nov-22'!$G144*'Nov-22'!$H144</f>
        <v>974702.62260000012</v>
      </c>
      <c r="J144" s="111" t="s">
        <v>1572</v>
      </c>
    </row>
    <row r="145" spans="2:12" ht="15.75" customHeight="1" x14ac:dyDescent="0.25">
      <c r="B145" s="10">
        <v>44875</v>
      </c>
      <c r="C145" s="12">
        <v>30</v>
      </c>
      <c r="D145" s="13">
        <v>55</v>
      </c>
      <c r="E145" s="14">
        <v>55000000050</v>
      </c>
      <c r="F145" s="158" t="s">
        <v>1691</v>
      </c>
      <c r="G145" s="82">
        <v>6091.13</v>
      </c>
      <c r="H145" s="82">
        <v>161.78</v>
      </c>
      <c r="I145" s="82">
        <f>'Nov-22'!$G145*'Nov-22'!$H145</f>
        <v>985423.01140000008</v>
      </c>
      <c r="J145" s="111" t="s">
        <v>1572</v>
      </c>
    </row>
    <row r="146" spans="2:12" ht="15.75" customHeight="1" x14ac:dyDescent="0.25">
      <c r="B146" s="10">
        <v>44880</v>
      </c>
      <c r="C146" s="12">
        <v>30</v>
      </c>
      <c r="D146" s="13">
        <v>14</v>
      </c>
      <c r="E146" s="14">
        <v>55000000050</v>
      </c>
      <c r="F146" s="158" t="s">
        <v>1691</v>
      </c>
      <c r="G146" s="82">
        <v>-6091.13</v>
      </c>
      <c r="H146" s="82">
        <v>161.78</v>
      </c>
      <c r="I146" s="82">
        <f>'Nov-22'!$G146*'Nov-22'!$H146</f>
        <v>-985423.01140000008</v>
      </c>
      <c r="J146" s="111" t="s">
        <v>1572</v>
      </c>
    </row>
    <row r="147" spans="2:12" ht="15.75" customHeight="1" x14ac:dyDescent="0.25">
      <c r="B147" s="10"/>
      <c r="C147" s="12"/>
      <c r="D147" s="13"/>
      <c r="E147" s="14"/>
      <c r="F147" s="81"/>
      <c r="G147" s="82"/>
      <c r="H147" s="82"/>
      <c r="I147" s="82">
        <f>'Nov-22'!$G147*'Nov-22'!$H147</f>
        <v>0</v>
      </c>
      <c r="J147" s="82"/>
    </row>
    <row r="148" spans="2:12" ht="15.75" customHeight="1" x14ac:dyDescent="0.25">
      <c r="B148" s="76" t="s">
        <v>1546</v>
      </c>
      <c r="C148" s="77"/>
      <c r="D148" s="77"/>
      <c r="E148" s="77"/>
      <c r="F148" s="77"/>
      <c r="G148" s="83">
        <f>SUBTOTAL(109,'Nov-22'!$G$142:$G$147)</f>
        <v>9346.130000000001</v>
      </c>
      <c r="H148" s="83">
        <f>SUBTOTAL(109,'Nov-22'!$H$142:$H$147)</f>
        <v>800.14</v>
      </c>
      <c r="I148" s="84">
        <f>SUBTOTAL(109,'Nov-22'!$I$142:$I$147)</f>
        <v>1489904.0226000003</v>
      </c>
      <c r="J148" s="84">
        <f>SUBTOTAL(109,'Nov-22'!$J$142:$J$147)</f>
        <v>0</v>
      </c>
    </row>
    <row r="149" spans="2:12" ht="15.75" customHeight="1" x14ac:dyDescent="0.25"/>
    <row r="150" spans="2:12" ht="15.75" customHeight="1" x14ac:dyDescent="0.25"/>
    <row r="151" spans="2:12" ht="15.75" customHeight="1" x14ac:dyDescent="0.25"/>
    <row r="152" spans="2:12" ht="15.75" customHeight="1" x14ac:dyDescent="0.25">
      <c r="C152" s="361" t="s">
        <v>1575</v>
      </c>
      <c r="D152" s="362"/>
      <c r="E152" s="362"/>
      <c r="F152" s="362"/>
      <c r="G152" s="363"/>
      <c r="H152" s="89"/>
      <c r="I152" s="89"/>
      <c r="J152" s="89"/>
    </row>
    <row r="153" spans="2:12" ht="15.75" customHeight="1" x14ac:dyDescent="0.25">
      <c r="C153" s="90" t="s">
        <v>1576</v>
      </c>
      <c r="D153" s="91" t="s">
        <v>1577</v>
      </c>
      <c r="E153" s="91" t="s">
        <v>1578</v>
      </c>
      <c r="F153" s="91" t="s">
        <v>0</v>
      </c>
      <c r="G153" s="91" t="s">
        <v>1</v>
      </c>
      <c r="H153" s="92" t="s">
        <v>1579</v>
      </c>
      <c r="I153" s="92" t="s">
        <v>1580</v>
      </c>
      <c r="J153" s="92" t="s">
        <v>1581</v>
      </c>
      <c r="K153" s="92" t="s">
        <v>1582</v>
      </c>
      <c r="L153" s="92" t="s">
        <v>1583</v>
      </c>
    </row>
    <row r="154" spans="2:12" ht="15.75" customHeight="1" x14ac:dyDescent="0.25">
      <c r="C154" s="54"/>
      <c r="D154" s="93"/>
      <c r="E154" s="93"/>
      <c r="F154" s="56"/>
      <c r="G154" s="46" t="str">
        <f>IFERROR(IF('Nov-22'!$F154="","-",VLOOKUP('Nov-22'!$F154,Lista_CUIT!$A$1:$D$1871,2,0)),"CUIT NO CARGADO")</f>
        <v>-</v>
      </c>
      <c r="H154" s="94"/>
      <c r="I154" s="94"/>
      <c r="J154" s="94"/>
      <c r="K154" s="94"/>
      <c r="L154" s="94"/>
    </row>
    <row r="155" spans="2:12" ht="15.75" customHeight="1" x14ac:dyDescent="0.25">
      <c r="C155" s="54"/>
      <c r="D155" s="93"/>
      <c r="E155" s="93"/>
      <c r="F155" s="56"/>
      <c r="G155" s="46" t="str">
        <f>IFERROR(IF('Nov-22'!$F155="","-",VLOOKUP('Nov-22'!$F155,Lista_CUIT!$A$1:$D$1871,2,0)),"CUIT NO CARGADO")</f>
        <v>-</v>
      </c>
      <c r="H155" s="94"/>
      <c r="I155" s="94"/>
      <c r="J155" s="94"/>
      <c r="K155" s="94"/>
      <c r="L155" s="94"/>
    </row>
    <row r="156" spans="2:12" ht="15.75" customHeight="1" x14ac:dyDescent="0.25">
      <c r="C156" s="54"/>
      <c r="D156" s="93"/>
      <c r="E156" s="93"/>
      <c r="F156" s="56"/>
      <c r="G156" s="46" t="str">
        <f>IFERROR(IF('Nov-22'!$F156="","-",VLOOKUP('Nov-22'!$F156,Lista_CUIT!$A$1:$D$1871,2,0)),"CUIT NO CARGADO")</f>
        <v>-</v>
      </c>
      <c r="H156" s="94"/>
      <c r="I156" s="94"/>
      <c r="J156" s="94"/>
      <c r="K156" s="94"/>
      <c r="L156" s="94"/>
    </row>
    <row r="157" spans="2:12" ht="15.75" customHeight="1" x14ac:dyDescent="0.25">
      <c r="C157" s="54"/>
      <c r="D157" s="93"/>
      <c r="E157" s="93"/>
      <c r="F157" s="56"/>
      <c r="G157" s="46" t="str">
        <f>IFERROR(IF('Nov-22'!$F157="","-",VLOOKUP('Nov-22'!$F157,Lista_CUIT!$A$1:$D$1871,2,0)),"CUIT NO CARGADO")</f>
        <v>-</v>
      </c>
      <c r="H157" s="94"/>
      <c r="I157" s="94"/>
      <c r="J157" s="94"/>
      <c r="K157" s="94"/>
      <c r="L157" s="94"/>
    </row>
    <row r="158" spans="2:12" ht="15.75" customHeight="1" x14ac:dyDescent="0.25">
      <c r="C158" s="3"/>
      <c r="D158" s="93"/>
      <c r="E158" s="93"/>
      <c r="F158" s="3"/>
      <c r="G158" s="46" t="str">
        <f>IFERROR(IF('Nov-22'!$F158="","-",VLOOKUP('Nov-22'!$F158,Lista_CUIT!$A$1:$D$1871,2,0)),"CUIT NO CARGADO")</f>
        <v>-</v>
      </c>
      <c r="H158" s="3"/>
      <c r="I158" s="3"/>
      <c r="J158" s="3"/>
      <c r="K158" s="3"/>
      <c r="L158" s="3"/>
    </row>
    <row r="159" spans="2:12" ht="15.75" customHeight="1" x14ac:dyDescent="0.25">
      <c r="C159" s="95"/>
    </row>
    <row r="160" spans="2:12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P4:R4"/>
    <mergeCell ref="D68:L68"/>
    <mergeCell ref="B140:D140"/>
    <mergeCell ref="C152:G152"/>
    <mergeCell ref="B3:E3"/>
    <mergeCell ref="B4:E4"/>
    <mergeCell ref="G4:H4"/>
    <mergeCell ref="D84:K84"/>
    <mergeCell ref="B114:J114"/>
    <mergeCell ref="K114:M114"/>
    <mergeCell ref="B116:C116"/>
    <mergeCell ref="B130:C130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5">
    <dataValidation type="custom" allowBlank="1" showErrorMessage="1" sqref="K47" xr:uid="{00000000-0002-0000-0800-000000000000}">
      <formula1>IF($B47=3,K47&lt;0,K47&gt;=0)</formula1>
    </dataValidation>
    <dataValidation type="custom" allowBlank="1" showErrorMessage="1" sqref="L123:L124" xr:uid="{00000000-0002-0000-0800-000001000000}">
      <formula1>IF($C63=3,L63&lt;0,L63&gt;=0)</formula1>
    </dataValidation>
    <dataValidation type="custom" allowBlank="1" showErrorMessage="1" sqref="H132:L137" xr:uid="{00000000-0002-0000-0800-000002000000}">
      <formula1>IF($C132=8,H132&lt;0,H132&gt;=0)</formula1>
    </dataValidation>
    <dataValidation type="decimal" allowBlank="1" showErrorMessage="1" sqref="E9:E62 F86:F109 E118:E126 E132:E137 D142:D147" xr:uid="{00000000-0002-0000-0800-000003000000}">
      <formula1>1</formula1>
      <formula2>99999999</formula2>
    </dataValidation>
    <dataValidation type="custom" allowBlank="1" showInputMessage="1" showErrorMessage="1" prompt="1-FA_x000a_2-ND_x000a_3-NC" sqref="C9:C62" xr:uid="{00000000-0002-0000-0800-000004000000}">
      <formula1>OR(C9=1,C9=3,C9=99,C9=2,C9=52,C9=51,C9=53)</formula1>
    </dataValidation>
    <dataValidation type="custom" allowBlank="1" showErrorMessage="1" sqref="L120:L122" xr:uid="{00000000-0002-0000-0800-000005000000}">
      <formula1>IF($C13=3,L13&lt;0,L13&gt;=0)</formula1>
    </dataValidation>
    <dataValidation type="decimal" allowBlank="1" showErrorMessage="1" sqref="C64:C67 C118:C126" xr:uid="{00000000-0002-0000-0800-000006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6 H47:J47 L47:O47 H48:O61 H62:N62" xr:uid="{00000000-0002-0000-0800-000007000000}">
      <formula1>IF($C9=3,H9&lt;0,H9&gt;=0)</formula1>
    </dataValidation>
    <dataValidation type="custom" allowBlank="1" showErrorMessage="1" sqref="H118:K118 H120:K120 H122:K122 H124:K124" xr:uid="{00000000-0002-0000-0800-000008000000}">
      <formula1>IF($C118=3,H118&lt;0,H118&gt;=0)</formula1>
    </dataValidation>
    <dataValidation type="decimal" allowBlank="1" showErrorMessage="1" sqref="C132:C137" xr:uid="{00000000-0002-0000-0800-000009000000}">
      <formula1>6</formula1>
      <formula2>8</formula2>
    </dataValidation>
    <dataValidation type="decimal" allowBlank="1" showErrorMessage="1" sqref="F9:F62 G86:G109 F118:F126 F132:F137 E142:E147" xr:uid="{00000000-0002-0000-0800-00000A000000}">
      <formula1>20000000000</formula1>
      <formula2>33999999999</formula2>
    </dataValidation>
    <dataValidation type="decimal" allowBlank="1" showErrorMessage="1" sqref="D9:D62 E86:E109 D118:D126 D132:D137 C142:C147" xr:uid="{00000000-0002-0000-0800-00000B000000}">
      <formula1>1</formula1>
      <formula2>9999</formula2>
    </dataValidation>
    <dataValidation type="date" allowBlank="1" showErrorMessage="1" sqref="B64:B67 D81 D86:D109 B118:B126 B132:B137 B142:B147" xr:uid="{00000000-0002-0000-0800-00000C000000}">
      <formula1>40179</formula1>
      <formula2>TODAY()</formula2>
    </dataValidation>
    <dataValidation type="date" operator="lessThan" allowBlank="1" showErrorMessage="1" sqref="B9:B62" xr:uid="{00000000-0002-0000-0800-00000D000000}">
      <formula1>$Q$1+1</formula1>
    </dataValidation>
    <dataValidation type="custom" allowBlank="1" showErrorMessage="1" sqref="L118:L119" xr:uid="{00000000-0002-0000-0800-00000E000000}">
      <formula1>IF($C9=3,L9&lt;0,L9&gt;=0)</formula1>
    </dataValidation>
  </dataValidations>
  <pageMargins left="0.7" right="0.7" top="0.75" bottom="0.75" header="0" footer="0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DE9D9"/>
  </sheetPr>
  <dimension ref="A1:Z1000"/>
  <sheetViews>
    <sheetView showGridLines="0" topLeftCell="I1" zoomScale="80" zoomScaleNormal="80" workbookViewId="0">
      <selection activeCell="K102" sqref="K102"/>
    </sheetView>
  </sheetViews>
  <sheetFormatPr baseColWidth="10" defaultColWidth="14.42578125" defaultRowHeight="15" customHeight="1" x14ac:dyDescent="0.25"/>
  <cols>
    <col min="1" max="1" width="1.7109375" customWidth="1"/>
    <col min="2" max="2" width="10.85546875" customWidth="1"/>
    <col min="3" max="3" width="13" customWidth="1"/>
    <col min="4" max="4" width="13.28515625" customWidth="1"/>
    <col min="5" max="5" width="19.28515625" customWidth="1"/>
    <col min="6" max="6" width="17.7109375" customWidth="1"/>
    <col min="7" max="7" width="24" customWidth="1"/>
    <col min="8" max="8" width="15" customWidth="1"/>
    <col min="9" max="9" width="13.28515625" customWidth="1"/>
    <col min="10" max="10" width="14.85546875" customWidth="1"/>
    <col min="11" max="11" width="15.7109375" customWidth="1"/>
    <col min="12" max="12" width="13" bestFit="1" customWidth="1"/>
    <col min="13" max="13" width="9.5703125" customWidth="1"/>
    <col min="14" max="14" width="11" customWidth="1"/>
    <col min="15" max="15" width="13" customWidth="1"/>
    <col min="16" max="16" width="19.140625" customWidth="1"/>
    <col min="17" max="17" width="13.85546875" style="324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EDATE('Abr-22'!N1,8)</f>
        <v>44896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SUM('Dic-22'!$H$46)+'Dic-22'!$G$57</f>
        <v>4003688.7699999996</v>
      </c>
      <c r="C4" s="351"/>
      <c r="D4" s="351"/>
      <c r="E4" s="352"/>
      <c r="F4" s="8"/>
      <c r="G4" s="365">
        <f>'Dic-22'!$I$46+'Dic-22'!$J$46+'Dic-22'!$K$46+'Dic-22'!$H$57+'Dic-22'!$I$57</f>
        <v>693672.16839999985</v>
      </c>
      <c r="H4" s="352"/>
      <c r="I4" s="8"/>
      <c r="J4" s="370">
        <f>'Dic-22'!$H$96+'Dic-22'!$H$107</f>
        <v>6076002.0000000009</v>
      </c>
      <c r="K4" s="352"/>
      <c r="L4" s="8"/>
      <c r="M4" s="370">
        <f>'Dic-22'!$I$96+'Dic-22'!$J$96+'Dic-22'!$I$107+'Dic-22'!$J$107</f>
        <v>805784.36399999994</v>
      </c>
      <c r="N4" s="352"/>
      <c r="O4" s="8"/>
      <c r="P4" s="358">
        <f>G4-M4</f>
        <v>-112112.19560000009</v>
      </c>
      <c r="Q4" s="351"/>
      <c r="R4" s="352"/>
    </row>
    <row r="5" spans="1:19" ht="12.75" customHeight="1" x14ac:dyDescent="0.25"/>
    <row r="6" spans="1:19" ht="11.25" customHeight="1" x14ac:dyDescent="0.25"/>
    <row r="7" spans="1:19" ht="25.5" customHeight="1" x14ac:dyDescent="0.25">
      <c r="A7" s="9"/>
      <c r="B7" s="10"/>
      <c r="C7" s="11"/>
      <c r="D7" s="12"/>
      <c r="E7" s="13"/>
      <c r="F7" s="14"/>
      <c r="G7" s="194"/>
      <c r="H7" s="16"/>
      <c r="I7" s="17"/>
      <c r="J7" s="17"/>
      <c r="K7" s="17"/>
      <c r="L7" s="17"/>
      <c r="M7" s="17"/>
      <c r="N7" s="17"/>
      <c r="O7" s="17"/>
      <c r="P7" s="153" t="s">
        <v>1692</v>
      </c>
      <c r="Q7" s="15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325" t="s">
        <v>2</v>
      </c>
      <c r="R8" s="22" t="s">
        <v>1545</v>
      </c>
    </row>
    <row r="9" spans="1:19" ht="21" customHeight="1" x14ac:dyDescent="0.25">
      <c r="B9" s="10">
        <v>44914</v>
      </c>
      <c r="C9" s="11">
        <v>1</v>
      </c>
      <c r="D9" s="12">
        <v>3</v>
      </c>
      <c r="E9" s="13">
        <v>28</v>
      </c>
      <c r="F9" s="14">
        <v>20297899830</v>
      </c>
      <c r="G9" s="15" t="str">
        <f>IFERROR(IF('Dic-22'!$F9="","-",VLOOKUP('Dic-22'!$F9,Lista_CUIT!$A$1:$D$1871,2,0)),"CUIT NO CARGADO")</f>
        <v>FUNK MATIAS NICOLAS</v>
      </c>
      <c r="H9" s="16">
        <v>511191.99999999994</v>
      </c>
      <c r="I9" s="23">
        <f>IF('Dic-22'!$H9="","",'Dic-22'!$H9*0.21)</f>
        <v>107350.31999999998</v>
      </c>
      <c r="J9" s="23"/>
      <c r="K9" s="23"/>
      <c r="L9" s="23"/>
      <c r="M9" s="23"/>
      <c r="N9" s="23"/>
      <c r="O9" s="23"/>
      <c r="P9" s="20">
        <f>SUM('Dic-22'!$H9:$O9)</f>
        <v>618542.31999999995</v>
      </c>
      <c r="Q9" s="15" t="str">
        <f>IFERROR(IF('Dic-22'!$F9="","-",VLOOKUP('Dic-22'!$F9,Lista_CUIT!$A$1:$D$1871,3,0)),"CUIT NO CARGADO")</f>
        <v>Servicios Torneria</v>
      </c>
      <c r="R9" s="21">
        <f>IFERROR(IF('Dic-22'!$F9="","-",VLOOKUP('Dic-22'!$F9,Lista_CUIT!$A$1:$D$1871,4,0)),"CUIT NO CARGADO")</f>
        <v>0</v>
      </c>
    </row>
    <row r="10" spans="1:19" ht="21" customHeight="1" x14ac:dyDescent="0.25">
      <c r="B10" s="10">
        <v>44921</v>
      </c>
      <c r="C10" s="11">
        <v>1</v>
      </c>
      <c r="D10" s="12">
        <v>2</v>
      </c>
      <c r="E10" s="13">
        <v>155</v>
      </c>
      <c r="F10" s="14">
        <v>20125142851</v>
      </c>
      <c r="G10" s="15" t="str">
        <f>IFERROR(IF('Dic-22'!$F10="","-",VLOOKUP('Dic-22'!$F10,Lista_CUIT!$A$1:$D$1871,2,0)),"CUIT NO CARGADO")</f>
        <v>FEDERICI NICOLAS JOSE</v>
      </c>
      <c r="H10" s="16">
        <v>114071.22</v>
      </c>
      <c r="I10" s="23">
        <f>IF('Dic-22'!$H10="","",'Dic-22'!$H10*0.21)</f>
        <v>23954.956200000001</v>
      </c>
      <c r="J10" s="23"/>
      <c r="K10" s="23"/>
      <c r="L10" s="23"/>
      <c r="M10" s="23"/>
      <c r="N10" s="23"/>
      <c r="O10" s="23"/>
      <c r="P10" s="20">
        <f>SUM('Dic-22'!$H10:$O10)</f>
        <v>138026.17619999999</v>
      </c>
      <c r="Q10" s="15" t="str">
        <f>IFERROR(IF('Dic-22'!$F10="","-",VLOOKUP('Dic-22'!$F10,Lista_CUIT!$A$1:$D$1871,3,0)),"CUIT NO CARGADO")</f>
        <v>INSUMO</v>
      </c>
      <c r="R10" s="21">
        <f>IFERROR(IF('Dic-22'!$F10="","-",VLOOKUP('Dic-22'!$F10,Lista_CUIT!$A$1:$D$1871,4,0)),"CUIT NO CARGADO")</f>
        <v>0</v>
      </c>
    </row>
    <row r="11" spans="1:19" ht="21" customHeight="1" x14ac:dyDescent="0.25">
      <c r="B11" s="10">
        <v>44921</v>
      </c>
      <c r="C11" s="11">
        <v>1</v>
      </c>
      <c r="D11" s="12">
        <v>2</v>
      </c>
      <c r="E11" s="13">
        <v>156</v>
      </c>
      <c r="F11" s="14">
        <v>20125142851</v>
      </c>
      <c r="G11" s="15" t="str">
        <f>IFERROR(IF('Dic-22'!$F11="","-",VLOOKUP('Dic-22'!$F11,Lista_CUIT!$A$1:$D$1871,2,0)),"CUIT NO CARGADO")</f>
        <v>FEDERICI NICOLAS JOSE</v>
      </c>
      <c r="H11" s="16">
        <v>129277.44</v>
      </c>
      <c r="I11" s="23">
        <f>IF('Dic-22'!$H11="","",'Dic-22'!$H11*0.21)</f>
        <v>27148.2624</v>
      </c>
      <c r="J11" s="23"/>
      <c r="K11" s="23"/>
      <c r="L11" s="23"/>
      <c r="M11" s="23"/>
      <c r="N11" s="23"/>
      <c r="O11" s="23"/>
      <c r="P11" s="20">
        <f>SUM('Dic-22'!$H11:$O11)</f>
        <v>156425.70240000001</v>
      </c>
      <c r="Q11" s="15" t="str">
        <f>IFERROR(IF('Dic-22'!$F11="","-",VLOOKUP('Dic-22'!$F11,Lista_CUIT!$A$1:$D$1871,3,0)),"CUIT NO CARGADO")</f>
        <v>INSUMO</v>
      </c>
      <c r="R11" s="21">
        <f>IFERROR(IF('Dic-22'!$F11="","-",VLOOKUP('Dic-22'!$F11,Lista_CUIT!$A$1:$D$1871,4,0)),"CUIT NO CARGADO")</f>
        <v>0</v>
      </c>
    </row>
    <row r="12" spans="1:19" ht="21" customHeight="1" x14ac:dyDescent="0.25">
      <c r="B12" s="10">
        <v>44907</v>
      </c>
      <c r="C12" s="11">
        <v>1</v>
      </c>
      <c r="D12" s="12">
        <v>3</v>
      </c>
      <c r="E12" s="13">
        <v>276</v>
      </c>
      <c r="F12" s="14">
        <v>30717078760</v>
      </c>
      <c r="G12" s="15" t="str">
        <f>IFERROR(IF('Dic-22'!$F12="","-",VLOOKUP('Dic-22'!$F12,Lista_CUIT!$A$1:$D$1871,2,0)),"CUIT NO CARGADO")</f>
        <v>RMAC SOCIEDAD ANONIMA</v>
      </c>
      <c r="H12" s="16">
        <v>76032.23</v>
      </c>
      <c r="I12" s="23">
        <f>IF('Dic-22'!$H12="","",'Dic-22'!$H12*0.21)</f>
        <v>15966.768299999998</v>
      </c>
      <c r="J12" s="23"/>
      <c r="K12" s="23"/>
      <c r="L12" s="23"/>
      <c r="M12" s="23"/>
      <c r="N12" s="23"/>
      <c r="O12" s="23"/>
      <c r="P12" s="20">
        <f>SUM('Dic-22'!$H12:$O12)</f>
        <v>91998.998299999992</v>
      </c>
      <c r="Q12" s="15" t="str">
        <f>IFERROR(IF('Dic-22'!$F12="","-",VLOOKUP('Dic-22'!$F12,Lista_CUIT!$A$1:$D$1871,3,0)),"CUIT NO CARGADO")</f>
        <v>INSUMO</v>
      </c>
      <c r="R12" s="21">
        <f>IFERROR(IF('Dic-22'!$F12="","-",VLOOKUP('Dic-22'!$F12,Lista_CUIT!$A$1:$D$1871,4,0)),"CUIT NO CARGADO")</f>
        <v>0</v>
      </c>
    </row>
    <row r="13" spans="1:19" ht="21" customHeight="1" x14ac:dyDescent="0.25">
      <c r="B13" s="10">
        <v>44902</v>
      </c>
      <c r="C13" s="11">
        <v>1</v>
      </c>
      <c r="D13" s="12">
        <v>6</v>
      </c>
      <c r="E13" s="13">
        <v>317</v>
      </c>
      <c r="F13" s="14">
        <v>30707158952</v>
      </c>
      <c r="G13" s="15" t="str">
        <f>IFERROR(IF('Dic-22'!$F13="","-",VLOOKUP('Dic-22'!$F13,Lista_CUIT!$A$1:$D$1871,2,0)),"CUIT NO CARGADO")</f>
        <v>INTERBAT SRL</v>
      </c>
      <c r="H13" s="16">
        <v>27190.080000000002</v>
      </c>
      <c r="I13" s="23">
        <f>IF('Dic-22'!$H13="","",'Dic-22'!$H13*0.21)</f>
        <v>5709.9168</v>
      </c>
      <c r="J13" s="23"/>
      <c r="K13" s="23"/>
      <c r="L13" s="23"/>
      <c r="M13" s="23"/>
      <c r="N13" s="23"/>
      <c r="O13" s="23"/>
      <c r="P13" s="20">
        <f>SUM('Dic-22'!$H13:$O13)</f>
        <v>32899.996800000001</v>
      </c>
      <c r="Q13" s="15" t="str">
        <f>IFERROR(IF('Dic-22'!$F13="","-",VLOOKUP('Dic-22'!$F13,Lista_CUIT!$A$1:$D$1871,3,0)),"CUIT NO CARGADO")</f>
        <v>INSUMO</v>
      </c>
      <c r="R13" s="21">
        <f>IFERROR(IF('Dic-22'!$F13="","-",VLOOKUP('Dic-22'!$F13,Lista_CUIT!$A$1:$D$1871,4,0)),"CUIT NO CARGADO")</f>
        <v>0</v>
      </c>
    </row>
    <row r="14" spans="1:19" ht="21" customHeight="1" x14ac:dyDescent="0.25">
      <c r="B14" s="10">
        <v>44908</v>
      </c>
      <c r="C14" s="11">
        <v>1</v>
      </c>
      <c r="D14" s="12">
        <v>11</v>
      </c>
      <c r="E14" s="13">
        <v>458</v>
      </c>
      <c r="F14" s="14">
        <v>20226753355</v>
      </c>
      <c r="G14" s="15" t="str">
        <f>IFERROR(IF('Dic-22'!$F14="","-",VLOOKUP('Dic-22'!$F14,Lista_CUIT!$A$1:$D$1871,2,0)),"CUIT NO CARGADO")</f>
        <v>TREJO MARTIN DANIEL</v>
      </c>
      <c r="H14" s="16">
        <v>12231.4</v>
      </c>
      <c r="I14" s="23">
        <f>IF('Dic-22'!$H14="","",'Dic-22'!$H14*0.21)</f>
        <v>2568.5940000000001</v>
      </c>
      <c r="J14" s="23"/>
      <c r="K14" s="23"/>
      <c r="L14" s="23"/>
      <c r="M14" s="23"/>
      <c r="N14" s="23"/>
      <c r="O14" s="23"/>
      <c r="P14" s="20">
        <f>SUM('Dic-22'!$H14:$O14)</f>
        <v>14799.993999999999</v>
      </c>
      <c r="Q14" s="15" t="str">
        <f>IFERROR(IF('Dic-22'!$F14="","-",VLOOKUP('Dic-22'!$F14,Lista_CUIT!$A$1:$D$1871,3,0)),"CUIT NO CARGADO")</f>
        <v>INSUMO</v>
      </c>
      <c r="R14" s="21">
        <f>IFERROR(IF('Dic-22'!$F14="","-",VLOOKUP('Dic-22'!$F14,Lista_CUIT!$A$1:$D$1871,4,0)),"CUIT NO CARGADO")</f>
        <v>0</v>
      </c>
    </row>
    <row r="15" spans="1:19" ht="21" customHeight="1" x14ac:dyDescent="0.25">
      <c r="B15" s="10">
        <v>44917</v>
      </c>
      <c r="C15" s="11">
        <v>1</v>
      </c>
      <c r="D15" s="12">
        <v>1</v>
      </c>
      <c r="E15" s="13">
        <v>542</v>
      </c>
      <c r="F15" s="14">
        <v>30715048066</v>
      </c>
      <c r="G15" s="15" t="str">
        <f>IFERROR(IF('Dic-22'!$F15="","-",VLOOKUP('Dic-22'!$F15,Lista_CUIT!$A$1:$D$1871,2,0)),"CUIT NO CARGADO")</f>
        <v>ROLLS Y EMPANADAS SA</v>
      </c>
      <c r="H15" s="16">
        <v>108955</v>
      </c>
      <c r="I15" s="23">
        <f>IF('Dic-22'!$H15="","",'Dic-22'!$H15*0.21)</f>
        <v>22880.55</v>
      </c>
      <c r="J15" s="23"/>
      <c r="K15" s="23"/>
      <c r="L15" s="23"/>
      <c r="M15" s="23"/>
      <c r="N15" s="23"/>
      <c r="O15" s="23"/>
      <c r="P15" s="20">
        <f>SUM('Dic-22'!$H15:$O15)</f>
        <v>131835.54999999999</v>
      </c>
      <c r="Q15" s="15" t="str">
        <f>IFERROR(IF('Dic-22'!$F15="","-",VLOOKUP('Dic-22'!$F15,Lista_CUIT!$A$1:$D$1871,3,0)),"CUIT NO CARGADO")</f>
        <v>CATERING</v>
      </c>
      <c r="R15" s="21">
        <f>IFERROR(IF('Dic-22'!$F15="","-",VLOOKUP('Dic-22'!$F15,Lista_CUIT!$A$1:$D$1871,4,0)),"CUIT NO CARGADO")</f>
        <v>0</v>
      </c>
    </row>
    <row r="16" spans="1:19" ht="21" customHeight="1" x14ac:dyDescent="0.25">
      <c r="B16" s="10">
        <v>44921</v>
      </c>
      <c r="C16" s="11">
        <v>1</v>
      </c>
      <c r="D16" s="12">
        <v>2</v>
      </c>
      <c r="E16" s="13">
        <v>577</v>
      </c>
      <c r="F16" s="14">
        <v>20296550184</v>
      </c>
      <c r="G16" s="15" t="str">
        <f>IFERROR(IF('Dic-22'!$F16="","-",VLOOKUP('Dic-22'!$F16,Lista_CUIT!$A$1:$D$1871,2,0)),"CUIT NO CARGADO")</f>
        <v>COSTA DIEGO ALEJANDRO</v>
      </c>
      <c r="H16" s="16">
        <v>120000</v>
      </c>
      <c r="I16" s="23">
        <f>IF('Dic-22'!$H16="","",'Dic-22'!$H16*0.21)</f>
        <v>25200</v>
      </c>
      <c r="J16" s="23"/>
      <c r="K16" s="23"/>
      <c r="L16" s="23"/>
      <c r="M16" s="23"/>
      <c r="N16" s="23"/>
      <c r="O16" s="23"/>
      <c r="P16" s="20">
        <f>SUM('Dic-22'!$H16:$O16)</f>
        <v>145200</v>
      </c>
      <c r="Q16" s="15" t="str">
        <f>IFERROR(IF('Dic-22'!$F16="","-",VLOOKUP('Dic-22'!$F16,Lista_CUIT!$A$1:$D$1871,3,0)),"CUIT NO CARGADO")</f>
        <v>MAT. PRIM.</v>
      </c>
      <c r="R16" s="21">
        <f>IFERROR(IF('Dic-22'!$F16="","-",VLOOKUP('Dic-22'!$F16,Lista_CUIT!$A$1:$D$1871,4,0)),"CUIT NO CARGADO")</f>
        <v>0</v>
      </c>
    </row>
    <row r="17" spans="2:18" ht="18" customHeight="1" x14ac:dyDescent="0.25">
      <c r="B17" s="10">
        <v>44896</v>
      </c>
      <c r="C17" s="11">
        <v>1</v>
      </c>
      <c r="D17" s="12">
        <v>3</v>
      </c>
      <c r="E17" s="13">
        <v>596</v>
      </c>
      <c r="F17" s="14">
        <v>30715402765</v>
      </c>
      <c r="G17" s="15" t="str">
        <f>IFERROR(IF('Dic-22'!$F17="","-",VLOOKUP('Dic-22'!$F17,Lista_CUIT!$A$1:$D$1871,2,0)),"CUIT NO CARGADO")</f>
        <v>RIO 265 SRL</v>
      </c>
      <c r="H17" s="16">
        <v>9173.5499999999993</v>
      </c>
      <c r="I17" s="23">
        <f>IF('Dic-22'!$H17="","",'Dic-22'!$H17*0.21)</f>
        <v>1926.4454999999998</v>
      </c>
      <c r="J17" s="23"/>
      <c r="K17" s="23"/>
      <c r="L17" s="23"/>
      <c r="M17" s="23"/>
      <c r="N17" s="23"/>
      <c r="O17" s="23"/>
      <c r="P17" s="20">
        <f>SUM('Dic-22'!$H17:$O17)</f>
        <v>11099.995499999999</v>
      </c>
      <c r="Q17" s="15" t="str">
        <f>IFERROR(IF('Dic-22'!$F17="","-",VLOOKUP('Dic-22'!$F17,Lista_CUIT!$A$1:$D$1871,3,0)),"CUIT NO CARGADO")</f>
        <v>GTOS VARIOS-ESTACIONAMIENTO HORACIO</v>
      </c>
      <c r="R17" s="21">
        <f>IFERROR(IF('Dic-22'!$F17="","-",VLOOKUP('Dic-22'!$F17,Lista_CUIT!$A$1:$D$1871,4,0)),"CUIT NO CARGADO")</f>
        <v>0</v>
      </c>
    </row>
    <row r="18" spans="2:18" ht="18" customHeight="1" x14ac:dyDescent="0.25">
      <c r="B18" s="10">
        <v>44900</v>
      </c>
      <c r="C18" s="11">
        <v>1</v>
      </c>
      <c r="D18" s="12">
        <v>801</v>
      </c>
      <c r="E18" s="13">
        <v>933</v>
      </c>
      <c r="F18" s="14">
        <v>30655186693</v>
      </c>
      <c r="G18" s="15" t="str">
        <f>IFERROR(IF('Dic-22'!$F18="","-",VLOOKUP('Dic-22'!$F18,Lista_CUIT!$A$1:$D$1871,2,0)),"CUIT NO CARGADO")</f>
        <v>BOSAN SA</v>
      </c>
      <c r="H18" s="16">
        <v>233056.2</v>
      </c>
      <c r="I18" s="23">
        <f>IF('Dic-22'!$H18="","",'Dic-22'!$H18*0.21)</f>
        <v>48941.802000000003</v>
      </c>
      <c r="J18" s="23"/>
      <c r="K18" s="23"/>
      <c r="L18" s="23"/>
      <c r="M18" s="23"/>
      <c r="N18" s="23"/>
      <c r="O18" s="23"/>
      <c r="P18" s="20">
        <f>SUM('Dic-22'!$H18:$O18)</f>
        <v>281998.00200000004</v>
      </c>
      <c r="Q18" s="15" t="str">
        <f>IFERROR(IF('Dic-22'!$F18="","-",VLOOKUP('Dic-22'!$F18,Lista_CUIT!$A$1:$D$1871,3,0)),"CUIT NO CARGADO")</f>
        <v>INSUMO</v>
      </c>
      <c r="R18" s="21">
        <f>IFERROR(IF('Dic-22'!$F18="","-",VLOOKUP('Dic-22'!$F18,Lista_CUIT!$A$1:$D$1871,4,0)),"CUIT NO CARGADO")</f>
        <v>0</v>
      </c>
    </row>
    <row r="19" spans="2:18" ht="18" customHeight="1" x14ac:dyDescent="0.25">
      <c r="B19" s="10">
        <v>44914</v>
      </c>
      <c r="C19" s="11">
        <v>1</v>
      </c>
      <c r="D19" s="12">
        <v>2</v>
      </c>
      <c r="E19" s="13">
        <v>993</v>
      </c>
      <c r="F19" s="14">
        <v>30573843440</v>
      </c>
      <c r="G19" s="15" t="str">
        <f>IFERROR(IF('Dic-22'!$F19="","-",VLOOKUP('Dic-22'!$F19,Lista_CUIT!$A$1:$D$1871,2,0)),"CUIT NO CARGADO")</f>
        <v xml:space="preserve">FUNK HNOS DE FRANCISCO G </v>
      </c>
      <c r="H19" s="16">
        <v>511191.99999999994</v>
      </c>
      <c r="I19" s="23">
        <f>IF('Dic-22'!$H19="","",'Dic-22'!$H19*0.21)</f>
        <v>107350.31999999998</v>
      </c>
      <c r="J19" s="23"/>
      <c r="K19" s="23"/>
      <c r="L19" s="23"/>
      <c r="M19" s="23"/>
      <c r="N19" s="23"/>
      <c r="O19" s="23"/>
      <c r="P19" s="20">
        <f>SUM('Dic-22'!$H19:$O19)</f>
        <v>618542.31999999995</v>
      </c>
      <c r="Q19" s="15" t="str">
        <f>IFERROR(IF('Dic-22'!$F19="","-",VLOOKUP('Dic-22'!$F19,Lista_CUIT!$A$1:$D$1871,3,0)),"CUIT NO CARGADO")</f>
        <v>MAT. PRIM.</v>
      </c>
      <c r="R19" s="21">
        <f>IFERROR(IF('Dic-22'!$F19="","-",VLOOKUP('Dic-22'!$F19,Lista_CUIT!$A$1:$D$1871,4,0)),"CUIT NO CARGADO")</f>
        <v>0</v>
      </c>
    </row>
    <row r="20" spans="2:18" ht="18" customHeight="1" x14ac:dyDescent="0.25">
      <c r="B20" s="10">
        <v>44923</v>
      </c>
      <c r="C20" s="11">
        <v>1</v>
      </c>
      <c r="D20" s="12">
        <v>5</v>
      </c>
      <c r="E20" s="13">
        <v>1035</v>
      </c>
      <c r="F20" s="14">
        <v>30707397256</v>
      </c>
      <c r="G20" s="15" t="str">
        <f>IFERROR(IF('Dic-22'!$F20="","-",VLOOKUP('Dic-22'!$F20,Lista_CUIT!$A$1:$D$1871,2,0)),"CUIT NO CARGADO")</f>
        <v>GRAFICA Y FOTOGRABADOS LA PLAZA SRL</v>
      </c>
      <c r="H20" s="16">
        <v>324046.40000000002</v>
      </c>
      <c r="I20" s="23">
        <f>IF('Dic-22'!$H20="","",'Dic-22'!$H20*0.21)</f>
        <v>68049.744000000006</v>
      </c>
      <c r="J20" s="23"/>
      <c r="K20" s="23"/>
      <c r="L20" s="23"/>
      <c r="M20" s="23"/>
      <c r="N20" s="23"/>
      <c r="O20" s="23"/>
      <c r="P20" s="20">
        <f>SUM('Dic-22'!$H20:$O20)</f>
        <v>392096.14400000003</v>
      </c>
      <c r="Q20" s="15" t="str">
        <f>IFERROR(IF('Dic-22'!$F20="","-",VLOOKUP('Dic-22'!$F20,Lista_CUIT!$A$1:$D$1871,3,0)),"CUIT NO CARGADO")</f>
        <v>Fotograbados</v>
      </c>
      <c r="R20" s="21">
        <f>IFERROR(IF('Dic-22'!$F20="","-",VLOOKUP('Dic-22'!$F20,Lista_CUIT!$A$1:$D$1871,4,0)),"CUIT NO CARGADO")</f>
        <v>0</v>
      </c>
    </row>
    <row r="21" spans="2:18" ht="18" customHeight="1" x14ac:dyDescent="0.25">
      <c r="B21" s="10">
        <v>44901</v>
      </c>
      <c r="C21" s="11">
        <v>1</v>
      </c>
      <c r="D21" s="12">
        <v>7</v>
      </c>
      <c r="E21" s="13">
        <v>1887</v>
      </c>
      <c r="F21" s="14">
        <v>20214656575</v>
      </c>
      <c r="G21" s="15" t="str">
        <f>IFERROR(IF('Dic-22'!$F21="","-",VLOOKUP('Dic-22'!$F21,Lista_CUIT!$A$1:$D$1871,2,0)),"CUIT NO CARGADO")</f>
        <v>SANCHEZ DI MARE DANIEL FERNANDO</v>
      </c>
      <c r="H21" s="16">
        <v>9888.43</v>
      </c>
      <c r="I21" s="23">
        <f>IF('Dic-22'!$H21="","",'Dic-22'!$H21*0.21)</f>
        <v>2076.5702999999999</v>
      </c>
      <c r="J21" s="23"/>
      <c r="K21" s="23"/>
      <c r="L21" s="23"/>
      <c r="M21" s="23"/>
      <c r="N21" s="23"/>
      <c r="O21" s="23"/>
      <c r="P21" s="20">
        <f>SUM('Dic-22'!$H21:$O21)</f>
        <v>11965.0003</v>
      </c>
      <c r="Q21" s="15" t="str">
        <f>IFERROR(IF('Dic-22'!$F21="","-",VLOOKUP('Dic-22'!$F21,Lista_CUIT!$A$1:$D$1871,3,0)),"CUIT NO CARGADO")</f>
        <v>INSUMO</v>
      </c>
      <c r="R21" s="21">
        <f>IFERROR(IF('Dic-22'!$F21="","-",VLOOKUP('Dic-22'!$F21,Lista_CUIT!$A$1:$D$1871,4,0)),"CUIT NO CARGADO")</f>
        <v>0</v>
      </c>
    </row>
    <row r="22" spans="2:18" ht="18" customHeight="1" x14ac:dyDescent="0.25">
      <c r="B22" s="10">
        <v>44906</v>
      </c>
      <c r="C22" s="11">
        <v>1</v>
      </c>
      <c r="D22" s="12">
        <v>7</v>
      </c>
      <c r="E22" s="13">
        <v>1902</v>
      </c>
      <c r="F22" s="14">
        <v>20214656575</v>
      </c>
      <c r="G22" s="15" t="str">
        <f>IFERROR(IF('Dic-22'!$F22="","-",VLOOKUP('Dic-22'!$F22,Lista_CUIT!$A$1:$D$1871,2,0)),"CUIT NO CARGADO")</f>
        <v>SANCHEZ DI MARE DANIEL FERNANDO</v>
      </c>
      <c r="H22" s="16">
        <v>4544.63</v>
      </c>
      <c r="I22" s="23">
        <f>IF('Dic-22'!$H22="","",'Dic-22'!$H22*0.21)</f>
        <v>954.3723</v>
      </c>
      <c r="J22" s="23"/>
      <c r="K22" s="23"/>
      <c r="L22" s="23"/>
      <c r="M22" s="23"/>
      <c r="N22" s="23"/>
      <c r="O22" s="23"/>
      <c r="P22" s="20">
        <f>SUM('Dic-22'!$H22:$O22)</f>
        <v>5499.0023000000001</v>
      </c>
      <c r="Q22" s="15" t="str">
        <f>IFERROR(IF('Dic-22'!$F22="","-",VLOOKUP('Dic-22'!$F22,Lista_CUIT!$A$1:$D$1871,3,0)),"CUIT NO CARGADO")</f>
        <v>INSUMO</v>
      </c>
      <c r="R22" s="21">
        <f>IFERROR(IF('Dic-22'!$F22="","-",VLOOKUP('Dic-22'!$F22,Lista_CUIT!$A$1:$D$1871,4,0)),"CUIT NO CARGADO")</f>
        <v>0</v>
      </c>
    </row>
    <row r="23" spans="2:18" ht="18" customHeight="1" x14ac:dyDescent="0.25">
      <c r="B23" s="10">
        <v>44897</v>
      </c>
      <c r="C23" s="11">
        <v>1</v>
      </c>
      <c r="D23" s="12">
        <v>721</v>
      </c>
      <c r="E23" s="13">
        <v>3574</v>
      </c>
      <c r="F23" s="14">
        <v>30580111315</v>
      </c>
      <c r="G23" s="15" t="str">
        <f>IFERROR(IF('Dic-22'!$F23="","-",VLOOKUP('Dic-22'!$F23,Lista_CUIT!$A$1:$D$1871,2,0)),"CUIT NO CARGADO")</f>
        <v>DHL EXPRESS ARG SA</v>
      </c>
      <c r="H23" s="16">
        <v>75223.724999999991</v>
      </c>
      <c r="I23" s="23">
        <f>IF('Dic-22'!$H23="","",'Dic-22'!$H23*0.21)</f>
        <v>15796.982249999997</v>
      </c>
      <c r="J23" s="23"/>
      <c r="K23" s="23"/>
      <c r="L23" s="23"/>
      <c r="M23" s="23"/>
      <c r="N23" s="23"/>
      <c r="O23" s="23"/>
      <c r="P23" s="20">
        <f>SUM('Dic-22'!$H23:$O23)</f>
        <v>91020.707249999992</v>
      </c>
      <c r="Q23" s="15" t="str">
        <f>IFERROR(IF('Dic-22'!$F23="","-",VLOOKUP('Dic-22'!$F23,Lista_CUIT!$A$1:$D$1871,3,0)),"CUIT NO CARGADO")</f>
        <v>GTOS IMP.</v>
      </c>
      <c r="R23" s="21">
        <f>IFERROR(IF('Dic-22'!$F23="","-",VLOOKUP('Dic-22'!$F23,Lista_CUIT!$A$1:$D$1871,4,0)),"CUIT NO CARGADO")</f>
        <v>0</v>
      </c>
    </row>
    <row r="24" spans="2:18" ht="18" customHeight="1" x14ac:dyDescent="0.25">
      <c r="B24" s="10">
        <v>44907</v>
      </c>
      <c r="C24" s="11">
        <v>1</v>
      </c>
      <c r="D24" s="12">
        <v>42</v>
      </c>
      <c r="E24" s="13">
        <v>4754</v>
      </c>
      <c r="F24" s="14">
        <v>30662533072</v>
      </c>
      <c r="G24" s="15" t="str">
        <f>IFERROR(IF('Dic-22'!$F24="","-",VLOOKUP('Dic-22'!$F24,Lista_CUIT!$A$1:$D$1871,2,0)),"CUIT NO CARGADO")</f>
        <v>ULTRALIGHT SRL</v>
      </c>
      <c r="H24" s="16">
        <v>19833.88</v>
      </c>
      <c r="I24" s="23">
        <f>IF('Dic-22'!$H24="","",'Dic-22'!$H24*0.21)</f>
        <v>4165.1148000000003</v>
      </c>
      <c r="J24" s="23"/>
      <c r="K24" s="23"/>
      <c r="L24" s="23"/>
      <c r="M24" s="23"/>
      <c r="N24" s="23"/>
      <c r="O24" s="23"/>
      <c r="P24" s="20">
        <f>SUM('Dic-22'!$H24:$O24)</f>
        <v>23998.9948</v>
      </c>
      <c r="Q24" s="15" t="str">
        <f>IFERROR(IF('Dic-22'!$F24="","-",VLOOKUP('Dic-22'!$F24,Lista_CUIT!$A$1:$D$1871,3,0)),"CUIT NO CARGADO")</f>
        <v>Gastos Oficina</v>
      </c>
      <c r="R24" s="21">
        <f>IFERROR(IF('Dic-22'!$F24="","-",VLOOKUP('Dic-22'!$F24,Lista_CUIT!$A$1:$D$1871,4,0)),"CUIT NO CARGADO")</f>
        <v>0</v>
      </c>
    </row>
    <row r="25" spans="2:18" ht="20.25" customHeight="1" x14ac:dyDescent="0.25">
      <c r="B25" s="10">
        <v>44908</v>
      </c>
      <c r="C25" s="11">
        <v>1</v>
      </c>
      <c r="D25" s="12">
        <v>5</v>
      </c>
      <c r="E25" s="13">
        <v>7949</v>
      </c>
      <c r="F25" s="14">
        <v>30715357255</v>
      </c>
      <c r="G25" s="15" t="str">
        <f>IFERROR(IF('Dic-22'!$F25="","-",VLOOKUP('Dic-22'!$F25,Lista_CUIT!$A$1:$D$1871,2,0)),"CUIT NO CARGADO")</f>
        <v>LIBECOM SRL</v>
      </c>
      <c r="H25" s="16">
        <v>5638.01</v>
      </c>
      <c r="I25" s="23"/>
      <c r="J25" s="23"/>
      <c r="K25" s="23">
        <v>591.99</v>
      </c>
      <c r="L25" s="23"/>
      <c r="M25" s="23"/>
      <c r="N25" s="23"/>
      <c r="O25" s="23"/>
      <c r="P25" s="20">
        <f>SUM('Dic-22'!$H25:$O25)</f>
        <v>6230</v>
      </c>
      <c r="Q25" s="15" t="str">
        <f>IFERROR(IF('Dic-22'!$F25="","-",VLOOKUP('Dic-22'!$F25,Lista_CUIT!$A$1:$D$1871,3,0)),"CUIT NO CARGADO")</f>
        <v>Gastos Oficina</v>
      </c>
      <c r="R25" s="21">
        <f>IFERROR(IF('Dic-22'!$F25="","-",VLOOKUP('Dic-22'!$F25,Lista_CUIT!$A$1:$D$1871,4,0)),"CUIT NO CARGADO")</f>
        <v>0</v>
      </c>
    </row>
    <row r="26" spans="2:18" ht="20.25" customHeight="1" x14ac:dyDescent="0.25">
      <c r="B26" s="10">
        <v>44901</v>
      </c>
      <c r="C26" s="11">
        <v>1</v>
      </c>
      <c r="D26" s="12">
        <v>7</v>
      </c>
      <c r="E26" s="13">
        <v>10276</v>
      </c>
      <c r="F26" s="14">
        <v>33713724209</v>
      </c>
      <c r="G26" s="15" t="str">
        <f>IFERROR(IF('Dic-22'!$F26="","-",VLOOKUP('Dic-22'!$F26,Lista_CUIT!$A$1:$D$1871,2,0)),"CUIT NO CARGADO")</f>
        <v>OTELLO SA</v>
      </c>
      <c r="H26" s="16">
        <v>14775.87</v>
      </c>
      <c r="I26" s="23">
        <f>IF('Dic-22'!$H26="","",'Dic-22'!$H26*0.21)</f>
        <v>3102.9326999999998</v>
      </c>
      <c r="J26" s="23"/>
      <c r="K26" s="23"/>
      <c r="L26" s="23"/>
      <c r="M26" s="23"/>
      <c r="N26" s="23"/>
      <c r="O26" s="23"/>
      <c r="P26" s="20">
        <f>SUM('Dic-22'!$H26:$O26)</f>
        <v>17878.8027</v>
      </c>
      <c r="Q26" s="15" t="str">
        <f>IFERROR(IF('Dic-22'!$F26="","-",VLOOKUP('Dic-22'!$F26,Lista_CUIT!$A$1:$D$1871,3,0)),"CUIT NO CARGADO")</f>
        <v>INSUMO</v>
      </c>
      <c r="R26" s="21">
        <f>IFERROR(IF('Dic-22'!$F26="","-",VLOOKUP('Dic-22'!$F26,Lista_CUIT!$A$1:$D$1871,4,0)),"CUIT NO CARGADO")</f>
        <v>0</v>
      </c>
    </row>
    <row r="27" spans="2:18" ht="20.25" customHeight="1" x14ac:dyDescent="0.25">
      <c r="B27" s="10">
        <v>44900</v>
      </c>
      <c r="C27" s="11">
        <v>1</v>
      </c>
      <c r="D27" s="12">
        <v>1</v>
      </c>
      <c r="E27" s="13">
        <v>11640</v>
      </c>
      <c r="F27" s="14">
        <v>30715638912</v>
      </c>
      <c r="G27" s="15" t="str">
        <f>IFERROR(IF('Dic-22'!$F27="","-",VLOOKUP('Dic-22'!$F27,Lista_CUIT!$A$1:$D$1871,2,0)),"CUIT NO CARGADO")</f>
        <v>SICCBA S.R.L.</v>
      </c>
      <c r="H27" s="16">
        <v>1718.55</v>
      </c>
      <c r="I27" s="23"/>
      <c r="J27" s="23"/>
      <c r="K27" s="23">
        <v>180.45</v>
      </c>
      <c r="L27" s="23"/>
      <c r="M27" s="23"/>
      <c r="N27" s="23"/>
      <c r="O27" s="23"/>
      <c r="P27" s="20">
        <f>SUM('Dic-22'!$H27:$O27)</f>
        <v>1899</v>
      </c>
      <c r="Q27" s="15" t="str">
        <f>IFERROR(IF('Dic-22'!$F27="","-",VLOOKUP('Dic-22'!$F27,Lista_CUIT!$A$1:$D$1871,3,0)),"CUIT NO CARGADO")</f>
        <v>INSUMO</v>
      </c>
      <c r="R27" s="21">
        <f>IFERROR(IF('Dic-22'!$F27="","-",VLOOKUP('Dic-22'!$F27,Lista_CUIT!$A$1:$D$1871,4,0)),"CUIT NO CARGADO")</f>
        <v>0</v>
      </c>
    </row>
    <row r="28" spans="2:18" ht="20.25" customHeight="1" x14ac:dyDescent="0.25">
      <c r="B28" s="10">
        <v>44915</v>
      </c>
      <c r="C28" s="11">
        <v>1</v>
      </c>
      <c r="D28" s="12">
        <v>6992</v>
      </c>
      <c r="E28" s="13">
        <v>11771</v>
      </c>
      <c r="F28" s="14">
        <v>30678774495</v>
      </c>
      <c r="G28" s="15" t="str">
        <f>IFERROR(IF('Dic-22'!$F28="","-",VLOOKUP('Dic-22'!$F28,Lista_CUIT!$A$1:$D$1871,2,0)),"CUIT NO CARGADO")</f>
        <v>OPER. DE EST. DE SERV. SA</v>
      </c>
      <c r="H28" s="16">
        <v>3881.68</v>
      </c>
      <c r="I28" s="23">
        <f>IF('Dic-22'!$H28="","",'Dic-22'!$H28*0.21)</f>
        <v>815.15279999999996</v>
      </c>
      <c r="J28" s="23"/>
      <c r="K28" s="23"/>
      <c r="L28" s="23"/>
      <c r="M28" s="23"/>
      <c r="N28" s="23"/>
      <c r="O28" s="23">
        <v>903.37</v>
      </c>
      <c r="P28" s="20">
        <f>SUM('Dic-22'!$H28:$O28)</f>
        <v>5600.2028</v>
      </c>
      <c r="Q28" s="15" t="str">
        <f>IFERROR(IF('Dic-22'!$F28="","-",VLOOKUP('Dic-22'!$F28,Lista_CUIT!$A$1:$D$1871,3,0)),"CUIT NO CARGADO")</f>
        <v>COMBUSTIBLE</v>
      </c>
      <c r="R28" s="21">
        <f>IFERROR(IF('Dic-22'!$F28="","-",VLOOKUP('Dic-22'!$F28,Lista_CUIT!$A$1:$D$1871,4,0)),"CUIT NO CARGADO")</f>
        <v>0</v>
      </c>
    </row>
    <row r="29" spans="2:18" ht="20.25" customHeight="1" x14ac:dyDescent="0.25">
      <c r="B29" s="10">
        <v>44908</v>
      </c>
      <c r="C29" s="11">
        <v>1</v>
      </c>
      <c r="D29" s="12">
        <v>11</v>
      </c>
      <c r="E29" s="13">
        <v>12890</v>
      </c>
      <c r="F29" s="14">
        <v>30710804245</v>
      </c>
      <c r="G29" s="15" t="str">
        <f>IFERROR(IF('Dic-22'!$F29="","-",VLOOKUP('Dic-22'!$F29,Lista_CUIT!$A$1:$D$1871,2,0)),"CUIT NO CARGADO")</f>
        <v>HIERROS TORRENT S.A.</v>
      </c>
      <c r="H29" s="16">
        <v>23140.27</v>
      </c>
      <c r="I29" s="23"/>
      <c r="J29" s="23"/>
      <c r="K29" s="23">
        <v>2429.6999999999998</v>
      </c>
      <c r="L29" s="23"/>
      <c r="M29" s="23"/>
      <c r="N29" s="23"/>
      <c r="O29" s="23"/>
      <c r="P29" s="20">
        <f>SUM('Dic-22'!$H29:$O29)</f>
        <v>25569.97</v>
      </c>
      <c r="Q29" s="15" t="str">
        <f>IFERROR(IF('Dic-22'!$F29="","-",VLOOKUP('Dic-22'!$F29,Lista_CUIT!$A$1:$D$1871,3,0)),"CUIT NO CARGADO")</f>
        <v>INSUMO</v>
      </c>
      <c r="R29" s="21">
        <f>IFERROR(IF('Dic-22'!$F29="","-",VLOOKUP('Dic-22'!$F29,Lista_CUIT!$A$1:$D$1871,4,0)),"CUIT NO CARGADO")</f>
        <v>0</v>
      </c>
    </row>
    <row r="30" spans="2:18" ht="20.25" customHeight="1" x14ac:dyDescent="0.25">
      <c r="B30" s="10">
        <v>44896</v>
      </c>
      <c r="C30" s="11">
        <v>1</v>
      </c>
      <c r="D30" s="12">
        <v>4</v>
      </c>
      <c r="E30" s="13">
        <v>13898</v>
      </c>
      <c r="F30" s="14">
        <v>30709362875</v>
      </c>
      <c r="G30" s="15" t="str">
        <f>IFERROR(IF('Dic-22'!$F30="","-",VLOOKUP('Dic-22'!$F30,Lista_CUIT!$A$1:$D$1871,2,0)),"CUIT NO CARGADO")</f>
        <v>ELINDAR SRL</v>
      </c>
      <c r="H30" s="16">
        <v>13105.14</v>
      </c>
      <c r="I30" s="23">
        <f>IF('Dic-22'!$H30="","",'Dic-22'!$H30*0.21)</f>
        <v>2752.0793999999996</v>
      </c>
      <c r="J30" s="23"/>
      <c r="K30" s="23"/>
      <c r="L30" s="23"/>
      <c r="M30" s="23"/>
      <c r="N30" s="23"/>
      <c r="O30" s="23"/>
      <c r="P30" s="20">
        <f>SUM('Dic-22'!$H30:$O30)</f>
        <v>15857.219399999998</v>
      </c>
      <c r="Q30" s="15" t="str">
        <f>IFERROR(IF('Dic-22'!$F30="","-",VLOOKUP('Dic-22'!$F30,Lista_CUIT!$A$1:$D$1871,3,0)),"CUIT NO CARGADO")</f>
        <v>INSUMO</v>
      </c>
      <c r="R30" s="21">
        <f>IFERROR(IF('Dic-22'!$F30="","-",VLOOKUP('Dic-22'!$F30,Lista_CUIT!$A$1:$D$1871,4,0)),"CUIT NO CARGADO")</f>
        <v>0</v>
      </c>
    </row>
    <row r="31" spans="2:18" ht="20.25" customHeight="1" x14ac:dyDescent="0.25">
      <c r="B31" s="10">
        <v>44916</v>
      </c>
      <c r="C31" s="11">
        <v>1</v>
      </c>
      <c r="D31" s="12">
        <v>4</v>
      </c>
      <c r="E31" s="13">
        <v>22737</v>
      </c>
      <c r="F31" s="14">
        <v>30624066827</v>
      </c>
      <c r="G31" s="15" t="str">
        <f>IFERROR(IF('Dic-22'!$F31="","-",VLOOKUP('Dic-22'!$F31,Lista_CUIT!$A$1:$D$1871,2,0)),"CUIT NO CARGADO")</f>
        <v>TODOPLASTIC DE HECTOR HALABE Y OTROS</v>
      </c>
      <c r="H31" s="16">
        <v>7884.3</v>
      </c>
      <c r="I31" s="23">
        <f>IF('Dic-22'!$H31="","",'Dic-22'!$H31*0.21)</f>
        <v>1655.703</v>
      </c>
      <c r="J31" s="23"/>
      <c r="K31" s="23"/>
      <c r="L31" s="23"/>
      <c r="M31" s="23"/>
      <c r="N31" s="23"/>
      <c r="O31" s="23"/>
      <c r="P31" s="20">
        <f>SUM('Dic-22'!$H31:$O31)</f>
        <v>9540.0030000000006</v>
      </c>
      <c r="Q31" s="15" t="str">
        <f>IFERROR(IF('Dic-22'!$F31="","-",VLOOKUP('Dic-22'!$F31,Lista_CUIT!$A$1:$D$1871,3,0)),"CUIT NO CARGADO")</f>
        <v>Gastos Varios</v>
      </c>
      <c r="R31" s="21">
        <f>IFERROR(IF('Dic-22'!$F31="","-",VLOOKUP('Dic-22'!$F31,Lista_CUIT!$A$1:$D$1871,4,0)),"CUIT NO CARGADO")</f>
        <v>0</v>
      </c>
    </row>
    <row r="32" spans="2:18" ht="20.25" customHeight="1" x14ac:dyDescent="0.25">
      <c r="B32" s="10">
        <v>44916</v>
      </c>
      <c r="C32" s="11">
        <v>3</v>
      </c>
      <c r="D32" s="12">
        <v>106</v>
      </c>
      <c r="E32" s="13">
        <v>24778</v>
      </c>
      <c r="F32" s="14">
        <v>30594494187</v>
      </c>
      <c r="G32" s="15" t="str">
        <f>IFERROR(IF('Dic-22'!$F32="","-",VLOOKUP('Dic-22'!$F32,Lista_CUIT!$A$1:$D$1871,2,0)),"CUIT NO CARGADO")</f>
        <v>FEDERAL EXPRESS CORPORATION</v>
      </c>
      <c r="H32" s="16">
        <v>-17116.2</v>
      </c>
      <c r="I32" s="23">
        <f>IF('Dic-22'!$H32="","",'Dic-22'!$H32*0.21)</f>
        <v>-3594.402</v>
      </c>
      <c r="J32" s="23"/>
      <c r="K32" s="23"/>
      <c r="L32" s="23"/>
      <c r="M32" s="23"/>
      <c r="N32" s="23"/>
      <c r="O32" s="23">
        <v>-18610.77</v>
      </c>
      <c r="P32" s="20">
        <f>SUM('Dic-22'!$H32:$O32)</f>
        <v>-39321.372000000003</v>
      </c>
      <c r="Q32" s="15" t="str">
        <f>IFERROR(IF('Dic-22'!$F32="","-",VLOOKUP('Dic-22'!$F32,Lista_CUIT!$A$1:$D$1871,3,0)),"CUIT NO CARGADO")</f>
        <v>GTOS IMP.</v>
      </c>
      <c r="R32" s="21">
        <f>IFERROR(IF('Dic-22'!$F32="","-",VLOOKUP('Dic-22'!$F32,Lista_CUIT!$A$1:$D$1871,4,0)),"CUIT NO CARGADO")</f>
        <v>0</v>
      </c>
    </row>
    <row r="33" spans="1:26" ht="15.75" customHeight="1" x14ac:dyDescent="0.25">
      <c r="B33" s="10">
        <v>44917</v>
      </c>
      <c r="C33" s="11">
        <v>1</v>
      </c>
      <c r="D33" s="12">
        <v>10</v>
      </c>
      <c r="E33" s="13">
        <v>29079</v>
      </c>
      <c r="F33" s="14">
        <v>30650600238</v>
      </c>
      <c r="G33" s="15" t="str">
        <f>IFERROR(IF('Dic-22'!$F33="","-",VLOOKUP('Dic-22'!$F33,Lista_CUIT!$A$1:$D$1871,2,0)),"CUIT NO CARGADO")</f>
        <v>PECTAGAR  S R L</v>
      </c>
      <c r="H33" s="16">
        <v>1375200</v>
      </c>
      <c r="I33" s="23"/>
      <c r="J33" s="23"/>
      <c r="K33" s="23">
        <v>144396</v>
      </c>
      <c r="L33" s="23"/>
      <c r="M33" s="23"/>
      <c r="N33" s="23"/>
      <c r="O33" s="23"/>
      <c r="P33" s="20">
        <f>SUM('Dic-22'!$H33:$O33)</f>
        <v>1519596</v>
      </c>
      <c r="Q33" s="15" t="str">
        <f>IFERROR(IF('Dic-22'!$F33="","-",VLOOKUP('Dic-22'!$F33,Lista_CUIT!$A$1:$D$1871,3,0)),"CUIT NO CARGADO")</f>
        <v>BIENES DE USO</v>
      </c>
      <c r="R33" s="21">
        <f>IFERROR(IF('Dic-22'!$F33="","-",VLOOKUP('Dic-22'!$F33,Lista_CUIT!$A$1:$D$1871,4,0)),"CUIT NO CARGADO")</f>
        <v>0</v>
      </c>
    </row>
    <row r="34" spans="1:26" ht="15.75" customHeight="1" x14ac:dyDescent="0.25">
      <c r="B34" s="10">
        <v>44923</v>
      </c>
      <c r="C34" s="11">
        <v>3</v>
      </c>
      <c r="D34" s="12">
        <v>1001</v>
      </c>
      <c r="E34" s="13">
        <v>91384</v>
      </c>
      <c r="F34" s="14">
        <v>30538068841</v>
      </c>
      <c r="G34" s="15" t="str">
        <f>IFERROR(IF('Dic-22'!$F34="","-",VLOOKUP('Dic-22'!$F34,Lista_CUIT!$A$1:$D$1871,2,0)),"CUIT NO CARGADO")</f>
        <v>FAMIQ SRL</v>
      </c>
      <c r="H34" s="16">
        <v>-9802.57</v>
      </c>
      <c r="I34" s="23">
        <f>IF('Dic-22'!$H34="","",'Dic-22'!$H34*0.21)</f>
        <v>-2058.5396999999998</v>
      </c>
      <c r="J34" s="23"/>
      <c r="K34" s="23"/>
      <c r="L34" s="23"/>
      <c r="M34" s="23"/>
      <c r="N34" s="23"/>
      <c r="O34" s="23"/>
      <c r="P34" s="20">
        <f>SUM('Dic-22'!$H34:$O34)</f>
        <v>-11861.109699999999</v>
      </c>
      <c r="Q34" s="15" t="str">
        <f>IFERROR(IF('Dic-22'!$F34="","-",VLOOKUP('Dic-22'!$F34,Lista_CUIT!$A$1:$D$1871,3,0)),"CUIT NO CARGADO")</f>
        <v>Gastos Varios</v>
      </c>
      <c r="R34" s="21">
        <f>IFERROR(IF('Dic-22'!$F34="","-",VLOOKUP('Dic-22'!$F34,Lista_CUIT!$A$1:$D$1871,4,0)),"CUIT NO CARGADO")</f>
        <v>0</v>
      </c>
    </row>
    <row r="35" spans="1:26" ht="15.75" customHeight="1" x14ac:dyDescent="0.25">
      <c r="B35" s="10">
        <v>44896</v>
      </c>
      <c r="C35" s="11">
        <v>1</v>
      </c>
      <c r="D35" s="12">
        <v>3</v>
      </c>
      <c r="E35" s="13">
        <v>174480</v>
      </c>
      <c r="F35" s="14">
        <v>30707135596</v>
      </c>
      <c r="G35" s="15" t="str">
        <f>IFERROR(IF('Dic-22'!$F35="","-",VLOOKUP('Dic-22'!$F35,Lista_CUIT!$A$1:$D$1871,2,0)),"CUIT NO CARGADO")</f>
        <v>CITILAN ARGENTINA SA</v>
      </c>
      <c r="H35" s="16">
        <v>3706.9</v>
      </c>
      <c r="I35" s="23">
        <f>IF('Dic-22'!$H35="","",'Dic-22'!$H35*0.21)</f>
        <v>778.44899999999996</v>
      </c>
      <c r="J35" s="23"/>
      <c r="K35" s="23"/>
      <c r="L35" s="23"/>
      <c r="M35" s="23"/>
      <c r="N35" s="23"/>
      <c r="O35" s="23"/>
      <c r="P35" s="20">
        <f>SUM('Dic-22'!$H35:$O35)</f>
        <v>4485.3490000000002</v>
      </c>
      <c r="Q35" s="15" t="str">
        <f>IFERROR(IF('Dic-22'!$F35="","-",VLOOKUP('Dic-22'!$F35,Lista_CUIT!$A$1:$D$1871,3,0)),"CUIT NO CARGADO")</f>
        <v>SERVICIOS GAS, LUZ, ETC</v>
      </c>
      <c r="R35" s="21">
        <f>IFERROR(IF('Dic-22'!$F35="","-",VLOOKUP('Dic-22'!$F35,Lista_CUIT!$A$1:$D$1871,4,0)),"CUIT NO CARGADO")</f>
        <v>0</v>
      </c>
    </row>
    <row r="36" spans="1:26" ht="15.75" customHeight="1" x14ac:dyDescent="0.25">
      <c r="B36" s="10">
        <v>44906</v>
      </c>
      <c r="C36" s="11">
        <v>1</v>
      </c>
      <c r="D36" s="12">
        <v>2466</v>
      </c>
      <c r="E36" s="13">
        <v>447121</v>
      </c>
      <c r="F36" s="14">
        <v>30678814357</v>
      </c>
      <c r="G36" s="15" t="str">
        <f>IFERROR(IF('Dic-22'!$F36="","-",VLOOKUP('Dic-22'!$F36,Lista_CUIT!$A$1:$D$1871,2,0)),"CUIT NO CARGADO")</f>
        <v>Telefonica Moviles Argentina SA</v>
      </c>
      <c r="H36" s="16">
        <v>8262</v>
      </c>
      <c r="I36" s="23"/>
      <c r="J36" s="23">
        <v>2230.7399999999998</v>
      </c>
      <c r="K36" s="23"/>
      <c r="L36" s="23">
        <v>247.86</v>
      </c>
      <c r="M36" s="23"/>
      <c r="N36" s="23"/>
      <c r="O36" s="23">
        <v>147.79</v>
      </c>
      <c r="P36" s="20">
        <f>SUM('Dic-22'!$H36:$O36)</f>
        <v>10888.390000000001</v>
      </c>
      <c r="Q36" s="15" t="str">
        <f>IFERROR(IF('Dic-22'!$F36="","-",VLOOKUP('Dic-22'!$F36,Lista_CUIT!$A$1:$D$1871,3,0)),"CUIT NO CARGADO")</f>
        <v>SERVICIOS GAS, LUZ, ETC</v>
      </c>
      <c r="R36" s="21">
        <f>IFERROR(IF('Dic-22'!$F36="","-",VLOOKUP('Dic-22'!$F36,Lista_CUIT!$A$1:$D$1871,4,0)),"CUIT NO CARGADO")</f>
        <v>0</v>
      </c>
    </row>
    <row r="37" spans="1:26" ht="15.75" customHeight="1" x14ac:dyDescent="0.25">
      <c r="B37" s="10">
        <v>44900</v>
      </c>
      <c r="C37" s="11">
        <v>1</v>
      </c>
      <c r="D37" s="12">
        <v>700</v>
      </c>
      <c r="E37" s="13">
        <v>461446</v>
      </c>
      <c r="F37" s="14">
        <v>30580111315</v>
      </c>
      <c r="G37" s="15" t="str">
        <f>IFERROR(IF('Dic-22'!$F37="","-",VLOOKUP('Dic-22'!$F37,Lista_CUIT!$A$1:$D$1871,2,0)),"CUIT NO CARGADO")</f>
        <v>DHL EXPRESS ARG SA</v>
      </c>
      <c r="H37" s="16">
        <v>2359.125</v>
      </c>
      <c r="I37" s="23">
        <f>IF('Dic-22'!$H37="","",'Dic-22'!$H37*0.21)</f>
        <v>495.41624999999999</v>
      </c>
      <c r="J37" s="23"/>
      <c r="K37" s="23"/>
      <c r="L37" s="23"/>
      <c r="M37" s="23"/>
      <c r="N37" s="23"/>
      <c r="O37" s="23">
        <v>50857.492499999993</v>
      </c>
      <c r="P37" s="20">
        <f>SUM('Dic-22'!$H37:$O37)</f>
        <v>53712.033749999995</v>
      </c>
      <c r="Q37" s="15" t="str">
        <f>IFERROR(IF('Dic-22'!$F37="","-",VLOOKUP('Dic-22'!$F37,Lista_CUIT!$A$1:$D$1871,3,0)),"CUIT NO CARGADO")</f>
        <v>GTOS IMP.</v>
      </c>
      <c r="R37" s="21">
        <f>IFERROR(IF('Dic-22'!$F37="","-",VLOOKUP('Dic-22'!$F37,Lista_CUIT!$A$1:$D$1871,4,0)),"CUIT NO CARGADO")</f>
        <v>0</v>
      </c>
    </row>
    <row r="38" spans="1:26" ht="15.75" customHeight="1" x14ac:dyDescent="0.25">
      <c r="B38" s="10">
        <v>44907</v>
      </c>
      <c r="C38" s="11">
        <v>1</v>
      </c>
      <c r="D38" s="12">
        <v>700</v>
      </c>
      <c r="E38" s="13">
        <v>463740</v>
      </c>
      <c r="F38" s="14">
        <v>30580111315</v>
      </c>
      <c r="G38" s="15" t="str">
        <f>IFERROR(IF('Dic-22'!$F38="","-",VLOOKUP('Dic-22'!$F38,Lista_CUIT!$A$1:$D$1871,2,0)),"CUIT NO CARGADO")</f>
        <v>DHL EXPRESS ARG SA</v>
      </c>
      <c r="H38" s="16">
        <v>0</v>
      </c>
      <c r="I38" s="23">
        <f>IF('Dic-22'!$H38="","",'Dic-22'!$H38*0.21)</f>
        <v>0</v>
      </c>
      <c r="J38" s="23"/>
      <c r="K38" s="23"/>
      <c r="L38" s="23"/>
      <c r="M38" s="23"/>
      <c r="N38" s="23"/>
      <c r="O38" s="23">
        <v>27515.84</v>
      </c>
      <c r="P38" s="20">
        <f>SUM('Dic-22'!$H38:$O38)</f>
        <v>27515.84</v>
      </c>
      <c r="Q38" s="15" t="str">
        <f>IFERROR(IF('Dic-22'!$F38="","-",VLOOKUP('Dic-22'!$F38,Lista_CUIT!$A$1:$D$1871,3,0)),"CUIT NO CARGADO")</f>
        <v>GTOS IMP.</v>
      </c>
      <c r="R38" s="21">
        <f>IFERROR(IF('Dic-22'!$F38="","-",VLOOKUP('Dic-22'!$F38,Lista_CUIT!$A$1:$D$1871,4,0)),"CUIT NO CARGADO")</f>
        <v>0</v>
      </c>
    </row>
    <row r="39" spans="1:26" ht="15.75" customHeight="1" x14ac:dyDescent="0.25">
      <c r="B39" s="10">
        <v>44914</v>
      </c>
      <c r="C39" s="11">
        <v>1</v>
      </c>
      <c r="D39" s="12">
        <v>700</v>
      </c>
      <c r="E39" s="13">
        <v>465857</v>
      </c>
      <c r="F39" s="14">
        <v>30580111315</v>
      </c>
      <c r="G39" s="15" t="str">
        <f>IFERROR(IF('Dic-22'!$F39="","-",VLOOKUP('Dic-22'!$F39,Lista_CUIT!$A$1:$D$1871,2,0)),"CUIT NO CARGADO")</f>
        <v>DHL EXPRESS ARG SA</v>
      </c>
      <c r="H39" s="16">
        <v>2416.5</v>
      </c>
      <c r="I39" s="23">
        <f>IF('Dic-22'!$H39="","",'Dic-22'!$H39*0.21)</f>
        <v>507.46499999999997</v>
      </c>
      <c r="J39" s="23"/>
      <c r="K39" s="23"/>
      <c r="L39" s="23"/>
      <c r="M39" s="23"/>
      <c r="N39" s="23"/>
      <c r="O39" s="23">
        <v>69895.92</v>
      </c>
      <c r="P39" s="20">
        <f>SUM('Dic-22'!$H39:$O39)</f>
        <v>72819.884999999995</v>
      </c>
      <c r="Q39" s="15" t="str">
        <f>IFERROR(IF('Dic-22'!$F39="","-",VLOOKUP('Dic-22'!$F39,Lista_CUIT!$A$1:$D$1871,3,0)),"CUIT NO CARGADO")</f>
        <v>GTOS IMP.</v>
      </c>
      <c r="R39" s="21">
        <f>IFERROR(IF('Dic-22'!$F39="","-",VLOOKUP('Dic-22'!$F39,Lista_CUIT!$A$1:$D$1871,4,0)),"CUIT NO CARGADO")</f>
        <v>0</v>
      </c>
    </row>
    <row r="40" spans="1:26" ht="18" customHeight="1" x14ac:dyDescent="0.25">
      <c r="A40" s="50"/>
      <c r="B40" s="10">
        <v>44901</v>
      </c>
      <c r="C40" s="11">
        <v>1</v>
      </c>
      <c r="D40" s="12">
        <v>106</v>
      </c>
      <c r="E40" s="13">
        <v>588871</v>
      </c>
      <c r="F40" s="14">
        <v>30594494187</v>
      </c>
      <c r="G40" s="15" t="str">
        <f>IFERROR(IF('Dic-22'!$F40="","-",VLOOKUP('Dic-22'!$F40,Lista_CUIT!$A$1:$D$1871,2,0)),"CUIT NO CARGADO")</f>
        <v>FEDERAL EXPRESS CORPORATION</v>
      </c>
      <c r="H40" s="16">
        <v>10455</v>
      </c>
      <c r="I40" s="23">
        <f>IF('Dic-22'!$H40="","",'Dic-22'!$H40*0.21)</f>
        <v>2195.5499999999997</v>
      </c>
      <c r="J40" s="23"/>
      <c r="K40" s="23"/>
      <c r="L40" s="23"/>
      <c r="M40" s="23"/>
      <c r="N40" s="23"/>
      <c r="O40" s="23">
        <v>62963.16</v>
      </c>
      <c r="P40" s="20">
        <f>SUM('Dic-22'!$H40:$O40)</f>
        <v>75613.710000000006</v>
      </c>
      <c r="Q40" s="15" t="str">
        <f>IFERROR(IF('Dic-22'!$F40="","-",VLOOKUP('Dic-22'!$F40,Lista_CUIT!$A$1:$D$1871,3,0)),"CUIT NO CARGADO")</f>
        <v>GTOS IMP.</v>
      </c>
      <c r="R40" s="21">
        <f>IFERROR(IF('Dic-22'!$F40="","-",VLOOKUP('Dic-22'!$F40,Lista_CUIT!$A$1:$D$1871,4,0)),"CUIT NO CARGADO")</f>
        <v>0</v>
      </c>
      <c r="S40" s="50"/>
      <c r="T40" s="50"/>
      <c r="U40" s="50"/>
      <c r="V40" s="50"/>
      <c r="W40" s="50"/>
      <c r="X40" s="50"/>
      <c r="Y40" s="50"/>
      <c r="Z40" s="50"/>
    </row>
    <row r="41" spans="1:26" ht="15.75" customHeight="1" x14ac:dyDescent="0.25">
      <c r="B41" s="10">
        <v>44907</v>
      </c>
      <c r="C41" s="11">
        <v>1</v>
      </c>
      <c r="D41" s="12">
        <v>106</v>
      </c>
      <c r="E41" s="13">
        <v>589894</v>
      </c>
      <c r="F41" s="14">
        <v>30594494187</v>
      </c>
      <c r="G41" s="15" t="str">
        <f>IFERROR(IF('Dic-22'!$F41="","-",VLOOKUP('Dic-22'!$F41,Lista_CUIT!$A$1:$D$1871,2,0)),"CUIT NO CARGADO")</f>
        <v>FEDERAL EXPRESS CORPORATION</v>
      </c>
      <c r="H41" s="16">
        <v>10560</v>
      </c>
      <c r="I41" s="23">
        <f>IF('Dic-22'!$H41="","",'Dic-22'!$H41*0.21)</f>
        <v>2217.6</v>
      </c>
      <c r="J41" s="23"/>
      <c r="K41" s="23"/>
      <c r="L41" s="23"/>
      <c r="M41" s="23"/>
      <c r="N41" s="23"/>
      <c r="O41" s="23">
        <v>63323.43</v>
      </c>
      <c r="P41" s="20">
        <f>SUM('Dic-22'!$H41:$O41)</f>
        <v>76101.03</v>
      </c>
      <c r="Q41" s="15" t="str">
        <f>IFERROR(IF('Dic-22'!$F41="","-",VLOOKUP('Dic-22'!$F41,Lista_CUIT!$A$1:$D$1871,3,0)),"CUIT NO CARGADO")</f>
        <v>GTOS IMP.</v>
      </c>
      <c r="R41" s="21">
        <f>IFERROR(IF('Dic-22'!$F41="","-",VLOOKUP('Dic-22'!$F41,Lista_CUIT!$A$1:$D$1871,4,0)),"CUIT NO CARGADO")</f>
        <v>0</v>
      </c>
    </row>
    <row r="42" spans="1:26" ht="15.75" customHeight="1" x14ac:dyDescent="0.25">
      <c r="B42" s="10">
        <v>44911</v>
      </c>
      <c r="C42" s="11">
        <v>1</v>
      </c>
      <c r="D42" s="12">
        <v>106</v>
      </c>
      <c r="E42" s="13">
        <v>591820</v>
      </c>
      <c r="F42" s="14">
        <v>30594494187</v>
      </c>
      <c r="G42" s="15" t="str">
        <f>IFERROR(IF('Dic-22'!$F42="","-",VLOOKUP('Dic-22'!$F42,Lista_CUIT!$A$1:$D$1871,2,0)),"CUIT NO CARGADO")</f>
        <v>FEDERAL EXPRESS CORPORATION</v>
      </c>
      <c r="H42" s="16">
        <v>0</v>
      </c>
      <c r="I42" s="23">
        <f>IF('Dic-22'!$H42="","",'Dic-22'!$H42*0.21)</f>
        <v>0</v>
      </c>
      <c r="J42" s="23"/>
      <c r="K42" s="23"/>
      <c r="L42" s="23"/>
      <c r="M42" s="23"/>
      <c r="N42" s="23"/>
      <c r="O42" s="23">
        <v>80787.31</v>
      </c>
      <c r="P42" s="20">
        <f>SUM('Dic-22'!$H42:$O42)</f>
        <v>80787.31</v>
      </c>
      <c r="Q42" s="15" t="str">
        <f>IFERROR(IF('Dic-22'!$F42="","-",VLOOKUP('Dic-22'!$F42,Lista_CUIT!$A$1:$D$1871,3,0)),"CUIT NO CARGADO")</f>
        <v>GTOS IMP.</v>
      </c>
      <c r="R42" s="21">
        <f>IFERROR(IF('Dic-22'!$F42="","-",VLOOKUP('Dic-22'!$F42,Lista_CUIT!$A$1:$D$1871,4,0)),"CUIT NO CARGADO")</f>
        <v>0</v>
      </c>
    </row>
    <row r="43" spans="1:26" ht="15.75" customHeight="1" x14ac:dyDescent="0.25">
      <c r="B43" s="10">
        <v>44914</v>
      </c>
      <c r="C43" s="11">
        <v>1</v>
      </c>
      <c r="D43" s="12">
        <v>106</v>
      </c>
      <c r="E43" s="13">
        <v>592592</v>
      </c>
      <c r="F43" s="14">
        <v>30594494187</v>
      </c>
      <c r="G43" s="15" t="str">
        <f>IFERROR(IF('Dic-22'!$F43="","-",VLOOKUP('Dic-22'!$F43,Lista_CUIT!$A$1:$D$1871,2,0)),"CUIT NO CARGADO")</f>
        <v>FEDERAL EXPRESS CORPORATION</v>
      </c>
      <c r="H43" s="16">
        <v>10710</v>
      </c>
      <c r="I43" s="23">
        <f>IF('Dic-22'!$H43="","",'Dic-22'!$H43*0.21)</f>
        <v>2249.1</v>
      </c>
      <c r="J43" s="23"/>
      <c r="K43" s="23"/>
      <c r="L43" s="23"/>
      <c r="M43" s="23"/>
      <c r="N43" s="23"/>
      <c r="O43" s="23">
        <v>64080.81</v>
      </c>
      <c r="P43" s="20">
        <f>SUM('Dic-22'!$H43:$O43)</f>
        <v>77039.91</v>
      </c>
      <c r="Q43" s="15" t="str">
        <f>IFERROR(IF('Dic-22'!$F43="","-",VLOOKUP('Dic-22'!$F43,Lista_CUIT!$A$1:$D$1871,3,0)),"CUIT NO CARGADO")</f>
        <v>GTOS IMP.</v>
      </c>
      <c r="R43" s="21">
        <f>IFERROR(IF('Dic-22'!$F43="","-",VLOOKUP('Dic-22'!$F43,Lista_CUIT!$A$1:$D$1871,4,0)),"CUIT NO CARGADO")</f>
        <v>0</v>
      </c>
    </row>
    <row r="44" spans="1:26" ht="14.25" customHeight="1" x14ac:dyDescent="0.25">
      <c r="B44" s="10">
        <v>44918</v>
      </c>
      <c r="C44" s="11">
        <v>1</v>
      </c>
      <c r="D44" s="12">
        <v>3</v>
      </c>
      <c r="E44" s="13">
        <v>1214881</v>
      </c>
      <c r="F44" s="14">
        <v>30712019359</v>
      </c>
      <c r="G44" s="15" t="str">
        <f>IFERROR(IF('Dic-22'!$F44="","-",VLOOKUP('Dic-22'!$F44,Lista_CUIT!$A$1:$D$1871,2,0)),"CUIT NO CARGADO")</f>
        <v>LINKEDSTORE ARGENTINA S.R.L.</v>
      </c>
      <c r="H44" s="16">
        <v>3304.96</v>
      </c>
      <c r="I44" s="23">
        <f>IF('Dic-22'!$H44="","",'Dic-22'!$H44*0.21)</f>
        <v>694.04160000000002</v>
      </c>
      <c r="J44" s="23"/>
      <c r="K44" s="23"/>
      <c r="L44" s="23"/>
      <c r="M44" s="23"/>
      <c r="N44" s="23"/>
      <c r="O44" s="23"/>
      <c r="P44" s="20">
        <f>SUM('Dic-22'!$H44:$O44)</f>
        <v>3999.0016000000001</v>
      </c>
      <c r="Q44" s="15" t="str">
        <f>IFERROR(IF('Dic-22'!$F44="","-",VLOOKUP('Dic-22'!$F44,Lista_CUIT!$A$1:$D$1871,3,0)),"CUIT NO CARGADO")</f>
        <v>Gastos Varios</v>
      </c>
      <c r="R44" s="21">
        <f>IFERROR(IF('Dic-22'!$F44="","-",VLOOKUP('Dic-22'!$F44,Lista_CUIT!$A$1:$D$1871,4,0)),"CUIT NO CARGADO")</f>
        <v>0</v>
      </c>
    </row>
    <row r="45" spans="1:26" ht="22.5" customHeight="1" x14ac:dyDescent="0.25">
      <c r="B45" s="195">
        <v>44898</v>
      </c>
      <c r="C45" s="196">
        <v>1</v>
      </c>
      <c r="D45" s="197">
        <v>280</v>
      </c>
      <c r="E45" s="198">
        <v>1403331</v>
      </c>
      <c r="F45" s="199">
        <v>30580111315</v>
      </c>
      <c r="G45" s="200" t="str">
        <f>IFERROR(IF('Dic-22'!$F45="","-",VLOOKUP('Dic-22'!$F45,Lista_CUIT!$A$1:$D$1871,2,0)),"CUIT NO CARGADO")</f>
        <v>DHL EXPRESS ARG SA</v>
      </c>
      <c r="H45" s="201">
        <v>201430.65</v>
      </c>
      <c r="I45" s="202">
        <f>IF('Dic-22'!$H45="","",'Dic-22'!$H45*0.21)</f>
        <v>42300.436499999996</v>
      </c>
      <c r="J45" s="202"/>
      <c r="K45" s="202"/>
      <c r="L45" s="202"/>
      <c r="M45" s="202"/>
      <c r="N45" s="202"/>
      <c r="O45" s="202">
        <v>-165032.4</v>
      </c>
      <c r="P45" s="203">
        <f>SUM('Dic-22'!$H45:$O45)</f>
        <v>78698.686499999982</v>
      </c>
      <c r="Q45" s="15" t="str">
        <f>IFERROR(IF('Dic-22'!$F45="","-",VLOOKUP('Dic-22'!$F45,Lista_CUIT!$A$1:$D$1871,3,0)),"CUIT NO CARGADO")</f>
        <v>GTOS IMP.</v>
      </c>
      <c r="R45" s="21">
        <f>IFERROR(IF('Dic-22'!$F45="","-",VLOOKUP('Dic-22'!$F45,Lista_CUIT!$A$1:$D$1871,4,0)),"CUIT NO CARGADO")</f>
        <v>0</v>
      </c>
    </row>
    <row r="46" spans="1:26" ht="25.5" customHeight="1" x14ac:dyDescent="0.25">
      <c r="B46" s="21" t="s">
        <v>1546</v>
      </c>
      <c r="C46" s="21"/>
      <c r="D46" s="21"/>
      <c r="E46" s="21"/>
      <c r="F46" s="21"/>
      <c r="G46" s="15"/>
      <c r="H46" s="16">
        <f>SUBTOTAL(109,'Dic-22'!$H$9:$H$45)</f>
        <v>3957538.3699999996</v>
      </c>
      <c r="I46" s="16">
        <f>SUBTOTAL(109,'Dic-22'!$I$9:$I$45)</f>
        <v>534151.70339999988</v>
      </c>
      <c r="J46" s="16">
        <f>SUBTOTAL(109,'Dic-22'!$J$9:$J$45)</f>
        <v>2230.7399999999998</v>
      </c>
      <c r="K46" s="16">
        <f>SUBTOTAL(109,'Dic-22'!$K$9:$K$45)</f>
        <v>147598.14000000001</v>
      </c>
      <c r="L46" s="16">
        <f>SUBTOTAL(109,'Dic-22'!$L$9:$L$45)</f>
        <v>247.86</v>
      </c>
      <c r="M46" s="16">
        <f>SUBTOTAL(109,'Dic-22'!$M$9:$M$45)</f>
        <v>0</v>
      </c>
      <c r="N46" s="16">
        <f>SUBTOTAL(109,'Dic-22'!$N$9:$N$45)</f>
        <v>0</v>
      </c>
      <c r="O46" s="16">
        <f>SUBTOTAL(109,'Dic-22'!$O$9:$O$45)</f>
        <v>236831.95249999998</v>
      </c>
      <c r="P46" s="16">
        <f>SUBTOTAL(109,'Dic-22'!$P$9:$P$45)</f>
        <v>4878598.7659</v>
      </c>
      <c r="Q46" s="15"/>
      <c r="R46" s="21"/>
    </row>
    <row r="47" spans="1:26" ht="14.25" customHeight="1" x14ac:dyDescent="0.25">
      <c r="B47" s="10"/>
      <c r="C47" s="11"/>
      <c r="D47" s="12"/>
      <c r="E47" s="13"/>
      <c r="F47" s="14"/>
      <c r="G47" s="15"/>
      <c r="H47" s="16"/>
      <c r="I47" s="17"/>
      <c r="J47" s="17"/>
      <c r="K47" s="17"/>
      <c r="L47" s="17"/>
      <c r="M47" s="17"/>
      <c r="N47" s="17"/>
      <c r="O47" s="17"/>
      <c r="P47" s="20"/>
      <c r="Q47" s="15"/>
      <c r="R47" s="21"/>
    </row>
    <row r="48" spans="1:26" ht="14.25" customHeight="1" x14ac:dyDescent="0.25">
      <c r="B48" s="10"/>
      <c r="C48" s="11"/>
      <c r="D48" s="12"/>
      <c r="E48" s="13"/>
      <c r="F48" s="14"/>
      <c r="G48" s="15"/>
      <c r="H48" s="16"/>
      <c r="I48" s="17"/>
      <c r="J48" s="17"/>
      <c r="K48" s="17"/>
      <c r="L48" s="17"/>
      <c r="M48" s="17"/>
      <c r="N48" s="17"/>
      <c r="O48" s="17"/>
      <c r="P48" s="20"/>
      <c r="Q48" s="15"/>
      <c r="R48" s="21"/>
    </row>
    <row r="49" spans="1:26" ht="15" customHeight="1" x14ac:dyDescent="0.25">
      <c r="B49" s="10"/>
      <c r="C49" s="11"/>
      <c r="D49" s="12"/>
      <c r="E49" s="13"/>
      <c r="F49" s="14"/>
      <c r="G49" s="15"/>
      <c r="H49" s="16"/>
      <c r="I49" s="17"/>
      <c r="J49" s="17"/>
      <c r="K49" s="17"/>
      <c r="L49" s="17"/>
      <c r="M49" s="17"/>
      <c r="N49" s="17"/>
      <c r="O49" s="17"/>
      <c r="P49" s="20"/>
      <c r="Q49" s="15"/>
      <c r="R49" s="21"/>
    </row>
    <row r="50" spans="1:26" ht="15" customHeight="1" x14ac:dyDescent="0.25">
      <c r="B50" s="10"/>
      <c r="C50" s="11"/>
      <c r="D50" s="373"/>
      <c r="E50" s="374"/>
      <c r="F50" s="374"/>
      <c r="G50" s="15"/>
      <c r="H50" s="16" t="s">
        <v>1693</v>
      </c>
      <c r="I50" s="17"/>
      <c r="J50" s="17"/>
      <c r="K50" s="17"/>
      <c r="L50" s="17"/>
    </row>
    <row r="51" spans="1:26" ht="15" customHeight="1" x14ac:dyDescent="0.25">
      <c r="B51" s="11"/>
      <c r="D51" s="359" t="s">
        <v>1547</v>
      </c>
      <c r="E51" s="351"/>
      <c r="F51" s="351"/>
      <c r="G51" s="351"/>
      <c r="H51" s="351"/>
      <c r="I51" s="351"/>
      <c r="J51" s="351"/>
      <c r="K51" s="351"/>
      <c r="L51" s="352"/>
    </row>
    <row r="52" spans="1:26" ht="15" customHeight="1" x14ac:dyDescent="0.25">
      <c r="D52" s="36" t="s">
        <v>1532</v>
      </c>
      <c r="E52" s="37" t="s">
        <v>1548</v>
      </c>
      <c r="F52" s="37" t="s">
        <v>1549</v>
      </c>
      <c r="G52" s="37" t="s">
        <v>1550</v>
      </c>
      <c r="H52" s="37" t="s">
        <v>1551</v>
      </c>
      <c r="I52" s="37" t="s">
        <v>1539</v>
      </c>
      <c r="J52" s="38" t="s">
        <v>1552</v>
      </c>
      <c r="K52" s="38" t="s">
        <v>1553</v>
      </c>
      <c r="L52" s="39" t="s">
        <v>1554</v>
      </c>
    </row>
    <row r="53" spans="1:26" ht="15" customHeight="1" x14ac:dyDescent="0.25">
      <c r="D53" s="174">
        <v>44917</v>
      </c>
      <c r="E53" s="204" t="s">
        <v>1694</v>
      </c>
      <c r="F53" s="99" t="s">
        <v>1695</v>
      </c>
      <c r="G53" s="42">
        <v>13071</v>
      </c>
      <c r="H53" s="42">
        <v>2744.91</v>
      </c>
      <c r="I53" s="42"/>
      <c r="J53" s="42"/>
      <c r="K53" s="42">
        <v>392.13</v>
      </c>
      <c r="L53" s="42"/>
    </row>
    <row r="54" spans="1:26" ht="15" customHeight="1" x14ac:dyDescent="0.25">
      <c r="D54" s="174">
        <v>44909</v>
      </c>
      <c r="E54" s="205" t="s">
        <v>1696</v>
      </c>
      <c r="F54" s="99" t="s">
        <v>1697</v>
      </c>
      <c r="G54" s="42">
        <v>19758.150000000001</v>
      </c>
      <c r="H54" s="42">
        <v>4149.21</v>
      </c>
      <c r="I54" s="42"/>
      <c r="J54" s="42"/>
      <c r="K54" s="42">
        <v>592.74</v>
      </c>
      <c r="L54" s="42"/>
    </row>
    <row r="55" spans="1:26" ht="15" customHeight="1" x14ac:dyDescent="0.25">
      <c r="D55" s="174">
        <v>44902</v>
      </c>
      <c r="E55" s="205" t="s">
        <v>1698</v>
      </c>
      <c r="F55" s="99" t="s">
        <v>1699</v>
      </c>
      <c r="G55" s="42">
        <v>12711.75</v>
      </c>
      <c r="H55" s="42">
        <v>2669.47</v>
      </c>
      <c r="I55" s="42"/>
      <c r="J55" s="42"/>
      <c r="K55" s="42">
        <v>381.35</v>
      </c>
      <c r="L55" s="42"/>
    </row>
    <row r="56" spans="1:26" ht="15" customHeight="1" x14ac:dyDescent="0.25">
      <c r="D56" s="174">
        <v>45282</v>
      </c>
      <c r="E56" s="204">
        <v>442557966</v>
      </c>
      <c r="F56" s="98" t="s">
        <v>1700</v>
      </c>
      <c r="G56" s="42">
        <v>609.5</v>
      </c>
      <c r="H56" s="42">
        <v>127.995</v>
      </c>
      <c r="I56" s="42"/>
      <c r="J56" s="42"/>
      <c r="K56" s="42"/>
      <c r="L56" s="206">
        <v>89</v>
      </c>
    </row>
    <row r="57" spans="1:26" ht="15.75" customHeight="1" x14ac:dyDescent="0.25">
      <c r="D57" s="21" t="s">
        <v>1546</v>
      </c>
      <c r="E57" s="43"/>
      <c r="F57" s="43"/>
      <c r="G57" s="42">
        <f>SUBTOTAL(109,'Dic-22'!$G$53:$G$56)</f>
        <v>46150.400000000001</v>
      </c>
      <c r="H57" s="42">
        <f>SUBTOTAL(109,'Dic-22'!$H$53:$H$56)</f>
        <v>9691.5850000000009</v>
      </c>
      <c r="I57" s="42">
        <f>SUBTOTAL(109,'Dic-22'!$I$53:$I$56)</f>
        <v>0</v>
      </c>
      <c r="J57" s="42">
        <f>SUBTOTAL(109,'Dic-22'!$J$53:$J$56)</f>
        <v>0</v>
      </c>
      <c r="K57" s="42">
        <f>SUBTOTAL(109,'Dic-22'!$K$53:$K$56)</f>
        <v>1366.22</v>
      </c>
      <c r="L57" s="42">
        <f>SUBTOTAL(109,'Dic-22'!$L$53:$L$56)</f>
        <v>89</v>
      </c>
    </row>
    <row r="58" spans="1:26" ht="15.75" customHeight="1" x14ac:dyDescent="0.25"/>
    <row r="59" spans="1:26" ht="15.75" customHeight="1" x14ac:dyDescent="0.25"/>
    <row r="60" spans="1:26" ht="15.75" customHeight="1" x14ac:dyDescent="0.25"/>
    <row r="61" spans="1:26" ht="15.75" customHeight="1" x14ac:dyDescent="0.25">
      <c r="D61" s="359" t="s">
        <v>1560</v>
      </c>
      <c r="E61" s="351"/>
      <c r="F61" s="351"/>
      <c r="G61" s="351"/>
      <c r="H61" s="351"/>
      <c r="I61" s="351"/>
      <c r="J61" s="351"/>
      <c r="K61" s="352"/>
    </row>
    <row r="62" spans="1:26" ht="18" customHeight="1" x14ac:dyDescent="0.25">
      <c r="A62" s="50"/>
      <c r="D62" s="44" t="s">
        <v>1532</v>
      </c>
      <c r="E62" s="44" t="s">
        <v>1534</v>
      </c>
      <c r="F62" s="44" t="s">
        <v>1561</v>
      </c>
      <c r="G62" s="44" t="s">
        <v>0</v>
      </c>
      <c r="H62" s="44" t="s">
        <v>1</v>
      </c>
      <c r="I62" s="45" t="s">
        <v>1544</v>
      </c>
      <c r="J62" s="44" t="s">
        <v>1562</v>
      </c>
      <c r="K62" s="44" t="s">
        <v>1545</v>
      </c>
      <c r="S62" s="50"/>
      <c r="T62" s="50"/>
      <c r="U62" s="50"/>
      <c r="V62" s="50"/>
      <c r="W62" s="50"/>
      <c r="X62" s="50"/>
      <c r="Y62" s="50"/>
      <c r="Z62" s="50"/>
    </row>
    <row r="63" spans="1:26" ht="18" customHeight="1" x14ac:dyDescent="0.25">
      <c r="A63" s="50"/>
      <c r="D63" s="10">
        <v>44896</v>
      </c>
      <c r="E63" s="55">
        <v>3</v>
      </c>
      <c r="F63" s="55">
        <v>659</v>
      </c>
      <c r="G63" s="56">
        <v>20086277523</v>
      </c>
      <c r="H63" s="46" t="str">
        <f>IFERROR(IF('Dic-22'!$G63="","-",VLOOKUP('Dic-22'!$G63,Lista_CUIT!$A$1:$D$1871,2,0)),"CUIT NO CARGADO")</f>
        <v>JUAN CARLOS BOTINDARI</v>
      </c>
      <c r="I63" s="49">
        <v>51900</v>
      </c>
      <c r="J63" s="47" t="str">
        <f>IFERROR(IF('Dic-22'!$G63="","-",VLOOKUP('Dic-22'!$G63,Lista_CUIT!$A$1:$D$1871,3,0)),"CUIT NO CARGADO")</f>
        <v>HONORARIOS</v>
      </c>
      <c r="K63" s="47">
        <f>IFERROR(IF('Dic-22'!$G63="","-",VLOOKUP('Dic-22'!$G63,Lista_CUIT!$A$1:$D$1871,4,0)),"CUIT NO CARGADO")</f>
        <v>0</v>
      </c>
      <c r="S63" s="50"/>
      <c r="T63" s="50"/>
      <c r="U63" s="50"/>
      <c r="V63" s="50"/>
      <c r="W63" s="50"/>
      <c r="X63" s="50"/>
      <c r="Y63" s="50"/>
      <c r="Z63" s="50"/>
    </row>
    <row r="64" spans="1:26" ht="18" customHeight="1" x14ac:dyDescent="0.25">
      <c r="A64" s="50"/>
      <c r="D64" s="10">
        <v>44896</v>
      </c>
      <c r="E64" s="55">
        <v>1</v>
      </c>
      <c r="F64" s="55">
        <v>31</v>
      </c>
      <c r="G64" s="56">
        <v>27925308884</v>
      </c>
      <c r="H64" s="46" t="str">
        <f>IFERROR(IF('Dic-22'!$G64="","-",VLOOKUP('Dic-22'!$G64,Lista_CUIT!$A$1:$D$1871,2,0)),"CUIT NO CARGADO")</f>
        <v>LOPEZ LOPEZ FLAVIA</v>
      </c>
      <c r="I64" s="49">
        <v>5900</v>
      </c>
      <c r="J64" s="47" t="str">
        <f>IFERROR(IF('Dic-22'!$G64="","-",VLOOKUP('Dic-22'!$G64,Lista_CUIT!$A$1:$D$1871,3,0)),"CUIT NO CARGADO")</f>
        <v>FLETE</v>
      </c>
      <c r="K64" s="47">
        <f>IFERROR(IF('Dic-22'!$G64="","-",VLOOKUP('Dic-22'!$G64,Lista_CUIT!$A$1:$D$1871,4,0)),"CUIT NO CARGADO")</f>
        <v>0</v>
      </c>
      <c r="S64" s="50"/>
      <c r="T64" s="50"/>
      <c r="U64" s="50"/>
      <c r="V64" s="50"/>
      <c r="W64" s="50"/>
      <c r="X64" s="50"/>
      <c r="Y64" s="50"/>
      <c r="Z64" s="50"/>
    </row>
    <row r="65" spans="1:26" ht="18" customHeight="1" x14ac:dyDescent="0.25">
      <c r="A65" s="50"/>
      <c r="D65" s="10">
        <v>44900</v>
      </c>
      <c r="E65" s="55">
        <v>2</v>
      </c>
      <c r="F65" s="55">
        <v>118</v>
      </c>
      <c r="G65" s="56">
        <v>27397607602</v>
      </c>
      <c r="H65" s="46" t="str">
        <f>IFERROR(IF('Dic-22'!$G65="","-",VLOOKUP('Dic-22'!$G65,Lista_CUIT!$A$1:$D$1871,2,0)),"CUIT NO CARGADO")</f>
        <v>RIOS ALDANA SOFIA</v>
      </c>
      <c r="I65" s="49">
        <v>21300</v>
      </c>
      <c r="J65" s="47" t="str">
        <f>IFERROR(IF('Dic-22'!$G65="","-",VLOOKUP('Dic-22'!$G65,Lista_CUIT!$A$1:$D$1871,3,0)),"CUIT NO CARGADO")</f>
        <v>Honorarios Profesionales</v>
      </c>
      <c r="K65" s="47">
        <f>IFERROR(IF('Dic-22'!$G65="","-",VLOOKUP('Dic-22'!$G65,Lista_CUIT!$A$1:$D$1871,4,0)),"CUIT NO CARGADO")</f>
        <v>0</v>
      </c>
      <c r="S65" s="50"/>
      <c r="T65" s="50"/>
      <c r="U65" s="50"/>
      <c r="V65" s="50"/>
      <c r="W65" s="50"/>
      <c r="X65" s="50"/>
      <c r="Y65" s="50"/>
      <c r="Z65" s="50"/>
    </row>
    <row r="66" spans="1:26" ht="18" customHeight="1" x14ac:dyDescent="0.25">
      <c r="A66" s="50"/>
      <c r="D66" s="10">
        <v>44900</v>
      </c>
      <c r="E66" s="55">
        <v>1</v>
      </c>
      <c r="F66" s="55">
        <v>94</v>
      </c>
      <c r="G66" s="56">
        <v>20341465134</v>
      </c>
      <c r="H66" s="46" t="str">
        <f>IFERROR(IF('Dic-22'!$G66="","-",VLOOKUP('Dic-22'!$G66,Lista_CUIT!$A$1:$D$1871,2,0)),"CUIT NO CARGADO")</f>
        <v xml:space="preserve">ABELEDO AGUSTIN ENRIQUE </v>
      </c>
      <c r="I66" s="49">
        <v>145450</v>
      </c>
      <c r="J66" s="47" t="str">
        <f>IFERROR(IF('Dic-22'!$G66="","-",VLOOKUP('Dic-22'!$G66,Lista_CUIT!$A$1:$D$1871,3,0)),"CUIT NO CARGADO")</f>
        <v>HONOR. INGENIERO</v>
      </c>
      <c r="K66" s="47">
        <f>IFERROR(IF('Dic-22'!$G66="","-",VLOOKUP('Dic-22'!$G66,Lista_CUIT!$A$1:$D$1871,4,0)),"CUIT NO CARGADO")</f>
        <v>0</v>
      </c>
      <c r="S66" s="50"/>
      <c r="T66" s="50"/>
      <c r="U66" s="50"/>
      <c r="V66" s="50"/>
      <c r="W66" s="50"/>
      <c r="X66" s="50"/>
      <c r="Y66" s="50"/>
      <c r="Z66" s="50"/>
    </row>
    <row r="67" spans="1:26" ht="18" customHeight="1" x14ac:dyDescent="0.25">
      <c r="A67" s="50"/>
      <c r="D67" s="10">
        <v>44902</v>
      </c>
      <c r="E67" s="55">
        <v>2</v>
      </c>
      <c r="F67" s="55">
        <v>74422</v>
      </c>
      <c r="G67" s="56">
        <v>30554466806</v>
      </c>
      <c r="H67" s="46" t="str">
        <f>IFERROR(IF('Dic-22'!$G67="","-",VLOOKUP('Dic-22'!$G67,Lista_CUIT!$A$1:$D$1871,2,0)),"CUIT NO CARGADO")</f>
        <v>ASOCIACION DE IMPORTADORES Y EXPORTADORES DE LA REPUBLICA ARGENTINA</v>
      </c>
      <c r="I67" s="49">
        <v>1800</v>
      </c>
      <c r="J67" s="47" t="str">
        <f>IFERROR(IF('Dic-22'!$G67="","-",VLOOKUP('Dic-22'!$G67,Lista_CUIT!$A$1:$D$1871,3,0)),"CUIT NO CARGADO")</f>
        <v>FLETE</v>
      </c>
      <c r="K67" s="47">
        <f>IFERROR(IF('Dic-22'!$G67="","-",VLOOKUP('Dic-22'!$G67,Lista_CUIT!$A$1:$D$1871,4,0)),"CUIT NO CARGADO")</f>
        <v>0</v>
      </c>
      <c r="S67" s="50"/>
      <c r="T67" s="50"/>
      <c r="U67" s="50"/>
      <c r="V67" s="50"/>
      <c r="W67" s="50"/>
      <c r="X67" s="50"/>
      <c r="Y67" s="50"/>
      <c r="Z67" s="50"/>
    </row>
    <row r="68" spans="1:26" ht="18" customHeight="1" x14ac:dyDescent="0.25">
      <c r="A68" s="50"/>
      <c r="D68" s="10">
        <v>44907</v>
      </c>
      <c r="E68" s="55">
        <v>2</v>
      </c>
      <c r="F68" s="55">
        <v>96</v>
      </c>
      <c r="G68" s="56">
        <v>27125997835</v>
      </c>
      <c r="H68" s="46" t="str">
        <f>IFERROR(IF('Dic-22'!$G68="","-",VLOOKUP('Dic-22'!$G68,Lista_CUIT!$A$1:$D$1871,2,0)),"CUIT NO CARGADO")</f>
        <v>DANSKY ULLMANN VIVIANA EVA YOLANDA</v>
      </c>
      <c r="I68" s="49">
        <v>50000</v>
      </c>
      <c r="J68" s="47" t="str">
        <f>IFERROR(IF('Dic-22'!$G68="","-",VLOOKUP('Dic-22'!$G68,Lista_CUIT!$A$1:$D$1871,3,0)),"CUIT NO CARGADO")</f>
        <v>Honorarios Legales</v>
      </c>
      <c r="K68" s="47">
        <f>IFERROR(IF('Dic-22'!$G68="","-",VLOOKUP('Dic-22'!$G68,Lista_CUIT!$A$1:$D$1871,4,0)),"CUIT NO CARGADO")</f>
        <v>0</v>
      </c>
      <c r="S68" s="50"/>
      <c r="T68" s="50"/>
      <c r="U68" s="50"/>
      <c r="V68" s="50"/>
      <c r="W68" s="50"/>
      <c r="X68" s="50"/>
      <c r="Y68" s="50"/>
      <c r="Z68" s="50"/>
    </row>
    <row r="69" spans="1:26" ht="18" customHeight="1" x14ac:dyDescent="0.25">
      <c r="A69" s="50"/>
      <c r="D69" s="10">
        <v>44907</v>
      </c>
      <c r="E69" s="55">
        <v>2</v>
      </c>
      <c r="F69" s="55">
        <v>78</v>
      </c>
      <c r="G69" s="56">
        <v>20244271740</v>
      </c>
      <c r="H69" s="46" t="str">
        <f>IFERROR(IF('Dic-22'!$G69="","-",VLOOKUP('Dic-22'!$G69,Lista_CUIT!$A$1:$D$1871,2,0)),"CUIT NO CARGADO")</f>
        <v xml:space="preserve">KENNEL SEBASTIAN </v>
      </c>
      <c r="I69" s="49">
        <v>210800</v>
      </c>
      <c r="J69" s="47" t="str">
        <f>IFERROR(IF('Dic-22'!$G69="","-",VLOOKUP('Dic-22'!$G69,Lista_CUIT!$A$1:$D$1871,3,0)),"CUIT NO CARGADO")</f>
        <v>SOFTWARE MANTENIMIENTO</v>
      </c>
      <c r="K69" s="47">
        <f>IFERROR(IF('Dic-22'!$G69="","-",VLOOKUP('Dic-22'!$G69,Lista_CUIT!$A$1:$D$1871,4,0)),"CUIT NO CARGADO")</f>
        <v>0</v>
      </c>
      <c r="S69" s="50"/>
      <c r="T69" s="50"/>
      <c r="U69" s="50"/>
      <c r="V69" s="50"/>
      <c r="W69" s="50"/>
      <c r="X69" s="50"/>
      <c r="Y69" s="50"/>
      <c r="Z69" s="50"/>
    </row>
    <row r="70" spans="1:26" ht="18" customHeight="1" x14ac:dyDescent="0.25">
      <c r="A70" s="50"/>
      <c r="D70" s="10">
        <v>44907</v>
      </c>
      <c r="E70" s="55">
        <v>3</v>
      </c>
      <c r="F70" s="55">
        <v>38</v>
      </c>
      <c r="G70" s="56">
        <v>20403931420</v>
      </c>
      <c r="H70" s="46" t="str">
        <f>IFERROR(IF('Dic-22'!$G70="","-",VLOOKUP('Dic-22'!$G70,Lista_CUIT!$A$1:$D$1871,2,0)),"CUIT NO CARGADO")</f>
        <v>FIORENTINO JORGE IGNACIO</v>
      </c>
      <c r="I70" s="49">
        <v>117580</v>
      </c>
      <c r="J70" s="47" t="str">
        <f>IFERROR(IF('Dic-22'!$G70="","-",VLOOKUP('Dic-22'!$G70,Lista_CUIT!$A$1:$D$1871,3,0)),"CUIT NO CARGADO")</f>
        <v>Honorarios Administrativos-Cobranzas y Gestion Clientes</v>
      </c>
      <c r="K70" s="47">
        <f>IFERROR(IF('Dic-22'!$G70="","-",VLOOKUP('Dic-22'!$G70,Lista_CUIT!$A$1:$D$1871,4,0)),"CUIT NO CARGADO")</f>
        <v>0</v>
      </c>
      <c r="S70" s="50"/>
      <c r="T70" s="50"/>
      <c r="U70" s="50"/>
      <c r="V70" s="50"/>
      <c r="W70" s="50"/>
      <c r="X70" s="50"/>
      <c r="Y70" s="50"/>
      <c r="Z70" s="50"/>
    </row>
    <row r="71" spans="1:26" ht="18" customHeight="1" x14ac:dyDescent="0.25">
      <c r="A71" s="50"/>
      <c r="D71" s="10">
        <v>44908</v>
      </c>
      <c r="E71" s="55">
        <v>1</v>
      </c>
      <c r="F71" s="55">
        <v>13</v>
      </c>
      <c r="G71" s="56">
        <v>20417805878</v>
      </c>
      <c r="H71" s="46" t="str">
        <f>IFERROR(IF('Dic-22'!$G71="","-",VLOOKUP('Dic-22'!$G71,Lista_CUIT!$A$1:$D$1871,2,0)),"CUIT NO CARGADO")</f>
        <v>FERABOLI OSPAL SANTIAGO HERNAN</v>
      </c>
      <c r="I71" s="49">
        <v>126460</v>
      </c>
      <c r="J71" s="47" t="str">
        <f>IFERROR(IF('Dic-22'!$G71="","-",VLOOKUP('Dic-22'!$G71,Lista_CUIT!$A$1:$D$1871,3,0)),"CUIT NO CARGADO")</f>
        <v>Control medidores masicos</v>
      </c>
      <c r="K71" s="47">
        <f>IFERROR(IF('Dic-22'!$G71="","-",VLOOKUP('Dic-22'!$G71,Lista_CUIT!$A$1:$D$1871,4,0)),"CUIT NO CARGADO")</f>
        <v>0</v>
      </c>
      <c r="S71" s="50"/>
      <c r="T71" s="50"/>
      <c r="U71" s="50"/>
      <c r="V71" s="50"/>
      <c r="W71" s="50"/>
      <c r="X71" s="50"/>
      <c r="Y71" s="50"/>
      <c r="Z71" s="50"/>
    </row>
    <row r="72" spans="1:26" ht="18" customHeight="1" x14ac:dyDescent="0.25">
      <c r="A72" s="50"/>
      <c r="D72" s="10">
        <v>44908</v>
      </c>
      <c r="E72" s="55">
        <v>2</v>
      </c>
      <c r="F72" s="55">
        <v>17</v>
      </c>
      <c r="G72" s="56">
        <v>23326777269</v>
      </c>
      <c r="H72" s="46" t="str">
        <f>IFERROR(IF('Dic-22'!$G72="","-",VLOOKUP('Dic-22'!$G72,Lista_CUIT!$A$1:$D$1871,2,0)),"CUIT NO CARGADO")</f>
        <v>DE BONIS IGNACIO LUIS</v>
      </c>
      <c r="I72" s="49">
        <v>90055</v>
      </c>
      <c r="J72" s="47" t="str">
        <f>IFERROR(IF('Dic-22'!$G72="","-",VLOOKUP('Dic-22'!$G72,Lista_CUIT!$A$1:$D$1871,3,0)),"CUIT NO CARGADO")</f>
        <v>Control medidores masicos</v>
      </c>
      <c r="K72" s="47">
        <f>IFERROR(IF('Dic-22'!$G72="","-",VLOOKUP('Dic-22'!$G72,Lista_CUIT!$A$1:$D$1871,4,0)),"CUIT NO CARGADO")</f>
        <v>0</v>
      </c>
      <c r="S72" s="50"/>
      <c r="T72" s="50"/>
      <c r="U72" s="50"/>
      <c r="V72" s="50"/>
      <c r="W72" s="50"/>
      <c r="X72" s="50"/>
      <c r="Y72" s="50"/>
      <c r="Z72" s="50"/>
    </row>
    <row r="73" spans="1:26" ht="18" customHeight="1" x14ac:dyDescent="0.25">
      <c r="A73" s="50"/>
      <c r="D73" s="10">
        <v>44909</v>
      </c>
      <c r="E73" s="55">
        <v>3</v>
      </c>
      <c r="F73" s="55">
        <v>661</v>
      </c>
      <c r="G73" s="56">
        <v>20086277523</v>
      </c>
      <c r="H73" s="46" t="str">
        <f>IFERROR(IF('Dic-22'!$G73="","-",VLOOKUP('Dic-22'!$G73,Lista_CUIT!$A$1:$D$1871,2,0)),"CUIT NO CARGADO")</f>
        <v>JUAN CARLOS BOTINDARI</v>
      </c>
      <c r="I73" s="49">
        <v>10900</v>
      </c>
      <c r="J73" s="47" t="str">
        <f>IFERROR(IF('Dic-22'!$G73="","-",VLOOKUP('Dic-22'!$G73,Lista_CUIT!$A$1:$D$1871,3,0)),"CUIT NO CARGADO")</f>
        <v>HONORARIOS</v>
      </c>
      <c r="K73" s="47">
        <f>IFERROR(IF('Dic-22'!$G73="","-",VLOOKUP('Dic-22'!$G73,Lista_CUIT!$A$1:$D$1871,4,0)),"CUIT NO CARGADO")</f>
        <v>0</v>
      </c>
      <c r="S73" s="50"/>
      <c r="T73" s="50"/>
      <c r="U73" s="50"/>
      <c r="V73" s="50"/>
      <c r="W73" s="50"/>
      <c r="X73" s="50"/>
      <c r="Y73" s="50"/>
      <c r="Z73" s="50"/>
    </row>
    <row r="74" spans="1:26" ht="18" customHeight="1" x14ac:dyDescent="0.25">
      <c r="A74" s="50"/>
      <c r="D74" s="10">
        <v>44909</v>
      </c>
      <c r="E74" s="55">
        <v>1</v>
      </c>
      <c r="F74" s="55">
        <v>48</v>
      </c>
      <c r="G74" s="56">
        <v>27925308884</v>
      </c>
      <c r="H74" s="46" t="str">
        <f>IFERROR(IF('Dic-22'!$G74="","-",VLOOKUP('Dic-22'!$G74,Lista_CUIT!$A$1:$D$1871,2,0)),"CUIT NO CARGADO")</f>
        <v>LOPEZ LOPEZ FLAVIA</v>
      </c>
      <c r="I74" s="49">
        <v>2400</v>
      </c>
      <c r="J74" s="47" t="str">
        <f>IFERROR(IF('Dic-22'!$G74="","-",VLOOKUP('Dic-22'!$G74,Lista_CUIT!$A$1:$D$1871,3,0)),"CUIT NO CARGADO")</f>
        <v>FLETE</v>
      </c>
      <c r="K74" s="47">
        <f>IFERROR(IF('Dic-22'!$G74="","-",VLOOKUP('Dic-22'!$G74,Lista_CUIT!$A$1:$D$1871,4,0)),"CUIT NO CARGADO")</f>
        <v>0</v>
      </c>
      <c r="S74" s="50"/>
      <c r="T74" s="50"/>
      <c r="U74" s="50"/>
      <c r="V74" s="50"/>
      <c r="W74" s="50"/>
      <c r="X74" s="50"/>
      <c r="Y74" s="50"/>
      <c r="Z74" s="50"/>
    </row>
    <row r="75" spans="1:26" ht="18" customHeight="1" x14ac:dyDescent="0.25">
      <c r="A75" s="50"/>
      <c r="D75" s="10">
        <v>44911</v>
      </c>
      <c r="E75" s="55">
        <v>1</v>
      </c>
      <c r="F75" s="55">
        <v>11</v>
      </c>
      <c r="G75" s="56">
        <v>20338344695</v>
      </c>
      <c r="H75" s="46" t="str">
        <f>IFERROR(IF('Dic-22'!$G75="","-",VLOOKUP('Dic-22'!$G75,Lista_CUIT!$A$1:$D$1871,2,0)),"CUIT NO CARGADO")</f>
        <v>FUERTES DAMIAN MATIAS</v>
      </c>
      <c r="I75" s="49">
        <v>15000</v>
      </c>
      <c r="J75" s="47" t="str">
        <f>IFERROR(IF('Dic-22'!$G75="","-",VLOOKUP('Dic-22'!$G75,Lista_CUIT!$A$1:$D$1871,3,0)),"CUIT NO CARGADO")</f>
        <v>INSUMO</v>
      </c>
      <c r="K75" s="47">
        <f>IFERROR(IF('Dic-22'!$G75="","-",VLOOKUP('Dic-22'!$G75,Lista_CUIT!$A$1:$D$1871,4,0)),"CUIT NO CARGADO")</f>
        <v>0</v>
      </c>
      <c r="S75" s="50"/>
      <c r="T75" s="50"/>
      <c r="U75" s="50"/>
      <c r="V75" s="50"/>
      <c r="W75" s="50"/>
      <c r="X75" s="50"/>
      <c r="Y75" s="50"/>
      <c r="Z75" s="50"/>
    </row>
    <row r="76" spans="1:26" ht="18" customHeight="1" x14ac:dyDescent="0.25">
      <c r="A76" s="50"/>
      <c r="D76" s="10">
        <v>44917</v>
      </c>
      <c r="E76" s="55">
        <v>4</v>
      </c>
      <c r="F76" s="55">
        <v>8</v>
      </c>
      <c r="G76" s="56">
        <v>20341462933</v>
      </c>
      <c r="H76" s="46" t="str">
        <f>IFERROR(IF('Dic-22'!$G76="","-",VLOOKUP('Dic-22'!$G76,Lista_CUIT!$A$1:$D$1871,2,0)),"CUIT NO CARGADO")</f>
        <v>CASTIGLIONI MATIAS EZEQUIEL</v>
      </c>
      <c r="I76" s="49">
        <v>195000</v>
      </c>
      <c r="J76" s="47" t="str">
        <f>IFERROR(IF('Dic-22'!$G76="","-",VLOOKUP('Dic-22'!$G76,Lista_CUIT!$A$1:$D$1871,3,0)),"CUIT NO CARGADO")</f>
        <v>MAT. PRIM.</v>
      </c>
      <c r="K76" s="47">
        <f>IFERROR(IF('Dic-22'!$G76="","-",VLOOKUP('Dic-22'!$G76,Lista_CUIT!$A$1:$D$1871,4,0)),"CUIT NO CARGADO")</f>
        <v>0</v>
      </c>
      <c r="S76" s="50"/>
      <c r="T76" s="50"/>
      <c r="U76" s="50"/>
      <c r="V76" s="50"/>
      <c r="W76" s="50"/>
      <c r="X76" s="50"/>
      <c r="Y76" s="50"/>
      <c r="Z76" s="50"/>
    </row>
    <row r="77" spans="1:26" ht="15.75" customHeight="1" x14ac:dyDescent="0.25">
      <c r="D77" s="10">
        <v>44917</v>
      </c>
      <c r="E77" s="12">
        <v>1</v>
      </c>
      <c r="F77" s="13">
        <v>19</v>
      </c>
      <c r="G77" s="14">
        <v>20365938688</v>
      </c>
      <c r="H77" s="46" t="str">
        <f>IFERROR(IF('Dic-22'!$G77="","-",VLOOKUP('Dic-22'!$G77,Lista_CUIT!$A$1:$D$1871,2,0)),"CUIT NO CARGADO")</f>
        <v>LIPANOVICH JUAN CRUZ</v>
      </c>
      <c r="I77" s="42">
        <v>330000</v>
      </c>
      <c r="J77" s="47" t="str">
        <f>IFERROR(IF('Dic-22'!$G77="","-",VLOOKUP('Dic-22'!$G77,Lista_CUIT!$A$1:$D$1871,3,0)),"CUIT NO CARGADO")</f>
        <v>Servicios Informatica</v>
      </c>
      <c r="K77" s="47">
        <f>IFERROR(IF('Dic-22'!$G77="","-",VLOOKUP('Dic-22'!$G77,Lista_CUIT!$A$1:$D$1871,4,0)),"CUIT NO CARGADO")</f>
        <v>0</v>
      </c>
    </row>
    <row r="78" spans="1:26" ht="15.75" customHeight="1" x14ac:dyDescent="0.25">
      <c r="D78" s="10">
        <v>44922</v>
      </c>
      <c r="E78" s="12">
        <v>2</v>
      </c>
      <c r="F78" s="13">
        <v>226</v>
      </c>
      <c r="G78" s="14">
        <v>27206941419</v>
      </c>
      <c r="H78" s="46" t="str">
        <f>IFERROR(IF('Dic-22'!$G78="","-",VLOOKUP('Dic-22'!$G78,Lista_CUIT!$A$1:$D$1871,2,0)),"CUIT NO CARGADO")</f>
        <v>DOBARRO PAULA MARCELA</v>
      </c>
      <c r="I78" s="42">
        <v>109350</v>
      </c>
      <c r="J78" s="47" t="str">
        <f>IFERROR(IF('Dic-22'!$G78="","-",VLOOKUP('Dic-22'!$G78,Lista_CUIT!$A$1:$D$1871,3,0)),"CUIT NO CARGADO")</f>
        <v>HONORARIOS CONTABLES</v>
      </c>
      <c r="K78" s="47">
        <f>IFERROR(IF('Dic-22'!$G78="","-",VLOOKUP('Dic-22'!$G78,Lista_CUIT!$A$1:$D$1871,4,0)),"CUIT NO CARGADO")</f>
        <v>0</v>
      </c>
    </row>
    <row r="79" spans="1:26" ht="15.75" customHeight="1" x14ac:dyDescent="0.25">
      <c r="D79" s="10">
        <v>44923</v>
      </c>
      <c r="E79" s="12">
        <v>2</v>
      </c>
      <c r="F79" s="13">
        <v>291</v>
      </c>
      <c r="G79" s="14">
        <v>27118169951</v>
      </c>
      <c r="H79" s="46" t="str">
        <f>IFERROR(IF('Dic-22'!$G79="","-",VLOOKUP('Dic-22'!$G79,Lista_CUIT!$A$1:$D$1871,2,0)),"CUIT NO CARGADO")</f>
        <v>PATRICIA MARCELA RIZZI</v>
      </c>
      <c r="I79" s="42">
        <v>14800</v>
      </c>
      <c r="J79" s="47" t="str">
        <f>IFERROR(IF('Dic-22'!$G79="","-",VLOOKUP('Dic-22'!$G79,Lista_CUIT!$A$1:$D$1871,3,0)),"CUIT NO CARGADO")</f>
        <v>HONORARIOS</v>
      </c>
      <c r="K79" s="47">
        <f>IFERROR(IF('Dic-22'!$G79="","-",VLOOKUP('Dic-22'!$G79,Lista_CUIT!$A$1:$D$1871,4,0)),"CUIT NO CARGADO")</f>
        <v>0</v>
      </c>
    </row>
    <row r="80" spans="1:26" ht="15.75" customHeight="1" x14ac:dyDescent="0.25">
      <c r="D80" s="10">
        <v>44923</v>
      </c>
      <c r="E80" s="12">
        <v>2</v>
      </c>
      <c r="F80" s="13">
        <v>2646</v>
      </c>
      <c r="G80" s="14">
        <v>20247521764</v>
      </c>
      <c r="H80" s="46" t="str">
        <f>IFERROR(IF('Dic-22'!$G80="","-",VLOOKUP('Dic-22'!$G80,Lista_CUIT!$A$1:$D$1871,2,0)),"CUIT NO CARGADO")</f>
        <v>SOBRINO LEANDRO HUGO</v>
      </c>
      <c r="I80" s="42">
        <v>1450</v>
      </c>
      <c r="J80" s="47" t="str">
        <f>IFERROR(IF('Dic-22'!$G80="","-",VLOOKUP('Dic-22'!$G80,Lista_CUIT!$A$1:$D$1871,3,0)),"CUIT NO CARGADO")</f>
        <v>Gastos Varios</v>
      </c>
      <c r="K80" s="47" t="str">
        <f>IFERROR(IF('Dic-22'!$G80="","-",VLOOKUP('Dic-22'!$G80,Lista_CUIT!$A$1:$D$1871,4,0)),"CUIT NO CARGADO")</f>
        <v>SOBRINO LEANDRO HUGO</v>
      </c>
    </row>
    <row r="81" spans="2:18" ht="15.75" customHeight="1" x14ac:dyDescent="0.25">
      <c r="D81" s="47" t="s">
        <v>1546</v>
      </c>
      <c r="E81" s="47"/>
      <c r="F81" s="47"/>
      <c r="G81" s="47"/>
      <c r="H81" s="48"/>
      <c r="I81" s="49">
        <f>SUBTOTAL(109,'Dic-22'!$I$63:$I$80)</f>
        <v>1500145</v>
      </c>
      <c r="J81" s="47"/>
      <c r="K81" s="47"/>
    </row>
    <row r="82" spans="2:18" ht="15.75" customHeight="1" x14ac:dyDescent="0.25">
      <c r="B82" s="50"/>
      <c r="C82" s="50"/>
      <c r="L82" s="50"/>
      <c r="M82" s="50"/>
      <c r="N82" s="50"/>
      <c r="O82" s="50"/>
      <c r="P82" s="50"/>
      <c r="Q82" s="5"/>
      <c r="R82" s="50"/>
    </row>
    <row r="83" spans="2:18" ht="22.5" customHeight="1" x14ac:dyDescent="0.25"/>
    <row r="84" spans="2:18" ht="15.75" customHeight="1" x14ac:dyDescent="0.25"/>
    <row r="85" spans="2:18" ht="18" customHeight="1" x14ac:dyDescent="0.25"/>
    <row r="86" spans="2:18" ht="15.75" customHeight="1" x14ac:dyDescent="0.25"/>
    <row r="87" spans="2:18" ht="15.75" customHeight="1" x14ac:dyDescent="0.25">
      <c r="B87" s="366" t="s">
        <v>1563</v>
      </c>
      <c r="C87" s="351"/>
      <c r="D87" s="351"/>
      <c r="E87" s="351"/>
      <c r="F87" s="351"/>
      <c r="G87" s="351"/>
      <c r="H87" s="351"/>
      <c r="I87" s="351"/>
      <c r="J87" s="352"/>
      <c r="K87" s="367">
        <f>N1</f>
        <v>44896</v>
      </c>
      <c r="L87" s="351"/>
      <c r="M87" s="352"/>
    </row>
    <row r="88" spans="2:18" ht="15.75" customHeight="1" x14ac:dyDescent="0.25"/>
    <row r="89" spans="2:18" ht="15.75" customHeight="1" x14ac:dyDescent="0.25">
      <c r="B89" s="368" t="s">
        <v>1564</v>
      </c>
      <c r="C89" s="369"/>
    </row>
    <row r="90" spans="2:18" ht="15.75" customHeight="1" x14ac:dyDescent="0.25">
      <c r="B90" s="51" t="s">
        <v>1532</v>
      </c>
      <c r="C90" s="52" t="s">
        <v>1533</v>
      </c>
      <c r="D90" s="52" t="s">
        <v>1565</v>
      </c>
      <c r="E90" s="52" t="s">
        <v>1566</v>
      </c>
      <c r="F90" s="52" t="s">
        <v>0</v>
      </c>
      <c r="G90" s="52" t="s">
        <v>1</v>
      </c>
      <c r="H90" s="52" t="s">
        <v>1567</v>
      </c>
      <c r="I90" s="52" t="s">
        <v>1551</v>
      </c>
      <c r="J90" s="52" t="s">
        <v>1539</v>
      </c>
      <c r="K90" s="52" t="s">
        <v>1568</v>
      </c>
      <c r="L90" s="52" t="s">
        <v>1544</v>
      </c>
      <c r="M90" s="53" t="s">
        <v>1545</v>
      </c>
    </row>
    <row r="91" spans="2:18" ht="15.75" customHeight="1" x14ac:dyDescent="0.25">
      <c r="B91" s="10" t="s">
        <v>1701</v>
      </c>
      <c r="C91" s="11">
        <v>1</v>
      </c>
      <c r="D91" s="12">
        <v>3</v>
      </c>
      <c r="E91" s="13">
        <v>99</v>
      </c>
      <c r="F91" s="14">
        <v>30628274327</v>
      </c>
      <c r="G91" s="57" t="str">
        <f>IFERROR(IF('Dic-22'!$F91="","-",VLOOKUP('Dic-22'!$F91,Lista_CUIT!$A$1:$D$1871,2,0)),"CUIT NO CARGADO")</f>
        <v>AGIRA SA</v>
      </c>
      <c r="H91" s="58">
        <v>4477867.2</v>
      </c>
      <c r="I91" s="59"/>
      <c r="J91" s="60">
        <v>470176.05600000004</v>
      </c>
      <c r="K91" s="60"/>
      <c r="L91" s="60">
        <f>SUM('Dic-22'!$H91:$K91)</f>
        <v>4948043.2560000001</v>
      </c>
      <c r="M91" s="61"/>
    </row>
    <row r="92" spans="2:18" ht="15.75" customHeight="1" x14ac:dyDescent="0.25">
      <c r="B92" s="10" t="s">
        <v>1701</v>
      </c>
      <c r="C92" s="11">
        <v>1</v>
      </c>
      <c r="D92" s="12">
        <v>3</v>
      </c>
      <c r="E92" s="13">
        <v>100</v>
      </c>
      <c r="F92" s="14">
        <v>30638318470</v>
      </c>
      <c r="G92" s="57" t="str">
        <f>IFERROR(IF('Dic-22'!$F92="","-",VLOOKUP('Dic-22'!$F92,Lista_CUIT!$A$1:$D$1871,2,0)),"CUIT NO CARGADO")</f>
        <v>DELTA COMPRESION S.R.L</v>
      </c>
      <c r="H92" s="58">
        <v>515222.4</v>
      </c>
      <c r="I92" s="59">
        <f>'Dic-22'!$H92*0.21</f>
        <v>108196.704</v>
      </c>
      <c r="J92" s="60"/>
      <c r="K92" s="60"/>
      <c r="L92" s="60">
        <f>SUM('Dic-22'!$H92:$K92)</f>
        <v>623419.10400000005</v>
      </c>
      <c r="M92" s="61"/>
    </row>
    <row r="93" spans="2:18" ht="15.75" customHeight="1" x14ac:dyDescent="0.25">
      <c r="B93" s="10" t="s">
        <v>1701</v>
      </c>
      <c r="C93" s="11">
        <v>1</v>
      </c>
      <c r="D93" s="12">
        <v>3</v>
      </c>
      <c r="E93" s="13">
        <v>101</v>
      </c>
      <c r="F93" s="14">
        <v>30715595105</v>
      </c>
      <c r="G93" s="57" t="str">
        <f>IFERROR(IF('Dic-22'!$F93="","-",VLOOKUP('Dic-22'!$F93,Lista_CUIT!$A$1:$D$1871,2,0)),"CUIT NO CARGADO")</f>
        <v>ASPRO SERVICIOS PETROLEROS S.A.</v>
      </c>
      <c r="H93" s="58">
        <v>66912</v>
      </c>
      <c r="I93" s="59">
        <f>'Dic-22'!$H93*0.21</f>
        <v>14051.519999999999</v>
      </c>
      <c r="J93" s="60"/>
      <c r="K93" s="60"/>
      <c r="L93" s="60">
        <f>SUM('Dic-22'!$H93:$K93)</f>
        <v>80963.520000000004</v>
      </c>
      <c r="M93" s="61"/>
    </row>
    <row r="94" spans="2:18" ht="15.75" customHeight="1" x14ac:dyDescent="0.25">
      <c r="B94" s="10" t="s">
        <v>1702</v>
      </c>
      <c r="C94" s="11">
        <v>1</v>
      </c>
      <c r="D94" s="12">
        <v>3</v>
      </c>
      <c r="E94" s="13">
        <v>102</v>
      </c>
      <c r="F94" s="14">
        <v>33717088269</v>
      </c>
      <c r="G94" s="57" t="str">
        <f>IFERROR(IF('Dic-22'!$F94="","-",VLOOKUP('Dic-22'!$F94,Lista_CUIT!$A$1:$D$1871,2,0)),"CUIT NO CARGADO")</f>
        <v>NEXT SERVICE GNC S.R.L.</v>
      </c>
      <c r="H94" s="58">
        <v>902000</v>
      </c>
      <c r="I94" s="59">
        <f>'Dic-22'!$H94*0.21</f>
        <v>189420</v>
      </c>
      <c r="J94" s="60"/>
      <c r="K94" s="60"/>
      <c r="L94" s="60">
        <f>SUM('Dic-22'!$H94:$K94)</f>
        <v>1091420</v>
      </c>
      <c r="M94" s="61"/>
    </row>
    <row r="95" spans="2:18" ht="25.5" customHeight="1" x14ac:dyDescent="0.25">
      <c r="B95" s="10" t="s">
        <v>1702</v>
      </c>
      <c r="C95" s="11">
        <v>1</v>
      </c>
      <c r="D95" s="12">
        <v>3</v>
      </c>
      <c r="E95" s="13">
        <v>103</v>
      </c>
      <c r="F95" s="14">
        <v>30574668715</v>
      </c>
      <c r="G95" s="57" t="str">
        <f>IFERROR(IF('Dic-22'!$F95="","-",VLOOKUP('Dic-22'!$F95,Lista_CUIT!$A$1:$D$1871,2,0)),"CUIT NO CARGADO")</f>
        <v>ESTACION DE SERVICIOS LAURENCENA S R L</v>
      </c>
      <c r="H95" s="58">
        <v>40659.4</v>
      </c>
      <c r="I95" s="59">
        <f>'Dic-22'!$H95*0.21</f>
        <v>8538.4740000000002</v>
      </c>
      <c r="J95" s="60"/>
      <c r="K95" s="60"/>
      <c r="L95" s="60">
        <f>SUM('Dic-22'!$H95:$K95)</f>
        <v>49197.874000000003</v>
      </c>
      <c r="M95" s="61"/>
    </row>
    <row r="96" spans="2:18" ht="15.75" customHeight="1" x14ac:dyDescent="0.25">
      <c r="B96" s="76" t="s">
        <v>1546</v>
      </c>
      <c r="C96" s="77"/>
      <c r="D96" s="77"/>
      <c r="E96" s="77"/>
      <c r="F96" s="77"/>
      <c r="G96" s="77"/>
      <c r="H96" s="78">
        <f>SUBTOTAL(109,'Dic-22'!$H$91:$H$95)</f>
        <v>6002661.0000000009</v>
      </c>
      <c r="I96" s="79">
        <f>SUBTOTAL(109,'Dic-22'!$I$91:$I$95)</f>
        <v>320206.69799999997</v>
      </c>
      <c r="J96" s="207">
        <f>SUBTOTAL(109,'Dic-22'!$J$91:$J$95)</f>
        <v>470176.05600000004</v>
      </c>
      <c r="K96" s="207">
        <f>SUBTOTAL(109,'Dic-22'!$K$91:$K$95)</f>
        <v>0</v>
      </c>
      <c r="L96" s="207">
        <f>SUBTOTAL(109,'Dic-22'!$L$91:$L$95)</f>
        <v>6793043.7539999997</v>
      </c>
      <c r="M96" s="80">
        <f>SUBTOTAL(103,'Dic-22'!$M$91:$M$95)</f>
        <v>0</v>
      </c>
    </row>
    <row r="97" spans="2:14" ht="15.75" customHeight="1" x14ac:dyDescent="0.25"/>
    <row r="98" spans="2:14" ht="15.75" customHeight="1" x14ac:dyDescent="0.25"/>
    <row r="99" spans="2:14" ht="15.75" customHeight="1" x14ac:dyDescent="0.25">
      <c r="B99" s="368" t="s">
        <v>1569</v>
      </c>
      <c r="C99" s="369"/>
    </row>
    <row r="100" spans="2:14" ht="15.75" customHeight="1" x14ac:dyDescent="0.25">
      <c r="B100" s="51" t="s">
        <v>1532</v>
      </c>
      <c r="C100" s="52" t="s">
        <v>1533</v>
      </c>
      <c r="D100" s="52" t="s">
        <v>1565</v>
      </c>
      <c r="E100" s="52" t="s">
        <v>1566</v>
      </c>
      <c r="F100" s="52" t="s">
        <v>0</v>
      </c>
      <c r="G100" s="52" t="s">
        <v>1</v>
      </c>
      <c r="H100" s="52" t="s">
        <v>1567</v>
      </c>
      <c r="I100" s="52" t="s">
        <v>1551</v>
      </c>
      <c r="J100" s="52" t="s">
        <v>1539</v>
      </c>
      <c r="K100" s="52" t="s">
        <v>1568</v>
      </c>
      <c r="L100" s="52" t="s">
        <v>1544</v>
      </c>
      <c r="M100" s="53" t="s">
        <v>1545</v>
      </c>
    </row>
    <row r="101" spans="2:14" ht="15.75" customHeight="1" x14ac:dyDescent="0.25">
      <c r="B101" s="208" t="s">
        <v>1703</v>
      </c>
      <c r="C101" s="107">
        <v>6</v>
      </c>
      <c r="D101" s="119">
        <v>3</v>
      </c>
      <c r="E101" s="109">
        <v>2</v>
      </c>
      <c r="F101" s="14"/>
      <c r="G101" s="81" t="str">
        <f>IFERROR(IF('Dic-22'!$F101="","-",VLOOKUP('Dic-22'!$F101,Lista_CUIT!$A$1:$D$1871,2,0)),"CUIT NO CARGADO")</f>
        <v>-</v>
      </c>
      <c r="H101" s="82">
        <v>73341</v>
      </c>
      <c r="I101" s="82">
        <f>'Dic-22'!$H101*0.21</f>
        <v>15401.609999999999</v>
      </c>
      <c r="J101" s="82"/>
      <c r="K101" s="82"/>
      <c r="L101" s="82">
        <f>SUM('Dic-22'!$H101:$K101)</f>
        <v>88742.61</v>
      </c>
      <c r="M101" s="61"/>
    </row>
    <row r="102" spans="2:14" ht="15.75" customHeight="1" x14ac:dyDescent="0.25">
      <c r="B102" s="10"/>
      <c r="C102" s="11"/>
      <c r="D102" s="12"/>
      <c r="E102" s="13"/>
      <c r="F102" s="14"/>
      <c r="G102" s="81"/>
      <c r="H102" s="82"/>
      <c r="I102" s="82">
        <f>'Dic-22'!$H102*0.21</f>
        <v>0</v>
      </c>
      <c r="J102" s="82"/>
      <c r="K102" s="82"/>
      <c r="L102" s="82">
        <f>SUM('Dic-22'!$H102:$K102)</f>
        <v>0</v>
      </c>
      <c r="M102" s="61"/>
    </row>
    <row r="103" spans="2:14" ht="15.75" customHeight="1" x14ac:dyDescent="0.25">
      <c r="B103" s="10"/>
      <c r="C103" s="11"/>
      <c r="D103" s="12"/>
      <c r="E103" s="13"/>
      <c r="F103" s="14"/>
      <c r="G103" s="81"/>
      <c r="H103" s="82"/>
      <c r="I103" s="82">
        <f>'Dic-22'!$H103*0.21</f>
        <v>0</v>
      </c>
      <c r="J103" s="82"/>
      <c r="K103" s="82"/>
      <c r="L103" s="82">
        <f>SUM('Dic-22'!$H103:$K103)</f>
        <v>0</v>
      </c>
      <c r="M103" s="61"/>
    </row>
    <row r="104" spans="2:14" ht="18.75" customHeight="1" x14ac:dyDescent="0.25">
      <c r="B104" s="10"/>
      <c r="C104" s="11"/>
      <c r="D104" s="12"/>
      <c r="E104" s="13"/>
      <c r="F104" s="14"/>
      <c r="G104" s="81"/>
      <c r="H104" s="82"/>
      <c r="I104" s="82">
        <f>'Dic-22'!$H104*0.21</f>
        <v>0</v>
      </c>
      <c r="J104" s="82"/>
      <c r="K104" s="82"/>
      <c r="L104" s="82">
        <f>SUM('Dic-22'!$H104:$K104)</f>
        <v>0</v>
      </c>
      <c r="M104" s="61"/>
    </row>
    <row r="105" spans="2:14" ht="28.5" customHeight="1" x14ac:dyDescent="0.25">
      <c r="B105" s="10"/>
      <c r="C105" s="11"/>
      <c r="D105" s="12"/>
      <c r="E105" s="13"/>
      <c r="F105" s="14"/>
      <c r="G105" s="81"/>
      <c r="H105" s="82"/>
      <c r="I105" s="82">
        <f>'Dic-22'!$H105*0.21</f>
        <v>0</v>
      </c>
      <c r="J105" s="82"/>
      <c r="K105" s="82"/>
      <c r="L105" s="82">
        <f>SUM('Dic-22'!$H105:$K105)</f>
        <v>0</v>
      </c>
      <c r="M105" s="61"/>
    </row>
    <row r="106" spans="2:14" ht="15.75" customHeight="1" x14ac:dyDescent="0.25">
      <c r="B106" s="10"/>
      <c r="C106" s="11"/>
      <c r="D106" s="12"/>
      <c r="E106" s="13"/>
      <c r="F106" s="14"/>
      <c r="G106" s="81"/>
      <c r="H106" s="82"/>
      <c r="I106" s="82">
        <f>'Dic-22'!$H106*0.21</f>
        <v>0</v>
      </c>
      <c r="J106" s="82"/>
      <c r="K106" s="82"/>
      <c r="L106" s="82">
        <f>SUM('Dic-22'!$H106:$K106)</f>
        <v>0</v>
      </c>
      <c r="M106" s="61"/>
    </row>
    <row r="107" spans="2:14" ht="15.75" customHeight="1" x14ac:dyDescent="0.25">
      <c r="B107" s="76" t="s">
        <v>1546</v>
      </c>
      <c r="C107" s="77"/>
      <c r="D107" s="77"/>
      <c r="E107" s="77"/>
      <c r="F107" s="77"/>
      <c r="G107" s="77"/>
      <c r="H107" s="83">
        <f>SUBTOTAL(109,'Dic-22'!$H$101:$H$106)</f>
        <v>73341</v>
      </c>
      <c r="I107" s="83">
        <f>SUBTOTAL(109,'Dic-22'!$I$101:$I$106)</f>
        <v>15401.609999999999</v>
      </c>
      <c r="J107" s="84">
        <f>SUBTOTAL(109,'Dic-22'!$J$101:$J$106)</f>
        <v>0</v>
      </c>
      <c r="K107" s="84">
        <f>SUBTOTAL(109,'Dic-22'!$K$101:$K$106)</f>
        <v>0</v>
      </c>
      <c r="L107" s="209">
        <f>SUBTOTAL(109,'Dic-22'!$L$101:$L$106)</f>
        <v>88742.61</v>
      </c>
      <c r="M107" s="80">
        <f>SUBTOTAL(103,'Dic-22'!$M$101:$M$106)</f>
        <v>0</v>
      </c>
    </row>
    <row r="108" spans="2:14" ht="15.75" customHeight="1" x14ac:dyDescent="0.25">
      <c r="B108" s="210"/>
      <c r="C108" s="210"/>
      <c r="D108" s="210"/>
      <c r="E108" s="210"/>
      <c r="F108" s="210"/>
      <c r="G108" s="210"/>
      <c r="H108" s="211"/>
      <c r="I108" s="211"/>
      <c r="J108" s="17"/>
      <c r="K108" s="17"/>
      <c r="L108" s="212"/>
      <c r="M108" s="213"/>
    </row>
    <row r="109" spans="2:14" ht="15.75" customHeight="1" x14ac:dyDescent="0.25">
      <c r="B109" s="360" t="s">
        <v>1570</v>
      </c>
      <c r="C109" s="351"/>
      <c r="D109" s="351"/>
      <c r="E109" s="352"/>
      <c r="J109" s="17"/>
      <c r="K109" s="17"/>
      <c r="L109" s="212"/>
      <c r="M109" s="213"/>
    </row>
    <row r="110" spans="2:14" ht="30.75" customHeight="1" x14ac:dyDescent="0.25">
      <c r="B110" s="113" t="s">
        <v>1532</v>
      </c>
      <c r="C110" s="113" t="s">
        <v>1565</v>
      </c>
      <c r="D110" s="113" t="s">
        <v>1571</v>
      </c>
      <c r="E110" s="113" t="s">
        <v>0</v>
      </c>
      <c r="F110" s="113" t="s">
        <v>1</v>
      </c>
      <c r="G110" s="113" t="s">
        <v>1572</v>
      </c>
      <c r="H110" s="113" t="s">
        <v>1573</v>
      </c>
      <c r="I110" s="113" t="s">
        <v>1574</v>
      </c>
      <c r="J110" s="113" t="s">
        <v>1544</v>
      </c>
      <c r="K110" s="17"/>
      <c r="L110" s="17"/>
      <c r="M110" s="212"/>
      <c r="N110" s="213"/>
    </row>
    <row r="111" spans="2:14" ht="15.75" customHeight="1" x14ac:dyDescent="0.25">
      <c r="B111" s="214" t="s">
        <v>1704</v>
      </c>
      <c r="C111" s="215">
        <v>30</v>
      </c>
      <c r="D111" s="210">
        <v>56</v>
      </c>
      <c r="E111" s="81">
        <v>55000000050</v>
      </c>
      <c r="F111" s="210"/>
      <c r="G111" s="143">
        <v>11000</v>
      </c>
      <c r="H111" s="210"/>
      <c r="I111" s="216">
        <v>168.09</v>
      </c>
      <c r="J111" s="211">
        <f>'Dic-22'!$G111*'Dic-22'!$I111</f>
        <v>1848990</v>
      </c>
      <c r="K111" s="17"/>
      <c r="L111" s="17"/>
      <c r="M111" s="212"/>
      <c r="N111" s="213"/>
    </row>
    <row r="112" spans="2:14" ht="15.75" customHeight="1" x14ac:dyDescent="0.25">
      <c r="B112" s="214" t="s">
        <v>1703</v>
      </c>
      <c r="C112" s="215">
        <v>30</v>
      </c>
      <c r="D112" s="210">
        <v>57</v>
      </c>
      <c r="E112" s="81">
        <v>55000002223</v>
      </c>
      <c r="F112" s="210"/>
      <c r="G112" s="143">
        <v>2922.5</v>
      </c>
      <c r="H112" s="210"/>
      <c r="I112" s="216">
        <v>174.28</v>
      </c>
      <c r="J112" s="211">
        <f>'Dic-22'!$G112*'Dic-22'!$I112</f>
        <v>509333.3</v>
      </c>
      <c r="K112" s="17"/>
      <c r="L112" s="17"/>
      <c r="M112" s="212"/>
      <c r="N112" s="213"/>
    </row>
    <row r="113" spans="2:14" ht="15.75" customHeight="1" x14ac:dyDescent="0.25">
      <c r="B113" s="217" t="s">
        <v>1705</v>
      </c>
      <c r="C113" s="218"/>
      <c r="D113" s="218"/>
      <c r="E113" s="218"/>
      <c r="F113" s="218"/>
      <c r="G113" s="218"/>
      <c r="H113" s="218"/>
      <c r="I113" s="219"/>
      <c r="J113" s="220">
        <f>SUBTOTAL(109,J111:J112)</f>
        <v>2358323.2999999998</v>
      </c>
      <c r="K113" s="17"/>
      <c r="L113" s="17"/>
      <c r="M113" s="212"/>
      <c r="N113" s="213"/>
    </row>
    <row r="114" spans="2:14" ht="15.75" customHeight="1" x14ac:dyDescent="0.25"/>
    <row r="115" spans="2:14" ht="15.75" customHeight="1" x14ac:dyDescent="0.25"/>
    <row r="116" spans="2:14" ht="15.75" customHeight="1" x14ac:dyDescent="0.25"/>
    <row r="117" spans="2:14" ht="15.75" customHeight="1" x14ac:dyDescent="0.25"/>
    <row r="118" spans="2:14" ht="15.75" customHeight="1" x14ac:dyDescent="0.25"/>
    <row r="119" spans="2:14" ht="15.75" customHeight="1" x14ac:dyDescent="0.25"/>
    <row r="120" spans="2:14" ht="15.75" customHeight="1" x14ac:dyDescent="0.25"/>
    <row r="121" spans="2:14" ht="15.75" customHeight="1" x14ac:dyDescent="0.25">
      <c r="C121" s="361" t="s">
        <v>1575</v>
      </c>
      <c r="D121" s="362"/>
      <c r="E121" s="362"/>
      <c r="F121" s="362"/>
      <c r="G121" s="363"/>
      <c r="H121" s="89"/>
      <c r="I121" s="89"/>
      <c r="J121" s="89"/>
    </row>
    <row r="122" spans="2:14" ht="15.75" customHeight="1" x14ac:dyDescent="0.25">
      <c r="C122" s="90" t="s">
        <v>1576</v>
      </c>
      <c r="D122" s="91" t="s">
        <v>1577</v>
      </c>
      <c r="E122" s="91" t="s">
        <v>1578</v>
      </c>
      <c r="F122" s="91" t="s">
        <v>0</v>
      </c>
      <c r="G122" s="91" t="s">
        <v>1</v>
      </c>
      <c r="H122" s="92" t="s">
        <v>1579</v>
      </c>
      <c r="I122" s="92" t="s">
        <v>1580</v>
      </c>
      <c r="J122" s="92" t="s">
        <v>1581</v>
      </c>
      <c r="K122" s="92" t="s">
        <v>1582</v>
      </c>
      <c r="L122" s="92" t="s">
        <v>1583</v>
      </c>
    </row>
    <row r="123" spans="2:14" ht="15.75" customHeight="1" x14ac:dyDescent="0.25">
      <c r="C123" s="54"/>
      <c r="D123" s="93"/>
      <c r="E123" s="93"/>
      <c r="F123" s="56"/>
      <c r="G123" s="46" t="str">
        <f>IFERROR(IF('Dic-22'!$F123="","-",VLOOKUP('Dic-22'!$F123,Lista_CUIT!$A$1:$D$1871,2,0)),"CUIT NO CARGADO")</f>
        <v>-</v>
      </c>
      <c r="H123" s="94"/>
      <c r="I123" s="94"/>
      <c r="J123" s="94"/>
      <c r="K123" s="94"/>
      <c r="L123" s="94"/>
    </row>
    <row r="124" spans="2:14" ht="15.75" customHeight="1" x14ac:dyDescent="0.25">
      <c r="C124" s="54"/>
      <c r="D124" s="93"/>
      <c r="E124" s="93"/>
      <c r="F124" s="56"/>
      <c r="G124" s="46" t="str">
        <f>IFERROR(IF('Dic-22'!$F124="","-",VLOOKUP('Dic-22'!$F124,Lista_CUIT!$A$1:$D$1871,2,0)),"CUIT NO CARGADO")</f>
        <v>-</v>
      </c>
      <c r="H124" s="94"/>
      <c r="I124" s="94"/>
      <c r="J124" s="94"/>
      <c r="K124" s="94"/>
      <c r="L124" s="94"/>
    </row>
    <row r="125" spans="2:14" ht="15.75" customHeight="1" x14ac:dyDescent="0.25">
      <c r="C125" s="54"/>
      <c r="D125" s="93"/>
      <c r="E125" s="93"/>
      <c r="F125" s="56"/>
      <c r="G125" s="46" t="str">
        <f>IFERROR(IF('Dic-22'!$F125="","-",VLOOKUP('Dic-22'!$F125,Lista_CUIT!$A$1:$D$1871,2,0)),"CUIT NO CARGADO")</f>
        <v>-</v>
      </c>
      <c r="H125" s="94"/>
      <c r="I125" s="94"/>
      <c r="J125" s="94"/>
      <c r="K125" s="94"/>
      <c r="L125" s="94"/>
    </row>
    <row r="126" spans="2:14" ht="15.75" customHeight="1" x14ac:dyDescent="0.25">
      <c r="C126" s="54"/>
      <c r="D126" s="93"/>
      <c r="E126" s="93"/>
      <c r="F126" s="56"/>
      <c r="G126" s="46" t="str">
        <f>IFERROR(IF('Dic-22'!$F126="","-",VLOOKUP('Dic-22'!$F126,Lista_CUIT!$A$1:$D$1871,2,0)),"CUIT NO CARGADO")</f>
        <v>-</v>
      </c>
      <c r="H126" s="94"/>
      <c r="I126" s="94"/>
      <c r="J126" s="94"/>
      <c r="K126" s="94"/>
      <c r="L126" s="94"/>
    </row>
    <row r="127" spans="2:14" ht="15.75" customHeight="1" x14ac:dyDescent="0.25">
      <c r="C127" s="3"/>
      <c r="D127" s="93"/>
      <c r="E127" s="93"/>
      <c r="F127" s="3"/>
      <c r="G127" s="46" t="str">
        <f>IFERROR(IF('Dic-22'!$F127="","-",VLOOKUP('Dic-22'!$F127,Lista_CUIT!$A$1:$D$1871,2,0)),"CUIT NO CARGADO")</f>
        <v>-</v>
      </c>
      <c r="H127" s="3"/>
      <c r="I127" s="3"/>
      <c r="J127" s="3"/>
      <c r="K127" s="3"/>
      <c r="L127" s="3"/>
    </row>
    <row r="128" spans="2:14" ht="15.75" customHeight="1" x14ac:dyDescent="0.25">
      <c r="C128" s="95"/>
    </row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P4:R4"/>
    <mergeCell ref="D50:F50"/>
    <mergeCell ref="B99:C99"/>
    <mergeCell ref="B109:E109"/>
    <mergeCell ref="C121:G121"/>
    <mergeCell ref="B87:J87"/>
    <mergeCell ref="K87:M87"/>
    <mergeCell ref="B89:C89"/>
    <mergeCell ref="M4:N4"/>
    <mergeCell ref="B4:E4"/>
    <mergeCell ref="G4:H4"/>
    <mergeCell ref="D51:L51"/>
    <mergeCell ref="D61:K61"/>
    <mergeCell ref="J4:K4"/>
    <mergeCell ref="B1:F1"/>
    <mergeCell ref="G1:M1"/>
    <mergeCell ref="N1:R1"/>
    <mergeCell ref="G3:H3"/>
    <mergeCell ref="J3:K3"/>
    <mergeCell ref="M3:N3"/>
    <mergeCell ref="P3:R3"/>
    <mergeCell ref="B3:E3"/>
  </mergeCells>
  <dataValidations count="15">
    <dataValidation type="decimal" operator="lessThanOrEqual" allowBlank="1" showErrorMessage="1" sqref="D101" xr:uid="{00000000-0002-0000-0900-000000000000}">
      <formula1>9999</formula1>
    </dataValidation>
    <dataValidation type="custom" allowBlank="1" showErrorMessage="1" sqref="H101:L106" xr:uid="{00000000-0002-0000-0900-000001000000}">
      <formula1>IF($C101=8,H101&lt;0,H101&gt;=0)</formula1>
    </dataValidation>
    <dataValidation type="decimal" allowBlank="1" showErrorMessage="1" sqref="E112" xr:uid="{00000000-0002-0000-0900-000002000000}">
      <formula1>10000000000</formula1>
      <formula2>99999999999</formula2>
    </dataValidation>
    <dataValidation type="decimal" allowBlank="1" showErrorMessage="1" sqref="E9:E45 F63:F80 E91:E95 E102:E106" xr:uid="{00000000-0002-0000-0900-000003000000}">
      <formula1>1</formula1>
      <formula2>99999999</formula2>
    </dataValidation>
    <dataValidation type="custom" allowBlank="1" showErrorMessage="1" sqref="L93:L95" xr:uid="{00000000-0002-0000-0900-000004000000}">
      <formula1>IF($C37=3,L37&lt;0,L37&gt;=0)</formula1>
    </dataValidation>
    <dataValidation type="decimal" allowBlank="1" showErrorMessage="1" sqref="C9:C45 C47:C50 B51 C91:C95" xr:uid="{00000000-0002-0000-0900-000005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5" xr:uid="{00000000-0002-0000-0900-000006000000}">
      <formula1>IF($C9=3,H9&lt;0,H9&gt;=0)</formula1>
    </dataValidation>
    <dataValidation type="decimal" operator="lessThanOrEqual" allowBlank="1" showErrorMessage="1" sqref="E101" xr:uid="{00000000-0002-0000-0900-000007000000}">
      <formula1>99999999</formula1>
    </dataValidation>
    <dataValidation type="custom" allowBlank="1" showErrorMessage="1" sqref="H91:K91 H93:K93 H95:K95" xr:uid="{00000000-0002-0000-0900-000008000000}">
      <formula1>IF($C91=3,H91&lt;0,H91&gt;=0)</formula1>
    </dataValidation>
    <dataValidation type="decimal" allowBlank="1" showErrorMessage="1" sqref="C101:C106" xr:uid="{00000000-0002-0000-0900-000009000000}">
      <formula1>6</formula1>
      <formula2>8</formula2>
    </dataValidation>
    <dataValidation type="custom" allowBlank="1" showErrorMessage="1" sqref="L91:L92" xr:uid="{00000000-0002-0000-0900-00000A000000}">
      <formula1>IF($C33=3,L33&lt;0,L33&gt;=0)</formula1>
    </dataValidation>
    <dataValidation type="decimal" allowBlank="1" showErrorMessage="1" sqref="F9:F45 G63:G80 F91:F95 F101:F106" xr:uid="{00000000-0002-0000-0900-00000B000000}">
      <formula1>20000000000</formula1>
      <formula2>33999999999</formula2>
    </dataValidation>
    <dataValidation type="date" allowBlank="1" showErrorMessage="1" sqref="B9:B45 B47:B50 D63:D80 B91:B95 B102:B106" xr:uid="{00000000-0002-0000-0900-00000C000000}">
      <formula1>40179</formula1>
      <formula2>TODAY()</formula2>
    </dataValidation>
    <dataValidation type="decimal" allowBlank="1" showErrorMessage="1" sqref="D9:D45 E63:E80 D91:D95 D102:D106" xr:uid="{00000000-0002-0000-0900-00000D000000}">
      <formula1>1</formula1>
      <formula2>9999</formula2>
    </dataValidation>
    <dataValidation type="date" operator="lessThan" allowBlank="1" showErrorMessage="1" sqref="B101 B111:C112" xr:uid="{00000000-0002-0000-0900-00000E000000}">
      <formula1>$Q$1+1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DE9D9"/>
  </sheetPr>
  <dimension ref="A1:Z1000"/>
  <sheetViews>
    <sheetView showGridLines="0" topLeftCell="A7" zoomScale="90" zoomScaleNormal="90" workbookViewId="0">
      <selection activeCell="H8" sqref="H8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5.28515625" customWidth="1"/>
    <col min="7" max="7" width="29.42578125" customWidth="1"/>
    <col min="8" max="8" width="13.85546875" customWidth="1"/>
    <col min="9" max="9" width="14.42578125" customWidth="1"/>
    <col min="10" max="10" width="11.7109375" customWidth="1"/>
    <col min="11" max="11" width="11.85546875" customWidth="1"/>
    <col min="12" max="12" width="14" customWidth="1"/>
    <col min="13" max="14" width="12" customWidth="1"/>
    <col min="15" max="15" width="11.28515625" bestFit="1" customWidth="1"/>
    <col min="16" max="16" width="13.57031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EDATE('Abr-22'!N1,9)</f>
        <v>44927</v>
      </c>
      <c r="O1" s="351"/>
      <c r="P1" s="351"/>
      <c r="Q1" s="351"/>
      <c r="R1" s="352"/>
    </row>
    <row r="3" spans="1:26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26" ht="24.75" customHeight="1" x14ac:dyDescent="0.35">
      <c r="B4" s="364">
        <f>SUM('Ene-23'!$H$45)+'Ene-23'!$G$55</f>
        <v>3098105.7275</v>
      </c>
      <c r="C4" s="351"/>
      <c r="D4" s="351"/>
      <c r="E4" s="352"/>
      <c r="F4" s="8"/>
      <c r="G4" s="365">
        <f>'Ene-23'!$I$45+'Ene-23'!$J$45+'Ene-23'!$K$45+'Ene-23'!$H$55+'Ene-23'!$I$55</f>
        <v>638749.74687499995</v>
      </c>
      <c r="H4" s="352"/>
      <c r="I4" s="8"/>
      <c r="J4" s="370">
        <f>'Ene-23'!$H$92+'Ene-23'!$H$103</f>
        <v>10307495.864000002</v>
      </c>
      <c r="K4" s="352"/>
      <c r="L4" s="8"/>
      <c r="M4" s="370">
        <f>'Ene-23'!$I$92+'Ene-23'!$J$92+'Ene-23'!$I$103+'Ene-23'!$J$103</f>
        <v>1173319.4822999998</v>
      </c>
      <c r="N4" s="352"/>
      <c r="O4" s="8"/>
      <c r="P4" s="358">
        <f>G4-M4</f>
        <v>-534569.73542499985</v>
      </c>
      <c r="Q4" s="351"/>
      <c r="R4" s="352"/>
    </row>
    <row r="5" spans="1:26" ht="12.75" customHeight="1" x14ac:dyDescent="0.25"/>
    <row r="6" spans="1:26" ht="10.5" customHeight="1" x14ac:dyDescent="0.25"/>
    <row r="7" spans="1:26" ht="10.5" customHeight="1" x14ac:dyDescent="0.25">
      <c r="A7" s="9"/>
      <c r="B7" s="10"/>
      <c r="C7" s="11"/>
      <c r="D7" s="12"/>
      <c r="E7" s="13"/>
      <c r="F7" s="14"/>
      <c r="G7" s="15"/>
      <c r="H7" s="16"/>
      <c r="I7" s="17"/>
      <c r="J7" s="17"/>
      <c r="K7" s="17"/>
      <c r="L7" s="17"/>
      <c r="M7" s="17"/>
      <c r="N7" s="17"/>
      <c r="O7" s="17"/>
      <c r="P7" s="20"/>
      <c r="Q7" s="21"/>
      <c r="R7" s="21"/>
      <c r="S7" s="9"/>
    </row>
    <row r="8" spans="1:26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22" t="s">
        <v>2</v>
      </c>
      <c r="R8" s="22" t="s">
        <v>1545</v>
      </c>
    </row>
    <row r="9" spans="1:26" x14ac:dyDescent="0.25">
      <c r="B9" s="10">
        <v>44950</v>
      </c>
      <c r="C9" s="11">
        <v>1</v>
      </c>
      <c r="D9" s="12">
        <v>15</v>
      </c>
      <c r="E9" s="13">
        <v>137</v>
      </c>
      <c r="F9" s="14">
        <v>20241271235</v>
      </c>
      <c r="G9" s="15" t="str">
        <f>IFERROR(IF('Ene-23'!$F9="","-",VLOOKUP('Ene-23'!$F9,Lista_CUIT!$A$1:$D$1871,2,0)),"CUIT NO CARGADO")</f>
        <v>SATDJIAN GUSTAVO ARTURO</v>
      </c>
      <c r="H9" s="16">
        <v>12537.19</v>
      </c>
      <c r="I9" s="23">
        <f>IF('Ene-23'!$H9="","",'Ene-23'!$H9*0.21)</f>
        <v>2632.8099000000002</v>
      </c>
      <c r="J9" s="23"/>
      <c r="K9" s="23"/>
      <c r="L9" s="23"/>
      <c r="M9" s="23"/>
      <c r="N9" s="23"/>
      <c r="O9" s="23"/>
      <c r="P9" s="20">
        <f>SUM('Ene-23'!$H9:$O9)</f>
        <v>15169.999900000001</v>
      </c>
      <c r="Q9" s="21" t="str">
        <f>IFERROR(IF('Ene-23'!$F9="","-",VLOOKUP('Ene-23'!$F9,Lista_CUIT!$A$1:$D$1871,3,0)),"CUIT NO CARGADO")</f>
        <v>Gastos Varios</v>
      </c>
      <c r="R9" s="21">
        <f>IFERROR(IF('Ene-23'!$F9="","-",VLOOKUP('Ene-23'!$F9,Lista_CUIT!$A$1:$D$1871,4,0)),"CUIT NO CARGADO")</f>
        <v>0</v>
      </c>
    </row>
    <row r="10" spans="1:26" x14ac:dyDescent="0.25">
      <c r="B10" s="10">
        <v>44957</v>
      </c>
      <c r="C10" s="11">
        <v>1</v>
      </c>
      <c r="D10" s="12">
        <v>15</v>
      </c>
      <c r="E10" s="13">
        <v>148</v>
      </c>
      <c r="F10" s="14">
        <v>20241271235</v>
      </c>
      <c r="G10" s="15" t="str">
        <f>IFERROR(IF('Ene-23'!$F10="","-",VLOOKUP('Ene-23'!$F10,Lista_CUIT!$A$1:$D$1871,2,0)),"CUIT NO CARGADO")</f>
        <v>SATDJIAN GUSTAVO ARTURO</v>
      </c>
      <c r="H10" s="16">
        <v>12537.19</v>
      </c>
      <c r="I10" s="23">
        <f>IF('Ene-23'!$H10="","",'Ene-23'!$H10*0.21)</f>
        <v>2632.8099000000002</v>
      </c>
      <c r="J10" s="23"/>
      <c r="K10" s="23"/>
      <c r="L10" s="23"/>
      <c r="M10" s="23"/>
      <c r="N10" s="23"/>
      <c r="O10" s="23"/>
      <c r="P10" s="20">
        <f>SUM('Ene-23'!$H10:$O10)</f>
        <v>15169.999900000001</v>
      </c>
      <c r="Q10" s="21" t="str">
        <f>IFERROR(IF('Ene-23'!$F10="","-",VLOOKUP('Ene-23'!$F10,Lista_CUIT!$A$1:$D$1871,3,0)),"CUIT NO CARGADO")</f>
        <v>Gastos Varios</v>
      </c>
      <c r="R10" s="21">
        <f>IFERROR(IF('Ene-23'!$F10="","-",VLOOKUP('Ene-23'!$F10,Lista_CUIT!$A$1:$D$1871,4,0)),"CUIT NO CARGADO")</f>
        <v>0</v>
      </c>
    </row>
    <row r="11" spans="1:26" x14ac:dyDescent="0.25">
      <c r="B11" s="10">
        <v>44928</v>
      </c>
      <c r="C11" s="11">
        <v>1</v>
      </c>
      <c r="D11" s="12">
        <v>2</v>
      </c>
      <c r="E11" s="13">
        <v>157</v>
      </c>
      <c r="F11" s="14">
        <v>20125142851</v>
      </c>
      <c r="G11" s="15" t="str">
        <f>IFERROR(IF('Ene-23'!$F11="","-",VLOOKUP('Ene-23'!$F11,Lista_CUIT!$A$1:$D$1871,2,0)),"CUIT NO CARGADO")</f>
        <v>FEDERICI NICOLAS JOSE</v>
      </c>
      <c r="H11" s="16">
        <v>30973.040000000001</v>
      </c>
      <c r="I11" s="23">
        <f>IF('Ene-23'!$H11="","",'Ene-23'!$H11*0.21)</f>
        <v>6504.3383999999996</v>
      </c>
      <c r="J11" s="23"/>
      <c r="K11" s="23"/>
      <c r="L11" s="23"/>
      <c r="M11" s="23"/>
      <c r="N11" s="23"/>
      <c r="O11" s="23"/>
      <c r="P11" s="20">
        <f>SUM('Ene-23'!$H11:$O11)</f>
        <v>37477.378400000001</v>
      </c>
      <c r="Q11" s="21" t="str">
        <f>IFERROR(IF('Ene-23'!$F11="","-",VLOOKUP('Ene-23'!$F11,Lista_CUIT!$A$1:$D$1871,3,0)),"CUIT NO CARGADO")</f>
        <v>INSUMO</v>
      </c>
      <c r="R11" s="21">
        <f>IFERROR(IF('Ene-23'!$F11="","-",VLOOKUP('Ene-23'!$F11,Lista_CUIT!$A$1:$D$1871,4,0)),"CUIT NO CARGADO")</f>
        <v>0</v>
      </c>
    </row>
    <row r="12" spans="1:26" x14ac:dyDescent="0.25">
      <c r="B12" s="10">
        <v>44935</v>
      </c>
      <c r="C12" s="11">
        <v>1</v>
      </c>
      <c r="D12" s="12">
        <v>2</v>
      </c>
      <c r="E12" s="13">
        <v>158</v>
      </c>
      <c r="F12" s="14">
        <v>20125142851</v>
      </c>
      <c r="G12" s="15" t="str">
        <f>IFERROR(IF('Ene-23'!$F12="","-",VLOOKUP('Ene-23'!$F12,Lista_CUIT!$A$1:$D$1871,2,0)),"CUIT NO CARGADO")</f>
        <v>FEDERICI NICOLAS JOSE</v>
      </c>
      <c r="H12" s="16">
        <v>77025.06</v>
      </c>
      <c r="I12" s="23">
        <f>IF('Ene-23'!$H12="","",'Ene-23'!$H12*0.21)</f>
        <v>16175.262599999998</v>
      </c>
      <c r="J12" s="23"/>
      <c r="K12" s="23"/>
      <c r="L12" s="23"/>
      <c r="M12" s="23"/>
      <c r="N12" s="23"/>
      <c r="O12" s="23"/>
      <c r="P12" s="20">
        <f>SUM('Ene-23'!$H12:$O12)</f>
        <v>93200.3226</v>
      </c>
      <c r="Q12" s="21" t="str">
        <f>IFERROR(IF('Ene-23'!$F12="","-",VLOOKUP('Ene-23'!$F12,Lista_CUIT!$A$1:$D$1871,3,0)),"CUIT NO CARGADO")</f>
        <v>INSUMO</v>
      </c>
      <c r="R12" s="21">
        <f>IFERROR(IF('Ene-23'!$F12="","-",VLOOKUP('Ene-23'!$F12,Lista_CUIT!$A$1:$D$1871,4,0)),"CUIT NO CARGADO")</f>
        <v>0</v>
      </c>
    </row>
    <row r="13" spans="1:26" x14ac:dyDescent="0.25">
      <c r="B13" s="10">
        <v>44951</v>
      </c>
      <c r="C13" s="11">
        <v>1</v>
      </c>
      <c r="D13" s="12">
        <v>1090</v>
      </c>
      <c r="E13" s="13">
        <v>297</v>
      </c>
      <c r="F13" s="14">
        <v>30711379521</v>
      </c>
      <c r="G13" s="15" t="str">
        <f>IFERROR(IF('Ene-23'!$F13="","-",VLOOKUP('Ene-23'!$F13,Lista_CUIT!$A$1:$D$1871,2,0)),"CUIT NO CARGADO")</f>
        <v>ROVLAN S.A.</v>
      </c>
      <c r="H13" s="16">
        <v>7707.44</v>
      </c>
      <c r="I13" s="23">
        <f>IF('Ene-23'!$H13="","",'Ene-23'!$H13*0.21)</f>
        <v>1618.5623999999998</v>
      </c>
      <c r="J13" s="23"/>
      <c r="K13" s="23"/>
      <c r="L13" s="23"/>
      <c r="M13" s="23"/>
      <c r="N13" s="23"/>
      <c r="O13" s="23"/>
      <c r="P13" s="20">
        <f>SUM('Ene-23'!$H13:$O13)</f>
        <v>9326.0023999999994</v>
      </c>
      <c r="Q13" s="21" t="str">
        <f>IFERROR(IF('Ene-23'!$F13="","-",VLOOKUP('Ene-23'!$F13,Lista_CUIT!$A$1:$D$1871,3,0)),"CUIT NO CARGADO")</f>
        <v>Gastos Varios</v>
      </c>
      <c r="R13" s="21">
        <f>IFERROR(IF('Ene-23'!$F13="","-",VLOOKUP('Ene-23'!$F13,Lista_CUIT!$A$1:$D$1871,4,0)),"CUIT NO CARGADO")</f>
        <v>0</v>
      </c>
    </row>
    <row r="14" spans="1:26" x14ac:dyDescent="0.25">
      <c r="B14" s="221">
        <v>44957</v>
      </c>
      <c r="C14" s="222">
        <v>1</v>
      </c>
      <c r="D14" s="223">
        <v>3</v>
      </c>
      <c r="E14" s="224">
        <v>320</v>
      </c>
      <c r="F14" s="225">
        <v>20318964557</v>
      </c>
      <c r="G14" s="226" t="str">
        <f>IFERROR(IF('Ene-23'!$F14="","-",VLOOKUP('Ene-23'!$F14,Lista_CUIT!$A$1:$D$1871,2,0)),"CUIT NO CARGADO")</f>
        <v>ORLANDO MARTIN ELIAS</v>
      </c>
      <c r="H14" s="227">
        <v>9090.08</v>
      </c>
      <c r="I14" s="228">
        <f>IF('Ene-23'!$H14="","",'Ene-23'!$H14*0.21)</f>
        <v>1908.9168</v>
      </c>
      <c r="J14" s="228"/>
      <c r="K14" s="228"/>
      <c r="L14" s="228"/>
      <c r="M14" s="228"/>
      <c r="N14" s="228"/>
      <c r="O14" s="228"/>
      <c r="P14" s="229">
        <f>SUM('Ene-23'!$H14:$O14)</f>
        <v>10998.996800000001</v>
      </c>
      <c r="Q14" s="230" t="str">
        <f>IFERROR(IF('Ene-23'!$F14="","-",VLOOKUP('Ene-23'!$F14,Lista_CUIT!$A$1:$D$1871,3,0)),"CUIT NO CARGADO")</f>
        <v>EQ COMPUTACION</v>
      </c>
      <c r="R14" s="230">
        <f>IFERROR(IF('Ene-23'!$F14="","-",VLOOKUP('Ene-23'!$F14,Lista_CUIT!$A$1:$D$1871,4,0)),"CUIT NO CARGADO")</f>
        <v>0</v>
      </c>
    </row>
    <row r="15" spans="1:26" x14ac:dyDescent="0.25">
      <c r="B15" s="221">
        <v>44957</v>
      </c>
      <c r="C15" s="222">
        <v>1</v>
      </c>
      <c r="D15" s="223">
        <v>15</v>
      </c>
      <c r="E15" s="224">
        <v>511</v>
      </c>
      <c r="F15" s="225">
        <v>30708003316</v>
      </c>
      <c r="G15" s="226" t="str">
        <f>IFERROR(IF('Ene-23'!$F15="","-",VLOOKUP('Ene-23'!$F15,Lista_CUIT!$A$1:$D$1871,2,0)),"CUIT NO CARGADO")</f>
        <v>LOMIR SA</v>
      </c>
      <c r="H15" s="227">
        <v>2395.04</v>
      </c>
      <c r="I15" s="228">
        <f>IF('Ene-23'!$H15="","",'Ene-23'!$H15*0.21)</f>
        <v>502.95839999999998</v>
      </c>
      <c r="J15" s="228"/>
      <c r="K15" s="228"/>
      <c r="L15" s="228"/>
      <c r="M15" s="228"/>
      <c r="N15" s="228"/>
      <c r="O15" s="228"/>
      <c r="P15" s="229">
        <f>SUM('Ene-23'!$H15:$O15)</f>
        <v>2897.9983999999999</v>
      </c>
      <c r="Q15" s="230" t="str">
        <f>IFERROR(IF('Ene-23'!$F15="","-",VLOOKUP('Ene-23'!$F15,Lista_CUIT!$A$1:$D$1871,3,0)),"CUIT NO CARGADO")</f>
        <v>Gastos Varios</v>
      </c>
      <c r="R15" s="230">
        <f>IFERROR(IF('Ene-23'!$F15="","-",VLOOKUP('Ene-23'!$F15,Lista_CUIT!$A$1:$D$1871,4,0)),"CUIT NO CARGADO")</f>
        <v>0</v>
      </c>
    </row>
    <row r="16" spans="1:26" ht="18" customHeight="1" x14ac:dyDescent="0.25">
      <c r="A16" s="50"/>
      <c r="B16" s="10">
        <v>44957</v>
      </c>
      <c r="C16" s="11">
        <v>1</v>
      </c>
      <c r="D16" s="12">
        <v>1</v>
      </c>
      <c r="E16" s="13">
        <v>561</v>
      </c>
      <c r="F16" s="14">
        <v>30715048066</v>
      </c>
      <c r="G16" s="15" t="str">
        <f>IFERROR(IF('Ene-23'!$F16="","-",VLOOKUP('Ene-23'!$F16,Lista_CUIT!$A$1:$D$1871,2,0)),"CUIT NO CARGADO")</f>
        <v>ROLLS Y EMPANADAS SA</v>
      </c>
      <c r="H16" s="16">
        <v>100370</v>
      </c>
      <c r="I16" s="23">
        <f>IF('Ene-23'!$H16="","",'Ene-23'!$H16*0.21)</f>
        <v>21077.7</v>
      </c>
      <c r="J16" s="23"/>
      <c r="K16" s="23"/>
      <c r="L16" s="23"/>
      <c r="M16" s="23"/>
      <c r="N16" s="23"/>
      <c r="O16" s="23"/>
      <c r="P16" s="20">
        <f>SUM('Ene-23'!$H16:$O16)</f>
        <v>121447.7</v>
      </c>
      <c r="Q16" s="21" t="str">
        <f>IFERROR(IF('Ene-23'!$F16="","-",VLOOKUP('Ene-23'!$F16,Lista_CUIT!$A$1:$D$1871,3,0)),"CUIT NO CARGADO")</f>
        <v>CATERING</v>
      </c>
      <c r="R16" s="21">
        <f>IFERROR(IF('Ene-23'!$F16="","-",VLOOKUP('Ene-23'!$F16,Lista_CUIT!$A$1:$D$1871,4,0)),"CUIT NO CARGADO")</f>
        <v>0</v>
      </c>
      <c r="S16" s="50"/>
      <c r="T16" s="50"/>
      <c r="U16" s="50"/>
      <c r="V16" s="50"/>
      <c r="W16" s="50"/>
      <c r="X16" s="50"/>
      <c r="Y16" s="50"/>
      <c r="Z16" s="50"/>
    </row>
    <row r="17" spans="2:18" x14ac:dyDescent="0.25">
      <c r="B17" s="10">
        <v>44937</v>
      </c>
      <c r="C17" s="11">
        <v>1</v>
      </c>
      <c r="D17" s="12">
        <v>2</v>
      </c>
      <c r="E17" s="13">
        <v>585</v>
      </c>
      <c r="F17" s="14">
        <v>20296550184</v>
      </c>
      <c r="G17" s="15" t="str">
        <f>IFERROR(IF('Ene-23'!$F17="","-",VLOOKUP('Ene-23'!$F17,Lista_CUIT!$A$1:$D$1871,2,0)),"CUIT NO CARGADO")</f>
        <v>COSTA DIEGO ALEJANDRO</v>
      </c>
      <c r="H17" s="16">
        <v>19535</v>
      </c>
      <c r="I17" s="23">
        <f>IF('Ene-23'!$H17="","",'Ene-23'!$H17*0.21)</f>
        <v>4102.3499999999995</v>
      </c>
      <c r="J17" s="23"/>
      <c r="K17" s="23"/>
      <c r="L17" s="23"/>
      <c r="M17" s="23"/>
      <c r="N17" s="23"/>
      <c r="O17" s="23"/>
      <c r="P17" s="20">
        <f>SUM('Ene-23'!$H17:$O17)</f>
        <v>23637.35</v>
      </c>
      <c r="Q17" s="21" t="str">
        <f>IFERROR(IF('Ene-23'!$F17="","-",VLOOKUP('Ene-23'!$F17,Lista_CUIT!$A$1:$D$1871,3,0)),"CUIT NO CARGADO")</f>
        <v>MAT. PRIM.</v>
      </c>
      <c r="R17" s="21">
        <f>IFERROR(IF('Ene-23'!$F17="","-",VLOOKUP('Ene-23'!$F17,Lista_CUIT!$A$1:$D$1871,4,0)),"CUIT NO CARGADO")</f>
        <v>0</v>
      </c>
    </row>
    <row r="18" spans="2:18" x14ac:dyDescent="0.25">
      <c r="B18" s="10">
        <v>44927</v>
      </c>
      <c r="C18" s="11">
        <v>1</v>
      </c>
      <c r="D18" s="12">
        <v>3</v>
      </c>
      <c r="E18" s="13">
        <v>605</v>
      </c>
      <c r="F18" s="14">
        <v>30715402765</v>
      </c>
      <c r="G18" s="15" t="str">
        <f>IFERROR(IF('Ene-23'!$F18="","-",VLOOKUP('Ene-23'!$F18,Lista_CUIT!$A$1:$D$1871,2,0)),"CUIT NO CARGADO")</f>
        <v>RIO 265 SRL</v>
      </c>
      <c r="H18" s="16">
        <v>9173.5499999999993</v>
      </c>
      <c r="I18" s="23">
        <f>IF('Ene-23'!$H18="","",'Ene-23'!$H18*0.21)</f>
        <v>1926.4454999999998</v>
      </c>
      <c r="J18" s="23"/>
      <c r="K18" s="23"/>
      <c r="L18" s="23"/>
      <c r="M18" s="23"/>
      <c r="N18" s="23"/>
      <c r="O18" s="23"/>
      <c r="P18" s="20">
        <f>SUM('Ene-23'!$H18:$O18)</f>
        <v>11099.995499999999</v>
      </c>
      <c r="Q18" s="21" t="str">
        <f>IFERROR(IF('Ene-23'!$F18="","-",VLOOKUP('Ene-23'!$F18,Lista_CUIT!$A$1:$D$1871,3,0)),"CUIT NO CARGADO")</f>
        <v>GTOS VARIOS-ESTACIONAMIENTO HORACIO</v>
      </c>
      <c r="R18" s="21">
        <f>IFERROR(IF('Ene-23'!$F18="","-",VLOOKUP('Ene-23'!$F18,Lista_CUIT!$A$1:$D$1871,4,0)),"CUIT NO CARGADO")</f>
        <v>0</v>
      </c>
    </row>
    <row r="19" spans="2:18" x14ac:dyDescent="0.25">
      <c r="B19" s="10">
        <v>44938</v>
      </c>
      <c r="C19" s="11">
        <v>1</v>
      </c>
      <c r="D19" s="12">
        <v>9</v>
      </c>
      <c r="E19" s="13">
        <v>1466</v>
      </c>
      <c r="F19" s="14">
        <v>30631047145</v>
      </c>
      <c r="G19" s="15" t="str">
        <f>IFERROR(IF('Ene-23'!$F19="","-",VLOOKUP('Ene-23'!$F19,Lista_CUIT!$A$1:$D$1871,2,0)),"CUIT NO CARGADO")</f>
        <v>SEMICONDUC. Y COMPON. SRL</v>
      </c>
      <c r="H19" s="16">
        <v>47564</v>
      </c>
      <c r="I19" s="23"/>
      <c r="J19" s="23"/>
      <c r="K19" s="23">
        <v>4994.22</v>
      </c>
      <c r="L19" s="23"/>
      <c r="M19" s="23"/>
      <c r="N19" s="23"/>
      <c r="O19" s="23"/>
      <c r="P19" s="20">
        <f>SUM('Ene-23'!$H19:$O19)</f>
        <v>52558.22</v>
      </c>
      <c r="Q19" s="21" t="str">
        <f>IFERROR(IF('Ene-23'!$F19="","-",VLOOKUP('Ene-23'!$F19,Lista_CUIT!$A$1:$D$1871,3,0)),"CUIT NO CARGADO")</f>
        <v>INSUMO</v>
      </c>
      <c r="R19" s="21">
        <f>IFERROR(IF('Ene-23'!$F19="","-",VLOOKUP('Ene-23'!$F19,Lista_CUIT!$A$1:$D$1871,4,0)),"CUIT NO CARGADO")</f>
        <v>0</v>
      </c>
    </row>
    <row r="20" spans="2:18" ht="14.25" customHeight="1" x14ac:dyDescent="0.25">
      <c r="B20" s="221">
        <v>44956</v>
      </c>
      <c r="C20" s="222">
        <v>1</v>
      </c>
      <c r="D20" s="223">
        <v>11</v>
      </c>
      <c r="E20" s="224">
        <v>1702</v>
      </c>
      <c r="F20" s="225">
        <v>20226753355</v>
      </c>
      <c r="G20" s="226" t="str">
        <f>IFERROR(IF('Ene-23'!$F20="","-",VLOOKUP('Ene-23'!$F20,Lista_CUIT!$A$1:$D$1871,2,0)),"CUIT NO CARGADO")</f>
        <v>TREJO MARTIN DANIEL</v>
      </c>
      <c r="H20" s="227">
        <v>12891.74</v>
      </c>
      <c r="I20" s="228">
        <f>IF('Ene-23'!$H20="","",'Ene-23'!$H20*0.21)</f>
        <v>2707.2653999999998</v>
      </c>
      <c r="J20" s="228"/>
      <c r="K20" s="228"/>
      <c r="L20" s="228"/>
      <c r="M20" s="228"/>
      <c r="N20" s="228"/>
      <c r="O20" s="228"/>
      <c r="P20" s="229">
        <f>SUM('Ene-23'!$H20:$O20)</f>
        <v>15599.0054</v>
      </c>
      <c r="Q20" s="230" t="str">
        <f>IFERROR(IF('Ene-23'!$F20="","-",VLOOKUP('Ene-23'!$F20,Lista_CUIT!$A$1:$D$1871,3,0)),"CUIT NO CARGADO")</f>
        <v>INSUMO</v>
      </c>
      <c r="R20" s="230">
        <f>IFERROR(IF('Ene-23'!$F20="","-",VLOOKUP('Ene-23'!$F20,Lista_CUIT!$A$1:$D$1871,4,0)),"CUIT NO CARGADO")</f>
        <v>0</v>
      </c>
    </row>
    <row r="21" spans="2:18" ht="15.75" customHeight="1" x14ac:dyDescent="0.25">
      <c r="B21" s="10">
        <v>44951</v>
      </c>
      <c r="C21" s="11">
        <v>1</v>
      </c>
      <c r="D21" s="12">
        <v>12</v>
      </c>
      <c r="E21" s="13">
        <v>1854</v>
      </c>
      <c r="F21" s="14">
        <v>30553547942</v>
      </c>
      <c r="G21" s="15" t="str">
        <f>IFERROR(IF('Ene-23'!$F21="","-",VLOOKUP('Ene-23'!$F21,Lista_CUIT!$A$1:$D$1871,2,0)),"CUIT NO CARGADO")</f>
        <v>PINTURERIAS MAFER SOCIEDAD ANONIMA</v>
      </c>
      <c r="H21" s="16">
        <v>7842.15</v>
      </c>
      <c r="I21" s="23">
        <f>IF('Ene-23'!$H21="","",'Ene-23'!$H21*0.21)</f>
        <v>1646.8514999999998</v>
      </c>
      <c r="J21" s="23"/>
      <c r="K21" s="23"/>
      <c r="L21" s="23"/>
      <c r="M21" s="23"/>
      <c r="N21" s="23"/>
      <c r="O21" s="23"/>
      <c r="P21" s="20">
        <f>SUM('Ene-23'!$H21:$O21)</f>
        <v>9489.0014999999985</v>
      </c>
      <c r="Q21" s="21" t="str">
        <f>IFERROR(IF('Ene-23'!$F21="","-",VLOOKUP('Ene-23'!$F21,Lista_CUIT!$A$1:$D$1871,3,0)),"CUIT NO CARGADO")</f>
        <v>Mantenimiento</v>
      </c>
      <c r="R21" s="21">
        <f>IFERROR(IF('Ene-23'!$F21="","-",VLOOKUP('Ene-23'!$F21,Lista_CUIT!$A$1:$D$1871,4,0)),"CUIT NO CARGADO")</f>
        <v>0</v>
      </c>
    </row>
    <row r="22" spans="2:18" ht="15.75" customHeight="1" x14ac:dyDescent="0.25">
      <c r="B22" s="221">
        <v>44953</v>
      </c>
      <c r="C22" s="222">
        <v>1</v>
      </c>
      <c r="D22" s="223">
        <v>8</v>
      </c>
      <c r="E22" s="224">
        <v>1906</v>
      </c>
      <c r="F22" s="225">
        <v>30711930899</v>
      </c>
      <c r="G22" s="226" t="str">
        <f>IFERROR(IF('Ene-23'!$F22="","-",VLOOKUP('Ene-23'!$F22,Lista_CUIT!$A$1:$D$1871,2,0)),"CUIT NO CARGADO")</f>
        <v>ELECTRODESCUENTO S.A.</v>
      </c>
      <c r="H22" s="227">
        <v>6785.62</v>
      </c>
      <c r="I22" s="228">
        <f>IF('Ene-23'!$H22="","",'Ene-23'!$H22*0.21)</f>
        <v>1424.9802</v>
      </c>
      <c r="J22" s="228"/>
      <c r="K22" s="228"/>
      <c r="L22" s="228"/>
      <c r="M22" s="228"/>
      <c r="N22" s="228"/>
      <c r="O22" s="228"/>
      <c r="P22" s="229">
        <f>SUM('Ene-23'!$H22:$O22)</f>
        <v>8210.6002000000008</v>
      </c>
      <c r="Q22" s="230" t="str">
        <f>IFERROR(IF('Ene-23'!$F22="","-",VLOOKUP('Ene-23'!$F22,Lista_CUIT!$A$1:$D$1871,3,0)),"CUIT NO CARGADO")</f>
        <v>FERRETERIA</v>
      </c>
      <c r="R22" s="230">
        <f>IFERROR(IF('Ene-23'!$F22="","-",VLOOKUP('Ene-23'!$F22,Lista_CUIT!$A$1:$D$1871,4,0)),"CUIT NO CARGADO")</f>
        <v>0</v>
      </c>
    </row>
    <row r="23" spans="2:18" ht="14.25" customHeight="1" x14ac:dyDescent="0.25">
      <c r="B23" s="221">
        <v>44937</v>
      </c>
      <c r="C23" s="222">
        <v>3</v>
      </c>
      <c r="D23" s="223">
        <v>10</v>
      </c>
      <c r="E23" s="224">
        <v>2445</v>
      </c>
      <c r="F23" s="225">
        <v>30710759061</v>
      </c>
      <c r="G23" s="226" t="str">
        <f>IFERROR(IF('Ene-23'!$F23="","-",VLOOKUP('Ene-23'!$F23,Lista_CUIT!$A$1:$D$1871,2,0)),"CUIT NO CARGADO")</f>
        <v>TERFICO SA</v>
      </c>
      <c r="H23" s="227">
        <v>-76200</v>
      </c>
      <c r="I23" s="228">
        <f>IF('Ene-23'!$H23="","",'Ene-23'!$H23*0.21)</f>
        <v>-16002</v>
      </c>
      <c r="J23" s="228"/>
      <c r="K23" s="228"/>
      <c r="L23" s="228"/>
      <c r="M23" s="228"/>
      <c r="N23" s="228"/>
      <c r="O23" s="228"/>
      <c r="P23" s="229">
        <f>SUM('Ene-23'!$H23:$O23)</f>
        <v>-92202</v>
      </c>
      <c r="Q23" s="230" t="str">
        <f>IFERROR(IF('Ene-23'!$F23="","-",VLOOKUP('Ene-23'!$F23,Lista_CUIT!$A$1:$D$1871,3,0)),"CUIT NO CARGADO")</f>
        <v>FLETE</v>
      </c>
      <c r="R23" s="230">
        <f>IFERROR(IF('Ene-23'!$F23="","-",VLOOKUP('Ene-23'!$F23,Lista_CUIT!$A$1:$D$1871,4,0)),"CUIT NO CARGADO")</f>
        <v>0</v>
      </c>
    </row>
    <row r="24" spans="2:18" ht="14.25" customHeight="1" x14ac:dyDescent="0.25">
      <c r="B24" s="221">
        <v>44939</v>
      </c>
      <c r="C24" s="222">
        <v>3</v>
      </c>
      <c r="D24" s="223">
        <v>10</v>
      </c>
      <c r="E24" s="224">
        <v>2449</v>
      </c>
      <c r="F24" s="225">
        <v>30710759061</v>
      </c>
      <c r="G24" s="226" t="str">
        <f>IFERROR(IF('Ene-23'!$F24="","-",VLOOKUP('Ene-23'!$F24,Lista_CUIT!$A$1:$D$1871,2,0)),"CUIT NO CARGADO")</f>
        <v>TERFICO SA</v>
      </c>
      <c r="H24" s="227">
        <v>-11400</v>
      </c>
      <c r="I24" s="228">
        <f>IF('Ene-23'!$H24="","",'Ene-23'!$H24*0.21)</f>
        <v>-2394</v>
      </c>
      <c r="J24" s="228"/>
      <c r="K24" s="228"/>
      <c r="L24" s="228"/>
      <c r="M24" s="228"/>
      <c r="N24" s="228"/>
      <c r="O24" s="228"/>
      <c r="P24" s="229">
        <f>SUM('Ene-23'!$H24:$O24)</f>
        <v>-13794</v>
      </c>
      <c r="Q24" s="230" t="str">
        <f>IFERROR(IF('Ene-23'!$F24="","-",VLOOKUP('Ene-23'!$F24,Lista_CUIT!$A$1:$D$1871,3,0)),"CUIT NO CARGADO")</f>
        <v>FLETE</v>
      </c>
      <c r="R24" s="230">
        <f>IFERROR(IF('Ene-23'!$F24="","-",VLOOKUP('Ene-23'!$F24,Lista_CUIT!$A$1:$D$1871,4,0)),"CUIT NO CARGADO")</f>
        <v>0</v>
      </c>
    </row>
    <row r="25" spans="2:18" ht="15" customHeight="1" x14ac:dyDescent="0.25">
      <c r="B25" s="221">
        <v>44939</v>
      </c>
      <c r="C25" s="222">
        <v>3</v>
      </c>
      <c r="D25" s="223">
        <v>10</v>
      </c>
      <c r="E25" s="224">
        <v>2450</v>
      </c>
      <c r="F25" s="225">
        <v>30710759061</v>
      </c>
      <c r="G25" s="226" t="str">
        <f>IFERROR(IF('Ene-23'!$F25="","-",VLOOKUP('Ene-23'!$F25,Lista_CUIT!$A$1:$D$1871,2,0)),"CUIT NO CARGADO")</f>
        <v>TERFICO SA</v>
      </c>
      <c r="H25" s="227">
        <v>-166400</v>
      </c>
      <c r="I25" s="228">
        <f>IF('Ene-23'!$H25="","",'Ene-23'!$H25*0.21)</f>
        <v>-34944</v>
      </c>
      <c r="J25" s="228"/>
      <c r="K25" s="228"/>
      <c r="L25" s="228"/>
      <c r="M25" s="228"/>
      <c r="N25" s="228"/>
      <c r="O25" s="228"/>
      <c r="P25" s="229">
        <f>SUM('Ene-23'!$H25:$O25)</f>
        <v>-201344</v>
      </c>
      <c r="Q25" s="230" t="str">
        <f>IFERROR(IF('Ene-23'!$F25="","-",VLOOKUP('Ene-23'!$F25,Lista_CUIT!$A$1:$D$1871,3,0)),"CUIT NO CARGADO")</f>
        <v>FLETE</v>
      </c>
      <c r="R25" s="230">
        <f>IFERROR(IF('Ene-23'!$F25="","-",VLOOKUP('Ene-23'!$F25,Lista_CUIT!$A$1:$D$1871,4,0)),"CUIT NO CARGADO")</f>
        <v>0</v>
      </c>
    </row>
    <row r="26" spans="2:18" ht="15" customHeight="1" x14ac:dyDescent="0.25">
      <c r="B26" s="221">
        <v>44943</v>
      </c>
      <c r="C26" s="222">
        <v>1</v>
      </c>
      <c r="D26" s="223">
        <v>2</v>
      </c>
      <c r="E26" s="224">
        <v>9956</v>
      </c>
      <c r="F26" s="225">
        <v>30712179909</v>
      </c>
      <c r="G26" s="226" t="str">
        <f>IFERROR(IF('Ene-23'!$F26="","-",VLOOKUP('Ene-23'!$F26,Lista_CUIT!$A$1:$D$1871,2,0)),"CUIT NO CARGADO")</f>
        <v>LEPORT SH DE PORTELA JORGE FERNANDO Y LEAL JORGE ANGEL</v>
      </c>
      <c r="H26" s="227">
        <v>89906</v>
      </c>
      <c r="I26" s="228">
        <f>IF('Ene-23'!$H26="","",'Ene-23'!$H26*0.21)</f>
        <v>18880.259999999998</v>
      </c>
      <c r="J26" s="228"/>
      <c r="K26" s="228"/>
      <c r="L26" s="228"/>
      <c r="M26" s="228"/>
      <c r="N26" s="228"/>
      <c r="O26" s="228"/>
      <c r="P26" s="229">
        <f>SUM('Ene-23'!$H26:$O26)</f>
        <v>108786.26</v>
      </c>
      <c r="Q26" s="230" t="str">
        <f>IFERROR(IF('Ene-23'!$F26="","-",VLOOKUP('Ene-23'!$F26,Lista_CUIT!$A$1:$D$1871,3,0)),"CUIT NO CARGADO")</f>
        <v>FLETE</v>
      </c>
      <c r="R26" s="230">
        <f>IFERROR(IF('Ene-23'!$F26="","-",VLOOKUP('Ene-23'!$F26,Lista_CUIT!$A$1:$D$1871,4,0)),"CUIT NO CARGADO")</f>
        <v>0</v>
      </c>
    </row>
    <row r="27" spans="2:18" ht="15" customHeight="1" x14ac:dyDescent="0.25">
      <c r="B27" s="10">
        <v>44952</v>
      </c>
      <c r="C27" s="11">
        <v>1</v>
      </c>
      <c r="D27" s="12">
        <v>4</v>
      </c>
      <c r="E27" s="13">
        <v>16277</v>
      </c>
      <c r="F27" s="14">
        <v>30714712604</v>
      </c>
      <c r="G27" s="15" t="str">
        <f>IFERROR(IF('Ene-23'!$F27="","-",VLOOKUP('Ene-23'!$F27,Lista_CUIT!$A$1:$D$1871,2,0)),"CUIT NO CARGADO")</f>
        <v>DONATO ALFREDO ENRIQUE Y PENSEL FRANCISCO JAVIER SH</v>
      </c>
      <c r="H27" s="16">
        <v>17354.55</v>
      </c>
      <c r="I27" s="23">
        <f>IF('Ene-23'!$H27="","",'Ene-23'!$H27*0.21)</f>
        <v>3644.4554999999996</v>
      </c>
      <c r="J27" s="23"/>
      <c r="K27" s="23"/>
      <c r="L27" s="23"/>
      <c r="M27" s="23"/>
      <c r="N27" s="23"/>
      <c r="O27" s="23"/>
      <c r="P27" s="20">
        <f>SUM('Ene-23'!$H27:$O27)</f>
        <v>20999.005499999999</v>
      </c>
      <c r="Q27" s="21" t="str">
        <f>IFERROR(IF('Ene-23'!$F27="","-",VLOOKUP('Ene-23'!$F27,Lista_CUIT!$A$1:$D$1871,3,0)),"CUIT NO CARGADO")</f>
        <v>Gastos Varios</v>
      </c>
      <c r="R27" s="21">
        <f>IFERROR(IF('Ene-23'!$F27="","-",VLOOKUP('Ene-23'!$F27,Lista_CUIT!$A$1:$D$1871,4,0)),"CUIT NO CARGADO")</f>
        <v>0</v>
      </c>
    </row>
    <row r="28" spans="2:18" ht="15" customHeight="1" x14ac:dyDescent="0.25">
      <c r="B28" s="221">
        <v>44931</v>
      </c>
      <c r="C28" s="222">
        <v>1</v>
      </c>
      <c r="D28" s="223">
        <v>10</v>
      </c>
      <c r="E28" s="224">
        <v>18076</v>
      </c>
      <c r="F28" s="225">
        <v>30710759061</v>
      </c>
      <c r="G28" s="226" t="str">
        <f>IFERROR(IF('Ene-23'!$F28="","-",VLOOKUP('Ene-23'!$F28,Lista_CUIT!$A$1:$D$1871,2,0)),"CUIT NO CARGADO")</f>
        <v>TERFICO SA</v>
      </c>
      <c r="H28" s="227">
        <v>254000</v>
      </c>
      <c r="I28" s="228">
        <f>IF('Ene-23'!$H28="","",'Ene-23'!$H28*0.21)</f>
        <v>53340</v>
      </c>
      <c r="J28" s="228"/>
      <c r="K28" s="228"/>
      <c r="L28" s="228"/>
      <c r="M28" s="228"/>
      <c r="N28" s="228"/>
      <c r="O28" s="228"/>
      <c r="P28" s="229">
        <f>SUM('Ene-23'!$H28:$O28)</f>
        <v>307340</v>
      </c>
      <c r="Q28" s="230" t="str">
        <f>IFERROR(IF('Ene-23'!$F28="","-",VLOOKUP('Ene-23'!$F28,Lista_CUIT!$A$1:$D$1871,3,0)),"CUIT NO CARGADO")</f>
        <v>FLETE</v>
      </c>
      <c r="R28" s="230">
        <f>IFERROR(IF('Ene-23'!$F28="","-",VLOOKUP('Ene-23'!$F28,Lista_CUIT!$A$1:$D$1871,4,0)),"CUIT NO CARGADO")</f>
        <v>0</v>
      </c>
    </row>
    <row r="29" spans="2:18" ht="15" customHeight="1" x14ac:dyDescent="0.25">
      <c r="B29" s="10">
        <v>44957</v>
      </c>
      <c r="C29" s="11">
        <v>1</v>
      </c>
      <c r="D29" s="12">
        <v>10</v>
      </c>
      <c r="E29" s="13">
        <v>26386</v>
      </c>
      <c r="F29" s="14">
        <v>27268654017</v>
      </c>
      <c r="G29" s="15" t="str">
        <f>IFERROR(IF('Ene-23'!$F29="","-",VLOOKUP('Ene-23'!$F29,Lista_CUIT!$A$1:$D$1871,2,0)),"CUIT NO CARGADO")</f>
        <v>TAU DANIELA LEONOR</v>
      </c>
      <c r="H29" s="16">
        <v>1914.05</v>
      </c>
      <c r="I29" s="23">
        <f>IF('Ene-23'!$H29="","",'Ene-23'!$H29*0.21)</f>
        <v>401.95049999999998</v>
      </c>
      <c r="J29" s="23"/>
      <c r="K29" s="23"/>
      <c r="L29" s="23"/>
      <c r="M29" s="23"/>
      <c r="N29" s="23"/>
      <c r="O29" s="23"/>
      <c r="P29" s="20">
        <f>SUM('Ene-23'!$H29:$O29)</f>
        <v>2316.0005000000001</v>
      </c>
      <c r="Q29" s="21" t="str">
        <f>IFERROR(IF('Ene-23'!$F29="","-",VLOOKUP('Ene-23'!$F29,Lista_CUIT!$A$1:$D$1871,3,0)),"CUIT NO CARGADO")</f>
        <v>Gastos Varios</v>
      </c>
      <c r="R29" s="21">
        <f>IFERROR(IF('Ene-23'!$F29="","-",VLOOKUP('Ene-23'!$F29,Lista_CUIT!$A$1:$D$1871,4,0)),"CUIT NO CARGADO")</f>
        <v>0</v>
      </c>
    </row>
    <row r="30" spans="2:18" x14ac:dyDescent="0.25">
      <c r="B30" s="10">
        <v>44952</v>
      </c>
      <c r="C30" s="11">
        <v>1</v>
      </c>
      <c r="D30" s="12">
        <v>1</v>
      </c>
      <c r="E30" s="13">
        <v>32182</v>
      </c>
      <c r="F30" s="14">
        <v>30715891154</v>
      </c>
      <c r="G30" s="15" t="str">
        <f>IFERROR(IF('Ene-23'!$F30="","-",VLOOKUP('Ene-23'!$F30,Lista_CUIT!$A$1:$D$1871,2,0)),"CUIT NO CARGADO")</f>
        <v>NORFRIG SRL</v>
      </c>
      <c r="H30" s="16">
        <v>7677.69</v>
      </c>
      <c r="I30" s="23">
        <f>IF('Ene-23'!$H30="","",'Ene-23'!$H30*0.21)</f>
        <v>1612.3148999999999</v>
      </c>
      <c r="J30" s="23"/>
      <c r="K30" s="23"/>
      <c r="L30" s="23"/>
      <c r="M30" s="23"/>
      <c r="N30" s="23"/>
      <c r="O30" s="23"/>
      <c r="P30" s="20">
        <f>SUM('Ene-23'!$H30:$O30)</f>
        <v>9290.0048999999999</v>
      </c>
      <c r="Q30" s="21" t="str">
        <f>IFERROR(IF('Ene-23'!$F30="","-",VLOOKUP('Ene-23'!$F30,Lista_CUIT!$A$1:$D$1871,3,0)),"CUIT NO CARGADO")</f>
        <v>Gastos Varios</v>
      </c>
      <c r="R30" s="21">
        <f>IFERROR(IF('Ene-23'!$F30="","-",VLOOKUP('Ene-23'!$F30,Lista_CUIT!$A$1:$D$1871,4,0)),"CUIT NO CARGADO")</f>
        <v>0</v>
      </c>
    </row>
    <row r="31" spans="2:18" ht="15.75" customHeight="1" x14ac:dyDescent="0.25">
      <c r="B31" s="221">
        <v>44953</v>
      </c>
      <c r="C31" s="222">
        <v>3</v>
      </c>
      <c r="D31" s="223">
        <v>122</v>
      </c>
      <c r="E31" s="224">
        <v>43651</v>
      </c>
      <c r="F31" s="225">
        <v>30594494187</v>
      </c>
      <c r="G31" s="226" t="str">
        <f>IFERROR(IF('Ene-23'!$F31="","-",VLOOKUP('Ene-23'!$F31,Lista_CUIT!$A$1:$D$1871,2,0)),"CUIT NO CARGADO")</f>
        <v>FEDERAL EXPRESS CORPORATION</v>
      </c>
      <c r="H31" s="227">
        <v>-11062.2</v>
      </c>
      <c r="I31" s="228">
        <f>IF('Ene-23'!$H31="","",'Ene-23'!$H31*0.21)</f>
        <v>-2323.0619999999999</v>
      </c>
      <c r="J31" s="228"/>
      <c r="K31" s="228"/>
      <c r="L31" s="228"/>
      <c r="M31" s="228"/>
      <c r="N31" s="228"/>
      <c r="O31" s="228">
        <v>-30238.52</v>
      </c>
      <c r="P31" s="229">
        <f>SUM('Ene-23'!$H31:$O31)</f>
        <v>-43623.781999999999</v>
      </c>
      <c r="Q31" s="230" t="str">
        <f>IFERROR(IF('Ene-23'!$F31="","-",VLOOKUP('Ene-23'!$F31,Lista_CUIT!$A$1:$D$1871,3,0)),"CUIT NO CARGADO")</f>
        <v>GTOS IMP.</v>
      </c>
      <c r="R31" s="230">
        <f>IFERROR(IF('Ene-23'!$F31="","-",VLOOKUP('Ene-23'!$F31,Lista_CUIT!$A$1:$D$1871,4,0)),"CUIT NO CARGADO")</f>
        <v>0</v>
      </c>
    </row>
    <row r="32" spans="2:18" ht="15.75" customHeight="1" x14ac:dyDescent="0.25">
      <c r="B32" s="10">
        <v>44951</v>
      </c>
      <c r="C32" s="11">
        <v>1</v>
      </c>
      <c r="D32" s="12">
        <v>7</v>
      </c>
      <c r="E32" s="13">
        <v>53454</v>
      </c>
      <c r="F32" s="14">
        <v>20181426846</v>
      </c>
      <c r="G32" s="15" t="str">
        <f>IFERROR(IF('Ene-23'!$F32="","-",VLOOKUP('Ene-23'!$F32,Lista_CUIT!$A$1:$D$1871,2,0)),"CUIT NO CARGADO")</f>
        <v>GRIDEL WALTER DIEGO</v>
      </c>
      <c r="H32" s="16">
        <v>3297.52</v>
      </c>
      <c r="I32" s="23">
        <f>IF('Ene-23'!$H32="","",'Ene-23'!$H32*0.21)</f>
        <v>692.47919999999999</v>
      </c>
      <c r="J32" s="23"/>
      <c r="K32" s="23"/>
      <c r="L32" s="23"/>
      <c r="M32" s="23"/>
      <c r="N32" s="23"/>
      <c r="O32" s="23"/>
      <c r="P32" s="20">
        <f>SUM('Ene-23'!$H32:$O32)</f>
        <v>3989.9992000000002</v>
      </c>
      <c r="Q32" s="21" t="str">
        <f>IFERROR(IF('Ene-23'!$F32="","-",VLOOKUP('Ene-23'!$F32,Lista_CUIT!$A$1:$D$1871,3,0)),"CUIT NO CARGADO")</f>
        <v>Gastos Oficina</v>
      </c>
      <c r="R32" s="21">
        <f>IFERROR(IF('Ene-23'!$F32="","-",VLOOKUP('Ene-23'!$F32,Lista_CUIT!$A$1:$D$1871,4,0)),"CUIT NO CARGADO")</f>
        <v>0</v>
      </c>
    </row>
    <row r="33" spans="1:26" ht="15.75" customHeight="1" x14ac:dyDescent="0.25">
      <c r="B33" s="221">
        <v>44957</v>
      </c>
      <c r="C33" s="222">
        <v>2</v>
      </c>
      <c r="D33" s="223">
        <v>1001</v>
      </c>
      <c r="E33" s="224">
        <v>83036</v>
      </c>
      <c r="F33" s="225">
        <v>30538068841</v>
      </c>
      <c r="G33" s="226" t="str">
        <f>IFERROR(IF('Ene-23'!$F33="","-",VLOOKUP('Ene-23'!$F33,Lista_CUIT!$A$1:$D$1871,2,0)),"CUIT NO CARGADO")</f>
        <v>FAMIQ SRL</v>
      </c>
      <c r="H33" s="227">
        <v>32735.23</v>
      </c>
      <c r="I33" s="228">
        <f>IF('Ene-23'!$H33="","",'Ene-23'!$H33*0.21)</f>
        <v>6874.3982999999998</v>
      </c>
      <c r="J33" s="228"/>
      <c r="K33" s="228"/>
      <c r="L33" s="228"/>
      <c r="M33" s="228"/>
      <c r="N33" s="228"/>
      <c r="O33" s="228"/>
      <c r="P33" s="229">
        <f>SUM('Ene-23'!$H33:$O33)</f>
        <v>39609.628299999997</v>
      </c>
      <c r="Q33" s="230" t="str">
        <f>IFERROR(IF('Ene-23'!$F33="","-",VLOOKUP('Ene-23'!$F33,Lista_CUIT!$A$1:$D$1871,3,0)),"CUIT NO CARGADO")</f>
        <v>Gastos Varios</v>
      </c>
      <c r="R33" s="230">
        <f>IFERROR(IF('Ene-23'!$F33="","-",VLOOKUP('Ene-23'!$F33,Lista_CUIT!$A$1:$D$1871,4,0)),"CUIT NO CARGADO")</f>
        <v>0</v>
      </c>
    </row>
    <row r="34" spans="1:26" ht="15.75" customHeight="1" x14ac:dyDescent="0.25">
      <c r="B34" s="10">
        <v>44935</v>
      </c>
      <c r="C34" s="11">
        <v>1</v>
      </c>
      <c r="D34" s="12">
        <v>4</v>
      </c>
      <c r="E34" s="13">
        <v>92020</v>
      </c>
      <c r="F34" s="14">
        <v>30559932236</v>
      </c>
      <c r="G34" s="15" t="str">
        <f>IFERROR(IF('Ene-23'!$F34="","-",VLOOKUP('Ene-23'!$F34,Lista_CUIT!$A$1:$D$1871,2,0)),"CUIT NO CARGADO")</f>
        <v>ELECTRONICA ELEMON SA</v>
      </c>
      <c r="H34" s="16">
        <v>129680.75</v>
      </c>
      <c r="I34" s="23">
        <v>11346.76</v>
      </c>
      <c r="J34" s="23"/>
      <c r="K34" s="23">
        <v>7943.1</v>
      </c>
      <c r="L34" s="23"/>
      <c r="M34" s="23"/>
      <c r="N34" s="23"/>
      <c r="O34" s="23"/>
      <c r="P34" s="20">
        <f>SUM('Ene-23'!$H34:$O34)</f>
        <v>148970.61000000002</v>
      </c>
      <c r="Q34" s="21" t="str">
        <f>IFERROR(IF('Ene-23'!$F34="","-",VLOOKUP('Ene-23'!$F34,Lista_CUIT!$A$1:$D$1871,3,0)),"CUIT NO CARGADO")</f>
        <v>MAT. PRIM.</v>
      </c>
      <c r="R34" s="21">
        <f>IFERROR(IF('Ene-23'!$F34="","-",VLOOKUP('Ene-23'!$F34,Lista_CUIT!$A$1:$D$1871,4,0)),"CUIT NO CARGADO")</f>
        <v>0</v>
      </c>
    </row>
    <row r="35" spans="1:26" ht="15.75" customHeight="1" x14ac:dyDescent="0.25">
      <c r="B35" s="221">
        <v>44927</v>
      </c>
      <c r="C35" s="222">
        <v>1</v>
      </c>
      <c r="D35" s="223">
        <v>3</v>
      </c>
      <c r="E35" s="224">
        <v>178978</v>
      </c>
      <c r="F35" s="225">
        <v>30707135596</v>
      </c>
      <c r="G35" s="226" t="str">
        <f>IFERROR(IF('Ene-23'!$F35="","-",VLOOKUP('Ene-23'!$F35,Lista_CUIT!$A$1:$D$1871,2,0)),"CUIT NO CARGADO")</f>
        <v>CITILAN ARGENTINA SA</v>
      </c>
      <c r="H35" s="227">
        <v>4382.3</v>
      </c>
      <c r="I35" s="228">
        <f>IF('Ene-23'!$H35="","",'Ene-23'!$H35*0.21)</f>
        <v>920.28300000000002</v>
      </c>
      <c r="J35" s="228"/>
      <c r="K35" s="228"/>
      <c r="L35" s="228"/>
      <c r="M35" s="228"/>
      <c r="N35" s="228"/>
      <c r="O35" s="228"/>
      <c r="P35" s="229">
        <f>SUM('Ene-23'!$H35:$O35)</f>
        <v>5302.5830000000005</v>
      </c>
      <c r="Q35" s="230" t="str">
        <f>IFERROR(IF('Ene-23'!$F35="","-",VLOOKUP('Ene-23'!$F35,Lista_CUIT!$A$1:$D$1871,3,0)),"CUIT NO CARGADO")</f>
        <v>SERVICIOS GAS, LUZ, ETC</v>
      </c>
      <c r="R35" s="230">
        <f>IFERROR(IF('Ene-23'!$F35="","-",VLOOKUP('Ene-23'!$F35,Lista_CUIT!$A$1:$D$1871,4,0)),"CUIT NO CARGADO")</f>
        <v>0</v>
      </c>
    </row>
    <row r="36" spans="1:26" ht="15.75" customHeight="1" x14ac:dyDescent="0.25">
      <c r="B36" s="221">
        <v>44950</v>
      </c>
      <c r="C36" s="222">
        <v>1</v>
      </c>
      <c r="D36" s="223">
        <v>122</v>
      </c>
      <c r="E36" s="224">
        <v>265177</v>
      </c>
      <c r="F36" s="225">
        <v>30594494187</v>
      </c>
      <c r="G36" s="226" t="str">
        <f>IFERROR(IF('Ene-23'!$F36="","-",VLOOKUP('Ene-23'!$F36,Lista_CUIT!$A$1:$D$1871,2,0)),"CUIT NO CARGADO")</f>
        <v>FEDERAL EXPRESS CORPORATION</v>
      </c>
      <c r="H36" s="227">
        <v>11062.2</v>
      </c>
      <c r="I36" s="228">
        <f>IF('Ene-23'!$H36="","",'Ene-23'!$H36*0.21)</f>
        <v>2323.0619999999999</v>
      </c>
      <c r="J36" s="228"/>
      <c r="K36" s="228"/>
      <c r="L36" s="228"/>
      <c r="M36" s="228"/>
      <c r="N36" s="228"/>
      <c r="O36" s="228">
        <v>30238.52</v>
      </c>
      <c r="P36" s="229">
        <f>SUM('Ene-23'!$H36:$O36)</f>
        <v>43623.781999999999</v>
      </c>
      <c r="Q36" s="230" t="str">
        <f>IFERROR(IF('Ene-23'!$F36="","-",VLOOKUP('Ene-23'!$F36,Lista_CUIT!$A$1:$D$1871,3,0)),"CUIT NO CARGADO")</f>
        <v>GTOS IMP.</v>
      </c>
      <c r="R36" s="230">
        <f>IFERROR(IF('Ene-23'!$F36="","-",VLOOKUP('Ene-23'!$F36,Lista_CUIT!$A$1:$D$1871,4,0)),"CUIT NO CARGADO")</f>
        <v>0</v>
      </c>
    </row>
    <row r="37" spans="1:26" ht="18" customHeight="1" x14ac:dyDescent="0.25">
      <c r="A37" s="50"/>
      <c r="B37" s="10">
        <v>44937</v>
      </c>
      <c r="C37" s="11">
        <v>1</v>
      </c>
      <c r="D37" s="12">
        <v>2466</v>
      </c>
      <c r="E37" s="13">
        <v>459431</v>
      </c>
      <c r="F37" s="14">
        <v>30678814357</v>
      </c>
      <c r="G37" s="15" t="str">
        <f>IFERROR(IF('Ene-23'!$F37="","-",VLOOKUP('Ene-23'!$F37,Lista_CUIT!$A$1:$D$1871,2,0)),"CUIT NO CARGADO")</f>
        <v>Telefonica Moviles Argentina SA</v>
      </c>
      <c r="H37" s="16">
        <v>18081.04</v>
      </c>
      <c r="I37" s="23"/>
      <c r="J37" s="23">
        <v>4881.88</v>
      </c>
      <c r="K37" s="23"/>
      <c r="L37" s="23">
        <v>542.42999999999995</v>
      </c>
      <c r="M37" s="23"/>
      <c r="N37" s="23"/>
      <c r="O37" s="23">
        <v>182.37</v>
      </c>
      <c r="P37" s="20">
        <f>SUM('Ene-23'!$H37:$O37)</f>
        <v>23687.72</v>
      </c>
      <c r="Q37" s="21" t="str">
        <f>IFERROR(IF('Ene-23'!$F37="","-",VLOOKUP('Ene-23'!$F37,Lista_CUIT!$A$1:$D$1871,3,0)),"CUIT NO CARGADO")</f>
        <v>SERVICIOS GAS, LUZ, ETC</v>
      </c>
      <c r="R37" s="21">
        <f>IFERROR(IF('Ene-23'!$F37="","-",VLOOKUP('Ene-23'!$F37,Lista_CUIT!$A$1:$D$1871,4,0)),"CUIT NO CARGADO")</f>
        <v>0</v>
      </c>
      <c r="S37" s="50"/>
      <c r="T37" s="50"/>
      <c r="U37" s="50"/>
      <c r="V37" s="50"/>
      <c r="W37" s="50"/>
      <c r="X37" s="50"/>
      <c r="Y37" s="50"/>
      <c r="Z37" s="50"/>
    </row>
    <row r="38" spans="1:26" ht="15.75" customHeight="1" x14ac:dyDescent="0.25">
      <c r="B38" s="10">
        <v>44935</v>
      </c>
      <c r="C38" s="11">
        <v>1</v>
      </c>
      <c r="D38" s="12">
        <v>700</v>
      </c>
      <c r="E38" s="13">
        <v>473166</v>
      </c>
      <c r="F38" s="14">
        <v>30580111315</v>
      </c>
      <c r="G38" s="15" t="str">
        <f>IFERROR(IF('Ene-23'!$F38="","-",VLOOKUP('Ene-23'!$F38,Lista_CUIT!$A$1:$D$1871,2,0)),"CUIT NO CARGADO")</f>
        <v>DHL EXPRESS ARG SA</v>
      </c>
      <c r="H38" s="16">
        <v>2507.625</v>
      </c>
      <c r="I38" s="23">
        <f>IF('Ene-23'!$H38="","",'Ene-23'!$H38*0.21)</f>
        <v>526.60124999999994</v>
      </c>
      <c r="J38" s="23"/>
      <c r="K38" s="23"/>
      <c r="L38" s="23"/>
      <c r="M38" s="23"/>
      <c r="N38" s="23"/>
      <c r="O38" s="23">
        <v>101815.14750000001</v>
      </c>
      <c r="P38" s="20">
        <f>SUM('Ene-23'!$H38:$O38)</f>
        <v>104849.37375</v>
      </c>
      <c r="Q38" s="21" t="str">
        <f>IFERROR(IF('Ene-23'!$F38="","-",VLOOKUP('Ene-23'!$F38,Lista_CUIT!$A$1:$D$1871,3,0)),"CUIT NO CARGADO")</f>
        <v>GTOS IMP.</v>
      </c>
      <c r="R38" s="21">
        <f>IFERROR(IF('Ene-23'!$F38="","-",VLOOKUP('Ene-23'!$F38,Lista_CUIT!$A$1:$D$1871,4,0)),"CUIT NO CARGADO")</f>
        <v>0</v>
      </c>
    </row>
    <row r="39" spans="1:26" ht="15.75" customHeight="1" x14ac:dyDescent="0.25">
      <c r="B39" s="10">
        <v>44935</v>
      </c>
      <c r="C39" s="11">
        <v>1</v>
      </c>
      <c r="D39" s="12">
        <v>700</v>
      </c>
      <c r="E39" s="13">
        <v>473957</v>
      </c>
      <c r="F39" s="14">
        <v>30580111315</v>
      </c>
      <c r="G39" s="15" t="str">
        <f>IFERROR(IF('Ene-23'!$F39="","-",VLOOKUP('Ene-23'!$F39,Lista_CUIT!$A$1:$D$1871,2,0)),"CUIT NO CARGADO")</f>
        <v>DHL EXPRESS ARG SA</v>
      </c>
      <c r="H39" s="16">
        <v>0</v>
      </c>
      <c r="I39" s="23">
        <f>IF('Ene-23'!$H39="","",'Ene-23'!$H39*0.21)</f>
        <v>0</v>
      </c>
      <c r="J39" s="23"/>
      <c r="K39" s="23"/>
      <c r="L39" s="23"/>
      <c r="M39" s="23"/>
      <c r="N39" s="23"/>
      <c r="O39" s="23">
        <v>28128.122500000001</v>
      </c>
      <c r="P39" s="20">
        <f>SUM('Ene-23'!$H39:$O39)</f>
        <v>28128.122500000001</v>
      </c>
      <c r="Q39" s="21" t="str">
        <f>IFERROR(IF('Ene-23'!$F39="","-",VLOOKUP('Ene-23'!$F39,Lista_CUIT!$A$1:$D$1871,3,0)),"CUIT NO CARGADO")</f>
        <v>GTOS IMP.</v>
      </c>
      <c r="R39" s="21">
        <f>IFERROR(IF('Ene-23'!$F39="","-",VLOOKUP('Ene-23'!$F39,Lista_CUIT!$A$1:$D$1871,4,0)),"CUIT NO CARGADO")</f>
        <v>0</v>
      </c>
    </row>
    <row r="40" spans="1:26" ht="15.75" customHeight="1" x14ac:dyDescent="0.25">
      <c r="B40" s="10">
        <v>44949</v>
      </c>
      <c r="C40" s="11">
        <v>1</v>
      </c>
      <c r="D40" s="12">
        <v>700</v>
      </c>
      <c r="E40" s="13">
        <v>478407</v>
      </c>
      <c r="F40" s="14">
        <v>30580111315</v>
      </c>
      <c r="G40" s="15" t="str">
        <f>IFERROR(IF('Ene-23'!$F40="","-",VLOOKUP('Ene-23'!$F40,Lista_CUIT!$A$1:$D$1871,2,0)),"CUIT NO CARGADO")</f>
        <v>DHL EXPRESS ARG SA</v>
      </c>
      <c r="H40" s="16">
        <v>2656.5</v>
      </c>
      <c r="I40" s="23">
        <f>IF('Ene-23'!$H40="","",'Ene-23'!$H40*0.21)</f>
        <v>557.86500000000001</v>
      </c>
      <c r="J40" s="23"/>
      <c r="K40" s="23"/>
      <c r="L40" s="23"/>
      <c r="M40" s="23"/>
      <c r="N40" s="23"/>
      <c r="O40" s="23">
        <v>61708.597499999996</v>
      </c>
      <c r="P40" s="20">
        <f>SUM('Ene-23'!$H40:$O40)</f>
        <v>64922.962499999994</v>
      </c>
      <c r="Q40" s="21" t="str">
        <f>IFERROR(IF('Ene-23'!$F40="","-",VLOOKUP('Ene-23'!$F40,Lista_CUIT!$A$1:$D$1871,3,0)),"CUIT NO CARGADO")</f>
        <v>GTOS IMP.</v>
      </c>
      <c r="R40" s="21">
        <f>IFERROR(IF('Ene-23'!$F40="","-",VLOOKUP('Ene-23'!$F40,Lista_CUIT!$A$1:$D$1871,4,0)),"CUIT NO CARGADO")</f>
        <v>0</v>
      </c>
    </row>
    <row r="41" spans="1:26" ht="15.75" customHeight="1" x14ac:dyDescent="0.25">
      <c r="B41" s="10">
        <v>44956</v>
      </c>
      <c r="C41" s="11">
        <v>1</v>
      </c>
      <c r="D41" s="12">
        <v>700</v>
      </c>
      <c r="E41" s="13">
        <v>480580</v>
      </c>
      <c r="F41" s="14">
        <v>30580111315</v>
      </c>
      <c r="G41" s="15" t="str">
        <f>IFERROR(IF('Ene-23'!$F41="","-",VLOOKUP('Ene-23'!$F41,Lista_CUIT!$A$1:$D$1871,2,0)),"CUIT NO CARGADO")</f>
        <v>DHL EXPRESS ARG SA</v>
      </c>
      <c r="H41" s="16">
        <v>2691.5</v>
      </c>
      <c r="I41" s="23">
        <f>IF('Ene-23'!$H41="","",'Ene-23'!$H41*0.21)</f>
        <v>565.21500000000003</v>
      </c>
      <c r="J41" s="23"/>
      <c r="K41" s="23"/>
      <c r="L41" s="23"/>
      <c r="M41" s="23"/>
      <c r="N41" s="23"/>
      <c r="O41" s="23">
        <v>54946.972500000003</v>
      </c>
      <c r="P41" s="20">
        <f>SUM('Ene-23'!$H41:$O41)</f>
        <v>58203.6875</v>
      </c>
      <c r="Q41" s="21" t="str">
        <f>IFERROR(IF('Ene-23'!$F41="","-",VLOOKUP('Ene-23'!$F41,Lista_CUIT!$A$1:$D$1871,3,0)),"CUIT NO CARGADO")</f>
        <v>GTOS IMP.</v>
      </c>
      <c r="R41" s="21">
        <f>IFERROR(IF('Ene-23'!$F41="","-",VLOOKUP('Ene-23'!$F41,Lista_CUIT!$A$1:$D$1871,4,0)),"CUIT NO CARGADO")</f>
        <v>0</v>
      </c>
    </row>
    <row r="42" spans="1:26" ht="15.75" customHeight="1" x14ac:dyDescent="0.25">
      <c r="B42" s="10">
        <v>44928</v>
      </c>
      <c r="C42" s="11">
        <v>1</v>
      </c>
      <c r="D42" s="12">
        <v>106</v>
      </c>
      <c r="E42" s="13">
        <v>595879</v>
      </c>
      <c r="F42" s="14">
        <v>30594494187</v>
      </c>
      <c r="G42" s="15" t="str">
        <f>IFERROR(IF('Ene-23'!$F42="","-",VLOOKUP('Ene-23'!$F42,Lista_CUIT!$A$1:$D$1871,2,0)),"CUIT NO CARGADO")</f>
        <v>FEDERAL EXPRESS CORPORATION</v>
      </c>
      <c r="H42" s="16">
        <v>0</v>
      </c>
      <c r="I42" s="23">
        <f>IF('Ene-23'!$H42="","",'Ene-23'!$H42*0.21)</f>
        <v>0</v>
      </c>
      <c r="J42" s="23"/>
      <c r="K42" s="23"/>
      <c r="L42" s="23"/>
      <c r="M42" s="23"/>
      <c r="N42" s="23"/>
      <c r="O42" s="23">
        <v>37480.120000000003</v>
      </c>
      <c r="P42" s="20">
        <f>SUM('Ene-23'!$H42:$O42)</f>
        <v>37480.120000000003</v>
      </c>
      <c r="Q42" s="21" t="str">
        <f>IFERROR(IF('Ene-23'!$F42="","-",VLOOKUP('Ene-23'!$F42,Lista_CUIT!$A$1:$D$1871,3,0)),"CUIT NO CARGADO")</f>
        <v>GTOS IMP.</v>
      </c>
      <c r="R42" s="21">
        <f>IFERROR(IF('Ene-23'!$F42="","-",VLOOKUP('Ene-23'!$F42,Lista_CUIT!$A$1:$D$1871,4,0)),"CUIT NO CARGADO")</f>
        <v>0</v>
      </c>
    </row>
    <row r="43" spans="1:26" ht="15.75" customHeight="1" x14ac:dyDescent="0.25">
      <c r="B43" s="10">
        <v>44928</v>
      </c>
      <c r="C43" s="11">
        <v>1</v>
      </c>
      <c r="D43" s="12">
        <v>1006</v>
      </c>
      <c r="E43" s="13">
        <v>804846</v>
      </c>
      <c r="F43" s="14">
        <v>30538068841</v>
      </c>
      <c r="G43" s="15" t="str">
        <f>IFERROR(IF('Ene-23'!$F43="","-",VLOOKUP('Ene-23'!$F43,Lista_CUIT!$A$1:$D$1871,2,0)),"CUIT NO CARGADO")</f>
        <v>FAMIQ SRL</v>
      </c>
      <c r="H43" s="16">
        <v>2399491.9925000002</v>
      </c>
      <c r="I43" s="23">
        <f>IF('Ene-23'!$H43="","",'Ene-23'!$H43*0.21)</f>
        <v>503893.318425</v>
      </c>
      <c r="J43" s="23"/>
      <c r="K43" s="23"/>
      <c r="L43" s="23"/>
      <c r="M43" s="23"/>
      <c r="N43" s="23"/>
      <c r="O43" s="23"/>
      <c r="P43" s="20">
        <f>SUM('Ene-23'!$H43:$O43)</f>
        <v>2903385.3109250003</v>
      </c>
      <c r="Q43" s="21" t="str">
        <f>IFERROR(IF('Ene-23'!$F43="","-",VLOOKUP('Ene-23'!$F43,Lista_CUIT!$A$1:$D$1871,3,0)),"CUIT NO CARGADO")</f>
        <v>Gastos Varios</v>
      </c>
      <c r="R43" s="21">
        <f>IFERROR(IF('Ene-23'!$F43="","-",VLOOKUP('Ene-23'!$F43,Lista_CUIT!$A$1:$D$1871,4,0)),"CUIT NO CARGADO")</f>
        <v>0</v>
      </c>
    </row>
    <row r="44" spans="1:26" ht="15.75" customHeight="1" x14ac:dyDescent="0.25">
      <c r="B44" s="221">
        <v>44956</v>
      </c>
      <c r="C44" s="222">
        <v>1</v>
      </c>
      <c r="D44" s="223">
        <v>3</v>
      </c>
      <c r="E44" s="224">
        <v>1263434</v>
      </c>
      <c r="F44" s="225">
        <v>30712019359</v>
      </c>
      <c r="G44" s="226" t="str">
        <f>IFERROR(IF('Ene-23'!$F44="","-",VLOOKUP('Ene-23'!$F44,Lista_CUIT!$A$1:$D$1871,2,0)),"CUIT NO CARGADO")</f>
        <v>LINKEDSTORE ARGENTINA S.R.L.</v>
      </c>
      <c r="H44" s="227">
        <v>4461.9799999999996</v>
      </c>
      <c r="I44" s="228">
        <f>IF('Ene-23'!$H44="","",'Ene-23'!$H44*0.21)</f>
        <v>937.0157999999999</v>
      </c>
      <c r="J44" s="228"/>
      <c r="K44" s="228"/>
      <c r="L44" s="228"/>
      <c r="M44" s="228"/>
      <c r="N44" s="228"/>
      <c r="O44" s="228"/>
      <c r="P44" s="229">
        <f>SUM('Ene-23'!$H44:$O44)</f>
        <v>5398.9957999999997</v>
      </c>
      <c r="Q44" s="230" t="str">
        <f>IFERROR(IF('Ene-23'!$F44="","-",VLOOKUP('Ene-23'!$F44,Lista_CUIT!$A$1:$D$1871,3,0)),"CUIT NO CARGADO")</f>
        <v>Gastos Varios</v>
      </c>
      <c r="R44" s="230">
        <f>IFERROR(IF('Ene-23'!$F44="","-",VLOOKUP('Ene-23'!$F44,Lista_CUIT!$A$1:$D$1871,4,0)),"CUIT NO CARGADO")</f>
        <v>0</v>
      </c>
    </row>
    <row r="45" spans="1:26" ht="15.75" customHeight="1" x14ac:dyDescent="0.25">
      <c r="B45" s="21" t="s">
        <v>1546</v>
      </c>
      <c r="C45" s="21"/>
      <c r="D45" s="21"/>
      <c r="E45" s="21"/>
      <c r="F45" s="21"/>
      <c r="G45" s="15"/>
      <c r="H45" s="16">
        <f>SUBTOTAL(109,'Ene-23'!$H$9:$H$44)</f>
        <v>3073265.8275000001</v>
      </c>
      <c r="I45" s="16">
        <f>SUBTOTAL(109,'Ene-23'!$I$9:$I$44)</f>
        <v>615714.16787500004</v>
      </c>
      <c r="J45" s="16">
        <f>SUBTOTAL(109,'Ene-23'!$J$9:$J$44)</f>
        <v>4881.88</v>
      </c>
      <c r="K45" s="16">
        <f>SUBTOTAL(109,'Ene-23'!$K$9:$K$44)</f>
        <v>12937.32</v>
      </c>
      <c r="L45" s="16">
        <f>SUBTOTAL(109,'Ene-23'!$L$9:$L$44)</f>
        <v>542.42999999999995</v>
      </c>
      <c r="M45" s="16">
        <f>SUBTOTAL(109,'Ene-23'!$M$9:$M$44)</f>
        <v>0</v>
      </c>
      <c r="N45" s="16">
        <f>SUBTOTAL(109,'Ene-23'!$N$9:$N$44)</f>
        <v>0</v>
      </c>
      <c r="O45" s="16">
        <f>SUBTOTAL(109,'Ene-23'!$O$9:$O$44)</f>
        <v>284261.33</v>
      </c>
      <c r="P45" s="16">
        <f>SUBTOTAL(109,'Ene-23'!$P$9:$P$44)</f>
        <v>3991602.9553750004</v>
      </c>
      <c r="Q45" s="21"/>
      <c r="R45" s="21"/>
    </row>
    <row r="46" spans="1:26" ht="18" customHeight="1" x14ac:dyDescent="0.25">
      <c r="B46" s="10"/>
      <c r="C46" s="11"/>
      <c r="D46" s="12"/>
      <c r="E46" s="13"/>
      <c r="F46" s="14"/>
      <c r="G46" s="15"/>
      <c r="H46" s="16"/>
      <c r="I46" s="17"/>
      <c r="J46" s="17"/>
      <c r="K46" s="17"/>
      <c r="L46" s="17"/>
      <c r="M46" s="17"/>
      <c r="N46" s="17"/>
      <c r="O46" s="17"/>
      <c r="P46" s="20"/>
      <c r="Q46" s="21"/>
      <c r="R46" s="21"/>
    </row>
    <row r="47" spans="1:26" ht="15.75" customHeight="1" x14ac:dyDescent="0.25">
      <c r="B47" s="10"/>
      <c r="C47" s="11"/>
      <c r="D47" s="12"/>
      <c r="E47" s="13"/>
      <c r="F47" s="14"/>
      <c r="G47" s="15"/>
      <c r="H47" s="16"/>
      <c r="I47" s="17"/>
      <c r="J47" s="17"/>
      <c r="K47" s="17"/>
      <c r="L47" s="17"/>
      <c r="M47" s="17"/>
      <c r="N47" s="17"/>
      <c r="O47" s="17"/>
      <c r="P47" s="20"/>
      <c r="Q47" s="21"/>
      <c r="R47" s="21"/>
    </row>
    <row r="48" spans="1:26" ht="15.75" customHeight="1" x14ac:dyDescent="0.25">
      <c r="B48" s="10"/>
      <c r="C48" s="11"/>
      <c r="D48" s="12"/>
      <c r="E48" s="13"/>
      <c r="F48" s="14"/>
      <c r="G48" s="15"/>
      <c r="H48" s="16"/>
      <c r="I48" s="17"/>
      <c r="J48" s="17"/>
      <c r="K48" s="17"/>
      <c r="L48" s="17"/>
      <c r="M48" s="17"/>
      <c r="N48" s="17"/>
      <c r="O48" s="17"/>
      <c r="P48" s="20"/>
      <c r="Q48" s="21"/>
      <c r="R48" s="21"/>
    </row>
    <row r="49" spans="2:12" ht="15.75" customHeight="1" x14ac:dyDescent="0.25">
      <c r="B49" s="10"/>
      <c r="C49" s="11"/>
      <c r="D49" s="375" t="s">
        <v>1706</v>
      </c>
      <c r="E49" s="374"/>
      <c r="F49" s="231"/>
      <c r="G49" s="231"/>
      <c r="H49" s="16"/>
      <c r="I49" s="17"/>
      <c r="J49" s="17"/>
      <c r="K49" s="17"/>
      <c r="L49" s="17"/>
    </row>
    <row r="50" spans="2:12" ht="15.75" customHeight="1" x14ac:dyDescent="0.25">
      <c r="D50" s="359" t="s">
        <v>1547</v>
      </c>
      <c r="E50" s="351"/>
      <c r="F50" s="351"/>
      <c r="G50" s="351"/>
      <c r="H50" s="351"/>
      <c r="I50" s="351"/>
      <c r="J50" s="351"/>
      <c r="K50" s="351"/>
      <c r="L50" s="352"/>
    </row>
    <row r="51" spans="2:12" ht="15.75" customHeight="1" x14ac:dyDescent="0.25">
      <c r="D51" s="36" t="s">
        <v>1532</v>
      </c>
      <c r="E51" s="37" t="s">
        <v>1548</v>
      </c>
      <c r="F51" s="37" t="s">
        <v>1549</v>
      </c>
      <c r="G51" s="37" t="s">
        <v>1550</v>
      </c>
      <c r="H51" s="37" t="s">
        <v>1551</v>
      </c>
      <c r="I51" s="37" t="s">
        <v>1539</v>
      </c>
      <c r="J51" s="38" t="s">
        <v>1552</v>
      </c>
      <c r="K51" s="38" t="s">
        <v>1553</v>
      </c>
      <c r="L51" s="39" t="s">
        <v>1554</v>
      </c>
    </row>
    <row r="52" spans="2:12" ht="15.75" customHeight="1" x14ac:dyDescent="0.25">
      <c r="D52" s="10">
        <v>44930</v>
      </c>
      <c r="E52" s="98" t="s">
        <v>1707</v>
      </c>
      <c r="F52" s="43" t="s">
        <v>1708</v>
      </c>
      <c r="G52" s="42">
        <v>4466.5</v>
      </c>
      <c r="H52" s="42">
        <f>'Ene-23'!$G52*0.21</f>
        <v>937.96499999999992</v>
      </c>
      <c r="I52" s="42"/>
      <c r="J52" s="42"/>
      <c r="K52" s="42">
        <v>134</v>
      </c>
      <c r="L52" s="42"/>
    </row>
    <row r="53" spans="2:12" ht="15.75" customHeight="1" x14ac:dyDescent="0.25">
      <c r="D53" s="10">
        <v>44928</v>
      </c>
      <c r="E53" s="98" t="s">
        <v>1709</v>
      </c>
      <c r="F53" s="43" t="s">
        <v>1710</v>
      </c>
      <c r="G53" s="42">
        <v>20373.400000000001</v>
      </c>
      <c r="H53" s="42">
        <f>'Ene-23'!$G53*0.21</f>
        <v>4278.4139999999998</v>
      </c>
      <c r="I53" s="42"/>
      <c r="J53" s="42"/>
      <c r="K53" s="42">
        <v>611.20000000000005</v>
      </c>
      <c r="L53" s="42"/>
    </row>
    <row r="54" spans="2:12" ht="15.75" customHeight="1" x14ac:dyDescent="0.25">
      <c r="D54" s="10"/>
      <c r="E54" s="98"/>
      <c r="F54" s="43"/>
      <c r="G54" s="42"/>
      <c r="H54" s="42">
        <f>'Ene-23'!$G54*0.21</f>
        <v>0</v>
      </c>
      <c r="I54" s="42"/>
      <c r="J54" s="42"/>
      <c r="K54" s="42"/>
      <c r="L54" s="42"/>
    </row>
    <row r="55" spans="2:12" ht="15.75" customHeight="1" x14ac:dyDescent="0.25">
      <c r="D55" s="21" t="s">
        <v>1546</v>
      </c>
      <c r="E55" s="43"/>
      <c r="F55" s="43"/>
      <c r="G55" s="42">
        <f>SUBTOTAL(109,'Ene-23'!$G$52:$G$54)</f>
        <v>24839.9</v>
      </c>
      <c r="H55" s="42">
        <f>SUBTOTAL(109,'Ene-23'!$H$52:$H$54)</f>
        <v>5216.3789999999999</v>
      </c>
      <c r="I55" s="42">
        <f>SUBTOTAL(109,'Ene-23'!$I$52:$I$54)</f>
        <v>0</v>
      </c>
      <c r="J55" s="42">
        <f>SUBTOTAL(109,'Ene-23'!$J$52:$J$54)</f>
        <v>0</v>
      </c>
      <c r="K55" s="42">
        <f>SUBTOTAL(109,'Ene-23'!$K$52:$K$54)</f>
        <v>745.2</v>
      </c>
      <c r="L55" s="42">
        <f>SUBTOTAL(109,'Ene-23'!$L$52:$L$54)</f>
        <v>0</v>
      </c>
    </row>
    <row r="56" spans="2:12" ht="25.5" customHeight="1" x14ac:dyDescent="0.25"/>
    <row r="57" spans="2:12" ht="15.75" customHeight="1" x14ac:dyDescent="0.25"/>
    <row r="58" spans="2:12" ht="17.25" customHeight="1" x14ac:dyDescent="0.25"/>
    <row r="59" spans="2:12" ht="31.5" customHeight="1" x14ac:dyDescent="0.25">
      <c r="D59" s="359" t="s">
        <v>1560</v>
      </c>
      <c r="E59" s="351"/>
      <c r="F59" s="351"/>
      <c r="G59" s="351"/>
      <c r="H59" s="351"/>
      <c r="I59" s="351"/>
      <c r="J59" s="351"/>
      <c r="K59" s="352"/>
    </row>
    <row r="60" spans="2:12" ht="15.75" customHeight="1" x14ac:dyDescent="0.25">
      <c r="D60" s="44" t="s">
        <v>1532</v>
      </c>
      <c r="E60" s="44" t="s">
        <v>1534</v>
      </c>
      <c r="F60" s="44" t="s">
        <v>1561</v>
      </c>
      <c r="G60" s="44" t="s">
        <v>0</v>
      </c>
      <c r="H60" s="44" t="s">
        <v>1</v>
      </c>
      <c r="I60" s="45" t="s">
        <v>1544</v>
      </c>
      <c r="J60" s="44" t="s">
        <v>1562</v>
      </c>
      <c r="K60" s="44" t="s">
        <v>1545</v>
      </c>
    </row>
    <row r="61" spans="2:12" ht="15.75" customHeight="1" x14ac:dyDescent="0.25">
      <c r="D61" s="10">
        <v>44929</v>
      </c>
      <c r="E61" s="12">
        <v>3</v>
      </c>
      <c r="F61" s="13">
        <v>672</v>
      </c>
      <c r="G61" s="14">
        <v>20086277523</v>
      </c>
      <c r="H61" s="46" t="str">
        <f>IFERROR(IF('Ene-23'!$G61="","-",VLOOKUP('Ene-23'!$G61,Lista_CUIT!$A$1:$D$1871,2,0)),"CUIT NO CARGADO")</f>
        <v>JUAN CARLOS BOTINDARI</v>
      </c>
      <c r="I61" s="42">
        <v>51900</v>
      </c>
      <c r="J61" s="47" t="str">
        <f>IFERROR(IF('Ene-23'!$G61="","-",VLOOKUP('Ene-23'!$G61,Lista_CUIT!$A$1:$D$1871,3,0)),"CUIT NO CARGADO")</f>
        <v>HONORARIOS</v>
      </c>
      <c r="K61" s="47">
        <f>IFERROR(IF('Ene-23'!$G61="","-",VLOOKUP('Ene-23'!$G61,Lista_CUIT!$A$1:$D$1871,4,0)),"CUIT NO CARGADO")</f>
        <v>0</v>
      </c>
    </row>
    <row r="62" spans="2:12" ht="15.75" customHeight="1" x14ac:dyDescent="0.25">
      <c r="D62" s="10">
        <v>44931</v>
      </c>
      <c r="E62" s="55">
        <v>1</v>
      </c>
      <c r="F62" s="55">
        <v>96</v>
      </c>
      <c r="G62" s="56">
        <v>20341465134</v>
      </c>
      <c r="H62" s="46" t="str">
        <f>IFERROR(IF('Ene-23'!$G62="","-",VLOOKUP('Ene-23'!$G62,Lista_CUIT!$A$1:$D$1871,2,0)),"CUIT NO CARGADO")</f>
        <v xml:space="preserve">ABELEDO AGUSTIN ENRIQUE </v>
      </c>
      <c r="I62" s="49">
        <v>154900</v>
      </c>
      <c r="J62" s="47" t="str">
        <f>IFERROR(IF('Ene-23'!$G62="","-",VLOOKUP('Ene-23'!$G62,Lista_CUIT!$A$1:$D$1871,3,0)),"CUIT NO CARGADO")</f>
        <v>HONOR. INGENIERO</v>
      </c>
      <c r="K62" s="47">
        <f>IFERROR(IF('Ene-23'!$G62="","-",VLOOKUP('Ene-23'!$G62,Lista_CUIT!$A$1:$D$1871,4,0)),"CUIT NO CARGADO")</f>
        <v>0</v>
      </c>
    </row>
    <row r="63" spans="2:12" ht="15.75" customHeight="1" x14ac:dyDescent="0.25">
      <c r="D63" s="221">
        <v>44935</v>
      </c>
      <c r="E63" s="232">
        <v>2</v>
      </c>
      <c r="F63" s="232">
        <v>79</v>
      </c>
      <c r="G63" s="233">
        <v>20244271740</v>
      </c>
      <c r="H63" s="234" t="str">
        <f>IFERROR(IF('Ene-23'!$G63="","-",VLOOKUP('Ene-23'!$G63,Lista_CUIT!$A$1:$D$1871,2,0)),"CUIT NO CARGADO")</f>
        <v xml:space="preserve">KENNEL SEBASTIAN </v>
      </c>
      <c r="I63" s="235">
        <v>220100</v>
      </c>
      <c r="J63" s="236" t="str">
        <f>IFERROR(IF('Ene-23'!$G63="","-",VLOOKUP('Ene-23'!$G63,Lista_CUIT!$A$1:$D$1871,3,0)),"CUIT NO CARGADO")</f>
        <v>SOFTWARE MANTENIMIENTO</v>
      </c>
      <c r="K63" s="236">
        <f>IFERROR(IF('Ene-23'!$G63="","-",VLOOKUP('Ene-23'!$G63,Lista_CUIT!$A$1:$D$1871,4,0)),"CUIT NO CARGADO")</f>
        <v>0</v>
      </c>
    </row>
    <row r="64" spans="2:12" ht="15.75" customHeight="1" x14ac:dyDescent="0.25">
      <c r="D64" s="221">
        <v>44936</v>
      </c>
      <c r="E64" s="232">
        <v>2</v>
      </c>
      <c r="F64" s="232">
        <v>18</v>
      </c>
      <c r="G64" s="233">
        <v>23326777269</v>
      </c>
      <c r="H64" s="234" t="str">
        <f>IFERROR(IF('Ene-23'!$G64="","-",VLOOKUP('Ene-23'!$G64,Lista_CUIT!$A$1:$D$1871,2,0)),"CUIT NO CARGADO")</f>
        <v>DE BONIS IGNACIO LUIS</v>
      </c>
      <c r="I64" s="235">
        <v>149275</v>
      </c>
      <c r="J64" s="236" t="str">
        <f>IFERROR(IF('Ene-23'!$G64="","-",VLOOKUP('Ene-23'!$G64,Lista_CUIT!$A$1:$D$1871,3,0)),"CUIT NO CARGADO")</f>
        <v>Control medidores masicos</v>
      </c>
      <c r="K64" s="236">
        <f>IFERROR(IF('Ene-23'!$G64="","-",VLOOKUP('Ene-23'!$G64,Lista_CUIT!$A$1:$D$1871,4,0)),"CUIT NO CARGADO")</f>
        <v>0</v>
      </c>
    </row>
    <row r="65" spans="2:18" ht="15.75" customHeight="1" x14ac:dyDescent="0.25">
      <c r="D65" s="10">
        <v>44937</v>
      </c>
      <c r="E65" s="55">
        <v>1</v>
      </c>
      <c r="F65" s="55">
        <v>90</v>
      </c>
      <c r="G65" s="56">
        <v>27925308884</v>
      </c>
      <c r="H65" s="46" t="str">
        <f>IFERROR(IF('Ene-23'!$G65="","-",VLOOKUP('Ene-23'!$G65,Lista_CUIT!$A$1:$D$1871,2,0)),"CUIT NO CARGADO")</f>
        <v>LOPEZ LOPEZ FLAVIA</v>
      </c>
      <c r="I65" s="49">
        <v>2400</v>
      </c>
      <c r="J65" s="47" t="str">
        <f>IFERROR(IF('Ene-23'!$G65="","-",VLOOKUP('Ene-23'!$G65,Lista_CUIT!$A$1:$D$1871,3,0)),"CUIT NO CARGADO")</f>
        <v>FLETE</v>
      </c>
      <c r="K65" s="47">
        <f>IFERROR(IF('Ene-23'!$G65="","-",VLOOKUP('Ene-23'!$G65,Lista_CUIT!$A$1:$D$1871,4,0)),"CUIT NO CARGADO")</f>
        <v>0</v>
      </c>
    </row>
    <row r="66" spans="2:18" ht="15.75" customHeight="1" x14ac:dyDescent="0.25">
      <c r="D66" s="10">
        <v>44938</v>
      </c>
      <c r="E66" s="55">
        <v>3</v>
      </c>
      <c r="F66" s="55">
        <v>674</v>
      </c>
      <c r="G66" s="56">
        <v>20086277523</v>
      </c>
      <c r="H66" s="46" t="str">
        <f>IFERROR(IF('Ene-23'!$G66="","-",VLOOKUP('Ene-23'!$G66,Lista_CUIT!$A$1:$D$1871,2,0)),"CUIT NO CARGADO")</f>
        <v>JUAN CARLOS BOTINDARI</v>
      </c>
      <c r="I66" s="49">
        <v>10900</v>
      </c>
      <c r="J66" s="47" t="str">
        <f>IFERROR(IF('Ene-23'!$G66="","-",VLOOKUP('Ene-23'!$G66,Lista_CUIT!$A$1:$D$1871,3,0)),"CUIT NO CARGADO")</f>
        <v>HONORARIOS</v>
      </c>
      <c r="K66" s="47">
        <f>IFERROR(IF('Ene-23'!$G66="","-",VLOOKUP('Ene-23'!$G66,Lista_CUIT!$A$1:$D$1871,4,0)),"CUIT NO CARGADO")</f>
        <v>0</v>
      </c>
    </row>
    <row r="67" spans="2:18" ht="15.75" customHeight="1" x14ac:dyDescent="0.25">
      <c r="D67" s="221">
        <v>44939</v>
      </c>
      <c r="E67" s="232">
        <v>1</v>
      </c>
      <c r="F67" s="232">
        <v>14</v>
      </c>
      <c r="G67" s="233">
        <v>20417805878</v>
      </c>
      <c r="H67" s="234" t="str">
        <f>IFERROR(IF('Ene-23'!$G67="","-",VLOOKUP('Ene-23'!$G67,Lista_CUIT!$A$1:$D$1871,2,0)),"CUIT NO CARGADO")</f>
        <v>FERABOLI OSPAL SANTIAGO HERNAN</v>
      </c>
      <c r="I67" s="235">
        <v>127030</v>
      </c>
      <c r="J67" s="236" t="str">
        <f>IFERROR(IF('Ene-23'!$G67="","-",VLOOKUP('Ene-23'!$G67,Lista_CUIT!$A$1:$D$1871,3,0)),"CUIT NO CARGADO")</f>
        <v>Control medidores masicos</v>
      </c>
      <c r="K67" s="236">
        <f>IFERROR(IF('Ene-23'!$G67="","-",VLOOKUP('Ene-23'!$G67,Lista_CUIT!$A$1:$D$1871,4,0)),"CUIT NO CARGADO")</f>
        <v>0</v>
      </c>
    </row>
    <row r="68" spans="2:18" ht="15.75" customHeight="1" x14ac:dyDescent="0.25">
      <c r="D68" s="221">
        <v>44939</v>
      </c>
      <c r="E68" s="232">
        <v>3</v>
      </c>
      <c r="F68" s="232">
        <v>44</v>
      </c>
      <c r="G68" s="233">
        <v>20403931420</v>
      </c>
      <c r="H68" s="234" t="str">
        <f>IFERROR(IF('Ene-23'!$G68="","-",VLOOKUP('Ene-23'!$G68,Lista_CUIT!$A$1:$D$1871,2,0)),"CUIT NO CARGADO")</f>
        <v>FIORENTINO JORGE IGNACIO</v>
      </c>
      <c r="I68" s="235">
        <v>117410</v>
      </c>
      <c r="J68" s="236" t="str">
        <f>IFERROR(IF('Ene-23'!$G68="","-",VLOOKUP('Ene-23'!$G68,Lista_CUIT!$A$1:$D$1871,3,0)),"CUIT NO CARGADO")</f>
        <v>Honorarios Administrativos-Cobranzas y Gestion Clientes</v>
      </c>
      <c r="K68" s="236">
        <f>IFERROR(IF('Ene-23'!$G68="","-",VLOOKUP('Ene-23'!$G68,Lista_CUIT!$A$1:$D$1871,4,0)),"CUIT NO CARGADO")</f>
        <v>0</v>
      </c>
    </row>
    <row r="69" spans="2:18" ht="15.75" customHeight="1" x14ac:dyDescent="0.25">
      <c r="D69" s="10">
        <v>44945</v>
      </c>
      <c r="E69" s="55">
        <v>1</v>
      </c>
      <c r="F69" s="55">
        <v>102</v>
      </c>
      <c r="G69" s="56">
        <v>27925308884</v>
      </c>
      <c r="H69" s="46" t="str">
        <f>IFERROR(IF('Ene-23'!$G69="","-",VLOOKUP('Ene-23'!$G69,Lista_CUIT!$A$1:$D$1871,2,0)),"CUIT NO CARGADO")</f>
        <v>LOPEZ LOPEZ FLAVIA</v>
      </c>
      <c r="I69" s="49">
        <v>8600</v>
      </c>
      <c r="J69" s="47" t="str">
        <f>IFERROR(IF('Ene-23'!$G69="","-",VLOOKUP('Ene-23'!$G69,Lista_CUIT!$A$1:$D$1871,3,0)),"CUIT NO CARGADO")</f>
        <v>FLETE</v>
      </c>
      <c r="K69" s="47">
        <f>IFERROR(IF('Ene-23'!$G69="","-",VLOOKUP('Ene-23'!$G69,Lista_CUIT!$A$1:$D$1871,4,0)),"CUIT NO CARGADO")</f>
        <v>0</v>
      </c>
    </row>
    <row r="70" spans="2:18" ht="15.75" customHeight="1" x14ac:dyDescent="0.25">
      <c r="D70" s="10">
        <v>44945</v>
      </c>
      <c r="E70" s="12">
        <v>2</v>
      </c>
      <c r="F70" s="13">
        <v>128</v>
      </c>
      <c r="G70" s="14">
        <v>20136544625</v>
      </c>
      <c r="H70" s="46" t="str">
        <f>IFERROR(IF('Ene-23'!$G70="","-",VLOOKUP('Ene-23'!$G70,Lista_CUIT!$A$1:$D$1871,2,0)),"CUIT NO CARGADO")</f>
        <v>RODRIGUEZ DE LA FUEN HECTOR MARCELO</v>
      </c>
      <c r="I70" s="42">
        <v>100000</v>
      </c>
      <c r="J70" s="47" t="str">
        <f>IFERROR(IF('Ene-23'!$G70="","-",VLOOKUP('Ene-23'!$G70,Lista_CUIT!$A$1:$D$1871,3,0)),"CUIT NO CARGADO")</f>
        <v>Honorarios Administrativos-Cobranzas y Gestion Clientes</v>
      </c>
      <c r="K70" s="47">
        <f>IFERROR(IF('Ene-23'!$G70="","-",VLOOKUP('Ene-23'!$G70,Lista_CUIT!$A$1:$D$1871,4,0)),"CUIT NO CARGADO")</f>
        <v>0</v>
      </c>
    </row>
    <row r="71" spans="2:18" ht="15.75" customHeight="1" x14ac:dyDescent="0.25">
      <c r="D71" s="221">
        <v>44949</v>
      </c>
      <c r="E71" s="223">
        <v>2</v>
      </c>
      <c r="F71" s="224">
        <v>100</v>
      </c>
      <c r="G71" s="225">
        <v>27125997835</v>
      </c>
      <c r="H71" s="234" t="str">
        <f>IFERROR(IF('Ene-23'!$G71="","-",VLOOKUP('Ene-23'!$G71,Lista_CUIT!$A$1:$D$1871,2,0)),"CUIT NO CARGADO")</f>
        <v>DANSKY ULLMANN VIVIANA EVA YOLANDA</v>
      </c>
      <c r="I71" s="237">
        <v>37000</v>
      </c>
      <c r="J71" s="236" t="str">
        <f>IFERROR(IF('Ene-23'!$G71="","-",VLOOKUP('Ene-23'!$G71,Lista_CUIT!$A$1:$D$1871,3,0)),"CUIT NO CARGADO")</f>
        <v>Honorarios Legales</v>
      </c>
      <c r="K71" s="236">
        <f>IFERROR(IF('Ene-23'!$G71="","-",VLOOKUP('Ene-23'!$G71,Lista_CUIT!$A$1:$D$1871,4,0)),"CUIT NO CARGADO")</f>
        <v>0</v>
      </c>
    </row>
    <row r="72" spans="2:18" ht="15.75" customHeight="1" x14ac:dyDescent="0.25">
      <c r="D72" s="10">
        <v>44950</v>
      </c>
      <c r="E72" s="12">
        <v>1</v>
      </c>
      <c r="F72" s="13">
        <v>20</v>
      </c>
      <c r="G72" s="14">
        <v>20365938688</v>
      </c>
      <c r="H72" s="46" t="str">
        <f>IFERROR(IF('Ene-23'!$G72="","-",VLOOKUP('Ene-23'!$G72,Lista_CUIT!$A$1:$D$1871,2,0)),"CUIT NO CARGADO")</f>
        <v>LIPANOVICH JUAN CRUZ</v>
      </c>
      <c r="I72" s="42">
        <v>330000</v>
      </c>
      <c r="J72" s="47" t="str">
        <f>IFERROR(IF('Ene-23'!$G72="","-",VLOOKUP('Ene-23'!$G72,Lista_CUIT!$A$1:$D$1871,3,0)),"CUIT NO CARGADO")</f>
        <v>Servicios Informatica</v>
      </c>
      <c r="K72" s="47">
        <f>IFERROR(IF('Ene-23'!$G72="","-",VLOOKUP('Ene-23'!$G72,Lista_CUIT!$A$1:$D$1871,4,0)),"CUIT NO CARGADO")</f>
        <v>0</v>
      </c>
    </row>
    <row r="73" spans="2:18" ht="15.75" customHeight="1" x14ac:dyDescent="0.25">
      <c r="D73" s="10">
        <v>44950</v>
      </c>
      <c r="E73" s="55">
        <v>1</v>
      </c>
      <c r="F73" s="55">
        <v>4</v>
      </c>
      <c r="G73" s="56">
        <v>27387896150</v>
      </c>
      <c r="H73" s="46" t="str">
        <f>IFERROR(IF('Ene-23'!$G73="","-",VLOOKUP('Ene-23'!$G73,Lista_CUIT!$A$1:$D$1871,2,0)),"CUIT NO CARGADO")</f>
        <v>LIPANOVICH MARIA SOL</v>
      </c>
      <c r="I73" s="49">
        <v>400000</v>
      </c>
      <c r="J73" s="47" t="str">
        <f>IFERROR(IF('Ene-23'!$G73="","-",VLOOKUP('Ene-23'!$G73,Lista_CUIT!$A$1:$D$1871,3,0)),"CUIT NO CARGADO")</f>
        <v>Servicios Informatica</v>
      </c>
      <c r="K73" s="47">
        <f>IFERROR(IF('Ene-23'!$G73="","-",VLOOKUP('Ene-23'!$G73,Lista_CUIT!$A$1:$D$1871,4,0)),"CUIT NO CARGADO")</f>
        <v>0</v>
      </c>
    </row>
    <row r="74" spans="2:18" ht="15.75" customHeight="1" x14ac:dyDescent="0.25">
      <c r="B74" s="50"/>
      <c r="C74" s="50"/>
      <c r="D74" s="10">
        <v>44953</v>
      </c>
      <c r="E74" s="55">
        <v>4</v>
      </c>
      <c r="F74" s="55">
        <v>9</v>
      </c>
      <c r="G74" s="56">
        <v>20341462933</v>
      </c>
      <c r="H74" s="46" t="str">
        <f>IFERROR(IF('Ene-23'!$G74="","-",VLOOKUP('Ene-23'!$G74,Lista_CUIT!$A$1:$D$1871,2,0)),"CUIT NO CARGADO")</f>
        <v>CASTIGLIONI MATIAS EZEQUIEL</v>
      </c>
      <c r="I74" s="49">
        <v>195000</v>
      </c>
      <c r="J74" s="47" t="str">
        <f>IFERROR(IF('Ene-23'!$G74="","-",VLOOKUP('Ene-23'!$G74,Lista_CUIT!$A$1:$D$1871,3,0)),"CUIT NO CARGADO")</f>
        <v>MAT. PRIM.</v>
      </c>
      <c r="K74" s="47">
        <f>IFERROR(IF('Ene-23'!$G74="","-",VLOOKUP('Ene-23'!$G74,Lista_CUIT!$A$1:$D$1871,4,0)),"CUIT NO CARGADO")</f>
        <v>0</v>
      </c>
      <c r="L74" s="50"/>
      <c r="M74" s="50"/>
      <c r="N74" s="50"/>
      <c r="O74" s="50"/>
      <c r="P74" s="50"/>
      <c r="Q74" s="50"/>
      <c r="R74" s="50"/>
    </row>
    <row r="75" spans="2:18" ht="15.75" customHeight="1" x14ac:dyDescent="0.25">
      <c r="D75" s="221">
        <v>44956</v>
      </c>
      <c r="E75" s="232">
        <v>2</v>
      </c>
      <c r="F75" s="232">
        <v>231</v>
      </c>
      <c r="G75" s="233">
        <v>27206941419</v>
      </c>
      <c r="H75" s="234" t="str">
        <f>IFERROR(IF('Ene-23'!$G75="","-",VLOOKUP('Ene-23'!$G75,Lista_CUIT!$A$1:$D$1871,2,0)),"CUIT NO CARGADO")</f>
        <v>DOBARRO PAULA MARCELA</v>
      </c>
      <c r="I75" s="235">
        <v>11500</v>
      </c>
      <c r="J75" s="236" t="str">
        <f>IFERROR(IF('Ene-23'!$G75="","-",VLOOKUP('Ene-23'!$G75,Lista_CUIT!$A$1:$D$1871,3,0)),"CUIT NO CARGADO")</f>
        <v>HONORARIOS CONTABLES</v>
      </c>
      <c r="K75" s="236">
        <f>IFERROR(IF('Ene-23'!$G75="","-",VLOOKUP('Ene-23'!$G75,Lista_CUIT!$A$1:$D$1871,4,0)),"CUIT NO CARGADO")</f>
        <v>0</v>
      </c>
    </row>
    <row r="76" spans="2:18" ht="15.75" customHeight="1" x14ac:dyDescent="0.25">
      <c r="D76" s="47" t="s">
        <v>1546</v>
      </c>
      <c r="E76" s="47"/>
      <c r="F76" s="47"/>
      <c r="G76" s="47"/>
      <c r="H76" s="48"/>
      <c r="I76" s="49">
        <f>SUBTOTAL(109,'Ene-23'!$I$61:$I$75)</f>
        <v>1916015</v>
      </c>
      <c r="J76" s="47"/>
      <c r="K76" s="47"/>
    </row>
    <row r="77" spans="2:18" ht="18.75" customHeight="1" x14ac:dyDescent="0.25"/>
    <row r="78" spans="2:18" ht="28.5" customHeight="1" x14ac:dyDescent="0.25"/>
    <row r="79" spans="2:18" ht="15.75" customHeight="1" x14ac:dyDescent="0.25">
      <c r="B79" s="366" t="s">
        <v>1563</v>
      </c>
      <c r="C79" s="351"/>
      <c r="D79" s="351"/>
      <c r="E79" s="351"/>
      <c r="F79" s="351"/>
      <c r="G79" s="351"/>
      <c r="H79" s="351"/>
      <c r="I79" s="351"/>
      <c r="J79" s="352"/>
      <c r="K79" s="367">
        <f>N1</f>
        <v>44927</v>
      </c>
      <c r="L79" s="351"/>
      <c r="M79" s="352"/>
    </row>
    <row r="80" spans="2:18" ht="15.75" customHeight="1" x14ac:dyDescent="0.25"/>
    <row r="81" spans="2:13" ht="15.75" customHeight="1" x14ac:dyDescent="0.25">
      <c r="B81" s="368" t="s">
        <v>1564</v>
      </c>
      <c r="C81" s="369"/>
    </row>
    <row r="82" spans="2:13" ht="15.75" customHeight="1" x14ac:dyDescent="0.25">
      <c r="B82" s="51" t="s">
        <v>1532</v>
      </c>
      <c r="C82" s="52" t="s">
        <v>1533</v>
      </c>
      <c r="D82" s="52" t="s">
        <v>1565</v>
      </c>
      <c r="E82" s="52" t="s">
        <v>1566</v>
      </c>
      <c r="F82" s="52" t="s">
        <v>0</v>
      </c>
      <c r="G82" s="52" t="s">
        <v>1</v>
      </c>
      <c r="H82" s="52" t="s">
        <v>1567</v>
      </c>
      <c r="I82" s="52" t="s">
        <v>1551</v>
      </c>
      <c r="J82" s="52" t="s">
        <v>1539</v>
      </c>
      <c r="K82" s="52" t="s">
        <v>1568</v>
      </c>
      <c r="L82" s="52" t="s">
        <v>1544</v>
      </c>
      <c r="M82" s="53" t="s">
        <v>1545</v>
      </c>
    </row>
    <row r="83" spans="2:13" ht="15.75" customHeight="1" x14ac:dyDescent="0.25">
      <c r="B83" s="10">
        <v>44928</v>
      </c>
      <c r="C83" s="11">
        <v>1</v>
      </c>
      <c r="D83" s="12">
        <v>3</v>
      </c>
      <c r="E83" s="13">
        <v>104</v>
      </c>
      <c r="F83" s="14">
        <v>30638318470</v>
      </c>
      <c r="G83" s="57" t="str">
        <f>IFERROR(IF('Ene-23'!$F83="","-",VLOOKUP('Ene-23'!$F83,Lista_CUIT!$A$1:$D$1871,2,0)),"CUIT NO CARGADO")</f>
        <v>DELTA COMPRESION S.R.L</v>
      </c>
      <c r="H83" s="58">
        <v>360</v>
      </c>
      <c r="I83" s="59">
        <f>'Ene-23'!$H83*0.21</f>
        <v>75.599999999999994</v>
      </c>
      <c r="J83" s="60"/>
      <c r="K83" s="60"/>
      <c r="L83" s="60">
        <f>SUM('Ene-23'!$H83:$K83)</f>
        <v>435.6</v>
      </c>
      <c r="M83" s="61"/>
    </row>
    <row r="84" spans="2:13" ht="15.75" customHeight="1" x14ac:dyDescent="0.25">
      <c r="B84" s="10">
        <v>44928</v>
      </c>
      <c r="C84" s="11">
        <v>1</v>
      </c>
      <c r="D84" s="12">
        <v>3</v>
      </c>
      <c r="E84" s="13">
        <v>105</v>
      </c>
      <c r="F84" s="14">
        <v>30638318470</v>
      </c>
      <c r="G84" s="57" t="str">
        <f>IFERROR(IF('Ene-23'!$F84="","-",VLOOKUP('Ene-23'!$F84,Lista_CUIT!$A$1:$D$1871,2,0)),"CUIT NO CARGADO")</f>
        <v>DELTA COMPRESION S.R.L</v>
      </c>
      <c r="H84" s="58">
        <v>64134</v>
      </c>
      <c r="I84" s="59">
        <f>'Ene-23'!$H84*0.21</f>
        <v>13468.14</v>
      </c>
      <c r="J84" s="60"/>
      <c r="K84" s="60"/>
      <c r="L84" s="60">
        <f>SUM('Ene-23'!$H84:$K84)</f>
        <v>77602.14</v>
      </c>
      <c r="M84" s="61"/>
    </row>
    <row r="85" spans="2:13" ht="15.75" customHeight="1" x14ac:dyDescent="0.25">
      <c r="B85" s="10">
        <v>44929</v>
      </c>
      <c r="C85" s="11">
        <v>1</v>
      </c>
      <c r="D85" s="12">
        <v>3</v>
      </c>
      <c r="E85" s="13">
        <v>106</v>
      </c>
      <c r="F85" s="14">
        <v>30638318470</v>
      </c>
      <c r="G85" s="57" t="str">
        <f>IFERROR(IF('Ene-23'!$F85="","-",VLOOKUP('Ene-23'!$F85,Lista_CUIT!$A$1:$D$1871,2,0)),"CUIT NO CARGADO")</f>
        <v>DELTA COMPRESION S.R.L</v>
      </c>
      <c r="H85" s="58">
        <v>1458966.9640000002</v>
      </c>
      <c r="I85" s="59"/>
      <c r="J85" s="60">
        <v>202144.30600000001</v>
      </c>
      <c r="K85" s="60"/>
      <c r="L85" s="60">
        <f>SUM('Ene-23'!$H85:$K85)</f>
        <v>1661111.2700000003</v>
      </c>
      <c r="M85" s="61"/>
    </row>
    <row r="86" spans="2:13" ht="15.75" customHeight="1" x14ac:dyDescent="0.25">
      <c r="B86" s="10">
        <v>44929</v>
      </c>
      <c r="C86" s="11">
        <v>1</v>
      </c>
      <c r="D86" s="12">
        <v>3</v>
      </c>
      <c r="E86" s="13">
        <v>107</v>
      </c>
      <c r="F86" s="14">
        <v>30638318470</v>
      </c>
      <c r="G86" s="57" t="str">
        <f>IFERROR(IF('Ene-23'!$F86="","-",VLOOKUP('Ene-23'!$F86,Lista_CUIT!$A$1:$D$1871,2,0)),"CUIT NO CARGADO")</f>
        <v>DELTA COMPRESION S.R.L</v>
      </c>
      <c r="H86" s="58">
        <v>6866860.0000000009</v>
      </c>
      <c r="I86" s="59"/>
      <c r="J86" s="60">
        <v>721020.3</v>
      </c>
      <c r="K86" s="60"/>
      <c r="L86" s="60">
        <f>SUM('Ene-23'!$H86:$K86)</f>
        <v>7587880.3000000007</v>
      </c>
      <c r="M86" s="61"/>
    </row>
    <row r="87" spans="2:13" ht="15.75" customHeight="1" x14ac:dyDescent="0.25">
      <c r="B87" s="10">
        <v>44929</v>
      </c>
      <c r="C87" s="11">
        <v>1</v>
      </c>
      <c r="D87" s="12">
        <v>3</v>
      </c>
      <c r="E87" s="13">
        <v>108</v>
      </c>
      <c r="F87" s="14">
        <v>30638318470</v>
      </c>
      <c r="G87" s="57" t="str">
        <f>IFERROR(IF('Ene-23'!$F87="","-",VLOOKUP('Ene-23'!$F87,Lista_CUIT!$A$1:$D$1871,2,0)),"CUIT NO CARGADO")</f>
        <v>DELTA COMPRESION S.R.L</v>
      </c>
      <c r="H87" s="58">
        <v>862370.60000000009</v>
      </c>
      <c r="I87" s="59"/>
      <c r="J87" s="60">
        <v>101786.48480000001</v>
      </c>
      <c r="K87" s="60"/>
      <c r="L87" s="60">
        <f>SUM('Ene-23'!$H87:$K87)</f>
        <v>964157.08480000007</v>
      </c>
      <c r="M87" s="61"/>
    </row>
    <row r="88" spans="2:13" ht="15.75" customHeight="1" x14ac:dyDescent="0.25">
      <c r="B88" s="10">
        <v>44938</v>
      </c>
      <c r="C88" s="11">
        <v>1</v>
      </c>
      <c r="D88" s="12">
        <v>3</v>
      </c>
      <c r="E88" s="13">
        <v>109</v>
      </c>
      <c r="F88" s="14">
        <v>30708844248</v>
      </c>
      <c r="G88" s="57" t="str">
        <f>IFERROR(IF('Ene-23'!$F88="","-",VLOOKUP('Ene-23'!$F88,Lista_CUIT!$A$1:$D$1871,2,0)),"CUIT NO CARGADO")</f>
        <v>INGENIERIA GAMAR SA</v>
      </c>
      <c r="H88" s="58">
        <v>229600</v>
      </c>
      <c r="I88" s="59">
        <f>'Ene-23'!$H88*0.21</f>
        <v>48216</v>
      </c>
      <c r="J88" s="60"/>
      <c r="K88" s="60"/>
      <c r="L88" s="60">
        <f>SUM('Ene-23'!$H88:$K88)</f>
        <v>277816</v>
      </c>
      <c r="M88" s="61"/>
    </row>
    <row r="89" spans="2:13" ht="15.75" customHeight="1" x14ac:dyDescent="0.25">
      <c r="B89" s="10">
        <v>44951</v>
      </c>
      <c r="C89" s="11">
        <v>1</v>
      </c>
      <c r="D89" s="12">
        <v>3</v>
      </c>
      <c r="E89" s="13">
        <v>110</v>
      </c>
      <c r="F89" s="14">
        <v>30628274327</v>
      </c>
      <c r="G89" s="57" t="str">
        <f>IFERROR(IF('Ene-23'!$F89="","-",VLOOKUP('Ene-23'!$F89,Lista_CUIT!$A$1:$D$1871,2,0)),"CUIT NO CARGADO")</f>
        <v>AGIRA SA</v>
      </c>
      <c r="H89" s="58">
        <v>825564.3</v>
      </c>
      <c r="I89" s="59"/>
      <c r="J89" s="60">
        <v>86684.251499999998</v>
      </c>
      <c r="K89" s="60"/>
      <c r="L89" s="60">
        <f>SUM('Ene-23'!$H89:$K89)</f>
        <v>912248.55150000006</v>
      </c>
      <c r="M89" s="62"/>
    </row>
    <row r="90" spans="2:13" ht="15.75" customHeight="1" x14ac:dyDescent="0.25">
      <c r="B90" s="63">
        <v>44928</v>
      </c>
      <c r="C90" s="64">
        <v>3</v>
      </c>
      <c r="D90" s="65">
        <v>3</v>
      </c>
      <c r="E90" s="66">
        <v>15</v>
      </c>
      <c r="F90" s="67">
        <v>30638318470</v>
      </c>
      <c r="G90" s="57" t="str">
        <f>IFERROR(IF('Ene-23'!$F90="","-",VLOOKUP('Ene-23'!$F90,Lista_CUIT!$A$1:$D$1871,2,0)),"CUIT NO CARGADO")</f>
        <v>DELTA COMPRESION S.R.L</v>
      </c>
      <c r="H90" s="68">
        <v>-360</v>
      </c>
      <c r="I90" s="69">
        <f>'Ene-23'!$H90*0.21</f>
        <v>-75.599999999999994</v>
      </c>
      <c r="J90" s="70"/>
      <c r="K90" s="70"/>
      <c r="L90" s="70">
        <f>SUM('Ene-23'!$H90:$K90)</f>
        <v>-435.6</v>
      </c>
      <c r="M90" s="62"/>
    </row>
    <row r="91" spans="2:13" ht="15.75" customHeight="1" x14ac:dyDescent="0.25">
      <c r="B91" s="71"/>
      <c r="C91" s="72"/>
      <c r="D91" s="73"/>
      <c r="E91" s="74"/>
      <c r="F91" s="75"/>
      <c r="G91" s="57" t="str">
        <f>IFERROR(IF('Ene-23'!$F91="","-",VLOOKUP('Ene-23'!$F91,Lista_CUIT!$A$1:$D$1871,2,0)),"CUIT NO CARGADO")</f>
        <v>-</v>
      </c>
      <c r="H91" s="58"/>
      <c r="I91" s="59">
        <f>'Ene-23'!$H91*0.21</f>
        <v>0</v>
      </c>
      <c r="J91" s="60"/>
      <c r="K91" s="60"/>
      <c r="L91" s="60">
        <f>SUM('Ene-23'!$H91:$K91)</f>
        <v>0</v>
      </c>
      <c r="M91" s="61"/>
    </row>
    <row r="92" spans="2:13" ht="15.75" customHeight="1" x14ac:dyDescent="0.25">
      <c r="B92" s="76" t="s">
        <v>1546</v>
      </c>
      <c r="C92" s="77"/>
      <c r="D92" s="77"/>
      <c r="E92" s="77"/>
      <c r="F92" s="77"/>
      <c r="G92" s="77"/>
      <c r="H92" s="78">
        <f>SUBTOTAL(109,'Ene-23'!$H$83:$H$91)</f>
        <v>10307495.864000002</v>
      </c>
      <c r="I92" s="79">
        <f>SUBTOTAL(109,'Ene-23'!$I$83:$I$91)</f>
        <v>61684.14</v>
      </c>
      <c r="J92" s="70">
        <f>SUBTOTAL(109,'Ene-23'!$J$83:$J$91)</f>
        <v>1111635.3422999999</v>
      </c>
      <c r="K92" s="70">
        <f>SUBTOTAL(109,'Ene-23'!$K$83:$K$91)</f>
        <v>0</v>
      </c>
      <c r="L92" s="70">
        <f>SUBTOTAL(109,'Ene-23'!$L$83:$L$91)</f>
        <v>11480815.3463</v>
      </c>
      <c r="M92" s="80">
        <f>SUBTOTAL(103,'Ene-23'!$M$83:$M$91)</f>
        <v>0</v>
      </c>
    </row>
    <row r="93" spans="2:13" ht="15.75" customHeight="1" x14ac:dyDescent="0.25"/>
    <row r="94" spans="2:13" ht="15.75" customHeight="1" x14ac:dyDescent="0.25"/>
    <row r="95" spans="2:13" ht="15.75" customHeight="1" x14ac:dyDescent="0.25">
      <c r="B95" s="368" t="s">
        <v>1569</v>
      </c>
      <c r="C95" s="369"/>
    </row>
    <row r="96" spans="2:13" ht="15.75" customHeight="1" x14ac:dyDescent="0.25">
      <c r="B96" s="51" t="s">
        <v>1532</v>
      </c>
      <c r="C96" s="52" t="s">
        <v>1533</v>
      </c>
      <c r="D96" s="52" t="s">
        <v>1565</v>
      </c>
      <c r="E96" s="52" t="s">
        <v>1566</v>
      </c>
      <c r="F96" s="52" t="s">
        <v>0</v>
      </c>
      <c r="G96" s="52" t="s">
        <v>1</v>
      </c>
      <c r="H96" s="52" t="s">
        <v>1567</v>
      </c>
      <c r="I96" s="52" t="s">
        <v>1551</v>
      </c>
      <c r="J96" s="52" t="s">
        <v>1539</v>
      </c>
      <c r="K96" s="52" t="s">
        <v>1568</v>
      </c>
      <c r="L96" s="52" t="s">
        <v>1544</v>
      </c>
      <c r="M96" s="53" t="s">
        <v>1545</v>
      </c>
    </row>
    <row r="97" spans="2:14" ht="15.75" customHeight="1" x14ac:dyDescent="0.25">
      <c r="B97" s="10"/>
      <c r="C97" s="11"/>
      <c r="D97" s="12"/>
      <c r="E97" s="13"/>
      <c r="F97" s="14"/>
      <c r="G97" s="81" t="str">
        <f>IFERROR(IF('Ene-23'!$F97="","-",VLOOKUP('Ene-23'!$F97,Lista_CUIT!$A$1:$D$1871,2,0)),"CUIT NO CARGADO")</f>
        <v>-</v>
      </c>
      <c r="H97" s="82"/>
      <c r="I97" s="82"/>
      <c r="J97" s="82"/>
      <c r="K97" s="82"/>
      <c r="L97" s="82">
        <f>SUM('Ene-23'!$H97:$K97)</f>
        <v>0</v>
      </c>
      <c r="M97" s="61"/>
    </row>
    <row r="98" spans="2:14" ht="15.75" customHeight="1" x14ac:dyDescent="0.25">
      <c r="B98" s="10"/>
      <c r="C98" s="11"/>
      <c r="D98" s="12"/>
      <c r="E98" s="13"/>
      <c r="F98" s="14"/>
      <c r="G98" s="81"/>
      <c r="H98" s="82"/>
      <c r="I98" s="82"/>
      <c r="J98" s="82"/>
      <c r="K98" s="82"/>
      <c r="L98" s="82">
        <f>SUM('Ene-23'!$H98:$K98)</f>
        <v>0</v>
      </c>
      <c r="M98" s="61"/>
    </row>
    <row r="99" spans="2:14" ht="15.75" customHeight="1" x14ac:dyDescent="0.25">
      <c r="B99" s="10"/>
      <c r="C99" s="11"/>
      <c r="D99" s="12"/>
      <c r="E99" s="13"/>
      <c r="F99" s="14"/>
      <c r="G99" s="81"/>
      <c r="H99" s="82"/>
      <c r="I99" s="82"/>
      <c r="J99" s="82"/>
      <c r="K99" s="82"/>
      <c r="L99" s="82">
        <f>SUM('Ene-23'!$H99:$K99)</f>
        <v>0</v>
      </c>
      <c r="M99" s="61"/>
    </row>
    <row r="100" spans="2:14" ht="15.75" customHeight="1" x14ac:dyDescent="0.25">
      <c r="B100" s="10"/>
      <c r="C100" s="11"/>
      <c r="D100" s="12"/>
      <c r="E100" s="13"/>
      <c r="F100" s="14"/>
      <c r="G100" s="81"/>
      <c r="H100" s="82"/>
      <c r="I100" s="82"/>
      <c r="J100" s="82"/>
      <c r="K100" s="82"/>
      <c r="L100" s="82">
        <f>SUM('Ene-23'!$H100:$K100)</f>
        <v>0</v>
      </c>
      <c r="M100" s="61"/>
    </row>
    <row r="101" spans="2:14" ht="15.75" customHeight="1" x14ac:dyDescent="0.25">
      <c r="B101" s="10"/>
      <c r="C101" s="11"/>
      <c r="D101" s="12"/>
      <c r="E101" s="13"/>
      <c r="F101" s="14"/>
      <c r="G101" s="81"/>
      <c r="H101" s="82"/>
      <c r="I101" s="82"/>
      <c r="J101" s="82"/>
      <c r="K101" s="82"/>
      <c r="L101" s="82">
        <f>SUM('Ene-23'!$H101:$K101)</f>
        <v>0</v>
      </c>
      <c r="M101" s="61"/>
    </row>
    <row r="102" spans="2:14" ht="15.75" customHeight="1" x14ac:dyDescent="0.25">
      <c r="B102" s="10"/>
      <c r="C102" s="11"/>
      <c r="D102" s="12"/>
      <c r="E102" s="13"/>
      <c r="F102" s="14"/>
      <c r="G102" s="81"/>
      <c r="H102" s="82"/>
      <c r="I102" s="82"/>
      <c r="J102" s="82"/>
      <c r="K102" s="82"/>
      <c r="L102" s="82">
        <f>SUM('Ene-23'!$H102:$K102)</f>
        <v>0</v>
      </c>
      <c r="M102" s="61"/>
    </row>
    <row r="103" spans="2:14" ht="15.75" customHeight="1" x14ac:dyDescent="0.25">
      <c r="B103" s="76" t="s">
        <v>1546</v>
      </c>
      <c r="C103" s="77"/>
      <c r="D103" s="77"/>
      <c r="E103" s="77"/>
      <c r="F103" s="77"/>
      <c r="G103" s="77"/>
      <c r="H103" s="83">
        <f>SUBTOTAL(109,'Ene-23'!$H$97:$H$102)</f>
        <v>0</v>
      </c>
      <c r="I103" s="83">
        <f>SUBTOTAL(109,'Ene-23'!$I$97:$I$102)</f>
        <v>0</v>
      </c>
      <c r="J103" s="84">
        <f>SUBTOTAL(109,'Ene-23'!$J$97:$J$102)</f>
        <v>0</v>
      </c>
      <c r="K103" s="84">
        <f>SUBTOTAL(109,'Ene-23'!$K$97:$K$102)</f>
        <v>0</v>
      </c>
      <c r="L103" s="84">
        <f>SUBTOTAL(109,'Ene-23'!$L$97:$L$102)</f>
        <v>0</v>
      </c>
      <c r="M103" s="80">
        <f>SUBTOTAL(103,'Ene-23'!$M$97:$M$102)</f>
        <v>0</v>
      </c>
    </row>
    <row r="104" spans="2:14" ht="15.75" customHeight="1" x14ac:dyDescent="0.25"/>
    <row r="105" spans="2:14" ht="15.75" customHeight="1" x14ac:dyDescent="0.25"/>
    <row r="106" spans="2:14" ht="15.75" customHeight="1" x14ac:dyDescent="0.25">
      <c r="B106" s="360" t="s">
        <v>1570</v>
      </c>
      <c r="C106" s="351"/>
      <c r="D106" s="351"/>
      <c r="E106" s="352"/>
      <c r="J106" s="17"/>
      <c r="K106" s="17"/>
      <c r="L106" s="212"/>
      <c r="M106" s="213"/>
    </row>
    <row r="107" spans="2:14" ht="30.75" customHeight="1" x14ac:dyDescent="0.25">
      <c r="B107" s="113" t="s">
        <v>1532</v>
      </c>
      <c r="C107" s="113" t="s">
        <v>1565</v>
      </c>
      <c r="D107" s="113" t="s">
        <v>1571</v>
      </c>
      <c r="E107" s="113" t="s">
        <v>0</v>
      </c>
      <c r="F107" s="113" t="s">
        <v>1</v>
      </c>
      <c r="G107" s="113" t="s">
        <v>1572</v>
      </c>
      <c r="H107" s="113" t="s">
        <v>1573</v>
      </c>
      <c r="I107" s="113" t="s">
        <v>1574</v>
      </c>
      <c r="J107" s="113" t="s">
        <v>1544</v>
      </c>
      <c r="K107" s="17"/>
      <c r="L107" s="17"/>
      <c r="M107" s="212"/>
      <c r="N107" s="213"/>
    </row>
    <row r="108" spans="2:14" ht="15.75" customHeight="1" x14ac:dyDescent="0.25">
      <c r="B108" s="214"/>
      <c r="C108" s="215"/>
      <c r="D108" s="210"/>
      <c r="E108" s="81"/>
      <c r="F108" s="210"/>
      <c r="G108" s="143"/>
      <c r="H108" s="210"/>
      <c r="I108" s="216"/>
      <c r="J108" s="211">
        <f>'Ene-23'!$G108*'Ene-23'!$I108</f>
        <v>0</v>
      </c>
      <c r="K108" s="17"/>
      <c r="L108" s="17"/>
      <c r="M108" s="212"/>
      <c r="N108" s="213"/>
    </row>
    <row r="109" spans="2:14" ht="15.75" customHeight="1" x14ac:dyDescent="0.25">
      <c r="B109" s="214"/>
      <c r="C109" s="215"/>
      <c r="D109" s="210"/>
      <c r="E109" s="81"/>
      <c r="F109" s="210"/>
      <c r="G109" s="143"/>
      <c r="H109" s="210"/>
      <c r="I109" s="216"/>
      <c r="J109" s="211">
        <f>'Ene-23'!$G109*'Ene-23'!$I109</f>
        <v>0</v>
      </c>
      <c r="K109" s="17"/>
      <c r="L109" s="17"/>
      <c r="M109" s="212"/>
      <c r="N109" s="213"/>
    </row>
    <row r="110" spans="2:14" ht="15.75" customHeight="1" x14ac:dyDescent="0.25">
      <c r="B110" s="217" t="s">
        <v>1705</v>
      </c>
      <c r="C110" s="218"/>
      <c r="D110" s="218"/>
      <c r="E110" s="218"/>
      <c r="F110" s="218"/>
      <c r="G110" s="218"/>
      <c r="H110" s="218"/>
      <c r="I110" s="219"/>
      <c r="J110" s="220">
        <f>SUBTOTAL(109,J108:J109)</f>
        <v>0</v>
      </c>
      <c r="K110" s="17"/>
      <c r="L110" s="17"/>
      <c r="M110" s="212"/>
      <c r="N110" s="213"/>
    </row>
    <row r="111" spans="2:14" ht="15.75" customHeight="1" x14ac:dyDescent="0.25"/>
    <row r="112" spans="2:14" ht="15.75" customHeight="1" x14ac:dyDescent="0.25"/>
    <row r="113" spans="3:12" ht="15.75" customHeight="1" x14ac:dyDescent="0.25"/>
    <row r="114" spans="3:12" ht="15.75" customHeight="1" x14ac:dyDescent="0.25">
      <c r="C114" s="361" t="s">
        <v>1575</v>
      </c>
      <c r="D114" s="362"/>
      <c r="E114" s="362"/>
      <c r="F114" s="362"/>
      <c r="G114" s="363"/>
      <c r="H114" s="89"/>
      <c r="I114" s="89"/>
      <c r="J114" s="89"/>
    </row>
    <row r="115" spans="3:12" ht="15.75" customHeight="1" x14ac:dyDescent="0.25">
      <c r="C115" s="90" t="s">
        <v>1576</v>
      </c>
      <c r="D115" s="91" t="s">
        <v>1577</v>
      </c>
      <c r="E115" s="91" t="s">
        <v>1578</v>
      </c>
      <c r="F115" s="91" t="s">
        <v>0</v>
      </c>
      <c r="G115" s="91" t="s">
        <v>1</v>
      </c>
      <c r="H115" s="92" t="s">
        <v>1579</v>
      </c>
      <c r="I115" s="92" t="s">
        <v>1580</v>
      </c>
      <c r="J115" s="92" t="s">
        <v>1581</v>
      </c>
      <c r="K115" s="92" t="s">
        <v>1582</v>
      </c>
      <c r="L115" s="92" t="s">
        <v>1583</v>
      </c>
    </row>
    <row r="116" spans="3:12" ht="15.75" customHeight="1" x14ac:dyDescent="0.25">
      <c r="C116" s="54"/>
      <c r="D116" s="93"/>
      <c r="E116" s="93"/>
      <c r="F116" s="56"/>
      <c r="G116" s="46" t="str">
        <f>IFERROR(IF('Ene-23'!$F116="","-",VLOOKUP('Ene-23'!$F116,Lista_CUIT!$A$1:$D$1871,2,0)),"CUIT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54"/>
      <c r="D117" s="93"/>
      <c r="E117" s="93"/>
      <c r="F117" s="56"/>
      <c r="G117" s="46" t="str">
        <f>IFERROR(IF('Ene-23'!$F117="","-",VLOOKUP('Ene-23'!$F117,Lista_CUIT!$A$1:$D$1871,2,0)),"CUIT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25">
      <c r="C118" s="54"/>
      <c r="D118" s="93"/>
      <c r="E118" s="93"/>
      <c r="F118" s="56"/>
      <c r="G118" s="46" t="str">
        <f>IFERROR(IF('Ene-23'!$F118="","-",VLOOKUP('Ene-23'!$F118,Lista_CUIT!$A$1:$D$1871,2,0)),"CUIT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54"/>
      <c r="D119" s="93"/>
      <c r="E119" s="93"/>
      <c r="F119" s="56"/>
      <c r="G119" s="46" t="str">
        <f>IFERROR(IF('Ene-23'!$F119="","-",VLOOKUP('Ene-23'!$F119,Lista_CUIT!$A$1:$D$1871,2,0)),"CUIT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25">
      <c r="C120" s="3"/>
      <c r="D120" s="93"/>
      <c r="E120" s="93"/>
      <c r="F120" s="3"/>
      <c r="G120" s="46" t="str">
        <f>IFERROR(IF('Ene-23'!$F120="","-",VLOOKUP('Ene-23'!$F120,Lista_CUIT!$A$1:$D$1871,2,0)),"CUIT NO CARGADO")</f>
        <v>-</v>
      </c>
      <c r="H120" s="3"/>
      <c r="I120" s="3"/>
      <c r="J120" s="3"/>
      <c r="K120" s="3"/>
      <c r="L120" s="3"/>
    </row>
    <row r="121" spans="3:12" ht="15.75" customHeight="1" x14ac:dyDescent="0.25">
      <c r="C121" s="95"/>
    </row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P4:R4"/>
    <mergeCell ref="D49:E49"/>
    <mergeCell ref="B95:C95"/>
    <mergeCell ref="B106:E106"/>
    <mergeCell ref="C114:G114"/>
    <mergeCell ref="B79:J79"/>
    <mergeCell ref="K79:M79"/>
    <mergeCell ref="B81:C81"/>
    <mergeCell ref="M4:N4"/>
    <mergeCell ref="B4:E4"/>
    <mergeCell ref="G4:H4"/>
    <mergeCell ref="D50:L50"/>
    <mergeCell ref="D59:K59"/>
    <mergeCell ref="J4:K4"/>
    <mergeCell ref="B1:F1"/>
    <mergeCell ref="G1:M1"/>
    <mergeCell ref="N1:R1"/>
    <mergeCell ref="G3:H3"/>
    <mergeCell ref="J3:K3"/>
    <mergeCell ref="M3:N3"/>
    <mergeCell ref="P3:R3"/>
    <mergeCell ref="B3:E3"/>
  </mergeCells>
  <dataValidations count="14">
    <dataValidation type="custom" allowBlank="1" showErrorMessage="1" sqref="H97:L102" xr:uid="{00000000-0002-0000-0A00-000000000000}">
      <formula1>IF($C97=8,H97&lt;0,H97&gt;=0)</formula1>
    </dataValidation>
    <dataValidation type="decimal" allowBlank="1" showErrorMessage="1" sqref="E109" xr:uid="{00000000-0002-0000-0A00-000001000000}">
      <formula1>10000000000</formula1>
      <formula2>99999999999</formula2>
    </dataValidation>
    <dataValidation type="decimal" allowBlank="1" showErrorMessage="1" sqref="E9:E44 F61:F75 E83:E91 E97:E102" xr:uid="{00000000-0002-0000-0A00-000002000000}">
      <formula1>1</formula1>
      <formula2>99999999</formula2>
    </dataValidation>
    <dataValidation type="decimal" allowBlank="1" showErrorMessage="1" sqref="C9:C44 C46:C49 C83:C91" xr:uid="{00000000-0002-0000-0A00-000003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4" xr:uid="{00000000-0002-0000-0A00-000004000000}">
      <formula1>IF($C9=3,H9&lt;0,H9&gt;=0)</formula1>
    </dataValidation>
    <dataValidation type="custom" allowBlank="1" showErrorMessage="1" sqref="H83:K83 H85:K85 H87:K87 H89:K89" xr:uid="{00000000-0002-0000-0A00-000005000000}">
      <formula1>IF($C83=3,H83&lt;0,H83&gt;=0)</formula1>
    </dataValidation>
    <dataValidation type="custom" allowBlank="1" showErrorMessage="1" sqref="L88:L89" xr:uid="{00000000-0002-0000-0A00-000006000000}">
      <formula1>IF($C45=3,L45&lt;0,L45&gt;=0)</formula1>
    </dataValidation>
    <dataValidation type="custom" allowBlank="1" showErrorMessage="1" sqref="L83:L84" xr:uid="{00000000-0002-0000-0A00-000007000000}">
      <formula1>IF($C9=3,L9&lt;0,L9&gt;=0)</formula1>
    </dataValidation>
    <dataValidation type="decimal" allowBlank="1" showErrorMessage="1" sqref="C97:C102" xr:uid="{00000000-0002-0000-0A00-000008000000}">
      <formula1>6</formula1>
      <formula2>8</formula2>
    </dataValidation>
    <dataValidation type="decimal" allowBlank="1" showErrorMessage="1" sqref="F9:F44 G61:G75 F83:F91 F97:F102" xr:uid="{00000000-0002-0000-0A00-000009000000}">
      <formula1>20000000000</formula1>
      <formula2>33999999999</formula2>
    </dataValidation>
    <dataValidation type="date" allowBlank="1" showErrorMessage="1" sqref="B9:B44 B46:B49 D52:D54 D61:D75 B83:B91 B97:B102" xr:uid="{00000000-0002-0000-0A00-00000A000000}">
      <formula1>40179</formula1>
      <formula2>TODAY()</formula2>
    </dataValidation>
    <dataValidation type="decimal" allowBlank="1" showErrorMessage="1" sqref="D9:D44 E61:E75 D83:D91 D97:D102" xr:uid="{00000000-0002-0000-0A00-00000B000000}">
      <formula1>1</formula1>
      <formula2>9999</formula2>
    </dataValidation>
    <dataValidation type="date" operator="lessThan" allowBlank="1" showErrorMessage="1" sqref="B108:C109" xr:uid="{00000000-0002-0000-0A00-00000C000000}">
      <formula1>$Q$1+1</formula1>
    </dataValidation>
    <dataValidation type="custom" allowBlank="1" showErrorMessage="1" sqref="L85:L87" xr:uid="{00000000-0002-0000-0A00-00000D000000}">
      <formula1>IF($C13=3,L13&lt;0,L13&gt;=0)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DE9D9"/>
  </sheetPr>
  <dimension ref="A1:Z1000"/>
  <sheetViews>
    <sheetView showGridLines="0" topLeftCell="A4" zoomScale="80" zoomScaleNormal="80" workbookViewId="0">
      <selection activeCell="L60" sqref="L60"/>
    </sheetView>
  </sheetViews>
  <sheetFormatPr baseColWidth="10" defaultColWidth="14.42578125" defaultRowHeight="15" customHeight="1" x14ac:dyDescent="0.25"/>
  <cols>
    <col min="1" max="1" width="1.7109375" customWidth="1"/>
    <col min="2" max="2" width="12.140625" customWidth="1"/>
    <col min="3" max="3" width="9.5703125" customWidth="1"/>
    <col min="4" max="4" width="13.28515625" customWidth="1"/>
    <col min="5" max="5" width="15.28515625" customWidth="1"/>
    <col min="6" max="6" width="14.5703125" customWidth="1"/>
    <col min="7" max="7" width="17.140625" customWidth="1"/>
    <col min="8" max="8" width="12.5703125" customWidth="1"/>
    <col min="9" max="9" width="13.7109375" customWidth="1"/>
    <col min="10" max="10" width="9.28515625" customWidth="1"/>
    <col min="11" max="11" width="16.85546875" customWidth="1"/>
    <col min="12" max="12" width="7.140625" customWidth="1"/>
    <col min="13" max="13" width="7.7109375" customWidth="1"/>
    <col min="14" max="14" width="14.42578125" customWidth="1"/>
    <col min="15" max="15" width="12.140625" customWidth="1"/>
    <col min="16" max="16" width="16.42578125" customWidth="1"/>
    <col min="17" max="17" width="12.7109375" style="324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EDATE('Abr-22'!N1,10)</f>
        <v>44958</v>
      </c>
      <c r="O1" s="351"/>
      <c r="P1" s="351"/>
      <c r="Q1" s="351"/>
      <c r="R1" s="352"/>
    </row>
    <row r="3" spans="1:19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19" ht="24.75" customHeight="1" x14ac:dyDescent="0.35">
      <c r="B4" s="364">
        <f>SUM('Feb-23'!$H$60)+'Feb-23'!$G$74</f>
        <v>2753996.8124999995</v>
      </c>
      <c r="C4" s="351"/>
      <c r="D4" s="351"/>
      <c r="E4" s="352"/>
      <c r="F4" s="8"/>
      <c r="G4" s="365">
        <f>'Feb-23'!$I$60+'Feb-23'!$J$60+'Feb-23'!$K$60+I76</f>
        <v>575787.22416299966</v>
      </c>
      <c r="H4" s="352"/>
      <c r="I4" s="8"/>
      <c r="J4" s="370">
        <f>'Feb-23'!$H$109+'Feb-23'!$H$120</f>
        <v>11046003.300000001</v>
      </c>
      <c r="K4" s="352"/>
      <c r="L4" s="8"/>
      <c r="M4" s="370">
        <f>'Feb-23'!$I$109+'Feb-23'!$J$109+'Feb-23'!$I$120+'Feb-23'!$J$120</f>
        <v>1269278.1465000003</v>
      </c>
      <c r="N4" s="352"/>
      <c r="O4" s="8"/>
      <c r="P4" s="358">
        <f>G4-M4</f>
        <v>-693490.92233700061</v>
      </c>
      <c r="Q4" s="351"/>
      <c r="R4" s="352"/>
    </row>
    <row r="5" spans="1:19" ht="12.75" customHeight="1" x14ac:dyDescent="0.25"/>
    <row r="6" spans="1:19" ht="10.5" customHeight="1" x14ac:dyDescent="0.25"/>
    <row r="7" spans="1:19" ht="20.25" customHeight="1" x14ac:dyDescent="0.25">
      <c r="A7" s="9"/>
      <c r="B7" s="10"/>
      <c r="C7" s="11"/>
      <c r="D7" s="12"/>
      <c r="E7" s="13"/>
      <c r="F7" s="14"/>
      <c r="G7" s="238"/>
      <c r="H7" s="16"/>
      <c r="I7" s="376"/>
      <c r="J7" s="374"/>
      <c r="K7" s="17"/>
      <c r="L7" s="17"/>
      <c r="M7" s="17"/>
      <c r="N7" s="17"/>
      <c r="O7" s="17"/>
      <c r="P7" s="20"/>
      <c r="Q7" s="15"/>
      <c r="R7" s="21"/>
      <c r="S7" s="9"/>
    </row>
    <row r="8" spans="1:19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325" t="s">
        <v>2</v>
      </c>
      <c r="R8" s="22" t="s">
        <v>1545</v>
      </c>
    </row>
    <row r="9" spans="1:19" ht="20.25" customHeight="1" x14ac:dyDescent="0.25">
      <c r="B9" s="239">
        <v>44985</v>
      </c>
      <c r="C9" s="222">
        <v>1</v>
      </c>
      <c r="D9" s="223">
        <v>6</v>
      </c>
      <c r="E9" s="224">
        <v>5</v>
      </c>
      <c r="F9" s="225">
        <v>30715048066</v>
      </c>
      <c r="G9" s="226" t="str">
        <f>IFERROR(IF('Feb-23'!$F9="","-",VLOOKUP('Feb-23'!$F9,Lista_CUIT!$A$1:$D$1871,2,0)),"CUIT NO CARGADO")</f>
        <v>ROLLS Y EMPANADAS SA</v>
      </c>
      <c r="H9" s="227">
        <v>109440</v>
      </c>
      <c r="I9" s="228">
        <f>IF('Feb-23'!$H9="","",'Feb-23'!$H9*0.21)</f>
        <v>22982.399999999998</v>
      </c>
      <c r="J9" s="228"/>
      <c r="K9" s="228"/>
      <c r="L9" s="228"/>
      <c r="M9" s="228"/>
      <c r="N9" s="228"/>
      <c r="O9" s="228"/>
      <c r="P9" s="229">
        <f>SUM('Feb-23'!$H9:$O9)</f>
        <v>132422.39999999999</v>
      </c>
      <c r="Q9" s="226" t="str">
        <f>IFERROR(IF('Feb-23'!$F9="","-",VLOOKUP('Feb-23'!$F9,Lista_CUIT!$A$1:$D$1871,3,0)),"CUIT NO CARGADO")</f>
        <v>CATERING</v>
      </c>
      <c r="R9" s="230">
        <f>IFERROR(IF('Feb-23'!$F9="","-",VLOOKUP('Feb-23'!$F9,Lista_CUIT!$A$1:$D$1871,4,0)),"CUIT NO CARGADO")</f>
        <v>0</v>
      </c>
    </row>
    <row r="10" spans="1:19" ht="20.25" customHeight="1" x14ac:dyDescent="0.25">
      <c r="B10" s="240">
        <v>44966</v>
      </c>
      <c r="C10" s="11">
        <v>1</v>
      </c>
      <c r="D10" s="12">
        <v>31</v>
      </c>
      <c r="E10" s="13">
        <v>48</v>
      </c>
      <c r="F10" s="14">
        <v>27207466080</v>
      </c>
      <c r="G10" s="15" t="str">
        <f>IFERROR(IF('Feb-23'!$F10="","-",VLOOKUP('Feb-23'!$F10,Lista_CUIT!$A$1:$D$1871,2,0)),"CUIT NO CARGADO")</f>
        <v>SMUTT ERICA FERNANDA</v>
      </c>
      <c r="H10" s="16">
        <v>4785.1099999999997</v>
      </c>
      <c r="I10" s="23">
        <f>IF('Feb-23'!$H10="","",'Feb-23'!$H10*0.21)</f>
        <v>1004.8730999999999</v>
      </c>
      <c r="J10" s="23"/>
      <c r="K10" s="23"/>
      <c r="L10" s="23"/>
      <c r="M10" s="23"/>
      <c r="N10" s="23"/>
      <c r="O10" s="23"/>
      <c r="P10" s="20">
        <f>SUM('Feb-23'!$H10:$O10)</f>
        <v>5789.9830999999995</v>
      </c>
      <c r="Q10" s="15" t="str">
        <f>IFERROR(IF('Feb-23'!$F10="","-",VLOOKUP('Feb-23'!$F10,Lista_CUIT!$A$1:$D$1871,3,0)),"CUIT NO CARGADO")</f>
        <v>Gastos Varios</v>
      </c>
      <c r="R10" s="21">
        <f>IFERROR(IF('Feb-23'!$F10="","-",VLOOKUP('Feb-23'!$F10,Lista_CUIT!$A$1:$D$1871,4,0)),"CUIT NO CARGADO")</f>
        <v>0</v>
      </c>
    </row>
    <row r="11" spans="1:19" ht="20.25" customHeight="1" x14ac:dyDescent="0.25">
      <c r="B11" s="240">
        <v>44969</v>
      </c>
      <c r="C11" s="11">
        <v>1</v>
      </c>
      <c r="D11" s="12">
        <v>2</v>
      </c>
      <c r="E11" s="13">
        <v>159</v>
      </c>
      <c r="F11" s="14">
        <v>20125142851</v>
      </c>
      <c r="G11" s="15" t="str">
        <f>IFERROR(IF('Feb-23'!$F11="","-",VLOOKUP('Feb-23'!$F11,Lista_CUIT!$A$1:$D$1871,2,0)),"CUIT NO CARGADO")</f>
        <v>FEDERICI NICOLAS JOSE</v>
      </c>
      <c r="H11" s="16">
        <v>63372.9</v>
      </c>
      <c r="I11" s="23">
        <f>IF('Feb-23'!$H11="","",'Feb-23'!$H11*0.21)</f>
        <v>13308.308999999999</v>
      </c>
      <c r="J11" s="23"/>
      <c r="K11" s="23"/>
      <c r="L11" s="23"/>
      <c r="M11" s="23"/>
      <c r="N11" s="23"/>
      <c r="O11" s="23"/>
      <c r="P11" s="20">
        <f>SUM('Feb-23'!$H11:$O11)</f>
        <v>76681.209000000003</v>
      </c>
      <c r="Q11" s="15" t="str">
        <f>IFERROR(IF('Feb-23'!$F11="","-",VLOOKUP('Feb-23'!$F11,Lista_CUIT!$A$1:$D$1871,3,0)),"CUIT NO CARGADO")</f>
        <v>INSUMO</v>
      </c>
      <c r="R11" s="21">
        <f>IFERROR(IF('Feb-23'!$F11="","-",VLOOKUP('Feb-23'!$F11,Lista_CUIT!$A$1:$D$1871,4,0)),"CUIT NO CARGADO")</f>
        <v>0</v>
      </c>
    </row>
    <row r="12" spans="1:19" ht="20.25" customHeight="1" x14ac:dyDescent="0.25">
      <c r="B12" s="240">
        <v>44969</v>
      </c>
      <c r="C12" s="11">
        <v>1</v>
      </c>
      <c r="D12" s="12">
        <v>2</v>
      </c>
      <c r="E12" s="13">
        <v>160</v>
      </c>
      <c r="F12" s="14">
        <v>20125142851</v>
      </c>
      <c r="G12" s="15" t="str">
        <f>IFERROR(IF('Feb-23'!$F12="","-",VLOOKUP('Feb-23'!$F12,Lista_CUIT!$A$1:$D$1871,2,0)),"CUIT NO CARGADO")</f>
        <v>FEDERICI NICOLAS JOSE</v>
      </c>
      <c r="H12" s="16">
        <v>78169.600000000006</v>
      </c>
      <c r="I12" s="23">
        <f>IF('Feb-23'!$H12="","",'Feb-23'!$H12*0.21)</f>
        <v>16415.616000000002</v>
      </c>
      <c r="J12" s="23"/>
      <c r="K12" s="23"/>
      <c r="L12" s="23"/>
      <c r="M12" s="23"/>
      <c r="N12" s="23"/>
      <c r="O12" s="23"/>
      <c r="P12" s="20">
        <f>SUM('Feb-23'!$H12:$O12)</f>
        <v>94585.216000000015</v>
      </c>
      <c r="Q12" s="15" t="str">
        <f>IFERROR(IF('Feb-23'!$F12="","-",VLOOKUP('Feb-23'!$F12,Lista_CUIT!$A$1:$D$1871,3,0)),"CUIT NO CARGADO")</f>
        <v>INSUMO</v>
      </c>
      <c r="R12" s="21">
        <f>IFERROR(IF('Feb-23'!$F12="","-",VLOOKUP('Feb-23'!$F12,Lista_CUIT!$A$1:$D$1871,4,0)),"CUIT NO CARGADO")</f>
        <v>0</v>
      </c>
    </row>
    <row r="13" spans="1:19" ht="20.25" customHeight="1" x14ac:dyDescent="0.25">
      <c r="B13" s="240">
        <v>44971</v>
      </c>
      <c r="C13" s="11">
        <v>1</v>
      </c>
      <c r="D13" s="12">
        <v>2</v>
      </c>
      <c r="E13" s="13">
        <v>161</v>
      </c>
      <c r="F13" s="14">
        <v>20125142851</v>
      </c>
      <c r="G13" s="15" t="str">
        <f>IFERROR(IF('Feb-23'!$F13="","-",VLOOKUP('Feb-23'!$F13,Lista_CUIT!$A$1:$D$1871,2,0)),"CUIT NO CARGADO")</f>
        <v>FEDERICI NICOLAS JOSE</v>
      </c>
      <c r="H13" s="16">
        <v>50698.32</v>
      </c>
      <c r="I13" s="23">
        <f>IF('Feb-23'!$H13="","",'Feb-23'!$H13*0.21)</f>
        <v>10646.647199999999</v>
      </c>
      <c r="J13" s="23"/>
      <c r="K13" s="23"/>
      <c r="L13" s="23"/>
      <c r="M13" s="23"/>
      <c r="N13" s="23"/>
      <c r="O13" s="23"/>
      <c r="P13" s="20">
        <f>SUM('Feb-23'!$H13:$O13)</f>
        <v>61344.967199999999</v>
      </c>
      <c r="Q13" s="15" t="str">
        <f>IFERROR(IF('Feb-23'!$F13="","-",VLOOKUP('Feb-23'!$F13,Lista_CUIT!$A$1:$D$1871,3,0)),"CUIT NO CARGADO")</f>
        <v>INSUMO</v>
      </c>
      <c r="R13" s="21">
        <f>IFERROR(IF('Feb-23'!$F13="","-",VLOOKUP('Feb-23'!$F13,Lista_CUIT!$A$1:$D$1871,4,0)),"CUIT NO CARGADO")</f>
        <v>0</v>
      </c>
    </row>
    <row r="14" spans="1:19" ht="20.25" customHeight="1" x14ac:dyDescent="0.25">
      <c r="B14" s="240">
        <v>44971</v>
      </c>
      <c r="C14" s="11">
        <v>1</v>
      </c>
      <c r="D14" s="12">
        <v>2</v>
      </c>
      <c r="E14" s="13">
        <v>162</v>
      </c>
      <c r="F14" s="14">
        <v>20125142851</v>
      </c>
      <c r="G14" s="15" t="str">
        <f>IFERROR(IF('Feb-23'!$F14="","-",VLOOKUP('Feb-23'!$F14,Lista_CUIT!$A$1:$D$1871,2,0)),"CUIT NO CARGADO")</f>
        <v>FEDERICI NICOLAS JOSE</v>
      </c>
      <c r="H14" s="16">
        <v>62535.68</v>
      </c>
      <c r="I14" s="23">
        <f>IF('Feb-23'!$H14="","",'Feb-23'!$H14*0.21)</f>
        <v>13132.4928</v>
      </c>
      <c r="J14" s="23"/>
      <c r="K14" s="23"/>
      <c r="L14" s="23"/>
      <c r="M14" s="23"/>
      <c r="N14" s="23"/>
      <c r="O14" s="23"/>
      <c r="P14" s="20">
        <f>SUM('Feb-23'!$H14:$O14)</f>
        <v>75668.1728</v>
      </c>
      <c r="Q14" s="15" t="str">
        <f>IFERROR(IF('Feb-23'!$F14="","-",VLOOKUP('Feb-23'!$F14,Lista_CUIT!$A$1:$D$1871,3,0)),"CUIT NO CARGADO")</f>
        <v>INSUMO</v>
      </c>
      <c r="R14" s="21">
        <f>IFERROR(IF('Feb-23'!$F14="","-",VLOOKUP('Feb-23'!$F14,Lista_CUIT!$A$1:$D$1871,4,0)),"CUIT NO CARGADO")</f>
        <v>0</v>
      </c>
    </row>
    <row r="15" spans="1:19" ht="20.25" customHeight="1" x14ac:dyDescent="0.25">
      <c r="B15" s="239">
        <v>44985</v>
      </c>
      <c r="C15" s="222">
        <v>3</v>
      </c>
      <c r="D15" s="223">
        <v>4</v>
      </c>
      <c r="E15" s="224">
        <v>242</v>
      </c>
      <c r="F15" s="225">
        <v>33710719549</v>
      </c>
      <c r="G15" s="226" t="str">
        <f>IFERROR(IF('Feb-23'!$F15="","-",VLOOKUP('Feb-23'!$F15,Lista_CUIT!$A$1:$D$1871,2,0)),"CUIT NO CARGADO")</f>
        <v>FIVELEV S.R.L.</v>
      </c>
      <c r="H15" s="227">
        <v>-8132</v>
      </c>
      <c r="I15" s="228">
        <f>IF('Feb-23'!$H15="","",'Feb-23'!$H15*0.21)</f>
        <v>-1707.72</v>
      </c>
      <c r="J15" s="228"/>
      <c r="K15" s="228"/>
      <c r="L15" s="228"/>
      <c r="M15" s="228"/>
      <c r="N15" s="228"/>
      <c r="O15" s="228"/>
      <c r="P15" s="229">
        <f>SUM('Feb-23'!$H15:$O15)</f>
        <v>-9839.7199999999993</v>
      </c>
      <c r="Q15" s="226" t="str">
        <f>IFERROR(IF('Feb-23'!$F15="","-",VLOOKUP('Feb-23'!$F15,Lista_CUIT!$A$1:$D$1871,3,0)),"CUIT NO CARGADO")</f>
        <v>Gastos Varios</v>
      </c>
      <c r="R15" s="230">
        <f>IFERROR(IF('Feb-23'!$F15="","-",VLOOKUP('Feb-23'!$F15,Lista_CUIT!$A$1:$D$1871,4,0)),"CUIT NO CARGADO")</f>
        <v>0</v>
      </c>
    </row>
    <row r="16" spans="1:19" ht="20.25" customHeight="1" x14ac:dyDescent="0.25">
      <c r="B16" s="221">
        <v>44984</v>
      </c>
      <c r="C16" s="222">
        <v>1</v>
      </c>
      <c r="D16" s="223">
        <v>28</v>
      </c>
      <c r="E16" s="224">
        <v>246</v>
      </c>
      <c r="F16" s="225">
        <v>30707097465</v>
      </c>
      <c r="G16" s="226" t="str">
        <f>IFERROR(IF('Feb-23'!$F16="","-",VLOOKUP('Feb-23'!$F16,Lista_CUIT!$A$1:$D$1871,2,0)),"CUIT NO CARGADO")</f>
        <v>BIKE GROUP SA</v>
      </c>
      <c r="H16" s="227">
        <v>10256.19</v>
      </c>
      <c r="I16" s="228">
        <f>IF('Feb-23'!$H16="","",'Feb-23'!$H16*0.21)</f>
        <v>2153.7999</v>
      </c>
      <c r="J16" s="228"/>
      <c r="K16" s="228"/>
      <c r="L16" s="228"/>
      <c r="M16" s="228"/>
      <c r="N16" s="228"/>
      <c r="O16" s="228"/>
      <c r="P16" s="229">
        <f>SUM('Feb-23'!$H16:$O16)</f>
        <v>12409.9899</v>
      </c>
      <c r="Q16" s="226" t="str">
        <f>IFERROR(IF('Feb-23'!$F16="","-",VLOOKUP('Feb-23'!$F16,Lista_CUIT!$A$1:$D$1871,3,0)),"CUIT NO CARGADO")</f>
        <v>INSUMO</v>
      </c>
      <c r="R16" s="230">
        <f>IFERROR(IF('Feb-23'!$F16="","-",VLOOKUP('Feb-23'!$F16,Lista_CUIT!$A$1:$D$1871,4,0)),"CUIT NO CARGADO")</f>
        <v>0</v>
      </c>
    </row>
    <row r="17" spans="2:18" ht="20.25" customHeight="1" x14ac:dyDescent="0.25">
      <c r="B17" s="239">
        <v>44965</v>
      </c>
      <c r="C17" s="222">
        <v>3</v>
      </c>
      <c r="D17" s="223">
        <v>5</v>
      </c>
      <c r="E17" s="224">
        <v>470</v>
      </c>
      <c r="F17" s="225">
        <v>20233336735</v>
      </c>
      <c r="G17" s="226" t="str">
        <f>IFERROR(IF('Feb-23'!$F17="","-",VLOOKUP('Feb-23'!$F17,Lista_CUIT!$A$1:$D$1871,2,0)),"CUIT NO CARGADO")</f>
        <v>CURA BERNARDO</v>
      </c>
      <c r="H17" s="227">
        <v>-14983.45</v>
      </c>
      <c r="I17" s="228">
        <f>IF('Feb-23'!$H17="","",'Feb-23'!$H17*0.21)</f>
        <v>-3146.5245</v>
      </c>
      <c r="J17" s="228"/>
      <c r="K17" s="228"/>
      <c r="L17" s="228"/>
      <c r="M17" s="228"/>
      <c r="N17" s="228"/>
      <c r="O17" s="228"/>
      <c r="P17" s="229">
        <f>SUM('Feb-23'!$H17:$O17)</f>
        <v>-18129.9745</v>
      </c>
      <c r="Q17" s="226" t="str">
        <f>IFERROR(IF('Feb-23'!$F17="","-",VLOOKUP('Feb-23'!$F17,Lista_CUIT!$A$1:$D$1871,3,0)),"CUIT NO CARGADO")</f>
        <v>Gastos Varios</v>
      </c>
      <c r="R17" s="230">
        <f>IFERROR(IF('Feb-23'!$F17="","-",VLOOKUP('Feb-23'!$F17,Lista_CUIT!$A$1:$D$1871,4,0)),"CUIT NO CARGADO")</f>
        <v>0</v>
      </c>
    </row>
    <row r="18" spans="2:18" ht="20.25" customHeight="1" x14ac:dyDescent="0.25">
      <c r="B18" s="240">
        <v>44985</v>
      </c>
      <c r="C18" s="11">
        <v>1</v>
      </c>
      <c r="D18" s="12">
        <v>15</v>
      </c>
      <c r="E18" s="13">
        <v>473</v>
      </c>
      <c r="F18" s="14">
        <v>30709653578</v>
      </c>
      <c r="G18" s="15" t="str">
        <f>IFERROR(IF('Feb-23'!$F18="","-",VLOOKUP('Feb-23'!$F18,Lista_CUIT!$A$1:$D$1871,2,0)),"CUIT NO CARGADO")</f>
        <v>UBINET S.A.</v>
      </c>
      <c r="H18" s="16">
        <v>8925.6299999999992</v>
      </c>
      <c r="I18" s="23">
        <f>IF('Feb-23'!$H18="","",'Feb-23'!$H18*0.21)</f>
        <v>1874.3822999999998</v>
      </c>
      <c r="J18" s="23"/>
      <c r="K18" s="23"/>
      <c r="L18" s="23"/>
      <c r="M18" s="23"/>
      <c r="N18" s="23"/>
      <c r="O18" s="23"/>
      <c r="P18" s="20">
        <f>SUM('Feb-23'!$H18:$O18)</f>
        <v>10800.012299999999</v>
      </c>
      <c r="Q18" s="15" t="str">
        <f>IFERROR(IF('Feb-23'!$F18="","-",VLOOKUP('Feb-23'!$F18,Lista_CUIT!$A$1:$D$1871,3,0)),"CUIT NO CARGADO")</f>
        <v>EQ COMPUTACION</v>
      </c>
      <c r="R18" s="21">
        <f>IFERROR(IF('Feb-23'!$F18="","-",VLOOKUP('Feb-23'!$F18,Lista_CUIT!$A$1:$D$1871,4,0)),"CUIT NO CARGADO")</f>
        <v>0</v>
      </c>
    </row>
    <row r="19" spans="2:18" ht="20.25" customHeight="1" x14ac:dyDescent="0.25">
      <c r="B19" s="240">
        <v>44958</v>
      </c>
      <c r="C19" s="11">
        <v>1</v>
      </c>
      <c r="D19" s="12">
        <v>3</v>
      </c>
      <c r="E19" s="13">
        <v>615</v>
      </c>
      <c r="F19" s="14">
        <v>30715402765</v>
      </c>
      <c r="G19" s="15" t="str">
        <f>IFERROR(IF('Feb-23'!$F19="","-",VLOOKUP('Feb-23'!$F19,Lista_CUIT!$A$1:$D$1871,2,0)),"CUIT NO CARGADO")</f>
        <v>RIO 265 SRL</v>
      </c>
      <c r="H19" s="16">
        <v>11404.96</v>
      </c>
      <c r="I19" s="23">
        <f>IF('Feb-23'!$H19="","",'Feb-23'!$H19*0.21)</f>
        <v>2395.0415999999996</v>
      </c>
      <c r="J19" s="23"/>
      <c r="K19" s="23"/>
      <c r="L19" s="23"/>
      <c r="M19" s="23"/>
      <c r="N19" s="23"/>
      <c r="O19" s="23"/>
      <c r="P19" s="20">
        <f>SUM('Feb-23'!$H19:$O19)</f>
        <v>13800.0016</v>
      </c>
      <c r="Q19" s="15" t="str">
        <f>IFERROR(IF('Feb-23'!$F19="","-",VLOOKUP('Feb-23'!$F19,Lista_CUIT!$A$1:$D$1871,3,0)),"CUIT NO CARGADO")</f>
        <v>GTOS VARIOS-ESTACIONAMIENTO HORACIO</v>
      </c>
      <c r="R19" s="21">
        <f>IFERROR(IF('Feb-23'!$F19="","-",VLOOKUP('Feb-23'!$F19,Lista_CUIT!$A$1:$D$1871,4,0)),"CUIT NO CARGADO")</f>
        <v>0</v>
      </c>
    </row>
    <row r="20" spans="2:18" ht="20.25" customHeight="1" x14ac:dyDescent="0.25">
      <c r="B20" s="240">
        <v>44980</v>
      </c>
      <c r="C20" s="11">
        <v>1</v>
      </c>
      <c r="D20" s="12">
        <v>5</v>
      </c>
      <c r="E20" s="13">
        <v>950</v>
      </c>
      <c r="F20" s="14">
        <v>20141343700</v>
      </c>
      <c r="G20" s="15" t="str">
        <f>IFERROR(IF('Feb-23'!$F20="","-",VLOOKUP('Feb-23'!$F20,Lista_CUIT!$A$1:$D$1871,2,0)),"CUIT NO CARGADO")</f>
        <v>Roberto A Caffaro</v>
      </c>
      <c r="H20" s="16">
        <v>2002.93</v>
      </c>
      <c r="I20" s="23">
        <f>IF('Feb-23'!$H20="","",'Feb-23'!$H20*0.21)</f>
        <v>420.61529999999999</v>
      </c>
      <c r="J20" s="23"/>
      <c r="K20" s="23"/>
      <c r="L20" s="23"/>
      <c r="M20" s="23"/>
      <c r="N20" s="23"/>
      <c r="O20" s="23"/>
      <c r="P20" s="20">
        <f>SUM('Feb-23'!$H20:$O20)</f>
        <v>2423.5453000000002</v>
      </c>
      <c r="Q20" s="15" t="str">
        <f>IFERROR(IF('Feb-23'!$F20="","-",VLOOKUP('Feb-23'!$F20,Lista_CUIT!$A$1:$D$1871,3,0)),"CUIT NO CARGADO")</f>
        <v>MAT. PRIM.</v>
      </c>
      <c r="R20" s="21">
        <f>IFERROR(IF('Feb-23'!$F20="","-",VLOOKUP('Feb-23'!$F20,Lista_CUIT!$A$1:$D$1871,4,0)),"CUIT NO CARGADO")</f>
        <v>0</v>
      </c>
    </row>
    <row r="21" spans="2:18" ht="20.25" customHeight="1" x14ac:dyDescent="0.25">
      <c r="B21" s="239">
        <v>44970</v>
      </c>
      <c r="C21" s="222">
        <v>1</v>
      </c>
      <c r="D21" s="223">
        <v>8</v>
      </c>
      <c r="E21" s="224">
        <v>1110</v>
      </c>
      <c r="F21" s="225">
        <v>30717419924</v>
      </c>
      <c r="G21" s="226" t="str">
        <f>IFERROR(IF('Feb-23'!$F21="","-",VLOOKUP('Feb-23'!$F21,Lista_CUIT!$A$1:$D$1871,2,0)),"CUIT NO CARGADO")</f>
        <v>MR DOG GROUP S.A.</v>
      </c>
      <c r="H21" s="227">
        <v>7355.38</v>
      </c>
      <c r="I21" s="228">
        <f>IF('Feb-23'!$H21="","",'Feb-23'!$H21*0.21)</f>
        <v>1544.6297999999999</v>
      </c>
      <c r="J21" s="228"/>
      <c r="K21" s="228"/>
      <c r="L21" s="228"/>
      <c r="M21" s="228"/>
      <c r="N21" s="228"/>
      <c r="O21" s="228"/>
      <c r="P21" s="229">
        <f>SUM('Feb-23'!$H21:$O21)</f>
        <v>8900.0097999999998</v>
      </c>
      <c r="Q21" s="226" t="str">
        <f>IFERROR(IF('Feb-23'!$F21="","-",VLOOKUP('Feb-23'!$F21,Lista_CUIT!$A$1:$D$1871,3,0)),"CUIT NO CARGADO")</f>
        <v>Gastos Varios</v>
      </c>
      <c r="R21" s="230">
        <f>IFERROR(IF('Feb-23'!$F21="","-",VLOOKUP('Feb-23'!$F21,Lista_CUIT!$A$1:$D$1871,4,0)),"CUIT NO CARGADO")</f>
        <v>0</v>
      </c>
    </row>
    <row r="22" spans="2:18" ht="20.25" customHeight="1" x14ac:dyDescent="0.25">
      <c r="B22" s="239">
        <v>44980</v>
      </c>
      <c r="C22" s="222">
        <v>1</v>
      </c>
      <c r="D22" s="223">
        <v>5</v>
      </c>
      <c r="E22" s="224">
        <v>1120</v>
      </c>
      <c r="F22" s="225">
        <v>30707397256</v>
      </c>
      <c r="G22" s="226" t="str">
        <f>IFERROR(IF('Feb-23'!$F22="","-",VLOOKUP('Feb-23'!$F22,Lista_CUIT!$A$1:$D$1871,2,0)),"CUIT NO CARGADO")</f>
        <v>GRAFICA Y FOTOGRABADOS LA PLAZA SRL</v>
      </c>
      <c r="H22" s="227">
        <v>396450.4</v>
      </c>
      <c r="I22" s="228">
        <f>IF('Feb-23'!$H22="","",'Feb-23'!$H22*0.21)</f>
        <v>83254.584000000003</v>
      </c>
      <c r="J22" s="228"/>
      <c r="K22" s="228"/>
      <c r="L22" s="228"/>
      <c r="M22" s="228"/>
      <c r="N22" s="228"/>
      <c r="O22" s="228"/>
      <c r="P22" s="229">
        <f>SUM('Feb-23'!$H22:$O22)</f>
        <v>479704.98400000005</v>
      </c>
      <c r="Q22" s="226" t="str">
        <f>IFERROR(IF('Feb-23'!$F22="","-",VLOOKUP('Feb-23'!$F22,Lista_CUIT!$A$1:$D$1871,3,0)),"CUIT NO CARGADO")</f>
        <v>Fotograbados</v>
      </c>
      <c r="R22" s="230">
        <f>IFERROR(IF('Feb-23'!$F22="","-",VLOOKUP('Feb-23'!$F22,Lista_CUIT!$A$1:$D$1871,4,0)),"CUIT NO CARGADO")</f>
        <v>0</v>
      </c>
    </row>
    <row r="23" spans="2:18" ht="20.25" customHeight="1" x14ac:dyDescent="0.25">
      <c r="B23" s="240">
        <v>44967</v>
      </c>
      <c r="C23" s="11">
        <v>1</v>
      </c>
      <c r="D23" s="12">
        <v>1</v>
      </c>
      <c r="E23" s="13">
        <v>1357</v>
      </c>
      <c r="F23" s="14">
        <v>30716831848</v>
      </c>
      <c r="G23" s="15" t="str">
        <f>IFERROR(IF('Feb-23'!$F23="","-",VLOOKUP('Feb-23'!$F23,Lista_CUIT!$A$1:$D$1871,2,0)),"CUIT NO CARGADO")</f>
        <v>VINOLOGOS S.A.</v>
      </c>
      <c r="H23" s="16">
        <v>11380.17</v>
      </c>
      <c r="I23" s="23">
        <f>IF('Feb-23'!$H23="","",'Feb-23'!$H23*0.21)</f>
        <v>2389.8357000000001</v>
      </c>
      <c r="J23" s="23"/>
      <c r="K23" s="23"/>
      <c r="L23" s="23"/>
      <c r="M23" s="23"/>
      <c r="N23" s="23"/>
      <c r="O23" s="23"/>
      <c r="P23" s="20">
        <f>SUM('Feb-23'!$H23:$O23)</f>
        <v>13770.0057</v>
      </c>
      <c r="Q23" s="15" t="str">
        <f>IFERROR(IF('Feb-23'!$F23="","-",VLOOKUP('Feb-23'!$F23,Lista_CUIT!$A$1:$D$1871,3,0)),"CUIT NO CARGADO")</f>
        <v>Gastos Varios</v>
      </c>
      <c r="R23" s="21">
        <f>IFERROR(IF('Feb-23'!$F23="","-",VLOOKUP('Feb-23'!$F23,Lista_CUIT!$A$1:$D$1871,4,0)),"CUIT NO CARGADO")</f>
        <v>0</v>
      </c>
    </row>
    <row r="24" spans="2:18" ht="20.25" customHeight="1" x14ac:dyDescent="0.25">
      <c r="B24" s="239">
        <v>44978</v>
      </c>
      <c r="C24" s="222">
        <v>1</v>
      </c>
      <c r="D24" s="223">
        <v>3</v>
      </c>
      <c r="E24" s="224">
        <v>1382</v>
      </c>
      <c r="F24" s="225">
        <v>30716193280</v>
      </c>
      <c r="G24" s="226" t="str">
        <f>IFERROR(IF('Feb-23'!$F24="","-",VLOOKUP('Feb-23'!$F24,Lista_CUIT!$A$1:$D$1871,2,0)),"CUIT NO CARGADO")</f>
        <v>BERTOLINA SPORTS SOCIEDAD POR ACCIONES SIMPLIFICADA</v>
      </c>
      <c r="H24" s="227">
        <v>8391.19</v>
      </c>
      <c r="I24" s="228">
        <f>IF('Feb-23'!$H24="","",'Feb-23'!$H24*0.21)</f>
        <v>1762.1499000000001</v>
      </c>
      <c r="J24" s="228"/>
      <c r="K24" s="228"/>
      <c r="L24" s="228"/>
      <c r="M24" s="228"/>
      <c r="N24" s="228"/>
      <c r="O24" s="228"/>
      <c r="P24" s="229">
        <f>SUM('Feb-23'!$H24:$O24)</f>
        <v>10153.339900000001</v>
      </c>
      <c r="Q24" s="226" t="str">
        <f>IFERROR(IF('Feb-23'!$F24="","-",VLOOKUP('Feb-23'!$F24,Lista_CUIT!$A$1:$D$1871,3,0)),"CUIT NO CARGADO")</f>
        <v>Gastos Varios</v>
      </c>
      <c r="R24" s="230">
        <f>IFERROR(IF('Feb-23'!$F24="","-",VLOOKUP('Feb-23'!$F24,Lista_CUIT!$A$1:$D$1871,4,0)),"CUIT NO CARGADO")</f>
        <v>0</v>
      </c>
    </row>
    <row r="25" spans="2:18" ht="20.25" customHeight="1" x14ac:dyDescent="0.25">
      <c r="B25" s="239">
        <v>44980</v>
      </c>
      <c r="C25" s="222">
        <v>1</v>
      </c>
      <c r="D25" s="223">
        <v>3</v>
      </c>
      <c r="E25" s="224">
        <v>1389</v>
      </c>
      <c r="F25" s="225">
        <v>30716193280</v>
      </c>
      <c r="G25" s="226" t="str">
        <f>IFERROR(IF('Feb-23'!$F25="","-",VLOOKUP('Feb-23'!$F25,Lista_CUIT!$A$1:$D$1871,2,0)),"CUIT NO CARGADO")</f>
        <v>BERTOLINA SPORTS SOCIEDAD POR ACCIONES SIMPLIFICADA</v>
      </c>
      <c r="H25" s="227">
        <v>8391.19</v>
      </c>
      <c r="I25" s="228">
        <f>IF('Feb-23'!$H25="","",'Feb-23'!$H25*0.21)</f>
        <v>1762.1499000000001</v>
      </c>
      <c r="J25" s="228"/>
      <c r="K25" s="228"/>
      <c r="L25" s="228"/>
      <c r="M25" s="228"/>
      <c r="N25" s="228"/>
      <c r="O25" s="228"/>
      <c r="P25" s="229">
        <f>SUM('Feb-23'!$H25:$O25)</f>
        <v>10153.339900000001</v>
      </c>
      <c r="Q25" s="226" t="str">
        <f>IFERROR(IF('Feb-23'!$F25="","-",VLOOKUP('Feb-23'!$F25,Lista_CUIT!$A$1:$D$1871,3,0)),"CUIT NO CARGADO")</f>
        <v>Gastos Varios</v>
      </c>
      <c r="R25" s="230">
        <f>IFERROR(IF('Feb-23'!$F25="","-",VLOOKUP('Feb-23'!$F25,Lista_CUIT!$A$1:$D$1871,4,0)),"CUIT NO CARGADO")</f>
        <v>0</v>
      </c>
    </row>
    <row r="26" spans="2:18" ht="20.25" customHeight="1" x14ac:dyDescent="0.25">
      <c r="B26" s="239">
        <v>44983</v>
      </c>
      <c r="C26" s="222">
        <v>1</v>
      </c>
      <c r="D26" s="223">
        <v>3</v>
      </c>
      <c r="E26" s="224">
        <v>1406</v>
      </c>
      <c r="F26" s="225">
        <v>30716193280</v>
      </c>
      <c r="G26" s="226" t="str">
        <f>IFERROR(IF('Feb-23'!$F26="","-",VLOOKUP('Feb-23'!$F26,Lista_CUIT!$A$1:$D$1871,2,0)),"CUIT NO CARGADO")</f>
        <v>BERTOLINA SPORTS SOCIEDAD POR ACCIONES SIMPLIFICADA</v>
      </c>
      <c r="H26" s="227">
        <v>1632.23</v>
      </c>
      <c r="I26" s="228">
        <f>IF('Feb-23'!$H26="","",'Feb-23'!$H26*0.21)</f>
        <v>342.76830000000001</v>
      </c>
      <c r="J26" s="228"/>
      <c r="K26" s="228"/>
      <c r="L26" s="228"/>
      <c r="M26" s="228"/>
      <c r="N26" s="228"/>
      <c r="O26" s="228"/>
      <c r="P26" s="229">
        <f>SUM('Feb-23'!$H26:$O26)</f>
        <v>1974.9983</v>
      </c>
      <c r="Q26" s="226" t="str">
        <f>IFERROR(IF('Feb-23'!$F26="","-",VLOOKUP('Feb-23'!$F26,Lista_CUIT!$A$1:$D$1871,3,0)),"CUIT NO CARGADO")</f>
        <v>Gastos Varios</v>
      </c>
      <c r="R26" s="230">
        <f>IFERROR(IF('Feb-23'!$F26="","-",VLOOKUP('Feb-23'!$F26,Lista_CUIT!$A$1:$D$1871,4,0)),"CUIT NO CARGADO")</f>
        <v>0</v>
      </c>
    </row>
    <row r="27" spans="2:18" ht="20.25" customHeight="1" x14ac:dyDescent="0.25">
      <c r="B27" s="240">
        <v>44960</v>
      </c>
      <c r="C27" s="11">
        <v>1</v>
      </c>
      <c r="D27" s="12">
        <v>9</v>
      </c>
      <c r="E27" s="13">
        <v>1485</v>
      </c>
      <c r="F27" s="14">
        <v>30631047145</v>
      </c>
      <c r="G27" s="15" t="str">
        <f>IFERROR(IF('Feb-23'!$F27="","-",VLOOKUP('Feb-23'!$F27,Lista_CUIT!$A$1:$D$1871,2,0)),"CUIT NO CARGADO")</f>
        <v>SEMICONDUC. Y COMPON. SRL</v>
      </c>
      <c r="H27" s="16">
        <v>99504.33</v>
      </c>
      <c r="I27" s="23">
        <v>15706.54</v>
      </c>
      <c r="J27" s="23"/>
      <c r="K27" s="23">
        <v>2594.69</v>
      </c>
      <c r="L27" s="23"/>
      <c r="M27" s="23"/>
      <c r="N27" s="23"/>
      <c r="O27" s="23"/>
      <c r="P27" s="20">
        <f>SUM('Feb-23'!$H27:$O27)</f>
        <v>117805.56</v>
      </c>
      <c r="Q27" s="15" t="str">
        <f>IFERROR(IF('Feb-23'!$F27="","-",VLOOKUP('Feb-23'!$F27,Lista_CUIT!$A$1:$D$1871,3,0)),"CUIT NO CARGADO")</f>
        <v>INSUMO</v>
      </c>
      <c r="R27" s="21">
        <f>IFERROR(IF('Feb-23'!$F27="","-",VLOOKUP('Feb-23'!$F27,Lista_CUIT!$A$1:$D$1871,4,0)),"CUIT NO CARGADO")</f>
        <v>0</v>
      </c>
    </row>
    <row r="28" spans="2:18" ht="20.25" customHeight="1" x14ac:dyDescent="0.25">
      <c r="B28" s="239">
        <v>44980</v>
      </c>
      <c r="C28" s="222">
        <v>1</v>
      </c>
      <c r="D28" s="223">
        <v>5</v>
      </c>
      <c r="E28" s="224">
        <v>3196</v>
      </c>
      <c r="F28" s="225">
        <v>20309473869</v>
      </c>
      <c r="G28" s="226" t="str">
        <f>IFERROR(IF('Feb-23'!$F28="","-",VLOOKUP('Feb-23'!$F28,Lista_CUIT!$A$1:$D$1871,2,0)),"CUIT NO CARGADO")</f>
        <v>ALDERETE GUILLERMO RAUL</v>
      </c>
      <c r="H28" s="227">
        <v>33883.47</v>
      </c>
      <c r="I28" s="228">
        <f>IF('Feb-23'!$H28="","",'Feb-23'!$H28*0.21)</f>
        <v>7115.5286999999998</v>
      </c>
      <c r="J28" s="228"/>
      <c r="K28" s="228"/>
      <c r="L28" s="228"/>
      <c r="M28" s="228"/>
      <c r="N28" s="228"/>
      <c r="O28" s="228"/>
      <c r="P28" s="229">
        <f>SUM('Feb-23'!$H28:$O28)</f>
        <v>40998.998700000004</v>
      </c>
      <c r="Q28" s="226" t="str">
        <f>IFERROR(IF('Feb-23'!$F28="","-",VLOOKUP('Feb-23'!$F28,Lista_CUIT!$A$1:$D$1871,3,0)),"CUIT NO CARGADO")</f>
        <v>Gastos Varios</v>
      </c>
      <c r="R28" s="230">
        <f>IFERROR(IF('Feb-23'!$F28="","-",VLOOKUP('Feb-23'!$F28,Lista_CUIT!$A$1:$D$1871,4,0)),"CUIT NO CARGADO")</f>
        <v>0</v>
      </c>
    </row>
    <row r="29" spans="2:18" ht="20.25" customHeight="1" x14ac:dyDescent="0.25">
      <c r="B29" s="240">
        <v>44970</v>
      </c>
      <c r="C29" s="11">
        <v>1</v>
      </c>
      <c r="D29" s="12">
        <v>7</v>
      </c>
      <c r="E29" s="13">
        <v>5862</v>
      </c>
      <c r="F29" s="14">
        <v>30711871485</v>
      </c>
      <c r="G29" s="15" t="str">
        <f>IFERROR(IF('Feb-23'!$F29="","-",VLOOKUP('Feb-23'!$F29,Lista_CUIT!$A$1:$D$1871,2,0)),"CUIT NO CARGADO")</f>
        <v>STORAGE COMPAT S.A.</v>
      </c>
      <c r="H29" s="16">
        <v>18130</v>
      </c>
      <c r="I29" s="23">
        <f>IF('Feb-23'!$H29="","",'Feb-23'!$H29*0.21)</f>
        <v>3807.2999999999997</v>
      </c>
      <c r="J29" s="23"/>
      <c r="K29" s="23"/>
      <c r="L29" s="23"/>
      <c r="M29" s="23"/>
      <c r="N29" s="23"/>
      <c r="O29" s="23"/>
      <c r="P29" s="20">
        <f>SUM('Feb-23'!$H29:$O29)</f>
        <v>21937.3</v>
      </c>
      <c r="Q29" s="15" t="str">
        <f>IFERROR(IF('Feb-23'!$F29="","-",VLOOKUP('Feb-23'!$F29,Lista_CUIT!$A$1:$D$1871,3,0)),"CUIT NO CARGADO")</f>
        <v>INSUMO</v>
      </c>
      <c r="R29" s="21">
        <f>IFERROR(IF('Feb-23'!$F29="","-",VLOOKUP('Feb-23'!$F29,Lista_CUIT!$A$1:$D$1871,4,0)),"CUIT NO CARGADO")</f>
        <v>0</v>
      </c>
    </row>
    <row r="30" spans="2:18" ht="20.25" customHeight="1" x14ac:dyDescent="0.25">
      <c r="B30" s="240">
        <v>44970</v>
      </c>
      <c r="C30" s="11">
        <v>1</v>
      </c>
      <c r="D30" s="12">
        <v>7</v>
      </c>
      <c r="E30" s="13">
        <v>5863</v>
      </c>
      <c r="F30" s="14">
        <v>30711871485</v>
      </c>
      <c r="G30" s="15" t="str">
        <f>IFERROR(IF('Feb-23'!$F30="","-",VLOOKUP('Feb-23'!$F30,Lista_CUIT!$A$1:$D$1871,2,0)),"CUIT NO CARGADO")</f>
        <v>STORAGE COMPAT S.A.</v>
      </c>
      <c r="H30" s="16">
        <v>12116.36</v>
      </c>
      <c r="I30" s="23">
        <f>IF('Feb-23'!$H30="","",'Feb-23'!$H30*0.21)</f>
        <v>2544.4356000000002</v>
      </c>
      <c r="J30" s="23"/>
      <c r="K30" s="23"/>
      <c r="L30" s="23"/>
      <c r="M30" s="23"/>
      <c r="N30" s="23"/>
      <c r="O30" s="23"/>
      <c r="P30" s="20">
        <f>SUM('Feb-23'!$H30:$O30)</f>
        <v>14660.795600000001</v>
      </c>
      <c r="Q30" s="15" t="str">
        <f>IFERROR(IF('Feb-23'!$F30="","-",VLOOKUP('Feb-23'!$F30,Lista_CUIT!$A$1:$D$1871,3,0)),"CUIT NO CARGADO")</f>
        <v>INSUMO</v>
      </c>
      <c r="R30" s="21">
        <f>IFERROR(IF('Feb-23'!$F30="","-",VLOOKUP('Feb-23'!$F30,Lista_CUIT!$A$1:$D$1871,4,0)),"CUIT NO CARGADO")</f>
        <v>0</v>
      </c>
    </row>
    <row r="31" spans="2:18" ht="20.25" customHeight="1" x14ac:dyDescent="0.25">
      <c r="B31" s="240">
        <v>44973</v>
      </c>
      <c r="C31" s="11">
        <v>1</v>
      </c>
      <c r="D31" s="12">
        <v>7</v>
      </c>
      <c r="E31" s="13">
        <v>5932</v>
      </c>
      <c r="F31" s="14">
        <v>30711871485</v>
      </c>
      <c r="G31" s="15" t="str">
        <f>IFERROR(IF('Feb-23'!$F31="","-",VLOOKUP('Feb-23'!$F31,Lista_CUIT!$A$1:$D$1871,2,0)),"CUIT NO CARGADO")</f>
        <v>STORAGE COMPAT S.A.</v>
      </c>
      <c r="H31" s="16">
        <v>7183.64</v>
      </c>
      <c r="I31" s="23">
        <f>IF('Feb-23'!$H31="","",'Feb-23'!$H31*0.21)</f>
        <v>1508.5644</v>
      </c>
      <c r="J31" s="23"/>
      <c r="K31" s="23"/>
      <c r="L31" s="23"/>
      <c r="M31" s="23"/>
      <c r="N31" s="23"/>
      <c r="O31" s="23"/>
      <c r="P31" s="20">
        <f>SUM('Feb-23'!$H31:$O31)</f>
        <v>8692.2044000000005</v>
      </c>
      <c r="Q31" s="15" t="str">
        <f>IFERROR(IF('Feb-23'!$F31="","-",VLOOKUP('Feb-23'!$F31,Lista_CUIT!$A$1:$D$1871,3,0)),"CUIT NO CARGADO")</f>
        <v>INSUMO</v>
      </c>
      <c r="R31" s="21">
        <f>IFERROR(IF('Feb-23'!$F31="","-",VLOOKUP('Feb-23'!$F31,Lista_CUIT!$A$1:$D$1871,4,0)),"CUIT NO CARGADO")</f>
        <v>0</v>
      </c>
    </row>
    <row r="32" spans="2:18" ht="20.25" customHeight="1" x14ac:dyDescent="0.25">
      <c r="B32" s="240">
        <v>44973</v>
      </c>
      <c r="C32" s="11">
        <v>1</v>
      </c>
      <c r="D32" s="12">
        <v>7</v>
      </c>
      <c r="E32" s="13">
        <v>5933</v>
      </c>
      <c r="F32" s="14">
        <v>30711871485</v>
      </c>
      <c r="G32" s="15" t="str">
        <f>IFERROR(IF('Feb-23'!$F32="","-",VLOOKUP('Feb-23'!$F32,Lista_CUIT!$A$1:$D$1871,2,0)),"CUIT NO CARGADO")</f>
        <v>STORAGE COMPAT S.A.</v>
      </c>
      <c r="H32" s="16">
        <v>7183.64</v>
      </c>
      <c r="I32" s="23">
        <f>IF('Feb-23'!$H32="","",'Feb-23'!$H32*0.21)</f>
        <v>1508.5644</v>
      </c>
      <c r="J32" s="23"/>
      <c r="K32" s="23"/>
      <c r="L32" s="23"/>
      <c r="M32" s="23"/>
      <c r="N32" s="23"/>
      <c r="O32" s="23"/>
      <c r="P32" s="20">
        <f>SUM('Feb-23'!$H32:$O32)</f>
        <v>8692.2044000000005</v>
      </c>
      <c r="Q32" s="15" t="str">
        <f>IFERROR(IF('Feb-23'!$F32="","-",VLOOKUP('Feb-23'!$F32,Lista_CUIT!$A$1:$D$1871,3,0)),"CUIT NO CARGADO")</f>
        <v>INSUMO</v>
      </c>
      <c r="R32" s="21">
        <f>IFERROR(IF('Feb-23'!$F32="","-",VLOOKUP('Feb-23'!$F32,Lista_CUIT!$A$1:$D$1871,4,0)),"CUIT NO CARGADO")</f>
        <v>0</v>
      </c>
    </row>
    <row r="33" spans="2:18" ht="18.75" customHeight="1" x14ac:dyDescent="0.25">
      <c r="B33" s="240">
        <v>44973</v>
      </c>
      <c r="C33" s="11">
        <v>1</v>
      </c>
      <c r="D33" s="12">
        <v>7</v>
      </c>
      <c r="E33" s="13">
        <v>5934</v>
      </c>
      <c r="F33" s="14">
        <v>30711871485</v>
      </c>
      <c r="G33" s="15" t="str">
        <f>IFERROR(IF('Feb-23'!$F33="","-",VLOOKUP('Feb-23'!$F33,Lista_CUIT!$A$1:$D$1871,2,0)),"CUIT NO CARGADO")</f>
        <v>STORAGE COMPAT S.A.</v>
      </c>
      <c r="H33" s="16">
        <v>18130</v>
      </c>
      <c r="I33" s="23">
        <f>IF('Feb-23'!$H33="","",'Feb-23'!$H33*0.21)</f>
        <v>3807.2999999999997</v>
      </c>
      <c r="J33" s="23"/>
      <c r="K33" s="23"/>
      <c r="L33" s="23"/>
      <c r="M33" s="23"/>
      <c r="N33" s="23"/>
      <c r="O33" s="23"/>
      <c r="P33" s="20">
        <f>SUM('Feb-23'!$H33:$O33)</f>
        <v>21937.3</v>
      </c>
      <c r="Q33" s="15" t="str">
        <f>IFERROR(IF('Feb-23'!$F33="","-",VLOOKUP('Feb-23'!$F33,Lista_CUIT!$A$1:$D$1871,3,0)),"CUIT NO CARGADO")</f>
        <v>INSUMO</v>
      </c>
      <c r="R33" s="21">
        <f>IFERROR(IF('Feb-23'!$F33="","-",VLOOKUP('Feb-23'!$F33,Lista_CUIT!$A$1:$D$1871,4,0)),"CUIT NO CARGADO")</f>
        <v>0</v>
      </c>
    </row>
    <row r="34" spans="2:18" ht="18.75" customHeight="1" x14ac:dyDescent="0.25">
      <c r="B34" s="240">
        <v>44958</v>
      </c>
      <c r="C34" s="11">
        <v>1</v>
      </c>
      <c r="D34" s="12">
        <v>3</v>
      </c>
      <c r="E34" s="13">
        <v>6311</v>
      </c>
      <c r="F34" s="14">
        <v>20141343700</v>
      </c>
      <c r="G34" s="15" t="str">
        <f>IFERROR(IF('Feb-23'!$F34="","-",VLOOKUP('Feb-23'!$F34,Lista_CUIT!$A$1:$D$1871,2,0)),"CUIT NO CARGADO")</f>
        <v>Roberto A Caffaro</v>
      </c>
      <c r="H34" s="16">
        <v>5748.1</v>
      </c>
      <c r="I34" s="23">
        <f>IF('Feb-23'!$H34="","",'Feb-23'!$H34*0.21)</f>
        <v>1207.1010000000001</v>
      </c>
      <c r="J34" s="23"/>
      <c r="K34" s="23"/>
      <c r="L34" s="23"/>
      <c r="M34" s="23"/>
      <c r="N34" s="23"/>
      <c r="O34" s="23"/>
      <c r="P34" s="20">
        <f>SUM('Feb-23'!$H34:$O34)</f>
        <v>6955.2010000000009</v>
      </c>
      <c r="Q34" s="15" t="str">
        <f>IFERROR(IF('Feb-23'!$F34="","-",VLOOKUP('Feb-23'!$F34,Lista_CUIT!$A$1:$D$1871,3,0)),"CUIT NO CARGADO")</f>
        <v>MAT. PRIM.</v>
      </c>
      <c r="R34" s="21">
        <f>IFERROR(IF('Feb-23'!$F34="","-",VLOOKUP('Feb-23'!$F34,Lista_CUIT!$A$1:$D$1871,4,0)),"CUIT NO CARGADO")</f>
        <v>0</v>
      </c>
    </row>
    <row r="35" spans="2:18" ht="18.75" customHeight="1" x14ac:dyDescent="0.25">
      <c r="B35" s="240">
        <v>44984</v>
      </c>
      <c r="C35" s="11">
        <v>1</v>
      </c>
      <c r="D35" s="12">
        <v>4</v>
      </c>
      <c r="E35" s="13">
        <v>6880</v>
      </c>
      <c r="F35" s="14">
        <v>20206742845</v>
      </c>
      <c r="G35" s="15" t="str">
        <f>IFERROR(IF('Feb-23'!$F35="","-",VLOOKUP('Feb-23'!$F35,Lista_CUIT!$A$1:$D$1871,2,0)),"CUIT NO CARGADO")</f>
        <v>VESCOVO CARLOS EDUARDO</v>
      </c>
      <c r="H35" s="16">
        <v>8504.1299999999992</v>
      </c>
      <c r="I35" s="23">
        <f>IF('Feb-23'!$H35="","",'Feb-23'!$H35*0.21)</f>
        <v>1785.8672999999997</v>
      </c>
      <c r="J35" s="23"/>
      <c r="K35" s="23"/>
      <c r="L35" s="23"/>
      <c r="M35" s="23"/>
      <c r="N35" s="23"/>
      <c r="O35" s="23"/>
      <c r="P35" s="20">
        <f>SUM('Feb-23'!$H35:$O35)</f>
        <v>10289.997299999999</v>
      </c>
      <c r="Q35" s="15" t="str">
        <f>IFERROR(IF('Feb-23'!$F35="","-",VLOOKUP('Feb-23'!$F35,Lista_CUIT!$A$1:$D$1871,3,0)),"CUIT NO CARGADO")</f>
        <v>Gastos Varios</v>
      </c>
      <c r="R35" s="21">
        <f>IFERROR(IF('Feb-23'!$F35="","-",VLOOKUP('Feb-23'!$F35,Lista_CUIT!$A$1:$D$1871,4,0)),"CUIT NO CARGADO")</f>
        <v>0</v>
      </c>
    </row>
    <row r="36" spans="2:18" ht="18.75" customHeight="1" x14ac:dyDescent="0.25">
      <c r="B36" s="240">
        <v>44967</v>
      </c>
      <c r="C36" s="11">
        <v>1</v>
      </c>
      <c r="D36" s="12">
        <v>10</v>
      </c>
      <c r="E36" s="13">
        <v>7907</v>
      </c>
      <c r="F36" s="14">
        <v>30528214483</v>
      </c>
      <c r="G36" s="15" t="str">
        <f>IFERROR(IF('Feb-23'!$F36="","-",VLOOKUP('Feb-23'!$F36,Lista_CUIT!$A$1:$D$1871,2,0)),"CUIT NO CARGADO")</f>
        <v>D WINSTOCK SRL</v>
      </c>
      <c r="H36" s="16">
        <v>8511.57</v>
      </c>
      <c r="I36" s="23">
        <f>IF('Feb-23'!$H36="","",'Feb-23'!$H36*0.21)</f>
        <v>1787.4296999999999</v>
      </c>
      <c r="J36" s="23"/>
      <c r="K36" s="23"/>
      <c r="L36" s="23"/>
      <c r="M36" s="23"/>
      <c r="N36" s="23"/>
      <c r="O36" s="23"/>
      <c r="P36" s="20">
        <f>SUM('Feb-23'!$H36:$O36)</f>
        <v>10298.9997</v>
      </c>
      <c r="Q36" s="15" t="str">
        <f>IFERROR(IF('Feb-23'!$F36="","-",VLOOKUP('Feb-23'!$F36,Lista_CUIT!$A$1:$D$1871,3,0)),"CUIT NO CARGADO")</f>
        <v>MAT. PRIM.</v>
      </c>
      <c r="R36" s="21">
        <f>IFERROR(IF('Feb-23'!$F36="","-",VLOOKUP('Feb-23'!$F36,Lista_CUIT!$A$1:$D$1871,4,0)),"CUIT NO CARGADO")</f>
        <v>0</v>
      </c>
    </row>
    <row r="37" spans="2:18" ht="18.75" customHeight="1" x14ac:dyDescent="0.25">
      <c r="B37" s="240">
        <v>44967</v>
      </c>
      <c r="C37" s="11">
        <v>1</v>
      </c>
      <c r="D37" s="12">
        <v>10</v>
      </c>
      <c r="E37" s="13">
        <v>7909</v>
      </c>
      <c r="F37" s="14">
        <v>30528214483</v>
      </c>
      <c r="G37" s="15" t="str">
        <f>IFERROR(IF('Feb-23'!$F37="","-",VLOOKUP('Feb-23'!$F37,Lista_CUIT!$A$1:$D$1871,2,0)),"CUIT NO CARGADO")</f>
        <v>D WINSTOCK SRL</v>
      </c>
      <c r="H37" s="16">
        <v>1701.65</v>
      </c>
      <c r="I37" s="23">
        <f>IF('Feb-23'!$H37="","",'Feb-23'!$H37*0.21)</f>
        <v>357.34649999999999</v>
      </c>
      <c r="J37" s="23"/>
      <c r="K37" s="23"/>
      <c r="L37" s="23"/>
      <c r="M37" s="23"/>
      <c r="N37" s="23"/>
      <c r="O37" s="23"/>
      <c r="P37" s="20">
        <f>SUM('Feb-23'!$H37:$O37)</f>
        <v>2058.9965000000002</v>
      </c>
      <c r="Q37" s="15" t="str">
        <f>IFERROR(IF('Feb-23'!$F37="","-",VLOOKUP('Feb-23'!$F37,Lista_CUIT!$A$1:$D$1871,3,0)),"CUIT NO CARGADO")</f>
        <v>MAT. PRIM.</v>
      </c>
      <c r="R37" s="21">
        <f>IFERROR(IF('Feb-23'!$F37="","-",VLOOKUP('Feb-23'!$F37,Lista_CUIT!$A$1:$D$1871,4,0)),"CUIT NO CARGADO")</f>
        <v>0</v>
      </c>
    </row>
    <row r="38" spans="2:18" ht="18.75" customHeight="1" x14ac:dyDescent="0.25">
      <c r="B38" s="240">
        <v>44970</v>
      </c>
      <c r="C38" s="11">
        <v>1</v>
      </c>
      <c r="D38" s="12">
        <v>7002</v>
      </c>
      <c r="E38" s="13">
        <v>7987</v>
      </c>
      <c r="F38" s="14">
        <v>30678774495</v>
      </c>
      <c r="G38" s="15" t="str">
        <f>IFERROR(IF('Feb-23'!$F38="","-",VLOOKUP('Feb-23'!$F38,Lista_CUIT!$A$1:$D$1871,2,0)),"CUIT NO CARGADO")</f>
        <v>OPER. DE EST. DE SERV. SA</v>
      </c>
      <c r="H38" s="16">
        <v>6563.22</v>
      </c>
      <c r="I38" s="23">
        <f>IF('Feb-23'!$H38="","",'Feb-23'!$H38*0.21)</f>
        <v>1378.2762</v>
      </c>
      <c r="J38" s="23"/>
      <c r="K38" s="23"/>
      <c r="L38" s="23"/>
      <c r="M38" s="23"/>
      <c r="N38" s="23"/>
      <c r="O38" s="23">
        <v>1459.4</v>
      </c>
      <c r="P38" s="20">
        <f>SUM('Feb-23'!$H38:$O38)</f>
        <v>9400.896200000001</v>
      </c>
      <c r="Q38" s="15" t="str">
        <f>IFERROR(IF('Feb-23'!$F38="","-",VLOOKUP('Feb-23'!$F38,Lista_CUIT!$A$1:$D$1871,3,0)),"CUIT NO CARGADO")</f>
        <v>COMBUSTIBLE</v>
      </c>
      <c r="R38" s="21">
        <f>IFERROR(IF('Feb-23'!$F38="","-",VLOOKUP('Feb-23'!$F38,Lista_CUIT!$A$1:$D$1871,4,0)),"CUIT NO CARGADO")</f>
        <v>0</v>
      </c>
    </row>
    <row r="39" spans="2:18" ht="18.75" customHeight="1" x14ac:dyDescent="0.25">
      <c r="B39" s="240">
        <v>44985</v>
      </c>
      <c r="C39" s="11">
        <v>1</v>
      </c>
      <c r="D39" s="12">
        <v>17</v>
      </c>
      <c r="E39" s="13">
        <v>9341</v>
      </c>
      <c r="F39" s="14">
        <v>30534051049</v>
      </c>
      <c r="G39" s="15" t="str">
        <f>IFERROR(IF('Feb-23'!$F39="","-",VLOOKUP('Feb-23'!$F39,Lista_CUIT!$A$1:$D$1871,2,0)),"CUIT NO CARGADO")</f>
        <v>PLIN METAL SA</v>
      </c>
      <c r="H39" s="16">
        <v>94337</v>
      </c>
      <c r="I39" s="23">
        <f>IF('Feb-23'!$H39="","",'Feb-23'!$H39*0.21)</f>
        <v>19810.77</v>
      </c>
      <c r="J39" s="23"/>
      <c r="K39" s="23"/>
      <c r="L39" s="23"/>
      <c r="M39" s="23"/>
      <c r="N39" s="23"/>
      <c r="O39" s="23"/>
      <c r="P39" s="20">
        <f>SUM('Feb-23'!$H39:$O39)</f>
        <v>114147.77</v>
      </c>
      <c r="Q39" s="15" t="str">
        <f>IFERROR(IF('Feb-23'!$F39="","-",VLOOKUP('Feb-23'!$F39,Lista_CUIT!$A$1:$D$1871,3,0)),"CUIT NO CARGADO")</f>
        <v>MAT. PRIM.</v>
      </c>
      <c r="R39" s="21">
        <f>IFERROR(IF('Feb-23'!$F39="","-",VLOOKUP('Feb-23'!$F39,Lista_CUIT!$A$1:$D$1871,4,0)),"CUIT NO CARGADO")</f>
        <v>0</v>
      </c>
    </row>
    <row r="40" spans="2:18" ht="18.75" customHeight="1" x14ac:dyDescent="0.25">
      <c r="B40" s="239">
        <v>44980</v>
      </c>
      <c r="C40" s="222">
        <v>1</v>
      </c>
      <c r="D40" s="223">
        <v>4</v>
      </c>
      <c r="E40" s="224">
        <v>10662</v>
      </c>
      <c r="F40" s="225">
        <v>27287501396</v>
      </c>
      <c r="G40" s="226" t="str">
        <f>IFERROR(IF('Feb-23'!$F40="","-",VLOOKUP('Feb-23'!$F40,Lista_CUIT!$A$1:$D$1871,2,0)),"CUIT NO CARGADO")</f>
        <v>MURIEGA CECILIA SOLEDAD</v>
      </c>
      <c r="H40" s="227">
        <v>2847.3</v>
      </c>
      <c r="I40" s="228">
        <f>IF('Feb-23'!$H40="","",'Feb-23'!$H40*0.21)</f>
        <v>597.93299999999999</v>
      </c>
      <c r="J40" s="228"/>
      <c r="K40" s="228"/>
      <c r="L40" s="228"/>
      <c r="M40" s="228"/>
      <c r="N40" s="228"/>
      <c r="O40" s="228"/>
      <c r="P40" s="229">
        <f>SUM('Feb-23'!$H40:$O40)</f>
        <v>3445.2330000000002</v>
      </c>
      <c r="Q40" s="226" t="str">
        <f>IFERROR(IF('Feb-23'!$F40="","-",VLOOKUP('Feb-23'!$F40,Lista_CUIT!$A$1:$D$1871,3,0)),"CUIT NO CARGADO")</f>
        <v>Gastos Varios</v>
      </c>
      <c r="R40" s="230">
        <f>IFERROR(IF('Feb-23'!$F40="","-",VLOOKUP('Feb-23'!$F40,Lista_CUIT!$A$1:$D$1871,4,0)),"CUIT NO CARGADO")</f>
        <v>0</v>
      </c>
    </row>
    <row r="41" spans="2:18" ht="18.75" customHeight="1" x14ac:dyDescent="0.25">
      <c r="B41" s="239">
        <v>44984</v>
      </c>
      <c r="C41" s="222">
        <v>1</v>
      </c>
      <c r="D41" s="223">
        <v>4</v>
      </c>
      <c r="E41" s="224">
        <v>10882</v>
      </c>
      <c r="F41" s="225">
        <v>33710719549</v>
      </c>
      <c r="G41" s="226" t="str">
        <f>IFERROR(IF('Feb-23'!$F41="","-",VLOOKUP('Feb-23'!$F41,Lista_CUIT!$A$1:$D$1871,2,0)),"CUIT NO CARGADO")</f>
        <v>FIVELEV S.R.L.</v>
      </c>
      <c r="H41" s="227">
        <v>8132</v>
      </c>
      <c r="I41" s="228">
        <f>IF('Feb-23'!$H41="","",'Feb-23'!$H41*0.21)</f>
        <v>1707.72</v>
      </c>
      <c r="J41" s="228"/>
      <c r="K41" s="228"/>
      <c r="L41" s="228"/>
      <c r="M41" s="228"/>
      <c r="N41" s="228"/>
      <c r="O41" s="228"/>
      <c r="P41" s="229">
        <f>SUM('Feb-23'!$H41:$O41)</f>
        <v>9839.7199999999993</v>
      </c>
      <c r="Q41" s="226" t="str">
        <f>IFERROR(IF('Feb-23'!$F41="","-",VLOOKUP('Feb-23'!$F41,Lista_CUIT!$A$1:$D$1871,3,0)),"CUIT NO CARGADO")</f>
        <v>Gastos Varios</v>
      </c>
      <c r="R41" s="230">
        <f>IFERROR(IF('Feb-23'!$F41="","-",VLOOKUP('Feb-23'!$F41,Lista_CUIT!$A$1:$D$1871,4,0)),"CUIT NO CARGADO")</f>
        <v>0</v>
      </c>
    </row>
    <row r="42" spans="2:18" ht="18.75" customHeight="1" x14ac:dyDescent="0.25">
      <c r="B42" s="240">
        <v>44984</v>
      </c>
      <c r="C42" s="11">
        <v>1</v>
      </c>
      <c r="D42" s="12">
        <v>4</v>
      </c>
      <c r="E42" s="13">
        <v>10883</v>
      </c>
      <c r="F42" s="14">
        <v>33710719549</v>
      </c>
      <c r="G42" s="15" t="str">
        <f>IFERROR(IF('Feb-23'!$F42="","-",VLOOKUP('Feb-23'!$F42,Lista_CUIT!$A$1:$D$1871,2,0)),"CUIT NO CARGADO")</f>
        <v>FIVELEV S.R.L.</v>
      </c>
      <c r="H42" s="16">
        <v>11914.07</v>
      </c>
      <c r="I42" s="23">
        <f>IF('Feb-23'!$H42="","",'Feb-23'!$H42*0.21)</f>
        <v>2501.9546999999998</v>
      </c>
      <c r="J42" s="23"/>
      <c r="K42" s="23"/>
      <c r="L42" s="23"/>
      <c r="M42" s="23"/>
      <c r="N42" s="23"/>
      <c r="O42" s="23"/>
      <c r="P42" s="20">
        <f>SUM('Feb-23'!$H42:$O42)</f>
        <v>14416.0247</v>
      </c>
      <c r="Q42" s="15" t="str">
        <f>IFERROR(IF('Feb-23'!$F42="","-",VLOOKUP('Feb-23'!$F42,Lista_CUIT!$A$1:$D$1871,3,0)),"CUIT NO CARGADO")</f>
        <v>Gastos Varios</v>
      </c>
      <c r="R42" s="21">
        <f>IFERROR(IF('Feb-23'!$F42="","-",VLOOKUP('Feb-23'!$F42,Lista_CUIT!$A$1:$D$1871,4,0)),"CUIT NO CARGADO")</f>
        <v>0</v>
      </c>
    </row>
    <row r="43" spans="2:18" ht="18.75" customHeight="1" x14ac:dyDescent="0.25">
      <c r="B43" s="240">
        <v>44985</v>
      </c>
      <c r="C43" s="11">
        <v>1</v>
      </c>
      <c r="D43" s="12">
        <v>6</v>
      </c>
      <c r="E43" s="13">
        <v>11089</v>
      </c>
      <c r="F43" s="14">
        <v>30707756434</v>
      </c>
      <c r="G43" s="15" t="str">
        <f>IFERROR(IF('Feb-23'!$F43="","-",VLOOKUP('Feb-23'!$F43,Lista_CUIT!$A$1:$D$1871,2,0)),"CUIT NO CARGADO")</f>
        <v>SERVICIO INTEGRAL DE LIMPIEZA SRL</v>
      </c>
      <c r="H43" s="16">
        <v>20700</v>
      </c>
      <c r="I43" s="23">
        <f>IF('Feb-23'!$H43="","",'Feb-23'!$H43*0.21)</f>
        <v>4347</v>
      </c>
      <c r="J43" s="23"/>
      <c r="K43" s="23"/>
      <c r="L43" s="23"/>
      <c r="M43" s="23"/>
      <c r="N43" s="23"/>
      <c r="O43" s="23"/>
      <c r="P43" s="20">
        <f>SUM('Feb-23'!$H43:$O43)</f>
        <v>25047</v>
      </c>
      <c r="Q43" s="15" t="str">
        <f>IFERROR(IF('Feb-23'!$F43="","-",VLOOKUP('Feb-23'!$F43,Lista_CUIT!$A$1:$D$1871,3,0)),"CUIT NO CARGADO")</f>
        <v>Mantenimiento</v>
      </c>
      <c r="R43" s="21">
        <f>IFERROR(IF('Feb-23'!$F43="","-",VLOOKUP('Feb-23'!$F43,Lista_CUIT!$A$1:$D$1871,4,0)),"CUIT NO CARGADO")</f>
        <v>0</v>
      </c>
    </row>
    <row r="44" spans="2:18" ht="18.75" customHeight="1" x14ac:dyDescent="0.25">
      <c r="B44" s="240">
        <v>44959</v>
      </c>
      <c r="C44" s="11">
        <v>1</v>
      </c>
      <c r="D44" s="12">
        <v>6992</v>
      </c>
      <c r="E44" s="13">
        <v>12676</v>
      </c>
      <c r="F44" s="14">
        <v>30678774495</v>
      </c>
      <c r="G44" s="15" t="str">
        <f>IFERROR(IF('Feb-23'!$F44="","-",VLOOKUP('Feb-23'!$F44,Lista_CUIT!$A$1:$D$1871,2,0)),"CUIT NO CARGADO")</f>
        <v>OPER. DE EST. DE SERV. SA</v>
      </c>
      <c r="H44" s="16">
        <v>5934.89</v>
      </c>
      <c r="I44" s="23">
        <f>IF('Feb-23'!$H44="","",'Feb-23'!$H44*0.21)</f>
        <v>1246.3269</v>
      </c>
      <c r="J44" s="23"/>
      <c r="K44" s="23"/>
      <c r="L44" s="23"/>
      <c r="M44" s="23"/>
      <c r="N44" s="23"/>
      <c r="O44" s="23">
        <v>1319.68</v>
      </c>
      <c r="P44" s="20">
        <f>SUM('Feb-23'!$H44:$O44)</f>
        <v>8500.8968999999997</v>
      </c>
      <c r="Q44" s="15" t="str">
        <f>IFERROR(IF('Feb-23'!$F44="","-",VLOOKUP('Feb-23'!$F44,Lista_CUIT!$A$1:$D$1871,3,0)),"CUIT NO CARGADO")</f>
        <v>COMBUSTIBLE</v>
      </c>
      <c r="R44" s="21">
        <f>IFERROR(IF('Feb-23'!$F44="","-",VLOOKUP('Feb-23'!$F44,Lista_CUIT!$A$1:$D$1871,4,0)),"CUIT NO CARGADO")</f>
        <v>0</v>
      </c>
    </row>
    <row r="45" spans="2:18" ht="18.75" customHeight="1" x14ac:dyDescent="0.25">
      <c r="B45" s="239">
        <v>44958</v>
      </c>
      <c r="C45" s="222">
        <v>1</v>
      </c>
      <c r="D45" s="223">
        <v>5</v>
      </c>
      <c r="E45" s="224">
        <v>13455</v>
      </c>
      <c r="F45" s="225">
        <v>20233336735</v>
      </c>
      <c r="G45" s="226" t="str">
        <f>IFERROR(IF('Feb-23'!$F45="","-",VLOOKUP('Feb-23'!$F45,Lista_CUIT!$A$1:$D$1871,2,0)),"CUIT NO CARGADO")</f>
        <v>CURA BERNARDO</v>
      </c>
      <c r="H45" s="227">
        <v>14983.45</v>
      </c>
      <c r="I45" s="228">
        <f>IF('Feb-23'!$H45="","",'Feb-23'!$H45*0.21)</f>
        <v>3146.5245</v>
      </c>
      <c r="J45" s="228"/>
      <c r="K45" s="228"/>
      <c r="L45" s="228"/>
      <c r="M45" s="228"/>
      <c r="N45" s="228"/>
      <c r="O45" s="228"/>
      <c r="P45" s="229">
        <f>SUM('Feb-23'!$H45:$O45)</f>
        <v>18129.9745</v>
      </c>
      <c r="Q45" s="226" t="str">
        <f>IFERROR(IF('Feb-23'!$F45="","-",VLOOKUP('Feb-23'!$F45,Lista_CUIT!$A$1:$D$1871,3,0)),"CUIT NO CARGADO")</f>
        <v>Gastos Varios</v>
      </c>
      <c r="R45" s="230">
        <f>IFERROR(IF('Feb-23'!$F45="","-",VLOOKUP('Feb-23'!$F45,Lista_CUIT!$A$1:$D$1871,4,0)),"CUIT NO CARGADO")</f>
        <v>0</v>
      </c>
    </row>
    <row r="46" spans="2:18" ht="18.75" customHeight="1" x14ac:dyDescent="0.25">
      <c r="B46" s="240">
        <v>44967</v>
      </c>
      <c r="C46" s="11">
        <v>1</v>
      </c>
      <c r="D46" s="12">
        <v>6</v>
      </c>
      <c r="E46" s="13">
        <v>14554</v>
      </c>
      <c r="F46" s="14">
        <v>30715819461</v>
      </c>
      <c r="G46" s="15" t="str">
        <f>IFERROR(IF('Feb-23'!$F46="","-",VLOOKUP('Feb-23'!$F46,Lista_CUIT!$A$1:$D$1871,2,0)),"CUIT NO CARGADO")</f>
        <v>DISTRI AIRES SRL</v>
      </c>
      <c r="H46" s="16">
        <v>4821.07</v>
      </c>
      <c r="I46" s="23">
        <f>IF('Feb-23'!$H46="","",'Feb-23'!$H46*0.21)</f>
        <v>1012.4246999999999</v>
      </c>
      <c r="J46" s="23"/>
      <c r="K46" s="23"/>
      <c r="L46" s="23"/>
      <c r="M46" s="23"/>
      <c r="N46" s="23"/>
      <c r="O46" s="23"/>
      <c r="P46" s="20">
        <f>SUM('Feb-23'!$H46:$O46)</f>
        <v>5833.4946999999993</v>
      </c>
      <c r="Q46" s="15" t="str">
        <f>IFERROR(IF('Feb-23'!$F46="","-",VLOOKUP('Feb-23'!$F46,Lista_CUIT!$A$1:$D$1871,3,0)),"CUIT NO CARGADO")</f>
        <v xml:space="preserve">Papeleria e Impresos </v>
      </c>
      <c r="R46" s="21">
        <f>IFERROR(IF('Feb-23'!$F46="","-",VLOOKUP('Feb-23'!$F46,Lista_CUIT!$A$1:$D$1871,4,0)),"CUIT NO CARGADO")</f>
        <v>0</v>
      </c>
    </row>
    <row r="47" spans="2:18" ht="18.75" customHeight="1" x14ac:dyDescent="0.25">
      <c r="B47" s="240">
        <v>44981</v>
      </c>
      <c r="C47" s="11">
        <v>1</v>
      </c>
      <c r="D47" s="12">
        <v>5</v>
      </c>
      <c r="E47" s="13">
        <v>19822</v>
      </c>
      <c r="F47" s="14">
        <v>30707555404</v>
      </c>
      <c r="G47" s="15" t="str">
        <f>IFERROR(IF('Feb-23'!$F47="","-",VLOOKUP('Feb-23'!$F47,Lista_CUIT!$A$1:$D$1871,2,0)),"CUIT NO CARGADO")</f>
        <v>MAQUINAS E INSUMOS S.R.L.</v>
      </c>
      <c r="H47" s="16">
        <v>7214.88</v>
      </c>
      <c r="I47" s="23">
        <f>IF('Feb-23'!$H47="","",'Feb-23'!$H47*0.21)</f>
        <v>1515.1248000000001</v>
      </c>
      <c r="J47" s="23"/>
      <c r="K47" s="23"/>
      <c r="L47" s="23"/>
      <c r="M47" s="23"/>
      <c r="N47" s="23"/>
      <c r="O47" s="23"/>
      <c r="P47" s="20">
        <f>SUM('Feb-23'!$H47:$O47)</f>
        <v>8730.0048000000006</v>
      </c>
      <c r="Q47" s="15" t="str">
        <f>IFERROR(IF('Feb-23'!$F47="","-",VLOOKUP('Feb-23'!$F47,Lista_CUIT!$A$1:$D$1871,3,0)),"CUIT NO CARGADO")</f>
        <v>INSUMO</v>
      </c>
      <c r="R47" s="21">
        <f>IFERROR(IF('Feb-23'!$F47="","-",VLOOKUP('Feb-23'!$F47,Lista_CUIT!$A$1:$D$1871,4,0)),"CUIT NO CARGADO")</f>
        <v>0</v>
      </c>
    </row>
    <row r="48" spans="2:18" ht="18.75" customHeight="1" x14ac:dyDescent="0.25">
      <c r="B48" s="240">
        <v>44985</v>
      </c>
      <c r="C48" s="11">
        <v>1</v>
      </c>
      <c r="D48" s="12">
        <v>5</v>
      </c>
      <c r="E48" s="13">
        <v>61028</v>
      </c>
      <c r="F48" s="14">
        <v>30692857611</v>
      </c>
      <c r="G48" s="15" t="str">
        <f>IFERROR(IF('Feb-23'!$F48="","-",VLOOKUP('Feb-23'!$F48,Lista_CUIT!$A$1:$D$1871,2,0)),"CUIT NO CARGADO")</f>
        <v>BAGUI S.A.</v>
      </c>
      <c r="H48" s="16">
        <v>638170.88</v>
      </c>
      <c r="I48" s="23">
        <f>IF('Feb-23'!$H48="","",'Feb-23'!$H48*0.21)</f>
        <v>134015.8848</v>
      </c>
      <c r="J48" s="23"/>
      <c r="K48" s="23"/>
      <c r="L48" s="23"/>
      <c r="M48" s="23"/>
      <c r="N48" s="23"/>
      <c r="O48" s="23"/>
      <c r="P48" s="20">
        <f>SUM('Feb-23'!$H48:$O48)</f>
        <v>772186.7648</v>
      </c>
      <c r="Q48" s="15" t="str">
        <f>IFERROR(IF('Feb-23'!$F48="","-",VLOOKUP('Feb-23'!$F48,Lista_CUIT!$A$1:$D$1871,3,0)),"CUIT NO CARGADO")</f>
        <v>MAT. PRIM.</v>
      </c>
      <c r="R48" s="21">
        <f>IFERROR(IF('Feb-23'!$F48="","-",VLOOKUP('Feb-23'!$F48,Lista_CUIT!$A$1:$D$1871,4,0)),"CUIT NO CARGADO")</f>
        <v>0</v>
      </c>
    </row>
    <row r="49" spans="2:18" ht="15.75" customHeight="1" x14ac:dyDescent="0.25">
      <c r="B49" s="240">
        <v>44958</v>
      </c>
      <c r="C49" s="11">
        <v>1</v>
      </c>
      <c r="D49" s="12">
        <v>3</v>
      </c>
      <c r="E49" s="13">
        <v>180257</v>
      </c>
      <c r="F49" s="14">
        <v>30707135596</v>
      </c>
      <c r="G49" s="15" t="str">
        <f>IFERROR(IF('Feb-23'!$F49="","-",VLOOKUP('Feb-23'!$F49,Lista_CUIT!$A$1:$D$1871,2,0)),"CUIT NO CARGADO")</f>
        <v>CITILAN ARGENTINA SA</v>
      </c>
      <c r="H49" s="16">
        <v>4362.55</v>
      </c>
      <c r="I49" s="23">
        <f>IF('Feb-23'!$H49="","",'Feb-23'!$H49*0.21)</f>
        <v>916.13549999999998</v>
      </c>
      <c r="J49" s="23"/>
      <c r="K49" s="23"/>
      <c r="L49" s="23"/>
      <c r="M49" s="23"/>
      <c r="N49" s="23"/>
      <c r="O49" s="23"/>
      <c r="P49" s="20">
        <f>SUM('Feb-23'!$H49:$O49)</f>
        <v>5278.6855000000005</v>
      </c>
      <c r="Q49" s="15" t="str">
        <f>IFERROR(IF('Feb-23'!$F49="","-",VLOOKUP('Feb-23'!$F49,Lista_CUIT!$A$1:$D$1871,3,0)),"CUIT NO CARGADO")</f>
        <v>SERVICIOS GAS, LUZ, ETC</v>
      </c>
      <c r="R49" s="21">
        <f>IFERROR(IF('Feb-23'!$F49="","-",VLOOKUP('Feb-23'!$F49,Lista_CUIT!$A$1:$D$1871,4,0)),"CUIT NO CARGADO")</f>
        <v>0</v>
      </c>
    </row>
    <row r="50" spans="2:18" ht="15.75" customHeight="1" x14ac:dyDescent="0.25">
      <c r="B50" s="239">
        <v>44968</v>
      </c>
      <c r="C50" s="222">
        <v>1</v>
      </c>
      <c r="D50" s="223">
        <v>2466</v>
      </c>
      <c r="E50" s="224">
        <v>471716</v>
      </c>
      <c r="F50" s="225">
        <v>30678814357</v>
      </c>
      <c r="G50" s="226" t="str">
        <f>IFERROR(IF('Feb-23'!$F50="","-",VLOOKUP('Feb-23'!$F50,Lista_CUIT!$A$1:$D$1871,2,0)),"CUIT NO CARGADO")</f>
        <v>Telefonica Moviles Argentina SA</v>
      </c>
      <c r="H50" s="227">
        <v>10000.790000000001</v>
      </c>
      <c r="I50" s="228"/>
      <c r="J50" s="228">
        <f>'Feb-23'!$H50*0.27</f>
        <v>2700.2133000000003</v>
      </c>
      <c r="K50" s="228"/>
      <c r="L50" s="228">
        <v>300.02</v>
      </c>
      <c r="M50" s="228"/>
      <c r="N50" s="228"/>
      <c r="O50" s="228">
        <v>200.98</v>
      </c>
      <c r="P50" s="229">
        <f>SUM('Feb-23'!$H50:$O50)</f>
        <v>13202.0033</v>
      </c>
      <c r="Q50" s="226" t="str">
        <f>IFERROR(IF('Feb-23'!$F50="","-",VLOOKUP('Feb-23'!$F50,Lista_CUIT!$A$1:$D$1871,3,0)),"CUIT NO CARGADO")</f>
        <v>SERVICIOS GAS, LUZ, ETC</v>
      </c>
      <c r="R50" s="230">
        <f>IFERROR(IF('Feb-23'!$F50="","-",VLOOKUP('Feb-23'!$F50,Lista_CUIT!$A$1:$D$1871,4,0)),"CUIT NO CARGADO")</f>
        <v>0</v>
      </c>
    </row>
    <row r="51" spans="2:18" ht="15.75" customHeight="1" x14ac:dyDescent="0.25">
      <c r="B51" s="239">
        <v>44963</v>
      </c>
      <c r="C51" s="222">
        <v>1</v>
      </c>
      <c r="D51" s="223">
        <v>700</v>
      </c>
      <c r="E51" s="224">
        <v>484775</v>
      </c>
      <c r="F51" s="225">
        <v>30580111315</v>
      </c>
      <c r="G51" s="226" t="str">
        <f>IFERROR(IF('Feb-23'!$F51="","-",VLOOKUP('Feb-23'!$F51,Lista_CUIT!$A$1:$D$1871,2,0)),"CUIT NO CARGADO")</f>
        <v>DHL EXPRESS ARG SA</v>
      </c>
      <c r="H51" s="227">
        <v>0</v>
      </c>
      <c r="I51" s="228">
        <f>IF('Feb-23'!$H51="","",'Feb-23'!$H51*0.21)</f>
        <v>0</v>
      </c>
      <c r="J51" s="228"/>
      <c r="K51" s="228"/>
      <c r="L51" s="228"/>
      <c r="M51" s="228"/>
      <c r="N51" s="228"/>
      <c r="O51" s="228">
        <v>39232.050000000003</v>
      </c>
      <c r="P51" s="229">
        <f>SUM('Feb-23'!$H51:$O51)</f>
        <v>39232.050000000003</v>
      </c>
      <c r="Q51" s="226" t="str">
        <f>IFERROR(IF('Feb-23'!$F51="","-",VLOOKUP('Feb-23'!$F51,Lista_CUIT!$A$1:$D$1871,3,0)),"CUIT NO CARGADO")</f>
        <v>GTOS IMP.</v>
      </c>
      <c r="R51" s="230">
        <f>IFERROR(IF('Feb-23'!$F51="","-",VLOOKUP('Feb-23'!$F51,Lista_CUIT!$A$1:$D$1871,4,0)),"CUIT NO CARGADO")</f>
        <v>0</v>
      </c>
    </row>
    <row r="52" spans="2:18" ht="15.75" customHeight="1" x14ac:dyDescent="0.25">
      <c r="B52" s="239">
        <v>44970</v>
      </c>
      <c r="C52" s="222">
        <v>1</v>
      </c>
      <c r="D52" s="223">
        <v>700</v>
      </c>
      <c r="E52" s="224">
        <v>485982</v>
      </c>
      <c r="F52" s="225">
        <v>30580111315</v>
      </c>
      <c r="G52" s="226" t="str">
        <f>IFERROR(IF('Feb-23'!$F52="","-",VLOOKUP('Feb-23'!$F52,Lista_CUIT!$A$1:$D$1871,2,0)),"CUIT NO CARGADO")</f>
        <v>DHL EXPRESS ARG SA</v>
      </c>
      <c r="H52" s="227">
        <v>2761.5</v>
      </c>
      <c r="I52" s="228">
        <f>IF('Feb-23'!$H52="","",'Feb-23'!$H52*0.21)</f>
        <v>579.91499999999996</v>
      </c>
      <c r="J52" s="228"/>
      <c r="K52" s="228"/>
      <c r="L52" s="228"/>
      <c r="M52" s="228"/>
      <c r="N52" s="228"/>
      <c r="O52" s="228">
        <v>70708.207500000004</v>
      </c>
      <c r="P52" s="229">
        <f>SUM('Feb-23'!$H52:$O52)</f>
        <v>74049.622499999998</v>
      </c>
      <c r="Q52" s="226" t="str">
        <f>IFERROR(IF('Feb-23'!$F52="","-",VLOOKUP('Feb-23'!$F52,Lista_CUIT!$A$1:$D$1871,3,0)),"CUIT NO CARGADO")</f>
        <v>GTOS IMP.</v>
      </c>
      <c r="R52" s="230">
        <f>IFERROR(IF('Feb-23'!$F52="","-",VLOOKUP('Feb-23'!$F52,Lista_CUIT!$A$1:$D$1871,4,0)),"CUIT NO CARGADO")</f>
        <v>0</v>
      </c>
    </row>
    <row r="53" spans="2:18" ht="15.75" customHeight="1" x14ac:dyDescent="0.25">
      <c r="B53" s="239">
        <v>44984</v>
      </c>
      <c r="C53" s="222">
        <v>1</v>
      </c>
      <c r="D53" s="223">
        <v>700</v>
      </c>
      <c r="E53" s="224">
        <v>491159</v>
      </c>
      <c r="F53" s="225">
        <v>30580111315</v>
      </c>
      <c r="G53" s="226" t="str">
        <f>IFERROR(IF('Feb-23'!$F53="","-",VLOOKUP('Feb-23'!$F53,Lista_CUIT!$A$1:$D$1871,2,0)),"CUIT NO CARGADO")</f>
        <v>DHL EXPRESS ARG SA</v>
      </c>
      <c r="H53" s="227">
        <v>2831.5</v>
      </c>
      <c r="I53" s="228">
        <f>IF('Feb-23'!$H53="","",'Feb-23'!$H53*0.21)</f>
        <v>594.61500000000001</v>
      </c>
      <c r="J53" s="228"/>
      <c r="K53" s="228"/>
      <c r="L53" s="228"/>
      <c r="M53" s="228"/>
      <c r="N53" s="228"/>
      <c r="O53" s="228">
        <v>56965.735000000008</v>
      </c>
      <c r="P53" s="229">
        <f>SUM('Feb-23'!$H53:$O53)</f>
        <v>60391.850000000006</v>
      </c>
      <c r="Q53" s="226" t="str">
        <f>IFERROR(IF('Feb-23'!$F53="","-",VLOOKUP('Feb-23'!$F53,Lista_CUIT!$A$1:$D$1871,3,0)),"CUIT NO CARGADO")</f>
        <v>GTOS IMP.</v>
      </c>
      <c r="R53" s="230">
        <f>IFERROR(IF('Feb-23'!$F53="","-",VLOOKUP('Feb-23'!$F53,Lista_CUIT!$A$1:$D$1871,4,0)),"CUIT NO CARGADO")</f>
        <v>0</v>
      </c>
    </row>
    <row r="54" spans="2:18" ht="15.75" customHeight="1" x14ac:dyDescent="0.25">
      <c r="B54" s="240">
        <v>44958</v>
      </c>
      <c r="C54" s="11">
        <v>1</v>
      </c>
      <c r="D54" s="12">
        <v>106</v>
      </c>
      <c r="E54" s="13">
        <v>604727</v>
      </c>
      <c r="F54" s="14">
        <v>30594494187</v>
      </c>
      <c r="G54" s="15" t="str">
        <f>IFERROR(IF('Feb-23'!$F54="","-",VLOOKUP('Feb-23'!$F54,Lista_CUIT!$A$1:$D$1871,2,0)),"CUIT NO CARGADO")</f>
        <v>FEDERAL EXPRESS CORPORATION</v>
      </c>
      <c r="H54" s="16">
        <v>13878</v>
      </c>
      <c r="I54" s="23">
        <f>IF('Feb-23'!$H54="","",'Feb-23'!$H54*0.21)</f>
        <v>2914.38</v>
      </c>
      <c r="J54" s="23"/>
      <c r="K54" s="23"/>
      <c r="L54" s="23"/>
      <c r="M54" s="23"/>
      <c r="N54" s="23"/>
      <c r="O54" s="23">
        <v>30238.52</v>
      </c>
      <c r="P54" s="20">
        <f>SUM('Feb-23'!$H54:$O54)</f>
        <v>47030.9</v>
      </c>
      <c r="Q54" s="15" t="str">
        <f>IFERROR(IF('Feb-23'!$F54="","-",VLOOKUP('Feb-23'!$F54,Lista_CUIT!$A$1:$D$1871,3,0)),"CUIT NO CARGADO")</f>
        <v>GTOS IMP.</v>
      </c>
      <c r="R54" s="21">
        <f>IFERROR(IF('Feb-23'!$F54="","-",VLOOKUP('Feb-23'!$F54,Lista_CUIT!$A$1:$D$1871,4,0)),"CUIT NO CARGADO")</f>
        <v>0</v>
      </c>
    </row>
    <row r="55" spans="2:18" ht="15.75" customHeight="1" x14ac:dyDescent="0.25">
      <c r="B55" s="239">
        <v>44981</v>
      </c>
      <c r="C55" s="222">
        <v>1</v>
      </c>
      <c r="D55" s="223">
        <v>3</v>
      </c>
      <c r="E55" s="224">
        <v>1305125</v>
      </c>
      <c r="F55" s="225">
        <v>30712019359</v>
      </c>
      <c r="G55" s="226" t="str">
        <f>IFERROR(IF('Feb-23'!$F55="","-",VLOOKUP('Feb-23'!$F55,Lista_CUIT!$A$1:$D$1871,2,0)),"CUIT NO CARGADO")</f>
        <v>LINKEDSTORE ARGENTINA S.R.L.</v>
      </c>
      <c r="H55" s="227">
        <v>4461.9799999999996</v>
      </c>
      <c r="I55" s="228">
        <f>IF('Feb-23'!$H55="","",'Feb-23'!$H55*0.21)</f>
        <v>937.0157999999999</v>
      </c>
      <c r="J55" s="228"/>
      <c r="K55" s="228"/>
      <c r="L55" s="228"/>
      <c r="M55" s="228"/>
      <c r="N55" s="228"/>
      <c r="O55" s="228"/>
      <c r="P55" s="229">
        <f>SUM('Feb-23'!$H55:$O55)</f>
        <v>5398.9957999999997</v>
      </c>
      <c r="Q55" s="226" t="str">
        <f>IFERROR(IF('Feb-23'!$F55="","-",VLOOKUP('Feb-23'!$F55,Lista_CUIT!$A$1:$D$1871,3,0)),"CUIT NO CARGADO")</f>
        <v>Gastos Varios</v>
      </c>
      <c r="R55" s="230">
        <f>IFERROR(IF('Feb-23'!$F55="","-",VLOOKUP('Feb-23'!$F55,Lista_CUIT!$A$1:$D$1871,4,0)),"CUIT NO CARGADO")</f>
        <v>0</v>
      </c>
    </row>
    <row r="56" spans="2:18" ht="15.75" customHeight="1" x14ac:dyDescent="0.25">
      <c r="B56" s="241">
        <v>44943</v>
      </c>
      <c r="C56" s="242">
        <v>1</v>
      </c>
      <c r="D56" s="243">
        <v>280</v>
      </c>
      <c r="E56" s="244">
        <v>1410627</v>
      </c>
      <c r="F56" s="245">
        <v>30580111315</v>
      </c>
      <c r="G56" s="246" t="str">
        <f>IFERROR(IF('Feb-23'!$F56="","-",VLOOKUP('Feb-23'!$F56,Lista_CUIT!$A$1:$D$1871,2,0)),"CUIT NO CARGADO")</f>
        <v>DHL EXPRESS ARG SA</v>
      </c>
      <c r="H56" s="247">
        <v>192217.356</v>
      </c>
      <c r="I56" s="248">
        <f>IF('Feb-23'!$H56="","",'Feb-23'!$H56*0.21)</f>
        <v>40365.644759999996</v>
      </c>
      <c r="J56" s="248"/>
      <c r="K56" s="248"/>
      <c r="L56" s="248"/>
      <c r="M56" s="248"/>
      <c r="N56" s="248"/>
      <c r="O56" s="248">
        <v>-156934.326</v>
      </c>
      <c r="P56" s="249">
        <f>SUM('Feb-23'!$H56:$O56)</f>
        <v>75648.674759999994</v>
      </c>
      <c r="Q56" s="246" t="str">
        <f>IFERROR(IF('Feb-23'!$F56="","-",VLOOKUP('Feb-23'!$F56,Lista_CUIT!$A$1:$D$1871,3,0)),"CUIT NO CARGADO")</f>
        <v>GTOS IMP.</v>
      </c>
      <c r="R56" s="250">
        <f>IFERROR(IF('Feb-23'!$F56="","-",VLOOKUP('Feb-23'!$F56,Lista_CUIT!$A$1:$D$1871,4,0)),"CUIT NO CARGADO")</f>
        <v>0</v>
      </c>
    </row>
    <row r="57" spans="2:18" ht="15.75" customHeight="1" x14ac:dyDescent="0.25">
      <c r="B57" s="241">
        <v>44949</v>
      </c>
      <c r="C57" s="242">
        <v>1</v>
      </c>
      <c r="D57" s="243">
        <v>280</v>
      </c>
      <c r="E57" s="244">
        <v>1411897</v>
      </c>
      <c r="F57" s="245">
        <v>30580111315</v>
      </c>
      <c r="G57" s="246" t="str">
        <f>IFERROR(IF('Feb-23'!$F57="","-",VLOOKUP('Feb-23'!$F57,Lista_CUIT!$A$1:$D$1871,2,0)),"CUIT NO CARGADO")</f>
        <v>DHL EXPRESS ARG SA</v>
      </c>
      <c r="H57" s="247">
        <v>190437.61050000001</v>
      </c>
      <c r="I57" s="248">
        <f>IF('Feb-23'!$H57="","",'Feb-23'!$H57*0.21)</f>
        <v>39991.898204999998</v>
      </c>
      <c r="J57" s="248"/>
      <c r="K57" s="248"/>
      <c r="L57" s="248"/>
      <c r="M57" s="248"/>
      <c r="N57" s="248"/>
      <c r="O57" s="248">
        <v>-155407.83300000001</v>
      </c>
      <c r="P57" s="249">
        <f>SUM('Feb-23'!$H57:$O57)</f>
        <v>75021.675705000001</v>
      </c>
      <c r="Q57" s="246" t="str">
        <f>IFERROR(IF('Feb-23'!$F57="","-",VLOOKUP('Feb-23'!$F57,Lista_CUIT!$A$1:$D$1871,3,0)),"CUIT NO CARGADO")</f>
        <v>GTOS IMP.</v>
      </c>
      <c r="R57" s="250">
        <f>IFERROR(IF('Feb-23'!$F57="","-",VLOOKUP('Feb-23'!$F57,Lista_CUIT!$A$1:$D$1871,4,0)),"CUIT NO CARGADO")</f>
        <v>0</v>
      </c>
    </row>
    <row r="58" spans="2:18" ht="15.75" customHeight="1" x14ac:dyDescent="0.25">
      <c r="B58" s="241">
        <v>44968</v>
      </c>
      <c r="C58" s="242">
        <v>1</v>
      </c>
      <c r="D58" s="243">
        <v>280</v>
      </c>
      <c r="E58" s="244">
        <v>1414435</v>
      </c>
      <c r="F58" s="245">
        <v>30580111315</v>
      </c>
      <c r="G58" s="246" t="str">
        <f>IFERROR(IF('Feb-23'!$F58="","-",VLOOKUP('Feb-23'!$F58,Lista_CUIT!$A$1:$D$1871,2,0)),"CUIT NO CARGADO")</f>
        <v>DHL EXPRESS ARG SA</v>
      </c>
      <c r="H58" s="247">
        <v>221795.55220000001</v>
      </c>
      <c r="I58" s="248">
        <v>45463.306400000001</v>
      </c>
      <c r="J58" s="248"/>
      <c r="K58" s="248">
        <v>556.28920000000005</v>
      </c>
      <c r="L58" s="248"/>
      <c r="M58" s="248"/>
      <c r="N58" s="248"/>
      <c r="O58" s="248">
        <v>-179090.83059999999</v>
      </c>
      <c r="P58" s="249">
        <f>SUM('Feb-23'!$H58:$O58)</f>
        <v>88724.317200000049</v>
      </c>
      <c r="Q58" s="246" t="str">
        <f>IFERROR(IF('Feb-23'!$F58="","-",VLOOKUP('Feb-23'!$F58,Lista_CUIT!$A$1:$D$1871,3,0)),"CUIT NO CARGADO")</f>
        <v>GTOS IMP.</v>
      </c>
      <c r="R58" s="250">
        <f>IFERROR(IF('Feb-23'!$F58="","-",VLOOKUP('Feb-23'!$F58,Lista_CUIT!$A$1:$D$1871,4,0)),"CUIT NO CARGADO")</f>
        <v>0</v>
      </c>
    </row>
    <row r="59" spans="2:18" ht="15.75" customHeight="1" x14ac:dyDescent="0.25">
      <c r="B59" s="241">
        <v>44981</v>
      </c>
      <c r="C59" s="242">
        <v>1</v>
      </c>
      <c r="D59" s="243">
        <v>280</v>
      </c>
      <c r="E59" s="244">
        <v>1416847</v>
      </c>
      <c r="F59" s="245">
        <v>30580111315</v>
      </c>
      <c r="G59" s="246" t="str">
        <f>IFERROR(IF('Feb-23'!$F59="","-",VLOOKUP('Feb-23'!$F59,Lista_CUIT!$A$1:$D$1871,2,0)),"CUIT NO CARGADO")</f>
        <v>DHL EXPRESS ARG SA</v>
      </c>
      <c r="H59" s="247">
        <v>207610.6238</v>
      </c>
      <c r="I59" s="248">
        <f>IF('Feb-23'!$H59="","",'Feb-23'!$H59*0.21)</f>
        <v>43598.230997999999</v>
      </c>
      <c r="J59" s="248"/>
      <c r="K59" s="248"/>
      <c r="L59" s="248"/>
      <c r="M59" s="248"/>
      <c r="N59" s="248"/>
      <c r="O59" s="248">
        <v>-169538.84</v>
      </c>
      <c r="P59" s="249">
        <f>SUM('Feb-23'!$H59:$O59)</f>
        <v>81670.014798000018</v>
      </c>
      <c r="Q59" s="246" t="str">
        <f>IFERROR(IF('Feb-23'!$F59="","-",VLOOKUP('Feb-23'!$F59,Lista_CUIT!$A$1:$D$1871,3,0)),"CUIT NO CARGADO")</f>
        <v>GTOS IMP.</v>
      </c>
      <c r="R59" s="250">
        <f>IFERROR(IF('Feb-23'!$F59="","-",VLOOKUP('Feb-23'!$F59,Lista_CUIT!$A$1:$D$1871,4,0)),"CUIT NO CARGADO")</f>
        <v>0</v>
      </c>
    </row>
    <row r="60" spans="2:18" ht="15.75" customHeight="1" x14ac:dyDescent="0.25">
      <c r="B60" s="21" t="s">
        <v>1546</v>
      </c>
      <c r="C60" s="21"/>
      <c r="D60" s="21"/>
      <c r="E60" s="21"/>
      <c r="F60" s="21"/>
      <c r="G60" s="15"/>
      <c r="H60" s="16">
        <f>SUBTOTAL(109,'Feb-23'!$H$9:$H$59)</f>
        <v>2698649.5424999995</v>
      </c>
      <c r="I60" s="16">
        <f>SUBTOTAL(109,'Feb-23'!$I$9:$I$59)</f>
        <v>558313.10916299978</v>
      </c>
      <c r="J60" s="16">
        <f>SUBTOTAL(109,'Feb-23'!$J$9:$J$59)</f>
        <v>2700.2133000000003</v>
      </c>
      <c r="K60" s="16">
        <f>SUBTOTAL(109,'Feb-23'!$K$9:$K$59)</f>
        <v>3150.9792000000002</v>
      </c>
      <c r="L60" s="16">
        <f>SUBTOTAL(109,'Feb-23'!$L$9:$L$59)</f>
        <v>300.02</v>
      </c>
      <c r="M60" s="16">
        <f>SUBTOTAL(109,'Feb-23'!$M$9:$M$59)</f>
        <v>0</v>
      </c>
      <c r="N60" s="16">
        <f>SUBTOTAL(109,'Feb-23'!$N$9:$N$59)</f>
        <v>0</v>
      </c>
      <c r="O60" s="16">
        <f>SUBTOTAL(109,'Feb-23'!$O$9:$O$59)</f>
        <v>-460847.25709999993</v>
      </c>
      <c r="P60" s="16">
        <f>SUBTOTAL(109,'Feb-23'!$P$9:$P$59)</f>
        <v>2802266.6070630001</v>
      </c>
      <c r="Q60" s="15"/>
      <c r="R60" s="21"/>
    </row>
    <row r="61" spans="2:18" ht="15.75" customHeight="1" x14ac:dyDescent="0.25">
      <c r="B61" s="10"/>
      <c r="C61" s="11"/>
      <c r="D61" s="12"/>
      <c r="E61" s="13"/>
      <c r="F61" s="14"/>
      <c r="G61" s="15"/>
      <c r="H61" s="16"/>
      <c r="I61" s="17"/>
      <c r="J61" s="17"/>
      <c r="K61" s="17"/>
      <c r="L61" s="17"/>
      <c r="M61" s="17"/>
      <c r="N61" s="17"/>
      <c r="O61" s="17"/>
      <c r="P61" s="20"/>
      <c r="Q61" s="15"/>
      <c r="R61" s="21"/>
    </row>
    <row r="62" spans="2:18" ht="14.25" customHeight="1" x14ac:dyDescent="0.25">
      <c r="B62" s="10"/>
      <c r="C62" s="11"/>
      <c r="D62" s="12"/>
      <c r="E62" s="13"/>
      <c r="F62" s="14"/>
      <c r="G62" s="15"/>
      <c r="H62" s="16"/>
      <c r="I62" s="17"/>
      <c r="J62" s="17"/>
      <c r="K62" s="17"/>
      <c r="L62" s="17"/>
      <c r="M62" s="17"/>
      <c r="N62" s="17"/>
      <c r="O62" s="17"/>
      <c r="P62" s="20"/>
      <c r="Q62" s="15"/>
      <c r="R62" s="21"/>
    </row>
    <row r="63" spans="2:18" ht="22.5" customHeight="1" x14ac:dyDescent="0.25">
      <c r="B63" s="10"/>
      <c r="C63" s="11"/>
      <c r="D63" s="12"/>
      <c r="E63" s="13"/>
      <c r="F63" s="14"/>
      <c r="G63" s="15"/>
      <c r="H63" s="16"/>
      <c r="I63" s="17"/>
      <c r="J63" s="17"/>
      <c r="K63" s="17"/>
      <c r="L63" s="17"/>
      <c r="M63" s="17"/>
      <c r="N63" s="17"/>
      <c r="O63" s="17"/>
      <c r="P63" s="20"/>
      <c r="Q63" s="15"/>
      <c r="R63" s="21"/>
    </row>
    <row r="64" spans="2:18" ht="25.5" customHeight="1" x14ac:dyDescent="0.25">
      <c r="B64" s="10"/>
      <c r="C64" s="11"/>
      <c r="D64" s="12"/>
      <c r="E64" s="13"/>
      <c r="F64" s="14"/>
      <c r="G64" s="15" t="s">
        <v>1711</v>
      </c>
      <c r="H64" s="16"/>
      <c r="I64" s="17"/>
      <c r="J64" s="17"/>
      <c r="K64" s="17"/>
      <c r="L64" s="17"/>
    </row>
    <row r="65" spans="4:12" ht="14.25" customHeight="1" x14ac:dyDescent="0.25">
      <c r="D65" s="359" t="s">
        <v>1547</v>
      </c>
      <c r="E65" s="351"/>
      <c r="F65" s="351"/>
      <c r="G65" s="351"/>
      <c r="H65" s="351"/>
      <c r="I65" s="351"/>
      <c r="J65" s="351"/>
      <c r="K65" s="351"/>
      <c r="L65" s="352"/>
    </row>
    <row r="66" spans="4:12" ht="14.25" customHeight="1" x14ac:dyDescent="0.25">
      <c r="D66" s="36" t="s">
        <v>1532</v>
      </c>
      <c r="E66" s="37" t="s">
        <v>1548</v>
      </c>
      <c r="F66" s="37" t="s">
        <v>1549</v>
      </c>
      <c r="G66" s="37" t="s">
        <v>1550</v>
      </c>
      <c r="H66" s="37" t="s">
        <v>1551</v>
      </c>
      <c r="I66" s="37" t="s">
        <v>1539</v>
      </c>
      <c r="J66" s="38" t="s">
        <v>1552</v>
      </c>
      <c r="K66" s="38" t="s">
        <v>1553</v>
      </c>
      <c r="L66" s="39" t="s">
        <v>1554</v>
      </c>
    </row>
    <row r="67" spans="4:12" ht="15" customHeight="1" x14ac:dyDescent="0.25">
      <c r="D67" s="10">
        <v>44985</v>
      </c>
      <c r="E67" s="43">
        <v>230231</v>
      </c>
      <c r="F67" s="43" t="s">
        <v>1712</v>
      </c>
      <c r="G67" s="42">
        <v>170</v>
      </c>
      <c r="H67" s="42">
        <v>35.700000000000003</v>
      </c>
      <c r="I67" s="42"/>
      <c r="J67" s="42"/>
      <c r="K67" s="42"/>
      <c r="L67" s="42">
        <v>1.78</v>
      </c>
    </row>
    <row r="68" spans="4:12" ht="15" customHeight="1" x14ac:dyDescent="0.25">
      <c r="D68" s="10">
        <v>44985</v>
      </c>
      <c r="E68" s="98" t="s">
        <v>1713</v>
      </c>
      <c r="F68" s="43" t="s">
        <v>1714</v>
      </c>
      <c r="G68" s="42">
        <v>14760.75</v>
      </c>
      <c r="H68" s="42">
        <f>'Feb-23'!$G68*0.21</f>
        <v>3099.7574999999997</v>
      </c>
      <c r="I68" s="42"/>
      <c r="J68" s="42"/>
      <c r="K68" s="42">
        <v>442.82</v>
      </c>
      <c r="L68" s="42"/>
    </row>
    <row r="69" spans="4:12" ht="15" customHeight="1" x14ac:dyDescent="0.25">
      <c r="D69" s="10">
        <v>44960</v>
      </c>
      <c r="E69" s="99" t="s">
        <v>1715</v>
      </c>
      <c r="F69" s="43" t="s">
        <v>1716</v>
      </c>
      <c r="G69" s="42">
        <v>4700.5</v>
      </c>
      <c r="H69" s="42">
        <f>'Feb-23'!$G69*0.21</f>
        <v>987.10500000000002</v>
      </c>
      <c r="I69" s="42"/>
      <c r="J69" s="42"/>
      <c r="K69" s="42">
        <v>141.02000000000001</v>
      </c>
      <c r="L69" s="42"/>
    </row>
    <row r="70" spans="4:12" ht="15" customHeight="1" x14ac:dyDescent="0.25">
      <c r="D70" s="10">
        <v>44960</v>
      </c>
      <c r="E70" s="99" t="s">
        <v>1717</v>
      </c>
      <c r="F70" s="43" t="s">
        <v>1716</v>
      </c>
      <c r="G70" s="42">
        <v>4700.5</v>
      </c>
      <c r="H70" s="42">
        <f>'Feb-23'!$G70*0.21</f>
        <v>987.10500000000002</v>
      </c>
      <c r="I70" s="42"/>
      <c r="J70" s="42"/>
      <c r="K70" s="42">
        <v>141.02000000000001</v>
      </c>
      <c r="L70" s="42"/>
    </row>
    <row r="71" spans="4:12" ht="15" customHeight="1" x14ac:dyDescent="0.25">
      <c r="D71" s="10">
        <v>44960</v>
      </c>
      <c r="E71" s="99" t="s">
        <v>1718</v>
      </c>
      <c r="F71" s="43" t="s">
        <v>1716</v>
      </c>
      <c r="G71" s="42">
        <v>4700.5</v>
      </c>
      <c r="H71" s="42">
        <f>'Feb-23'!$G71*0.21</f>
        <v>987.10500000000002</v>
      </c>
      <c r="I71" s="42"/>
      <c r="J71" s="42"/>
      <c r="K71" s="42">
        <v>141.02000000000001</v>
      </c>
      <c r="L71" s="42"/>
    </row>
    <row r="72" spans="4:12" ht="15" customHeight="1" x14ac:dyDescent="0.25">
      <c r="D72" s="10">
        <v>44958</v>
      </c>
      <c r="E72" s="99" t="s">
        <v>1719</v>
      </c>
      <c r="F72" s="43" t="s">
        <v>1720</v>
      </c>
      <c r="G72" s="42">
        <v>21505</v>
      </c>
      <c r="H72" s="42">
        <f>'Feb-23'!$G72*0.21</f>
        <v>4516.05</v>
      </c>
      <c r="I72" s="42"/>
      <c r="J72" s="42"/>
      <c r="K72" s="42">
        <v>645.15</v>
      </c>
      <c r="L72" s="42"/>
    </row>
    <row r="73" spans="4:12" ht="15" customHeight="1" x14ac:dyDescent="0.25">
      <c r="D73" s="10">
        <v>44985</v>
      </c>
      <c r="E73" s="43">
        <v>233102</v>
      </c>
      <c r="F73" s="43" t="s">
        <v>1721</v>
      </c>
      <c r="G73" s="42">
        <v>4810.0200000000004</v>
      </c>
      <c r="H73" s="42">
        <v>1010.1</v>
      </c>
      <c r="I73" s="42"/>
      <c r="J73" s="42"/>
      <c r="K73" s="42">
        <v>96</v>
      </c>
      <c r="L73" s="42"/>
    </row>
    <row r="74" spans="4:12" ht="15" customHeight="1" x14ac:dyDescent="0.25">
      <c r="D74" s="21" t="s">
        <v>1546</v>
      </c>
      <c r="E74" s="43"/>
      <c r="F74" s="43"/>
      <c r="G74" s="42">
        <f>SUBTOTAL(109,'Feb-23'!$G$67:$G$73)</f>
        <v>55347.270000000004</v>
      </c>
      <c r="H74" s="42">
        <f>SUBTOTAL(109,'Feb-23'!$H$67:$H$73)</f>
        <v>11622.922499999999</v>
      </c>
      <c r="I74" s="42">
        <f>SUBTOTAL(109,'Feb-23'!$I$67:$I$73)</f>
        <v>0</v>
      </c>
      <c r="J74" s="42">
        <f>SUBTOTAL(109,'Feb-23'!$J$67:$J$73)</f>
        <v>0</v>
      </c>
      <c r="K74" s="42">
        <f>SUBTOTAL(109,'Feb-23'!$K$67:$K$73)</f>
        <v>1607.03</v>
      </c>
      <c r="L74" s="42">
        <f>SUBTOTAL(109,'Feb-23'!$L$67:$L$73)</f>
        <v>1.78</v>
      </c>
    </row>
    <row r="76" spans="4:12" ht="23.25" customHeight="1" x14ac:dyDescent="0.25">
      <c r="H76" s="251" t="s">
        <v>1722</v>
      </c>
      <c r="I76" s="252">
        <f>SUM('Feb-23'!$H$74:$I$74)</f>
        <v>11622.922499999999</v>
      </c>
    </row>
    <row r="77" spans="4:12" ht="38.25" customHeight="1" x14ac:dyDescent="0.25"/>
    <row r="78" spans="4:12" ht="15.75" customHeight="1" x14ac:dyDescent="0.25">
      <c r="D78" s="359" t="s">
        <v>1560</v>
      </c>
      <c r="E78" s="351"/>
      <c r="F78" s="351"/>
      <c r="G78" s="351"/>
      <c r="H78" s="351"/>
      <c r="I78" s="351"/>
      <c r="J78" s="351"/>
      <c r="K78" s="352"/>
    </row>
    <row r="79" spans="4:12" ht="15.75" customHeight="1" x14ac:dyDescent="0.25">
      <c r="D79" s="44" t="s">
        <v>1532</v>
      </c>
      <c r="E79" s="44" t="s">
        <v>1534</v>
      </c>
      <c r="F79" s="44" t="s">
        <v>1561</v>
      </c>
      <c r="G79" s="44" t="s">
        <v>0</v>
      </c>
      <c r="H79" s="44" t="s">
        <v>1</v>
      </c>
      <c r="I79" s="45" t="s">
        <v>1544</v>
      </c>
      <c r="J79" s="44" t="s">
        <v>1562</v>
      </c>
      <c r="K79" s="44" t="s">
        <v>1545</v>
      </c>
    </row>
    <row r="80" spans="4:12" ht="15.75" customHeight="1" x14ac:dyDescent="0.25">
      <c r="D80" s="240">
        <v>44958</v>
      </c>
      <c r="E80" s="55">
        <v>3</v>
      </c>
      <c r="F80" s="55">
        <v>685</v>
      </c>
      <c r="G80" s="56">
        <v>20086277523</v>
      </c>
      <c r="H80" s="46" t="str">
        <f>IFERROR(IF('Feb-23'!$G80="","-",VLOOKUP('Feb-23'!$G80,Lista_CUIT!$A$1:$D$1871,2,0)),"CUIT NO CARGADO")</f>
        <v>JUAN CARLOS BOTINDARI</v>
      </c>
      <c r="I80" s="49">
        <v>51900</v>
      </c>
      <c r="J80" s="47" t="str">
        <f>IFERROR(IF('Feb-23'!$G80="","-",VLOOKUP('Feb-23'!$G80,Lista_CUIT!$A$1:$D$1871,3,0)),"CUIT NO CARGADO")</f>
        <v>HONORARIOS</v>
      </c>
      <c r="K80" s="47">
        <f>IFERROR(IF('Feb-23'!$G80="","-",VLOOKUP('Feb-23'!$G80,Lista_CUIT!$A$1:$D$1871,4,0)),"CUIT NO CARGADO")</f>
        <v>0</v>
      </c>
    </row>
    <row r="81" spans="1:26" ht="15.75" customHeight="1" x14ac:dyDescent="0.25">
      <c r="D81" s="239">
        <v>44959</v>
      </c>
      <c r="E81" s="232">
        <v>2</v>
      </c>
      <c r="F81" s="232">
        <v>19</v>
      </c>
      <c r="G81" s="233">
        <v>23326777269</v>
      </c>
      <c r="H81" s="234" t="str">
        <f>IFERROR(IF('Feb-23'!$G81="","-",VLOOKUP('Feb-23'!$G81,Lista_CUIT!$A$1:$D$1871,2,0)),"CUIT NO CARGADO")</f>
        <v>DE BONIS IGNACIO LUIS</v>
      </c>
      <c r="I81" s="235">
        <v>119105</v>
      </c>
      <c r="J81" s="236" t="str">
        <f>IFERROR(IF('Feb-23'!$G81="","-",VLOOKUP('Feb-23'!$G81,Lista_CUIT!$A$1:$D$1871,3,0)),"CUIT NO CARGADO")</f>
        <v>Control medidores masicos</v>
      </c>
      <c r="K81" s="236">
        <f>IFERROR(IF('Feb-23'!$G81="","-",VLOOKUP('Feb-23'!$G81,Lista_CUIT!$A$1:$D$1871,4,0)),"CUIT NO CARGADO")</f>
        <v>0</v>
      </c>
    </row>
    <row r="82" spans="1:26" ht="15.75" customHeight="1" x14ac:dyDescent="0.25">
      <c r="D82" s="239">
        <v>44960</v>
      </c>
      <c r="E82" s="232">
        <v>2</v>
      </c>
      <c r="F82" s="232">
        <v>80</v>
      </c>
      <c r="G82" s="233">
        <v>20244271740</v>
      </c>
      <c r="H82" s="234" t="str">
        <f>IFERROR(IF('Feb-23'!$G82="","-",VLOOKUP('Feb-23'!$G82,Lista_CUIT!$A$1:$D$1871,2,0)),"CUIT NO CARGADO")</f>
        <v xml:space="preserve">KENNEL SEBASTIAN </v>
      </c>
      <c r="I82" s="235">
        <v>259000</v>
      </c>
      <c r="J82" s="236" t="str">
        <f>IFERROR(IF('Feb-23'!$G82="","-",VLOOKUP('Feb-23'!$G82,Lista_CUIT!$A$1:$D$1871,3,0)),"CUIT NO CARGADO")</f>
        <v>SOFTWARE MANTENIMIENTO</v>
      </c>
      <c r="K82" s="236">
        <f>IFERROR(IF('Feb-23'!$G82="","-",VLOOKUP('Feb-23'!$G82,Lista_CUIT!$A$1:$D$1871,4,0)),"CUIT NO CARGADO")</f>
        <v>0</v>
      </c>
    </row>
    <row r="83" spans="1:26" ht="15.75" customHeight="1" x14ac:dyDescent="0.25">
      <c r="D83" s="239">
        <v>44963</v>
      </c>
      <c r="E83" s="232">
        <v>1</v>
      </c>
      <c r="F83" s="232">
        <v>15</v>
      </c>
      <c r="G83" s="233">
        <v>20417805878</v>
      </c>
      <c r="H83" s="234" t="str">
        <f>IFERROR(IF('Feb-23'!$G83="","-",VLOOKUP('Feb-23'!$G83,Lista_CUIT!$A$1:$D$1871,2,0)),"CUIT NO CARGADO")</f>
        <v>FERABOLI OSPAL SANTIAGO HERNAN</v>
      </c>
      <c r="I83" s="235">
        <v>127475</v>
      </c>
      <c r="J83" s="236" t="str">
        <f>IFERROR(IF('Feb-23'!$G83="","-",VLOOKUP('Feb-23'!$G83,Lista_CUIT!$A$1:$D$1871,3,0)),"CUIT NO CARGADO")</f>
        <v>Control medidores masicos</v>
      </c>
      <c r="K83" s="236">
        <f>IFERROR(IF('Feb-23'!$G83="","-",VLOOKUP('Feb-23'!$G83,Lista_CUIT!$A$1:$D$1871,4,0)),"CUIT NO CARGADO")</f>
        <v>0</v>
      </c>
    </row>
    <row r="84" spans="1:26" ht="15.75" customHeight="1" x14ac:dyDescent="0.25">
      <c r="D84" s="240">
        <v>44964</v>
      </c>
      <c r="E84" s="55">
        <v>3</v>
      </c>
      <c r="F84" s="55">
        <v>46</v>
      </c>
      <c r="G84" s="56">
        <v>20403931420</v>
      </c>
      <c r="H84" s="46" t="str">
        <f>IFERROR(IF('Feb-23'!$G84="","-",VLOOKUP('Feb-23'!$G84,Lista_CUIT!$A$1:$D$1871,2,0)),"CUIT NO CARGADO")</f>
        <v>FIORENTINO JORGE IGNACIO</v>
      </c>
      <c r="I84" s="49">
        <v>116940</v>
      </c>
      <c r="J84" s="47" t="str">
        <f>IFERROR(IF('Feb-23'!$G84="","-",VLOOKUP('Feb-23'!$G84,Lista_CUIT!$A$1:$D$1871,3,0)),"CUIT NO CARGADO")</f>
        <v>Honorarios Administrativos-Cobranzas y Gestion Clientes</v>
      </c>
      <c r="K84" s="47">
        <f>IFERROR(IF('Feb-23'!$G84="","-",VLOOKUP('Feb-23'!$G84,Lista_CUIT!$A$1:$D$1871,4,0)),"CUIT NO CARGADO")</f>
        <v>0</v>
      </c>
    </row>
    <row r="85" spans="1:26" ht="15.75" customHeight="1" x14ac:dyDescent="0.25">
      <c r="D85" s="239">
        <v>44971</v>
      </c>
      <c r="E85" s="232">
        <v>3</v>
      </c>
      <c r="F85" s="232">
        <v>688</v>
      </c>
      <c r="G85" s="233">
        <v>20086277523</v>
      </c>
      <c r="H85" s="234" t="str">
        <f>IFERROR(IF('Feb-23'!$G85="","-",VLOOKUP('Feb-23'!$G85,Lista_CUIT!$A$1:$D$1871,2,0)),"CUIT NO CARGADO")</f>
        <v>JUAN CARLOS BOTINDARI</v>
      </c>
      <c r="I85" s="235">
        <v>10900</v>
      </c>
      <c r="J85" s="236" t="str">
        <f>IFERROR(IF('Feb-23'!$G85="","-",VLOOKUP('Feb-23'!$G85,Lista_CUIT!$A$1:$D$1871,3,0)),"CUIT NO CARGADO")</f>
        <v>HONORARIOS</v>
      </c>
      <c r="K85" s="236">
        <f>IFERROR(IF('Feb-23'!$G85="","-",VLOOKUP('Feb-23'!$G85,Lista_CUIT!$A$1:$D$1871,4,0)),"CUIT NO CARGADO")</f>
        <v>0</v>
      </c>
    </row>
    <row r="86" spans="1:26" ht="15.75" customHeight="1" x14ac:dyDescent="0.25">
      <c r="D86" s="240">
        <v>44973</v>
      </c>
      <c r="E86" s="55">
        <v>7</v>
      </c>
      <c r="F86" s="55">
        <v>299457</v>
      </c>
      <c r="G86" s="56">
        <v>20259150249</v>
      </c>
      <c r="H86" s="46" t="str">
        <f>IFERROR(IF('Feb-23'!$G86="","-",VLOOKUP('Feb-23'!$G86,Lista_CUIT!$A$1:$D$1871,2,0)),"CUIT NO CARGADO")</f>
        <v>BIANCHI CRISTIAN MAXIMILIANO</v>
      </c>
      <c r="I86" s="49">
        <v>19109.09</v>
      </c>
      <c r="J86" s="47" t="str">
        <f>IFERROR(IF('Feb-23'!$G86="","-",VLOOKUP('Feb-23'!$G86,Lista_CUIT!$A$1:$D$1871,3,0)),"CUIT NO CARGADO")</f>
        <v>Gastos Varios</v>
      </c>
      <c r="K86" s="47">
        <f>IFERROR(IF('Feb-23'!$G86="","-",VLOOKUP('Feb-23'!$G86,Lista_CUIT!$A$1:$D$1871,4,0)),"CUIT NO CARGADO")</f>
        <v>0</v>
      </c>
      <c r="L86" s="9"/>
    </row>
    <row r="87" spans="1:26" ht="15.75" customHeight="1" x14ac:dyDescent="0.25">
      <c r="D87" s="240">
        <v>44985</v>
      </c>
      <c r="E87" s="55">
        <v>2</v>
      </c>
      <c r="F87" s="55">
        <v>132</v>
      </c>
      <c r="G87" s="56">
        <v>20136544625</v>
      </c>
      <c r="H87" s="46" t="str">
        <f>IFERROR(IF('Feb-23'!$G87="","-",VLOOKUP('Feb-23'!$G87,Lista_CUIT!$A$1:$D$1871,2,0)),"CUIT NO CARGADO")</f>
        <v>RODRIGUEZ DE LA FUEN HECTOR MARCELO</v>
      </c>
      <c r="I87" s="49">
        <v>100000</v>
      </c>
      <c r="J87" s="47" t="str">
        <f>IFERROR(IF('Feb-23'!$G87="","-",VLOOKUP('Feb-23'!$G87,Lista_CUIT!$A$1:$D$1871,3,0)),"CUIT NO CARGADO")</f>
        <v>Honorarios Administrativos-Cobranzas y Gestion Clientes</v>
      </c>
      <c r="K87" s="47">
        <f>IFERROR(IF('Feb-23'!$G87="","-",VLOOKUP('Feb-23'!$G87,Lista_CUIT!$A$1:$D$1871,4,0)),"CUIT NO CARGADO")</f>
        <v>0</v>
      </c>
    </row>
    <row r="88" spans="1:26" ht="15.75" customHeight="1" x14ac:dyDescent="0.25">
      <c r="D88" s="240">
        <v>44985</v>
      </c>
      <c r="E88" s="12">
        <v>1</v>
      </c>
      <c r="F88" s="13">
        <v>21</v>
      </c>
      <c r="G88" s="14">
        <v>20365938688</v>
      </c>
      <c r="H88" s="46" t="str">
        <f>IFERROR(IF('Feb-23'!$G88="","-",VLOOKUP('Feb-23'!$G88,Lista_CUIT!$A$1:$D$1871,2,0)),"CUIT NO CARGADO")</f>
        <v>LIPANOVICH JUAN CRUZ</v>
      </c>
      <c r="I88" s="42">
        <v>450000</v>
      </c>
      <c r="J88" s="47" t="str">
        <f>IFERROR(IF('Feb-23'!$G88="","-",VLOOKUP('Feb-23'!$G88,Lista_CUIT!$A$1:$D$1871,3,0)),"CUIT NO CARGADO")</f>
        <v>Servicios Informatica</v>
      </c>
      <c r="K88" s="47">
        <f>IFERROR(IF('Feb-23'!$G88="","-",VLOOKUP('Feb-23'!$G88,Lista_CUIT!$A$1:$D$1871,4,0)),"CUIT NO CARGADO")</f>
        <v>0</v>
      </c>
    </row>
    <row r="89" spans="1:26" ht="18" customHeight="1" x14ac:dyDescent="0.25">
      <c r="A89" s="50"/>
      <c r="D89" s="240">
        <v>44985</v>
      </c>
      <c r="E89" s="12">
        <v>1</v>
      </c>
      <c r="F89" s="13">
        <v>5</v>
      </c>
      <c r="G89" s="14">
        <v>27387896150</v>
      </c>
      <c r="H89" s="46" t="str">
        <f>IFERROR(IF('Feb-23'!$G89="","-",VLOOKUP('Feb-23'!$G89,Lista_CUIT!$A$1:$D$1871,2,0)),"CUIT NO CARGADO")</f>
        <v>LIPANOVICH MARIA SOL</v>
      </c>
      <c r="I89" s="42">
        <v>400000</v>
      </c>
      <c r="J89" s="47" t="str">
        <f>IFERROR(IF('Feb-23'!$G89="","-",VLOOKUP('Feb-23'!$G89,Lista_CUIT!$A$1:$D$1871,3,0)),"CUIT NO CARGADO")</f>
        <v>Servicios Informatica</v>
      </c>
      <c r="K89" s="47">
        <f>IFERROR(IF('Feb-23'!$G89="","-",VLOOKUP('Feb-23'!$G89,Lista_CUIT!$A$1:$D$1871,4,0)),"CUIT NO CARGADO")</f>
        <v>0</v>
      </c>
      <c r="S89" s="50"/>
      <c r="T89" s="50"/>
      <c r="U89" s="50"/>
      <c r="V89" s="50"/>
      <c r="W89" s="50"/>
      <c r="X89" s="50"/>
      <c r="Y89" s="50"/>
      <c r="Z89" s="50"/>
    </row>
    <row r="90" spans="1:26" ht="15.75" customHeight="1" x14ac:dyDescent="0.25">
      <c r="D90" s="47" t="s">
        <v>1546</v>
      </c>
      <c r="E90" s="47"/>
      <c r="F90" s="47"/>
      <c r="G90" s="47"/>
      <c r="H90" s="48"/>
      <c r="I90" s="49">
        <f>SUBTOTAL(109,'Feb-23'!$I$80:$I$89)</f>
        <v>1654429.0899999999</v>
      </c>
      <c r="J90" s="47"/>
      <c r="K90" s="47"/>
      <c r="R90" s="50"/>
    </row>
    <row r="91" spans="1:26" ht="15.75" customHeight="1" x14ac:dyDescent="0.25">
      <c r="B91" s="50"/>
      <c r="C91" s="50"/>
      <c r="L91" s="50"/>
      <c r="M91" s="50"/>
      <c r="N91" s="50"/>
      <c r="O91" s="50"/>
      <c r="P91" s="50"/>
      <c r="Q91" s="5"/>
      <c r="R91" s="50"/>
    </row>
    <row r="92" spans="1:26" ht="15.75" customHeight="1" x14ac:dyDescent="0.25"/>
    <row r="93" spans="1:26" ht="15.75" customHeight="1" x14ac:dyDescent="0.25"/>
    <row r="94" spans="1:26" ht="15.75" customHeight="1" x14ac:dyDescent="0.25"/>
    <row r="95" spans="1:26" ht="15.75" customHeight="1" x14ac:dyDescent="0.25"/>
    <row r="96" spans="1:26" ht="22.5" customHeight="1" x14ac:dyDescent="0.25">
      <c r="B96" s="366" t="s">
        <v>1563</v>
      </c>
      <c r="C96" s="351"/>
      <c r="D96" s="351"/>
      <c r="E96" s="351"/>
      <c r="F96" s="351"/>
      <c r="G96" s="351"/>
      <c r="H96" s="351"/>
      <c r="I96" s="351"/>
      <c r="J96" s="352"/>
      <c r="K96" s="367">
        <f>N1</f>
        <v>44958</v>
      </c>
      <c r="L96" s="351"/>
      <c r="M96" s="352"/>
    </row>
    <row r="97" spans="2:13" ht="15.75" customHeight="1" x14ac:dyDescent="0.25"/>
    <row r="98" spans="2:13" ht="18" customHeight="1" x14ac:dyDescent="0.25">
      <c r="B98" s="368" t="s">
        <v>1564</v>
      </c>
      <c r="C98" s="369"/>
    </row>
    <row r="99" spans="2:13" ht="15.75" customHeight="1" x14ac:dyDescent="0.25">
      <c r="B99" s="51" t="s">
        <v>1532</v>
      </c>
      <c r="C99" s="52" t="s">
        <v>1533</v>
      </c>
      <c r="D99" s="52" t="s">
        <v>1565</v>
      </c>
      <c r="E99" s="52" t="s">
        <v>1566</v>
      </c>
      <c r="F99" s="52" t="s">
        <v>0</v>
      </c>
      <c r="G99" s="52" t="s">
        <v>1</v>
      </c>
      <c r="H99" s="52" t="s">
        <v>1567</v>
      </c>
      <c r="I99" s="52" t="s">
        <v>1551</v>
      </c>
      <c r="J99" s="52" t="s">
        <v>1539</v>
      </c>
      <c r="K99" s="52" t="s">
        <v>1568</v>
      </c>
      <c r="L99" s="52" t="s">
        <v>1544</v>
      </c>
      <c r="M99" s="53" t="s">
        <v>1545</v>
      </c>
    </row>
    <row r="100" spans="2:13" ht="15.75" customHeight="1" x14ac:dyDescent="0.25">
      <c r="B100" s="10">
        <v>44959</v>
      </c>
      <c r="C100" s="11">
        <v>1</v>
      </c>
      <c r="D100" s="12">
        <v>3</v>
      </c>
      <c r="E100" s="13">
        <v>111</v>
      </c>
      <c r="F100" s="14">
        <v>30628274327</v>
      </c>
      <c r="G100" s="57" t="str">
        <f>IFERROR(IF('Feb-23'!$F100="","-",VLOOKUP('Feb-23'!$F100,Lista_CUIT!$A$1:$D$1871,2,0)),"CUIT NO CARGADO")</f>
        <v>AGIRA SA</v>
      </c>
      <c r="H100" s="58">
        <v>837186.29999999993</v>
      </c>
      <c r="I100" s="59"/>
      <c r="J100" s="60">
        <v>87904.561499999996</v>
      </c>
      <c r="K100" s="60"/>
      <c r="L100" s="60">
        <f>SUM('Feb-23'!$H100:$K100)</f>
        <v>925090.86149999988</v>
      </c>
      <c r="M100" s="61"/>
    </row>
    <row r="101" spans="2:13" ht="15.75" customHeight="1" x14ac:dyDescent="0.25">
      <c r="B101" s="10">
        <v>44965</v>
      </c>
      <c r="C101" s="11">
        <v>1</v>
      </c>
      <c r="D101" s="12">
        <v>3</v>
      </c>
      <c r="E101" s="13">
        <v>112</v>
      </c>
      <c r="F101" s="14">
        <v>30715595105</v>
      </c>
      <c r="G101" s="57" t="str">
        <f>IFERROR(IF('Feb-23'!$F101="","-",VLOOKUP('Feb-23'!$F101,Lista_CUIT!$A$1:$D$1871,2,0)),"CUIT NO CARGADO")</f>
        <v>ASPRO SERVICIOS PETROLEROS S.A.</v>
      </c>
      <c r="H101" s="58">
        <v>663320</v>
      </c>
      <c r="I101" s="59">
        <f>'Feb-23'!$H101*0.21</f>
        <v>139297.19999999998</v>
      </c>
      <c r="J101" s="60"/>
      <c r="K101" s="60"/>
      <c r="L101" s="60">
        <f>SUM('Feb-23'!$H101:$K101)</f>
        <v>802617.2</v>
      </c>
      <c r="M101" s="61"/>
    </row>
    <row r="102" spans="2:13" ht="15.75" customHeight="1" x14ac:dyDescent="0.25">
      <c r="B102" s="10">
        <v>44965</v>
      </c>
      <c r="C102" s="11">
        <v>1</v>
      </c>
      <c r="D102" s="12">
        <v>3</v>
      </c>
      <c r="E102" s="13">
        <v>113</v>
      </c>
      <c r="F102" s="14">
        <v>30638318470</v>
      </c>
      <c r="G102" s="57" t="str">
        <f>IFERROR(IF('Feb-23'!$F102="","-",VLOOKUP('Feb-23'!$F102,Lista_CUIT!$A$1:$D$1871,2,0)),"CUIT NO CARGADO")</f>
        <v>DELTA COMPRESION S.R.L</v>
      </c>
      <c r="H102" s="58">
        <v>239742.80000000002</v>
      </c>
      <c r="I102" s="59"/>
      <c r="J102" s="60">
        <v>25173.941600000002</v>
      </c>
      <c r="K102" s="60"/>
      <c r="L102" s="60">
        <f>SUM('Feb-23'!$H102:$K102)</f>
        <v>264916.74160000001</v>
      </c>
      <c r="M102" s="61"/>
    </row>
    <row r="103" spans="2:13" ht="15.75" customHeight="1" x14ac:dyDescent="0.25">
      <c r="B103" s="10">
        <v>44965</v>
      </c>
      <c r="C103" s="11">
        <v>1</v>
      </c>
      <c r="D103" s="12">
        <v>3</v>
      </c>
      <c r="E103" s="13">
        <v>114</v>
      </c>
      <c r="F103" s="14">
        <v>30638318470</v>
      </c>
      <c r="G103" s="57" t="str">
        <f>IFERROR(IF('Feb-23'!$F103="","-",VLOOKUP('Feb-23'!$F103,Lista_CUIT!$A$1:$D$1871,2,0)),"CUIT NO CARGADO")</f>
        <v>DELTA COMPRESION S.R.L</v>
      </c>
      <c r="H103" s="58">
        <v>7223554.8000000007</v>
      </c>
      <c r="I103" s="59"/>
      <c r="J103" s="60">
        <v>758472.30640000012</v>
      </c>
      <c r="K103" s="60"/>
      <c r="L103" s="60">
        <f>SUM('Feb-23'!$H103:$K103)</f>
        <v>7982027.1064000009</v>
      </c>
      <c r="M103" s="61"/>
    </row>
    <row r="104" spans="2:13" ht="15.75" customHeight="1" x14ac:dyDescent="0.25">
      <c r="B104" s="10">
        <v>44965</v>
      </c>
      <c r="C104" s="11">
        <v>1</v>
      </c>
      <c r="D104" s="12">
        <v>3</v>
      </c>
      <c r="E104" s="13">
        <v>115</v>
      </c>
      <c r="F104" s="14">
        <v>30638318470</v>
      </c>
      <c r="G104" s="57" t="str">
        <f>IFERROR(IF('Feb-23'!$F104="","-",VLOOKUP('Feb-23'!$F104,Lista_CUIT!$A$1:$D$1871,2,0)),"CUIT NO CARGADO")</f>
        <v>DELTA COMPRESION S.R.L</v>
      </c>
      <c r="H104" s="58">
        <v>379040</v>
      </c>
      <c r="I104" s="59">
        <f>'Feb-23'!$H104*0.21</f>
        <v>79598.399999999994</v>
      </c>
      <c r="J104" s="60"/>
      <c r="K104" s="60"/>
      <c r="L104" s="60">
        <f>SUM('Feb-23'!$H104:$K104)</f>
        <v>458638.4</v>
      </c>
      <c r="M104" s="61"/>
    </row>
    <row r="105" spans="2:13" ht="15.75" customHeight="1" x14ac:dyDescent="0.25">
      <c r="B105" s="10">
        <v>44970</v>
      </c>
      <c r="C105" s="11">
        <v>1</v>
      </c>
      <c r="D105" s="12">
        <v>3</v>
      </c>
      <c r="E105" s="13">
        <v>116</v>
      </c>
      <c r="F105" s="14">
        <v>30628274327</v>
      </c>
      <c r="G105" s="57" t="str">
        <f>IFERROR(IF('Feb-23'!$F105="","-",VLOOKUP('Feb-23'!$F105,Lista_CUIT!$A$1:$D$1871,2,0)),"CUIT NO CARGADO")</f>
        <v>AGIRA SA</v>
      </c>
      <c r="H105" s="58">
        <v>1703159.4</v>
      </c>
      <c r="I105" s="59"/>
      <c r="J105" s="60">
        <v>178831.73699999999</v>
      </c>
      <c r="K105" s="60"/>
      <c r="L105" s="60">
        <f>SUM('Feb-23'!$H105:$K105)</f>
        <v>1881991.1369999999</v>
      </c>
      <c r="M105" s="61"/>
    </row>
    <row r="106" spans="2:13" ht="15.75" customHeight="1" x14ac:dyDescent="0.25">
      <c r="B106" s="10"/>
      <c r="C106" s="11"/>
      <c r="D106" s="12"/>
      <c r="E106" s="13"/>
      <c r="F106" s="14"/>
      <c r="G106" s="57" t="str">
        <f>IFERROR(IF('Feb-23'!$F106="","-",VLOOKUP('Feb-23'!$F106,Lista_CUIT!$A$1:$D$1871,2,0)),"CUIT NO CARGADO")</f>
        <v>-</v>
      </c>
      <c r="H106" s="58"/>
      <c r="I106" s="59">
        <f>'Feb-23'!$H106*0.21</f>
        <v>0</v>
      </c>
      <c r="J106" s="60"/>
      <c r="K106" s="60"/>
      <c r="L106" s="60">
        <f>SUM('Feb-23'!$H106:$K106)</f>
        <v>0</v>
      </c>
      <c r="M106" s="62"/>
    </row>
    <row r="107" spans="2:13" ht="15.75" customHeight="1" x14ac:dyDescent="0.25">
      <c r="B107" s="63"/>
      <c r="C107" s="64"/>
      <c r="D107" s="65"/>
      <c r="E107" s="66"/>
      <c r="F107" s="67"/>
      <c r="G107" s="57" t="str">
        <f>IFERROR(IF('Feb-23'!$F107="","-",VLOOKUP('Feb-23'!$F107,Lista_CUIT!$A$1:$D$1871,2,0)),"CUIT NO CARGADO")</f>
        <v>-</v>
      </c>
      <c r="H107" s="68"/>
      <c r="I107" s="69">
        <f>'Feb-23'!$H107*0.21</f>
        <v>0</v>
      </c>
      <c r="J107" s="70"/>
      <c r="K107" s="70"/>
      <c r="L107" s="70">
        <f>SUM('Feb-23'!$H107:$K107)</f>
        <v>0</v>
      </c>
      <c r="M107" s="62"/>
    </row>
    <row r="108" spans="2:13" ht="25.5" customHeight="1" x14ac:dyDescent="0.25">
      <c r="B108" s="71"/>
      <c r="C108" s="72"/>
      <c r="D108" s="73"/>
      <c r="E108" s="74"/>
      <c r="F108" s="75"/>
      <c r="G108" s="57" t="str">
        <f>IFERROR(IF('Feb-23'!$F108="","-",VLOOKUP('Feb-23'!$F108,Lista_CUIT!$A$1:$D$1871,2,0)),"CUIT NO CARGADO")</f>
        <v>-</v>
      </c>
      <c r="H108" s="58"/>
      <c r="I108" s="59">
        <f>'Feb-23'!$H108*0.21</f>
        <v>0</v>
      </c>
      <c r="J108" s="60"/>
      <c r="K108" s="60"/>
      <c r="L108" s="60">
        <f>SUM('Feb-23'!$H108:$K108)</f>
        <v>0</v>
      </c>
      <c r="M108" s="61"/>
    </row>
    <row r="109" spans="2:13" ht="15.75" customHeight="1" x14ac:dyDescent="0.25">
      <c r="B109" s="76" t="s">
        <v>1546</v>
      </c>
      <c r="C109" s="77"/>
      <c r="D109" s="77"/>
      <c r="E109" s="77"/>
      <c r="F109" s="77"/>
      <c r="G109" s="77"/>
      <c r="H109" s="253">
        <f>SUBTOTAL(109,'Feb-23'!$H$100:$H$108)</f>
        <v>11046003.300000001</v>
      </c>
      <c r="I109" s="79">
        <f>SUBTOTAL(109,'Feb-23'!$I$100:$I$108)</f>
        <v>218895.59999999998</v>
      </c>
      <c r="J109" s="70">
        <f>SUBTOTAL(109,'Feb-23'!$J$100:$J$108)</f>
        <v>1050382.5465000002</v>
      </c>
      <c r="K109" s="70">
        <f>SUBTOTAL(109,'Feb-23'!$K$100:$K$108)</f>
        <v>0</v>
      </c>
      <c r="L109" s="70">
        <f>SUBTOTAL(109,'Feb-23'!$L$100:$L$108)</f>
        <v>12315281.446500001</v>
      </c>
      <c r="M109" s="80"/>
    </row>
    <row r="110" spans="2:13" ht="17.25" customHeight="1" x14ac:dyDescent="0.25"/>
    <row r="111" spans="2:13" ht="31.5" customHeight="1" x14ac:dyDescent="0.25"/>
    <row r="112" spans="2:13" ht="15.75" customHeight="1" x14ac:dyDescent="0.25">
      <c r="B112" s="368" t="s">
        <v>1569</v>
      </c>
      <c r="C112" s="369"/>
    </row>
    <row r="113" spans="2:13" ht="15.75" customHeight="1" x14ac:dyDescent="0.25">
      <c r="B113" s="51" t="s">
        <v>1532</v>
      </c>
      <c r="C113" s="52" t="s">
        <v>1533</v>
      </c>
      <c r="D113" s="52" t="s">
        <v>1565</v>
      </c>
      <c r="E113" s="52" t="s">
        <v>1566</v>
      </c>
      <c r="F113" s="52" t="s">
        <v>0</v>
      </c>
      <c r="G113" s="52" t="s">
        <v>1</v>
      </c>
      <c r="H113" s="52" t="s">
        <v>1567</v>
      </c>
      <c r="I113" s="52" t="s">
        <v>1551</v>
      </c>
      <c r="J113" s="52" t="s">
        <v>1539</v>
      </c>
      <c r="K113" s="52" t="s">
        <v>1568</v>
      </c>
      <c r="L113" s="52" t="s">
        <v>1544</v>
      </c>
      <c r="M113" s="53" t="s">
        <v>1545</v>
      </c>
    </row>
    <row r="114" spans="2:13" ht="15.75" customHeight="1" x14ac:dyDescent="0.25">
      <c r="B114" s="10"/>
      <c r="C114" s="11"/>
      <c r="D114" s="12"/>
      <c r="E114" s="13"/>
      <c r="F114" s="14"/>
      <c r="G114" s="81" t="str">
        <f>IFERROR(IF('Feb-23'!$F114="","-",VLOOKUP('Feb-23'!$F114,Lista_CUIT!$A$1:$D$1871,2,0)),"CUIT NO CARGADO")</f>
        <v>-</v>
      </c>
      <c r="H114" s="82"/>
      <c r="I114" s="82"/>
      <c r="J114" s="82"/>
      <c r="K114" s="82"/>
      <c r="L114" s="82">
        <f>SUM('Feb-23'!$H114:$K114)</f>
        <v>0</v>
      </c>
      <c r="M114" s="61"/>
    </row>
    <row r="115" spans="2:13" ht="15.75" customHeight="1" x14ac:dyDescent="0.25">
      <c r="B115" s="10"/>
      <c r="C115" s="11"/>
      <c r="D115" s="12"/>
      <c r="E115" s="13"/>
      <c r="F115" s="14"/>
      <c r="G115" s="81"/>
      <c r="H115" s="82"/>
      <c r="I115" s="82"/>
      <c r="J115" s="82"/>
      <c r="K115" s="82"/>
      <c r="L115" s="82">
        <f>SUM('Feb-23'!$H115:$K115)</f>
        <v>0</v>
      </c>
      <c r="M115" s="61"/>
    </row>
    <row r="116" spans="2:13" ht="15.75" customHeight="1" x14ac:dyDescent="0.25">
      <c r="B116" s="10"/>
      <c r="C116" s="11"/>
      <c r="D116" s="12"/>
      <c r="E116" s="13"/>
      <c r="F116" s="14"/>
      <c r="G116" s="81"/>
      <c r="H116" s="82"/>
      <c r="I116" s="82"/>
      <c r="J116" s="82"/>
      <c r="K116" s="82"/>
      <c r="L116" s="82">
        <f>SUM('Feb-23'!$H116:$K116)</f>
        <v>0</v>
      </c>
      <c r="M116" s="61"/>
    </row>
    <row r="117" spans="2:13" ht="15.75" customHeight="1" x14ac:dyDescent="0.25">
      <c r="B117" s="10"/>
      <c r="C117" s="11"/>
      <c r="D117" s="12"/>
      <c r="E117" s="13"/>
      <c r="F117" s="14"/>
      <c r="G117" s="81"/>
      <c r="H117" s="82"/>
      <c r="I117" s="82"/>
      <c r="J117" s="82"/>
      <c r="K117" s="82"/>
      <c r="L117" s="82">
        <f>SUM('Feb-23'!$H117:$K117)</f>
        <v>0</v>
      </c>
      <c r="M117" s="61"/>
    </row>
    <row r="118" spans="2:13" ht="15.75" customHeight="1" x14ac:dyDescent="0.25">
      <c r="B118" s="10"/>
      <c r="C118" s="11"/>
      <c r="D118" s="12"/>
      <c r="E118" s="13"/>
      <c r="F118" s="14"/>
      <c r="G118" s="81"/>
      <c r="H118" s="82"/>
      <c r="I118" s="82"/>
      <c r="J118" s="82"/>
      <c r="K118" s="82"/>
      <c r="L118" s="82">
        <f>SUM('Feb-23'!$H118:$K118)</f>
        <v>0</v>
      </c>
      <c r="M118" s="61"/>
    </row>
    <row r="119" spans="2:13" ht="15.75" customHeight="1" x14ac:dyDescent="0.25">
      <c r="B119" s="10"/>
      <c r="C119" s="11"/>
      <c r="D119" s="12"/>
      <c r="E119" s="13"/>
      <c r="F119" s="14"/>
      <c r="G119" s="81"/>
      <c r="H119" s="82"/>
      <c r="I119" s="82"/>
      <c r="J119" s="82"/>
      <c r="K119" s="82"/>
      <c r="L119" s="82">
        <f>SUM('Feb-23'!$H119:$K119)</f>
        <v>0</v>
      </c>
      <c r="M119" s="61"/>
    </row>
    <row r="120" spans="2:13" ht="15.75" customHeight="1" x14ac:dyDescent="0.25">
      <c r="B120" s="76" t="s">
        <v>1546</v>
      </c>
      <c r="C120" s="77"/>
      <c r="D120" s="77"/>
      <c r="E120" s="77"/>
      <c r="F120" s="77"/>
      <c r="G120" s="77"/>
      <c r="H120" s="83">
        <f>SUBTOTAL(109,'Feb-23'!$H$114:$H$119)</f>
        <v>0</v>
      </c>
      <c r="I120" s="83">
        <f>SUBTOTAL(109,'Feb-23'!$I$114:$I$119)</f>
        <v>0</v>
      </c>
      <c r="J120" s="84">
        <f>SUBTOTAL(109,'Feb-23'!$J$114:$J$119)</f>
        <v>0</v>
      </c>
      <c r="K120" s="84">
        <f>SUBTOTAL(109,'Feb-23'!$K$114:$K$119)</f>
        <v>0</v>
      </c>
      <c r="L120" s="84">
        <f>SUBTOTAL(109,'Feb-23'!$L$114:$L$119)</f>
        <v>0</v>
      </c>
      <c r="M120" s="80">
        <f>SUBTOTAL(103,'Feb-23'!$M$114:$M$119)</f>
        <v>0</v>
      </c>
    </row>
    <row r="121" spans="2:13" ht="18.75" customHeight="1" x14ac:dyDescent="0.25"/>
    <row r="122" spans="2:13" ht="28.5" customHeight="1" x14ac:dyDescent="0.25"/>
    <row r="123" spans="2:13" ht="15.75" customHeight="1" x14ac:dyDescent="0.25"/>
    <row r="124" spans="2:13" ht="15.75" customHeight="1" x14ac:dyDescent="0.25"/>
    <row r="125" spans="2:13" ht="15.75" customHeight="1" x14ac:dyDescent="0.25"/>
    <row r="126" spans="2:13" ht="15.75" customHeight="1" x14ac:dyDescent="0.25"/>
    <row r="127" spans="2:13" ht="15.75" customHeight="1" x14ac:dyDescent="0.25"/>
    <row r="128" spans="2:13" ht="15.75" customHeight="1" x14ac:dyDescent="0.25">
      <c r="C128" s="361" t="s">
        <v>1575</v>
      </c>
      <c r="D128" s="362"/>
      <c r="E128" s="362"/>
      <c r="F128" s="362"/>
      <c r="G128" s="363"/>
      <c r="H128" s="89"/>
      <c r="I128" s="89"/>
      <c r="J128" s="89"/>
    </row>
    <row r="129" spans="3:12" ht="15.75" customHeight="1" x14ac:dyDescent="0.25">
      <c r="C129" s="90" t="s">
        <v>1576</v>
      </c>
      <c r="D129" s="91" t="s">
        <v>1577</v>
      </c>
      <c r="E129" s="91" t="s">
        <v>1578</v>
      </c>
      <c r="F129" s="91" t="s">
        <v>0</v>
      </c>
      <c r="G129" s="91" t="s">
        <v>1</v>
      </c>
      <c r="H129" s="92" t="s">
        <v>1579</v>
      </c>
      <c r="I129" s="92" t="s">
        <v>1580</v>
      </c>
      <c r="J129" s="92" t="s">
        <v>1581</v>
      </c>
      <c r="K129" s="92" t="s">
        <v>1582</v>
      </c>
      <c r="L129" s="92" t="s">
        <v>1583</v>
      </c>
    </row>
    <row r="130" spans="3:12" ht="15.75" customHeight="1" x14ac:dyDescent="0.25">
      <c r="C130" s="54"/>
      <c r="D130" s="93"/>
      <c r="E130" s="93"/>
      <c r="F130" s="56"/>
      <c r="G130" s="46" t="str">
        <f>IFERROR(IF('Feb-23'!$F130="","-",VLOOKUP('Feb-23'!$F130,Lista_CUIT!$A$1:$D$1871,2,0)),"CUIT NO CARGADO")</f>
        <v>-</v>
      </c>
      <c r="H130" s="94"/>
      <c r="I130" s="94"/>
      <c r="J130" s="94" t="s">
        <v>1723</v>
      </c>
      <c r="K130" s="94"/>
      <c r="L130" s="94"/>
    </row>
    <row r="131" spans="3:12" ht="15.75" customHeight="1" x14ac:dyDescent="0.25">
      <c r="C131" s="54"/>
      <c r="D131" s="93"/>
      <c r="E131" s="93"/>
      <c r="F131" s="56"/>
      <c r="G131" s="46" t="str">
        <f>IFERROR(IF('Feb-23'!$F131="","-",VLOOKUP('Feb-23'!$F131,Lista_CUIT!$A$1:$D$1871,2,0)),"CUIT NO CARGADO")</f>
        <v>-</v>
      </c>
      <c r="H131" s="94"/>
      <c r="I131" s="94"/>
      <c r="J131" s="94"/>
      <c r="K131" s="94"/>
      <c r="L131" s="94"/>
    </row>
    <row r="132" spans="3:12" ht="15.75" customHeight="1" x14ac:dyDescent="0.25">
      <c r="C132" s="54"/>
      <c r="D132" s="93"/>
      <c r="E132" s="93"/>
      <c r="F132" s="56"/>
      <c r="G132" s="46" t="str">
        <f>IFERROR(IF('Feb-23'!$F132="","-",VLOOKUP('Feb-23'!$F132,Lista_CUIT!$A$1:$D$1871,2,0)),"CUIT NO CARGADO")</f>
        <v>-</v>
      </c>
      <c r="H132" s="94"/>
      <c r="I132" s="94"/>
      <c r="J132" s="94"/>
      <c r="K132" s="94"/>
      <c r="L132" s="94"/>
    </row>
    <row r="133" spans="3:12" ht="15.75" customHeight="1" x14ac:dyDescent="0.25">
      <c r="C133" s="54"/>
      <c r="D133" s="93"/>
      <c r="E133" s="93"/>
      <c r="F133" s="56"/>
      <c r="G133" s="46" t="str">
        <f>IFERROR(IF('Feb-23'!$F133="","-",VLOOKUP('Feb-23'!$F133,Lista_CUIT!$A$1:$D$1871,2,0)),"CUIT NO CARGADO")</f>
        <v>-</v>
      </c>
      <c r="H133" s="94"/>
      <c r="I133" s="94"/>
      <c r="J133" s="94"/>
      <c r="K133" s="94"/>
      <c r="L133" s="94"/>
    </row>
    <row r="134" spans="3:12" ht="15.75" customHeight="1" x14ac:dyDescent="0.25">
      <c r="C134" s="3"/>
      <c r="D134" s="93"/>
      <c r="E134" s="93"/>
      <c r="F134" s="3"/>
      <c r="G134" s="46" t="str">
        <f>IFERROR(IF('Feb-23'!$F134="","-",VLOOKUP('Feb-23'!$F134,Lista_CUIT!$A$1:$D$1871,2,0)),"CUIT NO CARGADO")</f>
        <v>-</v>
      </c>
      <c r="H134" s="3"/>
      <c r="I134" s="3"/>
      <c r="J134" s="3"/>
      <c r="K134" s="3"/>
      <c r="L134" s="3"/>
    </row>
    <row r="135" spans="3:12" ht="15.75" customHeight="1" x14ac:dyDescent="0.25">
      <c r="C135" s="95"/>
    </row>
    <row r="136" spans="3:12" ht="15.75" customHeight="1" x14ac:dyDescent="0.25"/>
    <row r="137" spans="3:12" ht="15.75" customHeight="1" x14ac:dyDescent="0.25"/>
    <row r="138" spans="3:12" ht="15.75" customHeight="1" x14ac:dyDescent="0.25"/>
    <row r="139" spans="3:12" ht="15.75" customHeight="1" x14ac:dyDescent="0.25"/>
    <row r="140" spans="3:12" ht="15.75" customHeight="1" x14ac:dyDescent="0.25"/>
    <row r="141" spans="3:12" ht="15.75" customHeight="1" x14ac:dyDescent="0.25"/>
    <row r="142" spans="3:12" ht="15.75" customHeight="1" x14ac:dyDescent="0.25"/>
    <row r="143" spans="3:12" ht="15.75" customHeight="1" x14ac:dyDescent="0.25"/>
    <row r="144" spans="3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P4:R4"/>
    <mergeCell ref="I7:J7"/>
    <mergeCell ref="B112:C112"/>
    <mergeCell ref="C128:G128"/>
    <mergeCell ref="B3:E3"/>
    <mergeCell ref="B4:E4"/>
    <mergeCell ref="G4:H4"/>
    <mergeCell ref="D65:L65"/>
    <mergeCell ref="D78:K78"/>
    <mergeCell ref="B96:J96"/>
    <mergeCell ref="K96:M96"/>
    <mergeCell ref="B98:C98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custom" allowBlank="1" showErrorMessage="1" sqref="L104" xr:uid="{00000000-0002-0000-0B00-000000000000}">
      <formula1>IF($C60=3,L60&lt;0,L60&gt;=0)</formula1>
    </dataValidation>
    <dataValidation type="custom" allowBlank="1" showErrorMessage="1" sqref="H114:L119" xr:uid="{00000000-0002-0000-0B00-000001000000}">
      <formula1>IF($C114=8,H114&lt;0,H114&gt;=0)</formula1>
    </dataValidation>
    <dataValidation type="decimal" allowBlank="1" showErrorMessage="1" sqref="E9:E59 F80:F89 E100:E108 E114:E119" xr:uid="{00000000-0002-0000-0B00-000002000000}">
      <formula1>1</formula1>
      <formula2>99999999</formula2>
    </dataValidation>
    <dataValidation type="custom" allowBlank="1" showErrorMessage="1" sqref="L100" xr:uid="{00000000-0002-0000-0B00-000003000000}">
      <formula1>IF($C49=3,L49&lt;0,L49&gt;=0)</formula1>
    </dataValidation>
    <dataValidation type="decimal" allowBlank="1" showErrorMessage="1" sqref="C9:C59 C61:C64 C100:C108" xr:uid="{00000000-0002-0000-0B00-000004000000}">
      <formula1>1</formula1>
      <formula2>3</formula2>
    </dataValidation>
    <dataValidation type="custom" allowBlank="1" showErrorMessage="1" sqref="L102:L103" xr:uid="{00000000-0002-0000-0B00-000005000000}">
      <formula1>IF($C53=3,L53&lt;0,L53&gt;=0)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9 H50:K50 M50:O50 H51:O59" xr:uid="{00000000-0002-0000-0B00-000006000000}">
      <formula1>IF($C9=3,H9&lt;0,H9&gt;=0)</formula1>
    </dataValidation>
    <dataValidation type="custom" allowBlank="1" showErrorMessage="1" sqref="H100:K100 H102:K102 H104:K104 H106:K106" xr:uid="{00000000-0002-0000-0B00-000007000000}">
      <formula1>IF($C100=3,H100&lt;0,H100&gt;=0)</formula1>
    </dataValidation>
    <dataValidation type="decimal" allowBlank="1" showErrorMessage="1" sqref="C114:C119" xr:uid="{00000000-0002-0000-0B00-000008000000}">
      <formula1>6</formula1>
      <formula2>8</formula2>
    </dataValidation>
    <dataValidation type="decimal" allowBlank="1" showErrorMessage="1" sqref="F9:F59 G80:G89 F100:F108 F114:F119" xr:uid="{00000000-0002-0000-0B00-000009000000}">
      <formula1>20000000000</formula1>
      <formula2>33999999999</formula2>
    </dataValidation>
    <dataValidation type="custom" allowBlank="1" showErrorMessage="1" sqref="L101" xr:uid="{00000000-0002-0000-0B00-00000A000000}">
      <formula1>IF($C50=3,#REF!&lt;0,#REF!&gt;=0)</formula1>
    </dataValidation>
    <dataValidation type="date" allowBlank="1" showErrorMessage="1" sqref="B9:B59 B61:B64 D67:D73 D80:D89 B100:B108 B114:B119" xr:uid="{00000000-0002-0000-0B00-00000B000000}">
      <formula1>40179</formula1>
      <formula2>TODAY()</formula2>
    </dataValidation>
    <dataValidation type="decimal" allowBlank="1" showErrorMessage="1" sqref="D9:D59 E80:E89 D100:D108 D114:D119" xr:uid="{00000000-0002-0000-0B00-00000C000000}">
      <formula1>1</formula1>
      <formula2>9999</formula2>
    </dataValidation>
    <dataValidation type="custom" allowBlank="1" showErrorMessage="1" sqref="L105:L106" xr:uid="{00000000-0002-0000-0B00-00000D000000}">
      <formula1>IF($C60=3,L60&lt;0,L60&gt;=0)</formula1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DE9D9"/>
  </sheetPr>
  <dimension ref="A1:Z1001"/>
  <sheetViews>
    <sheetView showGridLines="0" tabSelected="1" topLeftCell="E4" zoomScale="90" zoomScaleNormal="90" workbookViewId="0">
      <selection activeCell="K6" sqref="K6"/>
    </sheetView>
  </sheetViews>
  <sheetFormatPr baseColWidth="10" defaultColWidth="14.42578125" defaultRowHeight="15" customHeight="1" x14ac:dyDescent="0.25"/>
  <cols>
    <col min="1" max="1" width="1.7109375" customWidth="1"/>
    <col min="2" max="2" width="14.5703125" customWidth="1"/>
    <col min="3" max="3" width="9.5703125" customWidth="1"/>
    <col min="4" max="4" width="13.28515625" customWidth="1"/>
    <col min="5" max="5" width="14.5703125" customWidth="1"/>
    <col min="6" max="6" width="15.85546875" customWidth="1"/>
    <col min="7" max="7" width="24" customWidth="1"/>
    <col min="8" max="8" width="39.5703125" bestFit="1" customWidth="1"/>
    <col min="9" max="9" width="14.7109375" customWidth="1"/>
    <col min="10" max="10" width="12.28515625" customWidth="1"/>
    <col min="11" max="11" width="20.28515625" customWidth="1"/>
    <col min="12" max="12" width="18.28515625" customWidth="1"/>
    <col min="13" max="14" width="15.85546875" customWidth="1"/>
    <col min="15" max="15" width="13.42578125" customWidth="1"/>
    <col min="16" max="16" width="16.42578125" customWidth="1"/>
    <col min="17" max="17" width="16.7109375" style="324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350" t="s">
        <v>1524</v>
      </c>
      <c r="C1" s="351"/>
      <c r="D1" s="351"/>
      <c r="E1" s="351"/>
      <c r="F1" s="352"/>
      <c r="G1" s="371" t="str">
        <f>'Abr-22'!G1:M1</f>
        <v>CORITEC S.R.L.</v>
      </c>
      <c r="H1" s="351"/>
      <c r="I1" s="351"/>
      <c r="J1" s="351"/>
      <c r="K1" s="351"/>
      <c r="L1" s="351"/>
      <c r="M1" s="352"/>
      <c r="N1" s="354">
        <f>EDATE('Abr-22'!N1,11)</f>
        <v>44986</v>
      </c>
      <c r="O1" s="351"/>
      <c r="P1" s="351"/>
      <c r="Q1" s="351"/>
      <c r="R1" s="352"/>
    </row>
    <row r="3" spans="1:26" ht="26.25" customHeight="1" x14ac:dyDescent="0.25">
      <c r="B3" s="355" t="s">
        <v>1526</v>
      </c>
      <c r="C3" s="351"/>
      <c r="D3" s="351"/>
      <c r="E3" s="352"/>
      <c r="F3" s="7"/>
      <c r="G3" s="355" t="s">
        <v>1527</v>
      </c>
      <c r="H3" s="352"/>
      <c r="I3" s="7"/>
      <c r="J3" s="356" t="s">
        <v>1528</v>
      </c>
      <c r="K3" s="352"/>
      <c r="L3" s="7"/>
      <c r="M3" s="356" t="s">
        <v>1529</v>
      </c>
      <c r="N3" s="352"/>
      <c r="O3" s="7"/>
      <c r="P3" s="357" t="s">
        <v>1530</v>
      </c>
      <c r="Q3" s="351"/>
      <c r="R3" s="352"/>
    </row>
    <row r="4" spans="1:26" ht="24.75" customHeight="1" x14ac:dyDescent="0.35">
      <c r="B4" s="364">
        <f>SUM('Mar-23'!$H$76)+'Mar-23'!$G$87</f>
        <v>11684416.062671425</v>
      </c>
      <c r="C4" s="351"/>
      <c r="D4" s="351"/>
      <c r="E4" s="352"/>
      <c r="F4" s="8"/>
      <c r="G4" s="365">
        <f>'Mar-23'!$I$76+'Mar-23'!$J$76+'Mar-23'!$K$76+'Mar-23'!$H$87+'Mar-23'!$I$87</f>
        <v>2435308.9756759992</v>
      </c>
      <c r="H4" s="352"/>
      <c r="I4" s="8"/>
      <c r="J4" s="370">
        <f>'Mar-23'!$H$123+'Mar-23'!$H$134</f>
        <v>12964221.9</v>
      </c>
      <c r="K4" s="352"/>
      <c r="L4" s="8"/>
      <c r="M4" s="370">
        <f>'Mar-23'!$I$123+'Mar-23'!$J$123+'Mar-23'!$I$134+'Mar-23'!$J$134</f>
        <v>1490656.8075000001</v>
      </c>
      <c r="N4" s="352"/>
      <c r="O4" s="8"/>
      <c r="P4" s="358">
        <f>G4-M4</f>
        <v>944652.16817599908</v>
      </c>
      <c r="Q4" s="351"/>
      <c r="R4" s="352"/>
    </row>
    <row r="5" spans="1:26" ht="12.75" customHeight="1" x14ac:dyDescent="0.25"/>
    <row r="6" spans="1:26" ht="10.5" customHeight="1" x14ac:dyDescent="0.25"/>
    <row r="7" spans="1:26" ht="18.75" customHeight="1" x14ac:dyDescent="0.25">
      <c r="A7" s="9"/>
      <c r="B7" s="10"/>
      <c r="C7" s="11"/>
      <c r="D7" s="12"/>
      <c r="E7" s="13"/>
      <c r="F7" s="14"/>
      <c r="G7" s="246" t="s">
        <v>1724</v>
      </c>
      <c r="H7" s="16"/>
      <c r="I7" s="17"/>
      <c r="J7" s="17"/>
      <c r="K7" s="17"/>
      <c r="L7" s="17"/>
      <c r="M7" s="17"/>
      <c r="N7" s="17"/>
      <c r="O7" s="17"/>
      <c r="P7" s="20"/>
      <c r="Q7" s="15"/>
      <c r="R7" s="21"/>
      <c r="S7" s="9"/>
    </row>
    <row r="8" spans="1:26" ht="38.25" customHeight="1" x14ac:dyDescent="0.25">
      <c r="B8" s="22" t="s">
        <v>1532</v>
      </c>
      <c r="C8" s="22" t="s">
        <v>1533</v>
      </c>
      <c r="D8" s="22" t="s">
        <v>1534</v>
      </c>
      <c r="E8" s="22" t="s">
        <v>1535</v>
      </c>
      <c r="F8" s="22" t="s">
        <v>0</v>
      </c>
      <c r="G8" s="22" t="s">
        <v>1</v>
      </c>
      <c r="H8" s="22" t="s">
        <v>1536</v>
      </c>
      <c r="I8" s="22" t="s">
        <v>1537</v>
      </c>
      <c r="J8" s="22" t="s">
        <v>1538</v>
      </c>
      <c r="K8" s="22" t="s">
        <v>1539</v>
      </c>
      <c r="L8" s="22" t="s">
        <v>1540</v>
      </c>
      <c r="M8" s="22" t="s">
        <v>1541</v>
      </c>
      <c r="N8" s="22" t="s">
        <v>1542</v>
      </c>
      <c r="O8" s="22" t="s">
        <v>1543</v>
      </c>
      <c r="P8" s="22" t="s">
        <v>1544</v>
      </c>
      <c r="Q8" s="325" t="s">
        <v>2</v>
      </c>
      <c r="R8" s="22" t="s">
        <v>1545</v>
      </c>
    </row>
    <row r="9" spans="1:26" x14ac:dyDescent="0.25">
      <c r="B9" s="254">
        <v>44980</v>
      </c>
      <c r="C9" s="242">
        <v>1</v>
      </c>
      <c r="D9" s="243">
        <v>17</v>
      </c>
      <c r="E9" s="244">
        <v>3160</v>
      </c>
      <c r="F9" s="245">
        <v>30708422300</v>
      </c>
      <c r="G9" s="246" t="str">
        <f>IFERROR(IF('Mar-23'!$F9="","-",VLOOKUP('Mar-23'!$F9,Lista_CUIT!$A$1:$D$1871,2,0)),"CUIT NO CARGADO")</f>
        <v>ASM MOTOS SRL</v>
      </c>
      <c r="H9" s="247">
        <v>2942.14</v>
      </c>
      <c r="I9" s="248">
        <f>IF('Mar-23'!$H9="","",'Mar-23'!$H9*0.21)</f>
        <v>617.84939999999995</v>
      </c>
      <c r="J9" s="248"/>
      <c r="K9" s="248"/>
      <c r="L9" s="248"/>
      <c r="M9" s="248"/>
      <c r="N9" s="248"/>
      <c r="O9" s="248"/>
      <c r="P9" s="249">
        <f>SUM('Mar-23'!$H9:$O9)</f>
        <v>3559.9893999999999</v>
      </c>
      <c r="Q9" s="246" t="str">
        <f>IFERROR(IF('Mar-23'!$F9="","-",VLOOKUP('Mar-23'!$F9,Lista_CUIT!$A$1:$D$1871,3,0)),"CUIT NO CARGADO")</f>
        <v>Gastos Varios</v>
      </c>
      <c r="R9" s="250">
        <f>IFERROR(IF('Mar-23'!$F9="","-",VLOOKUP('Mar-23'!$F9,Lista_CUIT!$A$1:$D$1871,4,0)),"CUIT NO CARGADO")</f>
        <v>0</v>
      </c>
    </row>
    <row r="10" spans="1:26" x14ac:dyDescent="0.25">
      <c r="B10" s="255">
        <v>44986</v>
      </c>
      <c r="C10" s="256">
        <v>1</v>
      </c>
      <c r="D10" s="257">
        <v>3</v>
      </c>
      <c r="E10" s="13">
        <v>183165</v>
      </c>
      <c r="F10" s="258">
        <v>30707135596</v>
      </c>
      <c r="G10" s="259" t="str">
        <f>IFERROR(IF('Mar-23'!$F10="","-",VLOOKUP('Mar-23'!$F10,Lista_CUIT!$A$1:$D$1871,2,0)),"CUIT NO CARGADO")</f>
        <v>CITILAN ARGENTINA SA</v>
      </c>
      <c r="H10" s="260">
        <v>4362.76</v>
      </c>
      <c r="I10" s="261">
        <f>IF('Mar-23'!$H10="","",'Mar-23'!$H10*0.21)</f>
        <v>916.17960000000005</v>
      </c>
      <c r="J10" s="261"/>
      <c r="K10" s="261"/>
      <c r="L10" s="261"/>
      <c r="M10" s="261"/>
      <c r="N10" s="261"/>
      <c r="O10" s="261"/>
      <c r="P10" s="262">
        <f>SUM('Mar-23'!$H10:$O10)</f>
        <v>5278.9396000000006</v>
      </c>
      <c r="Q10" s="259" t="str">
        <f>IFERROR(IF('Mar-23'!$F10="","-",VLOOKUP('Mar-23'!$F10,Lista_CUIT!$A$1:$D$1871,3,0)),"CUIT NO CARGADO")</f>
        <v>SERVICIOS GAS, LUZ, ETC</v>
      </c>
      <c r="R10" s="263">
        <f>IFERROR(IF('Mar-23'!$F10="","-",VLOOKUP('Mar-23'!$F10,Lista_CUIT!$A$1:$D$1871,4,0)),"CUIT NO CARGADO")</f>
        <v>0</v>
      </c>
    </row>
    <row r="11" spans="1:26" x14ac:dyDescent="0.25">
      <c r="B11" s="255">
        <v>44986</v>
      </c>
      <c r="C11" s="256">
        <v>1</v>
      </c>
      <c r="D11" s="257">
        <v>3</v>
      </c>
      <c r="E11" s="13">
        <v>626</v>
      </c>
      <c r="F11" s="258">
        <v>30715402765</v>
      </c>
      <c r="G11" s="259" t="str">
        <f>IFERROR(IF('Mar-23'!$F11="","-",VLOOKUP('Mar-23'!$F11,Lista_CUIT!$A$1:$D$1871,2,0)),"CUIT NO CARGADO")</f>
        <v>RIO 265 SRL</v>
      </c>
      <c r="H11" s="260">
        <v>11404.96</v>
      </c>
      <c r="I11" s="261">
        <f>IF('Mar-23'!$H11="","",'Mar-23'!$H11*0.21)</f>
        <v>2395.0415999999996</v>
      </c>
      <c r="J11" s="261"/>
      <c r="K11" s="261"/>
      <c r="L11" s="261"/>
      <c r="M11" s="261"/>
      <c r="N11" s="261"/>
      <c r="O11" s="261"/>
      <c r="P11" s="262">
        <f>SUM('Mar-23'!$H11:$O11)</f>
        <v>13800.0016</v>
      </c>
      <c r="Q11" s="259" t="str">
        <f>IFERROR(IF('Mar-23'!$F11="","-",VLOOKUP('Mar-23'!$F11,Lista_CUIT!$A$1:$D$1871,3,0)),"CUIT NO CARGADO")</f>
        <v>GTOS VARIOS-ESTACIONAMIENTO HORACIO</v>
      </c>
      <c r="R11" s="263">
        <f>IFERROR(IF('Mar-23'!$F11="","-",VLOOKUP('Mar-23'!$F11,Lista_CUIT!$A$1:$D$1871,4,0)),"CUIT NO CARGADO")</f>
        <v>0</v>
      </c>
    </row>
    <row r="12" spans="1:26" x14ac:dyDescent="0.25">
      <c r="B12" s="264">
        <v>44987</v>
      </c>
      <c r="C12" s="265">
        <v>1</v>
      </c>
      <c r="D12" s="266">
        <v>1</v>
      </c>
      <c r="E12" s="267">
        <v>569</v>
      </c>
      <c r="F12" s="268">
        <v>30715048066</v>
      </c>
      <c r="G12" s="269" t="str">
        <f>IFERROR(IF('Mar-23'!$F12="","-",VLOOKUP('Mar-23'!$F12,Lista_CUIT!$A$1:$D$1871,2,0)),"CUIT NO CARGADO")</f>
        <v>ROLLS Y EMPANADAS SA</v>
      </c>
      <c r="H12" s="270">
        <v>109440</v>
      </c>
      <c r="I12" s="271">
        <f>IF('Mar-23'!$H12="","",'Mar-23'!$H12*0.21)</f>
        <v>22982.399999999998</v>
      </c>
      <c r="J12" s="271"/>
      <c r="K12" s="271"/>
      <c r="L12" s="271"/>
      <c r="M12" s="271"/>
      <c r="N12" s="271"/>
      <c r="O12" s="271"/>
      <c r="P12" s="272">
        <f>SUM('Mar-23'!$H12:$O12)</f>
        <v>132422.39999999999</v>
      </c>
      <c r="Q12" s="269" t="str">
        <f>IFERROR(IF('Mar-23'!$F12="","-",VLOOKUP('Mar-23'!$F12,Lista_CUIT!$A$1:$D$1871,3,0)),"CUIT NO CARGADO")</f>
        <v>CATERING</v>
      </c>
      <c r="R12" s="273">
        <f>IFERROR(IF('Mar-23'!$F12="","-",VLOOKUP('Mar-23'!$F12,Lista_CUIT!$A$1:$D$1871,4,0)),"CUIT NO CARGADO")</f>
        <v>0</v>
      </c>
    </row>
    <row r="13" spans="1:26" x14ac:dyDescent="0.25">
      <c r="B13" s="264">
        <v>44987</v>
      </c>
      <c r="C13" s="265">
        <v>3</v>
      </c>
      <c r="D13" s="266">
        <v>1</v>
      </c>
      <c r="E13" s="267">
        <v>27</v>
      </c>
      <c r="F13" s="268">
        <v>30715048066</v>
      </c>
      <c r="G13" s="269" t="str">
        <f>IFERROR(IF('Mar-23'!$F13="","-",VLOOKUP('Mar-23'!$F13,Lista_CUIT!$A$1:$D$1871,2,0)),"CUIT NO CARGADO")</f>
        <v>ROLLS Y EMPANADAS SA</v>
      </c>
      <c r="H13" s="270">
        <v>-109440</v>
      </c>
      <c r="I13" s="271">
        <f>IF('Mar-23'!$H13="","",'Mar-23'!$H13*0.21)</f>
        <v>-22982.399999999998</v>
      </c>
      <c r="J13" s="271"/>
      <c r="K13" s="271"/>
      <c r="L13" s="271"/>
      <c r="M13" s="271"/>
      <c r="N13" s="271"/>
      <c r="O13" s="271"/>
      <c r="P13" s="272">
        <f>SUM('Mar-23'!$H13:$O13)</f>
        <v>-132422.39999999999</v>
      </c>
      <c r="Q13" s="269" t="str">
        <f>IFERROR(IF('Mar-23'!$F13="","-",VLOOKUP('Mar-23'!$F13,Lista_CUIT!$A$1:$D$1871,3,0)),"CUIT NO CARGADO")</f>
        <v>CATERING</v>
      </c>
      <c r="R13" s="273">
        <f>IFERROR(IF('Mar-23'!$F13="","-",VLOOKUP('Mar-23'!$F13,Lista_CUIT!$A$1:$D$1871,4,0)),"CUIT NO CARGADO")</f>
        <v>0</v>
      </c>
    </row>
    <row r="14" spans="1:26" x14ac:dyDescent="0.25">
      <c r="B14" s="255">
        <v>44988</v>
      </c>
      <c r="C14" s="256">
        <v>1</v>
      </c>
      <c r="D14" s="257">
        <v>280</v>
      </c>
      <c r="E14" s="13">
        <v>1418054</v>
      </c>
      <c r="F14" s="258">
        <v>30580111315</v>
      </c>
      <c r="G14" s="259" t="str">
        <f>IFERROR(IF('Mar-23'!$F14="","-",VLOOKUP('Mar-23'!$F14,Lista_CUIT!$A$1:$D$1871,2,0)),"CUIT NO CARGADO")</f>
        <v>DHL EXPRESS ARG SA</v>
      </c>
      <c r="H14" s="260">
        <v>58555.669099999999</v>
      </c>
      <c r="I14" s="261"/>
      <c r="J14" s="261"/>
      <c r="K14" s="261">
        <v>6147.82</v>
      </c>
      <c r="L14" s="261"/>
      <c r="M14" s="261"/>
      <c r="N14" s="261"/>
      <c r="O14" s="261">
        <v>-58555.67</v>
      </c>
      <c r="P14" s="262">
        <f>SUM('Mar-23'!$H14:$O14)</f>
        <v>6147.8191000000006</v>
      </c>
      <c r="Q14" s="259" t="str">
        <f>IFERROR(IF('Mar-23'!$F14="","-",VLOOKUP('Mar-23'!$F14,Lista_CUIT!$A$1:$D$1871,3,0)),"CUIT NO CARGADO")</f>
        <v>GTOS IMP.</v>
      </c>
      <c r="R14" s="263">
        <f>IFERROR(IF('Mar-23'!$F14="","-",VLOOKUP('Mar-23'!$F14,Lista_CUIT!$A$1:$D$1871,4,0)),"CUIT NO CARGADO")</f>
        <v>0</v>
      </c>
    </row>
    <row r="15" spans="1:26" x14ac:dyDescent="0.25">
      <c r="B15" s="255">
        <v>44991</v>
      </c>
      <c r="C15" s="256">
        <v>1</v>
      </c>
      <c r="D15" s="257">
        <v>1</v>
      </c>
      <c r="E15" s="13">
        <v>16559</v>
      </c>
      <c r="F15" s="258">
        <v>30715606808</v>
      </c>
      <c r="G15" s="259" t="str">
        <f>IFERROR(IF('Mar-23'!$F15="","-",VLOOKUP('Mar-23'!$F15,Lista_CUIT!$A$1:$D$1871,2,0)),"CUIT NO CARGADO")</f>
        <v>NORCEL STORE SRL</v>
      </c>
      <c r="H15" s="260">
        <v>1748.96</v>
      </c>
      <c r="I15" s="261">
        <f>IF('Mar-23'!$H15="","",'Mar-23'!$H15*0.21)</f>
        <v>367.28159999999997</v>
      </c>
      <c r="J15" s="261"/>
      <c r="K15" s="261"/>
      <c r="L15" s="261"/>
      <c r="M15" s="261"/>
      <c r="N15" s="261"/>
      <c r="O15" s="261"/>
      <c r="P15" s="262">
        <f>SUM('Mar-23'!$H15:$O15)</f>
        <v>2116.2415999999998</v>
      </c>
      <c r="Q15" s="259" t="str">
        <f>IFERROR(IF('Mar-23'!$F15="","-",VLOOKUP('Mar-23'!$F15,Lista_CUIT!$A$1:$D$1871,3,0)),"CUIT NO CARGADO")</f>
        <v>Gastos Varios</v>
      </c>
      <c r="R15" s="263">
        <f>IFERROR(IF('Mar-23'!$F15="","-",VLOOKUP('Mar-23'!$F15,Lista_CUIT!$A$1:$D$1871,4,0)),"CUIT NO CARGADO")</f>
        <v>0</v>
      </c>
    </row>
    <row r="16" spans="1:26" ht="18" customHeight="1" x14ac:dyDescent="0.25">
      <c r="A16" s="50"/>
      <c r="B16" s="255">
        <v>44991</v>
      </c>
      <c r="C16" s="256">
        <v>1</v>
      </c>
      <c r="D16" s="257">
        <v>7002</v>
      </c>
      <c r="E16" s="13">
        <v>8454</v>
      </c>
      <c r="F16" s="258">
        <v>30678774495</v>
      </c>
      <c r="G16" s="259" t="str">
        <f>IFERROR(IF('Mar-23'!$F16="","-",VLOOKUP('Mar-23'!$F16,Lista_CUIT!$A$1:$D$1871,2,0)),"CUIT NO CARGADO")</f>
        <v>OPER. DE EST. DE SERV. SA</v>
      </c>
      <c r="H16" s="260">
        <v>7424.7</v>
      </c>
      <c r="I16" s="261">
        <f>IF('Mar-23'!$H16="","",'Mar-23'!$H16*0.21)</f>
        <v>1559.1869999999999</v>
      </c>
      <c r="J16" s="261"/>
      <c r="K16" s="261"/>
      <c r="L16" s="261"/>
      <c r="M16" s="261"/>
      <c r="N16" s="261"/>
      <c r="O16" s="261">
        <v>1576</v>
      </c>
      <c r="P16" s="262">
        <f>SUM('Mar-23'!$H16:$O16)</f>
        <v>10559.886999999999</v>
      </c>
      <c r="Q16" s="259" t="str">
        <f>IFERROR(IF('Mar-23'!$F16="","-",VLOOKUP('Mar-23'!$F16,Lista_CUIT!$A$1:$D$1871,3,0)),"CUIT NO CARGADO")</f>
        <v>COMBUSTIBLE</v>
      </c>
      <c r="R16" s="263">
        <f>IFERROR(IF('Mar-23'!$F16="","-",VLOOKUP('Mar-23'!$F16,Lista_CUIT!$A$1:$D$1871,4,0)),"CUIT NO CARGADO")</f>
        <v>0</v>
      </c>
      <c r="S16" s="50"/>
      <c r="T16" s="50"/>
      <c r="U16" s="50"/>
      <c r="V16" s="50"/>
      <c r="W16" s="50"/>
      <c r="X16" s="50"/>
      <c r="Y16" s="50"/>
      <c r="Z16" s="50"/>
    </row>
    <row r="17" spans="2:18" x14ac:dyDescent="0.25">
      <c r="B17" s="255">
        <v>44992</v>
      </c>
      <c r="C17" s="256">
        <v>1</v>
      </c>
      <c r="D17" s="257">
        <v>26</v>
      </c>
      <c r="E17" s="13">
        <v>14090</v>
      </c>
      <c r="F17" s="258">
        <v>30684416096</v>
      </c>
      <c r="G17" s="259" t="str">
        <f>IFERROR(IF('Mar-23'!$F17="","-",VLOOKUP('Mar-23'!$F17,Lista_CUIT!$A$1:$D$1871,2,0)),"CUIT NO CARGADO")</f>
        <v>CARLOS ANDRETICH SA</v>
      </c>
      <c r="H17" s="260">
        <v>6276.62</v>
      </c>
      <c r="I17" s="261">
        <f>IF('Mar-23'!$H17="","",'Mar-23'!$H17*0.21)</f>
        <v>1318.0901999999999</v>
      </c>
      <c r="J17" s="261"/>
      <c r="K17" s="261"/>
      <c r="L17" s="261"/>
      <c r="M17" s="261"/>
      <c r="N17" s="261"/>
      <c r="O17" s="261"/>
      <c r="P17" s="262">
        <f>SUM('Mar-23'!$H17:$O17)</f>
        <v>7594.7101999999995</v>
      </c>
      <c r="Q17" s="259" t="str">
        <f>IFERROR(IF('Mar-23'!$F17="","-",VLOOKUP('Mar-23'!$F17,Lista_CUIT!$A$1:$D$1871,3,0)),"CUIT NO CARGADO")</f>
        <v>INSUMO</v>
      </c>
      <c r="R17" s="263">
        <f>IFERROR(IF('Mar-23'!$F17="","-",VLOOKUP('Mar-23'!$F17,Lista_CUIT!$A$1:$D$1871,4,0)),"CUIT NO CARGADO")</f>
        <v>0</v>
      </c>
    </row>
    <row r="18" spans="2:18" x14ac:dyDescent="0.25">
      <c r="B18" s="255">
        <v>44993</v>
      </c>
      <c r="C18" s="256">
        <v>1</v>
      </c>
      <c r="D18" s="257">
        <v>3</v>
      </c>
      <c r="E18" s="13">
        <v>7232</v>
      </c>
      <c r="F18" s="258">
        <v>30710552726</v>
      </c>
      <c r="G18" s="259" t="str">
        <f>IFERROR(IF('Mar-23'!$F18="","-",VLOOKUP('Mar-23'!$F18,Lista_CUIT!$A$1:$D$1871,2,0)),"CUIT NO CARGADO")</f>
        <v>HZ ELECTRICIDAD SRL</v>
      </c>
      <c r="H18" s="260">
        <v>10599.19</v>
      </c>
      <c r="I18" s="261">
        <f>IF('Mar-23'!$H18="","",'Mar-23'!$H18*0.21)</f>
        <v>2225.8299000000002</v>
      </c>
      <c r="J18" s="261"/>
      <c r="K18" s="261"/>
      <c r="L18" s="261"/>
      <c r="M18" s="261"/>
      <c r="N18" s="261"/>
      <c r="O18" s="261"/>
      <c r="P18" s="262">
        <f>SUM('Mar-23'!$H18:$O18)</f>
        <v>12825.019900000001</v>
      </c>
      <c r="Q18" s="259" t="str">
        <f>IFERROR(IF('Mar-23'!$F18="","-",VLOOKUP('Mar-23'!$F18,Lista_CUIT!$A$1:$D$1871,3,0)),"CUIT NO CARGADO")</f>
        <v>INSUMO</v>
      </c>
      <c r="R18" s="263">
        <f>IFERROR(IF('Mar-23'!$F18="","-",VLOOKUP('Mar-23'!$F18,Lista_CUIT!$A$1:$D$1871,4,0)),"CUIT NO CARGADO")</f>
        <v>0</v>
      </c>
    </row>
    <row r="19" spans="2:18" x14ac:dyDescent="0.25">
      <c r="B19" s="255">
        <v>44993</v>
      </c>
      <c r="C19" s="256">
        <v>1</v>
      </c>
      <c r="D19" s="257">
        <v>5</v>
      </c>
      <c r="E19" s="13">
        <v>2614</v>
      </c>
      <c r="F19" s="258">
        <v>30712273174</v>
      </c>
      <c r="G19" s="259" t="str">
        <f>IFERROR(IF('Mar-23'!$F19="","-",VLOOKUP('Mar-23'!$F19,Lista_CUIT!$A$1:$D$1871,2,0)),"CUIT NO CARGADO")</f>
        <v>HERRAMIENTAS DEL SUR S.A.</v>
      </c>
      <c r="H19" s="260">
        <v>65970.25</v>
      </c>
      <c r="I19" s="261">
        <f>IF('Mar-23'!$H19="","",'Mar-23'!$H19*0.21)</f>
        <v>13853.752499999999</v>
      </c>
      <c r="J19" s="261"/>
      <c r="K19" s="261"/>
      <c r="L19" s="261"/>
      <c r="M19" s="261"/>
      <c r="N19" s="261"/>
      <c r="O19" s="261"/>
      <c r="P19" s="262">
        <f>SUM('Mar-23'!$H19:$O19)</f>
        <v>79824.002500000002</v>
      </c>
      <c r="Q19" s="259" t="str">
        <f>IFERROR(IF('Mar-23'!$F19="","-",VLOOKUP('Mar-23'!$F19,Lista_CUIT!$A$1:$D$1871,3,0)),"CUIT NO CARGADO")</f>
        <v>INSUMO</v>
      </c>
      <c r="R19" s="263">
        <f>IFERROR(IF('Mar-23'!$F19="","-",VLOOKUP('Mar-23'!$F19,Lista_CUIT!$A$1:$D$1871,4,0)),"CUIT NO CARGADO")</f>
        <v>0</v>
      </c>
    </row>
    <row r="20" spans="2:18" ht="14.25" customHeight="1" x14ac:dyDescent="0.25">
      <c r="B20" s="255">
        <v>44993</v>
      </c>
      <c r="C20" s="256">
        <v>1</v>
      </c>
      <c r="D20" s="257">
        <v>1</v>
      </c>
      <c r="E20" s="13">
        <v>33</v>
      </c>
      <c r="F20" s="258">
        <v>30717261042</v>
      </c>
      <c r="G20" s="259" t="str">
        <f>IFERROR(IF('Mar-23'!$F20="","-",VLOOKUP('Mar-23'!$F20,Lista_CUIT!$A$1:$D$1871,2,0)),"CUIT NO CARGADO")</f>
        <v>COMEX MARIA SA</v>
      </c>
      <c r="H20" s="260">
        <v>73950</v>
      </c>
      <c r="I20" s="261">
        <f>IF('Mar-23'!$H20="","",'Mar-23'!$H20*0.21)</f>
        <v>15529.5</v>
      </c>
      <c r="J20" s="261"/>
      <c r="K20" s="261"/>
      <c r="L20" s="261"/>
      <c r="M20" s="261"/>
      <c r="N20" s="261"/>
      <c r="O20" s="261">
        <v>1800</v>
      </c>
      <c r="P20" s="262">
        <f>SUM('Mar-23'!$H20:$O20)</f>
        <v>91279.5</v>
      </c>
      <c r="Q20" s="259" t="str">
        <f>IFERROR(IF('Mar-23'!$F20="","-",VLOOKUP('Mar-23'!$F20,Lista_CUIT!$A$1:$D$1871,3,0)),"CUIT NO CARGADO")</f>
        <v>FLETE</v>
      </c>
      <c r="R20" s="263">
        <f>IFERROR(IF('Mar-23'!$F20="","-",VLOOKUP('Mar-23'!$F20,Lista_CUIT!$A$1:$D$1871,4,0)),"CUIT NO CARGADO")</f>
        <v>0</v>
      </c>
    </row>
    <row r="21" spans="2:18" ht="15.75" customHeight="1" x14ac:dyDescent="0.25">
      <c r="B21" s="255">
        <v>44993</v>
      </c>
      <c r="C21" s="256">
        <v>1</v>
      </c>
      <c r="D21" s="257">
        <v>3</v>
      </c>
      <c r="E21" s="13">
        <v>276</v>
      </c>
      <c r="F21" s="258">
        <v>20921575743</v>
      </c>
      <c r="G21" s="259" t="str">
        <f>IFERROR(IF('Mar-23'!$F21="","-",VLOOKUP('Mar-23'!$F21,Lista_CUIT!$A$1:$D$1871,2,0)),"CUIT NO CARGADO")</f>
        <v>RIOS GOMEZ JOSE ANTONIO</v>
      </c>
      <c r="H21" s="260">
        <v>509600</v>
      </c>
      <c r="I21" s="261">
        <f>IF('Mar-23'!$H21="","",'Mar-23'!$H21*0.21)</f>
        <v>107016</v>
      </c>
      <c r="J21" s="261"/>
      <c r="K21" s="261"/>
      <c r="L21" s="261"/>
      <c r="M21" s="261"/>
      <c r="N21" s="261"/>
      <c r="O21" s="261"/>
      <c r="P21" s="262">
        <f>SUM('Mar-23'!$H21:$O21)</f>
        <v>616616</v>
      </c>
      <c r="Q21" s="259" t="str">
        <f>IFERROR(IF('Mar-23'!$F21="","-",VLOOKUP('Mar-23'!$F21,Lista_CUIT!$A$1:$D$1871,3,0)),"CUIT NO CARGADO")</f>
        <v xml:space="preserve">Papeleria e Impresos </v>
      </c>
      <c r="R21" s="263">
        <f>IFERROR(IF('Mar-23'!$F21="","-",VLOOKUP('Mar-23'!$F21,Lista_CUIT!$A$1:$D$1871,4,0)),"CUIT NO CARGADO")</f>
        <v>0</v>
      </c>
    </row>
    <row r="22" spans="2:18" ht="15.75" customHeight="1" x14ac:dyDescent="0.25">
      <c r="B22" s="255">
        <v>44993</v>
      </c>
      <c r="C22" s="256">
        <v>1</v>
      </c>
      <c r="D22" s="257">
        <v>3</v>
      </c>
      <c r="E22" s="13">
        <v>18696</v>
      </c>
      <c r="F22" s="258">
        <v>30707468161</v>
      </c>
      <c r="G22" s="259" t="str">
        <f>IFERROR(IF('Mar-23'!$F22="","-",VLOOKUP('Mar-23'!$F22,Lista_CUIT!$A$1:$D$1871,2,0)),"CUIT NO CARGADO")</f>
        <v>LASERTEC INGENIERIA S.R.L.</v>
      </c>
      <c r="H22" s="260">
        <v>112406.25</v>
      </c>
      <c r="I22" s="261">
        <f>IF('Mar-23'!$H22="","",'Mar-23'!$H22*0.21)</f>
        <v>23605.3125</v>
      </c>
      <c r="J22" s="261"/>
      <c r="K22" s="261"/>
      <c r="L22" s="261"/>
      <c r="M22" s="261"/>
      <c r="N22" s="261"/>
      <c r="O22" s="261"/>
      <c r="P22" s="262">
        <f>SUM('Mar-23'!$H22:$O22)</f>
        <v>136011.5625</v>
      </c>
      <c r="Q22" s="259" t="str">
        <f>IFERROR(IF('Mar-23'!$F22="","-",VLOOKUP('Mar-23'!$F22,Lista_CUIT!$A$1:$D$1871,3,0)),"CUIT NO CARGADO")</f>
        <v>INSUMO</v>
      </c>
      <c r="R22" s="263">
        <f>IFERROR(IF('Mar-23'!$F22="","-",VLOOKUP('Mar-23'!$F22,Lista_CUIT!$A$1:$D$1871,4,0)),"CUIT NO CARGADO")</f>
        <v>0</v>
      </c>
    </row>
    <row r="23" spans="2:18" ht="14.25" customHeight="1" x14ac:dyDescent="0.25">
      <c r="B23" s="255">
        <v>44993</v>
      </c>
      <c r="C23" s="256">
        <v>1</v>
      </c>
      <c r="D23" s="257">
        <v>3</v>
      </c>
      <c r="E23" s="13">
        <v>18697</v>
      </c>
      <c r="F23" s="258">
        <v>30707468161</v>
      </c>
      <c r="G23" s="259" t="str">
        <f>IFERROR(IF('Mar-23'!$F23="","-",VLOOKUP('Mar-23'!$F23,Lista_CUIT!$A$1:$D$1871,2,0)),"CUIT NO CARGADO")</f>
        <v>LASERTEC INGENIERIA S.R.L.</v>
      </c>
      <c r="H23" s="260">
        <v>112406.25</v>
      </c>
      <c r="I23" s="261">
        <f>IF('Mar-23'!$H23="","",'Mar-23'!$H23*0.21)</f>
        <v>23605.3125</v>
      </c>
      <c r="J23" s="261"/>
      <c r="K23" s="261"/>
      <c r="L23" s="261"/>
      <c r="M23" s="261"/>
      <c r="N23" s="261"/>
      <c r="O23" s="261"/>
      <c r="P23" s="262">
        <f>SUM('Mar-23'!$H23:$O23)</f>
        <v>136011.5625</v>
      </c>
      <c r="Q23" s="259" t="str">
        <f>IFERROR(IF('Mar-23'!$F23="","-",VLOOKUP('Mar-23'!$F23,Lista_CUIT!$A$1:$D$1871,3,0)),"CUIT NO CARGADO")</f>
        <v>INSUMO</v>
      </c>
      <c r="R23" s="263">
        <f>IFERROR(IF('Mar-23'!$F23="","-",VLOOKUP('Mar-23'!$F23,Lista_CUIT!$A$1:$D$1871,4,0)),"CUIT NO CARGADO")</f>
        <v>0</v>
      </c>
    </row>
    <row r="24" spans="2:18" ht="14.25" customHeight="1" x14ac:dyDescent="0.25">
      <c r="B24" s="264">
        <v>44994</v>
      </c>
      <c r="C24" s="265">
        <v>1</v>
      </c>
      <c r="D24" s="266">
        <v>1</v>
      </c>
      <c r="E24" s="267">
        <v>34</v>
      </c>
      <c r="F24" s="268">
        <v>30717261042</v>
      </c>
      <c r="G24" s="269" t="str">
        <f>IFERROR(IF('Mar-23'!$F24="","-",VLOOKUP('Mar-23'!$F24,Lista_CUIT!$A$1:$D$1871,2,0)),"CUIT NO CARGADO")</f>
        <v>COMEX MARIA SA</v>
      </c>
      <c r="H24" s="270">
        <v>0</v>
      </c>
      <c r="I24" s="271">
        <f>IF('Mar-23'!$H24="","",'Mar-23'!$H24*0.21)</f>
        <v>0</v>
      </c>
      <c r="J24" s="271"/>
      <c r="K24" s="271"/>
      <c r="L24" s="271"/>
      <c r="M24" s="271"/>
      <c r="N24" s="271"/>
      <c r="O24" s="271">
        <v>108786.26</v>
      </c>
      <c r="P24" s="272">
        <f>SUM('Mar-23'!$H24:$O24)</f>
        <v>108786.26</v>
      </c>
      <c r="Q24" s="269" t="str">
        <f>IFERROR(IF('Mar-23'!$F24="","-",VLOOKUP('Mar-23'!$F24,Lista_CUIT!$A$1:$D$1871,3,0)),"CUIT NO CARGADO")</f>
        <v>FLETE</v>
      </c>
      <c r="R24" s="273">
        <f>IFERROR(IF('Mar-23'!$F24="","-",VLOOKUP('Mar-23'!$F24,Lista_CUIT!$A$1:$D$1871,4,0)),"CUIT NO CARGADO")</f>
        <v>0</v>
      </c>
    </row>
    <row r="25" spans="2:18" ht="15" customHeight="1" x14ac:dyDescent="0.25">
      <c r="B25" s="255">
        <v>44994</v>
      </c>
      <c r="C25" s="256">
        <v>1</v>
      </c>
      <c r="D25" s="257">
        <v>3</v>
      </c>
      <c r="E25" s="13">
        <v>53</v>
      </c>
      <c r="F25" s="258">
        <v>20297899830</v>
      </c>
      <c r="G25" s="259" t="str">
        <f>IFERROR(IF('Mar-23'!$F25="","-",VLOOKUP('Mar-23'!$F25,Lista_CUIT!$A$1:$D$1871,2,0)),"CUIT NO CARGADO")</f>
        <v>FUNK MATIAS NICOLAS</v>
      </c>
      <c r="H25" s="260">
        <v>1139315.0999999999</v>
      </c>
      <c r="I25" s="261">
        <f>IF('Mar-23'!$H25="","",'Mar-23'!$H25*0.21)</f>
        <v>239256.17099999997</v>
      </c>
      <c r="J25" s="261"/>
      <c r="K25" s="261"/>
      <c r="L25" s="261"/>
      <c r="M25" s="261"/>
      <c r="N25" s="261"/>
      <c r="O25" s="261"/>
      <c r="P25" s="262">
        <f>SUM('Mar-23'!$H25:$O25)</f>
        <v>1378571.2709999997</v>
      </c>
      <c r="Q25" s="259" t="str">
        <f>IFERROR(IF('Mar-23'!$F25="","-",VLOOKUP('Mar-23'!$F25,Lista_CUIT!$A$1:$D$1871,3,0)),"CUIT NO CARGADO")</f>
        <v>Servicios Torneria</v>
      </c>
      <c r="R25" s="263">
        <f>IFERROR(IF('Mar-23'!$F25="","-",VLOOKUP('Mar-23'!$F25,Lista_CUIT!$A$1:$D$1871,4,0)),"CUIT NO CARGADO")</f>
        <v>0</v>
      </c>
    </row>
    <row r="26" spans="2:18" ht="15" customHeight="1" x14ac:dyDescent="0.25">
      <c r="B26" s="255">
        <v>44995</v>
      </c>
      <c r="C26" s="256">
        <v>1</v>
      </c>
      <c r="D26" s="257">
        <v>2</v>
      </c>
      <c r="E26" s="13">
        <v>208</v>
      </c>
      <c r="F26" s="258">
        <v>30717855805</v>
      </c>
      <c r="G26" s="259" t="str">
        <f>IFERROR(IF('Mar-23'!$F26="","-",VLOOKUP('Mar-23'!$F26,Lista_CUIT!$A$1:$D$1871,2,0)),"CUIT NO CARGADO")</f>
        <v>TITAN SELLER S.R.L.</v>
      </c>
      <c r="H26" s="260">
        <v>52231.4</v>
      </c>
      <c r="I26" s="261">
        <f>IF('Mar-23'!$H26="","",'Mar-23'!$H26*0.21)</f>
        <v>10968.593999999999</v>
      </c>
      <c r="J26" s="261"/>
      <c r="K26" s="261"/>
      <c r="L26" s="261"/>
      <c r="M26" s="261"/>
      <c r="N26" s="261"/>
      <c r="O26" s="261"/>
      <c r="P26" s="262">
        <f>SUM('Mar-23'!$H26:$O26)</f>
        <v>63199.993999999999</v>
      </c>
      <c r="Q26" s="259" t="str">
        <f>IFERROR(IF('Mar-23'!$F26="","-",VLOOKUP('Mar-23'!$F26,Lista_CUIT!$A$1:$D$1871,3,0)),"CUIT NO CARGADO")</f>
        <v>BIENES DE USO</v>
      </c>
      <c r="R26" s="263">
        <f>IFERROR(IF('Mar-23'!$F26="","-",VLOOKUP('Mar-23'!$F26,Lista_CUIT!$A$1:$D$1871,4,0)),"CUIT NO CARGADO")</f>
        <v>0</v>
      </c>
    </row>
    <row r="27" spans="2:18" ht="15" customHeight="1" x14ac:dyDescent="0.25">
      <c r="B27" s="255">
        <v>44995</v>
      </c>
      <c r="C27" s="256">
        <v>1</v>
      </c>
      <c r="D27" s="257">
        <v>280</v>
      </c>
      <c r="E27" s="13">
        <v>1419195</v>
      </c>
      <c r="F27" s="258">
        <v>30580111315</v>
      </c>
      <c r="G27" s="259" t="str">
        <f>IFERROR(IF('Mar-23'!$F27="","-",VLOOKUP('Mar-23'!$F27,Lista_CUIT!$A$1:$D$1871,2,0)),"CUIT NO CARGADO")</f>
        <v>DHL EXPRESS ARG SA</v>
      </c>
      <c r="H27" s="260">
        <v>207228.34080000001</v>
      </c>
      <c r="I27" s="261">
        <f>IF('Mar-23'!$H27="","",'Mar-23'!$H27*0.21)</f>
        <v>43517.951567999997</v>
      </c>
      <c r="J27" s="261"/>
      <c r="K27" s="261"/>
      <c r="L27" s="261"/>
      <c r="M27" s="261"/>
      <c r="N27" s="261"/>
      <c r="O27" s="261">
        <v>-169089.81479999999</v>
      </c>
      <c r="P27" s="262">
        <f>SUM('Mar-23'!$H27:$O27)</f>
        <v>81656.477568000002</v>
      </c>
      <c r="Q27" s="259" t="str">
        <f>IFERROR(IF('Mar-23'!$F27="","-",VLOOKUP('Mar-23'!$F27,Lista_CUIT!$A$1:$D$1871,3,0)),"CUIT NO CARGADO")</f>
        <v>GTOS IMP.</v>
      </c>
      <c r="R27" s="263">
        <f>IFERROR(IF('Mar-23'!$F27="","-",VLOOKUP('Mar-23'!$F27,Lista_CUIT!$A$1:$D$1871,4,0)),"CUIT NO CARGADO")</f>
        <v>0</v>
      </c>
    </row>
    <row r="28" spans="2:18" ht="15" customHeight="1" x14ac:dyDescent="0.25">
      <c r="B28" s="264">
        <v>44996</v>
      </c>
      <c r="C28" s="265">
        <v>1</v>
      </c>
      <c r="D28" s="266">
        <v>2466</v>
      </c>
      <c r="E28" s="267">
        <v>483927</v>
      </c>
      <c r="F28" s="268">
        <v>30678814357</v>
      </c>
      <c r="G28" s="269" t="str">
        <f>IFERROR(IF('Mar-23'!$F28="","-",VLOOKUP('Mar-23'!$F28,Lista_CUIT!$A$1:$D$1871,2,0)),"CUIT NO CARGADO")</f>
        <v>Telefonica Moviles Argentina SA</v>
      </c>
      <c r="H28" s="270">
        <v>3465</v>
      </c>
      <c r="I28" s="271"/>
      <c r="J28" s="271">
        <v>935.55</v>
      </c>
      <c r="K28" s="271"/>
      <c r="L28" s="271">
        <v>103.95</v>
      </c>
      <c r="M28" s="271"/>
      <c r="N28" s="271"/>
      <c r="O28" s="271">
        <v>182.37</v>
      </c>
      <c r="P28" s="272">
        <f>SUM('Mar-23'!$H28:$O28)</f>
        <v>4686.87</v>
      </c>
      <c r="Q28" s="269" t="str">
        <f>IFERROR(IF('Mar-23'!$F28="","-",VLOOKUP('Mar-23'!$F28,Lista_CUIT!$A$1:$D$1871,3,0)),"CUIT NO CARGADO")</f>
        <v>SERVICIOS GAS, LUZ, ETC</v>
      </c>
      <c r="R28" s="273">
        <f>IFERROR(IF('Mar-23'!$F28="","-",VLOOKUP('Mar-23'!$F28,Lista_CUIT!$A$1:$D$1871,4,0)),"CUIT NO CARGADO")</f>
        <v>0</v>
      </c>
    </row>
    <row r="29" spans="2:18" ht="15" customHeight="1" x14ac:dyDescent="0.25">
      <c r="B29" s="255">
        <v>44998</v>
      </c>
      <c r="C29" s="256">
        <v>1</v>
      </c>
      <c r="D29" s="257">
        <v>700</v>
      </c>
      <c r="E29" s="13">
        <v>496342</v>
      </c>
      <c r="F29" s="258">
        <v>30580111315</v>
      </c>
      <c r="G29" s="259" t="str">
        <f>IFERROR(IF('Mar-23'!$F29="","-",VLOOKUP('Mar-23'!$F29,Lista_CUIT!$A$1:$D$1871,2,0)),"CUIT NO CARGADO")</f>
        <v>DHL EXPRESS ARG SA</v>
      </c>
      <c r="H29" s="260">
        <v>2898</v>
      </c>
      <c r="I29" s="261">
        <f>IF('Mar-23'!$H29="","",'Mar-23'!$H29*0.21)</f>
        <v>608.57999999999993</v>
      </c>
      <c r="J29" s="261"/>
      <c r="K29" s="261"/>
      <c r="L29" s="261"/>
      <c r="M29" s="261"/>
      <c r="N29" s="261"/>
      <c r="O29" s="261">
        <v>65747.34</v>
      </c>
      <c r="P29" s="262">
        <f>SUM('Mar-23'!$H29:$O29)</f>
        <v>69253.919999999998</v>
      </c>
      <c r="Q29" s="259" t="str">
        <f>IFERROR(IF('Mar-23'!$F29="","-",VLOOKUP('Mar-23'!$F29,Lista_CUIT!$A$1:$D$1871,3,0)),"CUIT NO CARGADO")</f>
        <v>GTOS IMP.</v>
      </c>
      <c r="R29" s="263">
        <f>IFERROR(IF('Mar-23'!$F29="","-",VLOOKUP('Mar-23'!$F29,Lista_CUIT!$A$1:$D$1871,4,0)),"CUIT NO CARGADO")</f>
        <v>0</v>
      </c>
    </row>
    <row r="30" spans="2:18" ht="23.25" customHeight="1" x14ac:dyDescent="0.25">
      <c r="B30" s="255">
        <v>44999</v>
      </c>
      <c r="C30" s="256">
        <v>1</v>
      </c>
      <c r="D30" s="257">
        <v>1006</v>
      </c>
      <c r="E30" s="13">
        <v>818712</v>
      </c>
      <c r="F30" s="258">
        <v>30538068841</v>
      </c>
      <c r="G30" s="259" t="str">
        <f>IFERROR(IF('Mar-23'!$F30="","-",VLOOKUP('Mar-23'!$F30,Lista_CUIT!$A$1:$D$1871,2,0)),"CUIT NO CARGADO")</f>
        <v>FAMIQ SRL</v>
      </c>
      <c r="H30" s="260">
        <v>1971965.0649999999</v>
      </c>
      <c r="I30" s="261">
        <f>IF('Mar-23'!$H30="","",'Mar-23'!$H30*0.21)</f>
        <v>414112.66364999994</v>
      </c>
      <c r="J30" s="261"/>
      <c r="K30" s="261"/>
      <c r="L30" s="261"/>
      <c r="M30" s="261"/>
      <c r="N30" s="261"/>
      <c r="O30" s="261"/>
      <c r="P30" s="262">
        <f>SUM('Mar-23'!$H30:$O30)</f>
        <v>2386077.7286499999</v>
      </c>
      <c r="Q30" s="259" t="str">
        <f>IFERROR(IF('Mar-23'!$F30="","-",VLOOKUP('Mar-23'!$F30,Lista_CUIT!$A$1:$D$1871,3,0)),"CUIT NO CARGADO")</f>
        <v>Gastos Varios</v>
      </c>
      <c r="R30" s="263">
        <f>IFERROR(IF('Mar-23'!$F30="","-",VLOOKUP('Mar-23'!$F30,Lista_CUIT!$A$1:$D$1871,4,0)),"CUIT NO CARGADO")</f>
        <v>0</v>
      </c>
    </row>
    <row r="31" spans="2:18" ht="15.75" customHeight="1" x14ac:dyDescent="0.25">
      <c r="B31" s="264">
        <v>44999</v>
      </c>
      <c r="C31" s="265">
        <v>1</v>
      </c>
      <c r="D31" s="266">
        <v>122</v>
      </c>
      <c r="E31" s="267">
        <v>269214</v>
      </c>
      <c r="F31" s="268">
        <v>30594494187</v>
      </c>
      <c r="G31" s="269" t="str">
        <f>IFERROR(IF('Mar-23'!$F31="","-",VLOOKUP('Mar-23'!$F31,Lista_CUIT!$A$1:$D$1871,2,0)),"CUIT NO CARGADO")</f>
        <v>FEDERAL EXPRESS CORPORATION</v>
      </c>
      <c r="H31" s="270">
        <v>11707.88</v>
      </c>
      <c r="I31" s="271">
        <f>IF('Mar-23'!$H31="","",'Mar-23'!$H31*0.21)</f>
        <v>2458.6547999999998</v>
      </c>
      <c r="J31" s="271"/>
      <c r="K31" s="271"/>
      <c r="L31" s="271"/>
      <c r="M31" s="271"/>
      <c r="N31" s="271"/>
      <c r="O31" s="271">
        <v>9378.42</v>
      </c>
      <c r="P31" s="272">
        <f>SUM('Mar-23'!$H31:$O31)</f>
        <v>23544.9548</v>
      </c>
      <c r="Q31" s="269" t="str">
        <f>IFERROR(IF('Mar-23'!$F31="","-",VLOOKUP('Mar-23'!$F31,Lista_CUIT!$A$1:$D$1871,3,0)),"CUIT NO CARGADO")</f>
        <v>GTOS IMP.</v>
      </c>
      <c r="R31" s="273">
        <f>IFERROR(IF('Mar-23'!$F31="","-",VLOOKUP('Mar-23'!$F31,Lista_CUIT!$A$1:$D$1871,4,0)),"CUIT NO CARGADO")</f>
        <v>0</v>
      </c>
    </row>
    <row r="32" spans="2:18" ht="15.75" customHeight="1" x14ac:dyDescent="0.25">
      <c r="B32" s="264">
        <v>44999</v>
      </c>
      <c r="C32" s="265">
        <v>1</v>
      </c>
      <c r="D32" s="266">
        <v>4</v>
      </c>
      <c r="E32" s="267">
        <v>93424</v>
      </c>
      <c r="F32" s="268">
        <v>30559932236</v>
      </c>
      <c r="G32" s="269" t="str">
        <f>IFERROR(IF('Mar-23'!$F32="","-",VLOOKUP('Mar-23'!$F32,Lista_CUIT!$A$1:$D$1871,2,0)),"CUIT NO CARGADO")</f>
        <v>ELECTRONICA ELEMON SA</v>
      </c>
      <c r="H32" s="270">
        <v>473237.8</v>
      </c>
      <c r="I32" s="271">
        <v>78941.600000000006</v>
      </c>
      <c r="J32" s="271"/>
      <c r="K32" s="271">
        <v>10219.17</v>
      </c>
      <c r="L32" s="271"/>
      <c r="M32" s="271"/>
      <c r="N32" s="271"/>
      <c r="O32" s="271"/>
      <c r="P32" s="272">
        <f>SUM('Mar-23'!$H32:$O32)</f>
        <v>562398.57000000007</v>
      </c>
      <c r="Q32" s="269" t="str">
        <f>IFERROR(IF('Mar-23'!$F32="","-",VLOOKUP('Mar-23'!$F32,Lista_CUIT!$A$1:$D$1871,3,0)),"CUIT NO CARGADO")</f>
        <v>MAT. PRIM.</v>
      </c>
      <c r="R32" s="273">
        <f>IFERROR(IF('Mar-23'!$F32="","-",VLOOKUP('Mar-23'!$F32,Lista_CUIT!$A$1:$D$1871,4,0)),"CUIT NO CARGADO")</f>
        <v>0</v>
      </c>
    </row>
    <row r="33" spans="2:18" ht="15.75" customHeight="1" x14ac:dyDescent="0.25">
      <c r="B33" s="264">
        <v>45000</v>
      </c>
      <c r="C33" s="265">
        <v>3</v>
      </c>
      <c r="D33" s="266">
        <v>122</v>
      </c>
      <c r="E33" s="267">
        <v>44532</v>
      </c>
      <c r="F33" s="268">
        <v>30594494187</v>
      </c>
      <c r="G33" s="269" t="str">
        <f>IFERROR(IF('Mar-23'!$F33="","-",VLOOKUP('Mar-23'!$F33,Lista_CUIT!$A$1:$D$1871,2,0)),"CUIT NO CARGADO")</f>
        <v>FEDERAL EXPRESS CORPORATION</v>
      </c>
      <c r="H33" s="270">
        <v>-11707.88</v>
      </c>
      <c r="I33" s="271">
        <f>IF('Mar-23'!$H33="","",'Mar-23'!$H33*0.21)</f>
        <v>-2458.6547999999998</v>
      </c>
      <c r="J33" s="271"/>
      <c r="K33" s="271"/>
      <c r="L33" s="271"/>
      <c r="M33" s="271"/>
      <c r="N33" s="271"/>
      <c r="O33" s="271">
        <v>-9378.42</v>
      </c>
      <c r="P33" s="272">
        <f>SUM('Mar-23'!$H33:$O33)</f>
        <v>-23544.9548</v>
      </c>
      <c r="Q33" s="269" t="str">
        <f>IFERROR(IF('Mar-23'!$F33="","-",VLOOKUP('Mar-23'!$F33,Lista_CUIT!$A$1:$D$1871,3,0)),"CUIT NO CARGADO")</f>
        <v>GTOS IMP.</v>
      </c>
      <c r="R33" s="273">
        <f>IFERROR(IF('Mar-23'!$F33="","-",VLOOKUP('Mar-23'!$F33,Lista_CUIT!$A$1:$D$1871,4,0)),"CUIT NO CARGADO")</f>
        <v>0</v>
      </c>
    </row>
    <row r="34" spans="2:18" ht="15.75" customHeight="1" x14ac:dyDescent="0.25">
      <c r="B34" s="255">
        <v>45001</v>
      </c>
      <c r="C34" s="256">
        <v>1</v>
      </c>
      <c r="D34" s="257">
        <v>5</v>
      </c>
      <c r="E34" s="13">
        <v>1598</v>
      </c>
      <c r="F34" s="258">
        <v>30716006391</v>
      </c>
      <c r="G34" s="259" t="str">
        <f>IFERROR(IF('Mar-23'!$F34="","-",VLOOKUP('Mar-23'!$F34,Lista_CUIT!$A$1:$D$1871,2,0)),"CUIT NO CARGADO")</f>
        <v xml:space="preserve">ALISSING </v>
      </c>
      <c r="H34" s="260">
        <v>6895.87</v>
      </c>
      <c r="I34" s="261">
        <f>IF('Mar-23'!$H34="","",'Mar-23'!$H34*0.21)</f>
        <v>1448.1326999999999</v>
      </c>
      <c r="J34" s="261"/>
      <c r="K34" s="261"/>
      <c r="L34" s="261"/>
      <c r="M34" s="261"/>
      <c r="N34" s="261"/>
      <c r="O34" s="261"/>
      <c r="P34" s="262">
        <f>SUM('Mar-23'!$H34:$O34)</f>
        <v>8344.0026999999991</v>
      </c>
      <c r="Q34" s="259" t="str">
        <f>IFERROR(IF('Mar-23'!$F34="","-",VLOOKUP('Mar-23'!$F34,Lista_CUIT!$A$1:$D$1871,3,0)),"CUIT NO CARGADO")</f>
        <v>Gastos Varios</v>
      </c>
      <c r="R34" s="263">
        <f>IFERROR(IF('Mar-23'!$F34="","-",VLOOKUP('Mar-23'!$F34,Lista_CUIT!$A$1:$D$1871,4,0)),"CUIT NO CARGADO")</f>
        <v>0</v>
      </c>
    </row>
    <row r="35" spans="2:18" ht="15.75" customHeight="1" x14ac:dyDescent="0.25">
      <c r="B35" s="314">
        <v>45001</v>
      </c>
      <c r="C35" s="315">
        <v>1</v>
      </c>
      <c r="D35" s="316">
        <v>8</v>
      </c>
      <c r="E35" s="317">
        <v>162500</v>
      </c>
      <c r="F35" s="318">
        <v>33606484599</v>
      </c>
      <c r="G35" s="319" t="str">
        <f>IFERROR(IF('Mar-23'!$F35="","-",VLOOKUP('Mar-23'!$F35,Lista_CUIT!$A$1:$D$1871,2,0)),"CUIT NO CARGADO")</f>
        <v>JORVICAL ACEROS SA</v>
      </c>
      <c r="H35" s="320">
        <v>1395982.9</v>
      </c>
      <c r="I35" s="321">
        <f>IF('Mar-23'!$H35="","",'Mar-23'!$H35*0.21)</f>
        <v>293156.40899999999</v>
      </c>
      <c r="J35" s="321"/>
      <c r="K35" s="321"/>
      <c r="L35" s="321"/>
      <c r="M35" s="321"/>
      <c r="N35" s="321"/>
      <c r="O35" s="321"/>
      <c r="P35" s="322">
        <f>SUM('Mar-23'!$H35:$O35)</f>
        <v>1689139.3089999999</v>
      </c>
      <c r="Q35" s="319" t="str">
        <f>IFERROR(IF('Mar-23'!$F35="","-",VLOOKUP('Mar-23'!$F35,Lista_CUIT!$A$1:$D$1871,3,0)),"CUIT NO CARGADO")</f>
        <v>MAT. PRIM.</v>
      </c>
      <c r="R35" s="323">
        <f>IFERROR(IF('Mar-23'!$F35="","-",VLOOKUP('Mar-23'!$F35,Lista_CUIT!$A$1:$D$1871,4,0)),"CUIT NO CARGADO")</f>
        <v>0</v>
      </c>
    </row>
    <row r="36" spans="2:18" ht="15.75" customHeight="1" x14ac:dyDescent="0.25">
      <c r="B36" s="255">
        <v>45001</v>
      </c>
      <c r="C36" s="256">
        <v>1</v>
      </c>
      <c r="D36" s="257">
        <v>3</v>
      </c>
      <c r="E36" s="13">
        <v>22424</v>
      </c>
      <c r="F36" s="258">
        <v>30709511846</v>
      </c>
      <c r="G36" s="259" t="str">
        <f>IFERROR(IF('Mar-23'!$F36="","-",VLOOKUP('Mar-23'!$F36,Lista_CUIT!$A$1:$D$1871,2,0)),"CUIT NO CARGADO")</f>
        <v>KURIABE S. A.</v>
      </c>
      <c r="H36" s="260">
        <v>8030.76</v>
      </c>
      <c r="I36" s="261"/>
      <c r="J36" s="261"/>
      <c r="K36" s="261">
        <v>843.23</v>
      </c>
      <c r="L36" s="261"/>
      <c r="M36" s="261"/>
      <c r="N36" s="261"/>
      <c r="O36" s="261"/>
      <c r="P36" s="262">
        <f>SUM('Mar-23'!$H36:$O36)</f>
        <v>8873.99</v>
      </c>
      <c r="Q36" s="259" t="str">
        <f>IFERROR(IF('Mar-23'!$F36="","-",VLOOKUP('Mar-23'!$F36,Lista_CUIT!$A$1:$D$1871,3,0)),"CUIT NO CARGADO")</f>
        <v>Gastos Varios</v>
      </c>
      <c r="R36" s="263">
        <f>IFERROR(IF('Mar-23'!$F36="","-",VLOOKUP('Mar-23'!$F36,Lista_CUIT!$A$1:$D$1871,4,0)),"CUIT NO CARGADO")</f>
        <v>0</v>
      </c>
    </row>
    <row r="37" spans="2:18" ht="15.75" customHeight="1" x14ac:dyDescent="0.25">
      <c r="B37" s="255">
        <v>45001</v>
      </c>
      <c r="C37" s="256">
        <v>1</v>
      </c>
      <c r="D37" s="257">
        <v>3</v>
      </c>
      <c r="E37" s="13">
        <v>2183</v>
      </c>
      <c r="F37" s="258">
        <v>30712387722</v>
      </c>
      <c r="G37" s="259" t="str">
        <f>IFERROR(IF('Mar-23'!$F37="","-",VLOOKUP('Mar-23'!$F37,Lista_CUIT!$A$1:$D$1871,2,0)),"CUIT NO CARGADO")</f>
        <v>FERNANDEZ NATALIA S. Y FERNANDEZ HERNAN P. S.H.</v>
      </c>
      <c r="H37" s="260">
        <v>2986.42</v>
      </c>
      <c r="I37" s="261"/>
      <c r="J37" s="261"/>
      <c r="K37" s="261">
        <v>313.57</v>
      </c>
      <c r="L37" s="261"/>
      <c r="M37" s="261"/>
      <c r="N37" s="261"/>
      <c r="O37" s="261"/>
      <c r="P37" s="262">
        <f>SUM('Mar-23'!$H37:$O37)</f>
        <v>3299.9900000000002</v>
      </c>
      <c r="Q37" s="259" t="str">
        <f>IFERROR(IF('Mar-23'!$F37="","-",VLOOKUP('Mar-23'!$F37,Lista_CUIT!$A$1:$D$1871,3,0)),"CUIT NO CARGADO")</f>
        <v>Gastos Varios</v>
      </c>
      <c r="R37" s="263">
        <f>IFERROR(IF('Mar-23'!$F37="","-",VLOOKUP('Mar-23'!$F37,Lista_CUIT!$A$1:$D$1871,4,0)),"CUIT NO CARGADO")</f>
        <v>0</v>
      </c>
    </row>
    <row r="38" spans="2:18" ht="15.75" customHeight="1" x14ac:dyDescent="0.25">
      <c r="B38" s="264">
        <v>45002</v>
      </c>
      <c r="C38" s="265">
        <v>1</v>
      </c>
      <c r="D38" s="266">
        <v>2</v>
      </c>
      <c r="E38" s="267">
        <v>163</v>
      </c>
      <c r="F38" s="268">
        <v>20125142851</v>
      </c>
      <c r="G38" s="269" t="str">
        <f>IFERROR(IF('Mar-23'!$F38="","-",VLOOKUP('Mar-23'!$F38,Lista_CUIT!$A$1:$D$1871,2,0)),"CUIT NO CARGADO")</f>
        <v>FEDERICI NICOLAS JOSE</v>
      </c>
      <c r="H38" s="270">
        <v>114071.24</v>
      </c>
      <c r="I38" s="271">
        <f>IF('Mar-23'!$H38="","",'Mar-23'!$H38*0.21)</f>
        <v>23954.9604</v>
      </c>
      <c r="J38" s="271"/>
      <c r="K38" s="271"/>
      <c r="L38" s="271"/>
      <c r="M38" s="271"/>
      <c r="N38" s="271"/>
      <c r="O38" s="271"/>
      <c r="P38" s="272">
        <f>SUM('Mar-23'!$H38:$O38)</f>
        <v>138026.2004</v>
      </c>
      <c r="Q38" s="269" t="str">
        <f>IFERROR(IF('Mar-23'!$F38="","-",VLOOKUP('Mar-23'!$F38,Lista_CUIT!$A$1:$D$1871,3,0)),"CUIT NO CARGADO")</f>
        <v>INSUMO</v>
      </c>
      <c r="R38" s="273">
        <f>IFERROR(IF('Mar-23'!$F38="","-",VLOOKUP('Mar-23'!$F38,Lista_CUIT!$A$1:$D$1871,4,0)),"CUIT NO CARGADO")</f>
        <v>0</v>
      </c>
    </row>
    <row r="39" spans="2:18" ht="15.75" customHeight="1" x14ac:dyDescent="0.25">
      <c r="B39" s="255">
        <v>45002</v>
      </c>
      <c r="C39" s="256">
        <v>1</v>
      </c>
      <c r="D39" s="257">
        <v>2</v>
      </c>
      <c r="E39" s="13">
        <v>2361</v>
      </c>
      <c r="F39" s="258">
        <v>30709131733</v>
      </c>
      <c r="G39" s="259" t="str">
        <f>IFERROR(IF('Mar-23'!$F39="","-",VLOOKUP('Mar-23'!$F39,Lista_CUIT!$A$1:$D$1871,2,0)),"CUIT NO CARGADO")</f>
        <v>DIGAS SRL</v>
      </c>
      <c r="H39" s="260">
        <v>556484</v>
      </c>
      <c r="I39" s="261">
        <f>IF('Mar-23'!$H39="","",'Mar-23'!$H39*0.21)</f>
        <v>116861.64</v>
      </c>
      <c r="J39" s="261"/>
      <c r="K39" s="261"/>
      <c r="L39" s="261"/>
      <c r="M39" s="261"/>
      <c r="N39" s="261"/>
      <c r="O39" s="261"/>
      <c r="P39" s="262">
        <f>SUM('Mar-23'!$H39:$O39)</f>
        <v>673345.64</v>
      </c>
      <c r="Q39" s="259" t="str">
        <f>IFERROR(IF('Mar-23'!$F39="","-",VLOOKUP('Mar-23'!$F39,Lista_CUIT!$A$1:$D$1871,3,0)),"CUIT NO CARGADO")</f>
        <v>INSUMO</v>
      </c>
      <c r="R39" s="263">
        <f>IFERROR(IF('Mar-23'!$F39="","-",VLOOKUP('Mar-23'!$F39,Lista_CUIT!$A$1:$D$1871,4,0)),"CUIT NO CARGADO")</f>
        <v>0</v>
      </c>
    </row>
    <row r="40" spans="2:18" ht="15.75" customHeight="1" x14ac:dyDescent="0.25">
      <c r="B40" s="255">
        <v>45002</v>
      </c>
      <c r="C40" s="256">
        <v>1</v>
      </c>
      <c r="D40" s="257">
        <v>3</v>
      </c>
      <c r="E40" s="13">
        <v>22442</v>
      </c>
      <c r="F40" s="258">
        <v>30709511846</v>
      </c>
      <c r="G40" s="259" t="str">
        <f>IFERROR(IF('Mar-23'!$F40="","-",VLOOKUP('Mar-23'!$F40,Lista_CUIT!$A$1:$D$1871,2,0)),"CUIT NO CARGADO")</f>
        <v>KURIABE S. A.</v>
      </c>
      <c r="H40" s="260">
        <v>3906.78</v>
      </c>
      <c r="I40" s="261"/>
      <c r="J40" s="261"/>
      <c r="K40" s="261">
        <v>410.21</v>
      </c>
      <c r="L40" s="261"/>
      <c r="M40" s="261"/>
      <c r="N40" s="261"/>
      <c r="O40" s="261"/>
      <c r="P40" s="262">
        <f>SUM('Mar-23'!$H40:$O40)</f>
        <v>4316.99</v>
      </c>
      <c r="Q40" s="259" t="str">
        <f>IFERROR(IF('Mar-23'!$F40="","-",VLOOKUP('Mar-23'!$F40,Lista_CUIT!$A$1:$D$1871,3,0)),"CUIT NO CARGADO")</f>
        <v>Gastos Varios</v>
      </c>
      <c r="R40" s="263">
        <f>IFERROR(IF('Mar-23'!$F40="","-",VLOOKUP('Mar-23'!$F40,Lista_CUIT!$A$1:$D$1871,4,0)),"CUIT NO CARGADO")</f>
        <v>0</v>
      </c>
    </row>
    <row r="41" spans="2:18" ht="15.75" customHeight="1" x14ac:dyDescent="0.25">
      <c r="B41" s="255">
        <v>45002</v>
      </c>
      <c r="C41" s="256">
        <v>1</v>
      </c>
      <c r="D41" s="257">
        <v>7</v>
      </c>
      <c r="E41" s="13">
        <v>9178</v>
      </c>
      <c r="F41" s="258">
        <v>30690966790</v>
      </c>
      <c r="G41" s="259" t="str">
        <f>IFERROR(IF('Mar-23'!$F41="","-",VLOOKUP('Mar-23'!$F41,Lista_CUIT!$A$1:$D$1871,2,0)),"CUIT NO CARGADO")</f>
        <v xml:space="preserve">SUMINISTROS Y TUBERIAS </v>
      </c>
      <c r="H41" s="260">
        <v>1344274.56</v>
      </c>
      <c r="I41" s="261">
        <f>IF('Mar-23'!$H41="","",'Mar-23'!$H41*0.21)</f>
        <v>282297.65759999998</v>
      </c>
      <c r="J41" s="261"/>
      <c r="K41" s="261"/>
      <c r="L41" s="261"/>
      <c r="M41" s="261"/>
      <c r="N41" s="261"/>
      <c r="O41" s="261"/>
      <c r="P41" s="262">
        <f>SUM('Mar-23'!$H41:$O41)</f>
        <v>1626572.2176000001</v>
      </c>
      <c r="Q41" s="259" t="str">
        <f>IFERROR(IF('Mar-23'!$F41="","-",VLOOKUP('Mar-23'!$F41,Lista_CUIT!$A$1:$D$1871,3,0)),"CUIT NO CARGADO")</f>
        <v>INSUMO</v>
      </c>
      <c r="R41" s="263">
        <f>IFERROR(IF('Mar-23'!$F41="","-",VLOOKUP('Mar-23'!$F41,Lista_CUIT!$A$1:$D$1871,4,0)),"CUIT NO CARGADO")</f>
        <v>0</v>
      </c>
    </row>
    <row r="42" spans="2:18" ht="15.75" customHeight="1" x14ac:dyDescent="0.25">
      <c r="B42" s="255">
        <v>45002</v>
      </c>
      <c r="C42" s="256">
        <v>1</v>
      </c>
      <c r="D42" s="257">
        <v>3</v>
      </c>
      <c r="E42" s="13">
        <v>216346</v>
      </c>
      <c r="F42" s="258">
        <v>33658043779</v>
      </c>
      <c r="G42" s="259" t="str">
        <f>IFERROR(IF('Mar-23'!$F42="","-",VLOOKUP('Mar-23'!$F42,Lista_CUIT!$A$1:$D$1871,2,0)),"CUIT NO CARGADO")</f>
        <v>BUREAU VERITAS ARGENTINA SA</v>
      </c>
      <c r="H42" s="260">
        <v>148000</v>
      </c>
      <c r="I42" s="261">
        <f>IF('Mar-23'!$H42="","",'Mar-23'!$H42*0.21)</f>
        <v>31080</v>
      </c>
      <c r="J42" s="261"/>
      <c r="K42" s="261"/>
      <c r="L42" s="261"/>
      <c r="M42" s="261"/>
      <c r="N42" s="261"/>
      <c r="O42" s="261"/>
      <c r="P42" s="262">
        <f>SUM('Mar-23'!$H42:$O42)</f>
        <v>179080</v>
      </c>
      <c r="Q42" s="259" t="str">
        <f>IFERROR(IF('Mar-23'!$F42="","-",VLOOKUP('Mar-23'!$F42,Lista_CUIT!$A$1:$D$1871,3,0)),"CUIT NO CARGADO")</f>
        <v>ISO 9001</v>
      </c>
      <c r="R42" s="263">
        <f>IFERROR(IF('Mar-23'!$F42="","-",VLOOKUP('Mar-23'!$F42,Lista_CUIT!$A$1:$D$1871,4,0)),"CUIT NO CARGADO")</f>
        <v>0</v>
      </c>
    </row>
    <row r="43" spans="2:18" ht="15.75" customHeight="1" x14ac:dyDescent="0.25">
      <c r="B43" s="314">
        <v>45002</v>
      </c>
      <c r="C43" s="315">
        <v>1</v>
      </c>
      <c r="D43" s="316">
        <v>2</v>
      </c>
      <c r="E43" s="317">
        <v>164</v>
      </c>
      <c r="F43" s="318">
        <v>20125142851</v>
      </c>
      <c r="G43" s="319" t="str">
        <f>IFERROR(IF('Mar-23'!$F43="","-",VLOOKUP('Mar-23'!$F43,Lista_CUIT!$A$1:$D$1871,2,0)),"CUIT NO CARGADO")</f>
        <v>FEDERICI NICOLAS JOSE</v>
      </c>
      <c r="H43" s="320">
        <v>149990.38</v>
      </c>
      <c r="I43" s="321">
        <f>IF('Mar-23'!$H43="","",'Mar-23'!$H43*0.21)</f>
        <v>31497.979800000001</v>
      </c>
      <c r="J43" s="321"/>
      <c r="K43" s="321"/>
      <c r="L43" s="321"/>
      <c r="M43" s="321"/>
      <c r="N43" s="321"/>
      <c r="O43" s="321"/>
      <c r="P43" s="322">
        <f>SUM('Mar-23'!$H43:$O43)</f>
        <v>181488.35980000001</v>
      </c>
      <c r="Q43" s="319" t="str">
        <f>IFERROR(IF('Mar-23'!$F43="","-",VLOOKUP('Mar-23'!$F43,Lista_CUIT!$A$1:$D$1871,3,0)),"CUIT NO CARGADO")</f>
        <v>INSUMO</v>
      </c>
      <c r="R43" s="323">
        <f>IFERROR(IF('Mar-23'!$F43="","-",VLOOKUP('Mar-23'!$F43,Lista_CUIT!$A$1:$D$1871,4,0)),"CUIT NO CARGADO")</f>
        <v>0</v>
      </c>
    </row>
    <row r="44" spans="2:18" ht="15.75" customHeight="1" x14ac:dyDescent="0.25">
      <c r="B44" s="255">
        <v>45002</v>
      </c>
      <c r="C44" s="256">
        <v>1</v>
      </c>
      <c r="D44" s="257">
        <v>11</v>
      </c>
      <c r="E44" s="13">
        <v>2837</v>
      </c>
      <c r="F44" s="258">
        <v>30695446426</v>
      </c>
      <c r="G44" s="259" t="str">
        <f>IFERROR(IF('Mar-23'!$F44="","-",VLOOKUP('Mar-23'!$F44,Lista_CUIT!$A$1:$D$1871,2,0)),"CUIT NO CARGADO")</f>
        <v>DURAN MARCELO ALEJANDRO Y FIOROTTO AMERICO ANTONIO SH</v>
      </c>
      <c r="H44" s="260">
        <v>6290.29</v>
      </c>
      <c r="I44" s="261">
        <f>IF('Mar-23'!$H44="","",'Mar-23'!$H44*0.21)</f>
        <v>1320.9609</v>
      </c>
      <c r="J44" s="261"/>
      <c r="K44" s="261"/>
      <c r="L44" s="261"/>
      <c r="M44" s="261"/>
      <c r="N44" s="261"/>
      <c r="O44" s="261"/>
      <c r="P44" s="262">
        <f>SUM('Mar-23'!$H44:$O44)</f>
        <v>7611.2509</v>
      </c>
      <c r="Q44" s="259" t="str">
        <f>IFERROR(IF('Mar-23'!$F44="","-",VLOOKUP('Mar-23'!$F44,Lista_CUIT!$A$1:$D$1871,3,0)),"CUIT NO CARGADO")</f>
        <v>Gastos Varios</v>
      </c>
      <c r="R44" s="263">
        <f>IFERROR(IF('Mar-23'!$F44="","-",VLOOKUP('Mar-23'!$F44,Lista_CUIT!$A$1:$D$1871,4,0)),"CUIT NO CARGADO")</f>
        <v>0</v>
      </c>
    </row>
    <row r="45" spans="2:18" ht="15.75" customHeight="1" x14ac:dyDescent="0.25">
      <c r="B45" s="255">
        <v>45002</v>
      </c>
      <c r="C45" s="256">
        <v>1</v>
      </c>
      <c r="D45" s="257">
        <v>280</v>
      </c>
      <c r="E45" s="13">
        <v>1420545</v>
      </c>
      <c r="F45" s="258">
        <v>30580111315</v>
      </c>
      <c r="G45" s="259" t="str">
        <f>IFERROR(IF('Mar-23'!$F45="","-",VLOOKUP('Mar-23'!$F45,Lista_CUIT!$A$1:$D$1871,2,0)),"CUIT NO CARGADO")</f>
        <v>DHL EXPRESS ARG SA</v>
      </c>
      <c r="H45" s="260">
        <v>196549.41940000001</v>
      </c>
      <c r="I45" s="261">
        <v>36508.906000000003</v>
      </c>
      <c r="J45" s="261"/>
      <c r="K45" s="261">
        <v>2382.5156000000002</v>
      </c>
      <c r="L45" s="261"/>
      <c r="M45" s="261"/>
      <c r="N45" s="261"/>
      <c r="O45" s="261">
        <v>-161611.269</v>
      </c>
      <c r="P45" s="262">
        <f>SUM('Mar-23'!$H45:$O45)</f>
        <v>73829.572000000044</v>
      </c>
      <c r="Q45" s="259" t="str">
        <f>IFERROR(IF('Mar-23'!$F45="","-",VLOOKUP('Mar-23'!$F45,Lista_CUIT!$A$1:$D$1871,3,0)),"CUIT NO CARGADO")</f>
        <v>GTOS IMP.</v>
      </c>
      <c r="R45" s="263">
        <f>IFERROR(IF('Mar-23'!$F45="","-",VLOOKUP('Mar-23'!$F45,Lista_CUIT!$A$1:$D$1871,4,0)),"CUIT NO CARGADO")</f>
        <v>0</v>
      </c>
    </row>
    <row r="46" spans="2:18" ht="15.75" customHeight="1" x14ac:dyDescent="0.25">
      <c r="B46" s="255">
        <v>45005</v>
      </c>
      <c r="C46" s="256">
        <v>1</v>
      </c>
      <c r="D46" s="257">
        <v>4</v>
      </c>
      <c r="E46" s="13">
        <v>4174</v>
      </c>
      <c r="F46" s="258">
        <v>30715865889</v>
      </c>
      <c r="G46" s="259" t="str">
        <f>IFERROR(IF('Mar-23'!$F46="","-",VLOOKUP('Mar-23'!$F46,Lista_CUIT!$A$1:$D$1871,2,0)),"CUIT NO CARGADO")</f>
        <v>HIPERCOM SRL</v>
      </c>
      <c r="H46" s="260">
        <v>3500.83</v>
      </c>
      <c r="I46" s="261">
        <f>IF('Mar-23'!$H46="","",'Mar-23'!$H46*0.21)</f>
        <v>735.1742999999999</v>
      </c>
      <c r="J46" s="261"/>
      <c r="K46" s="261"/>
      <c r="L46" s="261"/>
      <c r="M46" s="261"/>
      <c r="N46" s="261"/>
      <c r="O46" s="261"/>
      <c r="P46" s="262">
        <f>SUM('Mar-23'!$H46:$O46)</f>
        <v>4236.0042999999996</v>
      </c>
      <c r="Q46" s="259" t="str">
        <f>IFERROR(IF('Mar-23'!$F46="","-",VLOOKUP('Mar-23'!$F46,Lista_CUIT!$A$1:$D$1871,3,0)),"CUIT NO CARGADO")</f>
        <v>Gastos Varios</v>
      </c>
      <c r="R46" s="263">
        <f>IFERROR(IF('Mar-23'!$F46="","-",VLOOKUP('Mar-23'!$F46,Lista_CUIT!$A$1:$D$1871,4,0)),"CUIT NO CARGADO")</f>
        <v>0</v>
      </c>
    </row>
    <row r="47" spans="2:18" ht="15.75" customHeight="1" x14ac:dyDescent="0.25">
      <c r="B47" s="255">
        <v>45005</v>
      </c>
      <c r="C47" s="256">
        <v>1</v>
      </c>
      <c r="D47" s="257">
        <v>3</v>
      </c>
      <c r="E47" s="13">
        <v>22468</v>
      </c>
      <c r="F47" s="258">
        <v>30709511846</v>
      </c>
      <c r="G47" s="259" t="str">
        <f>IFERROR(IF('Mar-23'!$F47="","-",VLOOKUP('Mar-23'!$F47,Lista_CUIT!$A$1:$D$1871,2,0)),"CUIT NO CARGADO")</f>
        <v>KURIABE S. A.</v>
      </c>
      <c r="H47" s="260">
        <v>1753.84</v>
      </c>
      <c r="I47" s="261"/>
      <c r="J47" s="261"/>
      <c r="K47" s="261">
        <v>184.15</v>
      </c>
      <c r="L47" s="261"/>
      <c r="M47" s="261"/>
      <c r="N47" s="261"/>
      <c r="O47" s="261"/>
      <c r="P47" s="262">
        <f>SUM('Mar-23'!$H47:$O47)</f>
        <v>1937.99</v>
      </c>
      <c r="Q47" s="259" t="str">
        <f>IFERROR(IF('Mar-23'!$F47="","-",VLOOKUP('Mar-23'!$F47,Lista_CUIT!$A$1:$D$1871,3,0)),"CUIT NO CARGADO")</f>
        <v>Gastos Varios</v>
      </c>
      <c r="R47" s="263">
        <f>IFERROR(IF('Mar-23'!$F47="","-",VLOOKUP('Mar-23'!$F47,Lista_CUIT!$A$1:$D$1871,4,0)),"CUIT NO CARGADO")</f>
        <v>0</v>
      </c>
    </row>
    <row r="48" spans="2:18" ht="15.75" customHeight="1" x14ac:dyDescent="0.25">
      <c r="B48" s="264">
        <v>45005</v>
      </c>
      <c r="C48" s="265">
        <v>1</v>
      </c>
      <c r="D48" s="266">
        <v>3</v>
      </c>
      <c r="E48" s="267">
        <v>7007</v>
      </c>
      <c r="F48" s="268">
        <v>30710212127</v>
      </c>
      <c r="G48" s="269" t="str">
        <f>IFERROR(IF('Mar-23'!$F48="","-",VLOOKUP('Mar-23'!$F48,Lista_CUIT!$A$1:$D$1871,2,0)),"CUIT NO CARGADO")</f>
        <v>COMPONENTES ELECTRICOS SA</v>
      </c>
      <c r="H48" s="270">
        <v>1701208.45</v>
      </c>
      <c r="I48" s="271">
        <f>IF('Mar-23'!$H48="","",'Mar-23'!$H48*0.21)</f>
        <v>357253.7745</v>
      </c>
      <c r="J48" s="271"/>
      <c r="K48" s="271"/>
      <c r="L48" s="271"/>
      <c r="M48" s="271"/>
      <c r="N48" s="271"/>
      <c r="O48" s="271"/>
      <c r="P48" s="272">
        <f>SUM('Mar-23'!$H48:$O48)</f>
        <v>2058462.2245</v>
      </c>
      <c r="Q48" s="269" t="str">
        <f>IFERROR(IF('Mar-23'!$F48="","-",VLOOKUP('Mar-23'!$F48,Lista_CUIT!$A$1:$D$1871,3,0)),"CUIT NO CARGADO")</f>
        <v>INSUMO</v>
      </c>
      <c r="R48" s="273">
        <f>IFERROR(IF('Mar-23'!$F48="","-",VLOOKUP('Mar-23'!$F48,Lista_CUIT!$A$1:$D$1871,4,0)),"CUIT NO CARGADO")</f>
        <v>0</v>
      </c>
    </row>
    <row r="49" spans="1:26" ht="15.75" customHeight="1" x14ac:dyDescent="0.25">
      <c r="B49" s="255">
        <v>45005</v>
      </c>
      <c r="C49" s="256">
        <v>1</v>
      </c>
      <c r="D49" s="257">
        <v>700</v>
      </c>
      <c r="E49" s="13">
        <v>499696</v>
      </c>
      <c r="F49" s="258">
        <v>30580111315</v>
      </c>
      <c r="G49" s="259" t="str">
        <f>IFERROR(IF('Mar-23'!$F49="","-",VLOOKUP('Mar-23'!$F49,Lista_CUIT!$A$1:$D$1871,2,0)),"CUIT NO CARGADO")</f>
        <v>DHL EXPRESS ARG SA</v>
      </c>
      <c r="H49" s="260">
        <v>0</v>
      </c>
      <c r="I49" s="261">
        <f>IF('Mar-23'!$H49="","",'Mar-23'!$H49*0.21)</f>
        <v>0</v>
      </c>
      <c r="J49" s="261"/>
      <c r="K49" s="261"/>
      <c r="L49" s="261"/>
      <c r="M49" s="261"/>
      <c r="N49" s="261"/>
      <c r="O49" s="261">
        <v>24813.599999999999</v>
      </c>
      <c r="P49" s="262">
        <f>SUM('Mar-23'!$H49:$O49)</f>
        <v>24813.599999999999</v>
      </c>
      <c r="Q49" s="259" t="str">
        <f>IFERROR(IF('Mar-23'!$F49="","-",VLOOKUP('Mar-23'!$F49,Lista_CUIT!$A$1:$D$1871,3,0)),"CUIT NO CARGADO")</f>
        <v>GTOS IMP.</v>
      </c>
      <c r="R49" s="263">
        <f>IFERROR(IF('Mar-23'!$F49="","-",VLOOKUP('Mar-23'!$F49,Lista_CUIT!$A$1:$D$1871,4,0)),"CUIT NO CARGADO")</f>
        <v>0</v>
      </c>
    </row>
    <row r="50" spans="1:26" ht="15.75" customHeight="1" x14ac:dyDescent="0.25">
      <c r="B50" s="255">
        <v>45005</v>
      </c>
      <c r="C50" s="256">
        <v>1</v>
      </c>
      <c r="D50" s="257">
        <v>700</v>
      </c>
      <c r="E50" s="13">
        <v>500713</v>
      </c>
      <c r="F50" s="258">
        <v>30580111315</v>
      </c>
      <c r="G50" s="259" t="str">
        <f>IFERROR(IF('Mar-23'!$F50="","-",VLOOKUP('Mar-23'!$F50,Lista_CUIT!$A$1:$D$1871,2,0)),"CUIT NO CARGADO")</f>
        <v>DHL EXPRESS ARG SA</v>
      </c>
      <c r="H50" s="260">
        <v>2940</v>
      </c>
      <c r="I50" s="261">
        <f>IF('Mar-23'!$H50="","",'Mar-23'!$H50*0.21)</f>
        <v>617.4</v>
      </c>
      <c r="J50" s="261"/>
      <c r="K50" s="261"/>
      <c r="L50" s="261"/>
      <c r="M50" s="261"/>
      <c r="N50" s="261"/>
      <c r="O50" s="274">
        <v>91177.8</v>
      </c>
      <c r="P50" s="262">
        <f>SUM('Mar-23'!$H50:$O50)</f>
        <v>94735.2</v>
      </c>
      <c r="Q50" s="259" t="str">
        <f>IFERROR(IF('Mar-23'!$F50="","-",VLOOKUP('Mar-23'!$F50,Lista_CUIT!$A$1:$D$1871,3,0)),"CUIT NO CARGADO")</f>
        <v>GTOS IMP.</v>
      </c>
      <c r="R50" s="263">
        <f>IFERROR(IF('Mar-23'!$F50="","-",VLOOKUP('Mar-23'!$F50,Lista_CUIT!$A$1:$D$1871,4,0)),"CUIT NO CARGADO")</f>
        <v>0</v>
      </c>
    </row>
    <row r="51" spans="1:26" ht="15.75" customHeight="1" x14ac:dyDescent="0.25">
      <c r="B51" s="264">
        <v>45005</v>
      </c>
      <c r="C51" s="265">
        <v>3</v>
      </c>
      <c r="D51" s="266">
        <v>4</v>
      </c>
      <c r="E51" s="267">
        <v>8042</v>
      </c>
      <c r="F51" s="268">
        <v>30559932236</v>
      </c>
      <c r="G51" s="269" t="str">
        <f>IFERROR(IF('Mar-23'!$F51="","-",VLOOKUP('Mar-23'!$F51,Lista_CUIT!$A$1:$D$1871,2,0)),"CUIT NO CARGADO")</f>
        <v>ELECTRONICA ELEMON SA</v>
      </c>
      <c r="H51" s="270">
        <v>-51751.71</v>
      </c>
      <c r="I51" s="271"/>
      <c r="J51" s="271"/>
      <c r="K51" s="271">
        <v>-5433.93</v>
      </c>
      <c r="L51" s="271"/>
      <c r="M51" s="271"/>
      <c r="N51" s="271"/>
      <c r="O51" s="271"/>
      <c r="P51" s="272">
        <f>SUM('Mar-23'!$H51:$O51)</f>
        <v>-57185.64</v>
      </c>
      <c r="Q51" s="269" t="str">
        <f>IFERROR(IF('Mar-23'!$F51="","-",VLOOKUP('Mar-23'!$F51,Lista_CUIT!$A$1:$D$1871,3,0)),"CUIT NO CARGADO")</f>
        <v>MAT. PRIM.</v>
      </c>
      <c r="R51" s="273">
        <f>IFERROR(IF('Mar-23'!$F51="","-",VLOOKUP('Mar-23'!$F51,Lista_CUIT!$A$1:$D$1871,4,0)),"CUIT NO CARGADO")</f>
        <v>0</v>
      </c>
    </row>
    <row r="52" spans="1:26" ht="15.75" customHeight="1" x14ac:dyDescent="0.25">
      <c r="B52" s="314">
        <v>45006</v>
      </c>
      <c r="C52" s="315">
        <v>1</v>
      </c>
      <c r="D52" s="316">
        <v>1</v>
      </c>
      <c r="E52" s="317">
        <v>146</v>
      </c>
      <c r="F52" s="318">
        <v>30715713272</v>
      </c>
      <c r="G52" s="319" t="str">
        <f>IFERROR(IF('Mar-23'!$F52="","-",VLOOKUP('Mar-23'!$F52,Lista_CUIT!$A$1:$D$1871,2,0)),"CUIT NO CARGADO")</f>
        <v>MALAGA GROUP SRL</v>
      </c>
      <c r="H52" s="320">
        <v>52479.33</v>
      </c>
      <c r="I52" s="321">
        <f>IF('Mar-23'!$H52="","",'Mar-23'!$H52*0.21)</f>
        <v>11020.659299999999</v>
      </c>
      <c r="J52" s="321"/>
      <c r="K52" s="321"/>
      <c r="L52" s="321"/>
      <c r="M52" s="321"/>
      <c r="N52" s="321"/>
      <c r="O52" s="321"/>
      <c r="P52" s="322">
        <f>SUM('Mar-23'!$H52:$O52)</f>
        <v>63499.989300000001</v>
      </c>
      <c r="Q52" s="319" t="str">
        <f>IFERROR(IF('Mar-23'!$F52="","-",VLOOKUP('Mar-23'!$F52,Lista_CUIT!$A$1:$D$1871,3,0)),"CUIT NO CARGADO")</f>
        <v>Gastos Varios</v>
      </c>
      <c r="R52" s="323">
        <f>IFERROR(IF('Mar-23'!$F52="","-",VLOOKUP('Mar-23'!$F52,Lista_CUIT!$A$1:$D$1871,4,0)),"CUIT NO CARGADO")</f>
        <v>0</v>
      </c>
    </row>
    <row r="53" spans="1:26" ht="15.75" customHeight="1" x14ac:dyDescent="0.25">
      <c r="B53" s="255">
        <v>45006</v>
      </c>
      <c r="C53" s="256">
        <v>1</v>
      </c>
      <c r="D53" s="257">
        <v>3</v>
      </c>
      <c r="E53" s="13">
        <v>3160</v>
      </c>
      <c r="F53" s="258">
        <v>30716578077</v>
      </c>
      <c r="G53" s="259" t="str">
        <f>IFERROR(IF('Mar-23'!$F53="","-",VLOOKUP('Mar-23'!$F53,Lista_CUIT!$A$1:$D$1871,2,0)),"CUIT NO CARGADO")</f>
        <v>AGUJUL SRL</v>
      </c>
      <c r="H53" s="260">
        <v>7397.12</v>
      </c>
      <c r="I53" s="261">
        <v>168.95</v>
      </c>
      <c r="J53" s="261"/>
      <c r="K53" s="261">
        <v>692.22</v>
      </c>
      <c r="L53" s="261"/>
      <c r="M53" s="261"/>
      <c r="N53" s="261"/>
      <c r="O53" s="261"/>
      <c r="P53" s="262">
        <f>SUM('Mar-23'!$H53:$O53)</f>
        <v>8258.2899999999991</v>
      </c>
      <c r="Q53" s="259" t="str">
        <f>IFERROR(IF('Mar-23'!$F53="","-",VLOOKUP('Mar-23'!$F53,Lista_CUIT!$A$1:$D$1871,3,0)),"CUIT NO CARGADO")</f>
        <v>Gastos Varios</v>
      </c>
      <c r="R53" s="263">
        <f>IFERROR(IF('Mar-23'!$F53="","-",VLOOKUP('Mar-23'!$F53,Lista_CUIT!$A$1:$D$1871,4,0)),"CUIT NO CARGADO")</f>
        <v>0</v>
      </c>
    </row>
    <row r="54" spans="1:26" ht="15.75" customHeight="1" x14ac:dyDescent="0.25">
      <c r="B54" s="255">
        <v>45006</v>
      </c>
      <c r="C54" s="256">
        <v>1</v>
      </c>
      <c r="D54" s="257">
        <v>5</v>
      </c>
      <c r="E54" s="13">
        <v>5301</v>
      </c>
      <c r="F54" s="258">
        <v>30715353934</v>
      </c>
      <c r="G54" s="259" t="str">
        <f>IFERROR(IF('Mar-23'!$F54="","-",VLOOKUP('Mar-23'!$F54,Lista_CUIT!$A$1:$D$1871,2,0)),"CUIT NO CARGADO")</f>
        <v>GRUPO COLORADO SA</v>
      </c>
      <c r="H54" s="260">
        <v>6929.44</v>
      </c>
      <c r="I54" s="261">
        <f>IF('Mar-23'!$H54="","",'Mar-23'!$H54*0.21)</f>
        <v>1455.1823999999999</v>
      </c>
      <c r="J54" s="261"/>
      <c r="K54" s="261"/>
      <c r="L54" s="261"/>
      <c r="M54" s="261"/>
      <c r="N54" s="261"/>
      <c r="O54" s="261"/>
      <c r="P54" s="262">
        <f>SUM('Mar-23'!$H54:$O54)</f>
        <v>8384.6224000000002</v>
      </c>
      <c r="Q54" s="259" t="str">
        <f>IFERROR(IF('Mar-23'!$F54="","-",VLOOKUP('Mar-23'!$F54,Lista_CUIT!$A$1:$D$1871,3,0)),"CUIT NO CARGADO")</f>
        <v>Gastos Varios</v>
      </c>
      <c r="R54" s="263">
        <f>IFERROR(IF('Mar-23'!$F54="","-",VLOOKUP('Mar-23'!$F54,Lista_CUIT!$A$1:$D$1871,4,0)),"CUIT NO CARGADO")</f>
        <v>0</v>
      </c>
    </row>
    <row r="55" spans="1:26" ht="15.75" customHeight="1" x14ac:dyDescent="0.25">
      <c r="B55" s="255">
        <v>45007</v>
      </c>
      <c r="C55" s="256">
        <v>1</v>
      </c>
      <c r="D55" s="257">
        <v>6</v>
      </c>
      <c r="E55" s="13">
        <v>15436</v>
      </c>
      <c r="F55" s="258">
        <v>30714971782</v>
      </c>
      <c r="G55" s="259" t="str">
        <f>IFERROR(IF('Mar-23'!$F55="","-",VLOOKUP('Mar-23'!$F55,Lista_CUIT!$A$1:$D$1871,2,0)),"CUIT NO CARGADO")</f>
        <v>PINTOS SHMIDT ALDANA MARCELA Y SACK ADRIANA CRISTINA SH</v>
      </c>
      <c r="H55" s="260">
        <v>6533.05</v>
      </c>
      <c r="I55" s="261">
        <f>IF('Mar-23'!$H55="","",'Mar-23'!$H55*0.21)</f>
        <v>1371.9404999999999</v>
      </c>
      <c r="J55" s="261"/>
      <c r="K55" s="261"/>
      <c r="L55" s="261"/>
      <c r="M55" s="261"/>
      <c r="N55" s="261"/>
      <c r="O55" s="261"/>
      <c r="P55" s="262">
        <f>SUM('Mar-23'!$H55:$O55)</f>
        <v>7904.9904999999999</v>
      </c>
      <c r="Q55" s="259" t="str">
        <f>IFERROR(IF('Mar-23'!$F55="","-",VLOOKUP('Mar-23'!$F55,Lista_CUIT!$A$1:$D$1871,3,0)),"CUIT NO CARGADO")</f>
        <v>INSUMO</v>
      </c>
      <c r="R55" s="263">
        <f>IFERROR(IF('Mar-23'!$F55="","-",VLOOKUP('Mar-23'!$F55,Lista_CUIT!$A$1:$D$1871,4,0)),"CUIT NO CARGADO")</f>
        <v>0</v>
      </c>
    </row>
    <row r="56" spans="1:26" ht="15.75" customHeight="1" x14ac:dyDescent="0.25">
      <c r="B56" s="255">
        <v>45007</v>
      </c>
      <c r="C56" s="256">
        <v>1</v>
      </c>
      <c r="D56" s="257">
        <v>6</v>
      </c>
      <c r="E56" s="13">
        <v>15435</v>
      </c>
      <c r="F56" s="258">
        <v>30714971782</v>
      </c>
      <c r="G56" s="259" t="str">
        <f>IFERROR(IF('Mar-23'!$F56="","-",VLOOKUP('Mar-23'!$F56,Lista_CUIT!$A$1:$D$1871,2,0)),"CUIT NO CARGADO")</f>
        <v>PINTOS SHMIDT ALDANA MARCELA Y SACK ADRIANA CRISTINA SH</v>
      </c>
      <c r="H56" s="260">
        <v>13719.01</v>
      </c>
      <c r="I56" s="261">
        <f>IF('Mar-23'!$H56="","",'Mar-23'!$H56*0.21)</f>
        <v>2880.9920999999999</v>
      </c>
      <c r="J56" s="261"/>
      <c r="K56" s="261"/>
      <c r="L56" s="261"/>
      <c r="M56" s="261"/>
      <c r="N56" s="261"/>
      <c r="O56" s="261"/>
      <c r="P56" s="262">
        <f>SUM('Mar-23'!$H56:$O56)</f>
        <v>16600.002100000002</v>
      </c>
      <c r="Q56" s="259" t="str">
        <f>IFERROR(IF('Mar-23'!$F56="","-",VLOOKUP('Mar-23'!$F56,Lista_CUIT!$A$1:$D$1871,3,0)),"CUIT NO CARGADO")</f>
        <v>INSUMO</v>
      </c>
      <c r="R56" s="263">
        <f>IFERROR(IF('Mar-23'!$F56="","-",VLOOKUP('Mar-23'!$F56,Lista_CUIT!$A$1:$D$1871,4,0)),"CUIT NO CARGADO")</f>
        <v>0</v>
      </c>
    </row>
    <row r="57" spans="1:26" ht="18" customHeight="1" x14ac:dyDescent="0.25">
      <c r="A57" s="50"/>
      <c r="B57" s="264">
        <v>45008</v>
      </c>
      <c r="C57" s="265">
        <v>1</v>
      </c>
      <c r="D57" s="266">
        <v>3</v>
      </c>
      <c r="E57" s="267">
        <v>1349479</v>
      </c>
      <c r="F57" s="268">
        <v>30712019359</v>
      </c>
      <c r="G57" s="269" t="str">
        <f>IFERROR(IF('Mar-23'!$F57="","-",VLOOKUP('Mar-23'!$F57,Lista_CUIT!$A$1:$D$1871,2,0)),"CUIT NO CARGADO")</f>
        <v>LINKEDSTORE ARGENTINA S.R.L.</v>
      </c>
      <c r="H57" s="270">
        <v>4461.9799999999996</v>
      </c>
      <c r="I57" s="271">
        <f>IF('Mar-23'!$H57="","",'Mar-23'!$H57*0.21)</f>
        <v>937.0157999999999</v>
      </c>
      <c r="J57" s="271"/>
      <c r="K57" s="271"/>
      <c r="L57" s="271"/>
      <c r="M57" s="271"/>
      <c r="N57" s="271"/>
      <c r="O57" s="271"/>
      <c r="P57" s="272">
        <f>SUM('Mar-23'!$H57:$O57)</f>
        <v>5398.9957999999997</v>
      </c>
      <c r="Q57" s="269" t="str">
        <f>IFERROR(IF('Mar-23'!$F57="","-",VLOOKUP('Mar-23'!$F57,Lista_CUIT!$A$1:$D$1871,3,0)),"CUIT NO CARGADO")</f>
        <v>Gastos Varios</v>
      </c>
      <c r="R57" s="273">
        <f>IFERROR(IF('Mar-23'!$F57="","-",VLOOKUP('Mar-23'!$F57,Lista_CUIT!$A$1:$D$1871,4,0)),"CUIT NO CARGADO")</f>
        <v>0</v>
      </c>
      <c r="S57" s="50"/>
      <c r="T57" s="50"/>
      <c r="U57" s="50"/>
      <c r="V57" s="50"/>
      <c r="W57" s="50"/>
      <c r="X57" s="50"/>
      <c r="Y57" s="50"/>
      <c r="Z57" s="50"/>
    </row>
    <row r="58" spans="1:26" ht="15.75" customHeight="1" x14ac:dyDescent="0.25">
      <c r="B58" s="264">
        <v>45008</v>
      </c>
      <c r="C58" s="265">
        <v>1</v>
      </c>
      <c r="D58" s="266">
        <v>106</v>
      </c>
      <c r="E58" s="267">
        <v>617258</v>
      </c>
      <c r="F58" s="268">
        <v>30594494187</v>
      </c>
      <c r="G58" s="269" t="str">
        <f>IFERROR(IF('Mar-23'!$F58="","-",VLOOKUP('Mar-23'!$F58,Lista_CUIT!$A$1:$D$1871,2,0)),"CUIT NO CARGADO")</f>
        <v>FEDERAL EXPRESS CORPORATION</v>
      </c>
      <c r="H58" s="270">
        <v>12238</v>
      </c>
      <c r="I58" s="271">
        <f>IF('Mar-23'!$H58="","",'Mar-23'!$H58*0.21)</f>
        <v>2569.98</v>
      </c>
      <c r="J58" s="271"/>
      <c r="K58" s="271"/>
      <c r="L58" s="271"/>
      <c r="M58" s="271"/>
      <c r="N58" s="271"/>
      <c r="O58" s="271">
        <v>9378.42</v>
      </c>
      <c r="P58" s="272">
        <f>SUM('Mar-23'!$H58:$O58)</f>
        <v>24186.400000000001</v>
      </c>
      <c r="Q58" s="269" t="str">
        <f>IFERROR(IF('Mar-23'!$F58="","-",VLOOKUP('Mar-23'!$F58,Lista_CUIT!$A$1:$D$1871,3,0)),"CUIT NO CARGADO")</f>
        <v>GTOS IMP.</v>
      </c>
      <c r="R58" s="273">
        <f>IFERROR(IF('Mar-23'!$F58="","-",VLOOKUP('Mar-23'!$F58,Lista_CUIT!$A$1:$D$1871,4,0)),"CUIT NO CARGADO")</f>
        <v>0</v>
      </c>
    </row>
    <row r="59" spans="1:26" ht="15.75" customHeight="1" x14ac:dyDescent="0.25">
      <c r="B59" s="264">
        <v>45010</v>
      </c>
      <c r="C59" s="265">
        <v>1</v>
      </c>
      <c r="D59" s="266">
        <v>122</v>
      </c>
      <c r="E59" s="267">
        <v>270392</v>
      </c>
      <c r="F59" s="268">
        <v>30594494187</v>
      </c>
      <c r="G59" s="269" t="str">
        <f>IFERROR(IF('Mar-23'!$F59="","-",VLOOKUP('Mar-23'!$F59,Lista_CUIT!$A$1:$D$1871,2,0)),"CUIT NO CARGADO")</f>
        <v>FEDERAL EXPRESS CORPORATION</v>
      </c>
      <c r="H59" s="270">
        <v>11935.24</v>
      </c>
      <c r="I59" s="271">
        <f>IF('Mar-23'!$H59="","",'Mar-23'!$H59*0.21)</f>
        <v>2506.4004</v>
      </c>
      <c r="J59" s="271"/>
      <c r="K59" s="271"/>
      <c r="L59" s="271"/>
      <c r="M59" s="271"/>
      <c r="N59" s="271"/>
      <c r="O59" s="271">
        <v>4648.57</v>
      </c>
      <c r="P59" s="272">
        <f>SUM('Mar-23'!$H59:$O59)</f>
        <v>19090.2104</v>
      </c>
      <c r="Q59" s="269" t="str">
        <f>IFERROR(IF('Mar-23'!$F59="","-",VLOOKUP('Mar-23'!$F59,Lista_CUIT!$A$1:$D$1871,3,0)),"CUIT NO CARGADO")</f>
        <v>GTOS IMP.</v>
      </c>
      <c r="R59" s="273">
        <f>IFERROR(IF('Mar-23'!$F59="","-",VLOOKUP('Mar-23'!$F59,Lista_CUIT!$A$1:$D$1871,4,0)),"CUIT NO CARGADO")</f>
        <v>0</v>
      </c>
    </row>
    <row r="60" spans="1:26" ht="15.75" customHeight="1" x14ac:dyDescent="0.25">
      <c r="B60" s="10">
        <v>45010</v>
      </c>
      <c r="C60" s="11">
        <v>1</v>
      </c>
      <c r="D60" s="12">
        <v>5</v>
      </c>
      <c r="E60" s="13">
        <v>14066</v>
      </c>
      <c r="F60" s="14">
        <v>30716711621</v>
      </c>
      <c r="G60" s="15" t="str">
        <f>IFERROR(IF('Mar-23'!$F60="","-",VLOOKUP('Mar-23'!$F60,Lista_CUIT!$A$1:$D$1871,2,0)),"CUIT NO CARGADO")</f>
        <v>TC TIENDAS AR S.R.L.</v>
      </c>
      <c r="H60" s="16">
        <v>58465.96</v>
      </c>
      <c r="I60" s="23">
        <v>5360.39</v>
      </c>
      <c r="J60" s="23"/>
      <c r="K60" s="23">
        <v>3458.73</v>
      </c>
      <c r="L60" s="23"/>
      <c r="M60" s="23"/>
      <c r="N60" s="23"/>
      <c r="O60" s="23"/>
      <c r="P60" s="20">
        <f>SUM('Mar-23'!$H60:$O60)</f>
        <v>67285.08</v>
      </c>
      <c r="Q60" s="15" t="str">
        <f>IFERROR(IF('Mar-23'!$F60="","-",VLOOKUP('Mar-23'!$F60,Lista_CUIT!$A$1:$D$1871,3,0)),"CUIT NO CARGADO")</f>
        <v>BIENES DE USO</v>
      </c>
      <c r="R60" s="273">
        <f>IFERROR(IF('Mar-23'!$F60="","-",VLOOKUP('Mar-23'!$F60,Lista_CUIT!$A$1:$D$1871,4,0)),"CUIT NO CARGADO")</f>
        <v>0</v>
      </c>
    </row>
    <row r="61" spans="1:26" ht="15.75" customHeight="1" x14ac:dyDescent="0.25">
      <c r="B61" s="255">
        <v>45011</v>
      </c>
      <c r="C61" s="256">
        <v>1</v>
      </c>
      <c r="D61" s="257">
        <v>280</v>
      </c>
      <c r="E61" s="13">
        <v>1422302</v>
      </c>
      <c r="F61" s="258">
        <v>30580111315</v>
      </c>
      <c r="G61" s="259" t="str">
        <f>IFERROR(IF('Mar-23'!$F61="","-",VLOOKUP('Mar-23'!$F61,Lista_CUIT!$A$1:$D$1871,2,0)),"CUIT NO CARGADO")</f>
        <v>DHL EXPRESS ARG SA</v>
      </c>
      <c r="H61" s="260">
        <v>207819.27979999999</v>
      </c>
      <c r="I61" s="261">
        <f>IF('Mar-23'!$H61="","",'Mar-23'!$H61*0.21)</f>
        <v>43642.048757999997</v>
      </c>
      <c r="J61" s="261"/>
      <c r="K61" s="261"/>
      <c r="L61" s="261"/>
      <c r="M61" s="261"/>
      <c r="N61" s="261"/>
      <c r="O61" s="261">
        <v>-169451.59</v>
      </c>
      <c r="P61" s="262">
        <f>SUM('Mar-23'!$H61:$O61)</f>
        <v>82009.738557999983</v>
      </c>
      <c r="Q61" s="259" t="str">
        <f>IFERROR(IF('Mar-23'!$F61="","-",VLOOKUP('Mar-23'!$F61,Lista_CUIT!$A$1:$D$1871,3,0)),"CUIT NO CARGADO")</f>
        <v>GTOS IMP.</v>
      </c>
      <c r="R61" s="263">
        <f>IFERROR(IF('Mar-23'!$F61="","-",VLOOKUP('Mar-23'!$F61,Lista_CUIT!$A$1:$D$1871,4,0)),"CUIT NO CARGADO")</f>
        <v>0</v>
      </c>
    </row>
    <row r="62" spans="1:26" ht="15.75" customHeight="1" x14ac:dyDescent="0.25">
      <c r="B62" s="255">
        <v>45012</v>
      </c>
      <c r="C62" s="256">
        <v>1</v>
      </c>
      <c r="D62" s="257">
        <v>18</v>
      </c>
      <c r="E62" s="13">
        <v>9421</v>
      </c>
      <c r="F62" s="258">
        <v>30582605021</v>
      </c>
      <c r="G62" s="259" t="str">
        <f>IFERROR(IF('Mar-23'!$F62="","-",VLOOKUP('Mar-23'!$F62,Lista_CUIT!$A$1:$D$1871,2,0)),"CUIT NO CARGADO")</f>
        <v>ELECTROCOMPONENTES SA</v>
      </c>
      <c r="H62" s="260">
        <v>10514.08</v>
      </c>
      <c r="I62" s="261">
        <v>1076.05</v>
      </c>
      <c r="J62" s="261"/>
      <c r="K62" s="261">
        <v>565.95000000000005</v>
      </c>
      <c r="L62" s="261"/>
      <c r="M62" s="261"/>
      <c r="N62" s="261"/>
      <c r="O62" s="261"/>
      <c r="P62" s="262">
        <f>SUM('Mar-23'!$H62:$O62)</f>
        <v>12156.08</v>
      </c>
      <c r="Q62" s="259" t="str">
        <f>IFERROR(IF('Mar-23'!$F62="","-",VLOOKUP('Mar-23'!$F62,Lista_CUIT!$A$1:$D$1871,3,0)),"CUIT NO CARGADO")</f>
        <v>MAT. PRIM.</v>
      </c>
      <c r="R62" s="263">
        <f>IFERROR(IF('Mar-23'!$F62="","-",VLOOKUP('Mar-23'!$F62,Lista_CUIT!$A$1:$D$1871,4,0)),"CUIT NO CARGADO")</f>
        <v>0</v>
      </c>
    </row>
    <row r="63" spans="1:26" ht="15.75" customHeight="1" x14ac:dyDescent="0.25">
      <c r="B63" s="255">
        <v>45012</v>
      </c>
      <c r="C63" s="256">
        <v>1</v>
      </c>
      <c r="D63" s="257">
        <v>700</v>
      </c>
      <c r="E63" s="13">
        <v>502898</v>
      </c>
      <c r="F63" s="258">
        <v>30580111315</v>
      </c>
      <c r="G63" s="259" t="str">
        <f>IFERROR(IF('Mar-23'!$F63="","-",VLOOKUP('Mar-23'!$F63,Lista_CUIT!$A$1:$D$1871,2,0)),"CUIT NO CARGADO")</f>
        <v>DHL EXPRESS ARG SA</v>
      </c>
      <c r="H63" s="260">
        <v>0</v>
      </c>
      <c r="I63" s="261">
        <f>IF('Mar-23'!$H63="","",'Mar-23'!$H63*0.21)</f>
        <v>0</v>
      </c>
      <c r="J63" s="261"/>
      <c r="K63" s="261"/>
      <c r="L63" s="261"/>
      <c r="M63" s="261"/>
      <c r="N63" s="261"/>
      <c r="O63" s="261">
        <v>59920.75</v>
      </c>
      <c r="P63" s="262">
        <f>SUM('Mar-23'!$H63:$O63)</f>
        <v>59920.75</v>
      </c>
      <c r="Q63" s="259" t="str">
        <f>IFERROR(IF('Mar-23'!$F63="","-",VLOOKUP('Mar-23'!$F63,Lista_CUIT!$A$1:$D$1871,3,0)),"CUIT NO CARGADO")</f>
        <v>GTOS IMP.</v>
      </c>
      <c r="R63" s="263">
        <f>IFERROR(IF('Mar-23'!$F63="","-",VLOOKUP('Mar-23'!$F63,Lista_CUIT!$A$1:$D$1871,4,0)),"CUIT NO CARGADO")</f>
        <v>0</v>
      </c>
    </row>
    <row r="64" spans="1:26" ht="22.5" customHeight="1" x14ac:dyDescent="0.25">
      <c r="B64" s="264">
        <v>45012</v>
      </c>
      <c r="C64" s="265">
        <v>1</v>
      </c>
      <c r="D64" s="266">
        <v>4</v>
      </c>
      <c r="E64" s="267">
        <v>13611</v>
      </c>
      <c r="F64" s="268">
        <v>23113854499</v>
      </c>
      <c r="G64" s="269" t="str">
        <f>IFERROR(IF('Mar-23'!$F64="","-",VLOOKUP('Mar-23'!$F64,Lista_CUIT!$A$1:$D$1871,2,0)),"CUIT NO CARGADO")</f>
        <v>VAZQUEZ DANIEL OSCAR</v>
      </c>
      <c r="H64" s="270">
        <v>7438</v>
      </c>
      <c r="I64" s="271">
        <f>IF('Mar-23'!$H64="","",'Mar-23'!$H64*0.21)</f>
        <v>1561.98</v>
      </c>
      <c r="J64" s="271"/>
      <c r="K64" s="271"/>
      <c r="L64" s="271"/>
      <c r="M64" s="271"/>
      <c r="N64" s="271"/>
      <c r="O64" s="271"/>
      <c r="P64" s="272">
        <f>SUM('Mar-23'!$H64:$O64)</f>
        <v>8999.98</v>
      </c>
      <c r="Q64" s="269" t="str">
        <f>IFERROR(IF('Mar-23'!$F64="","-",VLOOKUP('Mar-23'!$F64,Lista_CUIT!$A$1:$D$1871,3,0)),"CUIT NO CARGADO")</f>
        <v>INSUMO</v>
      </c>
      <c r="R64" s="273">
        <f>IFERROR(IF('Mar-23'!$F64="","-",VLOOKUP('Mar-23'!$F64,Lista_CUIT!$A$1:$D$1871,4,0)),"CUIT NO CARGADO")</f>
        <v>0</v>
      </c>
    </row>
    <row r="65" spans="2:18" ht="15.75" customHeight="1" x14ac:dyDescent="0.25">
      <c r="B65" s="264">
        <v>45013</v>
      </c>
      <c r="C65" s="265">
        <v>3</v>
      </c>
      <c r="D65" s="266">
        <v>122</v>
      </c>
      <c r="E65" s="267">
        <v>44870</v>
      </c>
      <c r="F65" s="268">
        <v>30594494187</v>
      </c>
      <c r="G65" s="269" t="str">
        <f>IFERROR(IF('Mar-23'!$F65="","-",VLOOKUP('Mar-23'!$F65,Lista_CUIT!$A$1:$D$1871,2,0)),"CUIT NO CARGADO")</f>
        <v>FEDERAL EXPRESS CORPORATION</v>
      </c>
      <c r="H65" s="270">
        <v>-11935.24</v>
      </c>
      <c r="I65" s="271">
        <f>IF('Mar-23'!$H65="","",'Mar-23'!$H65*0.21)</f>
        <v>-2506.4004</v>
      </c>
      <c r="J65" s="271"/>
      <c r="K65" s="271"/>
      <c r="L65" s="271"/>
      <c r="M65" s="271"/>
      <c r="N65" s="271"/>
      <c r="O65" s="271">
        <v>-4648.57</v>
      </c>
      <c r="P65" s="272">
        <f>SUM('Mar-23'!$H65:$O65)</f>
        <v>-19090.2104</v>
      </c>
      <c r="Q65" s="269" t="str">
        <f>IFERROR(IF('Mar-23'!$F65="","-",VLOOKUP('Mar-23'!$F65,Lista_CUIT!$A$1:$D$1871,3,0)),"CUIT NO CARGADO")</f>
        <v>GTOS IMP.</v>
      </c>
      <c r="R65" s="273">
        <f>IFERROR(IF('Mar-23'!$F65="","-",VLOOKUP('Mar-23'!$F65,Lista_CUIT!$A$1:$D$1871,4,0)),"CUIT NO CARGADO")</f>
        <v>0</v>
      </c>
    </row>
    <row r="66" spans="2:18" ht="18" customHeight="1" x14ac:dyDescent="0.25">
      <c r="B66" s="255">
        <v>45014</v>
      </c>
      <c r="C66" s="256">
        <v>1</v>
      </c>
      <c r="D66" s="257">
        <v>3</v>
      </c>
      <c r="E66" s="13">
        <v>46383</v>
      </c>
      <c r="F66" s="258">
        <v>30715863916</v>
      </c>
      <c r="G66" s="259" t="str">
        <f>IFERROR(IF('Mar-23'!$F66="","-",VLOOKUP('Mar-23'!$F66,Lista_CUIT!$A$1:$D$1871,2,0)),"CUIT NO CARGADO")</f>
        <v>BULONERA SUR S.A.</v>
      </c>
      <c r="H66" s="260">
        <v>6165.29</v>
      </c>
      <c r="I66" s="261">
        <f>IF('Mar-23'!$H66="","",'Mar-23'!$H66*0.21)</f>
        <v>1294.7109</v>
      </c>
      <c r="J66" s="261"/>
      <c r="K66" s="261"/>
      <c r="L66" s="261"/>
      <c r="M66" s="261"/>
      <c r="N66" s="261"/>
      <c r="O66" s="261"/>
      <c r="P66" s="262">
        <f>SUM('Mar-23'!$H66:$O66)</f>
        <v>7460.0009</v>
      </c>
      <c r="Q66" s="259" t="str">
        <f>IFERROR(IF('Mar-23'!$F66="","-",VLOOKUP('Mar-23'!$F66,Lista_CUIT!$A$1:$D$1871,3,0)),"CUIT NO CARGADO")</f>
        <v>Gastos Varios</v>
      </c>
      <c r="R66" s="263">
        <f>IFERROR(IF('Mar-23'!$F66="","-",VLOOKUP('Mar-23'!$F66,Lista_CUIT!$A$1:$D$1871,4,0)),"CUIT NO CARGADO")</f>
        <v>0</v>
      </c>
    </row>
    <row r="67" spans="2:18" ht="15.75" customHeight="1" x14ac:dyDescent="0.25">
      <c r="B67" s="264">
        <v>45016</v>
      </c>
      <c r="C67" s="265">
        <v>1</v>
      </c>
      <c r="D67" s="266">
        <v>700</v>
      </c>
      <c r="E67" s="267">
        <v>505800</v>
      </c>
      <c r="F67" s="268">
        <v>30580111315</v>
      </c>
      <c r="G67" s="269" t="str">
        <f>IFERROR(IF('Mar-23'!$F67="","-",VLOOKUP('Mar-23'!$F67,Lista_CUIT!$A$1:$D$1871,2,0)),"CUIT NO CARGADO")</f>
        <v>DHL EXPRESS ARG SA</v>
      </c>
      <c r="H67" s="270">
        <v>3017</v>
      </c>
      <c r="I67" s="271">
        <f>IF('Mar-23'!$H67="","",'Mar-23'!$H67*0.21)</f>
        <v>633.56999999999994</v>
      </c>
      <c r="J67" s="271"/>
      <c r="K67" s="271"/>
      <c r="L67" s="271"/>
      <c r="M67" s="271"/>
      <c r="N67" s="271"/>
      <c r="O67" s="271">
        <v>68447.11</v>
      </c>
      <c r="P67" s="272">
        <f>SUM('Mar-23'!$H67:$O67)</f>
        <v>72097.679999999993</v>
      </c>
      <c r="Q67" s="269" t="str">
        <f>IFERROR(IF('Mar-23'!$F67="","-",VLOOKUP('Mar-23'!$F67,Lista_CUIT!$A$1:$D$1871,3,0)),"CUIT NO CARGADO")</f>
        <v>GTOS IMP.</v>
      </c>
      <c r="R67" s="273">
        <f>IFERROR(IF('Mar-23'!$F67="","-",VLOOKUP('Mar-23'!$F67,Lista_CUIT!$A$1:$D$1871,4,0)),"CUIT NO CARGADO")</f>
        <v>0</v>
      </c>
    </row>
    <row r="68" spans="2:18" ht="15.75" customHeight="1" x14ac:dyDescent="0.25">
      <c r="B68" s="264">
        <v>45016</v>
      </c>
      <c r="C68" s="265">
        <v>1</v>
      </c>
      <c r="D68" s="266">
        <v>5</v>
      </c>
      <c r="E68" s="267">
        <v>1183</v>
      </c>
      <c r="F68" s="268">
        <v>30707397256</v>
      </c>
      <c r="G68" s="269" t="str">
        <f>IFERROR(IF('Mar-23'!$F68="","-",VLOOKUP('Mar-23'!$F68,Lista_CUIT!$A$1:$D$1871,2,0)),"CUIT NO CARGADO")</f>
        <v>GRAFICA Y FOTOGRABADOS LA PLAZA SRL</v>
      </c>
      <c r="H68" s="270">
        <v>495563</v>
      </c>
      <c r="I68" s="271">
        <f>IF('Mar-23'!$H68="","",'Mar-23'!$H68*0.21)</f>
        <v>104068.23</v>
      </c>
      <c r="J68" s="271"/>
      <c r="K68" s="271"/>
      <c r="L68" s="271"/>
      <c r="M68" s="271"/>
      <c r="N68" s="271"/>
      <c r="O68" s="271"/>
      <c r="P68" s="272">
        <f>SUM('Mar-23'!$H68:$O68)</f>
        <v>599631.23</v>
      </c>
      <c r="Q68" s="269" t="str">
        <f>IFERROR(IF('Mar-23'!$F68="","-",VLOOKUP('Mar-23'!$F68,Lista_CUIT!$A$1:$D$1871,3,0)),"CUIT NO CARGADO")</f>
        <v>Fotograbados</v>
      </c>
      <c r="R68" s="273">
        <f>IFERROR(IF('Mar-23'!$F68="","-",VLOOKUP('Mar-23'!$F68,Lista_CUIT!$A$1:$D$1871,4,0)),"CUIT NO CARGADO")</f>
        <v>0</v>
      </c>
    </row>
    <row r="69" spans="2:18" ht="15.75" customHeight="1" x14ac:dyDescent="0.25">
      <c r="B69" s="255">
        <v>45016</v>
      </c>
      <c r="C69" s="256">
        <v>1</v>
      </c>
      <c r="D69" s="257">
        <v>1</v>
      </c>
      <c r="E69" s="13">
        <v>579</v>
      </c>
      <c r="F69" s="258">
        <v>30715048066</v>
      </c>
      <c r="G69" s="259" t="str">
        <f>IFERROR(IF('Mar-23'!$F69="","-",VLOOKUP('Mar-23'!$F69,Lista_CUIT!$A$1:$D$1871,2,0)),"CUIT NO CARGADO")</f>
        <v>ROLLS Y EMPANADAS SA</v>
      </c>
      <c r="H69" s="260">
        <v>109650</v>
      </c>
      <c r="I69" s="261">
        <f>IF('Mar-23'!$H69="","",'Mar-23'!$H69*0.21)</f>
        <v>23026.5</v>
      </c>
      <c r="J69" s="261"/>
      <c r="K69" s="261"/>
      <c r="L69" s="261"/>
      <c r="M69" s="261"/>
      <c r="N69" s="261"/>
      <c r="O69" s="261"/>
      <c r="P69" s="262">
        <f>SUM('Mar-23'!$H69:$O69)</f>
        <v>132676.5</v>
      </c>
      <c r="Q69" s="259" t="str">
        <f>IFERROR(IF('Mar-23'!$F69="","-",VLOOKUP('Mar-23'!$F69,Lista_CUIT!$A$1:$D$1871,3,0)),"CUIT NO CARGADO")</f>
        <v>CATERING</v>
      </c>
      <c r="R69" s="263">
        <f>IFERROR(IF('Mar-23'!$F69="","-",VLOOKUP('Mar-23'!$F69,Lista_CUIT!$A$1:$D$1871,4,0)),"CUIT NO CARGADO")</f>
        <v>0</v>
      </c>
    </row>
    <row r="70" spans="2:18" ht="15.75" customHeight="1" x14ac:dyDescent="0.25">
      <c r="B70" s="264">
        <v>45016</v>
      </c>
      <c r="C70" s="265">
        <v>1</v>
      </c>
      <c r="D70" s="266">
        <v>8</v>
      </c>
      <c r="E70" s="267">
        <v>90</v>
      </c>
      <c r="F70" s="268">
        <v>30716172011</v>
      </c>
      <c r="G70" s="269" t="str">
        <f>IFERROR(IF('Mar-23'!$F70="","-",VLOOKUP('Mar-23'!$F70,Lista_CUIT!$A$1:$D$1871,2,0)),"CUIT NO CARGADO")</f>
        <v>EVALUACION MEDIOAMBIENTAL S.R.L.</v>
      </c>
      <c r="H70" s="270">
        <v>45372</v>
      </c>
      <c r="I70" s="271">
        <f>IF('Mar-23'!$H70="","",'Mar-23'!$H70*0.21)</f>
        <v>9528.119999999999</v>
      </c>
      <c r="J70" s="271"/>
      <c r="K70" s="271"/>
      <c r="L70" s="271"/>
      <c r="M70" s="271"/>
      <c r="N70" s="271"/>
      <c r="O70" s="271"/>
      <c r="P70" s="272">
        <f>SUM('Mar-23'!$H70:$O70)</f>
        <v>54900.119999999995</v>
      </c>
      <c r="Q70" s="269" t="str">
        <f>IFERROR(IF('Mar-23'!$F70="","-",VLOOKUP('Mar-23'!$F70,Lista_CUIT!$A$1:$D$1871,3,0)),"CUIT NO CARGADO")</f>
        <v>SERVICIO</v>
      </c>
      <c r="R70" s="273">
        <f>IFERROR(IF('Mar-23'!$F70="","-",VLOOKUP('Mar-23'!$F70,Lista_CUIT!$A$1:$D$1871,4,0)),"CUIT NO CARGADO")</f>
        <v>0</v>
      </c>
    </row>
    <row r="71" spans="2:18" ht="15.75" customHeight="1" x14ac:dyDescent="0.25">
      <c r="B71" s="255">
        <v>45016</v>
      </c>
      <c r="C71" s="256">
        <v>1</v>
      </c>
      <c r="D71" s="257">
        <v>6</v>
      </c>
      <c r="E71" s="13">
        <v>11336</v>
      </c>
      <c r="F71" s="258">
        <v>30707756434</v>
      </c>
      <c r="G71" s="259" t="str">
        <f>IFERROR(IF('Mar-23'!$F71="","-",VLOOKUP('Mar-23'!$F71,Lista_CUIT!$A$1:$D$1871,2,0)),"CUIT NO CARGADO")</f>
        <v>SERVICIO INTEGRAL DE LIMPIEZA SRL</v>
      </c>
      <c r="H71" s="260">
        <v>36500</v>
      </c>
      <c r="I71" s="261">
        <f>IF('Mar-23'!$H71="","",'Mar-23'!$H71*0.21)</f>
        <v>7665</v>
      </c>
      <c r="J71" s="261"/>
      <c r="K71" s="261"/>
      <c r="L71" s="261"/>
      <c r="M71" s="261"/>
      <c r="N71" s="261"/>
      <c r="O71" s="261"/>
      <c r="P71" s="262">
        <f>SUM('Mar-23'!$H71:$O71)</f>
        <v>44165</v>
      </c>
      <c r="Q71" s="259" t="str">
        <f>IFERROR(IF('Mar-23'!$F71="","-",VLOOKUP('Mar-23'!$F71,Lista_CUIT!$A$1:$D$1871,3,0)),"CUIT NO CARGADO")</f>
        <v>Mantenimiento</v>
      </c>
      <c r="R71" s="263">
        <f>IFERROR(IF('Mar-23'!$F71="","-",VLOOKUP('Mar-23'!$F71,Lista_CUIT!$A$1:$D$1871,4,0)),"CUIT NO CARGADO")</f>
        <v>0</v>
      </c>
    </row>
    <row r="72" spans="2:18" ht="15.75" customHeight="1" x14ac:dyDescent="0.25">
      <c r="B72" s="255">
        <v>45016</v>
      </c>
      <c r="C72" s="256">
        <v>1</v>
      </c>
      <c r="D72" s="257">
        <v>2</v>
      </c>
      <c r="E72" s="13">
        <v>608</v>
      </c>
      <c r="F72" s="258">
        <v>20296550184</v>
      </c>
      <c r="G72" s="259" t="str">
        <f>IFERROR(IF('Mar-23'!$F72="","-",VLOOKUP('Mar-23'!$F72,Lista_CUIT!$A$1:$D$1871,2,0)),"CUIT NO CARGADO")</f>
        <v>COSTA DIEGO ALEJANDRO</v>
      </c>
      <c r="H72" s="260">
        <v>119780</v>
      </c>
      <c r="I72" s="261">
        <f>IF('Mar-23'!$H72="","",'Mar-23'!$H72*0.21)</f>
        <v>25153.8</v>
      </c>
      <c r="J72" s="261"/>
      <c r="K72" s="261"/>
      <c r="L72" s="261"/>
      <c r="M72" s="261"/>
      <c r="N72" s="261"/>
      <c r="O72" s="261"/>
      <c r="P72" s="262">
        <f>SUM('Mar-23'!$H72:$O72)</f>
        <v>144933.79999999999</v>
      </c>
      <c r="Q72" s="259" t="str">
        <f>IFERROR(IF('Mar-23'!$F72="","-",VLOOKUP('Mar-23'!$F72,Lista_CUIT!$A$1:$D$1871,3,0)),"CUIT NO CARGADO")</f>
        <v>MAT. PRIM.</v>
      </c>
      <c r="R72" s="263">
        <f>IFERROR(IF('Mar-23'!$F72="","-",VLOOKUP('Mar-23'!$F72,Lista_CUIT!$A$1:$D$1871,4,0)),"CUIT NO CARGADO")</f>
        <v>0</v>
      </c>
    </row>
    <row r="73" spans="2:18" ht="15.75" customHeight="1" x14ac:dyDescent="0.25">
      <c r="B73" s="264">
        <v>45016</v>
      </c>
      <c r="C73" s="265">
        <v>1</v>
      </c>
      <c r="D73" s="266">
        <v>15</v>
      </c>
      <c r="E73" s="267">
        <v>1004</v>
      </c>
      <c r="F73" s="268">
        <v>30708003316</v>
      </c>
      <c r="G73" s="269" t="str">
        <f>IFERROR(IF('Mar-23'!$F73="","-",VLOOKUP('Mar-23'!$F73,Lista_CUIT!$A$1:$D$1871,2,0)),"CUIT NO CARGADO")</f>
        <v>LOMIR SA</v>
      </c>
      <c r="H73" s="270">
        <v>13008.35</v>
      </c>
      <c r="I73" s="271">
        <f>IF('Mar-23'!$H73="","",'Mar-23'!$H73*0.21)</f>
        <v>2731.7534999999998</v>
      </c>
      <c r="J73" s="271"/>
      <c r="K73" s="271"/>
      <c r="L73" s="271"/>
      <c r="M73" s="271"/>
      <c r="N73" s="271"/>
      <c r="O73" s="271"/>
      <c r="P73" s="272">
        <f>SUM('Mar-23'!$H73:$O73)</f>
        <v>15740.103500000001</v>
      </c>
      <c r="Q73" s="269" t="str">
        <f>IFERROR(IF('Mar-23'!$F73="","-",VLOOKUP('Mar-23'!$F73,Lista_CUIT!$A$1:$D$1871,3,0)),"CUIT NO CARGADO")</f>
        <v>Gastos Varios</v>
      </c>
      <c r="R73" s="273">
        <f>IFERROR(IF('Mar-23'!$F73="","-",VLOOKUP('Mar-23'!$F73,Lista_CUIT!$A$1:$D$1871,4,0)),"CUIT NO CARGADO")</f>
        <v>0</v>
      </c>
    </row>
    <row r="74" spans="2:18" ht="15.75" customHeight="1" x14ac:dyDescent="0.25">
      <c r="B74" s="264">
        <v>45016</v>
      </c>
      <c r="C74" s="265">
        <v>1</v>
      </c>
      <c r="D74" s="266">
        <v>1</v>
      </c>
      <c r="E74" s="267">
        <v>3703</v>
      </c>
      <c r="F74" s="268">
        <v>30716872463</v>
      </c>
      <c r="G74" s="269" t="str">
        <f>IFERROR(IF('Mar-23'!$F74="","-",VLOOKUP('Mar-23'!$F74,Lista_CUIT!$A$1:$D$1871,2,0)),"CUIT NO CARGADO")</f>
        <v>COMERCIAL MGM SRL</v>
      </c>
      <c r="H74" s="270">
        <v>10289.26</v>
      </c>
      <c r="I74" s="271">
        <f>IF('Mar-23'!$H74="","",'Mar-23'!$H74*0.21)</f>
        <v>2160.7446</v>
      </c>
      <c r="J74" s="271"/>
      <c r="K74" s="271"/>
      <c r="L74" s="271"/>
      <c r="M74" s="271"/>
      <c r="N74" s="271"/>
      <c r="O74" s="271"/>
      <c r="P74" s="272">
        <f>SUM('Mar-23'!$H74:$O74)</f>
        <v>12450.0046</v>
      </c>
      <c r="Q74" s="269" t="str">
        <f>IFERROR(IF('Mar-23'!$F74="","-",VLOOKUP('Mar-23'!$F74,Lista_CUIT!$A$1:$D$1871,3,0)),"CUIT NO CARGADO")</f>
        <v>Gastos Varios</v>
      </c>
      <c r="R74" s="273">
        <f>IFERROR(IF('Mar-23'!$F74="","-",VLOOKUP('Mar-23'!$F74,Lista_CUIT!$A$1:$D$1871,4,0)),"CUIT NO CARGADO")</f>
        <v>0</v>
      </c>
    </row>
    <row r="75" spans="2:18" ht="15.75" customHeight="1" x14ac:dyDescent="0.25">
      <c r="B75" s="255"/>
      <c r="C75" s="256"/>
      <c r="D75" s="257"/>
      <c r="E75" s="275"/>
      <c r="F75" s="258"/>
      <c r="G75" s="259" t="str">
        <f>IFERROR(IF('Mar-23'!$F75="","-",VLOOKUP('Mar-23'!$F75,Lista_CUIT!$A$1:$D$1871,2,0)),"CUIT NO CARGADO")</f>
        <v>-</v>
      </c>
      <c r="H75" s="260"/>
      <c r="I75" s="261"/>
      <c r="J75" s="261"/>
      <c r="K75" s="261"/>
      <c r="L75" s="261"/>
      <c r="M75" s="261"/>
      <c r="N75" s="261"/>
      <c r="O75" s="261"/>
      <c r="P75" s="262">
        <f>SUM('Mar-23'!$H75:$O75)</f>
        <v>0</v>
      </c>
      <c r="Q75" s="259" t="str">
        <f>IFERROR(IF('Mar-23'!$F75="","-",VLOOKUP('Mar-23'!$F75,Lista_CUIT!$A$1:$D$1871,3,0)),"CUIT NO CARGADO")</f>
        <v>-</v>
      </c>
      <c r="R75" s="263" t="str">
        <f>IFERROR(IF('Mar-23'!$F75="","-",VLOOKUP('Mar-23'!$F75,Lista_CUIT!$A$1:$D$1871,4,0)),"CUIT NO CARGADO")</f>
        <v>-</v>
      </c>
    </row>
    <row r="76" spans="2:18" ht="25.5" customHeight="1" x14ac:dyDescent="0.25">
      <c r="B76" s="21" t="s">
        <v>1546</v>
      </c>
      <c r="C76" s="21"/>
      <c r="D76" s="21"/>
      <c r="E76" s="21"/>
      <c r="F76" s="21"/>
      <c r="G76" s="15"/>
      <c r="H76" s="16">
        <f>SUBTOTAL(109,'Mar-23'!$H$9:$H$75)</f>
        <v>11646442.634099996</v>
      </c>
      <c r="I76" s="16">
        <f>SUBTOTAL(109,'Mar-23'!$I$9:$I$75)</f>
        <v>2405455.5100759994</v>
      </c>
      <c r="J76" s="16">
        <f>SUBTOTAL(109,'Mar-23'!$J$9:$J$75)</f>
        <v>935.55</v>
      </c>
      <c r="K76" s="16">
        <f>SUBTOTAL(109,'Mar-23'!$K$9:$K$75)</f>
        <v>19783.635600000001</v>
      </c>
      <c r="L76" s="16">
        <f>SUBTOTAL(109,'Mar-23'!$L$9:$L$75)</f>
        <v>103.95</v>
      </c>
      <c r="M76" s="16">
        <f>SUBTOTAL(109,'Mar-23'!$M$9:$M$75)</f>
        <v>0</v>
      </c>
      <c r="N76" s="16">
        <f>SUBTOTAL(109,'Mar-23'!$N$9:$N$75)</f>
        <v>0</v>
      </c>
      <c r="O76" s="16">
        <f>SUBTOTAL(109,'Mar-23'!$O$9:$O$75)</f>
        <v>-126878.69379999999</v>
      </c>
      <c r="P76" s="16">
        <f>SUBTOTAL(109,'Mar-23'!$P$9:$P$75)</f>
        <v>13945842.585975999</v>
      </c>
      <c r="Q76" s="15"/>
      <c r="R76" s="21"/>
    </row>
    <row r="77" spans="2:18" ht="15.75" customHeight="1" x14ac:dyDescent="0.25">
      <c r="B77" s="10"/>
      <c r="C77" s="11"/>
      <c r="D77" s="12"/>
      <c r="E77" s="13"/>
      <c r="F77" s="14"/>
      <c r="G77" s="259"/>
      <c r="H77" s="16"/>
      <c r="I77" s="17"/>
      <c r="J77" s="17"/>
      <c r="K77" s="17"/>
      <c r="L77" s="17"/>
      <c r="M77" s="17"/>
      <c r="N77" s="17"/>
      <c r="O77" s="17"/>
      <c r="P77" s="20"/>
      <c r="Q77" s="15"/>
      <c r="R77" s="21"/>
    </row>
    <row r="78" spans="2:18" ht="17.25" customHeight="1" x14ac:dyDescent="0.25">
      <c r="B78" s="10"/>
      <c r="C78" s="11"/>
      <c r="D78" s="12"/>
      <c r="E78" s="13"/>
      <c r="F78" s="14"/>
      <c r="G78" s="15"/>
      <c r="H78" s="16"/>
      <c r="I78" s="17"/>
      <c r="J78" s="17"/>
      <c r="K78" s="17"/>
      <c r="L78" s="17"/>
      <c r="M78" s="17"/>
      <c r="N78" s="17"/>
      <c r="O78" s="17"/>
      <c r="P78" s="20"/>
      <c r="Q78" s="15"/>
      <c r="R78" s="21"/>
    </row>
    <row r="79" spans="2:18" ht="31.5" customHeight="1" x14ac:dyDescent="0.25">
      <c r="B79" s="10"/>
      <c r="C79" s="11"/>
      <c r="D79" s="12"/>
      <c r="E79" s="13"/>
      <c r="F79" s="14"/>
      <c r="G79" s="15"/>
      <c r="H79" s="16"/>
      <c r="I79" s="17"/>
      <c r="J79" s="17"/>
      <c r="K79" s="17"/>
      <c r="L79" s="17"/>
      <c r="M79" s="17"/>
      <c r="N79" s="17"/>
      <c r="O79" s="17"/>
      <c r="P79" s="20"/>
      <c r="Q79" s="15"/>
      <c r="R79" s="21"/>
    </row>
    <row r="80" spans="2:18" ht="15.75" customHeight="1" x14ac:dyDescent="0.25">
      <c r="B80" s="10"/>
      <c r="C80" s="11"/>
      <c r="D80" s="12"/>
      <c r="E80" s="13"/>
      <c r="F80" s="14"/>
      <c r="G80" s="15"/>
      <c r="H80" s="16"/>
      <c r="I80" s="17"/>
      <c r="J80" s="17"/>
      <c r="K80" s="17"/>
      <c r="L80" s="17"/>
    </row>
    <row r="81" spans="4:12" ht="15.75" customHeight="1" x14ac:dyDescent="0.25">
      <c r="D81" s="359" t="s">
        <v>1547</v>
      </c>
      <c r="E81" s="351"/>
      <c r="F81" s="351"/>
      <c r="G81" s="351"/>
      <c r="H81" s="351"/>
      <c r="I81" s="351"/>
      <c r="J81" s="351"/>
      <c r="K81" s="351"/>
      <c r="L81" s="352"/>
    </row>
    <row r="82" spans="4:12" ht="15.75" customHeight="1" x14ac:dyDescent="0.25">
      <c r="D82" s="36" t="s">
        <v>1532</v>
      </c>
      <c r="E82" s="37" t="s">
        <v>1548</v>
      </c>
      <c r="F82" s="37" t="s">
        <v>1549</v>
      </c>
      <c r="G82" s="37" t="s">
        <v>1550</v>
      </c>
      <c r="H82" s="37" t="s">
        <v>1551</v>
      </c>
      <c r="I82" s="37" t="s">
        <v>1539</v>
      </c>
      <c r="J82" s="38" t="s">
        <v>1552</v>
      </c>
      <c r="K82" s="38" t="s">
        <v>1553</v>
      </c>
      <c r="L82" s="39" t="s">
        <v>1554</v>
      </c>
    </row>
    <row r="83" spans="4:12" ht="15.75" customHeight="1" x14ac:dyDescent="0.25">
      <c r="D83" s="255">
        <v>44992</v>
      </c>
      <c r="E83" s="276" t="s">
        <v>1725</v>
      </c>
      <c r="F83" s="277" t="s">
        <v>1726</v>
      </c>
      <c r="G83" s="278">
        <v>22963.190476190481</v>
      </c>
      <c r="H83" s="278">
        <f>'Mar-23'!$G83*0.21</f>
        <v>4822.2700000000004</v>
      </c>
      <c r="I83" s="278"/>
      <c r="J83" s="278"/>
      <c r="K83" s="278">
        <v>688.9</v>
      </c>
      <c r="L83" s="278"/>
    </row>
    <row r="84" spans="4:12" ht="15.75" customHeight="1" x14ac:dyDescent="0.25">
      <c r="D84" s="255">
        <v>44988</v>
      </c>
      <c r="E84" s="276" t="s">
        <v>1727</v>
      </c>
      <c r="F84" s="277" t="s">
        <v>1728</v>
      </c>
      <c r="G84" s="278">
        <v>14840.238095238095</v>
      </c>
      <c r="H84" s="278">
        <f>'Mar-23'!$G84*0.21</f>
        <v>3116.45</v>
      </c>
      <c r="I84" s="278"/>
      <c r="J84" s="278"/>
      <c r="K84" s="278">
        <v>445.21</v>
      </c>
      <c r="L84" s="278"/>
    </row>
    <row r="85" spans="4:12" ht="15.75" customHeight="1" x14ac:dyDescent="0.25">
      <c r="D85" s="255">
        <v>45008</v>
      </c>
      <c r="E85" s="277">
        <v>52909</v>
      </c>
      <c r="F85" s="277" t="s">
        <v>1729</v>
      </c>
      <c r="G85" s="278">
        <v>170</v>
      </c>
      <c r="H85" s="278">
        <f>'Mar-23'!$G85*0.21</f>
        <v>35.699999999999996</v>
      </c>
      <c r="I85" s="278"/>
      <c r="J85" s="278">
        <v>5.84</v>
      </c>
      <c r="K85" s="278"/>
      <c r="L85" s="278"/>
    </row>
    <row r="86" spans="4:12" ht="15.75" customHeight="1" x14ac:dyDescent="0.25">
      <c r="D86" s="326"/>
      <c r="E86" s="327"/>
      <c r="F86" s="327" t="s">
        <v>1721</v>
      </c>
      <c r="G86" s="328"/>
      <c r="H86" s="328">
        <v>1159.8599999999999</v>
      </c>
      <c r="I86" s="328"/>
      <c r="J86" s="328"/>
      <c r="K86" s="328"/>
      <c r="L86" s="328"/>
    </row>
    <row r="87" spans="4:12" ht="15.75" customHeight="1" x14ac:dyDescent="0.25">
      <c r="D87" s="21" t="s">
        <v>1546</v>
      </c>
      <c r="E87" s="43"/>
      <c r="F87" s="43"/>
      <c r="G87" s="42">
        <f>SUBTOTAL(109,'Mar-23'!$G$83:$G$85)</f>
        <v>37973.42857142858</v>
      </c>
      <c r="H87" s="42">
        <f>SUBTOTAL(109,H83:H86)</f>
        <v>9134.2800000000007</v>
      </c>
      <c r="I87" s="42">
        <f t="shared" ref="I87:L87" si="0">SUBTOTAL(109,I83:I86)</f>
        <v>0</v>
      </c>
      <c r="J87" s="42">
        <f t="shared" si="0"/>
        <v>5.84</v>
      </c>
      <c r="K87" s="42">
        <f t="shared" si="0"/>
        <v>1134.1099999999999</v>
      </c>
      <c r="L87" s="42">
        <f t="shared" si="0"/>
        <v>0</v>
      </c>
    </row>
    <row r="88" spans="4:12" ht="15.75" customHeight="1" x14ac:dyDescent="0.25"/>
    <row r="89" spans="4:12" ht="15.75" customHeight="1" x14ac:dyDescent="0.25"/>
    <row r="90" spans="4:12" ht="18.75" customHeight="1" x14ac:dyDescent="0.25"/>
    <row r="91" spans="4:12" ht="20.25" customHeight="1" x14ac:dyDescent="0.25">
      <c r="D91" s="359" t="s">
        <v>1560</v>
      </c>
      <c r="E91" s="351"/>
      <c r="F91" s="351"/>
      <c r="G91" s="351"/>
      <c r="H91" s="351"/>
      <c r="I91" s="351"/>
      <c r="J91" s="351"/>
      <c r="K91" s="352"/>
    </row>
    <row r="92" spans="4:12" ht="15.75" customHeight="1" x14ac:dyDescent="0.25">
      <c r="D92" s="44" t="s">
        <v>1532</v>
      </c>
      <c r="E92" s="44" t="s">
        <v>1534</v>
      </c>
      <c r="F92" s="44" t="s">
        <v>1561</v>
      </c>
      <c r="G92" s="44" t="s">
        <v>0</v>
      </c>
      <c r="H92" s="44" t="s">
        <v>1</v>
      </c>
      <c r="I92" s="45" t="s">
        <v>1544</v>
      </c>
      <c r="J92" s="44" t="s">
        <v>1562</v>
      </c>
      <c r="K92" s="44" t="s">
        <v>1545</v>
      </c>
    </row>
    <row r="93" spans="4:12" ht="15.75" customHeight="1" x14ac:dyDescent="0.25">
      <c r="D93" s="279">
        <v>44986</v>
      </c>
      <c r="E93" s="280">
        <v>7</v>
      </c>
      <c r="F93" s="280">
        <v>302252</v>
      </c>
      <c r="G93" s="281">
        <v>20259150249</v>
      </c>
      <c r="H93" s="282" t="str">
        <f>IFERROR(IF('Mar-23'!$G93="","-",VLOOKUP('Mar-23'!$G93,Lista_CUIT!$A$1:$D$1871,2,0)),"CUIT NO CARGADO")</f>
        <v>BIANCHI CRISTIAN MAXIMILIANO</v>
      </c>
      <c r="I93" s="283">
        <v>7460</v>
      </c>
      <c r="J93" s="284" t="str">
        <f>IFERROR(IF('Mar-23'!$G93="","-",VLOOKUP('Mar-23'!$G93,Lista_CUIT!$A$1:$D$1871,3,0)),"CUIT NO CARGADO")</f>
        <v>Gastos Varios</v>
      </c>
      <c r="K93" s="284">
        <f>IFERROR(IF('Mar-23'!$G93="","-",VLOOKUP('Mar-23'!$G93,Lista_CUIT!$A$1:$D$1871,4,0)),"CUIT NO CARGADO")</f>
        <v>0</v>
      </c>
    </row>
    <row r="94" spans="4:12" ht="15.75" customHeight="1" x14ac:dyDescent="0.25">
      <c r="D94" s="54">
        <v>45012</v>
      </c>
      <c r="E94" s="55">
        <v>1</v>
      </c>
      <c r="F94" s="55">
        <v>6</v>
      </c>
      <c r="G94" s="56">
        <v>27387896150</v>
      </c>
      <c r="H94" s="46" t="str">
        <f>IFERROR(IF('Mar-23'!$G94="","-",VLOOKUP('Mar-23'!$G94,Lista_CUIT!$A$1:$D$1871,2,0)),"CUIT NO CARGADO")</f>
        <v>LIPANOVICH MARIA SOL</v>
      </c>
      <c r="I94" s="49">
        <v>400000</v>
      </c>
      <c r="J94" s="47" t="str">
        <f>IFERROR(IF('Mar-23'!$G94="","-",VLOOKUP('Mar-23'!$G94,Lista_CUIT!$A$1:$D$1871,3,0)),"CUIT NO CARGADO")</f>
        <v>Servicios Informatica</v>
      </c>
      <c r="K94" s="47">
        <f>IFERROR(IF('Mar-23'!$G94="","-",VLOOKUP('Mar-23'!$G94,Lista_CUIT!$A$1:$D$1871,4,0)),"CUIT NO CARGADO")</f>
        <v>0</v>
      </c>
    </row>
    <row r="95" spans="4:12" ht="15.75" customHeight="1" x14ac:dyDescent="0.25">
      <c r="D95" s="54">
        <v>44986</v>
      </c>
      <c r="E95" s="55">
        <v>4</v>
      </c>
      <c r="F95" s="55">
        <v>10</v>
      </c>
      <c r="G95" s="56">
        <v>20341462933</v>
      </c>
      <c r="H95" s="46" t="str">
        <f>IFERROR(IF('Mar-23'!$G95="","-",VLOOKUP('Mar-23'!$G95,Lista_CUIT!$A$1:$D$1871,2,0)),"CUIT NO CARGADO")</f>
        <v>CASTIGLIONI MATIAS EZEQUIEL</v>
      </c>
      <c r="I95" s="49">
        <v>195000</v>
      </c>
      <c r="J95" s="47" t="str">
        <f>IFERROR(IF('Mar-23'!$G95="","-",VLOOKUP('Mar-23'!$G95,Lista_CUIT!$A$1:$D$1871,3,0)),"CUIT NO CARGADO")</f>
        <v>MAT. PRIM.</v>
      </c>
      <c r="K95" s="47">
        <f>IFERROR(IF('Mar-23'!$G95="","-",VLOOKUP('Mar-23'!$G95,Lista_CUIT!$A$1:$D$1871,4,0)),"CUIT NO CARGADO")</f>
        <v>0</v>
      </c>
    </row>
    <row r="96" spans="4:12" ht="15.75" customHeight="1" x14ac:dyDescent="0.25">
      <c r="D96" s="54">
        <v>44995</v>
      </c>
      <c r="E96" s="55">
        <v>4</v>
      </c>
      <c r="F96" s="55">
        <v>11</v>
      </c>
      <c r="G96" s="56">
        <v>20341462933</v>
      </c>
      <c r="H96" s="46" t="str">
        <f>IFERROR(IF('Mar-23'!$G96="","-",VLOOKUP('Mar-23'!$G96,Lista_CUIT!$A$1:$D$1871,2,0)),"CUIT NO CARGADO")</f>
        <v>CASTIGLIONI MATIAS EZEQUIEL</v>
      </c>
      <c r="I96" s="49">
        <v>395500</v>
      </c>
      <c r="J96" s="47" t="str">
        <f>IFERROR(IF('Mar-23'!$G96="","-",VLOOKUP('Mar-23'!$G96,Lista_CUIT!$A$1:$D$1871,3,0)),"CUIT NO CARGADO")</f>
        <v>MAT. PRIM.</v>
      </c>
      <c r="K96" s="47">
        <f>IFERROR(IF('Mar-23'!$G96="","-",VLOOKUP('Mar-23'!$G96,Lista_CUIT!$A$1:$D$1871,4,0)),"CUIT NO CARGADO")</f>
        <v>0</v>
      </c>
    </row>
    <row r="97" spans="2:18" ht="15.75" customHeight="1" x14ac:dyDescent="0.25">
      <c r="D97" s="279">
        <v>45008</v>
      </c>
      <c r="E97" s="280">
        <v>1</v>
      </c>
      <c r="F97" s="280">
        <v>16</v>
      </c>
      <c r="G97" s="281">
        <v>20417805878</v>
      </c>
      <c r="H97" s="282" t="str">
        <f>IFERROR(IF('Mar-23'!$G97="","-",VLOOKUP('Mar-23'!$G97,Lista_CUIT!$A$1:$D$1871,2,0)),"CUIT NO CARGADO")</f>
        <v>FERABOLI OSPAL SANTIAGO HERNAN</v>
      </c>
      <c r="I97" s="283">
        <v>195000</v>
      </c>
      <c r="J97" s="284" t="str">
        <f>IFERROR(IF('Mar-23'!$G97="","-",VLOOKUP('Mar-23'!$G97,Lista_CUIT!$A$1:$D$1871,3,0)),"CUIT NO CARGADO")</f>
        <v>Control medidores masicos</v>
      </c>
      <c r="K97" s="284">
        <f>IFERROR(IF('Mar-23'!$G97="","-",VLOOKUP('Mar-23'!$G97,Lista_CUIT!$A$1:$D$1871,4,0)),"CUIT NO CARGADO")</f>
        <v>0</v>
      </c>
    </row>
    <row r="98" spans="2:18" ht="15.75" customHeight="1" x14ac:dyDescent="0.25">
      <c r="D98" s="279">
        <v>45007</v>
      </c>
      <c r="E98" s="280">
        <v>2</v>
      </c>
      <c r="F98" s="280">
        <v>20</v>
      </c>
      <c r="G98" s="281">
        <v>23326777269</v>
      </c>
      <c r="H98" s="282" t="str">
        <f>IFERROR(IF('Mar-23'!$G98="","-",VLOOKUP('Mar-23'!$G98,Lista_CUIT!$A$1:$D$1871,2,0)),"CUIT NO CARGADO")</f>
        <v>DE BONIS IGNACIO LUIS</v>
      </c>
      <c r="I98" s="283">
        <v>132422.39999999999</v>
      </c>
      <c r="J98" s="284" t="str">
        <f>IFERROR(IF('Mar-23'!$G98="","-",VLOOKUP('Mar-23'!$G98,Lista_CUIT!$A$1:$D$1871,3,0)),"CUIT NO CARGADO")</f>
        <v>Control medidores masicos</v>
      </c>
      <c r="K98" s="284">
        <f>IFERROR(IF('Mar-23'!$G98="","-",VLOOKUP('Mar-23'!$G98,Lista_CUIT!$A$1:$D$1871,4,0)),"CUIT NO CARGADO")</f>
        <v>0</v>
      </c>
    </row>
    <row r="99" spans="2:18" ht="15.75" customHeight="1" x14ac:dyDescent="0.25">
      <c r="D99" s="54">
        <v>45012</v>
      </c>
      <c r="E99" s="55">
        <v>1</v>
      </c>
      <c r="F99" s="55">
        <v>22</v>
      </c>
      <c r="G99" s="56">
        <v>20365938688</v>
      </c>
      <c r="H99" s="46" t="str">
        <f>IFERROR(IF('Mar-23'!$G99="","-",VLOOKUP('Mar-23'!$G99,Lista_CUIT!$A$1:$D$1871,2,0)),"CUIT NO CARGADO")</f>
        <v>LIPANOVICH JUAN CRUZ</v>
      </c>
      <c r="I99" s="49">
        <v>450000</v>
      </c>
      <c r="J99" s="47" t="str">
        <f>IFERROR(IF('Mar-23'!$G99="","-",VLOOKUP('Mar-23'!$G99,Lista_CUIT!$A$1:$D$1871,3,0)),"CUIT NO CARGADO")</f>
        <v>Servicios Informatica</v>
      </c>
      <c r="K99" s="47">
        <f>IFERROR(IF('Mar-23'!$G99="","-",VLOOKUP('Mar-23'!$G99,Lista_CUIT!$A$1:$D$1871,4,0)),"CUIT NO CARGADO")</f>
        <v>0</v>
      </c>
    </row>
    <row r="100" spans="2:18" ht="15.75" customHeight="1" x14ac:dyDescent="0.25">
      <c r="D100" s="54">
        <v>45006</v>
      </c>
      <c r="E100" s="55">
        <v>3</v>
      </c>
      <c r="F100" s="55">
        <v>48</v>
      </c>
      <c r="G100" s="56">
        <v>20403931420</v>
      </c>
      <c r="H100" s="46" t="str">
        <f>IFERROR(IF('Mar-23'!$G100="","-",VLOOKUP('Mar-23'!$G100,Lista_CUIT!$A$1:$D$1871,2,0)),"CUIT NO CARGADO")</f>
        <v>FIORENTINO JORGE IGNACIO</v>
      </c>
      <c r="I100" s="49">
        <v>148160</v>
      </c>
      <c r="J100" s="47" t="str">
        <f>IFERROR(IF('Mar-23'!$G100="","-",VLOOKUP('Mar-23'!$G100,Lista_CUIT!$A$1:$D$1871,3,0)),"CUIT NO CARGADO")</f>
        <v>Honorarios Administrativos-Cobranzas y Gestion Clientes</v>
      </c>
      <c r="K100" s="47">
        <f>IFERROR(IF('Mar-23'!$G100="","-",VLOOKUP('Mar-23'!$G100,Lista_CUIT!$A$1:$D$1871,4,0)),"CUIT NO CARGADO")</f>
        <v>0</v>
      </c>
    </row>
    <row r="101" spans="2:18" ht="15.75" customHeight="1" x14ac:dyDescent="0.25">
      <c r="D101" s="279">
        <v>45006</v>
      </c>
      <c r="E101" s="280">
        <v>2</v>
      </c>
      <c r="F101" s="280">
        <v>81</v>
      </c>
      <c r="G101" s="281">
        <v>20244271740</v>
      </c>
      <c r="H101" s="282" t="str">
        <f>IFERROR(IF('Mar-23'!$G101="","-",VLOOKUP('Mar-23'!$G101,Lista_CUIT!$A$1:$D$1871,2,0)),"CUIT NO CARGADO")</f>
        <v xml:space="preserve">KENNEL SEBASTIAN </v>
      </c>
      <c r="I101" s="283">
        <v>7594.72</v>
      </c>
      <c r="J101" s="284" t="str">
        <f>IFERROR(IF('Mar-23'!$G101="","-",VLOOKUP('Mar-23'!$G101,Lista_CUIT!$A$1:$D$1871,3,0)),"CUIT NO CARGADO")</f>
        <v>SOFTWARE MANTENIMIENTO</v>
      </c>
      <c r="K101" s="284">
        <f>IFERROR(IF('Mar-23'!$G101="","-",VLOOKUP('Mar-23'!$G101,Lista_CUIT!$A$1:$D$1871,4,0)),"CUIT NO CARGADO")</f>
        <v>0</v>
      </c>
    </row>
    <row r="102" spans="2:18" ht="15.75" customHeight="1" x14ac:dyDescent="0.25">
      <c r="D102" s="279">
        <v>44988</v>
      </c>
      <c r="E102" s="280">
        <v>1</v>
      </c>
      <c r="F102" s="280">
        <v>125</v>
      </c>
      <c r="G102" s="281">
        <v>27925308884</v>
      </c>
      <c r="H102" s="282" t="str">
        <f>IFERROR(IF('Mar-23'!$G102="","-",VLOOKUP('Mar-23'!$G102,Lista_CUIT!$A$1:$D$1871,2,0)),"CUIT NO CARGADO")</f>
        <v>LOPEZ LOPEZ FLAVIA</v>
      </c>
      <c r="I102" s="283">
        <v>79824</v>
      </c>
      <c r="J102" s="284" t="str">
        <f>IFERROR(IF('Mar-23'!$G102="","-",VLOOKUP('Mar-23'!$G102,Lista_CUIT!$A$1:$D$1871,3,0)),"CUIT NO CARGADO")</f>
        <v>FLETE</v>
      </c>
      <c r="K102" s="284">
        <f>IFERROR(IF('Mar-23'!$G102="","-",VLOOKUP('Mar-23'!$G102,Lista_CUIT!$A$1:$D$1871,4,0)),"CUIT NO CARGADO")</f>
        <v>0</v>
      </c>
    </row>
    <row r="103" spans="2:18" ht="15.75" customHeight="1" x14ac:dyDescent="0.25">
      <c r="D103" s="54">
        <v>44998</v>
      </c>
      <c r="E103" s="55">
        <v>1</v>
      </c>
      <c r="F103" s="55">
        <v>130</v>
      </c>
      <c r="G103" s="56">
        <v>27925308884</v>
      </c>
      <c r="H103" s="46" t="str">
        <f>IFERROR(IF('Mar-23'!$G103="","-",VLOOKUP('Mar-23'!$G103,Lista_CUIT!$A$1:$D$1871,2,0)),"CUIT NO CARGADO")</f>
        <v>LOPEZ LOPEZ FLAVIA</v>
      </c>
      <c r="I103" s="49">
        <v>10500</v>
      </c>
      <c r="J103" s="47" t="str">
        <f>IFERROR(IF('Mar-23'!$G103="","-",VLOOKUP('Mar-23'!$G103,Lista_CUIT!$A$1:$D$1871,3,0)),"CUIT NO CARGADO")</f>
        <v>FLETE</v>
      </c>
      <c r="K103" s="47">
        <f>IFERROR(IF('Mar-23'!$G103="","-",VLOOKUP('Mar-23'!$G103,Lista_CUIT!$A$1:$D$1871,4,0)),"CUIT NO CARGADO")</f>
        <v>0</v>
      </c>
    </row>
    <row r="104" spans="2:18" ht="15.75" customHeight="1" x14ac:dyDescent="0.25">
      <c r="D104" s="54">
        <v>45012</v>
      </c>
      <c r="E104" s="55">
        <v>2</v>
      </c>
      <c r="F104" s="55">
        <v>135</v>
      </c>
      <c r="G104" s="56">
        <v>20136544625</v>
      </c>
      <c r="H104" s="46" t="str">
        <f>IFERROR(IF('Mar-23'!$G104="","-",VLOOKUP('Mar-23'!$G104,Lista_CUIT!$A$1:$D$1871,2,0)),"CUIT NO CARGADO")</f>
        <v>RODRIGUEZ DE LA FUEN HECTOR MARCELO</v>
      </c>
      <c r="I104" s="49">
        <v>120000</v>
      </c>
      <c r="J104" s="47" t="str">
        <f>IFERROR(IF('Mar-23'!$G104="","-",VLOOKUP('Mar-23'!$G104,Lista_CUIT!$A$1:$D$1871,3,0)),"CUIT NO CARGADO")</f>
        <v>Honorarios Administrativos-Cobranzas y Gestion Clientes</v>
      </c>
      <c r="K104" s="47">
        <f>IFERROR(IF('Mar-23'!$G104="","-",VLOOKUP('Mar-23'!$G104,Lista_CUIT!$A$1:$D$1871,4,0)),"CUIT NO CARGADO")</f>
        <v>0</v>
      </c>
    </row>
    <row r="105" spans="2:18" ht="15.75" customHeight="1" x14ac:dyDescent="0.25">
      <c r="D105" s="54">
        <v>45016</v>
      </c>
      <c r="E105" s="55">
        <v>1</v>
      </c>
      <c r="F105" s="55">
        <v>148</v>
      </c>
      <c r="G105" s="56">
        <v>27925308884</v>
      </c>
      <c r="H105" s="46" t="str">
        <f>IFERROR(IF('Mar-23'!$G105="","-",VLOOKUP('Mar-23'!$G105,Lista_CUIT!$A$1:$D$1871,2,0)),"CUIT NO CARGADO")</f>
        <v>LOPEZ LOPEZ FLAVIA</v>
      </c>
      <c r="I105" s="49">
        <v>16500</v>
      </c>
      <c r="J105" s="47" t="str">
        <f>IFERROR(IF('Mar-23'!$G105="","-",VLOOKUP('Mar-23'!$G105,Lista_CUIT!$A$1:$D$1871,3,0)),"CUIT NO CARGADO")</f>
        <v>FLETE</v>
      </c>
      <c r="K105" s="47">
        <f>IFERROR(IF('Mar-23'!$G105="","-",VLOOKUP('Mar-23'!$G105,Lista_CUIT!$A$1:$D$1871,4,0)),"CUIT NO CARGADO")</f>
        <v>0</v>
      </c>
    </row>
    <row r="106" spans="2:18" ht="15.75" customHeight="1" x14ac:dyDescent="0.25">
      <c r="D106" s="54">
        <v>44987</v>
      </c>
      <c r="E106" s="55">
        <v>3</v>
      </c>
      <c r="F106" s="55">
        <v>699</v>
      </c>
      <c r="G106" s="56">
        <v>20086277523</v>
      </c>
      <c r="H106" s="46" t="str">
        <f>IFERROR(IF('Mar-23'!$G106="","-",VLOOKUP('Mar-23'!$G106,Lista_CUIT!$A$1:$D$1871,2,0)),"CUIT NO CARGADO")</f>
        <v>JUAN CARLOS BOTINDARI</v>
      </c>
      <c r="I106" s="49">
        <v>51900</v>
      </c>
      <c r="J106" s="47" t="str">
        <f>IFERROR(IF('Mar-23'!$G106="","-",VLOOKUP('Mar-23'!$G106,Lista_CUIT!$A$1:$D$1871,3,0)),"CUIT NO CARGADO")</f>
        <v>HONORARIOS</v>
      </c>
      <c r="K106" s="47">
        <f>IFERROR(IF('Mar-23'!$G106="","-",VLOOKUP('Mar-23'!$G106,Lista_CUIT!$A$1:$D$1871,4,0)),"CUIT NO CARGADO")</f>
        <v>0</v>
      </c>
    </row>
    <row r="107" spans="2:18" ht="15.75" customHeight="1" x14ac:dyDescent="0.25">
      <c r="D107" s="54">
        <v>44988</v>
      </c>
      <c r="E107" s="55">
        <v>3</v>
      </c>
      <c r="F107" s="55">
        <v>700</v>
      </c>
      <c r="G107" s="56">
        <v>20086277523</v>
      </c>
      <c r="H107" s="46" t="str">
        <f>IFERROR(IF('Mar-23'!$G107="","-",VLOOKUP('Mar-23'!$G107,Lista_CUIT!$A$1:$D$1871,2,0)),"CUIT NO CARGADO")</f>
        <v>JUAN CARLOS BOTINDARI</v>
      </c>
      <c r="I107" s="49">
        <v>15100</v>
      </c>
      <c r="J107" s="47" t="str">
        <f>IFERROR(IF('Mar-23'!$G107="","-",VLOOKUP('Mar-23'!$G107,Lista_CUIT!$A$1:$D$1871,3,0)),"CUIT NO CARGADO")</f>
        <v>HONORARIOS</v>
      </c>
      <c r="K107" s="47">
        <f>IFERROR(IF('Mar-23'!$G107="","-",VLOOKUP('Mar-23'!$G107,Lista_CUIT!$A$1:$D$1871,4,0)),"CUIT NO CARGADO")</f>
        <v>0</v>
      </c>
    </row>
    <row r="108" spans="2:18" ht="15.75" customHeight="1" x14ac:dyDescent="0.25">
      <c r="D108" s="279">
        <v>45000</v>
      </c>
      <c r="E108" s="280">
        <v>3</v>
      </c>
      <c r="F108" s="280">
        <v>706</v>
      </c>
      <c r="G108" s="281">
        <v>20086277523</v>
      </c>
      <c r="H108" s="282" t="str">
        <f>IFERROR(IF('Mar-23'!$G108="","-",VLOOKUP('Mar-23'!$G108,Lista_CUIT!$A$1:$D$1871,2,0)),"CUIT NO CARGADO")</f>
        <v>JUAN CARLOS BOTINDARI</v>
      </c>
      <c r="I108" s="283">
        <v>23544.95</v>
      </c>
      <c r="J108" s="284" t="str">
        <f>IFERROR(IF('Mar-23'!$G108="","-",VLOOKUP('Mar-23'!$G108,Lista_CUIT!$A$1:$D$1871,3,0)),"CUIT NO CARGADO")</f>
        <v>HONORARIOS</v>
      </c>
      <c r="K108" s="284">
        <f>IFERROR(IF('Mar-23'!$G108="","-",VLOOKUP('Mar-23'!$G108,Lista_CUIT!$A$1:$D$1871,4,0)),"CUIT NO CARGADO")</f>
        <v>0</v>
      </c>
    </row>
    <row r="109" spans="2:18" ht="15.75" customHeight="1" x14ac:dyDescent="0.25">
      <c r="D109" s="279">
        <v>44986</v>
      </c>
      <c r="E109" s="280">
        <v>1</v>
      </c>
      <c r="F109" s="280">
        <v>10838</v>
      </c>
      <c r="G109" s="281">
        <v>30709917567</v>
      </c>
      <c r="H109" s="282" t="str">
        <f>IFERROR(IF('Mar-23'!$G109="","-",VLOOKUP('Mar-23'!$G109,Lista_CUIT!$A$1:$D$1871,2,0)),"CUIT NO CARGADO")</f>
        <v xml:space="preserve">CONSORCIO DE PROPIETARIOS </v>
      </c>
      <c r="I109" s="283">
        <v>49000</v>
      </c>
      <c r="J109" s="284" t="str">
        <f>IFERROR(IF('Mar-23'!$G109="","-",VLOOKUP('Mar-23'!$G109,Lista_CUIT!$A$1:$D$1871,3,0)),"CUIT NO CARGADO")</f>
        <v>SERVICIOS GAS, LUZ, ETC</v>
      </c>
      <c r="K109" s="284">
        <f>IFERROR(IF('Mar-23'!$G109="","-",VLOOKUP('Mar-23'!$G109,Lista_CUIT!$A$1:$D$1871,4,0)),"CUIT NO CARGADO")</f>
        <v>0</v>
      </c>
    </row>
    <row r="110" spans="2:18" ht="15.75" customHeight="1" x14ac:dyDescent="0.25">
      <c r="D110" s="47" t="s">
        <v>1546</v>
      </c>
      <c r="E110" s="47"/>
      <c r="F110" s="47"/>
      <c r="G110" s="47"/>
      <c r="H110" s="48"/>
      <c r="I110" s="49">
        <f>SUBTOTAL(109,'Mar-23'!$I$93:$I$109)</f>
        <v>2297506.0700000003</v>
      </c>
      <c r="J110" s="47"/>
      <c r="K110" s="47"/>
    </row>
    <row r="111" spans="2:18" ht="15.75" customHeight="1" x14ac:dyDescent="0.25">
      <c r="B111" s="50"/>
      <c r="C111" s="50"/>
      <c r="L111" s="50"/>
      <c r="M111" s="50"/>
      <c r="N111" s="50"/>
      <c r="O111" s="50"/>
      <c r="P111" s="50"/>
      <c r="Q111" s="5"/>
      <c r="R111" s="50"/>
    </row>
    <row r="112" spans="2:18" ht="15.75" customHeight="1" x14ac:dyDescent="0.25"/>
    <row r="113" spans="2:13" ht="15.75" customHeight="1" x14ac:dyDescent="0.25"/>
    <row r="114" spans="2:13" ht="15.75" customHeight="1" x14ac:dyDescent="0.25"/>
    <row r="115" spans="2:13" ht="15.75" customHeight="1" x14ac:dyDescent="0.25"/>
    <row r="116" spans="2:13" ht="15.75" customHeight="1" x14ac:dyDescent="0.25">
      <c r="B116" s="366" t="s">
        <v>1563</v>
      </c>
      <c r="C116" s="351"/>
      <c r="D116" s="351"/>
      <c r="E116" s="351"/>
      <c r="F116" s="351"/>
      <c r="G116" s="351"/>
      <c r="H116" s="351"/>
      <c r="I116" s="351"/>
      <c r="J116" s="352"/>
      <c r="K116" s="367">
        <f>N1</f>
        <v>44986</v>
      </c>
      <c r="L116" s="351"/>
      <c r="M116" s="352"/>
    </row>
    <row r="117" spans="2:13" ht="15.75" customHeight="1" x14ac:dyDescent="0.25"/>
    <row r="118" spans="2:13" ht="15.75" customHeight="1" x14ac:dyDescent="0.25">
      <c r="B118" s="368" t="s">
        <v>1564</v>
      </c>
      <c r="C118" s="369"/>
    </row>
    <row r="119" spans="2:13" ht="15.75" customHeight="1" x14ac:dyDescent="0.25">
      <c r="B119" s="51" t="s">
        <v>1532</v>
      </c>
      <c r="C119" s="52" t="s">
        <v>1533</v>
      </c>
      <c r="D119" s="52" t="s">
        <v>1565</v>
      </c>
      <c r="E119" s="52" t="s">
        <v>1566</v>
      </c>
      <c r="F119" s="52" t="s">
        <v>0</v>
      </c>
      <c r="G119" s="52" t="s">
        <v>1</v>
      </c>
      <c r="H119" s="52" t="s">
        <v>1567</v>
      </c>
      <c r="I119" s="52" t="s">
        <v>1551</v>
      </c>
      <c r="J119" s="52" t="s">
        <v>1539</v>
      </c>
      <c r="K119" s="52" t="s">
        <v>1568</v>
      </c>
      <c r="L119" s="52" t="s">
        <v>1544</v>
      </c>
      <c r="M119" s="53" t="s">
        <v>1545</v>
      </c>
    </row>
    <row r="120" spans="2:13" ht="15.75" customHeight="1" x14ac:dyDescent="0.25">
      <c r="B120" s="10">
        <v>44986</v>
      </c>
      <c r="C120" s="11">
        <v>1</v>
      </c>
      <c r="D120" s="12">
        <v>3</v>
      </c>
      <c r="E120" s="13">
        <v>117</v>
      </c>
      <c r="F120" s="14">
        <v>30638318470</v>
      </c>
      <c r="G120" s="57" t="str">
        <f>IFERROR(IF('Mar-23'!$F120="","-",VLOOKUP('Mar-23'!$F120,Lista_CUIT!$A$1:$D$1871,2,0)),"CUIT NO CARGADO")</f>
        <v>DELTA COMPRESION S.R.L</v>
      </c>
      <c r="H120" s="58">
        <v>12341151.9</v>
      </c>
      <c r="I120" s="59">
        <v>127982.31600000001</v>
      </c>
      <c r="J120" s="60">
        <v>1231829.7915000001</v>
      </c>
      <c r="K120" s="60"/>
      <c r="L120" s="60">
        <f>SUM('Mar-23'!$H120:$K120)</f>
        <v>13700964.0075</v>
      </c>
      <c r="M120" s="61"/>
    </row>
    <row r="121" spans="2:13" ht="15.75" customHeight="1" x14ac:dyDescent="0.25">
      <c r="B121" s="10">
        <v>44988</v>
      </c>
      <c r="C121" s="11">
        <v>1</v>
      </c>
      <c r="D121" s="12">
        <v>3</v>
      </c>
      <c r="E121" s="13">
        <v>118</v>
      </c>
      <c r="F121" s="14">
        <v>33708467699</v>
      </c>
      <c r="G121" s="57" t="str">
        <f>IFERROR(IF('Mar-23'!$F121="","-",VLOOKUP('Mar-23'!$F121,Lista_CUIT!$A$1:$D$1871,2,0)),"CUIT NO CARGADO")</f>
        <v>COMPRESORES SERVICIO TECNICO S A</v>
      </c>
      <c r="H121" s="58">
        <v>522750</v>
      </c>
      <c r="I121" s="59">
        <f>'Mar-23'!$H121*0.21</f>
        <v>109777.5</v>
      </c>
      <c r="J121" s="60"/>
      <c r="K121" s="60"/>
      <c r="L121" s="60">
        <f>SUM('Mar-23'!$H121:$K121)</f>
        <v>632527.5</v>
      </c>
      <c r="M121" s="61"/>
    </row>
    <row r="122" spans="2:13" ht="15.75" customHeight="1" x14ac:dyDescent="0.25">
      <c r="B122" s="10">
        <v>45014</v>
      </c>
      <c r="C122" s="11">
        <v>1</v>
      </c>
      <c r="D122" s="12">
        <v>3</v>
      </c>
      <c r="E122" s="13">
        <v>119</v>
      </c>
      <c r="F122" s="14">
        <v>30711539707</v>
      </c>
      <c r="G122" s="57" t="str">
        <f>IFERROR(IF('Mar-23'!$F122="","-",VLOOKUP('Mar-23'!$F122,Lista_CUIT!$A$1:$D$1871,2,0)),"CUIT NO CARGADO")</f>
        <v>DIONE S.A.</v>
      </c>
      <c r="H122" s="58">
        <v>100320</v>
      </c>
      <c r="I122" s="59">
        <f>'Mar-23'!$H122*0.21</f>
        <v>21067.200000000001</v>
      </c>
      <c r="J122" s="60"/>
      <c r="K122" s="60"/>
      <c r="L122" s="60">
        <f>SUM('Mar-23'!$H122:$K122)</f>
        <v>121387.2</v>
      </c>
      <c r="M122" s="61"/>
    </row>
    <row r="123" spans="2:13" ht="15.75" customHeight="1" x14ac:dyDescent="0.25">
      <c r="B123" s="76" t="s">
        <v>1546</v>
      </c>
      <c r="C123" s="77"/>
      <c r="D123" s="77"/>
      <c r="E123" s="77"/>
      <c r="F123" s="77"/>
      <c r="G123" s="77"/>
      <c r="H123" s="78">
        <f>SUBTOTAL(109,'Mar-23'!$H$120:$H$122)</f>
        <v>12964221.9</v>
      </c>
      <c r="I123" s="79">
        <f>SUBTOTAL(109,'Mar-23'!$I$120:$I$122)</f>
        <v>258827.016</v>
      </c>
      <c r="J123" s="70">
        <f>SUBTOTAL(109,'Mar-23'!$J$120:$J$122)</f>
        <v>1231829.7915000001</v>
      </c>
      <c r="K123" s="70">
        <f>SUBTOTAL(109,'Mar-23'!$K$120:$K$122)</f>
        <v>0</v>
      </c>
      <c r="L123" s="70">
        <f>SUBTOTAL(109,'Mar-23'!$L$120:$L$122)</f>
        <v>14454878.7075</v>
      </c>
      <c r="M123" s="80">
        <f>SUBTOTAL(103,'Mar-23'!$M$120:$M$122)</f>
        <v>0</v>
      </c>
    </row>
    <row r="124" spans="2:13" ht="15.75" customHeight="1" x14ac:dyDescent="0.25"/>
    <row r="125" spans="2:13" ht="15.75" customHeight="1" x14ac:dyDescent="0.25"/>
    <row r="126" spans="2:13" ht="15.75" customHeight="1" x14ac:dyDescent="0.25">
      <c r="B126" s="368" t="s">
        <v>1569</v>
      </c>
      <c r="C126" s="369"/>
    </row>
    <row r="127" spans="2:13" ht="15.75" customHeight="1" x14ac:dyDescent="0.25">
      <c r="B127" s="51" t="s">
        <v>1532</v>
      </c>
      <c r="C127" s="52" t="s">
        <v>1533</v>
      </c>
      <c r="D127" s="52" t="s">
        <v>1565</v>
      </c>
      <c r="E127" s="52" t="s">
        <v>1566</v>
      </c>
      <c r="F127" s="52" t="s">
        <v>0</v>
      </c>
      <c r="G127" s="52" t="s">
        <v>1</v>
      </c>
      <c r="H127" s="52" t="s">
        <v>1567</v>
      </c>
      <c r="I127" s="52" t="s">
        <v>1551</v>
      </c>
      <c r="J127" s="52" t="s">
        <v>1539</v>
      </c>
      <c r="K127" s="52" t="s">
        <v>1568</v>
      </c>
      <c r="L127" s="52" t="s">
        <v>1544</v>
      </c>
      <c r="M127" s="53" t="s">
        <v>1545</v>
      </c>
    </row>
    <row r="128" spans="2:13" ht="15.75" customHeight="1" x14ac:dyDescent="0.25">
      <c r="B128" s="10"/>
      <c r="C128" s="11"/>
      <c r="D128" s="12"/>
      <c r="E128" s="13"/>
      <c r="F128" s="14"/>
      <c r="G128" s="81" t="str">
        <f>IFERROR(IF('Mar-23'!$F128="","-",VLOOKUP('Mar-23'!$F128,Lista_CUIT!$A$1:$D$1871,2,0)),"CUIT NO CARGADO")</f>
        <v>-</v>
      </c>
      <c r="H128" s="82"/>
      <c r="I128" s="82"/>
      <c r="J128" s="82"/>
      <c r="K128" s="82"/>
      <c r="L128" s="82">
        <f>SUM('Mar-23'!$H128:$K128)</f>
        <v>0</v>
      </c>
      <c r="M128" s="61"/>
    </row>
    <row r="129" spans="2:13" ht="15.75" customHeight="1" x14ac:dyDescent="0.25">
      <c r="B129" s="10"/>
      <c r="C129" s="11"/>
      <c r="D129" s="12"/>
      <c r="E129" s="13"/>
      <c r="F129" s="14"/>
      <c r="G129" s="81"/>
      <c r="H129" s="82"/>
      <c r="I129" s="82"/>
      <c r="J129" s="82"/>
      <c r="K129" s="82"/>
      <c r="L129" s="82">
        <f>SUM('Mar-23'!$H129:$K129)</f>
        <v>0</v>
      </c>
      <c r="M129" s="61"/>
    </row>
    <row r="130" spans="2:13" ht="15.75" customHeight="1" x14ac:dyDescent="0.25">
      <c r="B130" s="10"/>
      <c r="C130" s="11"/>
      <c r="D130" s="12"/>
      <c r="E130" s="13"/>
      <c r="F130" s="14"/>
      <c r="G130" s="81"/>
      <c r="H130" s="82"/>
      <c r="I130" s="82"/>
      <c r="J130" s="82"/>
      <c r="K130" s="82"/>
      <c r="L130" s="82">
        <f>SUM('Mar-23'!$H130:$K130)</f>
        <v>0</v>
      </c>
      <c r="M130" s="61"/>
    </row>
    <row r="131" spans="2:13" ht="15.75" customHeight="1" x14ac:dyDescent="0.25">
      <c r="B131" s="10"/>
      <c r="C131" s="11"/>
      <c r="D131" s="12"/>
      <c r="E131" s="13"/>
      <c r="F131" s="14"/>
      <c r="G131" s="81"/>
      <c r="H131" s="82"/>
      <c r="I131" s="82"/>
      <c r="J131" s="82"/>
      <c r="K131" s="82"/>
      <c r="L131" s="82">
        <f>SUM('Mar-23'!$H131:$K131)</f>
        <v>0</v>
      </c>
      <c r="M131" s="61"/>
    </row>
    <row r="132" spans="2:13" ht="15.75" customHeight="1" x14ac:dyDescent="0.25">
      <c r="B132" s="10"/>
      <c r="C132" s="11"/>
      <c r="D132" s="12"/>
      <c r="E132" s="13"/>
      <c r="F132" s="14"/>
      <c r="G132" s="81"/>
      <c r="H132" s="82"/>
      <c r="I132" s="82"/>
      <c r="J132" s="82"/>
      <c r="K132" s="82"/>
      <c r="L132" s="82">
        <f>SUM('Mar-23'!$H132:$K132)</f>
        <v>0</v>
      </c>
      <c r="M132" s="61"/>
    </row>
    <row r="133" spans="2:13" ht="15.75" customHeight="1" x14ac:dyDescent="0.25">
      <c r="B133" s="10"/>
      <c r="C133" s="11"/>
      <c r="D133" s="12"/>
      <c r="E133" s="13"/>
      <c r="F133" s="14"/>
      <c r="G133" s="81"/>
      <c r="H133" s="82"/>
      <c r="I133" s="82"/>
      <c r="J133" s="82"/>
      <c r="K133" s="82"/>
      <c r="L133" s="82">
        <f>SUM('Mar-23'!$H133:$K133)</f>
        <v>0</v>
      </c>
      <c r="M133" s="61"/>
    </row>
    <row r="134" spans="2:13" ht="15.75" customHeight="1" x14ac:dyDescent="0.25">
      <c r="B134" s="76" t="s">
        <v>1546</v>
      </c>
      <c r="C134" s="77"/>
      <c r="D134" s="77"/>
      <c r="E134" s="77"/>
      <c r="F134" s="77"/>
      <c r="G134" s="77"/>
      <c r="H134" s="83">
        <f>SUBTOTAL(109,'Mar-23'!$H$128:$H$133)</f>
        <v>0</v>
      </c>
      <c r="I134" s="83">
        <f>SUBTOTAL(109,'Mar-23'!$I$128:$I$133)</f>
        <v>0</v>
      </c>
      <c r="J134" s="84">
        <f>SUBTOTAL(109,'Mar-23'!$J$128:$J$133)</f>
        <v>0</v>
      </c>
      <c r="K134" s="84">
        <f>SUBTOTAL(109,'Mar-23'!$K$128:$K$133)</f>
        <v>0</v>
      </c>
      <c r="L134" s="84">
        <f>SUBTOTAL(109,'Mar-23'!$L$128:$L$133)</f>
        <v>0</v>
      </c>
      <c r="M134" s="80">
        <f>SUBTOTAL(103,'Mar-23'!$M$128:$M$133)</f>
        <v>0</v>
      </c>
    </row>
    <row r="135" spans="2:13" ht="15.75" customHeight="1" x14ac:dyDescent="0.25"/>
    <row r="136" spans="2:13" ht="15.75" customHeight="1" x14ac:dyDescent="0.25"/>
    <row r="137" spans="2:13" ht="15.75" customHeight="1" x14ac:dyDescent="0.25">
      <c r="B137" s="360" t="s">
        <v>1570</v>
      </c>
      <c r="C137" s="351"/>
      <c r="D137" s="351"/>
      <c r="E137" s="352"/>
      <c r="J137" s="17"/>
    </row>
    <row r="138" spans="2:13" ht="38.25" customHeight="1" x14ac:dyDescent="0.25">
      <c r="B138" s="113" t="s">
        <v>1532</v>
      </c>
      <c r="C138" s="113" t="s">
        <v>1565</v>
      </c>
      <c r="D138" s="113" t="s">
        <v>1571</v>
      </c>
      <c r="E138" s="113" t="s">
        <v>0</v>
      </c>
      <c r="F138" s="113" t="s">
        <v>1</v>
      </c>
      <c r="G138" s="113" t="s">
        <v>1572</v>
      </c>
      <c r="H138" s="113" t="s">
        <v>1573</v>
      </c>
      <c r="I138" s="113" t="s">
        <v>1574</v>
      </c>
      <c r="J138" s="113" t="s">
        <v>1544</v>
      </c>
    </row>
    <row r="139" spans="2:13" ht="15.75" customHeight="1" x14ac:dyDescent="0.25">
      <c r="B139" s="329">
        <v>44986</v>
      </c>
      <c r="C139" s="215">
        <v>30</v>
      </c>
      <c r="D139" s="210">
        <v>58</v>
      </c>
      <c r="E139" s="81"/>
      <c r="F139" s="210"/>
      <c r="G139" s="143">
        <v>1998.62</v>
      </c>
      <c r="H139" s="210"/>
      <c r="I139" s="216">
        <v>197.15</v>
      </c>
      <c r="J139" s="211">
        <f>$G$139*I139</f>
        <v>394027.93299999996</v>
      </c>
    </row>
    <row r="140" spans="2:13" ht="15.75" customHeight="1" x14ac:dyDescent="0.25">
      <c r="B140" s="329">
        <v>44993</v>
      </c>
      <c r="C140" s="215">
        <v>30</v>
      </c>
      <c r="D140" s="210">
        <v>59</v>
      </c>
      <c r="E140" s="81"/>
      <c r="F140" s="210"/>
      <c r="G140" s="143">
        <v>6020.9</v>
      </c>
      <c r="H140" s="210"/>
      <c r="I140" s="216">
        <v>199.68</v>
      </c>
      <c r="J140" s="211">
        <f>$G$140*I140</f>
        <v>1202253.3119999999</v>
      </c>
    </row>
    <row r="141" spans="2:13" ht="15.75" customHeight="1" x14ac:dyDescent="0.25">
      <c r="B141" s="329">
        <v>44998</v>
      </c>
      <c r="C141" s="215">
        <v>30</v>
      </c>
      <c r="D141" s="210">
        <v>60</v>
      </c>
      <c r="E141" s="81"/>
      <c r="F141" s="210"/>
      <c r="G141" s="143">
        <v>6020.9</v>
      </c>
      <c r="H141" s="210"/>
      <c r="I141" s="216">
        <v>200.73</v>
      </c>
      <c r="J141" s="211">
        <f>$G$141*I141</f>
        <v>1208575.2569999998</v>
      </c>
    </row>
    <row r="142" spans="2:13" ht="15.75" customHeight="1" x14ac:dyDescent="0.25">
      <c r="B142" s="329">
        <v>45007</v>
      </c>
      <c r="C142" s="215">
        <v>30</v>
      </c>
      <c r="D142" s="210">
        <v>15</v>
      </c>
      <c r="E142" s="81"/>
      <c r="F142" s="210"/>
      <c r="G142" s="143">
        <v>-6020.9</v>
      </c>
      <c r="H142" s="210"/>
      <c r="I142" s="216">
        <v>200.73</v>
      </c>
      <c r="J142" s="211">
        <f>$G$142*I142</f>
        <v>-1208575.2569999998</v>
      </c>
    </row>
    <row r="143" spans="2:13" ht="15.75" customHeight="1" x14ac:dyDescent="0.25">
      <c r="B143" s="329">
        <v>45013</v>
      </c>
      <c r="C143" s="215">
        <v>30</v>
      </c>
      <c r="D143" s="210">
        <v>61</v>
      </c>
      <c r="E143" s="81"/>
      <c r="F143" s="210"/>
      <c r="G143" s="143">
        <v>6363.4</v>
      </c>
      <c r="H143" s="210"/>
      <c r="I143" s="216">
        <v>205.02</v>
      </c>
      <c r="J143" s="211">
        <f>$G$143*I143</f>
        <v>1304624.2679999999</v>
      </c>
    </row>
    <row r="144" spans="2:13" ht="15.75" customHeight="1" x14ac:dyDescent="0.25">
      <c r="B144" s="329">
        <v>44998</v>
      </c>
      <c r="C144" s="215">
        <v>30</v>
      </c>
      <c r="D144" s="210">
        <v>62</v>
      </c>
      <c r="E144" s="81"/>
      <c r="F144" s="210"/>
      <c r="G144" s="143">
        <v>2155</v>
      </c>
      <c r="H144" s="210"/>
      <c r="I144" s="216">
        <v>207.42</v>
      </c>
      <c r="J144" s="211">
        <f>$G$144*I144</f>
        <v>446990.1</v>
      </c>
    </row>
    <row r="145" spans="2:12" ht="15.75" customHeight="1" x14ac:dyDescent="0.25">
      <c r="B145" s="217" t="s">
        <v>1705</v>
      </c>
      <c r="C145" s="218"/>
      <c r="D145" s="218"/>
      <c r="E145" s="218"/>
      <c r="F145" s="218"/>
      <c r="G145" s="218"/>
      <c r="H145" s="218"/>
      <c r="I145" s="219"/>
      <c r="J145" s="220">
        <f>SUBTOTAL(109,J139:J144)</f>
        <v>3347895.6129999994</v>
      </c>
    </row>
    <row r="146" spans="2:12" ht="15.75" customHeight="1" x14ac:dyDescent="0.25"/>
    <row r="147" spans="2:12" ht="15.75" customHeight="1" x14ac:dyDescent="0.25"/>
    <row r="148" spans="2:12" ht="15.75" customHeight="1" x14ac:dyDescent="0.25">
      <c r="C148" s="361" t="s">
        <v>1575</v>
      </c>
      <c r="D148" s="362"/>
      <c r="E148" s="362"/>
      <c r="F148" s="362"/>
      <c r="G148" s="363"/>
      <c r="H148" s="89"/>
      <c r="I148" s="89"/>
      <c r="J148" s="89"/>
    </row>
    <row r="149" spans="2:12" ht="15.75" customHeight="1" x14ac:dyDescent="0.25">
      <c r="C149" s="90" t="s">
        <v>1576</v>
      </c>
      <c r="D149" s="91" t="s">
        <v>1577</v>
      </c>
      <c r="E149" s="91" t="s">
        <v>1578</v>
      </c>
      <c r="F149" s="91" t="s">
        <v>0</v>
      </c>
      <c r="G149" s="91" t="s">
        <v>1</v>
      </c>
      <c r="H149" s="92" t="s">
        <v>1579</v>
      </c>
      <c r="I149" s="92" t="s">
        <v>1580</v>
      </c>
      <c r="J149" s="92" t="s">
        <v>1581</v>
      </c>
      <c r="K149" s="92" t="s">
        <v>1582</v>
      </c>
      <c r="L149" s="92" t="s">
        <v>1583</v>
      </c>
    </row>
    <row r="150" spans="2:12" ht="15.75" customHeight="1" x14ac:dyDescent="0.25">
      <c r="C150" s="54"/>
      <c r="D150" s="93"/>
      <c r="E150" s="93"/>
      <c r="F150" s="56"/>
      <c r="G150" s="46" t="str">
        <f>IFERROR(IF('Mar-23'!$F150="","-",VLOOKUP('Mar-23'!$F150,Lista_CUIT!$A$1:$D$1871,2,0)),"CUIT NO CARGADO")</f>
        <v>-</v>
      </c>
      <c r="H150" s="94"/>
      <c r="I150" s="94"/>
      <c r="J150" s="94"/>
      <c r="K150" s="94"/>
      <c r="L150" s="94"/>
    </row>
    <row r="151" spans="2:12" ht="15.75" customHeight="1" x14ac:dyDescent="0.25">
      <c r="C151" s="54"/>
      <c r="D151" s="93"/>
      <c r="E151" s="93"/>
      <c r="F151" s="56"/>
      <c r="G151" s="46" t="str">
        <f>IFERROR(IF('Mar-23'!$F151="","-",VLOOKUP('Mar-23'!$F151,Lista_CUIT!$A$1:$D$1871,2,0)),"CUIT NO CARGADO")</f>
        <v>-</v>
      </c>
      <c r="H151" s="94"/>
      <c r="I151" s="94"/>
      <c r="J151" s="94"/>
      <c r="K151" s="94"/>
      <c r="L151" s="94"/>
    </row>
    <row r="152" spans="2:12" ht="15.75" customHeight="1" x14ac:dyDescent="0.25">
      <c r="C152" s="54"/>
      <c r="D152" s="93"/>
      <c r="E152" s="93"/>
      <c r="F152" s="56"/>
      <c r="G152" s="46" t="str">
        <f>IFERROR(IF('Mar-23'!$F152="","-",VLOOKUP('Mar-23'!$F152,Lista_CUIT!$A$1:$D$1871,2,0)),"CUIT NO CARGADO")</f>
        <v>-</v>
      </c>
      <c r="H152" s="94"/>
      <c r="I152" s="94"/>
      <c r="J152" s="94"/>
      <c r="K152" s="94"/>
      <c r="L152" s="94"/>
    </row>
    <row r="153" spans="2:12" ht="15.75" customHeight="1" x14ac:dyDescent="0.25">
      <c r="C153" s="54"/>
      <c r="D153" s="93"/>
      <c r="E153" s="93"/>
      <c r="F153" s="56"/>
      <c r="G153" s="46" t="str">
        <f>IFERROR(IF('Mar-23'!$F153="","-",VLOOKUP('Mar-23'!$F153,Lista_CUIT!$A$1:$D$1871,2,0)),"CUIT NO CARGADO")</f>
        <v>-</v>
      </c>
      <c r="H153" s="94"/>
      <c r="I153" s="94"/>
      <c r="J153" s="94"/>
      <c r="K153" s="94"/>
      <c r="L153" s="94"/>
    </row>
    <row r="154" spans="2:12" ht="15.75" customHeight="1" x14ac:dyDescent="0.25">
      <c r="C154" s="3"/>
      <c r="D154" s="93"/>
      <c r="E154" s="93"/>
      <c r="F154" s="3"/>
      <c r="G154" s="46" t="str">
        <f>IFERROR(IF('Mar-23'!$F154="","-",VLOOKUP('Mar-23'!$F154,Lista_CUIT!$A$1:$D$1871,2,0)),"CUIT NO CARGADO")</f>
        <v>-</v>
      </c>
      <c r="H154" s="3"/>
      <c r="I154" s="3"/>
      <c r="J154" s="3"/>
      <c r="K154" s="3"/>
      <c r="L154" s="3"/>
    </row>
    <row r="155" spans="2:12" ht="15.75" customHeight="1" x14ac:dyDescent="0.25">
      <c r="C155" s="95"/>
    </row>
    <row r="156" spans="2:12" ht="15.75" customHeight="1" x14ac:dyDescent="0.25"/>
    <row r="157" spans="2:12" ht="15.75" customHeight="1" x14ac:dyDescent="0.25"/>
    <row r="158" spans="2:12" ht="15.75" customHeight="1" x14ac:dyDescent="0.25"/>
    <row r="159" spans="2:12" ht="15.75" customHeight="1" x14ac:dyDescent="0.25"/>
    <row r="160" spans="2:12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1">
    <mergeCell ref="P4:R4"/>
    <mergeCell ref="D81:L81"/>
    <mergeCell ref="C148:G148"/>
    <mergeCell ref="B137:E137"/>
    <mergeCell ref="B118:C118"/>
    <mergeCell ref="B126:C126"/>
    <mergeCell ref="B4:E4"/>
    <mergeCell ref="G4:H4"/>
    <mergeCell ref="D91:K91"/>
    <mergeCell ref="B116:J116"/>
    <mergeCell ref="K116:M116"/>
    <mergeCell ref="J4:K4"/>
    <mergeCell ref="M4:N4"/>
    <mergeCell ref="B1:F1"/>
    <mergeCell ref="G1:M1"/>
    <mergeCell ref="N1:R1"/>
    <mergeCell ref="G3:H3"/>
    <mergeCell ref="J3:K3"/>
    <mergeCell ref="M3:N3"/>
    <mergeCell ref="P3:R3"/>
    <mergeCell ref="B3:E3"/>
  </mergeCells>
  <dataValidations count="13">
    <dataValidation type="custom" allowBlank="1" showErrorMessage="1" sqref="H128:L133" xr:uid="{00000000-0002-0000-0C00-000000000000}">
      <formula1>IF($C128=8,H128&lt;0,H128&gt;=0)</formula1>
    </dataValidation>
    <dataValidation type="decimal" allowBlank="1" showErrorMessage="1" sqref="E140:E144" xr:uid="{00000000-0002-0000-0C00-000001000000}">
      <formula1>10000000000</formula1>
      <formula2>99999999999</formula2>
    </dataValidation>
    <dataValidation type="custom" allowBlank="1" showErrorMessage="1" sqref="L120:L121" xr:uid="{00000000-0002-0000-0C00-000002000000}">
      <formula1>IF($C9=3,L9&lt;0,L9&gt;=0)</formula1>
    </dataValidation>
    <dataValidation type="decimal" allowBlank="1" showErrorMessage="1" sqref="E9:E75 F93:F109 E120:E122 E128:E133" xr:uid="{00000000-0002-0000-0C00-000003000000}">
      <formula1>1</formula1>
      <formula2>99999999</formula2>
    </dataValidation>
    <dataValidation type="custom" allowBlank="1" showErrorMessage="1" sqref="L122" xr:uid="{00000000-0002-0000-0C00-000004000000}">
      <formula1>IF($C13=3,L13&lt;0,L13&gt;=0)</formula1>
    </dataValidation>
    <dataValidation type="decimal" allowBlank="1" showErrorMessage="1" sqref="C9:C75 C77:C80 C120:C122" xr:uid="{00000000-0002-0000-0C00-000005000000}">
      <formula1>1</formula1>
      <formula2>3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51 H52:N52 H53:O70 H71:N72 H73:L75" xr:uid="{00000000-0002-0000-0C00-000006000000}">
      <formula1>IF($C9=3,H9&lt;0,H9&gt;=0)</formula1>
    </dataValidation>
    <dataValidation type="custom" allowBlank="1" showErrorMessage="1" sqref="H120:K120 H122:K122" xr:uid="{00000000-0002-0000-0C00-000007000000}">
      <formula1>IF($C120=3,H120&lt;0,H120&gt;=0)</formula1>
    </dataValidation>
    <dataValidation type="decimal" allowBlank="1" showErrorMessage="1" sqref="C128:C133" xr:uid="{00000000-0002-0000-0C00-000008000000}">
      <formula1>6</formula1>
      <formula2>8</formula2>
    </dataValidation>
    <dataValidation type="decimal" allowBlank="1" showErrorMessage="1" sqref="F10:F16 G93:G109 F120:F122 F128:F133" xr:uid="{00000000-0002-0000-0C00-000009000000}">
      <formula1>20000000000</formula1>
      <formula2>33999999999</formula2>
    </dataValidation>
    <dataValidation type="date" allowBlank="1" showErrorMessage="1" sqref="B9:B75 B77:B80 D83:D86 D93:D109 B120:B122 B128:B133" xr:uid="{00000000-0002-0000-0C00-00000A000000}">
      <formula1>40179</formula1>
      <formula2>TODAY()</formula2>
    </dataValidation>
    <dataValidation type="decimal" allowBlank="1" showErrorMessage="1" sqref="D9:D75 E93:E109 D120:D122 D128:D133" xr:uid="{00000000-0002-0000-0C00-00000B000000}">
      <formula1>1</formula1>
      <formula2>9999</formula2>
    </dataValidation>
    <dataValidation type="date" operator="lessThan" allowBlank="1" showErrorMessage="1" sqref="B139:C144" xr:uid="{00000000-0002-0000-0C00-00000C000000}">
      <formula1>$Q$1+1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CDDC"/>
  </sheetPr>
  <dimension ref="B2:Q1010"/>
  <sheetViews>
    <sheetView showGridLines="0" topLeftCell="A139" zoomScale="90" zoomScaleNormal="90" workbookViewId="0">
      <selection activeCell="I144" sqref="I144"/>
    </sheetView>
  </sheetViews>
  <sheetFormatPr baseColWidth="10" defaultRowHeight="15" customHeight="1" x14ac:dyDescent="0.25"/>
  <cols>
    <col min="1" max="1" width="3.42578125" customWidth="1"/>
    <col min="2" max="2" width="10.7109375" customWidth="1"/>
    <col min="3" max="3" width="20.28515625" customWidth="1"/>
    <col min="4" max="4" width="15.42578125" customWidth="1"/>
    <col min="5" max="5" width="14.140625" customWidth="1"/>
    <col min="6" max="6" width="3.42578125" customWidth="1"/>
    <col min="7" max="7" width="10.7109375" customWidth="1"/>
    <col min="8" max="8" width="21.28515625" customWidth="1"/>
    <col min="9" max="9" width="14" customWidth="1"/>
    <col min="10" max="10" width="13.7109375" customWidth="1"/>
    <col min="11" max="11" width="2.140625" customWidth="1"/>
    <col min="12" max="12" width="10.7109375" customWidth="1"/>
    <col min="13" max="13" width="17.28515625" customWidth="1"/>
    <col min="14" max="14" width="14.5703125" customWidth="1"/>
    <col min="15" max="15" width="13.85546875" customWidth="1"/>
    <col min="16" max="16" width="6.7109375" customWidth="1"/>
    <col min="17" max="26" width="10.7109375" customWidth="1"/>
  </cols>
  <sheetData>
    <row r="2" spans="2:15" ht="31.5" x14ac:dyDescent="0.25">
      <c r="B2" s="384" t="s">
        <v>1730</v>
      </c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2"/>
    </row>
    <row r="3" spans="2:15" ht="10.5" customHeight="1" x14ac:dyDescent="0.4">
      <c r="B3" s="285"/>
      <c r="C3" s="285"/>
      <c r="D3" s="285"/>
      <c r="E3" s="285"/>
      <c r="F3" s="285"/>
      <c r="G3" s="286"/>
      <c r="H3" s="286"/>
      <c r="I3" s="286"/>
      <c r="J3" s="286"/>
      <c r="K3" s="286"/>
      <c r="L3" s="89"/>
      <c r="M3" s="89"/>
      <c r="N3" s="89"/>
      <c r="O3" s="89"/>
    </row>
    <row r="4" spans="2:15" ht="19.5" thickBot="1" x14ac:dyDescent="0.3">
      <c r="B4" s="379">
        <f>'Abr-22'!N1</f>
        <v>44652</v>
      </c>
      <c r="C4" s="382"/>
      <c r="D4" s="382"/>
      <c r="E4" s="383"/>
      <c r="F4" s="89"/>
      <c r="G4" s="379">
        <f>EDATE($B$4,1)</f>
        <v>44682</v>
      </c>
      <c r="H4" s="382"/>
      <c r="I4" s="382"/>
      <c r="J4" s="383"/>
      <c r="K4" s="89"/>
      <c r="L4" s="379">
        <f>EDATE($G$4,1)</f>
        <v>44713</v>
      </c>
      <c r="M4" s="382"/>
      <c r="N4" s="382"/>
      <c r="O4" s="383"/>
    </row>
    <row r="5" spans="2:15" x14ac:dyDescent="0.25">
      <c r="B5" s="287"/>
      <c r="C5" s="288" t="s">
        <v>215</v>
      </c>
      <c r="D5" s="347">
        <f>SUMIF(Table_2[Tipo de Gasto],'Asto-Cpras'!C5,Table_2[NETO GRAVADO])+SUMIF(Table_2[Tipo de Gasto],'Asto-Cpras'!C5,Table_2[Otros / No Grav.])</f>
        <v>0</v>
      </c>
      <c r="E5" s="289"/>
      <c r="F5" s="89"/>
      <c r="G5" s="290" t="str">
        <f>IF($B$5="","",$B$5)</f>
        <v/>
      </c>
      <c r="H5" s="291" t="str">
        <f>IF($C$5="","",$C$5)</f>
        <v>ALQUILER</v>
      </c>
      <c r="I5" s="347">
        <f>SUMIF(Table_9[Tipo de Gasto],'Asto-Cpras'!H5,Table_9[NETO GRAVADO])+SUMIF(Table_11[TIPO DE GASTO],'Asto-Cpras'!H5,Table_11[TOTAL])+SUMIF(Table_9[Tipo de Gasto],'Asto-Cpras'!H5,Table_9[Otros / No Grav.])</f>
        <v>0</v>
      </c>
      <c r="J5" s="289"/>
      <c r="K5" s="89"/>
      <c r="L5" s="290" t="str">
        <f>IF($B$5="","",$B$5)</f>
        <v/>
      </c>
      <c r="M5" s="291" t="str">
        <f>IF($C$5="","",$C$5)</f>
        <v>ALQUILER</v>
      </c>
      <c r="N5" s="345">
        <f>SUMIF(Table_16[Tipo de Gasto],'Asto-Cpras'!M5,Table_16[NETO GRAVADO])+SUMIF(Table_18[TIPO DE GASTO],'Asto-Cpras'!M5,Table_18[TOTAL])+SUMIF(Table_16[Tipo de Gasto],'Asto-Cpras'!H5,Table_16[Otros / No Grav.])</f>
        <v>0</v>
      </c>
      <c r="O5" s="289"/>
    </row>
    <row r="6" spans="2:15" x14ac:dyDescent="0.25">
      <c r="B6" s="290">
        <v>152.1</v>
      </c>
      <c r="C6" s="342" t="s">
        <v>1763</v>
      </c>
      <c r="D6" s="347">
        <f>SUMIF(Table_2[Tipo de Gasto],'Asto-Cpras'!C6,Table_2[NETO GRAVADO])+SUMIF(Table_2[Tipo de Gasto],'Asto-Cpras'!C6,Table_2[Otros / No Grav.])</f>
        <v>0</v>
      </c>
      <c r="E6" s="343"/>
      <c r="F6" s="89"/>
      <c r="G6" s="290">
        <f>IF($B$6="","",$B$6)</f>
        <v>152.1</v>
      </c>
      <c r="H6" s="291" t="str">
        <f>IF($C$6="","",$C$6)</f>
        <v>BIENES DE USO</v>
      </c>
      <c r="I6" s="347">
        <f>SUMIF(Table_9[Tipo de Gasto],'Asto-Cpras'!H6,Table_9[NETO GRAVADO])+SUMIF(Table_11[TIPO DE GASTO],'Asto-Cpras'!H6,Table_11[TOTAL])+SUMIF(Table_9[Tipo de Gasto],'Asto-Cpras'!H6,Table_9[Otros / No Grav.])</f>
        <v>0</v>
      </c>
      <c r="J6" s="293"/>
      <c r="K6" s="89"/>
      <c r="L6" s="290">
        <f>IF($B$6="","",$B$6)</f>
        <v>152.1</v>
      </c>
      <c r="M6" s="342" t="str">
        <f>IF($C$6="","",$C$6)</f>
        <v>BIENES DE USO</v>
      </c>
      <c r="N6" s="346">
        <f>SUMIF(Table_16[Tipo de Gasto],'Asto-Cpras'!M6,Table_16[NETO GRAVADO])+SUMIF(Table_18[TIPO DE GASTO],'Asto-Cpras'!M6,Table_18[TOTAL])+SUMIF(Table_16[Tipo de Gasto],'Asto-Cpras'!H6,Table_16[Otros / No Grav.])</f>
        <v>0</v>
      </c>
      <c r="O6" s="343"/>
    </row>
    <row r="7" spans="2:15" x14ac:dyDescent="0.25">
      <c r="B7" s="290">
        <v>500.02300000000002</v>
      </c>
      <c r="C7" s="342" t="s">
        <v>1041</v>
      </c>
      <c r="D7" s="347">
        <f>SUMIF(Table_2[Tipo de Gasto],'Asto-Cpras'!C7,Table_2[NETO GRAVADO])+SUMIF(Table_2[Tipo de Gasto],'Asto-Cpras'!C7,Table_2[Otros / No Grav.])</f>
        <v>80134</v>
      </c>
      <c r="E7" s="343"/>
      <c r="F7" s="89"/>
      <c r="G7" s="290">
        <f>IF($B$7="","",$B$7)</f>
        <v>500.02300000000002</v>
      </c>
      <c r="H7" s="291" t="str">
        <f>IF($C$7="","",$C$7)</f>
        <v>CATERING</v>
      </c>
      <c r="I7" s="347">
        <f>SUMIF(Table_9[Tipo de Gasto],'Asto-Cpras'!H7,Table_9[NETO GRAVADO])+SUMIF(Table_11[TIPO DE GASTO],'Asto-Cpras'!H7,Table_11[TOTAL])+SUMIF(Table_9[Tipo de Gasto],'Asto-Cpras'!H7,Table_9[Otros / No Grav.])</f>
        <v>69080</v>
      </c>
      <c r="J7" s="293"/>
      <c r="K7" s="89"/>
      <c r="L7" s="290">
        <f>IF($B$7="","",$B$7)</f>
        <v>500.02300000000002</v>
      </c>
      <c r="M7" s="342" t="str">
        <f>IF($C$7="","",$C$7)</f>
        <v>CATERING</v>
      </c>
      <c r="N7" s="346">
        <f>SUMIF(Table_16[Tipo de Gasto],'Asto-Cpras'!M7,Table_16[NETO GRAVADO])+SUMIF(Table_18[TIPO DE GASTO],'Asto-Cpras'!M7,Table_18[TOTAL])+SUMIF(Table_16[Tipo de Gasto],'Asto-Cpras'!H7,Table_16[Otros / No Grav.])</f>
        <v>201090</v>
      </c>
      <c r="O7" s="343"/>
    </row>
    <row r="8" spans="2:15" x14ac:dyDescent="0.25">
      <c r="B8" s="290">
        <v>500.02499999999998</v>
      </c>
      <c r="C8" s="342" t="s">
        <v>117</v>
      </c>
      <c r="D8" s="347">
        <f>SUMIF(Table_2[Tipo de Gasto],'Asto-Cpras'!C8,Table_2[NETO GRAVADO])+SUMIF(Table_2[Tipo de Gasto],'Asto-Cpras'!C8,Table_2[Otros / No Grav.])</f>
        <v>8595.64</v>
      </c>
      <c r="E8" s="343"/>
      <c r="F8" s="89"/>
      <c r="G8" s="290">
        <f>IF($B$8="","",$B$8)</f>
        <v>500.02499999999998</v>
      </c>
      <c r="H8" s="291" t="str">
        <f>IF($C$8="","",$C$8)</f>
        <v>COMBUSTIBLE</v>
      </c>
      <c r="I8" s="347">
        <f>SUMIF(Table_9[Tipo de Gasto],'Asto-Cpras'!H8,Table_9[NETO GRAVADO])+SUMIF(Table_11[TIPO DE GASTO],'Asto-Cpras'!H8,Table_11[TOTAL])+SUMIF(Table_9[Tipo de Gasto],'Asto-Cpras'!H8,Table_9[Otros / No Grav.])</f>
        <v>13361.880000000001</v>
      </c>
      <c r="J8" s="293"/>
      <c r="K8" s="89"/>
      <c r="L8" s="290">
        <f>IF($B$8="","",$B$8)</f>
        <v>500.02499999999998</v>
      </c>
      <c r="M8" s="342" t="str">
        <f>IF($C$8="","",$C$8)</f>
        <v>COMBUSTIBLE</v>
      </c>
      <c r="N8" s="346">
        <f>SUMIF(Table_16[Tipo de Gasto],'Asto-Cpras'!M8,Table_16[NETO GRAVADO])+SUMIF(Table_18[TIPO DE GASTO],'Asto-Cpras'!M8,Table_18[TOTAL])+SUMIF(Table_16[Tipo de Gasto],'Asto-Cpras'!H8,Table_16[Otros / No Grav.])</f>
        <v>0</v>
      </c>
      <c r="O8" s="343"/>
    </row>
    <row r="9" spans="2:15" x14ac:dyDescent="0.25">
      <c r="B9" s="290">
        <v>500.03199999999998</v>
      </c>
      <c r="C9" s="342" t="s">
        <v>1746</v>
      </c>
      <c r="D9" s="347">
        <f>SUMIF(Table_2[Tipo de Gasto],'Asto-Cpras'!C9,Table_2[NETO GRAVADO])+SUMIF(Table_2[Tipo de Gasto],'Asto-Cpras'!C9,Table_2[Otros / No Grav.])</f>
        <v>0</v>
      </c>
      <c r="E9" s="343"/>
      <c r="F9" s="89"/>
      <c r="G9" s="290">
        <f>IF($B$9="","",$B$9)</f>
        <v>500.03199999999998</v>
      </c>
      <c r="H9" s="291" t="str">
        <f>IF($C$9="","",$C$9)</f>
        <v>Control medidores masicos</v>
      </c>
      <c r="I9" s="347">
        <f>SUMIF(Table_9[Tipo de Gasto],'Asto-Cpras'!H9,Table_9[NETO GRAVADO])+SUMIF(Table_11[TIPO DE GASTO],'Asto-Cpras'!H9,Table_11[TOTAL])+SUMIF(Table_9[Tipo de Gasto],'Asto-Cpras'!H9,Table_9[Otros / No Grav.])</f>
        <v>250380</v>
      </c>
      <c r="J9" s="293"/>
      <c r="K9" s="89"/>
      <c r="L9" s="290">
        <f>IF($B$9="","",$B$9)</f>
        <v>500.03199999999998</v>
      </c>
      <c r="M9" s="342" t="str">
        <f>IF($C$9="","",$C$9)</f>
        <v>Control medidores masicos</v>
      </c>
      <c r="N9" s="346">
        <f>SUMIF(Table_16[Tipo de Gasto],'Asto-Cpras'!M9,Table_16[NETO GRAVADO])+SUMIF(Table_18[TIPO DE GASTO],'Asto-Cpras'!M9,Table_18[TOTAL])+SUMIF(Table_16[Tipo de Gasto],'Asto-Cpras'!H9,Table_16[Otros / No Grav.])</f>
        <v>200035</v>
      </c>
      <c r="O9" s="343"/>
    </row>
    <row r="10" spans="2:15" x14ac:dyDescent="0.25">
      <c r="B10" s="290"/>
      <c r="C10" s="342" t="s">
        <v>1764</v>
      </c>
      <c r="D10" s="347">
        <f>SUMIF(Table_2[Tipo de Gasto],'Asto-Cpras'!C10,Table_2[NETO GRAVADO])+SUMIF(Table_2[Tipo de Gasto],'Asto-Cpras'!C10,Table_2[Otros / No Grav.])</f>
        <v>0</v>
      </c>
      <c r="E10" s="343"/>
      <c r="F10" s="89"/>
      <c r="G10" s="290" t="str">
        <f>IF($B$10="","",$B$10)</f>
        <v/>
      </c>
      <c r="H10" s="291" t="str">
        <f>IF($C$10="","",$C$10)</f>
        <v>EQ COMPUTACION</v>
      </c>
      <c r="I10" s="347">
        <f>SUMIF(Table_9[Tipo de Gasto],'Asto-Cpras'!H10,Table_9[NETO GRAVADO])+SUMIF(Table_11[TIPO DE GASTO],'Asto-Cpras'!H10,Table_11[TOTAL])+SUMIF(Table_9[Tipo de Gasto],'Asto-Cpras'!H10,Table_9[Otros / No Grav.])</f>
        <v>0</v>
      </c>
      <c r="J10" s="293"/>
      <c r="K10" s="89"/>
      <c r="L10" s="290" t="str">
        <f>IF($B$10="","",$B$10)</f>
        <v/>
      </c>
      <c r="M10" s="342" t="str">
        <f>IF($C$10="","",$C$10)</f>
        <v>EQ COMPUTACION</v>
      </c>
      <c r="N10" s="346">
        <f>SUMIF(Table_16[Tipo de Gasto],'Asto-Cpras'!M10,Table_16[NETO GRAVADO])+SUMIF(Table_18[TIPO DE GASTO],'Asto-Cpras'!M10,Table_18[TOTAL])+SUMIF(Table_16[Tipo de Gasto],'Asto-Cpras'!H10,Table_16[Otros / No Grav.])</f>
        <v>0</v>
      </c>
      <c r="O10" s="343"/>
    </row>
    <row r="11" spans="2:15" x14ac:dyDescent="0.25">
      <c r="B11" s="290"/>
      <c r="C11" s="342" t="s">
        <v>1119</v>
      </c>
      <c r="D11" s="347">
        <f>SUMIF(Table_2[Tipo de Gasto],'Asto-Cpras'!C11,Table_2[NETO GRAVADO])+SUMIF(Table_2[Tipo de Gasto],'Asto-Cpras'!C11,Table_2[Otros / No Grav.])</f>
        <v>0</v>
      </c>
      <c r="E11" s="343"/>
      <c r="F11" s="89"/>
      <c r="G11" s="290" t="str">
        <f>IF($B$11="","",$B$11)</f>
        <v/>
      </c>
      <c r="H11" s="291" t="str">
        <f>IF($C$11="","",$C$11)</f>
        <v>FERRETERIA</v>
      </c>
      <c r="I11" s="347">
        <f>SUMIF(Table_9[Tipo de Gasto],'Asto-Cpras'!H11,Table_9[NETO GRAVADO])+SUMIF(Table_11[TIPO DE GASTO],'Asto-Cpras'!H11,Table_11[TOTAL])+SUMIF(Table_9[Tipo de Gasto],'Asto-Cpras'!H11,Table_9[Otros / No Grav.])</f>
        <v>11424.79</v>
      </c>
      <c r="J11" s="293"/>
      <c r="K11" s="89"/>
      <c r="L11" s="290" t="str">
        <f>IF($B$11="","",$B$11)</f>
        <v/>
      </c>
      <c r="M11" s="342" t="str">
        <f>IF($C$11="","",$C$11)</f>
        <v>FERRETERIA</v>
      </c>
      <c r="N11" s="346">
        <f>SUMIF(Table_16[Tipo de Gasto],'Asto-Cpras'!M11,Table_16[NETO GRAVADO])+SUMIF(Table_18[TIPO DE GASTO],'Asto-Cpras'!M11,Table_18[TOTAL])+SUMIF(Table_16[Tipo de Gasto],'Asto-Cpras'!H11,Table_16[Otros / No Grav.])</f>
        <v>0</v>
      </c>
      <c r="O11" s="343"/>
    </row>
    <row r="12" spans="2:15" x14ac:dyDescent="0.25">
      <c r="B12" s="290">
        <v>507.13</v>
      </c>
      <c r="C12" s="342" t="s">
        <v>297</v>
      </c>
      <c r="D12" s="347">
        <f>SUMIF(Table_2[Tipo de Gasto],'Asto-Cpras'!C12,Table_2[NETO GRAVADO])+SUMIF(Table_2[Tipo de Gasto],'Asto-Cpras'!C12,Table_2[Otros / No Grav.])</f>
        <v>0</v>
      </c>
      <c r="E12" s="343"/>
      <c r="F12" s="89"/>
      <c r="G12" s="290">
        <f>IF($B$12="","",$B$12)</f>
        <v>507.13</v>
      </c>
      <c r="H12" s="291" t="str">
        <f>IF($C$12="","",$C$12)</f>
        <v>FLETE</v>
      </c>
      <c r="I12" s="347">
        <f>SUMIF(Table_9[Tipo de Gasto],'Asto-Cpras'!H12,Table_9[NETO GRAVADO])+SUMIF(Table_11[TIPO DE GASTO],'Asto-Cpras'!H12,Table_11[TOTAL])+SUMIF(Table_9[Tipo de Gasto],'Asto-Cpras'!H12,Table_9[Otros / No Grav.])</f>
        <v>65190</v>
      </c>
      <c r="J12" s="293"/>
      <c r="K12" s="89"/>
      <c r="L12" s="290">
        <f>IF($B$12="","",$B$12)</f>
        <v>507.13</v>
      </c>
      <c r="M12" s="342" t="str">
        <f>IF($C$12="","",$C$12)</f>
        <v>FLETE</v>
      </c>
      <c r="N12" s="346">
        <f>SUMIF(Table_16[Tipo de Gasto],'Asto-Cpras'!M12,Table_16[NETO GRAVADO])+SUMIF(Table_18[TIPO DE GASTO],'Asto-Cpras'!M12,Table_18[TOTAL])+SUMIF(Table_16[Tipo de Gasto],'Asto-Cpras'!H12,Table_16[Otros / No Grav.])</f>
        <v>0</v>
      </c>
      <c r="O12" s="343"/>
    </row>
    <row r="13" spans="2:15" x14ac:dyDescent="0.25">
      <c r="B13" s="290">
        <v>121.12</v>
      </c>
      <c r="C13" s="342" t="s">
        <v>1760</v>
      </c>
      <c r="D13" s="347">
        <f>SUMIF(Table_2[Tipo de Gasto],'Asto-Cpras'!C13,Table_2[NETO GRAVADO])+SUMIF(Table_2[Tipo de Gasto],'Asto-Cpras'!C13,Table_2[Otros / No Grav.])</f>
        <v>0</v>
      </c>
      <c r="E13" s="343"/>
      <c r="F13" s="89"/>
      <c r="G13" s="290">
        <f>IF($B$13="","",$B$13)</f>
        <v>121.12</v>
      </c>
      <c r="H13" s="291" t="str">
        <f>IF($C$13="","",$C$13)</f>
        <v>FOTOGRABADOS</v>
      </c>
      <c r="I13" s="347">
        <f>SUMIF(Table_9[Tipo de Gasto],'Asto-Cpras'!H13,Table_9[NETO GRAVADO])+SUMIF(Table_11[TIPO DE GASTO],'Asto-Cpras'!H13,Table_11[TOTAL])+SUMIF(Table_9[Tipo de Gasto],'Asto-Cpras'!H13,Table_9[Otros / No Grav.])</f>
        <v>315388.2</v>
      </c>
      <c r="J13" s="293"/>
      <c r="K13" s="89"/>
      <c r="L13" s="290">
        <f>IF($B$13="","",$B$13)</f>
        <v>121.12</v>
      </c>
      <c r="M13" s="342" t="str">
        <f>IF($C$13="","",$C$13)</f>
        <v>FOTOGRABADOS</v>
      </c>
      <c r="N13" s="346">
        <f>SUMIF(Table_16[Tipo de Gasto],'Asto-Cpras'!M13,Table_16[NETO GRAVADO])+SUMIF(Table_18[TIPO DE GASTO],'Asto-Cpras'!M13,Table_18[TOTAL])+SUMIF(Table_16[Tipo de Gasto],'Asto-Cpras'!H13,Table_16[Otros / No Grav.])</f>
        <v>377201.4</v>
      </c>
      <c r="O13" s="343"/>
    </row>
    <row r="14" spans="2:15" x14ac:dyDescent="0.25">
      <c r="B14" s="290">
        <v>500.5</v>
      </c>
      <c r="C14" s="342" t="s">
        <v>1758</v>
      </c>
      <c r="D14" s="347">
        <f>SUMIF(Table_2[Tipo de Gasto],'Asto-Cpras'!C14,Table_2[NETO GRAVADO])+SUMIF(Table_2[Tipo de Gasto],'Asto-Cpras'!C14,Table_2[Otros / No Grav.])</f>
        <v>25288.62</v>
      </c>
      <c r="E14" s="343"/>
      <c r="F14" s="89"/>
      <c r="G14" s="290">
        <f>IF($B$14="","",$B$14)</f>
        <v>500.5</v>
      </c>
      <c r="H14" s="291" t="str">
        <f>IF($C$14="","",$C$14)</f>
        <v>GASTOS OFICINA</v>
      </c>
      <c r="I14" s="347">
        <f>SUMIF(Table_9[Tipo de Gasto],'Asto-Cpras'!H14,Table_9[NETO GRAVADO])+SUMIF(Table_11[TIPO DE GASTO],'Asto-Cpras'!H14,Table_11[TOTAL])+SUMIF(Table_9[Tipo de Gasto],'Asto-Cpras'!H14,Table_9[Otros / No Grav.])</f>
        <v>1849.17</v>
      </c>
      <c r="J14" s="293"/>
      <c r="K14" s="89"/>
      <c r="L14" s="290">
        <f>IF($B$14="","",$B$14)</f>
        <v>500.5</v>
      </c>
      <c r="M14" s="342" t="str">
        <f>IF($C$14="","",$C$14)</f>
        <v>GASTOS OFICINA</v>
      </c>
      <c r="N14" s="346">
        <f>SUMIF(Table_16[Tipo de Gasto],'Asto-Cpras'!M14,Table_16[NETO GRAVADO])+SUMIF(Table_18[TIPO DE GASTO],'Asto-Cpras'!M14,Table_18[TOTAL])+SUMIF(Table_16[Tipo de Gasto],'Asto-Cpras'!H14,Table_16[Otros / No Grav.])</f>
        <v>2209.92</v>
      </c>
      <c r="O14" s="343"/>
    </row>
    <row r="15" spans="2:15" x14ac:dyDescent="0.25">
      <c r="B15" s="290">
        <v>500.05</v>
      </c>
      <c r="C15" s="342" t="s">
        <v>270</v>
      </c>
      <c r="D15" s="347">
        <f>SUMIF(Table_2[Tipo de Gasto],'Asto-Cpras'!C15,Table_2[NETO GRAVADO])+SUMIF(Table_2[Tipo de Gasto],'Asto-Cpras'!C15,Table_2[Otros / No Grav.])</f>
        <v>254977.04</v>
      </c>
      <c r="E15" s="343"/>
      <c r="F15" s="89"/>
      <c r="G15" s="290">
        <f>IF($B$15="","",$B$15)</f>
        <v>500.05</v>
      </c>
      <c r="H15" s="291" t="str">
        <f>IF($C$15="","",$C$15)</f>
        <v>GASTOS VARIOS</v>
      </c>
      <c r="I15" s="347">
        <f>SUMIF(Table_9[Tipo de Gasto],'Asto-Cpras'!H15,Table_9[NETO GRAVADO])+SUMIF(Table_11[TIPO DE GASTO],'Asto-Cpras'!H15,Table_11[TOTAL])+SUMIF(Table_9[Tipo de Gasto],'Asto-Cpras'!H15,Table_9[Otros / No Grav.])</f>
        <v>36303.94</v>
      </c>
      <c r="J15" s="293"/>
      <c r="K15" s="89"/>
      <c r="L15" s="290">
        <f>IF($B$15="","",$B$15)</f>
        <v>500.05</v>
      </c>
      <c r="M15" s="342" t="str">
        <f>IF($C$15="","",$C$15)</f>
        <v>GASTOS VARIOS</v>
      </c>
      <c r="N15" s="346">
        <f>SUMIF(Table_16[Tipo de Gasto],'Asto-Cpras'!M15,Table_16[NETO GRAVADO])+SUMIF(Table_18[TIPO DE GASTO],'Asto-Cpras'!M15,Table_18[TOTAL])+SUMIF(Table_16[Tipo de Gasto],'Asto-Cpras'!H15,Table_16[Otros / No Grav.])</f>
        <v>32348.340000000004</v>
      </c>
      <c r="O15" s="343"/>
    </row>
    <row r="16" spans="2:15" x14ac:dyDescent="0.25">
      <c r="B16" s="290">
        <v>507.31</v>
      </c>
      <c r="C16" s="342" t="s">
        <v>51</v>
      </c>
      <c r="D16" s="347">
        <f>SUMIF(Table_2[Tipo de Gasto],'Asto-Cpras'!C16,Table_2[NETO GRAVADO])+SUMIF(Table_2[Tipo de Gasto],'Asto-Cpras'!C16,Table_2[Otros / No Grav.])</f>
        <v>266077.97899999999</v>
      </c>
      <c r="E16" s="343"/>
      <c r="F16" s="89"/>
      <c r="G16" s="290">
        <f>IF($B$16="","",$B$16)</f>
        <v>507.31</v>
      </c>
      <c r="H16" s="291" t="str">
        <f>IF($C$16="","",$C$16)</f>
        <v>GTOS IMP.</v>
      </c>
      <c r="I16" s="347">
        <f>SUMIF(Table_9[Tipo de Gasto],'Asto-Cpras'!H16,Table_9[NETO GRAVADO])+SUMIF(Table_11[TIPO DE GASTO],'Asto-Cpras'!H16,Table_11[TOTAL])+SUMIF(Table_9[Tipo de Gasto],'Asto-Cpras'!H16,Table_9[Otros / No Grav.])</f>
        <v>67927.8</v>
      </c>
      <c r="J16" s="293"/>
      <c r="K16" s="89"/>
      <c r="L16" s="290">
        <f>IF($B$16="","",$B$16)</f>
        <v>507.31</v>
      </c>
      <c r="M16" s="342" t="str">
        <f>IF($C$16="","",$C$16)</f>
        <v>GTOS IMP.</v>
      </c>
      <c r="N16" s="346">
        <f>SUMIF(Table_16[Tipo de Gasto],'Asto-Cpras'!M16,Table_16[NETO GRAVADO])+SUMIF(Table_18[TIPO DE GASTO],'Asto-Cpras'!M16,Table_18[TOTAL])+SUMIF(Table_16[Tipo de Gasto],'Asto-Cpras'!H16,Table_16[Otros / No Grav.])</f>
        <v>39671.19</v>
      </c>
      <c r="O16" s="343"/>
    </row>
    <row r="17" spans="2:17" x14ac:dyDescent="0.25">
      <c r="B17" s="290">
        <v>500.024</v>
      </c>
      <c r="C17" s="342" t="s">
        <v>833</v>
      </c>
      <c r="D17" s="347">
        <f>SUMIF(Table_2[Tipo de Gasto],'Asto-Cpras'!C17,Table_2[NETO GRAVADO])+SUMIF(Table_2[Tipo de Gasto],'Asto-Cpras'!C17,Table_2[Otros / No Grav.])</f>
        <v>7190.08</v>
      </c>
      <c r="E17" s="343"/>
      <c r="F17" s="89"/>
      <c r="G17" s="290">
        <f>IF($B$17="","",$B$17)</f>
        <v>500.024</v>
      </c>
      <c r="H17" s="291" t="str">
        <f>IF($C$17="","",$C$17)</f>
        <v>GTOS VARIOS-ESTACIONAMIENTO HORACIO</v>
      </c>
      <c r="I17" s="347">
        <f>SUMIF(Table_9[Tipo de Gasto],'Asto-Cpras'!H17,Table_9[NETO GRAVADO])+SUMIF(Table_11[TIPO DE GASTO],'Asto-Cpras'!H17,Table_11[TOTAL])+SUMIF(Table_9[Tipo de Gasto],'Asto-Cpras'!H17,Table_9[Otros / No Grav.])</f>
        <v>7190.08</v>
      </c>
      <c r="J17" s="293"/>
      <c r="K17" s="89"/>
      <c r="L17" s="290">
        <f>IF($B$17="","",$B$17)</f>
        <v>500.024</v>
      </c>
      <c r="M17" s="342" t="str">
        <f>IF($C$17="","",$C$17)</f>
        <v>GTOS VARIOS-ESTACIONAMIENTO HORACIO</v>
      </c>
      <c r="N17" s="346">
        <f>SUMIF(Table_16[Tipo de Gasto],'Asto-Cpras'!M17,Table_16[NETO GRAVADO])+SUMIF(Table_18[TIPO DE GASTO],'Asto-Cpras'!M17,Table_18[TOTAL])+SUMIF(Table_16[Tipo de Gasto],'Asto-Cpras'!H17,Table_16[Otros / No Grav.])</f>
        <v>7190.08</v>
      </c>
      <c r="O17" s="343"/>
    </row>
    <row r="18" spans="2:17" x14ac:dyDescent="0.25">
      <c r="B18" s="290">
        <v>510.12</v>
      </c>
      <c r="C18" s="342" t="s">
        <v>30</v>
      </c>
      <c r="D18" s="347">
        <f>SUMIF(Table_2[Tipo de Gasto],'Asto-Cpras'!C18,Table_2[NETO GRAVADO])+SUMIF(Table_2[Tipo de Gasto],'Asto-Cpras'!C18,Table_2[Otros / No Grav.])</f>
        <v>0</v>
      </c>
      <c r="E18" s="343"/>
      <c r="F18" s="89"/>
      <c r="G18" s="290">
        <f>IF($B$18="","",$B$18)</f>
        <v>510.12</v>
      </c>
      <c r="H18" s="291" t="str">
        <f>IF($C$18="","",$C$18)</f>
        <v>HONOR. INGENIERO</v>
      </c>
      <c r="I18" s="347">
        <f>SUMIF(Table_9[Tipo de Gasto],'Asto-Cpras'!H18,Table_9[NETO GRAVADO])+SUMIF(Table_11[TIPO DE GASTO],'Asto-Cpras'!H18,Table_11[TOTAL])+SUMIF(Table_9[Tipo de Gasto],'Asto-Cpras'!H18,Table_9[Otros / No Grav.])</f>
        <v>42200</v>
      </c>
      <c r="J18" s="293"/>
      <c r="K18" s="89"/>
      <c r="L18" s="290">
        <f>IF($B$18="","",$B$18)</f>
        <v>510.12</v>
      </c>
      <c r="M18" s="342" t="str">
        <f>IF($C$18="","",$C$18)</f>
        <v>HONOR. INGENIERO</v>
      </c>
      <c r="N18" s="346">
        <f>SUMIF(Table_16[Tipo de Gasto],'Asto-Cpras'!M18,Table_16[NETO GRAVADO])+SUMIF(Table_18[TIPO DE GASTO],'Asto-Cpras'!M18,Table_18[TOTAL])+SUMIF(Table_16[Tipo de Gasto],'Asto-Cpras'!H18,Table_16[Otros / No Grav.])</f>
        <v>79670</v>
      </c>
      <c r="O18" s="343"/>
    </row>
    <row r="19" spans="2:17" x14ac:dyDescent="0.25">
      <c r="B19" s="290">
        <v>510.13</v>
      </c>
      <c r="C19" s="342" t="s">
        <v>59</v>
      </c>
      <c r="D19" s="347">
        <f>SUMIF(Table_2[Tipo de Gasto],'Asto-Cpras'!C19,Table_2[NETO GRAVADO])+SUMIF(Table_2[Tipo de Gasto],'Asto-Cpras'!C19,Table_2[Otros / No Grav.])</f>
        <v>0</v>
      </c>
      <c r="E19" s="343"/>
      <c r="F19" s="89"/>
      <c r="G19" s="290">
        <f>IF($B$19="","",$B$19)</f>
        <v>510.13</v>
      </c>
      <c r="H19" s="291" t="str">
        <f>IF($C$19="","",$C$19)</f>
        <v>HONORARIOS</v>
      </c>
      <c r="I19" s="347">
        <f>SUMIF(Table_9[Tipo de Gasto],'Asto-Cpras'!H19,Table_9[NETO GRAVADO])+SUMIF(Table_11[TIPO DE GASTO],'Asto-Cpras'!H19,Table_11[TOTAL])+SUMIF(Table_9[Tipo de Gasto],'Asto-Cpras'!H19,Table_9[Otros / No Grav.])</f>
        <v>39850</v>
      </c>
      <c r="J19" s="293"/>
      <c r="K19" s="89"/>
      <c r="L19" s="290">
        <f>IF($B$19="","",$B$19)</f>
        <v>510.13</v>
      </c>
      <c r="M19" s="342" t="str">
        <f>IF($C$19="","",$C$19)</f>
        <v>HONORARIOS</v>
      </c>
      <c r="N19" s="346">
        <f>SUMIF(Table_16[Tipo de Gasto],'Asto-Cpras'!M19,Table_16[NETO GRAVADO])+SUMIF(Table_18[TIPO DE GASTO],'Asto-Cpras'!M19,Table_18[TOTAL])+SUMIF(Table_16[Tipo de Gasto],'Asto-Cpras'!H19,Table_16[Otros / No Grav.])</f>
        <v>39850</v>
      </c>
      <c r="O19" s="343"/>
    </row>
    <row r="20" spans="2:17" x14ac:dyDescent="0.25">
      <c r="B20" s="290">
        <v>500.01600000000002</v>
      </c>
      <c r="C20" s="342" t="s">
        <v>850</v>
      </c>
      <c r="D20" s="347">
        <f>SUMIF(Table_2[Tipo de Gasto],'Asto-Cpras'!C20,Table_2[NETO GRAVADO])+SUMIF(Table_2[Tipo de Gasto],'Asto-Cpras'!C20,Table_2[Otros / No Grav.])</f>
        <v>0</v>
      </c>
      <c r="E20" s="343"/>
      <c r="F20" s="89"/>
      <c r="G20" s="290">
        <f>IF($B$20="","",$B$20)</f>
        <v>500.01600000000002</v>
      </c>
      <c r="H20" s="291" t="str">
        <f>IF($C$20="","",$C$20)</f>
        <v>Honorarios Administrativos-Cobranzas y Gestion Clientes</v>
      </c>
      <c r="I20" s="347">
        <f>SUMIF(Table_9[Tipo de Gasto],'Asto-Cpras'!H20,Table_9[NETO GRAVADO])+SUMIF(Table_11[TIPO DE GASTO],'Asto-Cpras'!H20,Table_11[TOTAL])+SUMIF(Table_9[Tipo de Gasto],'Asto-Cpras'!H20,Table_9[Otros / No Grav.])</f>
        <v>243875</v>
      </c>
      <c r="J20" s="293"/>
      <c r="K20" s="89"/>
      <c r="L20" s="290">
        <f>IF($B$20="","",$B$20)</f>
        <v>500.01600000000002</v>
      </c>
      <c r="M20" s="342" t="str">
        <f>IF($C$20="","",$C$20)</f>
        <v>Honorarios Administrativos-Cobranzas y Gestion Clientes</v>
      </c>
      <c r="N20" s="346">
        <f>SUMIF(Table_16[Tipo de Gasto],'Asto-Cpras'!M20,Table_16[NETO GRAVADO])+SUMIF(Table_18[TIPO DE GASTO],'Asto-Cpras'!M20,Table_18[TOTAL])+SUMIF(Table_16[Tipo de Gasto],'Asto-Cpras'!H20,Table_16[Otros / No Grav.])</f>
        <v>244080</v>
      </c>
      <c r="O20" s="343"/>
    </row>
    <row r="21" spans="2:17" x14ac:dyDescent="0.25">
      <c r="B21" s="290">
        <v>510.1</v>
      </c>
      <c r="C21" s="342" t="s">
        <v>355</v>
      </c>
      <c r="D21" s="347">
        <f>SUMIF(Table_2[Tipo de Gasto],'Asto-Cpras'!C21,Table_2[NETO GRAVADO])+SUMIF(Table_2[Tipo de Gasto],'Asto-Cpras'!C21,Table_2[Otros / No Grav.])</f>
        <v>0</v>
      </c>
      <c r="E21" s="343"/>
      <c r="F21" s="89"/>
      <c r="G21" s="290">
        <f>IF($B$21="","",$B$21)</f>
        <v>510.1</v>
      </c>
      <c r="H21" s="291" t="str">
        <f>IF($C$21="","",$C$21)</f>
        <v>HONORARIOS CONTABLES</v>
      </c>
      <c r="I21" s="347">
        <f>SUMIF(Table_9[Tipo de Gasto],'Asto-Cpras'!H21,Table_9[NETO GRAVADO])+SUMIF(Table_11[TIPO DE GASTO],'Asto-Cpras'!H21,Table_11[TOTAL])+SUMIF(Table_9[Tipo de Gasto],'Asto-Cpras'!H21,Table_9[Otros / No Grav.])</f>
        <v>0</v>
      </c>
      <c r="J21" s="293"/>
      <c r="K21" s="89"/>
      <c r="L21" s="290">
        <f>IF($B$21="","",$B$21)</f>
        <v>510.1</v>
      </c>
      <c r="M21" s="342" t="str">
        <f>IF($C$21="","",$C$21)</f>
        <v>HONORARIOS CONTABLES</v>
      </c>
      <c r="N21" s="346">
        <f>SUMIF(Table_16[Tipo de Gasto],'Asto-Cpras'!M21,Table_16[NETO GRAVADO])+SUMIF(Table_18[TIPO DE GASTO],'Asto-Cpras'!M21,Table_18[TOTAL])+SUMIF(Table_16[Tipo de Gasto],'Asto-Cpras'!H21,Table_16[Otros / No Grav.])</f>
        <v>0</v>
      </c>
      <c r="O21" s="343"/>
    </row>
    <row r="22" spans="2:17" x14ac:dyDescent="0.25">
      <c r="B22" s="290">
        <v>510.11</v>
      </c>
      <c r="C22" s="342" t="s">
        <v>1761</v>
      </c>
      <c r="D22" s="347">
        <f>SUMIF(Table_2[Tipo de Gasto],'Asto-Cpras'!C22,Table_2[NETO GRAVADO])+SUMIF(Table_2[Tipo de Gasto],'Asto-Cpras'!C22,Table_2[Otros / No Grav.])</f>
        <v>0</v>
      </c>
      <c r="E22" s="343"/>
      <c r="F22" s="89"/>
      <c r="G22" s="290">
        <f>IF($B$22="","",$B$22)</f>
        <v>510.11</v>
      </c>
      <c r="H22" s="291" t="str">
        <f>IF($C$22="","",$C$22)</f>
        <v>HONORARIOS LEGALES</v>
      </c>
      <c r="I22" s="347">
        <f>SUMIF(Table_9[Tipo de Gasto],'Asto-Cpras'!H22,Table_9[NETO GRAVADO])+SUMIF(Table_11[TIPO DE GASTO],'Asto-Cpras'!H22,Table_11[TOTAL])+SUMIF(Table_9[Tipo de Gasto],'Asto-Cpras'!H22,Table_9[Otros / No Grav.])</f>
        <v>0</v>
      </c>
      <c r="J22" s="293"/>
      <c r="K22" s="89"/>
      <c r="L22" s="290">
        <f>IF($B$22="","",$B$22)</f>
        <v>510.11</v>
      </c>
      <c r="M22" s="342" t="str">
        <f>IF($C$22="","",$C$22)</f>
        <v>HONORARIOS LEGALES</v>
      </c>
      <c r="N22" s="346">
        <f>SUMIF(Table_16[Tipo de Gasto],'Asto-Cpras'!M22,Table_16[NETO GRAVADO])+SUMIF(Table_18[TIPO DE GASTO],'Asto-Cpras'!M22,Table_18[TOTAL])+SUMIF(Table_16[Tipo de Gasto],'Asto-Cpras'!H22,Table_16[Otros / No Grav.])</f>
        <v>0</v>
      </c>
      <c r="O22" s="343"/>
    </row>
    <row r="23" spans="2:17" x14ac:dyDescent="0.25">
      <c r="B23" s="290"/>
      <c r="C23" s="342" t="s">
        <v>1745</v>
      </c>
      <c r="D23" s="347">
        <f>SUMIF(Table_2[Tipo de Gasto],'Asto-Cpras'!C23,Table_2[NETO GRAVADO])+SUMIF(Table_2[Tipo de Gasto],'Asto-Cpras'!C23,Table_2[Otros / No Grav.])</f>
        <v>0</v>
      </c>
      <c r="E23" s="343"/>
      <c r="F23" s="89"/>
      <c r="G23" s="290" t="str">
        <f>IF($B$23="","",$B$23)</f>
        <v/>
      </c>
      <c r="H23" s="291" t="str">
        <f>IF($C$23="","",$C$23)</f>
        <v>Honorarios Profesionales</v>
      </c>
      <c r="I23" s="347">
        <f>SUMIF(Table_9[Tipo de Gasto],'Asto-Cpras'!H23,Table_9[NETO GRAVADO])+SUMIF(Table_11[TIPO DE GASTO],'Asto-Cpras'!H23,Table_11[TOTAL])+SUMIF(Table_9[Tipo de Gasto],'Asto-Cpras'!H23,Table_9[Otros / No Grav.])</f>
        <v>7647.45</v>
      </c>
      <c r="J23" s="293"/>
      <c r="K23" s="89"/>
      <c r="L23" s="290" t="str">
        <f>IF($B$23="","",$B$23)</f>
        <v/>
      </c>
      <c r="M23" s="342" t="str">
        <f>IF($C$23="","",$C$23)</f>
        <v>Honorarios Profesionales</v>
      </c>
      <c r="N23" s="346">
        <f>SUMIF(Table_16[Tipo de Gasto],'Asto-Cpras'!M23,Table_16[NETO GRAVADO])+SUMIF(Table_18[TIPO DE GASTO],'Asto-Cpras'!M23,Table_18[TOTAL])+SUMIF(Table_16[Tipo de Gasto],'Asto-Cpras'!H23,Table_16[Otros / No Grav.])</f>
        <v>0</v>
      </c>
      <c r="O23" s="343"/>
      <c r="Q23" s="3" t="s">
        <v>1732</v>
      </c>
    </row>
    <row r="24" spans="2:17" x14ac:dyDescent="0.25">
      <c r="B24" s="290">
        <v>121.12</v>
      </c>
      <c r="C24" s="342" t="s">
        <v>16</v>
      </c>
      <c r="D24" s="347">
        <f>SUMIF(Table_2[Tipo de Gasto],'Asto-Cpras'!C24,Table_2[NETO GRAVADO])+SUMIF(Table_2[Tipo de Gasto],'Asto-Cpras'!C24,Table_2[Otros / No Grav.])</f>
        <v>1095606.0500000003</v>
      </c>
      <c r="E24" s="343"/>
      <c r="F24" s="89"/>
      <c r="G24" s="290">
        <f>IF($B$24="","",$B$24)</f>
        <v>121.12</v>
      </c>
      <c r="H24" s="291" t="str">
        <f>IF($C$24="","",$C$24)</f>
        <v>INSUMO</v>
      </c>
      <c r="I24" s="347">
        <f>SUMIF(Table_9[Tipo de Gasto],'Asto-Cpras'!H24,Table_9[NETO GRAVADO])+SUMIF(Table_11[TIPO DE GASTO],'Asto-Cpras'!H24,Table_11[TOTAL])+SUMIF(Table_9[Tipo de Gasto],'Asto-Cpras'!H24,Table_9[Otros / No Grav.])</f>
        <v>251205.04</v>
      </c>
      <c r="J24" s="293"/>
      <c r="K24" s="89"/>
      <c r="L24" s="290">
        <f>IF($B$24="","",$B$24)</f>
        <v>121.12</v>
      </c>
      <c r="M24" s="342" t="str">
        <f>IF($C$24="","",$C$24)</f>
        <v>INSUMO</v>
      </c>
      <c r="N24" s="346">
        <f>SUMIF(Table_16[Tipo de Gasto],'Asto-Cpras'!M24,Table_16[NETO GRAVADO])+SUMIF(Table_18[TIPO DE GASTO],'Asto-Cpras'!M24,Table_18[TOTAL])+SUMIF(Table_16[Tipo de Gasto],'Asto-Cpras'!H24,Table_16[Otros / No Grav.])</f>
        <v>1054663.5</v>
      </c>
      <c r="O24" s="343"/>
      <c r="Q24" s="3"/>
    </row>
    <row r="25" spans="2:17" x14ac:dyDescent="0.25">
      <c r="B25" s="290">
        <v>507.50200000000001</v>
      </c>
      <c r="C25" s="342" t="s">
        <v>1744</v>
      </c>
      <c r="D25" s="347">
        <f>SUMIF(Table_2[Tipo de Gasto],'Asto-Cpras'!C25,Table_2[NETO GRAVADO])+SUMIF(Table_2[Tipo de Gasto],'Asto-Cpras'!C25,Table_2[Otros / No Grav.])</f>
        <v>0</v>
      </c>
      <c r="E25" s="343"/>
      <c r="F25" s="89"/>
      <c r="G25" s="290">
        <f>IF($B$25="","",$B$25)</f>
        <v>507.50200000000001</v>
      </c>
      <c r="H25" s="291" t="str">
        <f>IF($C$25="","",$C$25)</f>
        <v>ISO 9001</v>
      </c>
      <c r="I25" s="347">
        <f>SUMIF(Table_9[Tipo de Gasto],'Asto-Cpras'!H25,Table_9[NETO GRAVADO])+SUMIF(Table_11[TIPO DE GASTO],'Asto-Cpras'!H25,Table_11[TOTAL])+SUMIF(Table_9[Tipo de Gasto],'Asto-Cpras'!H25,Table_9[Otros / No Grav.])</f>
        <v>83000</v>
      </c>
      <c r="J25" s="293"/>
      <c r="K25" s="89"/>
      <c r="L25" s="290">
        <f>IF($B$25="","",$B$25)</f>
        <v>507.50200000000001</v>
      </c>
      <c r="M25" s="342" t="str">
        <f>IF($C$25="","",$C$25)</f>
        <v>ISO 9001</v>
      </c>
      <c r="N25" s="346">
        <f>SUMIF(Table_16[Tipo de Gasto],'Asto-Cpras'!M25,Table_16[NETO GRAVADO])+SUMIF(Table_18[TIPO DE GASTO],'Asto-Cpras'!M25,Table_18[TOTAL])+SUMIF(Table_16[Tipo de Gasto],'Asto-Cpras'!H25,Table_16[Otros / No Grav.])</f>
        <v>0</v>
      </c>
      <c r="O25" s="343"/>
      <c r="Q25" s="3"/>
    </row>
    <row r="26" spans="2:17" x14ac:dyDescent="0.25">
      <c r="B26" s="290">
        <v>500.02600000000001</v>
      </c>
      <c r="C26" s="342" t="s">
        <v>7</v>
      </c>
      <c r="D26" s="347">
        <f>SUMIF(Table_2[Tipo de Gasto],'Asto-Cpras'!C26,Table_2[NETO GRAVADO])+SUMIF(Table_2[Tipo de Gasto],'Asto-Cpras'!C26,Table_2[Otros / No Grav.])</f>
        <v>0</v>
      </c>
      <c r="E26" s="343"/>
      <c r="F26" s="89"/>
      <c r="G26" s="290">
        <f>IF($B$26="","",$B$26)</f>
        <v>500.02600000000001</v>
      </c>
      <c r="H26" s="291" t="str">
        <f>IF($C$26="","",$C$26)</f>
        <v>Mantenimiento</v>
      </c>
      <c r="I26" s="347">
        <f>SUMIF(Table_9[Tipo de Gasto],'Asto-Cpras'!H26,Table_9[NETO GRAVADO])+SUMIF(Table_11[TIPO DE GASTO],'Asto-Cpras'!H26,Table_11[TOTAL])+SUMIF(Table_9[Tipo de Gasto],'Asto-Cpras'!H26,Table_9[Otros / No Grav.])</f>
        <v>34776.51</v>
      </c>
      <c r="J26" s="293"/>
      <c r="K26" s="89"/>
      <c r="L26" s="290">
        <f>IF($B$26="","",$B$26)</f>
        <v>500.02600000000001</v>
      </c>
      <c r="M26" s="342" t="str">
        <f>IF($C$26="","",$C$26)</f>
        <v>Mantenimiento</v>
      </c>
      <c r="N26" s="346">
        <f>SUMIF(Table_16[Tipo de Gasto],'Asto-Cpras'!M26,Table_16[NETO GRAVADO])+SUMIF(Table_18[TIPO DE GASTO],'Asto-Cpras'!M26,Table_18[TOTAL])+SUMIF(Table_16[Tipo de Gasto],'Asto-Cpras'!H26,Table_16[Otros / No Grav.])</f>
        <v>0</v>
      </c>
      <c r="O26" s="343"/>
      <c r="Q26" s="3"/>
    </row>
    <row r="27" spans="2:17" x14ac:dyDescent="0.25">
      <c r="B27" s="290">
        <v>500.02600000000001</v>
      </c>
      <c r="C27" s="342" t="s">
        <v>1741</v>
      </c>
      <c r="D27" s="347">
        <f>SUMIF(Table_2[Tipo de Gasto],'Asto-Cpras'!C27,Table_2[NETO GRAVADO])+SUMIF(Table_2[Tipo de Gasto],'Asto-Cpras'!C27,Table_2[Otros / No Grav.])</f>
        <v>86942.16</v>
      </c>
      <c r="E27" s="343"/>
      <c r="F27" s="89"/>
      <c r="G27" s="290">
        <f>IF($B$27="","",$B$27)</f>
        <v>500.02600000000001</v>
      </c>
      <c r="H27" s="291" t="str">
        <f>IF($C$27="","",$C$27)</f>
        <v>Mantenimiento Rodados</v>
      </c>
      <c r="I27" s="347">
        <f>SUMIF(Table_9[Tipo de Gasto],'Asto-Cpras'!H27,Table_9[NETO GRAVADO])+SUMIF(Table_11[TIPO DE GASTO],'Asto-Cpras'!H27,Table_11[TOTAL])+SUMIF(Table_9[Tipo de Gasto],'Asto-Cpras'!H27,Table_9[Otros / No Grav.])</f>
        <v>0</v>
      </c>
      <c r="J27" s="293"/>
      <c r="K27" s="89"/>
      <c r="L27" s="290">
        <f>IF($B$27="","",$B$27)</f>
        <v>500.02600000000001</v>
      </c>
      <c r="M27" s="342" t="str">
        <f>IF($C$27="","",$C$27)</f>
        <v>Mantenimiento Rodados</v>
      </c>
      <c r="N27" s="346">
        <f>SUMIF(Table_16[Tipo de Gasto],'Asto-Cpras'!M27,Table_16[NETO GRAVADO])+SUMIF(Table_18[TIPO DE GASTO],'Asto-Cpras'!M27,Table_18[TOTAL])+SUMIF(Table_16[Tipo de Gasto],'Asto-Cpras'!H27,Table_16[Otros / No Grav.])</f>
        <v>0</v>
      </c>
      <c r="O27" s="343"/>
      <c r="Q27" s="3"/>
    </row>
    <row r="28" spans="2:17" x14ac:dyDescent="0.25">
      <c r="B28" s="290">
        <v>121.9</v>
      </c>
      <c r="C28" s="342" t="s">
        <v>19</v>
      </c>
      <c r="D28" s="347">
        <f>SUMIF(Table_2[Tipo de Gasto],'Asto-Cpras'!C28,Table_2[NETO GRAVADO])+SUMIF(Table_2[Tipo de Gasto],'Asto-Cpras'!C28,Table_2[Otros / No Grav.])</f>
        <v>0</v>
      </c>
      <c r="E28" s="343"/>
      <c r="F28" s="89"/>
      <c r="G28" s="290">
        <f>IF($B$28="","",$B$28)</f>
        <v>121.9</v>
      </c>
      <c r="H28" s="291" t="str">
        <f>IF($C$28="","",$C$28)</f>
        <v>MAT. PRIM.</v>
      </c>
      <c r="I28" s="347">
        <f>SUMIF(Table_9[Tipo de Gasto],'Asto-Cpras'!H28,Table_9[NETO GRAVADO])+SUMIF(Table_11[TIPO DE GASTO],'Asto-Cpras'!H28,Table_11[TOTAL])+SUMIF(Table_9[Tipo de Gasto],'Asto-Cpras'!H28,Table_9[Otros / No Grav.])</f>
        <v>195509.47</v>
      </c>
      <c r="J28" s="293"/>
      <c r="K28" s="89"/>
      <c r="L28" s="290">
        <f>IF($B$28="","",$B$28)</f>
        <v>121.9</v>
      </c>
      <c r="M28" s="342" t="str">
        <f>IF($C$28="","",$C$28)</f>
        <v>MAT. PRIM.</v>
      </c>
      <c r="N28" s="346">
        <f>SUMIF(Table_16[Tipo de Gasto],'Asto-Cpras'!M28,Table_16[NETO GRAVADO])+SUMIF(Table_18[TIPO DE GASTO],'Asto-Cpras'!M28,Table_18[TOTAL])+SUMIF(Table_16[Tipo de Gasto],'Asto-Cpras'!H28,Table_16[Otros / No Grav.])</f>
        <v>970315.16799999995</v>
      </c>
      <c r="O28" s="343"/>
      <c r="Q28" s="3"/>
    </row>
    <row r="29" spans="2:17" x14ac:dyDescent="0.25">
      <c r="B29" s="290">
        <v>500.01499999999999</v>
      </c>
      <c r="C29" s="342" t="s">
        <v>1754</v>
      </c>
      <c r="D29" s="347">
        <f>SUMIF(Table_2[Tipo de Gasto],'Asto-Cpras'!C29,Table_2[NETO GRAVADO])+SUMIF(Table_2[Tipo de Gasto],'Asto-Cpras'!C29,Table_2[Otros / No Grav.])</f>
        <v>54000</v>
      </c>
      <c r="E29" s="343"/>
      <c r="F29" s="89"/>
      <c r="G29" s="290">
        <f>IF($B$29="","",$B$29)</f>
        <v>500.01499999999999</v>
      </c>
      <c r="H29" s="291" t="str">
        <f>IF($C$29="","",$C$29)</f>
        <v xml:space="preserve">Papeleria e Impresos </v>
      </c>
      <c r="I29" s="347">
        <f>SUMIF(Table_9[Tipo de Gasto],'Asto-Cpras'!H29,Table_9[NETO GRAVADO])+SUMIF(Table_11[TIPO DE GASTO],'Asto-Cpras'!H29,Table_11[TOTAL])+SUMIF(Table_9[Tipo de Gasto],'Asto-Cpras'!H29,Table_9[Otros / No Grav.])</f>
        <v>110544.39</v>
      </c>
      <c r="J29" s="293"/>
      <c r="K29" s="89"/>
      <c r="L29" s="290">
        <f>IF($B$29="","",$B$29)</f>
        <v>500.01499999999999</v>
      </c>
      <c r="M29" s="342" t="str">
        <f>IF($C$29="","",$C$29)</f>
        <v xml:space="preserve">Papeleria e Impresos </v>
      </c>
      <c r="N29" s="346">
        <f>SUMIF(Table_16[Tipo de Gasto],'Asto-Cpras'!M29,Table_16[NETO GRAVADO])+SUMIF(Table_18[TIPO DE GASTO],'Asto-Cpras'!M29,Table_18[TOTAL])+SUMIF(Table_16[Tipo de Gasto],'Asto-Cpras'!H29,Table_16[Otros / No Grav.])</f>
        <v>13800</v>
      </c>
      <c r="O29" s="343"/>
      <c r="P29" s="294"/>
    </row>
    <row r="30" spans="2:17" x14ac:dyDescent="0.25">
      <c r="B30" s="290">
        <v>500.005</v>
      </c>
      <c r="C30" s="342" t="s">
        <v>1759</v>
      </c>
      <c r="D30" s="347">
        <f>SUMIF(Table_2[Tipo de Gasto],'Asto-Cpras'!C30,Table_2[NETO GRAVADO])+SUMIF(Table_2[Tipo de Gasto],'Asto-Cpras'!C30,Table_2[Otros / No Grav.])</f>
        <v>0</v>
      </c>
      <c r="E30" s="343"/>
      <c r="F30" s="89"/>
      <c r="G30" s="290">
        <f>IF($B$30="","",$B$30)</f>
        <v>500.005</v>
      </c>
      <c r="H30" s="291" t="str">
        <f>IF($C$30="","",$C$30)</f>
        <v>SERVICIO</v>
      </c>
      <c r="I30" s="347">
        <f>SUMIF(Table_9[Tipo de Gasto],'Asto-Cpras'!H30,Table_9[NETO GRAVADO])+SUMIF(Table_11[TIPO DE GASTO],'Asto-Cpras'!H30,Table_11[TOTAL])+SUMIF(Table_9[Tipo de Gasto],'Asto-Cpras'!H30,Table_9[Otros / No Grav.])</f>
        <v>9800</v>
      </c>
      <c r="J30" s="293"/>
      <c r="K30" s="89"/>
      <c r="L30" s="290">
        <f>IF($B$30="","",$B$30)</f>
        <v>500.005</v>
      </c>
      <c r="M30" s="342" t="str">
        <f>IF($C$30="","",$C$30)</f>
        <v>SERVICIO</v>
      </c>
      <c r="N30" s="346">
        <f>SUMIF(Table_16[Tipo de Gasto],'Asto-Cpras'!M30,Table_16[NETO GRAVADO])+SUMIF(Table_18[TIPO DE GASTO],'Asto-Cpras'!M30,Table_18[TOTAL])+SUMIF(Table_16[Tipo de Gasto],'Asto-Cpras'!H30,Table_16[Otros / No Grav.])</f>
        <v>9800</v>
      </c>
      <c r="O30" s="343"/>
      <c r="P30" s="294"/>
    </row>
    <row r="31" spans="2:17" x14ac:dyDescent="0.25">
      <c r="B31" s="290">
        <v>508.1</v>
      </c>
      <c r="C31" s="342" t="s">
        <v>1762</v>
      </c>
      <c r="D31" s="347">
        <f>SUMIF(Table_2[Tipo de Gasto],'Asto-Cpras'!C31,Table_2[NETO GRAVADO])+SUMIF(Table_2[Tipo de Gasto],'Asto-Cpras'!C31,Table_2[Otros / No Grav.])</f>
        <v>0</v>
      </c>
      <c r="E31" s="343"/>
      <c r="F31" s="89"/>
      <c r="G31" s="290">
        <f>IF($B$31="","",$B$31)</f>
        <v>508.1</v>
      </c>
      <c r="H31" s="291" t="str">
        <f>IF($C$31="","",$C$31)</f>
        <v>SERVICIOS DE PUBLICIDAD</v>
      </c>
      <c r="I31" s="347">
        <f>SUMIF(Table_9[Tipo de Gasto],'Asto-Cpras'!H31,Table_9[NETO GRAVADO])+SUMIF(Table_11[TIPO DE GASTO],'Asto-Cpras'!H31,Table_11[TOTAL])+SUMIF(Table_9[Tipo de Gasto],'Asto-Cpras'!H31,Table_9[Otros / No Grav.])</f>
        <v>0</v>
      </c>
      <c r="J31" s="293"/>
      <c r="K31" s="89"/>
      <c r="L31" s="290">
        <f>IF($B$31="","",$B$31)</f>
        <v>508.1</v>
      </c>
      <c r="M31" s="342" t="str">
        <f>IF($C$31="","",$C$31)</f>
        <v>SERVICIOS DE PUBLICIDAD</v>
      </c>
      <c r="N31" s="346">
        <f>SUMIF(Table_16[Tipo de Gasto],'Asto-Cpras'!M31,Table_16[NETO GRAVADO])+SUMIF(Table_18[TIPO DE GASTO],'Asto-Cpras'!M31,Table_18[TOTAL])+SUMIF(Table_16[Tipo de Gasto],'Asto-Cpras'!H31,Table_16[Otros / No Grav.])</f>
        <v>0</v>
      </c>
      <c r="O31" s="343"/>
      <c r="P31" s="294"/>
    </row>
    <row r="32" spans="2:17" x14ac:dyDescent="0.25">
      <c r="B32" s="290">
        <v>500.005</v>
      </c>
      <c r="C32" s="342" t="s">
        <v>1731</v>
      </c>
      <c r="D32" s="347">
        <f>SUMIF(Table_2[Tipo de Gasto],'Asto-Cpras'!C32,Table_2[NETO GRAVADO])+SUMIF(Table_2[Tipo de Gasto],'Asto-Cpras'!C32,Table_2[Otros / No Grav.])</f>
        <v>4583.8100000000004</v>
      </c>
      <c r="E32" s="343"/>
      <c r="F32" s="89"/>
      <c r="G32" s="290">
        <f>IF($B$32="","",$B$32)</f>
        <v>500.005</v>
      </c>
      <c r="H32" s="291" t="str">
        <f>IF($C$32="","",$C$32)</f>
        <v>SERVICIOS GAS, LUZ, ETC</v>
      </c>
      <c r="I32" s="347">
        <f>SUMIF(Table_9[Tipo de Gasto],'Asto-Cpras'!H32,Table_9[NETO GRAVADO])+SUMIF(Table_11[TIPO DE GASTO],'Asto-Cpras'!H32,Table_11[TOTAL])+SUMIF(Table_9[Tipo de Gasto],'Asto-Cpras'!H32,Table_9[Otros / No Grav.])</f>
        <v>11165.34</v>
      </c>
      <c r="J32" s="293"/>
      <c r="K32" s="89"/>
      <c r="L32" s="290">
        <f>IF($B$32="","",$B$32)</f>
        <v>500.005</v>
      </c>
      <c r="M32" s="342" t="str">
        <f>IF($C$32="","",$C$32)</f>
        <v>SERVICIOS GAS, LUZ, ETC</v>
      </c>
      <c r="N32" s="346">
        <f>SUMIF(Table_16[Tipo de Gasto],'Asto-Cpras'!M32,Table_16[NETO GRAVADO])+SUMIF(Table_18[TIPO DE GASTO],'Asto-Cpras'!M32,Table_18[TOTAL])+SUMIF(Table_16[Tipo de Gasto],'Asto-Cpras'!H32,Table_16[Otros / No Grav.])</f>
        <v>4945.55</v>
      </c>
      <c r="O32" s="343"/>
      <c r="P32" s="295"/>
      <c r="Q32" s="3"/>
    </row>
    <row r="33" spans="2:17" x14ac:dyDescent="0.25">
      <c r="B33" s="290">
        <v>500.03100000000001</v>
      </c>
      <c r="C33" s="342" t="s">
        <v>1747</v>
      </c>
      <c r="D33" s="347">
        <f>SUMIF(Table_2[Tipo de Gasto],'Asto-Cpras'!C33,Table_2[NETO GRAVADO])+SUMIF(Table_2[Tipo de Gasto],'Asto-Cpras'!C33,Table_2[Otros / No Grav.])</f>
        <v>0</v>
      </c>
      <c r="E33" s="343"/>
      <c r="F33" s="89"/>
      <c r="G33" s="290">
        <f>IF($B$33="","",$B$33)</f>
        <v>500.03100000000001</v>
      </c>
      <c r="H33" s="291" t="str">
        <f>IF($C$33="","",$C$33)</f>
        <v>Servicios Informatica</v>
      </c>
      <c r="I33" s="347">
        <f>SUMIF(Table_9[Tipo de Gasto],'Asto-Cpras'!H33,Table_9[NETO GRAVADO])+SUMIF(Table_11[TIPO DE GASTO],'Asto-Cpras'!H33,Table_11[TOTAL])+SUMIF(Table_9[Tipo de Gasto],'Asto-Cpras'!H33,Table_9[Otros / No Grav.])</f>
        <v>220000</v>
      </c>
      <c r="J33" s="293"/>
      <c r="K33" s="89"/>
      <c r="L33" s="290">
        <f>IF($B$33="","",$B$33)</f>
        <v>500.03100000000001</v>
      </c>
      <c r="M33" s="342" t="str">
        <f>IF($C$33="","",$C$33)</f>
        <v>Servicios Informatica</v>
      </c>
      <c r="N33" s="346">
        <f>SUMIF(Table_16[Tipo de Gasto],'Asto-Cpras'!M33,Table_16[NETO GRAVADO])+SUMIF(Table_18[TIPO DE GASTO],'Asto-Cpras'!M33,Table_18[TOTAL])+SUMIF(Table_16[Tipo de Gasto],'Asto-Cpras'!H33,Table_16[Otros / No Grav.])</f>
        <v>220000</v>
      </c>
      <c r="O33" s="343"/>
      <c r="P33" s="295"/>
      <c r="Q33" s="3"/>
    </row>
    <row r="34" spans="2:17" x14ac:dyDescent="0.25">
      <c r="B34" s="290">
        <v>500.036</v>
      </c>
      <c r="C34" s="342" t="s">
        <v>1766</v>
      </c>
      <c r="D34" s="347">
        <f>SUMIF(Table_2[Tipo de Gasto],'Asto-Cpras'!C34,Table_2[NETO GRAVADO])+SUMIF(Table_2[Tipo de Gasto],'Asto-Cpras'!C34,Table_2[Otros / No Grav.])</f>
        <v>0</v>
      </c>
      <c r="E34" s="343"/>
      <c r="F34" s="89"/>
      <c r="G34" s="290">
        <f>IF($B$34="","",$B$34)</f>
        <v>500.036</v>
      </c>
      <c r="H34" s="291" t="str">
        <f>IF($C$34="","",$C$34)</f>
        <v>Servicios Torneria</v>
      </c>
      <c r="I34" s="347">
        <f>SUMIF(Table_9[Tipo de Gasto],'Asto-Cpras'!H34,Table_9[NETO GRAVADO])+SUMIF(Table_11[TIPO DE GASTO],'Asto-Cpras'!H34,Table_11[TOTAL])+SUMIF(Table_9[Tipo de Gasto],'Asto-Cpras'!H34,Table_9[Otros / No Grav.])</f>
        <v>579000</v>
      </c>
      <c r="J34" s="293"/>
      <c r="K34" s="89"/>
      <c r="L34" s="290">
        <f>IF($B$34="","",$B$34)</f>
        <v>500.036</v>
      </c>
      <c r="M34" s="342" t="str">
        <f>IF($C$34="","",$C$34)</f>
        <v>Servicios Torneria</v>
      </c>
      <c r="N34" s="346">
        <f>SUMIF(Table_16[Tipo de Gasto],'Asto-Cpras'!M34,Table_16[NETO GRAVADO])+SUMIF(Table_18[TIPO DE GASTO],'Asto-Cpras'!M34,Table_18[TOTAL])+SUMIF(Table_16[Tipo de Gasto],'Asto-Cpras'!H34,Table_16[Otros / No Grav.])</f>
        <v>0</v>
      </c>
      <c r="O34" s="343"/>
      <c r="P34" s="295"/>
      <c r="Q34" s="3"/>
    </row>
    <row r="35" spans="2:17" x14ac:dyDescent="0.25">
      <c r="B35" s="290">
        <v>500.00900000000001</v>
      </c>
      <c r="C35" s="342" t="s">
        <v>1063</v>
      </c>
      <c r="D35" s="347">
        <f>SUMIF(Table_2[Tipo de Gasto],'Asto-Cpras'!C35,Table_2[NETO GRAVADO])+SUMIF(Table_2[Tipo de Gasto],'Asto-Cpras'!C35,Table_2[Otros / No Grav.])</f>
        <v>0</v>
      </c>
      <c r="E35" s="343"/>
      <c r="F35" s="89"/>
      <c r="G35" s="290">
        <f>IF($B$35="","",$B$35)</f>
        <v>500.00900000000001</v>
      </c>
      <c r="H35" s="291" t="str">
        <f>IF($C$35="","",$C$35)</f>
        <v>SERVICIOS INTERNET</v>
      </c>
      <c r="I35" s="347">
        <f>SUMIF(Table_9[Tipo de Gasto],'Asto-Cpras'!H35,Table_9[NETO GRAVADO])+SUMIF(Table_11[TIPO DE GASTO],'Asto-Cpras'!H35,Table_11[TOTAL])+SUMIF(Table_9[Tipo de Gasto],'Asto-Cpras'!H35,Table_9[Otros / No Grav.])</f>
        <v>0</v>
      </c>
      <c r="J35" s="293"/>
      <c r="K35" s="89"/>
      <c r="L35" s="290">
        <f>IF($B$35="","",$B$35)</f>
        <v>500.00900000000001</v>
      </c>
      <c r="M35" s="342" t="str">
        <f>IF($C$35="","",$C$35)</f>
        <v>SERVICIOS INTERNET</v>
      </c>
      <c r="N35" s="346">
        <f>SUMIF(Table_16[Tipo de Gasto],'Asto-Cpras'!M35,Table_16[NETO GRAVADO])+SUMIF(Table_18[TIPO DE GASTO],'Asto-Cpras'!M35,Table_18[TOTAL])+SUMIF(Table_16[Tipo de Gasto],'Asto-Cpras'!H35,Table_16[Otros / No Grav.])</f>
        <v>0</v>
      </c>
      <c r="O35" s="343"/>
      <c r="P35" s="295"/>
      <c r="Q35" s="3"/>
    </row>
    <row r="36" spans="2:17" x14ac:dyDescent="0.25">
      <c r="B36" s="290">
        <v>500.03</v>
      </c>
      <c r="C36" s="342" t="s">
        <v>1767</v>
      </c>
      <c r="D36" s="347">
        <f>SUMIF(Table_2[Tipo de Gasto],'Asto-Cpras'!C36,Table_2[NETO GRAVADO])+SUMIF(Table_2[Tipo de Gasto],'Asto-Cpras'!C36,Table_2[Otros / No Grav.])</f>
        <v>0</v>
      </c>
      <c r="E36" s="343"/>
      <c r="F36" s="89"/>
      <c r="G36" s="290">
        <f>IF($B$36="","",$B$36)</f>
        <v>500.03</v>
      </c>
      <c r="H36" s="291" t="str">
        <f>IF($C$36="","",$C$36)</f>
        <v>Software Mantenimiento</v>
      </c>
      <c r="I36" s="347">
        <f>SUMIF(Table_9[Tipo de Gasto],'Asto-Cpras'!H36,Table_9[NETO GRAVADO])+SUMIF(Table_11[TIPO DE GASTO],'Asto-Cpras'!H36,Table_11[TOTAL])+SUMIF(Table_9[Tipo de Gasto],'Asto-Cpras'!H36,Table_9[Otros / No Grav.])</f>
        <v>164700</v>
      </c>
      <c r="J36" s="293"/>
      <c r="K36" s="89"/>
      <c r="L36" s="290">
        <f>IF($B$36="","",$B$36)</f>
        <v>500.03</v>
      </c>
      <c r="M36" s="342" t="str">
        <f>IF($C$36="","",$C$36)</f>
        <v>Software Mantenimiento</v>
      </c>
      <c r="N36" s="346">
        <f>SUMIF(Table_16[Tipo de Gasto],'Asto-Cpras'!M36,Table_16[NETO GRAVADO])+SUMIF(Table_18[TIPO DE GASTO],'Asto-Cpras'!M36,Table_18[TOTAL])+SUMIF(Table_16[Tipo de Gasto],'Asto-Cpras'!H36,Table_16[Otros / No Grav.])</f>
        <v>172800</v>
      </c>
      <c r="O36" s="343"/>
      <c r="P36" s="295"/>
      <c r="Q36" s="3"/>
    </row>
    <row r="37" spans="2:17" x14ac:dyDescent="0.25">
      <c r="B37" s="290">
        <v>500.024</v>
      </c>
      <c r="C37" s="342" t="s">
        <v>1137</v>
      </c>
      <c r="D37" s="347">
        <f>SUMIF(Table_2[Tipo de Gasto],'Asto-Cpras'!C37,Table_2[NETO GRAVADO])+SUMIF(Table_2[Tipo de Gasto],'Asto-Cpras'!C37,Table_2[Otros / No Grav.])</f>
        <v>0</v>
      </c>
      <c r="E37" s="343"/>
      <c r="F37" s="89"/>
      <c r="G37" s="290">
        <f>IF($B$37="","",$B$37)</f>
        <v>500.024</v>
      </c>
      <c r="H37" s="291" t="str">
        <f>IF($C$37="","",$C$37)</f>
        <v>TAXI</v>
      </c>
      <c r="I37" s="347">
        <f>SUMIF(Table_9[Tipo de Gasto],'Asto-Cpras'!H37,Table_9[NETO GRAVADO])+SUMIF(Table_11[TIPO DE GASTO],'Asto-Cpras'!H37,Table_11[TOTAL])+SUMIF(Table_9[Tipo de Gasto],'Asto-Cpras'!H37,Table_9[Otros / No Grav.])</f>
        <v>0</v>
      </c>
      <c r="J37" s="293"/>
      <c r="K37" s="89"/>
      <c r="L37" s="290">
        <f>IF($B$37="","",$B$37)</f>
        <v>500.024</v>
      </c>
      <c r="M37" s="342" t="str">
        <f>IF($C$37="","",$C$37)</f>
        <v>TAXI</v>
      </c>
      <c r="N37" s="346">
        <f>SUMIF(Table_16[Tipo de Gasto],'Asto-Cpras'!M37,Table_16[NETO GRAVADO])+SUMIF(Table_18[TIPO DE GASTO],'Asto-Cpras'!M37,Table_18[TOTAL])+SUMIF(Table_16[Tipo de Gasto],'Asto-Cpras'!H37,Table_16[Otros / No Grav.])</f>
        <v>0</v>
      </c>
      <c r="O37" s="343"/>
      <c r="P37" s="295"/>
      <c r="Q37" s="3"/>
    </row>
    <row r="38" spans="2:17" x14ac:dyDescent="0.25">
      <c r="B38" s="290">
        <v>107.1</v>
      </c>
      <c r="C38" s="342" t="s">
        <v>1551</v>
      </c>
      <c r="D38" s="347">
        <f>SUM(Table_2[IVA 21 %])-'Abr-22'!I51</f>
        <v>333743.76840000006</v>
      </c>
      <c r="E38" s="343"/>
      <c r="F38" s="89"/>
      <c r="G38" s="290">
        <f>IF($B$38="","",$B$38)</f>
        <v>107.1</v>
      </c>
      <c r="H38" s="291" t="str">
        <f>IF($C$38="","",$C$38)</f>
        <v>IVA 21%</v>
      </c>
      <c r="I38" s="292">
        <f>SUM(Table_9[IVA 21 %])-'May-22'!I51</f>
        <v>207855.90210000001</v>
      </c>
      <c r="J38" s="293"/>
      <c r="K38" s="89"/>
      <c r="L38" s="290">
        <f>IF($B$38="","",$B$38)</f>
        <v>107.1</v>
      </c>
      <c r="M38" s="291" t="str">
        <f>IF($C$38="","",$C$38)</f>
        <v>IVA 21%</v>
      </c>
      <c r="N38" s="292">
        <f>SUM(Table_16[IVA 21 %])-'Jun-22'!I39</f>
        <v>530084.68027999997</v>
      </c>
      <c r="O38" s="293"/>
    </row>
    <row r="39" spans="2:17" x14ac:dyDescent="0.25">
      <c r="B39" s="290">
        <v>107.101</v>
      </c>
      <c r="C39" s="342" t="s">
        <v>1538</v>
      </c>
      <c r="D39" s="347">
        <f>SUM(Table_2[IVA 27%])-'Abr-22'!J51</f>
        <v>476.55</v>
      </c>
      <c r="E39" s="343"/>
      <c r="F39" s="89"/>
      <c r="G39" s="290">
        <f>IF($B$39="","",$B$39)</f>
        <v>107.101</v>
      </c>
      <c r="H39" s="291" t="str">
        <f>IF($C$39="","",$C$39)</f>
        <v>IVA 27%</v>
      </c>
      <c r="I39" s="292">
        <f>SUM(Table_9[IVA 27%])-'May-22'!J51</f>
        <v>1866.11</v>
      </c>
      <c r="J39" s="293"/>
      <c r="K39" s="89"/>
      <c r="L39" s="290">
        <f>IF($B$39="","",$B$39)</f>
        <v>107.101</v>
      </c>
      <c r="M39" s="291" t="str">
        <f>IF($C$39="","",$C$39)</f>
        <v>IVA 27%</v>
      </c>
      <c r="N39" s="292">
        <f>SUM(Table_16[IVA 27%])-'Jun-22'!J39</f>
        <v>580.12470000000008</v>
      </c>
      <c r="O39" s="293"/>
    </row>
    <row r="40" spans="2:17" ht="15.75" customHeight="1" x14ac:dyDescent="0.25">
      <c r="B40" s="290">
        <v>107.102</v>
      </c>
      <c r="C40" s="342" t="s">
        <v>1539</v>
      </c>
      <c r="D40" s="347">
        <f>SUM(Table_2[IVA 10,5%])-'Abr-22'!K51</f>
        <v>48198.382900000011</v>
      </c>
      <c r="E40" s="343"/>
      <c r="F40" s="89"/>
      <c r="G40" s="290">
        <f>IF($B$40="","",$B$40)</f>
        <v>107.102</v>
      </c>
      <c r="H40" s="291" t="str">
        <f>IF($C$40="","",$C$40)</f>
        <v>IVA 10,5%</v>
      </c>
      <c r="I40" s="292">
        <f>SUM(Table_9[IVA 10,5%])-'May-22'!K51</f>
        <v>7526.4241500000007</v>
      </c>
      <c r="J40" s="293"/>
      <c r="K40" s="89"/>
      <c r="L40" s="290">
        <f>IF($B$40="","",$B$40)</f>
        <v>107.102</v>
      </c>
      <c r="M40" s="291" t="str">
        <f>IF($C$40="","",$C$40)</f>
        <v>IVA 10,5%</v>
      </c>
      <c r="N40" s="292">
        <f>SUM(Table_16[IVA 10,5%])-'Jun-22'!K39</f>
        <v>43903.230500000005</v>
      </c>
      <c r="O40" s="293"/>
    </row>
    <row r="41" spans="2:17" ht="15.75" customHeight="1" x14ac:dyDescent="0.25">
      <c r="B41" s="290">
        <v>106.521</v>
      </c>
      <c r="C41" s="342" t="s">
        <v>1733</v>
      </c>
      <c r="D41" s="347">
        <f>SUM(Table_2[PERC IIBB 
BS AS])</f>
        <v>0</v>
      </c>
      <c r="E41" s="343"/>
      <c r="F41" s="89"/>
      <c r="G41" s="290">
        <f>IF($B$41="","",$B$41)</f>
        <v>106.521</v>
      </c>
      <c r="H41" s="291" t="str">
        <f>IF($C$41="","",$C$41)</f>
        <v>PERC IIBB BS AS</v>
      </c>
      <c r="I41" s="292">
        <f>SUM(Table_9[PERC IIBB 
BS AS])-'May-22'!M51</f>
        <v>7289.04</v>
      </c>
      <c r="J41" s="293"/>
      <c r="K41" s="89"/>
      <c r="L41" s="290">
        <f>IF($B$41="","",$B$41)</f>
        <v>106.521</v>
      </c>
      <c r="M41" s="291" t="str">
        <f>IF($C$41="","",$C$41)</f>
        <v>PERC IIBB BS AS</v>
      </c>
      <c r="N41" s="292">
        <f>SUM(Table_16[PERC IIBB 
BS AS])-'Jun-22'!M39</f>
        <v>64.459999999999994</v>
      </c>
      <c r="O41" s="293"/>
    </row>
    <row r="42" spans="2:17" ht="15.75" customHeight="1" x14ac:dyDescent="0.25">
      <c r="B42" s="290">
        <v>106.515</v>
      </c>
      <c r="C42" s="342" t="s">
        <v>1734</v>
      </c>
      <c r="D42" s="347">
        <f>SUM(Table_2[[#This Row],[PERC. IIBB CABA]]-'Abr-22'!N51)</f>
        <v>0</v>
      </c>
      <c r="E42" s="343"/>
      <c r="F42" s="89"/>
      <c r="G42" s="290">
        <f>IF($B$42="","",$B$42)</f>
        <v>106.515</v>
      </c>
      <c r="H42" s="291" t="str">
        <f>IF($C$42="","",$C$42)</f>
        <v>PERC IIBB CABA</v>
      </c>
      <c r="I42" s="292">
        <f>SUM(Table_9[PERC. IIBB CABA])-'May-22'!N51</f>
        <v>207.34</v>
      </c>
      <c r="J42" s="293"/>
      <c r="K42" s="89"/>
      <c r="L42" s="290">
        <f>IF($B$42="","",$B$42)</f>
        <v>106.515</v>
      </c>
      <c r="M42" s="291" t="str">
        <f>IF($C$42="","",$C$42)</f>
        <v>PERC IIBB CABA</v>
      </c>
      <c r="N42" s="292">
        <f>SUM(Table_16[PERC. IIBB CABA])-'Jun-22'!N39</f>
        <v>0</v>
      </c>
      <c r="O42" s="293"/>
    </row>
    <row r="43" spans="2:17" ht="15.75" customHeight="1" x14ac:dyDescent="0.25">
      <c r="B43" s="290">
        <v>106.535</v>
      </c>
      <c r="C43" s="342" t="s">
        <v>1540</v>
      </c>
      <c r="D43" s="347">
        <f>SUM(Table_2[PERC. IVA])-'Abr-22'!L51</f>
        <v>108.1</v>
      </c>
      <c r="E43" s="344"/>
      <c r="F43" s="89"/>
      <c r="G43" s="290">
        <f>IF($B$43="","",$B$43)</f>
        <v>106.535</v>
      </c>
      <c r="H43" s="291" t="str">
        <f>IF($C$43="","",$C$43)</f>
        <v>PERC. IVA</v>
      </c>
      <c r="I43" s="292">
        <f>SUM(Table_9[PERC. IVA])-'May-22'!L51</f>
        <v>0</v>
      </c>
      <c r="J43" s="297"/>
      <c r="K43" s="89"/>
      <c r="L43" s="290">
        <f>IF($B$43="","",$B$43)</f>
        <v>106.535</v>
      </c>
      <c r="M43" s="291" t="str">
        <f>IF($C$43="","",$C$43)</f>
        <v>PERC. IVA</v>
      </c>
      <c r="N43" s="296">
        <f>SUM(Table_16[PERC. IVA])-'Jun-22'!L39</f>
        <v>0</v>
      </c>
      <c r="O43" s="297"/>
    </row>
    <row r="44" spans="2:17" ht="15.75" customHeight="1" x14ac:dyDescent="0.25">
      <c r="B44" s="290"/>
      <c r="C44" s="291" t="s">
        <v>1757</v>
      </c>
      <c r="D44" s="347">
        <f>SUM(Table_2[[#This Row],[Otros / No Grav.]]+'Abr-22'!O51)</f>
        <v>-166663.88810000004</v>
      </c>
      <c r="E44" s="297"/>
      <c r="F44" s="89"/>
      <c r="G44" s="290" t="str">
        <f>IF($B$44="","",$B$44)</f>
        <v/>
      </c>
      <c r="H44" s="291" t="str">
        <f>IF($C$44="","",$C$44)</f>
        <v>NO GRAVADO</v>
      </c>
      <c r="I44" s="292">
        <f>SUM(Table_9[Otros / No Grav.])-'May-22'!O51</f>
        <v>58949.859999999986</v>
      </c>
      <c r="J44" s="297"/>
      <c r="K44" s="89"/>
      <c r="L44" s="290" t="str">
        <f>IF($B$44="","",$B$44)</f>
        <v/>
      </c>
      <c r="M44" s="291" t="str">
        <f>IF($C$44="","",$C$44)</f>
        <v>NO GRAVADO</v>
      </c>
      <c r="N44" s="298">
        <f>SUM(Table_16[Otros / No Grav.])-'Jun-22'!O39</f>
        <v>-359147.66</v>
      </c>
      <c r="O44" s="297"/>
    </row>
    <row r="45" spans="2:17" ht="15.75" customHeight="1" x14ac:dyDescent="0.25">
      <c r="B45" s="290"/>
      <c r="C45" s="291"/>
      <c r="D45" s="298"/>
      <c r="E45" s="297"/>
      <c r="F45" s="89"/>
      <c r="G45" s="290" t="str">
        <f>IF($B$45="","",$B$45)</f>
        <v/>
      </c>
      <c r="H45" s="291" t="str">
        <f>IF($C$45="","",$C$45)</f>
        <v/>
      </c>
      <c r="I45" s="298"/>
      <c r="J45" s="297"/>
      <c r="K45" s="89"/>
      <c r="L45" s="290" t="str">
        <f>IF($B$45="","",$B$45)</f>
        <v/>
      </c>
      <c r="M45" s="291" t="str">
        <f>IF($C$45="","",$C$45)</f>
        <v/>
      </c>
      <c r="N45" s="298"/>
      <c r="O45" s="297"/>
    </row>
    <row r="46" spans="2:17" ht="15.75" customHeight="1" x14ac:dyDescent="0.25">
      <c r="B46" s="299">
        <v>200.9</v>
      </c>
      <c r="C46" s="300" t="s">
        <v>1735</v>
      </c>
      <c r="D46" s="297"/>
      <c r="E46" s="297">
        <v>2265922.1803000011</v>
      </c>
      <c r="F46" s="89"/>
      <c r="G46" s="290">
        <f>IF($B$46="","",$B$46)</f>
        <v>200.9</v>
      </c>
      <c r="H46" s="291" t="str">
        <f>IF($C$46="","",$C$46)</f>
        <v>PROVEEDORES</v>
      </c>
      <c r="I46" s="297"/>
      <c r="J46" s="297">
        <v>3056113.88</v>
      </c>
      <c r="K46" s="89"/>
      <c r="L46" s="290">
        <f>IF($B$46="","",$B$46)</f>
        <v>200.9</v>
      </c>
      <c r="M46" s="291" t="str">
        <f>IF($C$46="","",$C$46)</f>
        <v>PROVEEDORES</v>
      </c>
      <c r="N46" s="297"/>
      <c r="O46" s="297">
        <v>4244302.6399999997</v>
      </c>
    </row>
    <row r="47" spans="2:17" ht="15.75" customHeight="1" x14ac:dyDescent="0.25">
      <c r="B47" s="377"/>
      <c r="C47" s="378"/>
      <c r="D47" s="378"/>
      <c r="E47" s="301">
        <f>SUM(D5:D45)-E46</f>
        <v>-166663.88810000103</v>
      </c>
      <c r="F47" s="89"/>
      <c r="G47" s="377"/>
      <c r="H47" s="378"/>
      <c r="I47" s="378"/>
      <c r="J47" s="301">
        <f>SUM(I5:I45)-J46</f>
        <v>58949.856249999255</v>
      </c>
      <c r="K47" s="89"/>
      <c r="L47" s="377"/>
      <c r="M47" s="378"/>
      <c r="N47" s="378"/>
      <c r="O47" s="349">
        <f>SUM(N5:N45)-O46</f>
        <v>-359147.65652000066</v>
      </c>
    </row>
    <row r="48" spans="2:17" ht="15.75" customHeight="1" thickBot="1" x14ac:dyDescent="0.3">
      <c r="B48" s="302"/>
      <c r="C48" s="302"/>
      <c r="D48" s="302"/>
      <c r="E48" s="303"/>
      <c r="F48" s="89"/>
      <c r="G48" s="302"/>
      <c r="H48" s="302"/>
      <c r="I48" s="302"/>
      <c r="J48" s="303"/>
      <c r="K48" s="89"/>
      <c r="L48" s="302"/>
      <c r="M48" s="302"/>
      <c r="N48" s="302"/>
      <c r="O48" s="303"/>
    </row>
    <row r="49" spans="2:15" ht="15.75" customHeight="1" thickBot="1" x14ac:dyDescent="0.3">
      <c r="B49" s="379">
        <f>EDATE($L$4,1)</f>
        <v>44743</v>
      </c>
      <c r="C49" s="380"/>
      <c r="D49" s="380"/>
      <c r="E49" s="381"/>
      <c r="F49" s="89"/>
      <c r="G49" s="379">
        <f>EDATE($B$49,1)</f>
        <v>44774</v>
      </c>
      <c r="H49" s="382"/>
      <c r="I49" s="382"/>
      <c r="J49" s="383"/>
      <c r="K49" s="89"/>
      <c r="L49" s="379">
        <f>EDATE($G$49,1)</f>
        <v>44805</v>
      </c>
      <c r="M49" s="382"/>
      <c r="N49" s="382"/>
      <c r="O49" s="383"/>
    </row>
    <row r="50" spans="2:15" ht="15.75" customHeight="1" x14ac:dyDescent="0.25">
      <c r="B50" s="290" t="str">
        <f>IF($B$5="","",$B$5)</f>
        <v/>
      </c>
      <c r="C50" s="291" t="str">
        <f>IF($C$5="","",$C$5)</f>
        <v>ALQUILER</v>
      </c>
      <c r="D50" s="347">
        <f>SUMIF(Table_22[Tipo de Gasto],'Asto-Cpras'!C50,Table_22[NETO GRAVADO])+SUMIF(Table_24[TIPO DE GASTO],'Asto-Cpras'!C50,Table_24[TOTAL])+SUMIF(Table_22[Tipo de Gasto],'Asto-Cpras'!C50,Table_22[Otros / No Grav.])</f>
        <v>0</v>
      </c>
      <c r="E50" s="289"/>
      <c r="F50" s="89"/>
      <c r="G50" s="290" t="str">
        <f>IF($B$5="","",$B$5)</f>
        <v/>
      </c>
      <c r="H50" s="291" t="str">
        <f>IF($C$5="","",$C$5)</f>
        <v>ALQUILER</v>
      </c>
      <c r="I50" s="347">
        <f>SUMIF(Table_29[Tipo de Gasto],'Asto-Cpras'!H50,Table_29[NETO GRAVADO])+SUMIF(Table_31[TIPO DE GASTO],'Asto-Cpras'!H50,Table_31[TOTAL])+SUMIF(Table_29[Tipo de Gasto],'Asto-Cpras'!H50,Table_29[Otros / No Grav.])</f>
        <v>0</v>
      </c>
      <c r="J50" s="289"/>
      <c r="K50" s="89"/>
      <c r="L50" s="290" t="str">
        <f>IF($B$5="","",$B$5)</f>
        <v/>
      </c>
      <c r="M50" s="291" t="str">
        <f>IF($C$5="","",$C$5)</f>
        <v>ALQUILER</v>
      </c>
      <c r="N50" s="347">
        <f>SUMIF(Table_35[Tipo de Gasto],'Asto-Cpras'!M50,Table_35[NETO GRAVADO])+SUMIF(Table_37[TIPO DE GASTO],'Asto-Cpras'!M50,Table_37[TOTAL])+SUMIF(Table_35[Tipo de Gasto],'Asto-Cpras'!M50,Table_35[Otros / No Grav.])</f>
        <v>0</v>
      </c>
      <c r="O50" s="289"/>
    </row>
    <row r="51" spans="2:15" ht="15.75" customHeight="1" x14ac:dyDescent="0.25">
      <c r="B51" s="290">
        <f>IF($B$6="","",$B$6)</f>
        <v>152.1</v>
      </c>
      <c r="C51" s="291" t="str">
        <f>IF($C$6="","",$C$6)</f>
        <v>BIENES DE USO</v>
      </c>
      <c r="D51" s="347">
        <f>SUMIF(Table_22[Tipo de Gasto],'Asto-Cpras'!C51,Table_22[NETO GRAVADO])+SUMIF(Table_24[TIPO DE GASTO],'Asto-Cpras'!C51,Table_24[TOTAL])+SUMIF(Table_22[Tipo de Gasto],'Asto-Cpras'!C51,Table_22[Otros / No Grav.])</f>
        <v>0</v>
      </c>
      <c r="E51" s="293"/>
      <c r="F51" s="89"/>
      <c r="G51" s="290">
        <f>IF($B$6="","",$B$6)</f>
        <v>152.1</v>
      </c>
      <c r="H51" s="291" t="str">
        <f>IF($C$6="","",$C$6)</f>
        <v>BIENES DE USO</v>
      </c>
      <c r="I51" s="347">
        <f>SUMIF(Table_29[Tipo de Gasto],'Asto-Cpras'!H51,Table_29[NETO GRAVADO])+SUMIF(Table_31[TIPO DE GASTO],'Asto-Cpras'!H51,Table_31[TOTAL])+SUMIF(Table_29[Tipo de Gasto],'Asto-Cpras'!H51,Table_29[Otros / No Grav.])</f>
        <v>211492.18</v>
      </c>
      <c r="J51" s="293"/>
      <c r="K51" s="89"/>
      <c r="L51" s="290">
        <f>IF($B$6="","",$B$6)</f>
        <v>152.1</v>
      </c>
      <c r="M51" s="291" t="str">
        <f>IF($C$6="","",$C$6)</f>
        <v>BIENES DE USO</v>
      </c>
      <c r="N51" s="347">
        <f>SUMIF(Table_35[Tipo de Gasto],'Asto-Cpras'!M51,Table_35[NETO GRAVADO])+SUMIF(Table_37[TIPO DE GASTO],'Asto-Cpras'!M51,Table_37[TOTAL])+SUMIF(Table_35[Tipo de Gasto],'Asto-Cpras'!M51,Table_35[Otros / No Grav.])</f>
        <v>0</v>
      </c>
      <c r="O51" s="293"/>
    </row>
    <row r="52" spans="2:15" ht="15.75" customHeight="1" x14ac:dyDescent="0.25">
      <c r="B52" s="290">
        <f>IF($B$7="","",$B$7)</f>
        <v>500.02300000000002</v>
      </c>
      <c r="C52" s="291" t="str">
        <f>IF($C$7="","",$C$7)</f>
        <v>CATERING</v>
      </c>
      <c r="D52" s="347">
        <f>SUMIF(Table_22[Tipo de Gasto],'Asto-Cpras'!C52,Table_22[NETO GRAVADO])+SUMIF(Table_24[TIPO DE GASTO],'Asto-Cpras'!C52,Table_24[TOTAL])+SUMIF(Table_22[Tipo de Gasto],'Asto-Cpras'!C52,Table_22[Otros / No Grav.])</f>
        <v>24300</v>
      </c>
      <c r="E52" s="293"/>
      <c r="F52" s="89"/>
      <c r="G52" s="290">
        <f>IF($B$7="","",$B$7)</f>
        <v>500.02300000000002</v>
      </c>
      <c r="H52" s="291" t="str">
        <f>IF($C$7="","",$C$7)</f>
        <v>CATERING</v>
      </c>
      <c r="I52" s="347">
        <f>SUMIF(Table_29[Tipo de Gasto],'Asto-Cpras'!H52,Table_29[NETO GRAVADO])+SUMIF(Table_31[TIPO DE GASTO],'Asto-Cpras'!H52,Table_31[TOTAL])+SUMIF(Table_29[Tipo de Gasto],'Asto-Cpras'!H52,Table_29[Otros / No Grav.])</f>
        <v>119110</v>
      </c>
      <c r="J52" s="293"/>
      <c r="K52" s="89"/>
      <c r="L52" s="290">
        <f>IF($B$7="","",$B$7)</f>
        <v>500.02300000000002</v>
      </c>
      <c r="M52" s="291" t="str">
        <f>IF($C$7="","",$C$7)</f>
        <v>CATERING</v>
      </c>
      <c r="N52" s="347">
        <f>SUMIF(Table_35[Tipo de Gasto],'Asto-Cpras'!M52,Table_35[NETO GRAVADO])+SUMIF(Table_37[TIPO DE GASTO],'Asto-Cpras'!M52,Table_37[TOTAL])+SUMIF(Table_35[Tipo de Gasto],'Asto-Cpras'!M52,Table_35[Otros / No Grav.])</f>
        <v>119310</v>
      </c>
      <c r="O52" s="293"/>
    </row>
    <row r="53" spans="2:15" ht="15.75" customHeight="1" x14ac:dyDescent="0.25">
      <c r="B53" s="290">
        <f>IF($B$8="","",$B$8)</f>
        <v>500.02499999999998</v>
      </c>
      <c r="C53" s="291" t="str">
        <f>IF($C$8="","",$C$8)</f>
        <v>COMBUSTIBLE</v>
      </c>
      <c r="D53" s="347">
        <f>SUMIF(Table_22[Tipo de Gasto],'Asto-Cpras'!C53,Table_22[NETO GRAVADO])+SUMIF(Table_24[TIPO DE GASTO],'Asto-Cpras'!C53,Table_24[TOTAL])+SUMIF(Table_22[Tipo de Gasto],'Asto-Cpras'!C53,Table_22[Otros / No Grav.])</f>
        <v>10913.539999999999</v>
      </c>
      <c r="E53" s="293"/>
      <c r="F53" s="89"/>
      <c r="G53" s="290">
        <f>IF($B$8="","",$B$8)</f>
        <v>500.02499999999998</v>
      </c>
      <c r="H53" s="291" t="str">
        <f>IF($C$8="","",$C$8)</f>
        <v>COMBUSTIBLE</v>
      </c>
      <c r="I53" s="347">
        <f>SUMIF(Table_29[Tipo de Gasto],'Asto-Cpras'!H53,Table_29[NETO GRAVADO])+SUMIF(Table_31[TIPO DE GASTO],'Asto-Cpras'!H53,Table_31[TOTAL])+SUMIF(Table_29[Tipo de Gasto],'Asto-Cpras'!H53,Table_29[Otros / No Grav.])</f>
        <v>5794.62</v>
      </c>
      <c r="J53" s="293"/>
      <c r="K53" s="89"/>
      <c r="L53" s="290">
        <f>IF($B$8="","",$B$8)</f>
        <v>500.02499999999998</v>
      </c>
      <c r="M53" s="291" t="str">
        <f>IF($C$8="","",$C$8)</f>
        <v>COMBUSTIBLE</v>
      </c>
      <c r="N53" s="347">
        <f>SUMIF(Table_35[Tipo de Gasto],'Asto-Cpras'!M53,Table_35[NETO GRAVADO])+SUMIF(Table_37[TIPO DE GASTO],'Asto-Cpras'!M53,Table_37[TOTAL])+SUMIF(Table_35[Tipo de Gasto],'Asto-Cpras'!M53,Table_35[Otros / No Grav.])</f>
        <v>0</v>
      </c>
      <c r="O53" s="293"/>
    </row>
    <row r="54" spans="2:15" ht="15.75" customHeight="1" x14ac:dyDescent="0.25">
      <c r="B54" s="290">
        <f>IF($B$9="","",$B$9)</f>
        <v>500.03199999999998</v>
      </c>
      <c r="C54" s="291" t="str">
        <f>IF($C$9="","",$C$9)</f>
        <v>Control medidores masicos</v>
      </c>
      <c r="D54" s="347">
        <f>SUMIF(Table_22[Tipo de Gasto],'Asto-Cpras'!C54,Table_22[NETO GRAVADO])+SUMIF(Table_24[TIPO DE GASTO],'Asto-Cpras'!C54,Table_24[TOTAL])+SUMIF(Table_22[Tipo de Gasto],'Asto-Cpras'!C54,Table_22[Otros / No Grav.])</f>
        <v>195450</v>
      </c>
      <c r="E54" s="293"/>
      <c r="F54" s="89"/>
      <c r="G54" s="290">
        <f>IF($B$9="","",$B$9)</f>
        <v>500.03199999999998</v>
      </c>
      <c r="H54" s="291" t="str">
        <f>IF($C$9="","",$C$9)</f>
        <v>Control medidores masicos</v>
      </c>
      <c r="I54" s="347">
        <f>SUMIF(Table_29[Tipo de Gasto],'Asto-Cpras'!H54,Table_29[NETO GRAVADO])+SUMIF(Table_31[TIPO DE GASTO],'Asto-Cpras'!H54,Table_31[TOTAL])+SUMIF(Table_29[Tipo de Gasto],'Asto-Cpras'!H54,Table_29[Otros / No Grav.])</f>
        <v>276500</v>
      </c>
      <c r="J54" s="293"/>
      <c r="K54" s="89"/>
      <c r="L54" s="290">
        <f>IF($B$9="","",$B$9)</f>
        <v>500.03199999999998</v>
      </c>
      <c r="M54" s="291" t="str">
        <f>IF($C$9="","",$C$9)</f>
        <v>Control medidores masicos</v>
      </c>
      <c r="N54" s="347">
        <f>SUMIF(Table_35[Tipo de Gasto],'Asto-Cpras'!M54,Table_35[NETO GRAVADO])+SUMIF(Table_37[TIPO DE GASTO],'Asto-Cpras'!M54,Table_37[TOTAL])+SUMIF(Table_35[Tipo de Gasto],'Asto-Cpras'!M54,Table_35[Otros / No Grav.])</f>
        <v>305950</v>
      </c>
      <c r="O54" s="293"/>
    </row>
    <row r="55" spans="2:15" ht="15.75" customHeight="1" x14ac:dyDescent="0.25">
      <c r="B55" s="290" t="str">
        <f>IF($B$10="","",$B$10)</f>
        <v/>
      </c>
      <c r="C55" s="291" t="str">
        <f>IF($C$10="","",$C$10)</f>
        <v>EQ COMPUTACION</v>
      </c>
      <c r="D55" s="347">
        <f>SUMIF(Table_22[Tipo de Gasto],'Asto-Cpras'!C55,Table_22[NETO GRAVADO])+SUMIF(Table_24[TIPO DE GASTO],'Asto-Cpras'!C55,Table_24[TOTAL])+SUMIF(Table_22[Tipo de Gasto],'Asto-Cpras'!C55,Table_22[Otros / No Grav.])</f>
        <v>0</v>
      </c>
      <c r="E55" s="293"/>
      <c r="F55" s="89"/>
      <c r="G55" s="290" t="str">
        <f>IF($B$10="","",$B$10)</f>
        <v/>
      </c>
      <c r="H55" s="291" t="str">
        <f>IF($C$10="","",$C$10)</f>
        <v>EQ COMPUTACION</v>
      </c>
      <c r="I55" s="347">
        <f>SUMIF(Table_29[Tipo de Gasto],'Asto-Cpras'!H55,Table_29[NETO GRAVADO])+SUMIF(Table_31[TIPO DE GASTO],'Asto-Cpras'!H55,Table_31[TOTAL])+SUMIF(Table_29[Tipo de Gasto],'Asto-Cpras'!H55,Table_29[Otros / No Grav.])</f>
        <v>0</v>
      </c>
      <c r="J55" s="293"/>
      <c r="K55" s="89"/>
      <c r="L55" s="290" t="str">
        <f>IF($B$10="","",$B$10)</f>
        <v/>
      </c>
      <c r="M55" s="291" t="str">
        <f>IF($C$10="","",$C$10)</f>
        <v>EQ COMPUTACION</v>
      </c>
      <c r="N55" s="347">
        <f>SUMIF(Table_35[Tipo de Gasto],'Asto-Cpras'!M55,Table_35[NETO GRAVADO])+SUMIF(Table_37[TIPO DE GASTO],'Asto-Cpras'!M55,Table_37[TOTAL])+SUMIF(Table_35[Tipo de Gasto],'Asto-Cpras'!M55,Table_35[Otros / No Grav.])</f>
        <v>0</v>
      </c>
      <c r="O55" s="293"/>
    </row>
    <row r="56" spans="2:15" ht="15.75" customHeight="1" x14ac:dyDescent="0.25">
      <c r="B56" s="290" t="str">
        <f>IF($B$11="","",$B$11)</f>
        <v/>
      </c>
      <c r="C56" s="291" t="str">
        <f>IF($C$11="","",$C$11)</f>
        <v>FERRETERIA</v>
      </c>
      <c r="D56" s="347">
        <f>SUMIF(Table_22[Tipo de Gasto],'Asto-Cpras'!C56,Table_22[NETO GRAVADO])+SUMIF(Table_24[TIPO DE GASTO],'Asto-Cpras'!C56,Table_24[TOTAL])+SUMIF(Table_22[Tipo de Gasto],'Asto-Cpras'!C56,Table_22[Otros / No Grav.])</f>
        <v>0</v>
      </c>
      <c r="E56" s="293"/>
      <c r="F56" s="89"/>
      <c r="G56" s="290" t="str">
        <f>IF($B$11="","",$B$11)</f>
        <v/>
      </c>
      <c r="H56" s="291" t="str">
        <f>IF($C$11="","",$C$11)</f>
        <v>FERRETERIA</v>
      </c>
      <c r="I56" s="347">
        <f>SUMIF(Table_29[Tipo de Gasto],'Asto-Cpras'!H56,Table_29[NETO GRAVADO])+SUMIF(Table_31[TIPO DE GASTO],'Asto-Cpras'!H56,Table_31[TOTAL])+SUMIF(Table_29[Tipo de Gasto],'Asto-Cpras'!H56,Table_29[Otros / No Grav.])</f>
        <v>0</v>
      </c>
      <c r="J56" s="293"/>
      <c r="K56" s="89"/>
      <c r="L56" s="290" t="str">
        <f>IF($B$11="","",$B$11)</f>
        <v/>
      </c>
      <c r="M56" s="291" t="str">
        <f>IF($C$11="","",$C$11)</f>
        <v>FERRETERIA</v>
      </c>
      <c r="N56" s="347">
        <f>SUMIF(Table_35[Tipo de Gasto],'Asto-Cpras'!M56,Table_35[NETO GRAVADO])+SUMIF(Table_37[TIPO DE GASTO],'Asto-Cpras'!M56,Table_37[TOTAL])+SUMIF(Table_35[Tipo de Gasto],'Asto-Cpras'!M56,Table_35[Otros / No Grav.])</f>
        <v>0</v>
      </c>
      <c r="O56" s="293"/>
    </row>
    <row r="57" spans="2:15" ht="15.75" customHeight="1" x14ac:dyDescent="0.25">
      <c r="B57" s="290">
        <f>IF($B$12="","",$B$12)</f>
        <v>507.13</v>
      </c>
      <c r="C57" s="291" t="str">
        <f>IF($C$12="","",$C$12)</f>
        <v>FLETE</v>
      </c>
      <c r="D57" s="347">
        <f>SUMIF(Table_22[Tipo de Gasto],'Asto-Cpras'!C57,Table_22[NETO GRAVADO])+SUMIF(Table_24[TIPO DE GASTO],'Asto-Cpras'!C57,Table_24[TOTAL])+SUMIF(Table_22[Tipo de Gasto],'Asto-Cpras'!C57,Table_22[Otros / No Grav.])</f>
        <v>11500</v>
      </c>
      <c r="E57" s="293"/>
      <c r="F57" s="89"/>
      <c r="G57" s="290">
        <f>IF($B$12="","",$B$12)</f>
        <v>507.13</v>
      </c>
      <c r="H57" s="291" t="str">
        <f>IF($C$12="","",$C$12)</f>
        <v>FLETE</v>
      </c>
      <c r="I57" s="347">
        <f>SUMIF(Table_29[Tipo de Gasto],'Asto-Cpras'!H57,Table_29[NETO GRAVADO])+SUMIF(Table_31[TIPO DE GASTO],'Asto-Cpras'!H57,Table_31[TOTAL])+SUMIF(Table_29[Tipo de Gasto],'Asto-Cpras'!H57,Table_29[Otros / No Grav.])</f>
        <v>5800</v>
      </c>
      <c r="J57" s="293"/>
      <c r="K57" s="89"/>
      <c r="L57" s="290">
        <f>IF($B$12="","",$B$12)</f>
        <v>507.13</v>
      </c>
      <c r="M57" s="291" t="str">
        <f>IF($C$12="","",$C$12)</f>
        <v>FLETE</v>
      </c>
      <c r="N57" s="347">
        <f>SUMIF(Table_35[Tipo de Gasto],'Asto-Cpras'!M57,Table_35[NETO GRAVADO])+SUMIF(Table_37[TIPO DE GASTO],'Asto-Cpras'!M57,Table_37[TOTAL])+SUMIF(Table_35[Tipo de Gasto],'Asto-Cpras'!M57,Table_35[Otros / No Grav.])</f>
        <v>14000</v>
      </c>
      <c r="O57" s="293"/>
    </row>
    <row r="58" spans="2:15" ht="15.75" customHeight="1" x14ac:dyDescent="0.25">
      <c r="B58" s="290">
        <f>IF($B$13="","",$B$13)</f>
        <v>121.12</v>
      </c>
      <c r="C58" s="291" t="str">
        <f>IF($C$13="","",$C$13)</f>
        <v>FOTOGRABADOS</v>
      </c>
      <c r="D58" s="347">
        <f>SUMIF(Table_22[Tipo de Gasto],'Asto-Cpras'!C58,Table_22[NETO GRAVADO])+SUMIF(Table_24[TIPO DE GASTO],'Asto-Cpras'!C58,Table_24[TOTAL])+SUMIF(Table_22[Tipo de Gasto],'Asto-Cpras'!C58,Table_22[Otros / No Grav.])</f>
        <v>519889.5</v>
      </c>
      <c r="E58" s="293"/>
      <c r="F58" s="89"/>
      <c r="G58" s="290">
        <f>IF($B$13="","",$B$13)</f>
        <v>121.12</v>
      </c>
      <c r="H58" s="291" t="str">
        <f>IF($C$13="","",$C$13)</f>
        <v>FOTOGRABADOS</v>
      </c>
      <c r="I58" s="347">
        <f>SUMIF(Table_29[Tipo de Gasto],'Asto-Cpras'!H58,Table_29[NETO GRAVADO])+SUMIF(Table_31[TIPO DE GASTO],'Asto-Cpras'!H58,Table_31[TOTAL])+SUMIF(Table_29[Tipo de Gasto],'Asto-Cpras'!H58,Table_29[Otros / No Grav.])</f>
        <v>0</v>
      </c>
      <c r="J58" s="293"/>
      <c r="K58" s="89"/>
      <c r="L58" s="290">
        <f>IF($B$13="","",$B$13)</f>
        <v>121.12</v>
      </c>
      <c r="M58" s="291" t="str">
        <f>IF($C$13="","",$C$13)</f>
        <v>FOTOGRABADOS</v>
      </c>
      <c r="N58" s="347">
        <f>SUMIF(Table_35[Tipo de Gasto],'Asto-Cpras'!M58,Table_35[NETO GRAVADO])+SUMIF(Table_37[TIPO DE GASTO],'Asto-Cpras'!M58,Table_37[TOTAL])+SUMIF(Table_35[Tipo de Gasto],'Asto-Cpras'!M58,Table_35[Otros / No Grav.])</f>
        <v>316735.3</v>
      </c>
      <c r="O58" s="293"/>
    </row>
    <row r="59" spans="2:15" ht="15.75" customHeight="1" x14ac:dyDescent="0.25">
      <c r="B59" s="290">
        <f>IF($B$14="","",$B$14)</f>
        <v>500.5</v>
      </c>
      <c r="C59" s="291" t="str">
        <f>IF($C$14="","",$C$14)</f>
        <v>GASTOS OFICINA</v>
      </c>
      <c r="D59" s="347">
        <f>SUMIF(Table_22[Tipo de Gasto],'Asto-Cpras'!C59,Table_22[NETO GRAVADO])+SUMIF(Table_24[TIPO DE GASTO],'Asto-Cpras'!C59,Table_24[TOTAL])+SUMIF(Table_22[Tipo de Gasto],'Asto-Cpras'!C59,Table_22[Otros / No Grav.])</f>
        <v>7669.65</v>
      </c>
      <c r="E59" s="293"/>
      <c r="F59" s="89"/>
      <c r="G59" s="290">
        <f>IF($B$14="","",$B$14)</f>
        <v>500.5</v>
      </c>
      <c r="H59" s="291" t="str">
        <f>IF($C$14="","",$C$14)</f>
        <v>GASTOS OFICINA</v>
      </c>
      <c r="I59" s="347">
        <f>SUMIF(Table_29[Tipo de Gasto],'Asto-Cpras'!H59,Table_29[NETO GRAVADO])+SUMIF(Table_31[TIPO DE GASTO],'Asto-Cpras'!H59,Table_31[TOTAL])+SUMIF(Table_29[Tipo de Gasto],'Asto-Cpras'!H59,Table_29[Otros / No Grav.])</f>
        <v>87002.97</v>
      </c>
      <c r="J59" s="293"/>
      <c r="K59" s="89"/>
      <c r="L59" s="290">
        <f>IF($B$14="","",$B$14)</f>
        <v>500.5</v>
      </c>
      <c r="M59" s="291" t="str">
        <f>IF($C$14="","",$C$14)</f>
        <v>GASTOS OFICINA</v>
      </c>
      <c r="N59" s="347">
        <f>SUMIF(Table_35[Tipo de Gasto],'Asto-Cpras'!M59,Table_35[NETO GRAVADO])+SUMIF(Table_37[TIPO DE GASTO],'Asto-Cpras'!M59,Table_37[TOTAL])+SUMIF(Table_35[Tipo de Gasto],'Asto-Cpras'!M59,Table_35[Otros / No Grav.])</f>
        <v>3114.18</v>
      </c>
      <c r="O59" s="293"/>
    </row>
    <row r="60" spans="2:15" ht="15" customHeight="1" x14ac:dyDescent="0.25">
      <c r="B60" s="290">
        <f>IF($B$15="","",$B$15)</f>
        <v>500.05</v>
      </c>
      <c r="C60" s="291" t="str">
        <f>IF($C$15="","",$C$15)</f>
        <v>GASTOS VARIOS</v>
      </c>
      <c r="D60" s="347">
        <f>SUMIF(Table_22[Tipo de Gasto],'Asto-Cpras'!C60,Table_22[NETO GRAVADO])+SUMIF(Table_24[TIPO DE GASTO],'Asto-Cpras'!C60,Table_24[TOTAL])+SUMIF(Table_22[Tipo de Gasto],'Asto-Cpras'!C60,Table_22[Otros / No Grav.])</f>
        <v>37565.050000000003</v>
      </c>
      <c r="E60" s="293"/>
      <c r="F60" s="89"/>
      <c r="G60" s="290">
        <f>IF($B$15="","",$B$15)</f>
        <v>500.05</v>
      </c>
      <c r="H60" s="291" t="str">
        <f>IF($C$15="","",$C$15)</f>
        <v>GASTOS VARIOS</v>
      </c>
      <c r="I60" s="347">
        <f>SUMIF(Table_29[Tipo de Gasto],'Asto-Cpras'!H60,Table_29[NETO GRAVADO])+SUMIF(Table_31[TIPO DE GASTO],'Asto-Cpras'!H60,Table_31[TOTAL])+SUMIF(Table_29[Tipo de Gasto],'Asto-Cpras'!H60,Table_29[Otros / No Grav.])</f>
        <v>844884.3</v>
      </c>
      <c r="J60" s="293"/>
      <c r="K60" s="89"/>
      <c r="L60" s="290">
        <f>IF($B$15="","",$B$15)</f>
        <v>500.05</v>
      </c>
      <c r="M60" s="291" t="str">
        <f>IF($C$15="","",$C$15)</f>
        <v>GASTOS VARIOS</v>
      </c>
      <c r="N60" s="347">
        <f>SUMIF(Table_35[Tipo de Gasto],'Asto-Cpras'!M60,Table_35[NETO GRAVADO])+SUMIF(Table_37[TIPO DE GASTO],'Asto-Cpras'!M60,Table_37[TOTAL])+SUMIF(Table_35[Tipo de Gasto],'Asto-Cpras'!M60,Table_35[Otros / No Grav.])</f>
        <v>58865.189999999995</v>
      </c>
      <c r="O60" s="293"/>
    </row>
    <row r="61" spans="2:15" ht="15.75" customHeight="1" x14ac:dyDescent="0.25">
      <c r="B61" s="290">
        <f>IF($B$16="","",$B$16)</f>
        <v>507.31</v>
      </c>
      <c r="C61" s="291" t="str">
        <f>IF($C$16="","",$C$16)</f>
        <v>GTOS IMP.</v>
      </c>
      <c r="D61" s="347">
        <f>SUMIF(Table_22[Tipo de Gasto],'Asto-Cpras'!C61,Table_22[NETO GRAVADO])+SUMIF(Table_24[TIPO DE GASTO],'Asto-Cpras'!C61,Table_24[TOTAL])+SUMIF(Table_22[Tipo de Gasto],'Asto-Cpras'!C61,Table_22[Otros / No Grav.])</f>
        <v>87529.378295238115</v>
      </c>
      <c r="E61" s="293"/>
      <c r="F61" s="89"/>
      <c r="G61" s="290">
        <f>IF($B$16="","",$B$16)</f>
        <v>507.31</v>
      </c>
      <c r="H61" s="291" t="str">
        <f>IF($C$16="","",$C$16)</f>
        <v>GTOS IMP.</v>
      </c>
      <c r="I61" s="347">
        <f>SUMIF(Table_29[Tipo de Gasto],'Asto-Cpras'!H61,Table_29[NETO GRAVADO])+SUMIF(Table_31[TIPO DE GASTO],'Asto-Cpras'!H61,Table_31[TOTAL])+SUMIF(Table_29[Tipo de Gasto],'Asto-Cpras'!H61,Table_29[Otros / No Grav.])</f>
        <v>380536.09070000006</v>
      </c>
      <c r="J61" s="293"/>
      <c r="K61" s="89"/>
      <c r="L61" s="290">
        <f>IF($B$16="","",$B$16)</f>
        <v>507.31</v>
      </c>
      <c r="M61" s="291" t="str">
        <f>IF($C$16="","",$C$16)</f>
        <v>GTOS IMP.</v>
      </c>
      <c r="N61" s="347">
        <f>SUMIF(Table_35[Tipo de Gasto],'Asto-Cpras'!M61,Table_35[NETO GRAVADO])+SUMIF(Table_37[TIPO DE GASTO],'Asto-Cpras'!M61,Table_37[TOTAL])+SUMIF(Table_35[Tipo de Gasto],'Asto-Cpras'!M61,Table_35[Otros / No Grav.])</f>
        <v>149850.01600000006</v>
      </c>
      <c r="O61" s="293"/>
    </row>
    <row r="62" spans="2:15" ht="15.75" customHeight="1" x14ac:dyDescent="0.25">
      <c r="B62" s="290">
        <f>IF($B$17="","",$B$17)</f>
        <v>500.024</v>
      </c>
      <c r="C62" s="291" t="str">
        <f>IF($C$17="","",$C$17)</f>
        <v>GTOS VARIOS-ESTACIONAMIENTO HORACIO</v>
      </c>
      <c r="D62" s="347">
        <f>SUMIF(Table_22[Tipo de Gasto],'Asto-Cpras'!C62,Table_22[NETO GRAVADO])+SUMIF(Table_24[TIPO DE GASTO],'Asto-Cpras'!C62,Table_24[TOTAL])+SUMIF(Table_22[Tipo de Gasto],'Asto-Cpras'!C62,Table_22[Otros / No Grav.])</f>
        <v>7768.6</v>
      </c>
      <c r="E62" s="293"/>
      <c r="F62" s="89"/>
      <c r="G62" s="290">
        <f>IF($B$17="","",$B$17)</f>
        <v>500.024</v>
      </c>
      <c r="H62" s="291" t="str">
        <f>IF($C$17="","",$C$17)</f>
        <v>GTOS VARIOS-ESTACIONAMIENTO HORACIO</v>
      </c>
      <c r="I62" s="347">
        <f>SUMIF(Table_29[Tipo de Gasto],'Asto-Cpras'!H62,Table_29[NETO GRAVADO])+SUMIF(Table_31[TIPO DE GASTO],'Asto-Cpras'!H62,Table_31[TOTAL])+SUMIF(Table_29[Tipo de Gasto],'Asto-Cpras'!H62,Table_29[Otros / No Grav.])</f>
        <v>7768.6</v>
      </c>
      <c r="J62" s="293"/>
      <c r="K62" s="89"/>
      <c r="L62" s="290">
        <f>IF($B$17="","",$B$17)</f>
        <v>500.024</v>
      </c>
      <c r="M62" s="291" t="str">
        <f>IF($C$17="","",$C$17)</f>
        <v>GTOS VARIOS-ESTACIONAMIENTO HORACIO</v>
      </c>
      <c r="N62" s="347">
        <f>SUMIF(Table_35[Tipo de Gasto],'Asto-Cpras'!M62,Table_35[NETO GRAVADO])+SUMIF(Table_37[TIPO DE GASTO],'Asto-Cpras'!M62,Table_37[TOTAL])+SUMIF(Table_35[Tipo de Gasto],'Asto-Cpras'!M62,Table_35[Otros / No Grav.])</f>
        <v>7768.62</v>
      </c>
      <c r="O62" s="293"/>
    </row>
    <row r="63" spans="2:15" ht="15.75" customHeight="1" x14ac:dyDescent="0.25">
      <c r="B63" s="290">
        <f>IF($B$18="","",$B$18)</f>
        <v>510.12</v>
      </c>
      <c r="C63" s="291" t="str">
        <f>IF($C$18="","",$C$18)</f>
        <v>HONOR. INGENIERO</v>
      </c>
      <c r="D63" s="347">
        <f>SUMIF(Table_22[Tipo de Gasto],'Asto-Cpras'!C63,Table_22[NETO GRAVADO])+SUMIF(Table_24[TIPO DE GASTO],'Asto-Cpras'!C63,Table_24[TOTAL])+SUMIF(Table_22[Tipo de Gasto],'Asto-Cpras'!C63,Table_22[Otros / No Grav.])</f>
        <v>122600</v>
      </c>
      <c r="E63" s="293"/>
      <c r="F63" s="89"/>
      <c r="G63" s="290">
        <f>IF($B$18="","",$B$18)</f>
        <v>510.12</v>
      </c>
      <c r="H63" s="291" t="str">
        <f>IF($C$18="","",$C$18)</f>
        <v>HONOR. INGENIERO</v>
      </c>
      <c r="I63" s="347">
        <f>SUMIF(Table_29[Tipo de Gasto],'Asto-Cpras'!H63,Table_29[NETO GRAVADO])+SUMIF(Table_31[TIPO DE GASTO],'Asto-Cpras'!H63,Table_31[TOTAL])+SUMIF(Table_29[Tipo de Gasto],'Asto-Cpras'!H63,Table_29[Otros / No Grav.])</f>
        <v>124800</v>
      </c>
      <c r="J63" s="293"/>
      <c r="K63" s="89"/>
      <c r="L63" s="290">
        <f>IF($B$18="","",$B$18)</f>
        <v>510.12</v>
      </c>
      <c r="M63" s="291" t="str">
        <f>IF($C$18="","",$C$18)</f>
        <v>HONOR. INGENIERO</v>
      </c>
      <c r="N63" s="347">
        <f>SUMIF(Table_35[Tipo de Gasto],'Asto-Cpras'!M63,Table_35[NETO GRAVADO])+SUMIF(Table_37[TIPO DE GASTO],'Asto-Cpras'!M63,Table_37[TOTAL])+SUMIF(Table_35[Tipo de Gasto],'Asto-Cpras'!M63,Table_35[Otros / No Grav.])</f>
        <v>131400</v>
      </c>
      <c r="O63" s="293"/>
    </row>
    <row r="64" spans="2:15" ht="15.75" customHeight="1" x14ac:dyDescent="0.25">
      <c r="B64" s="290">
        <f>IF($B$19="","",$B$19)</f>
        <v>510.13</v>
      </c>
      <c r="C64" s="291" t="str">
        <f>IF($C$19="","",$C$19)</f>
        <v>HONORARIOS</v>
      </c>
      <c r="D64" s="347">
        <f>SUMIF(Table_22[Tipo de Gasto],'Asto-Cpras'!C64,Table_22[NETO GRAVADO])+SUMIF(Table_24[TIPO DE GASTO],'Asto-Cpras'!C64,Table_24[TOTAL])+SUMIF(Table_22[Tipo de Gasto],'Asto-Cpras'!C64,Table_22[Otros / No Grav.])</f>
        <v>117750</v>
      </c>
      <c r="E64" s="293"/>
      <c r="F64" s="89"/>
      <c r="G64" s="290">
        <f>IF($B$19="","",$B$19)</f>
        <v>510.13</v>
      </c>
      <c r="H64" s="291" t="str">
        <f>IF($C$19="","",$C$19)</f>
        <v>HONORARIOS</v>
      </c>
      <c r="I64" s="347">
        <f>SUMIF(Table_29[Tipo de Gasto],'Asto-Cpras'!H64,Table_29[NETO GRAVADO])+SUMIF(Table_31[TIPO DE GASTO],'Asto-Cpras'!H64,Table_31[TOTAL])+SUMIF(Table_29[Tipo de Gasto],'Asto-Cpras'!H64,Table_29[Otros / No Grav.])</f>
        <v>160250</v>
      </c>
      <c r="J64" s="293"/>
      <c r="K64" s="89"/>
      <c r="L64" s="290">
        <f>IF($B$19="","",$B$19)</f>
        <v>510.13</v>
      </c>
      <c r="M64" s="291" t="str">
        <f>IF($C$19="","",$C$19)</f>
        <v>HONORARIOS</v>
      </c>
      <c r="N64" s="347">
        <f>SUMIF(Table_35[Tipo de Gasto],'Asto-Cpras'!M64,Table_35[NETO GRAVADO])+SUMIF(Table_37[TIPO DE GASTO],'Asto-Cpras'!M64,Table_37[TOTAL])+SUMIF(Table_35[Tipo de Gasto],'Asto-Cpras'!M64,Table_35[Otros / No Grav.])</f>
        <v>226770</v>
      </c>
      <c r="O64" s="293"/>
    </row>
    <row r="65" spans="2:15" ht="15.75" customHeight="1" x14ac:dyDescent="0.25">
      <c r="B65" s="290">
        <f>IF($B$20="","",$B$20)</f>
        <v>500.01600000000002</v>
      </c>
      <c r="C65" s="291" t="str">
        <f>IF($C$20="","",$C$20)</f>
        <v>Honorarios Administrativos-Cobranzas y Gestion Clientes</v>
      </c>
      <c r="D65" s="347">
        <f>SUMIF(Table_22[Tipo de Gasto],'Asto-Cpras'!C65,Table_22[NETO GRAVADO])+SUMIF(Table_24[TIPO DE GASTO],'Asto-Cpras'!C65,Table_24[TOTAL])+SUMIF(Table_22[Tipo de Gasto],'Asto-Cpras'!C65,Table_22[Otros / No Grav.])</f>
        <v>274130</v>
      </c>
      <c r="E65" s="293"/>
      <c r="F65" s="89"/>
      <c r="G65" s="290">
        <f>IF($B$20="","",$B$20)</f>
        <v>500.01600000000002</v>
      </c>
      <c r="H65" s="291" t="str">
        <f>IF($C$20="","",$C$20)</f>
        <v>Honorarios Administrativos-Cobranzas y Gestion Clientes</v>
      </c>
      <c r="I65" s="347">
        <f>SUMIF(Table_29[Tipo de Gasto],'Asto-Cpras'!H65,Table_29[NETO GRAVADO])+SUMIF(Table_31[TIPO DE GASTO],'Asto-Cpras'!H65,Table_31[TOTAL])+SUMIF(Table_29[Tipo de Gasto],'Asto-Cpras'!H65,Table_29[Otros / No Grav.])</f>
        <v>247120</v>
      </c>
      <c r="J65" s="293"/>
      <c r="K65" s="89"/>
      <c r="L65" s="290">
        <f>IF($B$20="","",$B$20)</f>
        <v>500.01600000000002</v>
      </c>
      <c r="M65" s="291" t="str">
        <f>IF($C$20="","",$C$20)</f>
        <v>Honorarios Administrativos-Cobranzas y Gestion Clientes</v>
      </c>
      <c r="N65" s="347">
        <f>SUMIF(Table_35[Tipo de Gasto],'Asto-Cpras'!M65,Table_35[NETO GRAVADO])+SUMIF(Table_37[TIPO DE GASTO],'Asto-Cpras'!M65,Table_37[TOTAL])+SUMIF(Table_35[Tipo de Gasto],'Asto-Cpras'!M65,Table_35[Otros / No Grav.])</f>
        <v>157050</v>
      </c>
      <c r="O65" s="293"/>
    </row>
    <row r="66" spans="2:15" ht="15.75" customHeight="1" x14ac:dyDescent="0.25">
      <c r="B66" s="290">
        <f>IF($B$21="","",$B$21)</f>
        <v>510.1</v>
      </c>
      <c r="C66" s="291" t="str">
        <f>IF($C$21="","",$C$21)</f>
        <v>HONORARIOS CONTABLES</v>
      </c>
      <c r="D66" s="347">
        <f>SUMIF(Table_22[Tipo de Gasto],'Asto-Cpras'!C66,Table_22[NETO GRAVADO])+SUMIF(Table_24[TIPO DE GASTO],'Asto-Cpras'!C66,Table_24[TOTAL])+SUMIF(Table_22[Tipo de Gasto],'Asto-Cpras'!C66,Table_22[Otros / No Grav.])</f>
        <v>57500</v>
      </c>
      <c r="E66" s="293"/>
      <c r="F66" s="89"/>
      <c r="G66" s="290">
        <f>IF($B$21="","",$B$21)</f>
        <v>510.1</v>
      </c>
      <c r="H66" s="291" t="str">
        <f>IF($C$21="","",$C$21)</f>
        <v>HONORARIOS CONTABLES</v>
      </c>
      <c r="I66" s="347">
        <f>SUMIF(Table_29[Tipo de Gasto],'Asto-Cpras'!H66,Table_29[NETO GRAVADO])+SUMIF(Table_31[TIPO DE GASTO],'Asto-Cpras'!H66,Table_31[TOTAL])+SUMIF(Table_29[Tipo de Gasto],'Asto-Cpras'!H66,Table_29[Otros / No Grav.])</f>
        <v>0</v>
      </c>
      <c r="J66" s="293"/>
      <c r="K66" s="89"/>
      <c r="L66" s="290">
        <f>IF($B$21="","",$B$21)</f>
        <v>510.1</v>
      </c>
      <c r="M66" s="291" t="str">
        <f>IF($C$21="","",$C$21)</f>
        <v>HONORARIOS CONTABLES</v>
      </c>
      <c r="N66" s="347">
        <f>SUMIF(Table_35[Tipo de Gasto],'Asto-Cpras'!M66,Table_35[NETO GRAVADO])+SUMIF(Table_37[TIPO DE GASTO],'Asto-Cpras'!M66,Table_37[TOTAL])+SUMIF(Table_35[Tipo de Gasto],'Asto-Cpras'!M66,Table_35[Otros / No Grav.])</f>
        <v>50000</v>
      </c>
      <c r="O66" s="293"/>
    </row>
    <row r="67" spans="2:15" ht="15.75" customHeight="1" x14ac:dyDescent="0.25">
      <c r="B67" s="290">
        <f>IF($B$22="","",$B$22)</f>
        <v>510.11</v>
      </c>
      <c r="C67" s="291" t="str">
        <f>IF($C$22="","",$C$22)</f>
        <v>HONORARIOS LEGALES</v>
      </c>
      <c r="D67" s="347">
        <f>SUMIF(Table_22[Tipo de Gasto],'Asto-Cpras'!C67,Table_22[NETO GRAVADO])+SUMIF(Table_24[TIPO DE GASTO],'Asto-Cpras'!C67,Table_24[TOTAL])+SUMIF(Table_22[Tipo de Gasto],'Asto-Cpras'!C67,Table_22[Otros / No Grav.])</f>
        <v>66000</v>
      </c>
      <c r="E67" s="293"/>
      <c r="F67" s="89"/>
      <c r="G67" s="290">
        <f>IF($B$22="","",$B$22)</f>
        <v>510.11</v>
      </c>
      <c r="H67" s="291" t="str">
        <f>IF($C$22="","",$C$22)</f>
        <v>HONORARIOS LEGALES</v>
      </c>
      <c r="I67" s="347">
        <f>SUMIF(Table_29[Tipo de Gasto],'Asto-Cpras'!H67,Table_29[NETO GRAVADO])+SUMIF(Table_31[TIPO DE GASTO],'Asto-Cpras'!H67,Table_31[TOTAL])+SUMIF(Table_29[Tipo de Gasto],'Asto-Cpras'!H67,Table_29[Otros / No Grav.])</f>
        <v>0</v>
      </c>
      <c r="J67" s="293"/>
      <c r="K67" s="89"/>
      <c r="L67" s="290">
        <f>IF($B$22="","",$B$22)</f>
        <v>510.11</v>
      </c>
      <c r="M67" s="291" t="str">
        <f>IF($C$22="","",$C$22)</f>
        <v>HONORARIOS LEGALES</v>
      </c>
      <c r="N67" s="347">
        <f>SUMIF(Table_35[Tipo de Gasto],'Asto-Cpras'!M67,Table_35[NETO GRAVADO])+SUMIF(Table_37[TIPO DE GASTO],'Asto-Cpras'!M67,Table_37[TOTAL])+SUMIF(Table_35[Tipo de Gasto],'Asto-Cpras'!M67,Table_35[Otros / No Grav.])</f>
        <v>132000</v>
      </c>
      <c r="O67" s="293"/>
    </row>
    <row r="68" spans="2:15" ht="15.75" customHeight="1" x14ac:dyDescent="0.25">
      <c r="B68" s="290" t="str">
        <f>IF($B$23="","",$B$23)</f>
        <v/>
      </c>
      <c r="C68" s="291" t="str">
        <f>IF($C$23="","",$C$23)</f>
        <v>Honorarios Profesionales</v>
      </c>
      <c r="D68" s="347">
        <f>SUMIF(Table_22[Tipo de Gasto],'Asto-Cpras'!C68,Table_22[NETO GRAVADO])+SUMIF(Table_24[TIPO DE GASTO],'Asto-Cpras'!C68,Table_24[TOTAL])+SUMIF(Table_22[Tipo de Gasto],'Asto-Cpras'!C68,Table_22[Otros / No Grav.])</f>
        <v>0</v>
      </c>
      <c r="E68" s="293"/>
      <c r="F68" s="89"/>
      <c r="G68" s="290" t="str">
        <f>IF($B$23="","",$B$23)</f>
        <v/>
      </c>
      <c r="H68" s="291" t="str">
        <f>IF($C$23="","",$C$23)</f>
        <v>Honorarios Profesionales</v>
      </c>
      <c r="I68" s="347">
        <f>SUMIF(Table_29[Tipo de Gasto],'Asto-Cpras'!H68,Table_29[NETO GRAVADO])+SUMIF(Table_31[TIPO DE GASTO],'Asto-Cpras'!H68,Table_31[TOTAL])+SUMIF(Table_29[Tipo de Gasto],'Asto-Cpras'!H68,Table_29[Otros / No Grav.])</f>
        <v>0</v>
      </c>
      <c r="J68" s="293"/>
      <c r="K68" s="89"/>
      <c r="L68" s="290" t="str">
        <f>IF($B$23="","",$B$23)</f>
        <v/>
      </c>
      <c r="M68" s="291" t="str">
        <f>IF($C$23="","",$C$23)</f>
        <v>Honorarios Profesionales</v>
      </c>
      <c r="N68" s="347">
        <f>SUMIF(Table_35[Tipo de Gasto],'Asto-Cpras'!M68,Table_35[NETO GRAVADO])+SUMIF(Table_37[TIPO DE GASTO],'Asto-Cpras'!M68,Table_37[TOTAL])+SUMIF(Table_35[Tipo de Gasto],'Asto-Cpras'!M68,Table_35[Otros / No Grav.])</f>
        <v>0</v>
      </c>
      <c r="O68" s="293"/>
    </row>
    <row r="69" spans="2:15" ht="15.75" customHeight="1" x14ac:dyDescent="0.25">
      <c r="B69" s="290">
        <f>IF($B$24="","",$B$24)</f>
        <v>121.12</v>
      </c>
      <c r="C69" s="291" t="str">
        <f>IF($C$24="","",$C$24)</f>
        <v>INSUMO</v>
      </c>
      <c r="D69" s="347">
        <f>SUMIF(Table_22[Tipo de Gasto],'Asto-Cpras'!C69,Table_22[NETO GRAVADO])+SUMIF(Table_24[TIPO DE GASTO],'Asto-Cpras'!C69,Table_24[TOTAL])+SUMIF(Table_22[Tipo de Gasto],'Asto-Cpras'!C69,Table_22[Otros / No Grav.])</f>
        <v>421419.56</v>
      </c>
      <c r="E69" s="293"/>
      <c r="F69" s="89"/>
      <c r="G69" s="290">
        <f>IF($B$24="","",$B$24)</f>
        <v>121.12</v>
      </c>
      <c r="H69" s="291" t="str">
        <f>IF($C$24="","",$C$24)</f>
        <v>INSUMO</v>
      </c>
      <c r="I69" s="347">
        <f>SUMIF(Table_29[Tipo de Gasto],'Asto-Cpras'!H69,Table_29[NETO GRAVADO])+SUMIF(Table_31[TIPO DE GASTO],'Asto-Cpras'!H69,Table_31[TOTAL])+SUMIF(Table_29[Tipo de Gasto],'Asto-Cpras'!H69,Table_29[Otros / No Grav.])</f>
        <v>1395401.84</v>
      </c>
      <c r="J69" s="293"/>
      <c r="K69" s="89"/>
      <c r="L69" s="290">
        <f>IF($B$24="","",$B$24)</f>
        <v>121.12</v>
      </c>
      <c r="M69" s="291" t="str">
        <f>IF($C$24="","",$C$24)</f>
        <v>INSUMO</v>
      </c>
      <c r="N69" s="347">
        <f>SUMIF(Table_35[Tipo de Gasto],'Asto-Cpras'!M69,Table_35[NETO GRAVADO])+SUMIF(Table_37[TIPO DE GASTO],'Asto-Cpras'!M69,Table_37[TOTAL])+SUMIF(Table_35[Tipo de Gasto],'Asto-Cpras'!M69,Table_35[Otros / No Grav.])</f>
        <v>1012425.6307999999</v>
      </c>
      <c r="O69" s="293"/>
    </row>
    <row r="70" spans="2:15" ht="15.75" customHeight="1" x14ac:dyDescent="0.25">
      <c r="B70" s="290">
        <f>IF($B$25="","",$B$25)</f>
        <v>507.50200000000001</v>
      </c>
      <c r="C70" s="291" t="str">
        <f>IF($C$25="","",$C$25)</f>
        <v>ISO 9001</v>
      </c>
      <c r="D70" s="347">
        <f>SUMIF(Table_22[Tipo de Gasto],'Asto-Cpras'!C70,Table_22[NETO GRAVADO])+SUMIF(Table_24[TIPO DE GASTO],'Asto-Cpras'!C70,Table_24[TOTAL])+SUMIF(Table_22[Tipo de Gasto],'Asto-Cpras'!C70,Table_22[Otros / No Grav.])</f>
        <v>0</v>
      </c>
      <c r="E70" s="293"/>
      <c r="F70" s="89"/>
      <c r="G70" s="290">
        <f>IF($B$25="","",$B$25)</f>
        <v>507.50200000000001</v>
      </c>
      <c r="H70" s="291" t="str">
        <f>IF($C$25="","",$C$25)</f>
        <v>ISO 9001</v>
      </c>
      <c r="I70" s="347">
        <f>SUMIF(Table_29[Tipo de Gasto],'Asto-Cpras'!H70,Table_29[NETO GRAVADO])+SUMIF(Table_31[TIPO DE GASTO],'Asto-Cpras'!H70,Table_31[TOTAL])+SUMIF(Table_29[Tipo de Gasto],'Asto-Cpras'!H70,Table_29[Otros / No Grav.])</f>
        <v>0</v>
      </c>
      <c r="J70" s="293"/>
      <c r="K70" s="89"/>
      <c r="L70" s="290">
        <f>IF($B$25="","",$B$25)</f>
        <v>507.50200000000001</v>
      </c>
      <c r="M70" s="291" t="str">
        <f>IF($C$25="","",$C$25)</f>
        <v>ISO 9001</v>
      </c>
      <c r="N70" s="347">
        <f>SUMIF(Table_35[Tipo de Gasto],'Asto-Cpras'!M70,Table_35[NETO GRAVADO])+SUMIF(Table_37[TIPO DE GASTO],'Asto-Cpras'!M70,Table_37[TOTAL])+SUMIF(Table_35[Tipo de Gasto],'Asto-Cpras'!M70,Table_35[Otros / No Grav.])</f>
        <v>0</v>
      </c>
      <c r="O70" s="293"/>
    </row>
    <row r="71" spans="2:15" ht="15.75" customHeight="1" x14ac:dyDescent="0.25">
      <c r="B71" s="290">
        <f>IF($B$26="","",$B$26)</f>
        <v>500.02600000000001</v>
      </c>
      <c r="C71" s="291" t="str">
        <f>IF($C$26="","",$C$26)</f>
        <v>Mantenimiento</v>
      </c>
      <c r="D71" s="347">
        <f>SUMIF(Table_22[Tipo de Gasto],'Asto-Cpras'!C71,Table_22[NETO GRAVADO])+SUMIF(Table_24[TIPO DE GASTO],'Asto-Cpras'!C71,Table_24[TOTAL])+SUMIF(Table_22[Tipo de Gasto],'Asto-Cpras'!C71,Table_22[Otros / No Grav.])</f>
        <v>0</v>
      </c>
      <c r="E71" s="293"/>
      <c r="F71" s="89"/>
      <c r="G71" s="290">
        <f>IF($B$26="","",$B$26)</f>
        <v>500.02600000000001</v>
      </c>
      <c r="H71" s="291" t="str">
        <f>IF($C$26="","",$C$26)</f>
        <v>Mantenimiento</v>
      </c>
      <c r="I71" s="347">
        <f>SUMIF(Table_29[Tipo de Gasto],'Asto-Cpras'!H71,Table_29[NETO GRAVADO])+SUMIF(Table_31[TIPO DE GASTO],'Asto-Cpras'!H71,Table_31[TOTAL])+SUMIF(Table_29[Tipo de Gasto],'Asto-Cpras'!H71,Table_29[Otros / No Grav.])</f>
        <v>0</v>
      </c>
      <c r="J71" s="293"/>
      <c r="K71" s="89"/>
      <c r="L71" s="290">
        <f>IF($B$26="","",$B$26)</f>
        <v>500.02600000000001</v>
      </c>
      <c r="M71" s="291" t="str">
        <f>IF($C$26="","",$C$26)</f>
        <v>Mantenimiento</v>
      </c>
      <c r="N71" s="347">
        <f>SUMIF(Table_35[Tipo de Gasto],'Asto-Cpras'!M71,Table_35[NETO GRAVADO])+SUMIF(Table_37[TIPO DE GASTO],'Asto-Cpras'!M71,Table_37[TOTAL])+SUMIF(Table_35[Tipo de Gasto],'Asto-Cpras'!M71,Table_35[Otros / No Grav.])</f>
        <v>0</v>
      </c>
      <c r="O71" s="293"/>
    </row>
    <row r="72" spans="2:15" ht="15.75" customHeight="1" x14ac:dyDescent="0.25">
      <c r="B72" s="290">
        <f>IF($B$27="","",$B$27)</f>
        <v>500.02600000000001</v>
      </c>
      <c r="C72" s="291" t="str">
        <f>IF($C$27="","",$C$27)</f>
        <v>Mantenimiento Rodados</v>
      </c>
      <c r="D72" s="347">
        <f>SUMIF(Table_22[Tipo de Gasto],'Asto-Cpras'!C72,Table_22[NETO GRAVADO])+SUMIF(Table_24[TIPO DE GASTO],'Asto-Cpras'!C72,Table_24[TOTAL])+SUMIF(Table_22[Tipo de Gasto],'Asto-Cpras'!C72,Table_22[Otros / No Grav.])</f>
        <v>0</v>
      </c>
      <c r="E72" s="293"/>
      <c r="F72" s="89"/>
      <c r="G72" s="290">
        <f>IF($B$27="","",$B$27)</f>
        <v>500.02600000000001</v>
      </c>
      <c r="H72" s="291" t="str">
        <f>IF($C$27="","",$C$27)</f>
        <v>Mantenimiento Rodados</v>
      </c>
      <c r="I72" s="347">
        <f>SUMIF(Table_29[Tipo de Gasto],'Asto-Cpras'!H72,Table_29[NETO GRAVADO])+SUMIF(Table_31[TIPO DE GASTO],'Asto-Cpras'!H72,Table_31[TOTAL])+SUMIF(Table_29[Tipo de Gasto],'Asto-Cpras'!H72,Table_29[Otros / No Grav.])</f>
        <v>0</v>
      </c>
      <c r="J72" s="293"/>
      <c r="K72" s="89"/>
      <c r="L72" s="290">
        <f>IF($B$27="","",$B$27)</f>
        <v>500.02600000000001</v>
      </c>
      <c r="M72" s="291" t="str">
        <f>IF($C$27="","",$C$27)</f>
        <v>Mantenimiento Rodados</v>
      </c>
      <c r="N72" s="347">
        <f>SUMIF(Table_35[Tipo de Gasto],'Asto-Cpras'!M72,Table_35[NETO GRAVADO])+SUMIF(Table_37[TIPO DE GASTO],'Asto-Cpras'!M72,Table_37[TOTAL])+SUMIF(Table_35[Tipo de Gasto],'Asto-Cpras'!M72,Table_35[Otros / No Grav.])</f>
        <v>0</v>
      </c>
      <c r="O72" s="293"/>
    </row>
    <row r="73" spans="2:15" ht="15.75" customHeight="1" x14ac:dyDescent="0.25">
      <c r="B73" s="290">
        <f>IF($B$28="","",$B$28)</f>
        <v>121.9</v>
      </c>
      <c r="C73" s="291" t="str">
        <f>IF($C$28="","",$C$28)</f>
        <v>MAT. PRIM.</v>
      </c>
      <c r="D73" s="347">
        <f>SUMIF(Table_22[Tipo de Gasto],'Asto-Cpras'!C73,Table_22[NETO GRAVADO])+SUMIF(Table_24[TIPO DE GASTO],'Asto-Cpras'!C73,Table_24[TOTAL])+SUMIF(Table_22[Tipo de Gasto],'Asto-Cpras'!C73,Table_22[Otros / No Grav.])</f>
        <v>241419</v>
      </c>
      <c r="E73" s="293"/>
      <c r="F73" s="89"/>
      <c r="G73" s="290">
        <f>IF($B$28="","",$B$28)</f>
        <v>121.9</v>
      </c>
      <c r="H73" s="291" t="str">
        <f>IF($C$28="","",$C$28)</f>
        <v>MAT. PRIM.</v>
      </c>
      <c r="I73" s="347">
        <f>SUMIF(Table_29[Tipo de Gasto],'Asto-Cpras'!H73,Table_29[NETO GRAVADO])+SUMIF(Table_31[TIPO DE GASTO],'Asto-Cpras'!H73,Table_31[TOTAL])+SUMIF(Table_29[Tipo de Gasto],'Asto-Cpras'!H73,Table_29[Otros / No Grav.])</f>
        <v>1923724.2999999998</v>
      </c>
      <c r="J73" s="293"/>
      <c r="K73" s="89"/>
      <c r="L73" s="290">
        <f>IF($B$28="","",$B$28)</f>
        <v>121.9</v>
      </c>
      <c r="M73" s="291" t="str">
        <f>IF($C$28="","",$C$28)</f>
        <v>MAT. PRIM.</v>
      </c>
      <c r="N73" s="347">
        <f>SUMIF(Table_35[Tipo de Gasto],'Asto-Cpras'!M73,Table_35[NETO GRAVADO])+SUMIF(Table_37[TIPO DE GASTO],'Asto-Cpras'!M73,Table_37[TOTAL])+SUMIF(Table_35[Tipo de Gasto],'Asto-Cpras'!M73,Table_35[Otros / No Grav.])</f>
        <v>2097082.6099999999</v>
      </c>
      <c r="O73" s="293"/>
    </row>
    <row r="74" spans="2:15" ht="15.75" customHeight="1" x14ac:dyDescent="0.25">
      <c r="B74" s="290">
        <f>IF($B$29="","",$B$29)</f>
        <v>500.01499999999999</v>
      </c>
      <c r="C74" s="291" t="str">
        <f>IF($C$29="","",$C$29)</f>
        <v xml:space="preserve">Papeleria e Impresos </v>
      </c>
      <c r="D74" s="347">
        <f>SUMIF(Table_22[Tipo de Gasto],'Asto-Cpras'!C74,Table_22[NETO GRAVADO])+SUMIF(Table_24[TIPO DE GASTO],'Asto-Cpras'!C74,Table_24[TOTAL])+SUMIF(Table_22[Tipo de Gasto],'Asto-Cpras'!C74,Table_22[Otros / No Grav.])</f>
        <v>0</v>
      </c>
      <c r="E74" s="293"/>
      <c r="F74" s="89"/>
      <c r="G74" s="290">
        <f>IF($B$29="","",$B$29)</f>
        <v>500.01499999999999</v>
      </c>
      <c r="H74" s="291" t="str">
        <f>IF($C$29="","",$C$29)</f>
        <v xml:space="preserve">Papeleria e Impresos </v>
      </c>
      <c r="I74" s="347">
        <f>SUMIF(Table_29[Tipo de Gasto],'Asto-Cpras'!H74,Table_29[NETO GRAVADO])+SUMIF(Table_31[TIPO DE GASTO],'Asto-Cpras'!H74,Table_31[TOTAL])+SUMIF(Table_29[Tipo de Gasto],'Asto-Cpras'!H74,Table_29[Otros / No Grav.])</f>
        <v>0</v>
      </c>
      <c r="J74" s="293"/>
      <c r="K74" s="89"/>
      <c r="L74" s="290">
        <f>IF($B$29="","",$B$29)</f>
        <v>500.01499999999999</v>
      </c>
      <c r="M74" s="291" t="str">
        <f>IF($C$29="","",$C$29)</f>
        <v xml:space="preserve">Papeleria e Impresos </v>
      </c>
      <c r="N74" s="347">
        <f>SUMIF(Table_35[Tipo de Gasto],'Asto-Cpras'!M74,Table_35[NETO GRAVADO])+SUMIF(Table_37[TIPO DE GASTO],'Asto-Cpras'!M74,Table_37[TOTAL])+SUMIF(Table_35[Tipo de Gasto],'Asto-Cpras'!M74,Table_35[Otros / No Grav.])</f>
        <v>182227.48</v>
      </c>
      <c r="O74" s="293"/>
    </row>
    <row r="75" spans="2:15" ht="15.75" customHeight="1" x14ac:dyDescent="0.25">
      <c r="B75" s="290">
        <f>IF($B$30="","",$B$30)</f>
        <v>500.005</v>
      </c>
      <c r="C75" s="291" t="str">
        <f>IF($C$30="","",$C$30)</f>
        <v>SERVICIO</v>
      </c>
      <c r="D75" s="347">
        <f>SUMIF(Table_22[Tipo de Gasto],'Asto-Cpras'!C75,Table_22[NETO GRAVADO])+SUMIF(Table_24[TIPO DE GASTO],'Asto-Cpras'!C75,Table_24[TOTAL])+SUMIF(Table_22[Tipo de Gasto],'Asto-Cpras'!C75,Table_22[Otros / No Grav.])</f>
        <v>9800</v>
      </c>
      <c r="E75" s="293"/>
      <c r="F75" s="89"/>
      <c r="G75" s="290">
        <f>IF($B$30="","",$B$30)</f>
        <v>500.005</v>
      </c>
      <c r="H75" s="291" t="str">
        <f>IF($C$30="","",$C$30)</f>
        <v>SERVICIO</v>
      </c>
      <c r="I75" s="347">
        <f>SUMIF(Table_29[Tipo de Gasto],'Asto-Cpras'!H75,Table_29[NETO GRAVADO])+SUMIF(Table_31[TIPO DE GASTO],'Asto-Cpras'!H75,Table_31[TOTAL])+SUMIF(Table_29[Tipo de Gasto],'Asto-Cpras'!H75,Table_29[Otros / No Grav.])</f>
        <v>0</v>
      </c>
      <c r="J75" s="293"/>
      <c r="K75" s="89"/>
      <c r="L75" s="290">
        <f>IF($B$30="","",$B$30)</f>
        <v>500.005</v>
      </c>
      <c r="M75" s="291" t="str">
        <f>IF($C$30="","",$C$30)</f>
        <v>SERVICIO</v>
      </c>
      <c r="N75" s="347">
        <f>SUMIF(Table_35[Tipo de Gasto],'Asto-Cpras'!M75,Table_35[NETO GRAVADO])+SUMIF(Table_37[TIPO DE GASTO],'Asto-Cpras'!M75,Table_37[TOTAL])+SUMIF(Table_35[Tipo de Gasto],'Asto-Cpras'!M75,Table_35[Otros / No Grav.])</f>
        <v>9800</v>
      </c>
      <c r="O75" s="293"/>
    </row>
    <row r="76" spans="2:15" ht="15.75" customHeight="1" x14ac:dyDescent="0.25">
      <c r="B76" s="290">
        <f>IF($B$31="","",$B$31)</f>
        <v>508.1</v>
      </c>
      <c r="C76" s="291" t="str">
        <f>IF($C$31="","",$C$31)</f>
        <v>SERVICIOS DE PUBLICIDAD</v>
      </c>
      <c r="D76" s="347">
        <f>SUMIF(Table_22[Tipo de Gasto],'Asto-Cpras'!C76,Table_22[NETO GRAVADO])+SUMIF(Table_24[TIPO DE GASTO],'Asto-Cpras'!C76,Table_24[TOTAL])+SUMIF(Table_22[Tipo de Gasto],'Asto-Cpras'!C76,Table_22[Otros / No Grav.])</f>
        <v>0</v>
      </c>
      <c r="E76" s="293"/>
      <c r="F76" s="89"/>
      <c r="G76" s="290">
        <f>IF($B$31="","",$B$31)</f>
        <v>508.1</v>
      </c>
      <c r="H76" s="291" t="str">
        <f>IF($C$31="","",$C$31)</f>
        <v>SERVICIOS DE PUBLICIDAD</v>
      </c>
      <c r="I76" s="347">
        <f>SUMIF(Table_29[Tipo de Gasto],'Asto-Cpras'!H76,Table_29[NETO GRAVADO])+SUMIF(Table_31[TIPO DE GASTO],'Asto-Cpras'!H76,Table_31[TOTAL])+SUMIF(Table_29[Tipo de Gasto],'Asto-Cpras'!H76,Table_29[Otros / No Grav.])</f>
        <v>98500</v>
      </c>
      <c r="J76" s="293"/>
      <c r="K76" s="89"/>
      <c r="L76" s="290">
        <f>IF($B$31="","",$B$31)</f>
        <v>508.1</v>
      </c>
      <c r="M76" s="291" t="str">
        <f>IF($C$31="","",$C$31)</f>
        <v>SERVICIOS DE PUBLICIDAD</v>
      </c>
      <c r="N76" s="347">
        <f>SUMIF(Table_35[Tipo de Gasto],'Asto-Cpras'!M76,Table_35[NETO GRAVADO])+SUMIF(Table_37[TIPO DE GASTO],'Asto-Cpras'!M76,Table_37[TOTAL])+SUMIF(Table_35[Tipo de Gasto],'Asto-Cpras'!M76,Table_35[Otros / No Grav.])</f>
        <v>98500</v>
      </c>
      <c r="O76" s="293"/>
    </row>
    <row r="77" spans="2:15" ht="15.75" customHeight="1" x14ac:dyDescent="0.25">
      <c r="B77" s="290">
        <f>IF($B$32="","",$B$32)</f>
        <v>500.005</v>
      </c>
      <c r="C77" s="291" t="str">
        <f>IF($C$32="","",$C$32)</f>
        <v>SERVICIOS GAS, LUZ, ETC</v>
      </c>
      <c r="D77" s="347">
        <f>SUMIF(Table_22[Tipo de Gasto],'Asto-Cpras'!C77,Table_22[NETO GRAVADO])+SUMIF(Table_24[TIPO DE GASTO],'Asto-Cpras'!C77,Table_24[TOTAL])+SUMIF(Table_22[Tipo de Gasto],'Asto-Cpras'!C77,Table_22[Otros / No Grav.])</f>
        <v>5224.8600000000006</v>
      </c>
      <c r="E77" s="293"/>
      <c r="F77" s="89"/>
      <c r="G77" s="290">
        <f>IF($B$32="","",$B$32)</f>
        <v>500.005</v>
      </c>
      <c r="H77" s="291" t="str">
        <f>IF($C$32="","",$C$32)</f>
        <v>SERVICIOS GAS, LUZ, ETC</v>
      </c>
      <c r="I77" s="347">
        <f>SUMIF(Table_29[Tipo de Gasto],'Asto-Cpras'!H77,Table_29[NETO GRAVADO])+SUMIF(Table_31[TIPO DE GASTO],'Asto-Cpras'!H77,Table_31[TOTAL])+SUMIF(Table_29[Tipo de Gasto],'Asto-Cpras'!H77,Table_29[Otros / No Grav.])</f>
        <v>5154.18</v>
      </c>
      <c r="J77" s="293"/>
      <c r="K77" s="89"/>
      <c r="L77" s="290">
        <f>IF($B$32="","",$B$32)</f>
        <v>500.005</v>
      </c>
      <c r="M77" s="291" t="str">
        <f>IF($C$32="","",$C$32)</f>
        <v>SERVICIOS GAS, LUZ, ETC</v>
      </c>
      <c r="N77" s="347">
        <f>SUMIF(Table_35[Tipo de Gasto],'Asto-Cpras'!M77,Table_35[NETO GRAVADO])+SUMIF(Table_37[TIPO DE GASTO],'Asto-Cpras'!M77,Table_37[TOTAL])+SUMIF(Table_35[Tipo de Gasto],'Asto-Cpras'!M77,Table_35[Otros / No Grav.])</f>
        <v>5509.43</v>
      </c>
      <c r="O77" s="293"/>
    </row>
    <row r="78" spans="2:15" ht="15.75" customHeight="1" x14ac:dyDescent="0.25">
      <c r="B78" s="290">
        <f>IF($B$33="","",$B$33)</f>
        <v>500.03100000000001</v>
      </c>
      <c r="C78" s="291" t="str">
        <f>IF($C$33="","",$C$33)</f>
        <v>Servicios Informatica</v>
      </c>
      <c r="D78" s="347">
        <f>SUMIF(Table_22[Tipo de Gasto],'Asto-Cpras'!C78,Table_22[NETO GRAVADO])+SUMIF(Table_24[TIPO DE GASTO],'Asto-Cpras'!C78,Table_24[TOTAL])+SUMIF(Table_22[Tipo de Gasto],'Asto-Cpras'!C78,Table_22[Otros / No Grav.])</f>
        <v>332586.21000000002</v>
      </c>
      <c r="E78" s="293"/>
      <c r="F78" s="89"/>
      <c r="G78" s="290">
        <f>IF($B$33="","",$B$33)</f>
        <v>500.03100000000001</v>
      </c>
      <c r="H78" s="291" t="str">
        <f>IF($C$33="","",$C$33)</f>
        <v>Servicios Informatica</v>
      </c>
      <c r="I78" s="347">
        <f>SUMIF(Table_29[Tipo de Gasto],'Asto-Cpras'!H78,Table_29[NETO GRAVADO])+SUMIF(Table_31[TIPO DE GASTO],'Asto-Cpras'!H78,Table_31[TOTAL])+SUMIF(Table_29[Tipo de Gasto],'Asto-Cpras'!H78,Table_29[Otros / No Grav.])</f>
        <v>330000</v>
      </c>
      <c r="J78" s="293"/>
      <c r="K78" s="89"/>
      <c r="L78" s="290">
        <f>IF($B$33="","",$B$33)</f>
        <v>500.03100000000001</v>
      </c>
      <c r="M78" s="291" t="str">
        <f>IF($C$33="","",$C$33)</f>
        <v>Servicios Informatica</v>
      </c>
      <c r="N78" s="347">
        <f>SUMIF(Table_35[Tipo de Gasto],'Asto-Cpras'!M78,Table_35[NETO GRAVADO])+SUMIF(Table_37[TIPO DE GASTO],'Asto-Cpras'!M78,Table_37[TOTAL])+SUMIF(Table_35[Tipo de Gasto],'Asto-Cpras'!M78,Table_35[Otros / No Grav.])</f>
        <v>330000</v>
      </c>
      <c r="O78" s="293"/>
    </row>
    <row r="79" spans="2:15" ht="15.75" customHeight="1" x14ac:dyDescent="0.25">
      <c r="B79" s="290">
        <f>IF($B$34="","",$B$34)</f>
        <v>500.036</v>
      </c>
      <c r="C79" s="291" t="s">
        <v>1766</v>
      </c>
      <c r="D79" s="347">
        <f>SUMIF(Table_22[Tipo de Gasto],'Asto-Cpras'!C79,Table_22[NETO GRAVADO])+SUMIF(Table_24[TIPO DE GASTO],'Asto-Cpras'!C79,Table_24[TOTAL])+SUMIF(Table_22[Tipo de Gasto],'Asto-Cpras'!C79,Table_22[Otros / No Grav.])</f>
        <v>55000</v>
      </c>
      <c r="E79" s="293"/>
      <c r="F79" s="89"/>
      <c r="G79" s="290">
        <f>IF($B$34="","",$B$34)</f>
        <v>500.036</v>
      </c>
      <c r="H79" s="291" t="s">
        <v>1766</v>
      </c>
      <c r="I79" s="347">
        <f>SUMIF(Table_29[Tipo de Gasto],'Asto-Cpras'!H79,Table_29[NETO GRAVADO])+SUMIF(Table_31[TIPO DE GASTO],'Asto-Cpras'!H79,Table_31[TOTAL])+SUMIF(Table_29[Tipo de Gasto],'Asto-Cpras'!H79,Table_29[Otros / No Grav.])</f>
        <v>266303.8</v>
      </c>
      <c r="J79" s="293"/>
      <c r="K79" s="89"/>
      <c r="L79" s="290">
        <f>IF($B$34="","",$B$34)</f>
        <v>500.036</v>
      </c>
      <c r="M79" s="291" t="str">
        <f>IF($C$34="","",$C$34)</f>
        <v>Servicios Torneria</v>
      </c>
      <c r="N79" s="347">
        <f>SUMIF(Table_35[Tipo de Gasto],'Asto-Cpras'!M79,Table_35[NETO GRAVADO])+SUMIF(Table_37[TIPO DE GASTO],'Asto-Cpras'!M79,Table_37[TOTAL])+SUMIF(Table_35[Tipo de Gasto],'Asto-Cpras'!M79,Table_35[Otros / No Grav.])</f>
        <v>797337.05</v>
      </c>
      <c r="O79" s="293"/>
    </row>
    <row r="80" spans="2:15" ht="15.75" customHeight="1" x14ac:dyDescent="0.25">
      <c r="B80" s="290">
        <f>IF($B$35="","",$B$35)</f>
        <v>500.00900000000001</v>
      </c>
      <c r="C80" s="291" t="str">
        <f>IF($C$35="","",$C$35)</f>
        <v>SERVICIOS INTERNET</v>
      </c>
      <c r="D80" s="347">
        <f>SUMIF(Table_22[Tipo de Gasto],'Asto-Cpras'!C80,Table_22[NETO GRAVADO])+SUMIF(Table_24[TIPO DE GASTO],'Asto-Cpras'!C80,Table_24[TOTAL])+SUMIF(Table_22[Tipo de Gasto],'Asto-Cpras'!C80,Table_22[Otros / No Grav.])</f>
        <v>0</v>
      </c>
      <c r="E80" s="293"/>
      <c r="F80" s="89"/>
      <c r="G80" s="290">
        <f>IF($B$35="","",$B$35)</f>
        <v>500.00900000000001</v>
      </c>
      <c r="H80" s="291" t="str">
        <f>IF($C$35="","",$C$35)</f>
        <v>SERVICIOS INTERNET</v>
      </c>
      <c r="I80" s="347">
        <f>SUMIF(Table_29[Tipo de Gasto],'Asto-Cpras'!H80,Table_29[NETO GRAVADO])+SUMIF(Table_31[TIPO DE GASTO],'Asto-Cpras'!H80,Table_31[TOTAL])+SUMIF(Table_29[Tipo de Gasto],'Asto-Cpras'!H80,Table_29[Otros / No Grav.])</f>
        <v>0</v>
      </c>
      <c r="J80" s="293"/>
      <c r="K80" s="89"/>
      <c r="L80" s="290">
        <f>IF($B$35="","",$B$35)</f>
        <v>500.00900000000001</v>
      </c>
      <c r="M80" s="291" t="str">
        <f>IF($C$35="","",$C$35)</f>
        <v>SERVICIOS INTERNET</v>
      </c>
      <c r="N80" s="347">
        <f>SUMIF(Table_35[Tipo de Gasto],'Asto-Cpras'!M80,Table_35[NETO GRAVADO])+SUMIF(Table_37[TIPO DE GASTO],'Asto-Cpras'!M80,Table_37[TOTAL])+SUMIF(Table_35[Tipo de Gasto],'Asto-Cpras'!M80,Table_35[Otros / No Grav.])</f>
        <v>0</v>
      </c>
      <c r="O80" s="293"/>
    </row>
    <row r="81" spans="2:15" ht="15.75" customHeight="1" x14ac:dyDescent="0.25">
      <c r="B81" s="290">
        <f>IF($B$36="","",$B$36)</f>
        <v>500.03</v>
      </c>
      <c r="C81" s="291" t="s">
        <v>1767</v>
      </c>
      <c r="D81" s="347">
        <f>SUMIF(Table_22[Tipo de Gasto],'Asto-Cpras'!C81,Table_22[NETO GRAVADO])+SUMIF(Table_24[TIPO DE GASTO],'Asto-Cpras'!C81,Table_24[TOTAL])+SUMIF(Table_22[Tipo de Gasto],'Asto-Cpras'!C81,Table_22[Otros / No Grav.])</f>
        <v>167400</v>
      </c>
      <c r="E81" s="293"/>
      <c r="F81" s="89"/>
      <c r="G81" s="290">
        <f>IF($B$36="","",$B$36)</f>
        <v>500.03</v>
      </c>
      <c r="H81" s="291" t="s">
        <v>1767</v>
      </c>
      <c r="I81" s="347">
        <f>SUMIF(Table_29[Tipo de Gasto],'Asto-Cpras'!H81,Table_29[NETO GRAVADO])+SUMIF(Table_31[TIPO DE GASTO],'Asto-Cpras'!H81,Table_31[TOTAL])+SUMIF(Table_29[Tipo de Gasto],'Asto-Cpras'!H81,Table_29[Otros / No Grav.])</f>
        <v>173600</v>
      </c>
      <c r="J81" s="293"/>
      <c r="K81" s="89"/>
      <c r="L81" s="290">
        <f>IF($B$36="","",$B$36)</f>
        <v>500.03</v>
      </c>
      <c r="M81" s="291" t="str">
        <f>IF($C$36="","",$C$36)</f>
        <v>Software Mantenimiento</v>
      </c>
      <c r="N81" s="347">
        <f>SUMIF(Table_35[Tipo de Gasto],'Asto-Cpras'!M81,Table_35[NETO GRAVADO])+SUMIF(Table_37[TIPO DE GASTO],'Asto-Cpras'!M81,Table_37[TOTAL])+SUMIF(Table_35[Tipo de Gasto],'Asto-Cpras'!M81,Table_35[Otros / No Grav.])</f>
        <v>195300</v>
      </c>
      <c r="O81" s="293"/>
    </row>
    <row r="82" spans="2:15" ht="15.75" customHeight="1" x14ac:dyDescent="0.25">
      <c r="B82" s="290">
        <f>IF($B$37="","",$B$37)</f>
        <v>500.024</v>
      </c>
      <c r="C82" s="291" t="str">
        <f>IF($C$37="","",$C$37)</f>
        <v>TAXI</v>
      </c>
      <c r="D82" s="347">
        <f>SUMIF(Table_22[Tipo de Gasto],'Asto-Cpras'!C82,Table_22[NETO GRAVADO])+SUMIF(Table_24[TIPO DE GASTO],'Asto-Cpras'!C82,Table_24[TOTAL])+SUMIF(Table_22[Tipo de Gasto],'Asto-Cpras'!C82,Table_22[Otros / No Grav.])</f>
        <v>8000</v>
      </c>
      <c r="E82" s="293"/>
      <c r="F82" s="89"/>
      <c r="G82" s="290">
        <f>IF($B$37="","",$B$37)</f>
        <v>500.024</v>
      </c>
      <c r="H82" s="291" t="str">
        <f>IF($C$37="","",$C$37)</f>
        <v>TAXI</v>
      </c>
      <c r="I82" s="347">
        <f>SUMIF(Table_29[Tipo de Gasto],'Asto-Cpras'!H82,Table_29[NETO GRAVADO])+SUMIF(Table_31[TIPO DE GASTO],'Asto-Cpras'!H82,Table_31[TOTAL])+SUMIF(Table_29[Tipo de Gasto],'Asto-Cpras'!H82,Table_29[Otros / No Grav.])</f>
        <v>0</v>
      </c>
      <c r="J82" s="293"/>
      <c r="K82" s="89"/>
      <c r="L82" s="290">
        <f>IF($B$37="","",$B$37)</f>
        <v>500.024</v>
      </c>
      <c r="M82" s="291" t="str">
        <f>IF($C$37="","",$C$37)</f>
        <v>TAXI</v>
      </c>
      <c r="N82" s="347">
        <f>SUMIF(Table_35[Tipo de Gasto],'Asto-Cpras'!M82,Table_35[NETO GRAVADO])+SUMIF(Table_37[TIPO DE GASTO],'Asto-Cpras'!M82,Table_37[TOTAL])+SUMIF(Table_35[Tipo de Gasto],'Asto-Cpras'!M82,Table_35[Otros / No Grav.])</f>
        <v>0</v>
      </c>
      <c r="O82" s="293"/>
    </row>
    <row r="83" spans="2:15" ht="15.75" customHeight="1" x14ac:dyDescent="0.25">
      <c r="B83" s="290">
        <f>IF($B$38="","",$B$38)</f>
        <v>107.1</v>
      </c>
      <c r="C83" s="291" t="str">
        <f>IF($C$38="","",$C$38)</f>
        <v>IVA 21%</v>
      </c>
      <c r="D83" s="292">
        <f>SUM(Table_22[IVA 21 %])-'Jul-22'!I45</f>
        <v>288184.30939999997</v>
      </c>
      <c r="E83" s="293"/>
      <c r="F83" s="89"/>
      <c r="G83" s="290">
        <f>IF($B$38="","",$B$38)</f>
        <v>107.1</v>
      </c>
      <c r="H83" s="291" t="str">
        <f>IF($C$38="","",$C$38)</f>
        <v>IVA 21%</v>
      </c>
      <c r="I83" s="292">
        <f>SUM(Table_29[IVA 21 %])-'Ago-22'!I50</f>
        <v>1036246.616601</v>
      </c>
      <c r="J83" s="293"/>
      <c r="K83" s="89"/>
      <c r="L83" s="290">
        <f>IF($B$38="","",$B$38)</f>
        <v>107.1</v>
      </c>
      <c r="M83" s="291" t="str">
        <f>IF($C$38="","",$C$38)</f>
        <v>IVA 21%</v>
      </c>
      <c r="N83" s="292">
        <f>SUM(Table_35[IVA 21 %])-'Sep-22'!I39</f>
        <v>1128637.0571280001</v>
      </c>
      <c r="O83" s="293"/>
    </row>
    <row r="84" spans="2:15" ht="15.75" customHeight="1" x14ac:dyDescent="0.25">
      <c r="B84" s="290">
        <f>IF($B$39="","",$B$39)</f>
        <v>107.101</v>
      </c>
      <c r="C84" s="291" t="str">
        <f>IF($C$39="","",$C$39)</f>
        <v>IVA 27%</v>
      </c>
      <c r="D84" s="292">
        <f>SUM(Table_22[IVA 27%])-'Jul-22'!J45</f>
        <v>536.49</v>
      </c>
      <c r="E84" s="293"/>
      <c r="F84" s="89"/>
      <c r="G84" s="290">
        <f>IF($B$39="","",$B$39)</f>
        <v>107.101</v>
      </c>
      <c r="H84" s="291" t="str">
        <f>IF($C$39="","",$C$39)</f>
        <v>IVA 27%</v>
      </c>
      <c r="I84" s="292">
        <f>SUM(Table_29[IVA 27%])-'Ago-22'!J50</f>
        <v>536.49</v>
      </c>
      <c r="J84" s="293"/>
      <c r="K84" s="89"/>
      <c r="L84" s="290">
        <f>IF($B$39="","",$B$39)</f>
        <v>107.101</v>
      </c>
      <c r="M84" s="291" t="str">
        <f>IF($C$39="","",$C$39)</f>
        <v>IVA 27%</v>
      </c>
      <c r="N84" s="292">
        <f>SUM(Table_35[IVA 27%])-'Sep-22'!J39</f>
        <v>657.13</v>
      </c>
      <c r="O84" s="293"/>
    </row>
    <row r="85" spans="2:15" ht="15.75" customHeight="1" x14ac:dyDescent="0.25">
      <c r="B85" s="290">
        <f>IF($B$40="","",$B$40)</f>
        <v>107.102</v>
      </c>
      <c r="C85" s="291" t="str">
        <f>IF($C$40="","",$C$40)</f>
        <v>IVA 10,5%</v>
      </c>
      <c r="D85" s="292">
        <f>SUM(Table_22[IVA 10,5%])-'Jul-22'!K45</f>
        <v>1729.4475000000002</v>
      </c>
      <c r="E85" s="293"/>
      <c r="F85" s="89"/>
      <c r="G85" s="290">
        <f>IF($B$40="","",$B$40)</f>
        <v>107.102</v>
      </c>
      <c r="H85" s="291" t="str">
        <f>IF($C$40="","",$C$40)</f>
        <v>IVA 10,5%</v>
      </c>
      <c r="I85" s="292">
        <f>SUM(Table_29[IVA 10,5%])-'Ago-22'!K50</f>
        <v>72000.528950000007</v>
      </c>
      <c r="J85" s="293"/>
      <c r="K85" s="89"/>
      <c r="L85" s="290">
        <f>IF($B$40="","",$B$40)</f>
        <v>107.102</v>
      </c>
      <c r="M85" s="291" t="str">
        <f>IF($C$40="","",$C$40)</f>
        <v>IVA 10,5%</v>
      </c>
      <c r="N85" s="292">
        <f>SUM(Table_35[IVA 10,5%])-'Sep-22'!K39</f>
        <v>0</v>
      </c>
      <c r="O85" s="293"/>
    </row>
    <row r="86" spans="2:15" ht="15.75" customHeight="1" x14ac:dyDescent="0.25">
      <c r="B86" s="290">
        <f>IF($B$41="","",$B$41)</f>
        <v>106.521</v>
      </c>
      <c r="C86" s="291" t="str">
        <f>IF($C$41="","",$C$41)</f>
        <v>PERC IIBB BS AS</v>
      </c>
      <c r="D86" s="292">
        <f>SUM(Table_22[PERC IIBB 
BS AS])-'Jul-22'!M45</f>
        <v>0</v>
      </c>
      <c r="E86" s="293"/>
      <c r="F86" s="89"/>
      <c r="G86" s="290">
        <f>IF($B$41="","",$B$41)</f>
        <v>106.521</v>
      </c>
      <c r="H86" s="291" t="str">
        <f>IF($C$41="","",$C$41)</f>
        <v>PERC IIBB BS AS</v>
      </c>
      <c r="I86" s="292">
        <f>SUM(Table_29[PERC IIBB 
BS AS])-'Ago-22'!M50</f>
        <v>0</v>
      </c>
      <c r="J86" s="293"/>
      <c r="K86" s="89"/>
      <c r="L86" s="290">
        <f>IF($B$41="","",$B$41)</f>
        <v>106.521</v>
      </c>
      <c r="M86" s="291" t="str">
        <f>IF($C$41="","",$C$41)</f>
        <v>PERC IIBB BS AS</v>
      </c>
      <c r="N86" s="292">
        <f>SUM(Table_35[PERC IIBB 
BS AS])-'Sep-22'!M39</f>
        <v>0</v>
      </c>
      <c r="O86" s="293"/>
    </row>
    <row r="87" spans="2:15" ht="15.75" customHeight="1" x14ac:dyDescent="0.25">
      <c r="B87" s="290">
        <f>IF($B$42="","",$B$42)</f>
        <v>106.515</v>
      </c>
      <c r="C87" s="291" t="str">
        <f>IF($C$42="","",$C$42)</f>
        <v>PERC IIBB CABA</v>
      </c>
      <c r="D87" s="292">
        <f>SUM(Table_22[PERC. IIBB CABA])-'Jul-22'!N45</f>
        <v>0</v>
      </c>
      <c r="E87" s="293"/>
      <c r="F87" s="89"/>
      <c r="G87" s="290">
        <f>IF($B$42="","",$B$42)</f>
        <v>106.515</v>
      </c>
      <c r="H87" s="291" t="str">
        <f>IF($C$42="","",$C$42)</f>
        <v>PERC IIBB CABA</v>
      </c>
      <c r="I87" s="292">
        <f>SUM(Table_29[PERC. IIBB CABA])-'Ago-22'!N50</f>
        <v>0</v>
      </c>
      <c r="J87" s="293"/>
      <c r="K87" s="89"/>
      <c r="L87" s="290">
        <f>IF($B$42="","",$B$42)</f>
        <v>106.515</v>
      </c>
      <c r="M87" s="291" t="str">
        <f>IF($C$42="","",$C$42)</f>
        <v>PERC IIBB CABA</v>
      </c>
      <c r="N87" s="292">
        <f>SUM(Table_35[PERC. IIBB CABA])-'Sep-22'!N39</f>
        <v>0</v>
      </c>
      <c r="O87" s="293"/>
    </row>
    <row r="88" spans="2:15" ht="15.75" customHeight="1" x14ac:dyDescent="0.25">
      <c r="B88" s="290">
        <f>IF($B$43="","",$B$43)</f>
        <v>106.535</v>
      </c>
      <c r="C88" s="291" t="str">
        <f>IF($C$43="","",$C$43)</f>
        <v>PERC. IVA</v>
      </c>
      <c r="D88" s="292">
        <f>SUM(Table_22[PERC. IVA])-'Jul-22'!L45</f>
        <v>0</v>
      </c>
      <c r="E88" s="297"/>
      <c r="F88" s="89"/>
      <c r="G88" s="290">
        <f>IF($B$43="","",$B$43)</f>
        <v>106.535</v>
      </c>
      <c r="H88" s="291" t="str">
        <f>IF($C$43="","",$C$43)</f>
        <v>PERC. IVA</v>
      </c>
      <c r="I88" s="292">
        <f>SUM(Table_29[PERC. IVA])-'Ago-22'!L50</f>
        <v>0</v>
      </c>
      <c r="J88" s="297"/>
      <c r="K88" s="89"/>
      <c r="L88" s="290">
        <f>IF($B$43="","",$B$43)</f>
        <v>106.535</v>
      </c>
      <c r="M88" s="291" t="str">
        <f>IF($C$43="","",$C$43)</f>
        <v>PERC. IVA</v>
      </c>
      <c r="N88" s="292">
        <f>SUM(Table_35[PERC. IVA])-'Sep-22'!L39</f>
        <v>0</v>
      </c>
      <c r="O88" s="297"/>
    </row>
    <row r="89" spans="2:15" ht="15.75" customHeight="1" x14ac:dyDescent="0.25">
      <c r="B89" s="290" t="str">
        <f>IF($B$44="","",$B$44)</f>
        <v/>
      </c>
      <c r="C89" s="291" t="str">
        <f>IF($C$44="","",$C$44)</f>
        <v>NO GRAVADO</v>
      </c>
      <c r="D89" s="292"/>
      <c r="E89" s="297"/>
      <c r="F89" s="89"/>
      <c r="G89" s="290" t="str">
        <f>IF($B$44="","",$B$44)</f>
        <v/>
      </c>
      <c r="H89" s="291" t="str">
        <f>IF($C$44="","",$C$44)</f>
        <v>NO GRAVADO</v>
      </c>
      <c r="I89" s="292">
        <f>SUM(Table_29[Otros / No Grav.])-'Ago-22'!O50</f>
        <v>-490745.21620000002</v>
      </c>
      <c r="J89" s="297"/>
      <c r="K89" s="89"/>
      <c r="L89" s="290" t="str">
        <f>IF($B$44="","",$B$44)</f>
        <v/>
      </c>
      <c r="M89" s="291" t="str">
        <f>IF($C$44="","",$C$44)</f>
        <v>NO GRAVADO</v>
      </c>
      <c r="N89" s="292">
        <f>SUM(Table_35[Otros / No Grav.])-'Sep-22'!O39</f>
        <v>-744170.5</v>
      </c>
      <c r="O89" s="297"/>
    </row>
    <row r="90" spans="2:15" ht="15.75" customHeight="1" x14ac:dyDescent="0.25">
      <c r="B90" s="290" t="str">
        <f>IF($B$45="","",$B$45)</f>
        <v/>
      </c>
      <c r="C90" s="291"/>
      <c r="D90" s="298"/>
      <c r="E90" s="297"/>
      <c r="F90" s="89"/>
      <c r="G90" s="290" t="str">
        <f>IF($B$45="","",$B$45)</f>
        <v/>
      </c>
      <c r="H90" s="291" t="str">
        <f>IF($C$45="","",$C$45)</f>
        <v/>
      </c>
      <c r="I90" s="298"/>
      <c r="J90" s="297"/>
      <c r="K90" s="89"/>
      <c r="L90" s="290" t="str">
        <f>IF($B$45="","",$B$45)</f>
        <v/>
      </c>
      <c r="M90" s="291" t="str">
        <f>IF($C$45="","",$C$45)</f>
        <v/>
      </c>
      <c r="N90" s="298"/>
      <c r="O90" s="297"/>
    </row>
    <row r="91" spans="2:15" ht="15.75" customHeight="1" x14ac:dyDescent="0.25">
      <c r="B91" s="290">
        <f>IF($B$46="","",$B$46)</f>
        <v>200.9</v>
      </c>
      <c r="C91" s="291" t="str">
        <f>IF($C$46="","",$C$46)</f>
        <v>PROVEEDORES</v>
      </c>
      <c r="D91" s="297"/>
      <c r="E91" s="297">
        <v>3071865.6</v>
      </c>
      <c r="F91" s="89"/>
      <c r="G91" s="290">
        <f>IF($B$46="","",$B$46)</f>
        <v>200.9</v>
      </c>
      <c r="H91" s="291" t="str">
        <f>IF($C$46="","",$C$46)</f>
        <v>PROVEEDORES</v>
      </c>
      <c r="I91" s="297"/>
      <c r="J91" s="297">
        <v>7772526.5199999996</v>
      </c>
      <c r="K91" s="89"/>
      <c r="L91" s="290">
        <f>IF($B$46="","",$B$46)</f>
        <v>200.9</v>
      </c>
      <c r="M91" s="291" t="str">
        <f>IF($C$46="","",$C$46)</f>
        <v>PROVEEDORES</v>
      </c>
      <c r="N91" s="297"/>
      <c r="O91" s="297">
        <v>7530289.6900000004</v>
      </c>
    </row>
    <row r="92" spans="2:15" ht="15.75" customHeight="1" x14ac:dyDescent="0.25">
      <c r="B92" s="377"/>
      <c r="C92" s="378"/>
      <c r="D92" s="378"/>
      <c r="E92" s="301">
        <f>SUM(D50:D90)-E91</f>
        <v>-4.8047616146504879E-3</v>
      </c>
      <c r="F92" s="89"/>
      <c r="G92" s="377"/>
      <c r="H92" s="378"/>
      <c r="I92" s="378"/>
      <c r="J92" s="301">
        <f>SUM(I50:I90)-J91</f>
        <v>-490745.21994899958</v>
      </c>
      <c r="K92" s="89"/>
      <c r="L92" s="377"/>
      <c r="M92" s="378"/>
      <c r="N92" s="378"/>
      <c r="O92" s="301">
        <f>SUM(N50:N90)-O91</f>
        <v>-744170.49607199989</v>
      </c>
    </row>
    <row r="93" spans="2:15" ht="15.75" customHeight="1" thickBot="1" x14ac:dyDescent="0.3"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</row>
    <row r="94" spans="2:15" ht="15.75" customHeight="1" thickBot="1" x14ac:dyDescent="0.3">
      <c r="B94" s="379">
        <f>EDATE($L$49,1)</f>
        <v>44835</v>
      </c>
      <c r="C94" s="380"/>
      <c r="D94" s="380"/>
      <c r="E94" s="381"/>
      <c r="F94" s="89"/>
      <c r="G94" s="379">
        <f>EDATE($B$94,1)</f>
        <v>44866</v>
      </c>
      <c r="H94" s="382"/>
      <c r="I94" s="382"/>
      <c r="J94" s="383"/>
      <c r="K94" s="89"/>
      <c r="L94" s="379">
        <f>EDATE($G$94,1)</f>
        <v>44896</v>
      </c>
      <c r="M94" s="380"/>
      <c r="N94" s="380"/>
      <c r="O94" s="381"/>
    </row>
    <row r="95" spans="2:15" ht="15.75" customHeight="1" x14ac:dyDescent="0.25">
      <c r="B95" s="290" t="str">
        <f>IF($B$5="","",$B$5)</f>
        <v/>
      </c>
      <c r="C95" s="291" t="str">
        <f>IF($C$5="","",$C$5)</f>
        <v>ALQUILER</v>
      </c>
      <c r="D95" s="347">
        <f>SUMIF(Table_42[Tipo de Gasto],'Asto-Cpras'!C95,Table_42[NETO GRAVADO])+SUMIF(Table_44[TIPO DE GASTO],'Asto-Cpras'!C95,Table_44[TOTAL])+SUMIF(Table_42[Tipo de Gasto],'Asto-Cpras'!C95,Table_42[Otros / No Grav.])</f>
        <v>0</v>
      </c>
      <c r="E95" s="289"/>
      <c r="F95" s="89"/>
      <c r="G95" s="290" t="str">
        <f>IF($B$5="","",$B$5)</f>
        <v/>
      </c>
      <c r="H95" s="291" t="str">
        <f>IF($C$5="","",$C$5)</f>
        <v>ALQUILER</v>
      </c>
      <c r="I95" s="347">
        <f>SUMIF(Table_49[Tipo de Gasto],'Asto-Cpras'!H95,Table_49[NETO GRAVADO])+SUMIF(Table_51[TIPO DE GASTO],'Asto-Cpras'!H95,Table_51[TOTAL])+SUMIF(Table_49[Tipo de Gasto],'Asto-Cpras'!H95,Table_49[Otros / No Grav.])</f>
        <v>0</v>
      </c>
      <c r="J95" s="289"/>
      <c r="K95" s="89"/>
      <c r="L95" s="290" t="str">
        <f>IF($B$5="","",$B$5)</f>
        <v/>
      </c>
      <c r="M95" s="291" t="str">
        <f>IF($C$5="","",$C$5)</f>
        <v>ALQUILER</v>
      </c>
      <c r="N95" s="347">
        <f>SUMIF(Table_56[Tipo de Gasto],'Asto-Cpras'!M95,Table_56[NETO GRAVADO])+SUMIF(Table_58[TIPO DE GASTO],'Asto-Cpras'!M95,Table_58[TOTAL])+SUMIF(Table_56[Tipo de Gasto],'Asto-Cpras'!M95,Table_56[Otros / No Grav.])</f>
        <v>0</v>
      </c>
      <c r="O95" s="289"/>
    </row>
    <row r="96" spans="2:15" ht="15.75" customHeight="1" x14ac:dyDescent="0.25">
      <c r="B96" s="290">
        <f>IF($B$6="","",$B$6)</f>
        <v>152.1</v>
      </c>
      <c r="C96" s="291" t="str">
        <f>IF($C$6="","",$C$6)</f>
        <v>BIENES DE USO</v>
      </c>
      <c r="D96" s="347">
        <f>SUMIF(Table_42[Tipo de Gasto],'Asto-Cpras'!C96,Table_42[NETO GRAVADO])+SUMIF(Table_44[TIPO DE GASTO],'Asto-Cpras'!C96,Table_44[TOTAL])+SUMIF(Table_42[Tipo de Gasto],'Asto-Cpras'!C96,Table_42[Otros / No Grav.])</f>
        <v>0</v>
      </c>
      <c r="E96" s="293"/>
      <c r="F96" s="89"/>
      <c r="G96" s="290">
        <f>IF($B$6="","",$B$6)</f>
        <v>152.1</v>
      </c>
      <c r="H96" s="291" t="str">
        <f>IF($C$6="","",$C$6)</f>
        <v>BIENES DE USO</v>
      </c>
      <c r="I96" s="347">
        <f>SUMIF(Table_49[Tipo de Gasto],'Asto-Cpras'!H96,Table_49[NETO GRAVADO])+SUMIF(Table_51[TIPO DE GASTO],'Asto-Cpras'!H96,Table_51[TOTAL])+SUMIF(Table_49[Tipo de Gasto],'Asto-Cpras'!H96,Table_49[Otros / No Grav.])</f>
        <v>647765.17000000004</v>
      </c>
      <c r="J96" s="293"/>
      <c r="K96" s="89"/>
      <c r="L96" s="290">
        <f>IF($B$6="","",$B$6)</f>
        <v>152.1</v>
      </c>
      <c r="M96" s="291" t="str">
        <f>IF($C$6="","",$C$6)</f>
        <v>BIENES DE USO</v>
      </c>
      <c r="N96" s="347">
        <f>SUMIF(Table_56[Tipo de Gasto],'Asto-Cpras'!M96,Table_56[NETO GRAVADO])+SUMIF(Table_58[TIPO DE GASTO],'Asto-Cpras'!M96,Table_58[TOTAL])+SUMIF(Table_56[Tipo de Gasto],'Asto-Cpras'!M96,Table_56[Otros / No Grav.])</f>
        <v>1375200</v>
      </c>
      <c r="O96" s="293"/>
    </row>
    <row r="97" spans="2:15" ht="15.75" customHeight="1" x14ac:dyDescent="0.25">
      <c r="B97" s="290">
        <f>IF($B$7="","",$B$7)</f>
        <v>500.02300000000002</v>
      </c>
      <c r="C97" s="291" t="str">
        <f>IF($C$7="","",$C$7)</f>
        <v>CATERING</v>
      </c>
      <c r="D97" s="347">
        <f>SUMIF(Table_42[Tipo de Gasto],'Asto-Cpras'!C97,Table_42[NETO GRAVADO])+SUMIF(Table_44[TIPO DE GASTO],'Asto-Cpras'!C97,Table_44[TOTAL])+SUMIF(Table_42[Tipo de Gasto],'Asto-Cpras'!C97,Table_42[Otros / No Grav.])</f>
        <v>113975</v>
      </c>
      <c r="E97" s="293"/>
      <c r="F97" s="89"/>
      <c r="G97" s="290">
        <f>IF($B$7="","",$B$7)</f>
        <v>500.02300000000002</v>
      </c>
      <c r="H97" s="291" t="str">
        <f>IF($C$7="","",$C$7)</f>
        <v>CATERING</v>
      </c>
      <c r="I97" s="347">
        <f>SUMIF(Table_49[Tipo de Gasto],'Asto-Cpras'!H97,Table_49[NETO GRAVADO])+SUMIF(Table_51[TIPO DE GASTO],'Asto-Cpras'!H97,Table_51[TOTAL])+SUMIF(Table_49[Tipo de Gasto],'Asto-Cpras'!H97,Table_49[Otros / No Grav.])</f>
        <v>124705</v>
      </c>
      <c r="J97" s="293"/>
      <c r="K97" s="89"/>
      <c r="L97" s="290">
        <f>IF($B$7="","",$B$7)</f>
        <v>500.02300000000002</v>
      </c>
      <c r="M97" s="291" t="str">
        <f>IF($C$7="","",$C$7)</f>
        <v>CATERING</v>
      </c>
      <c r="N97" s="347">
        <f>SUMIF(Table_56[Tipo de Gasto],'Asto-Cpras'!M97,Table_56[NETO GRAVADO])+SUMIF(Table_58[TIPO DE GASTO],'Asto-Cpras'!M97,Table_58[TOTAL])+SUMIF(Table_56[Tipo de Gasto],'Asto-Cpras'!M97,Table_56[Otros / No Grav.])</f>
        <v>108955</v>
      </c>
      <c r="O97" s="293"/>
    </row>
    <row r="98" spans="2:15" ht="15.75" customHeight="1" x14ac:dyDescent="0.25">
      <c r="B98" s="290">
        <f>IF($B$8="","",$B$8)</f>
        <v>500.02499999999998</v>
      </c>
      <c r="C98" s="291" t="str">
        <f>IF($C$8="","",$C$8)</f>
        <v>COMBUSTIBLE</v>
      </c>
      <c r="D98" s="347">
        <f>SUMIF(Table_42[Tipo de Gasto],'Asto-Cpras'!C98,Table_42[NETO GRAVADO])+SUMIF(Table_44[TIPO DE GASTO],'Asto-Cpras'!C98,Table_44[TOTAL])+SUMIF(Table_42[Tipo de Gasto],'Asto-Cpras'!C98,Table_42[Otros / No Grav.])</f>
        <v>14888.54</v>
      </c>
      <c r="E98" s="293"/>
      <c r="F98" s="89"/>
      <c r="G98" s="290">
        <f>IF($B$8="","",$B$8)</f>
        <v>500.02499999999998</v>
      </c>
      <c r="H98" s="291" t="str">
        <f>IF($C$8="","",$C$8)</f>
        <v>COMBUSTIBLE</v>
      </c>
      <c r="I98" s="347">
        <f>SUMIF(Table_49[Tipo de Gasto],'Asto-Cpras'!H98,Table_49[NETO GRAVADO])+SUMIF(Table_51[TIPO DE GASTO],'Asto-Cpras'!H98,Table_51[TOTAL])+SUMIF(Table_49[Tipo de Gasto],'Asto-Cpras'!H98,Table_49[Otros / No Grav.])</f>
        <v>15158.53</v>
      </c>
      <c r="J98" s="293"/>
      <c r="K98" s="89"/>
      <c r="L98" s="290">
        <f>IF($B$8="","",$B$8)</f>
        <v>500.02499999999998</v>
      </c>
      <c r="M98" s="291" t="str">
        <f>IF($C$8="","",$C$8)</f>
        <v>COMBUSTIBLE</v>
      </c>
      <c r="N98" s="347">
        <f>SUMIF(Table_56[Tipo de Gasto],'Asto-Cpras'!M98,Table_56[NETO GRAVADO])+SUMIF(Table_58[TIPO DE GASTO],'Asto-Cpras'!M98,Table_58[TOTAL])+SUMIF(Table_56[Tipo de Gasto],'Asto-Cpras'!M98,Table_56[Otros / No Grav.])</f>
        <v>4785.05</v>
      </c>
      <c r="O98" s="293"/>
    </row>
    <row r="99" spans="2:15" ht="15.75" customHeight="1" x14ac:dyDescent="0.25">
      <c r="B99" s="290">
        <f>IF($B$9="","",$B$9)</f>
        <v>500.03199999999998</v>
      </c>
      <c r="C99" s="291" t="str">
        <f>IF($C$9="","",$C$9)</f>
        <v>Control medidores masicos</v>
      </c>
      <c r="D99" s="347">
        <f>SUMIF(Table_42[Tipo de Gasto],'Asto-Cpras'!C99,Table_42[NETO GRAVADO])+SUMIF(Table_44[TIPO DE GASTO],'Asto-Cpras'!C99,Table_44[TOTAL])+SUMIF(Table_42[Tipo de Gasto],'Asto-Cpras'!C99,Table_42[Otros / No Grav.])</f>
        <v>167900</v>
      </c>
      <c r="E99" s="293"/>
      <c r="F99" s="89"/>
      <c r="G99" s="290">
        <f>IF($B$9="","",$B$9)</f>
        <v>500.03199999999998</v>
      </c>
      <c r="H99" s="291" t="str">
        <f>IF($C$9="","",$C$9)</f>
        <v>Control medidores masicos</v>
      </c>
      <c r="I99" s="347">
        <f>SUMIF(Table_49[Tipo de Gasto],'Asto-Cpras'!H99,Table_49[NETO GRAVADO])+SUMIF(Table_51[TIPO DE GASTO],'Asto-Cpras'!H99,Table_51[TOTAL])+SUMIF(Table_49[Tipo de Gasto],'Asto-Cpras'!H99,Table_49[Otros / No Grav.])</f>
        <v>390690</v>
      </c>
      <c r="J99" s="293"/>
      <c r="K99" s="89"/>
      <c r="L99" s="290">
        <f>IF($B$9="","",$B$9)</f>
        <v>500.03199999999998</v>
      </c>
      <c r="M99" s="291" t="str">
        <f>IF($C$9="","",$C$9)</f>
        <v>Control medidores masicos</v>
      </c>
      <c r="N99" s="347">
        <f>SUMIF(Table_56[Tipo de Gasto],'Asto-Cpras'!M99,Table_56[NETO GRAVADO])+SUMIF(Table_58[TIPO DE GASTO],'Asto-Cpras'!M99,Table_58[TOTAL])+SUMIF(Table_56[Tipo de Gasto],'Asto-Cpras'!M99,Table_56[Otros / No Grav.])</f>
        <v>216515</v>
      </c>
      <c r="O99" s="293"/>
    </row>
    <row r="100" spans="2:15" ht="15.75" customHeight="1" x14ac:dyDescent="0.25">
      <c r="B100" s="290" t="str">
        <f>IF($B$10="","",$B$10)</f>
        <v/>
      </c>
      <c r="C100" s="291" t="str">
        <f>IF($C$10="","",$C$10)</f>
        <v>EQ COMPUTACION</v>
      </c>
      <c r="D100" s="347">
        <f>SUMIF(Table_42[Tipo de Gasto],'Asto-Cpras'!C100,Table_42[NETO GRAVADO])+SUMIF(Table_44[TIPO DE GASTO],'Asto-Cpras'!C100,Table_44[TOTAL])+SUMIF(Table_42[Tipo de Gasto],'Asto-Cpras'!C100,Table_42[Otros / No Grav.])</f>
        <v>0</v>
      </c>
      <c r="E100" s="293"/>
      <c r="F100" s="89"/>
      <c r="G100" s="290" t="str">
        <f>IF($B$10="","",$B$10)</f>
        <v/>
      </c>
      <c r="H100" s="291" t="str">
        <f>IF($C$10="","",$C$10)</f>
        <v>EQ COMPUTACION</v>
      </c>
      <c r="I100" s="347">
        <f>SUMIF(Table_49[Tipo de Gasto],'Asto-Cpras'!H100,Table_49[NETO GRAVADO])+SUMIF(Table_51[TIPO DE GASTO],'Asto-Cpras'!H100,Table_51[TOTAL])+SUMIF(Table_49[Tipo de Gasto],'Asto-Cpras'!H100,Table_49[Otros / No Grav.])</f>
        <v>0</v>
      </c>
      <c r="J100" s="293"/>
      <c r="K100" s="89"/>
      <c r="L100" s="290" t="str">
        <f>IF($B$10="","",$B$10)</f>
        <v/>
      </c>
      <c r="M100" s="291" t="str">
        <f>IF($C$10="","",$C$10)</f>
        <v>EQ COMPUTACION</v>
      </c>
      <c r="N100" s="347">
        <f>SUMIF(Table_56[Tipo de Gasto],'Asto-Cpras'!M100,Table_56[NETO GRAVADO])+SUMIF(Table_58[TIPO DE GASTO],'Asto-Cpras'!M100,Table_58[TOTAL])+SUMIF(Table_56[Tipo de Gasto],'Asto-Cpras'!M100,Table_56[Otros / No Grav.])</f>
        <v>0</v>
      </c>
      <c r="O100" s="293"/>
    </row>
    <row r="101" spans="2:15" ht="15.75" customHeight="1" x14ac:dyDescent="0.25">
      <c r="B101" s="290" t="str">
        <f>IF($B$11="","",$B$11)</f>
        <v/>
      </c>
      <c r="C101" s="291" t="str">
        <f>IF($C$11="","",$C$11)</f>
        <v>FERRETERIA</v>
      </c>
      <c r="D101" s="347">
        <f>SUMIF(Table_42[Tipo de Gasto],'Asto-Cpras'!C101,Table_42[NETO GRAVADO])+SUMIF(Table_44[TIPO DE GASTO],'Asto-Cpras'!C101,Table_44[TOTAL])+SUMIF(Table_42[Tipo de Gasto],'Asto-Cpras'!C101,Table_42[Otros / No Grav.])</f>
        <v>0</v>
      </c>
      <c r="E101" s="293"/>
      <c r="F101" s="89"/>
      <c r="G101" s="290" t="str">
        <f>IF($B$11="","",$B$11)</f>
        <v/>
      </c>
      <c r="H101" s="291" t="str">
        <f>IF($C$11="","",$C$11)</f>
        <v>FERRETERIA</v>
      </c>
      <c r="I101" s="347">
        <f>SUMIF(Table_49[Tipo de Gasto],'Asto-Cpras'!H101,Table_49[NETO GRAVADO])+SUMIF(Table_51[TIPO DE GASTO],'Asto-Cpras'!H101,Table_51[TOTAL])+SUMIF(Table_49[Tipo de Gasto],'Asto-Cpras'!H101,Table_49[Otros / No Grav.])</f>
        <v>15193.39</v>
      </c>
      <c r="J101" s="293"/>
      <c r="K101" s="89"/>
      <c r="L101" s="290" t="str">
        <f>IF($B$11="","",$B$11)</f>
        <v/>
      </c>
      <c r="M101" s="291" t="str">
        <f>IF($C$11="","",$C$11)</f>
        <v>FERRETERIA</v>
      </c>
      <c r="N101" s="347">
        <f>SUMIF(Table_56[Tipo de Gasto],'Asto-Cpras'!M101,Table_56[NETO GRAVADO])+SUMIF(Table_58[TIPO DE GASTO],'Asto-Cpras'!M101,Table_58[TOTAL])+SUMIF(Table_56[Tipo de Gasto],'Asto-Cpras'!M101,Table_56[Otros / No Grav.])</f>
        <v>0</v>
      </c>
      <c r="O101" s="293"/>
    </row>
    <row r="102" spans="2:15" ht="15.75" customHeight="1" x14ac:dyDescent="0.25">
      <c r="B102" s="290">
        <f>IF($B$12="","",$B$12)</f>
        <v>507.13</v>
      </c>
      <c r="C102" s="291" t="str">
        <f>IF($C$12="","",$C$12)</f>
        <v>FLETE</v>
      </c>
      <c r="D102" s="347">
        <f>SUMIF(Table_42[Tipo de Gasto],'Asto-Cpras'!C102,Table_42[NETO GRAVADO])+SUMIF(Table_44[TIPO DE GASTO],'Asto-Cpras'!C102,Table_44[TOTAL])+SUMIF(Table_42[Tipo de Gasto],'Asto-Cpras'!C102,Table_42[Otros / No Grav.])</f>
        <v>25396.989999999998</v>
      </c>
      <c r="E102" s="293"/>
      <c r="F102" s="89"/>
      <c r="G102" s="290">
        <f>IF($B$12="","",$B$12)</f>
        <v>507.13</v>
      </c>
      <c r="H102" s="291" t="str">
        <f>IF($C$12="","",$C$12)</f>
        <v>FLETE</v>
      </c>
      <c r="I102" s="347">
        <f>SUMIF(Table_49[Tipo de Gasto],'Asto-Cpras'!H102,Table_49[NETO GRAVADO])+SUMIF(Table_51[TIPO DE GASTO],'Asto-Cpras'!H102,Table_51[TOTAL])+SUMIF(Table_49[Tipo de Gasto],'Asto-Cpras'!H102,Table_49[Otros / No Grav.])</f>
        <v>4700</v>
      </c>
      <c r="J102" s="293"/>
      <c r="K102" s="89"/>
      <c r="L102" s="290">
        <f>IF($B$12="","",$B$12)</f>
        <v>507.13</v>
      </c>
      <c r="M102" s="291" t="str">
        <f>IF($C$12="","",$C$12)</f>
        <v>FLETE</v>
      </c>
      <c r="N102" s="347">
        <f>SUMIF(Table_56[Tipo de Gasto],'Asto-Cpras'!M102,Table_56[NETO GRAVADO])+SUMIF(Table_58[TIPO DE GASTO],'Asto-Cpras'!M102,Table_58[TOTAL])+SUMIF(Table_56[Tipo de Gasto],'Asto-Cpras'!M102,Table_56[Otros / No Grav.])</f>
        <v>10100</v>
      </c>
      <c r="O102" s="293"/>
    </row>
    <row r="103" spans="2:15" ht="15.75" customHeight="1" x14ac:dyDescent="0.25">
      <c r="B103" s="290">
        <f>IF($B$13="","",$B$13)</f>
        <v>121.12</v>
      </c>
      <c r="C103" s="291" t="str">
        <f>IF($C$13="","",$C$13)</f>
        <v>FOTOGRABADOS</v>
      </c>
      <c r="D103" s="347">
        <f>SUMIF(Table_42[Tipo de Gasto],'Asto-Cpras'!C103,Table_42[NETO GRAVADO])+SUMIF(Table_44[TIPO DE GASTO],'Asto-Cpras'!C103,Table_44[TOTAL])+SUMIF(Table_42[Tipo de Gasto],'Asto-Cpras'!C103,Table_42[Otros / No Grav.])</f>
        <v>0</v>
      </c>
      <c r="E103" s="293"/>
      <c r="F103" s="89"/>
      <c r="G103" s="290">
        <f>IF($B$13="","",$B$13)</f>
        <v>121.12</v>
      </c>
      <c r="H103" s="291" t="str">
        <f>IF($C$13="","",$C$13)</f>
        <v>FOTOGRABADOS</v>
      </c>
      <c r="I103" s="347">
        <f>SUMIF(Table_49[Tipo de Gasto],'Asto-Cpras'!H103,Table_49[NETO GRAVADO])+SUMIF(Table_51[TIPO DE GASTO],'Asto-Cpras'!H103,Table_51[TOTAL])+SUMIF(Table_49[Tipo de Gasto],'Asto-Cpras'!H103,Table_49[Otros / No Grav.])</f>
        <v>343981.2</v>
      </c>
      <c r="J103" s="293"/>
      <c r="K103" s="89"/>
      <c r="L103" s="290">
        <f>IF($B$13="","",$B$13)</f>
        <v>121.12</v>
      </c>
      <c r="M103" s="291" t="str">
        <f>IF($C$13="","",$C$13)</f>
        <v>FOTOGRABADOS</v>
      </c>
      <c r="N103" s="347">
        <f>SUMIF(Table_56[Tipo de Gasto],'Asto-Cpras'!M103,Table_56[NETO GRAVADO])+SUMIF(Table_58[TIPO DE GASTO],'Asto-Cpras'!M103,Table_58[TOTAL])+SUMIF(Table_56[Tipo de Gasto],'Asto-Cpras'!M103,Table_56[Otros / No Grav.])</f>
        <v>324046.40000000002</v>
      </c>
      <c r="O103" s="293"/>
    </row>
    <row r="104" spans="2:15" ht="15.75" customHeight="1" x14ac:dyDescent="0.25">
      <c r="B104" s="290">
        <f>IF($B$14="","",$B$14)</f>
        <v>500.5</v>
      </c>
      <c r="C104" s="291" t="str">
        <f>IF($C$14="","",$C$14)</f>
        <v>GASTOS OFICINA</v>
      </c>
      <c r="D104" s="347">
        <f>SUMIF(Table_42[Tipo de Gasto],'Asto-Cpras'!C104,Table_42[NETO GRAVADO])+SUMIF(Table_44[TIPO DE GASTO],'Asto-Cpras'!C104,Table_44[TOTAL])+SUMIF(Table_42[Tipo de Gasto],'Asto-Cpras'!C104,Table_42[Otros / No Grav.])</f>
        <v>52437.46</v>
      </c>
      <c r="E104" s="293"/>
      <c r="F104" s="89"/>
      <c r="G104" s="290">
        <f>IF($B$14="","",$B$14)</f>
        <v>500.5</v>
      </c>
      <c r="H104" s="291" t="str">
        <f>IF($C$14="","",$C$14)</f>
        <v>GASTOS OFICINA</v>
      </c>
      <c r="I104" s="347">
        <f>SUMIF(Table_49[Tipo de Gasto],'Asto-Cpras'!H104,Table_49[NETO GRAVADO])+SUMIF(Table_51[TIPO DE GASTO],'Asto-Cpras'!H104,Table_51[TOTAL])+SUMIF(Table_49[Tipo de Gasto],'Asto-Cpras'!H104,Table_49[Otros / No Grav.])</f>
        <v>60622.62</v>
      </c>
      <c r="J104" s="293"/>
      <c r="K104" s="89"/>
      <c r="L104" s="290">
        <f>IF($B$14="","",$B$14)</f>
        <v>500.5</v>
      </c>
      <c r="M104" s="291" t="str">
        <f>IF($C$14="","",$C$14)</f>
        <v>GASTOS OFICINA</v>
      </c>
      <c r="N104" s="347">
        <f>SUMIF(Table_56[Tipo de Gasto],'Asto-Cpras'!M104,Table_56[NETO GRAVADO])+SUMIF(Table_58[TIPO DE GASTO],'Asto-Cpras'!M104,Table_58[TOTAL])+SUMIF(Table_56[Tipo de Gasto],'Asto-Cpras'!M104,Table_56[Otros / No Grav.])</f>
        <v>25471.89</v>
      </c>
      <c r="O104" s="293"/>
    </row>
    <row r="105" spans="2:15" ht="15.75" customHeight="1" x14ac:dyDescent="0.25">
      <c r="B105" s="290">
        <f>IF($B$15="","",$B$15)</f>
        <v>500.05</v>
      </c>
      <c r="C105" s="291" t="str">
        <f>IF($C$15="","",$C$15)</f>
        <v>GASTOS VARIOS</v>
      </c>
      <c r="D105" s="347">
        <f>SUMIF(Table_42[Tipo de Gasto],'Asto-Cpras'!C105,Table_42[NETO GRAVADO])+SUMIF(Table_44[TIPO DE GASTO],'Asto-Cpras'!C105,Table_44[TOTAL])+SUMIF(Table_42[Tipo de Gasto],'Asto-Cpras'!C105,Table_42[Otros / No Grav.])</f>
        <v>309581.46999999997</v>
      </c>
      <c r="E105" s="293"/>
      <c r="F105" s="89"/>
      <c r="G105" s="290">
        <f>IF($B$15="","",$B$15)</f>
        <v>500.05</v>
      </c>
      <c r="H105" s="291" t="str">
        <f>IF($C$15="","",$C$15)</f>
        <v>GASTOS VARIOS</v>
      </c>
      <c r="I105" s="347">
        <f>SUMIF(Table_49[Tipo de Gasto],'Asto-Cpras'!H105,Table_49[NETO GRAVADO])+SUMIF(Table_51[TIPO DE GASTO],'Asto-Cpras'!H105,Table_51[TOTAL])+SUMIF(Table_49[Tipo de Gasto],'Asto-Cpras'!H105,Table_49[Otros / No Grav.])</f>
        <v>61799.399999999994</v>
      </c>
      <c r="J105" s="293"/>
      <c r="K105" s="89"/>
      <c r="L105" s="290">
        <f>IF($B$15="","",$B$15)</f>
        <v>500.05</v>
      </c>
      <c r="M105" s="291" t="str">
        <f>IF($C$15="","",$C$15)</f>
        <v>GASTOS VARIOS</v>
      </c>
      <c r="N105" s="347">
        <f>SUMIF(Table_56[Tipo de Gasto],'Asto-Cpras'!M105,Table_56[NETO GRAVADO])+SUMIF(Table_58[TIPO DE GASTO],'Asto-Cpras'!M105,Table_58[TOTAL])+SUMIF(Table_56[Tipo de Gasto],'Asto-Cpras'!M105,Table_56[Otros / No Grav.])</f>
        <v>2836.6900000000005</v>
      </c>
      <c r="O105" s="293"/>
    </row>
    <row r="106" spans="2:15" ht="15.75" customHeight="1" x14ac:dyDescent="0.25">
      <c r="B106" s="290">
        <f>IF($B$16="","",$B$16)</f>
        <v>507.31</v>
      </c>
      <c r="C106" s="291" t="str">
        <f>IF($C$16="","",$C$16)</f>
        <v>GTOS IMP.</v>
      </c>
      <c r="D106" s="347">
        <f>SUMIF(Table_42[Tipo de Gasto],'Asto-Cpras'!C106,Table_42[NETO GRAVADO])+SUMIF(Table_44[TIPO DE GASTO],'Asto-Cpras'!C106,Table_44[TOTAL])+SUMIF(Table_42[Tipo de Gasto],'Asto-Cpras'!C106,Table_42[Otros / No Grav.])</f>
        <v>332013.696</v>
      </c>
      <c r="E106" s="293"/>
      <c r="F106" s="89"/>
      <c r="G106" s="290">
        <f>IF($B$16="","",$B$16)</f>
        <v>507.31</v>
      </c>
      <c r="H106" s="291" t="str">
        <f>IF($C$16="","",$C$16)</f>
        <v>GTOS IMP.</v>
      </c>
      <c r="I106" s="347">
        <f>SUMIF(Table_49[Tipo de Gasto],'Asto-Cpras'!H106,Table_49[NETO GRAVADO])+SUMIF(Table_51[TIPO DE GASTO],'Asto-Cpras'!H106,Table_51[TOTAL])+SUMIF(Table_49[Tipo de Gasto],'Asto-Cpras'!H106,Table_49[Otros / No Grav.])</f>
        <v>385237.03249999997</v>
      </c>
      <c r="J106" s="293"/>
      <c r="K106" s="89"/>
      <c r="L106" s="290">
        <f>IF($B$16="","",$B$16)</f>
        <v>507.31</v>
      </c>
      <c r="M106" s="291" t="str">
        <f>IF($C$16="","",$C$16)</f>
        <v>GTOS IMP.</v>
      </c>
      <c r="N106" s="347">
        <f>SUMIF(Table_56[Tipo de Gasto],'Asto-Cpras'!M106,Table_56[NETO GRAVADO])+SUMIF(Table_58[TIPO DE GASTO],'Asto-Cpras'!M106,Table_58[TOTAL])+SUMIF(Table_56[Tipo de Gasto],'Asto-Cpras'!M106,Table_56[Otros / No Grav.])</f>
        <v>531819.59249999991</v>
      </c>
      <c r="O106" s="293"/>
    </row>
    <row r="107" spans="2:15" ht="15.75" customHeight="1" x14ac:dyDescent="0.25">
      <c r="B107" s="290">
        <f>IF($B$17="","",$B$17)</f>
        <v>500.024</v>
      </c>
      <c r="C107" s="291" t="str">
        <f>IF($C$17="","",$C$17)</f>
        <v>GTOS VARIOS-ESTACIONAMIENTO HORACIO</v>
      </c>
      <c r="D107" s="347">
        <f>SUMIF(Table_42[Tipo de Gasto],'Asto-Cpras'!C107,Table_42[NETO GRAVADO])+SUMIF(Table_44[TIPO DE GASTO],'Asto-Cpras'!C107,Table_44[TOTAL])+SUMIF(Table_42[Tipo de Gasto],'Asto-Cpras'!C107,Table_42[Otros / No Grav.])</f>
        <v>8429.75</v>
      </c>
      <c r="E107" s="293"/>
      <c r="F107" s="89"/>
      <c r="G107" s="290">
        <f>IF($B$17="","",$B$17)</f>
        <v>500.024</v>
      </c>
      <c r="H107" s="291" t="str">
        <f>IF($C$17="","",$C$17)</f>
        <v>GTOS VARIOS-ESTACIONAMIENTO HORACIO</v>
      </c>
      <c r="I107" s="347">
        <f>SUMIF(Table_49[Tipo de Gasto],'Asto-Cpras'!H107,Table_49[NETO GRAVADO])+SUMIF(Table_51[TIPO DE GASTO],'Asto-Cpras'!H107,Table_51[TOTAL])+SUMIF(Table_49[Tipo de Gasto],'Asto-Cpras'!H107,Table_49[Otros / No Grav.])</f>
        <v>8429.76</v>
      </c>
      <c r="J107" s="293"/>
      <c r="K107" s="89"/>
      <c r="L107" s="290">
        <f>IF($B$17="","",$B$17)</f>
        <v>500.024</v>
      </c>
      <c r="M107" s="291" t="str">
        <f>IF($C$17="","",$C$17)</f>
        <v>GTOS VARIOS-ESTACIONAMIENTO HORACIO</v>
      </c>
      <c r="N107" s="347">
        <f>SUMIF(Table_56[Tipo de Gasto],'Asto-Cpras'!M107,Table_56[NETO GRAVADO])+SUMIF(Table_58[TIPO DE GASTO],'Asto-Cpras'!M107,Table_58[TOTAL])+SUMIF(Table_56[Tipo de Gasto],'Asto-Cpras'!M107,Table_56[Otros / No Grav.])</f>
        <v>9173.5499999999993</v>
      </c>
      <c r="O107" s="293"/>
    </row>
    <row r="108" spans="2:15" ht="15.75" customHeight="1" x14ac:dyDescent="0.25">
      <c r="B108" s="290">
        <f>IF($B$18="","",$B$18)</f>
        <v>510.12</v>
      </c>
      <c r="C108" s="291" t="str">
        <f>IF($C$18="","",$C$18)</f>
        <v>HONOR. INGENIERO</v>
      </c>
      <c r="D108" s="347">
        <f>SUMIF(Table_42[Tipo de Gasto],'Asto-Cpras'!C108,Table_42[NETO GRAVADO])+SUMIF(Table_44[TIPO DE GASTO],'Asto-Cpras'!C108,Table_44[TOTAL])+SUMIF(Table_42[Tipo de Gasto],'Asto-Cpras'!C108,Table_42[Otros / No Grav.])</f>
        <v>127000</v>
      </c>
      <c r="E108" s="293"/>
      <c r="F108" s="89"/>
      <c r="G108" s="290">
        <f>IF($B$18="","",$B$18)</f>
        <v>510.12</v>
      </c>
      <c r="H108" s="291" t="str">
        <f>IF($C$18="","",$C$18)</f>
        <v>HONOR. INGENIERO</v>
      </c>
      <c r="I108" s="347">
        <f>SUMIF(Table_49[Tipo de Gasto],'Asto-Cpras'!H108,Table_49[NETO GRAVADO])+SUMIF(Table_51[TIPO DE GASTO],'Asto-Cpras'!H108,Table_51[TOTAL])+SUMIF(Table_49[Tipo de Gasto],'Asto-Cpras'!H108,Table_49[Otros / No Grav.])</f>
        <v>138700</v>
      </c>
      <c r="J108" s="293"/>
      <c r="K108" s="89"/>
      <c r="L108" s="290">
        <f>IF($B$18="","",$B$18)</f>
        <v>510.12</v>
      </c>
      <c r="M108" s="291" t="str">
        <f>IF($C$18="","",$C$18)</f>
        <v>HONOR. INGENIERO</v>
      </c>
      <c r="N108" s="347">
        <f>SUMIF(Table_56[Tipo de Gasto],'Asto-Cpras'!M108,Table_56[NETO GRAVADO])+SUMIF(Table_58[TIPO DE GASTO],'Asto-Cpras'!M108,Table_58[TOTAL])+SUMIF(Table_56[Tipo de Gasto],'Asto-Cpras'!M108,Table_56[Otros / No Grav.])</f>
        <v>145450</v>
      </c>
      <c r="O108" s="293"/>
    </row>
    <row r="109" spans="2:15" ht="15.75" customHeight="1" x14ac:dyDescent="0.25">
      <c r="B109" s="290">
        <f>IF($B$19="","",$B$19)</f>
        <v>510.13</v>
      </c>
      <c r="C109" s="291" t="str">
        <f>IF($C$19="","",$C$19)</f>
        <v>HONORARIOS</v>
      </c>
      <c r="D109" s="347">
        <f>SUMIF(Table_42[Tipo de Gasto],'Asto-Cpras'!C109,Table_42[NETO GRAVADO])+SUMIF(Table_44[TIPO DE GASTO],'Asto-Cpras'!C109,Table_44[TOTAL])+SUMIF(Table_42[Tipo de Gasto],'Asto-Cpras'!C109,Table_42[Otros / No Grav.])</f>
        <v>61770</v>
      </c>
      <c r="E109" s="293"/>
      <c r="F109" s="89"/>
      <c r="G109" s="290">
        <f>IF($B$19="","",$B$19)</f>
        <v>510.13</v>
      </c>
      <c r="H109" s="291" t="str">
        <f>IF($C$19="","",$C$19)</f>
        <v>HONORARIOS</v>
      </c>
      <c r="I109" s="347">
        <f>SUMIF(Table_49[Tipo de Gasto],'Asto-Cpras'!H109,Table_49[NETO GRAVADO])+SUMIF(Table_51[TIPO DE GASTO],'Asto-Cpras'!H109,Table_51[TOTAL])+SUMIF(Table_49[Tipo de Gasto],'Asto-Cpras'!H109,Table_49[Otros / No Grav.])</f>
        <v>61770</v>
      </c>
      <c r="J109" s="293"/>
      <c r="K109" s="89"/>
      <c r="L109" s="290">
        <f>IF($B$19="","",$B$19)</f>
        <v>510.13</v>
      </c>
      <c r="M109" s="291" t="str">
        <f>IF($C$19="","",$C$19)</f>
        <v>HONORARIOS</v>
      </c>
      <c r="N109" s="347">
        <f>SUMIF(Table_56[Tipo de Gasto],'Asto-Cpras'!M109,Table_56[NETO GRAVADO])+SUMIF(Table_58[TIPO DE GASTO],'Asto-Cpras'!M109,Table_58[TOTAL])+SUMIF(Table_56[Tipo de Gasto],'Asto-Cpras'!M109,Table_56[Otros / No Grav.])</f>
        <v>77600</v>
      </c>
      <c r="O109" s="293"/>
    </row>
    <row r="110" spans="2:15" ht="15.75" customHeight="1" x14ac:dyDescent="0.25">
      <c r="B110" s="290">
        <f>IF($B$20="","",$B$20)</f>
        <v>500.01600000000002</v>
      </c>
      <c r="C110" s="291" t="str">
        <f>IF($C$20="","",$C$20)</f>
        <v>Honorarios Administrativos-Cobranzas y Gestion Clientes</v>
      </c>
      <c r="D110" s="347">
        <f>SUMIF(Table_42[Tipo de Gasto],'Asto-Cpras'!C110,Table_42[NETO GRAVADO])+SUMIF(Table_44[TIPO DE GASTO],'Asto-Cpras'!C110,Table_44[TOTAL])+SUMIF(Table_42[Tipo de Gasto],'Asto-Cpras'!C110,Table_42[Otros / No Grav.])</f>
        <v>257270</v>
      </c>
      <c r="E110" s="293"/>
      <c r="F110" s="89"/>
      <c r="G110" s="290">
        <f>IF($B$20="","",$B$20)</f>
        <v>500.01600000000002</v>
      </c>
      <c r="H110" s="291" t="str">
        <f>IF($C$20="","",$C$20)</f>
        <v>Honorarios Administrativos-Cobranzas y Gestion Clientes</v>
      </c>
      <c r="I110" s="347">
        <f>SUMIF(Table_49[Tipo de Gasto],'Asto-Cpras'!H110,Table_49[NETO GRAVADO])+SUMIF(Table_51[TIPO DE GASTO],'Asto-Cpras'!H110,Table_51[TOTAL])+SUMIF(Table_49[Tipo de Gasto],'Asto-Cpras'!H110,Table_49[Otros / No Grav.])</f>
        <v>374680</v>
      </c>
      <c r="J110" s="293"/>
      <c r="K110" s="89"/>
      <c r="L110" s="290">
        <f>IF($B$20="","",$B$20)</f>
        <v>500.01600000000002</v>
      </c>
      <c r="M110" s="291" t="str">
        <f>IF($C$20="","",$C$20)</f>
        <v>Honorarios Administrativos-Cobranzas y Gestion Clientes</v>
      </c>
      <c r="N110" s="347">
        <f>SUMIF(Table_56[Tipo de Gasto],'Asto-Cpras'!M110,Table_56[NETO GRAVADO])+SUMIF(Table_58[TIPO DE GASTO],'Asto-Cpras'!M110,Table_58[TOTAL])+SUMIF(Table_56[Tipo de Gasto],'Asto-Cpras'!M110,Table_56[Otros / No Grav.])</f>
        <v>117580</v>
      </c>
      <c r="O110" s="293"/>
    </row>
    <row r="111" spans="2:15" ht="15.75" customHeight="1" x14ac:dyDescent="0.25">
      <c r="B111" s="290">
        <f>IF($B$21="","",$B$21)</f>
        <v>510.1</v>
      </c>
      <c r="C111" s="291" t="str">
        <f>IF($C$21="","",$C$21)</f>
        <v>HONORARIOS CONTABLES</v>
      </c>
      <c r="D111" s="347">
        <f>SUMIF(Table_42[Tipo de Gasto],'Asto-Cpras'!C111,Table_42[NETO GRAVADO])+SUMIF(Table_44[TIPO DE GASTO],'Asto-Cpras'!C111,Table_44[TOTAL])+SUMIF(Table_42[Tipo de Gasto],'Asto-Cpras'!C111,Table_42[Otros / No Grav.])</f>
        <v>0</v>
      </c>
      <c r="E111" s="293"/>
      <c r="F111" s="89"/>
      <c r="G111" s="290">
        <f>IF($B$21="","",$B$21)</f>
        <v>510.1</v>
      </c>
      <c r="H111" s="291" t="str">
        <f>IF($C$21="","",$C$21)</f>
        <v>HONORARIOS CONTABLES</v>
      </c>
      <c r="I111" s="347">
        <f>SUMIF(Table_49[Tipo de Gasto],'Asto-Cpras'!H111,Table_49[NETO GRAVADO])+SUMIF(Table_51[TIPO DE GASTO],'Asto-Cpras'!H111,Table_51[TOTAL])+SUMIF(Table_49[Tipo de Gasto],'Asto-Cpras'!H111,Table_49[Otros / No Grav.])</f>
        <v>0</v>
      </c>
      <c r="J111" s="293"/>
      <c r="K111" s="89"/>
      <c r="L111" s="290">
        <f>IF($B$21="","",$B$21)</f>
        <v>510.1</v>
      </c>
      <c r="M111" s="291" t="str">
        <f>IF($C$21="","",$C$21)</f>
        <v>HONORARIOS CONTABLES</v>
      </c>
      <c r="N111" s="347">
        <f>SUMIF(Table_56[Tipo de Gasto],'Asto-Cpras'!M111,Table_56[NETO GRAVADO])+SUMIF(Table_58[TIPO DE GASTO],'Asto-Cpras'!M111,Table_58[TOTAL])+SUMIF(Table_56[Tipo de Gasto],'Asto-Cpras'!M111,Table_56[Otros / No Grav.])</f>
        <v>109350</v>
      </c>
      <c r="O111" s="293"/>
    </row>
    <row r="112" spans="2:15" ht="15.75" customHeight="1" x14ac:dyDescent="0.25">
      <c r="B112" s="290">
        <f>IF($B$22="","",$B$22)</f>
        <v>510.11</v>
      </c>
      <c r="C112" s="291" t="str">
        <f>IF($C$22="","",$C$22)</f>
        <v>HONORARIOS LEGALES</v>
      </c>
      <c r="D112" s="347">
        <f>SUMIF(Table_42[Tipo de Gasto],'Asto-Cpras'!C112,Table_42[NETO GRAVADO])+SUMIF(Table_44[TIPO DE GASTO],'Asto-Cpras'!C112,Table_44[TOTAL])+SUMIF(Table_42[Tipo de Gasto],'Asto-Cpras'!C112,Table_42[Otros / No Grav.])</f>
        <v>3877</v>
      </c>
      <c r="E112" s="293"/>
      <c r="F112" s="89"/>
      <c r="G112" s="290">
        <f>IF($B$22="","",$B$22)</f>
        <v>510.11</v>
      </c>
      <c r="H112" s="291" t="str">
        <f>IF($C$22="","",$C$22)</f>
        <v>HONORARIOS LEGALES</v>
      </c>
      <c r="I112" s="347">
        <f>SUMIF(Table_49[Tipo de Gasto],'Asto-Cpras'!H112,Table_49[NETO GRAVADO])+SUMIF(Table_51[TIPO DE GASTO],'Asto-Cpras'!H112,Table_51[TOTAL])+SUMIF(Table_49[Tipo de Gasto],'Asto-Cpras'!H112,Table_49[Otros / No Grav.])</f>
        <v>55552</v>
      </c>
      <c r="J112" s="293"/>
      <c r="K112" s="89"/>
      <c r="L112" s="290">
        <f>IF($B$22="","",$B$22)</f>
        <v>510.11</v>
      </c>
      <c r="M112" s="291" t="str">
        <f>IF($C$22="","",$C$22)</f>
        <v>HONORARIOS LEGALES</v>
      </c>
      <c r="N112" s="347">
        <f>SUMIF(Table_56[Tipo de Gasto],'Asto-Cpras'!M112,Table_56[NETO GRAVADO])+SUMIF(Table_58[TIPO DE GASTO],'Asto-Cpras'!M112,Table_58[TOTAL])+SUMIF(Table_56[Tipo de Gasto],'Asto-Cpras'!M112,Table_56[Otros / No Grav.])</f>
        <v>50000</v>
      </c>
      <c r="O112" s="293"/>
    </row>
    <row r="113" spans="2:15" ht="15.75" customHeight="1" x14ac:dyDescent="0.25">
      <c r="B113" s="290" t="str">
        <f>IF($B$23="","",$B$23)</f>
        <v/>
      </c>
      <c r="C113" s="291" t="str">
        <f>IF($C$23="","",$C$23)</f>
        <v>Honorarios Profesionales</v>
      </c>
      <c r="D113" s="347">
        <f>SUMIF(Table_42[Tipo de Gasto],'Asto-Cpras'!C113,Table_42[NETO GRAVADO])+SUMIF(Table_44[TIPO DE GASTO],'Asto-Cpras'!C113,Table_44[TOTAL])+SUMIF(Table_42[Tipo de Gasto],'Asto-Cpras'!C113,Table_42[Otros / No Grav.])</f>
        <v>98547.45</v>
      </c>
      <c r="E113" s="293"/>
      <c r="F113" s="89"/>
      <c r="G113" s="290" t="str">
        <f>IF($B$23="","",$B$23)</f>
        <v/>
      </c>
      <c r="H113" s="291" t="str">
        <f>IF($C$23="","",$C$23)</f>
        <v>Honorarios Profesionales</v>
      </c>
      <c r="I113" s="347">
        <f>SUMIF(Table_49[Tipo de Gasto],'Asto-Cpras'!H113,Table_49[NETO GRAVADO])+SUMIF(Table_51[TIPO DE GASTO],'Asto-Cpras'!H113,Table_51[TOTAL])+SUMIF(Table_49[Tipo de Gasto],'Asto-Cpras'!H113,Table_49[Otros / No Grav.])</f>
        <v>68199</v>
      </c>
      <c r="J113" s="293"/>
      <c r="K113" s="89"/>
      <c r="L113" s="290" t="str">
        <f>IF($B$23="","",$B$23)</f>
        <v/>
      </c>
      <c r="M113" s="291" t="str">
        <f>IF($C$23="","",$C$23)</f>
        <v>Honorarios Profesionales</v>
      </c>
      <c r="N113" s="347">
        <f>SUMIF(Table_56[Tipo de Gasto],'Asto-Cpras'!M113,Table_56[NETO GRAVADO])+SUMIF(Table_58[TIPO DE GASTO],'Asto-Cpras'!M113,Table_58[TOTAL])+SUMIF(Table_56[Tipo de Gasto],'Asto-Cpras'!M113,Table_56[Otros / No Grav.])</f>
        <v>21300</v>
      </c>
      <c r="O113" s="293"/>
    </row>
    <row r="114" spans="2:15" ht="15.75" customHeight="1" x14ac:dyDescent="0.25">
      <c r="B114" s="290">
        <f>IF($B$24="","",$B$24)</f>
        <v>121.12</v>
      </c>
      <c r="C114" s="291" t="str">
        <f>IF($C$24="","",$C$24)</f>
        <v>INSUMO</v>
      </c>
      <c r="D114" s="347">
        <f>SUMIF(Table_42[Tipo de Gasto],'Asto-Cpras'!C114,Table_42[NETO GRAVADO])+SUMIF(Table_44[TIPO DE GASTO],'Asto-Cpras'!C114,Table_44[TOTAL])+SUMIF(Table_42[Tipo de Gasto],'Asto-Cpras'!C114,Table_42[Otros / No Grav.])</f>
        <v>846055.48</v>
      </c>
      <c r="E114" s="293"/>
      <c r="F114" s="89"/>
      <c r="G114" s="290">
        <f>IF($B$24="","",$B$24)</f>
        <v>121.12</v>
      </c>
      <c r="H114" s="291" t="str">
        <f>IF($C$24="","",$C$24)</f>
        <v>INSUMO</v>
      </c>
      <c r="I114" s="347">
        <f>SUMIF(Table_49[Tipo de Gasto],'Asto-Cpras'!H114,Table_49[NETO GRAVADO])+SUMIF(Table_51[TIPO DE GASTO],'Asto-Cpras'!H114,Table_51[TOTAL])+SUMIF(Table_49[Tipo de Gasto],'Asto-Cpras'!H114,Table_49[Otros / No Grav.])</f>
        <v>1258545.6640000001</v>
      </c>
      <c r="J114" s="293"/>
      <c r="K114" s="89"/>
      <c r="L114" s="290">
        <f>IF($B$24="","",$B$24)</f>
        <v>121.12</v>
      </c>
      <c r="M114" s="291" t="str">
        <f>IF($C$24="","",$C$24)</f>
        <v>INSUMO</v>
      </c>
      <c r="N114" s="347">
        <f>SUMIF(Table_56[Tipo de Gasto],'Asto-Cpras'!M114,Table_56[NETO GRAVADO])+SUMIF(Table_58[TIPO DE GASTO],'Asto-Cpras'!M114,Table_58[TOTAL])+SUMIF(Table_56[Tipo de Gasto],'Asto-Cpras'!M114,Table_56[Otros / No Grav.])</f>
        <v>674031.4600000002</v>
      </c>
      <c r="O114" s="293"/>
    </row>
    <row r="115" spans="2:15" ht="15.75" customHeight="1" x14ac:dyDescent="0.25">
      <c r="B115" s="290">
        <f>IF($B$25="","",$B$25)</f>
        <v>507.50200000000001</v>
      </c>
      <c r="C115" s="291" t="str">
        <f>IF($C$25="","",$C$25)</f>
        <v>ISO 9001</v>
      </c>
      <c r="D115" s="347">
        <f>SUMIF(Table_42[Tipo de Gasto],'Asto-Cpras'!C115,Table_42[NETO GRAVADO])+SUMIF(Table_44[TIPO DE GASTO],'Asto-Cpras'!C115,Table_44[TOTAL])+SUMIF(Table_42[Tipo de Gasto],'Asto-Cpras'!C115,Table_42[Otros / No Grav.])</f>
        <v>0</v>
      </c>
      <c r="E115" s="293"/>
      <c r="F115" s="89"/>
      <c r="G115" s="290">
        <f>IF($B$25="","",$B$25)</f>
        <v>507.50200000000001</v>
      </c>
      <c r="H115" s="291" t="str">
        <f>IF($C$25="","",$C$25)</f>
        <v>ISO 9001</v>
      </c>
      <c r="I115" s="347">
        <f>SUMIF(Table_49[Tipo de Gasto],'Asto-Cpras'!H115,Table_49[NETO GRAVADO])+SUMIF(Table_51[TIPO DE GASTO],'Asto-Cpras'!H115,Table_51[TOTAL])+SUMIF(Table_49[Tipo de Gasto],'Asto-Cpras'!H115,Table_49[Otros / No Grav.])</f>
        <v>0</v>
      </c>
      <c r="J115" s="293"/>
      <c r="K115" s="89"/>
      <c r="L115" s="290">
        <f>IF($B$25="","",$B$25)</f>
        <v>507.50200000000001</v>
      </c>
      <c r="M115" s="291" t="str">
        <f>IF($C$25="","",$C$25)</f>
        <v>ISO 9001</v>
      </c>
      <c r="N115" s="347">
        <f>SUMIF(Table_56[Tipo de Gasto],'Asto-Cpras'!M115,Table_56[NETO GRAVADO])+SUMIF(Table_58[TIPO DE GASTO],'Asto-Cpras'!M115,Table_58[TOTAL])+SUMIF(Table_56[Tipo de Gasto],'Asto-Cpras'!M115,Table_56[Otros / No Grav.])</f>
        <v>0</v>
      </c>
      <c r="O115" s="293"/>
    </row>
    <row r="116" spans="2:15" ht="15.75" customHeight="1" x14ac:dyDescent="0.25">
      <c r="B116" s="290">
        <f>IF($B$26="","",$B$26)</f>
        <v>500.02600000000001</v>
      </c>
      <c r="C116" s="291" t="str">
        <f>IF($C$26="","",$C$26)</f>
        <v>Mantenimiento</v>
      </c>
      <c r="D116" s="347">
        <f>SUMIF(Table_42[Tipo de Gasto],'Asto-Cpras'!C116,Table_42[NETO GRAVADO])+SUMIF(Table_44[TIPO DE GASTO],'Asto-Cpras'!C116,Table_44[TOTAL])+SUMIF(Table_42[Tipo de Gasto],'Asto-Cpras'!C116,Table_42[Otros / No Grav.])</f>
        <v>26565.96</v>
      </c>
      <c r="E116" s="293"/>
      <c r="F116" s="89"/>
      <c r="G116" s="290">
        <f>IF($B$26="","",$B$26)</f>
        <v>500.02600000000001</v>
      </c>
      <c r="H116" s="291" t="str">
        <f>IF($C$26="","",$C$26)</f>
        <v>Mantenimiento</v>
      </c>
      <c r="I116" s="347">
        <f>SUMIF(Table_49[Tipo de Gasto],'Asto-Cpras'!H116,Table_49[NETO GRAVADO])+SUMIF(Table_51[TIPO DE GASTO],'Asto-Cpras'!H116,Table_51[TOTAL])+SUMIF(Table_49[Tipo de Gasto],'Asto-Cpras'!H116,Table_49[Otros / No Grav.])</f>
        <v>40988</v>
      </c>
      <c r="J116" s="293"/>
      <c r="K116" s="89"/>
      <c r="L116" s="290">
        <f>IF($B$26="","",$B$26)</f>
        <v>500.02600000000001</v>
      </c>
      <c r="M116" s="291" t="str">
        <f>IF($C$26="","",$C$26)</f>
        <v>Mantenimiento</v>
      </c>
      <c r="N116" s="347">
        <f>SUMIF(Table_56[Tipo de Gasto],'Asto-Cpras'!M116,Table_56[NETO GRAVADO])+SUMIF(Table_58[TIPO DE GASTO],'Asto-Cpras'!M116,Table_58[TOTAL])+SUMIF(Table_56[Tipo de Gasto],'Asto-Cpras'!M116,Table_56[Otros / No Grav.])</f>
        <v>0</v>
      </c>
      <c r="O116" s="293"/>
    </row>
    <row r="117" spans="2:15" ht="15.75" customHeight="1" x14ac:dyDescent="0.25">
      <c r="B117" s="290">
        <f>IF($B$27="","",$B$27)</f>
        <v>500.02600000000001</v>
      </c>
      <c r="C117" s="291" t="str">
        <f>IF($C$27="","",$C$27)</f>
        <v>Mantenimiento Rodados</v>
      </c>
      <c r="D117" s="347">
        <f>SUMIF(Table_42[Tipo de Gasto],'Asto-Cpras'!C117,Table_42[NETO GRAVADO])+SUMIF(Table_44[TIPO DE GASTO],'Asto-Cpras'!C117,Table_44[TOTAL])+SUMIF(Table_42[Tipo de Gasto],'Asto-Cpras'!C117,Table_42[Otros / No Grav.])</f>
        <v>0</v>
      </c>
      <c r="E117" s="293"/>
      <c r="F117" s="89"/>
      <c r="G117" s="290">
        <f>IF($B$27="","",$B$27)</f>
        <v>500.02600000000001</v>
      </c>
      <c r="H117" s="291" t="str">
        <f>IF($C$27="","",$C$27)</f>
        <v>Mantenimiento Rodados</v>
      </c>
      <c r="I117" s="347">
        <f>SUMIF(Table_49[Tipo de Gasto],'Asto-Cpras'!H117,Table_49[NETO GRAVADO])+SUMIF(Table_51[TIPO DE GASTO],'Asto-Cpras'!H117,Table_51[TOTAL])+SUMIF(Table_49[Tipo de Gasto],'Asto-Cpras'!H117,Table_49[Otros / No Grav.])</f>
        <v>0</v>
      </c>
      <c r="J117" s="293"/>
      <c r="L117" s="290">
        <f>IF($B$27="","",$B$27)</f>
        <v>500.02600000000001</v>
      </c>
      <c r="M117" s="291" t="str">
        <f>IF($C$27="","",$C$27)</f>
        <v>Mantenimiento Rodados</v>
      </c>
      <c r="N117" s="347">
        <f>SUMIF(Table_56[Tipo de Gasto],'Asto-Cpras'!M117,Table_56[NETO GRAVADO])+SUMIF(Table_58[TIPO DE GASTO],'Asto-Cpras'!M117,Table_58[TOTAL])+SUMIF(Table_56[Tipo de Gasto],'Asto-Cpras'!M117,Table_56[Otros / No Grav.])</f>
        <v>0</v>
      </c>
      <c r="O117" s="293"/>
    </row>
    <row r="118" spans="2:15" ht="15.75" customHeight="1" x14ac:dyDescent="0.25">
      <c r="B118" s="290">
        <f>IF($B$28="","",$B$28)</f>
        <v>121.9</v>
      </c>
      <c r="C118" s="291" t="str">
        <f>IF($C$28="","",$C$28)</f>
        <v>MAT. PRIM.</v>
      </c>
      <c r="D118" s="347">
        <f>SUMIF(Table_42[Tipo de Gasto],'Asto-Cpras'!C118,Table_42[NETO GRAVADO])+SUMIF(Table_44[TIPO DE GASTO],'Asto-Cpras'!C118,Table_44[TOTAL])+SUMIF(Table_42[Tipo de Gasto],'Asto-Cpras'!C118,Table_42[Otros / No Grav.])</f>
        <v>651698.5</v>
      </c>
      <c r="E118" s="293"/>
      <c r="F118" s="89"/>
      <c r="G118" s="290">
        <f>IF($B$28="","",$B$28)</f>
        <v>121.9</v>
      </c>
      <c r="H118" s="291" t="str">
        <f>IF($C$28="","",$C$28)</f>
        <v>MAT. PRIM.</v>
      </c>
      <c r="I118" s="347">
        <f>SUMIF(Table_49[Tipo de Gasto],'Asto-Cpras'!H118,Table_49[NETO GRAVADO])+SUMIF(Table_51[TIPO DE GASTO],'Asto-Cpras'!H118,Table_51[TOTAL])+SUMIF(Table_49[Tipo de Gasto],'Asto-Cpras'!H118,Table_49[Otros / No Grav.])</f>
        <v>301707.13</v>
      </c>
      <c r="J118" s="293"/>
      <c r="L118" s="290">
        <f>IF($B$28="","",$B$28)</f>
        <v>121.9</v>
      </c>
      <c r="M118" s="291" t="str">
        <f>IF($C$28="","",$C$28)</f>
        <v>MAT. PRIM.</v>
      </c>
      <c r="N118" s="347">
        <f>SUMIF(Table_56[Tipo de Gasto],'Asto-Cpras'!M118,Table_56[NETO GRAVADO])+SUMIF(Table_58[TIPO DE GASTO],'Asto-Cpras'!M118,Table_58[TOTAL])+SUMIF(Table_56[Tipo de Gasto],'Asto-Cpras'!M118,Table_56[Otros / No Grav.])</f>
        <v>826192</v>
      </c>
      <c r="O118" s="293"/>
    </row>
    <row r="119" spans="2:15" ht="15.75" customHeight="1" x14ac:dyDescent="0.25">
      <c r="B119" s="290">
        <f>IF($B$29="","",$B$29)</f>
        <v>500.01499999999999</v>
      </c>
      <c r="C119" s="291" t="str">
        <f>IF($C$29="","",$C$29)</f>
        <v xml:space="preserve">Papeleria e Impresos </v>
      </c>
      <c r="D119" s="347">
        <f>SUMIF(Table_42[Tipo de Gasto],'Asto-Cpras'!C119,Table_42[NETO GRAVADO])+SUMIF(Table_44[TIPO DE GASTO],'Asto-Cpras'!C119,Table_44[TOTAL])+SUMIF(Table_42[Tipo de Gasto],'Asto-Cpras'!C119,Table_42[Otros / No Grav.])</f>
        <v>66174.425428571441</v>
      </c>
      <c r="E119" s="293"/>
      <c r="F119" s="89"/>
      <c r="G119" s="290">
        <f>IF($B$29="","",$B$29)</f>
        <v>500.01499999999999</v>
      </c>
      <c r="H119" s="291" t="str">
        <f>IF($C$29="","",$C$29)</f>
        <v xml:space="preserve">Papeleria e Impresos </v>
      </c>
      <c r="I119" s="347">
        <f>SUMIF(Table_49[Tipo de Gasto],'Asto-Cpras'!H119,Table_49[NETO GRAVADO])+SUMIF(Table_51[TIPO DE GASTO],'Asto-Cpras'!H119,Table_51[TOTAL])+SUMIF(Table_49[Tipo de Gasto],'Asto-Cpras'!H119,Table_49[Otros / No Grav.])</f>
        <v>3140.48</v>
      </c>
      <c r="J119" s="293"/>
      <c r="L119" s="290">
        <f>IF($B$29="","",$B$29)</f>
        <v>500.01499999999999</v>
      </c>
      <c r="M119" s="291" t="str">
        <f>IF($C$29="","",$C$29)</f>
        <v xml:space="preserve">Papeleria e Impresos </v>
      </c>
      <c r="N119" s="347">
        <f>SUMIF(Table_56[Tipo de Gasto],'Asto-Cpras'!M119,Table_56[NETO GRAVADO])+SUMIF(Table_58[TIPO DE GASTO],'Asto-Cpras'!M119,Table_58[TOTAL])+SUMIF(Table_56[Tipo de Gasto],'Asto-Cpras'!M119,Table_56[Otros / No Grav.])</f>
        <v>0</v>
      </c>
      <c r="O119" s="293"/>
    </row>
    <row r="120" spans="2:15" ht="15.75" customHeight="1" x14ac:dyDescent="0.25">
      <c r="B120" s="290">
        <f>IF($B$30="","",$B$30)</f>
        <v>500.005</v>
      </c>
      <c r="C120" s="291" t="str">
        <f>IF($C$30="","",$C$30)</f>
        <v>SERVICIO</v>
      </c>
      <c r="D120" s="347">
        <f>SUMIF(Table_42[Tipo de Gasto],'Asto-Cpras'!C120,Table_42[NETO GRAVADO])+SUMIF(Table_44[TIPO DE GASTO],'Asto-Cpras'!C120,Table_44[TOTAL])+SUMIF(Table_42[Tipo de Gasto],'Asto-Cpras'!C120,Table_42[Otros / No Grav.])</f>
        <v>14000</v>
      </c>
      <c r="E120" s="293"/>
      <c r="F120" s="89"/>
      <c r="G120" s="290">
        <f>IF($B$30="","",$B$30)</f>
        <v>500.005</v>
      </c>
      <c r="H120" s="291" t="str">
        <f>IF($C$30="","",$C$30)</f>
        <v>SERVICIO</v>
      </c>
      <c r="I120" s="347">
        <f>SUMIF(Table_49[Tipo de Gasto],'Asto-Cpras'!H120,Table_49[NETO GRAVADO])+SUMIF(Table_51[TIPO DE GASTO],'Asto-Cpras'!H120,Table_51[TOTAL])+SUMIF(Table_49[Tipo de Gasto],'Asto-Cpras'!H120,Table_49[Otros / No Grav.])</f>
        <v>0</v>
      </c>
      <c r="J120" s="293"/>
      <c r="L120" s="290">
        <f>IF($B$30="","",$B$30)</f>
        <v>500.005</v>
      </c>
      <c r="M120" s="291" t="str">
        <f>IF($C$30="","",$C$30)</f>
        <v>SERVICIO</v>
      </c>
      <c r="N120" s="347">
        <f>SUMIF(Table_56[Tipo de Gasto],'Asto-Cpras'!M120,Table_56[NETO GRAVADO])+SUMIF(Table_58[TIPO DE GASTO],'Asto-Cpras'!M120,Table_58[TOTAL])+SUMIF(Table_56[Tipo de Gasto],'Asto-Cpras'!M120,Table_56[Otros / No Grav.])</f>
        <v>0</v>
      </c>
      <c r="O120" s="293"/>
    </row>
    <row r="121" spans="2:15" ht="15.75" customHeight="1" x14ac:dyDescent="0.25">
      <c r="B121" s="290">
        <f>IF($B$31="","",$B$31)</f>
        <v>508.1</v>
      </c>
      <c r="C121" s="291" t="str">
        <f>IF($C$31="","",$C$31)</f>
        <v>SERVICIOS DE PUBLICIDAD</v>
      </c>
      <c r="D121" s="347">
        <f>SUMIF(Table_42[Tipo de Gasto],'Asto-Cpras'!C121,Table_42[NETO GRAVADO])+SUMIF(Table_44[TIPO DE GASTO],'Asto-Cpras'!C121,Table_44[TOTAL])+SUMIF(Table_42[Tipo de Gasto],'Asto-Cpras'!C121,Table_42[Otros / No Grav.])</f>
        <v>120000</v>
      </c>
      <c r="E121" s="293"/>
      <c r="F121" s="89"/>
      <c r="G121" s="290">
        <f>IF($B$31="","",$B$31)</f>
        <v>508.1</v>
      </c>
      <c r="H121" s="291" t="str">
        <f>IF($C$31="","",$C$31)</f>
        <v>SERVICIOS DE PUBLICIDAD</v>
      </c>
      <c r="I121" s="347">
        <f>SUMIF(Table_49[Tipo de Gasto],'Asto-Cpras'!H121,Table_49[NETO GRAVADO])+SUMIF(Table_51[TIPO DE GASTO],'Asto-Cpras'!H121,Table_51[TOTAL])+SUMIF(Table_49[Tipo de Gasto],'Asto-Cpras'!H121,Table_49[Otros / No Grav.])</f>
        <v>197000</v>
      </c>
      <c r="J121" s="293"/>
      <c r="L121" s="290">
        <f>IF($B$31="","",$B$31)</f>
        <v>508.1</v>
      </c>
      <c r="M121" s="291" t="str">
        <f>IF($C$31="","",$C$31)</f>
        <v>SERVICIOS DE PUBLICIDAD</v>
      </c>
      <c r="N121" s="347">
        <f>SUMIF(Table_56[Tipo de Gasto],'Asto-Cpras'!M121,Table_56[NETO GRAVADO])+SUMIF(Table_58[TIPO DE GASTO],'Asto-Cpras'!M121,Table_58[TOTAL])+SUMIF(Table_56[Tipo de Gasto],'Asto-Cpras'!M121,Table_56[Otros / No Grav.])</f>
        <v>0</v>
      </c>
      <c r="O121" s="293"/>
    </row>
    <row r="122" spans="2:15" ht="15.75" customHeight="1" x14ac:dyDescent="0.25">
      <c r="B122" s="290">
        <f>IF($B$32="","",$B$32)</f>
        <v>500.005</v>
      </c>
      <c r="C122" s="291" t="str">
        <f>IF($C$32="","",$C$32)</f>
        <v>SERVICIOS GAS, LUZ, ETC</v>
      </c>
      <c r="D122" s="347">
        <f>SUMIF(Table_42[Tipo de Gasto],'Asto-Cpras'!C122,Table_42[NETO GRAVADO])+SUMIF(Table_44[TIPO DE GASTO],'Asto-Cpras'!C122,Table_44[TOTAL])+SUMIF(Table_42[Tipo de Gasto],'Asto-Cpras'!C122,Table_42[Otros / No Grav.])</f>
        <v>6822.46</v>
      </c>
      <c r="E122" s="293"/>
      <c r="F122" s="89"/>
      <c r="G122" s="290">
        <f>IF($B$32="","",$B$32)</f>
        <v>500.005</v>
      </c>
      <c r="H122" s="291" t="str">
        <f>IF($C$32="","",$C$32)</f>
        <v>SERVICIOS GAS, LUZ, ETC</v>
      </c>
      <c r="I122" s="347">
        <f>SUMIF(Table_49[Tipo de Gasto],'Asto-Cpras'!H122,Table_49[NETO GRAVADO])+SUMIF(Table_51[TIPO DE GASTO],'Asto-Cpras'!H122,Table_51[TOTAL])+SUMIF(Table_49[Tipo de Gasto],'Asto-Cpras'!H122,Table_49[Otros / No Grav.])</f>
        <v>6661.67</v>
      </c>
      <c r="J122" s="293"/>
      <c r="L122" s="290">
        <f>IF($B$32="","",$B$32)</f>
        <v>500.005</v>
      </c>
      <c r="M122" s="291" t="str">
        <f>IF($C$32="","",$C$32)</f>
        <v>SERVICIOS GAS, LUZ, ETC</v>
      </c>
      <c r="N122" s="347">
        <f>SUMIF(Table_56[Tipo de Gasto],'Asto-Cpras'!M122,Table_56[NETO GRAVADO])+SUMIF(Table_58[TIPO DE GASTO],'Asto-Cpras'!M122,Table_58[TOTAL])+SUMIF(Table_56[Tipo de Gasto],'Asto-Cpras'!M122,Table_56[Otros / No Grav.])</f>
        <v>12116.69</v>
      </c>
      <c r="O122" s="293"/>
    </row>
    <row r="123" spans="2:15" ht="15.75" customHeight="1" x14ac:dyDescent="0.25">
      <c r="B123" s="290">
        <f>IF($B$33="","",$B$33)</f>
        <v>500.03100000000001</v>
      </c>
      <c r="C123" s="291" t="str">
        <f>IF($C$33="","",$C$33)</f>
        <v>Servicios Informatica</v>
      </c>
      <c r="D123" s="347">
        <f>SUMIF(Table_42[Tipo de Gasto],'Asto-Cpras'!C123,Table_42[NETO GRAVADO])+SUMIF(Table_44[TIPO DE GASTO],'Asto-Cpras'!C123,Table_44[TOTAL])+SUMIF(Table_42[Tipo de Gasto],'Asto-Cpras'!C123,Table_42[Otros / No Grav.])</f>
        <v>330000</v>
      </c>
      <c r="E123" s="293"/>
      <c r="F123" s="89"/>
      <c r="G123" s="290">
        <f>IF($B$33="","",$B$33)</f>
        <v>500.03100000000001</v>
      </c>
      <c r="H123" s="291" t="str">
        <f>IF($C$33="","",$C$33)</f>
        <v>Servicios Informatica</v>
      </c>
      <c r="I123" s="347">
        <f>SUMIF(Table_49[Tipo de Gasto],'Asto-Cpras'!H123,Table_49[NETO GRAVADO])+SUMIF(Table_51[TIPO DE GASTO],'Asto-Cpras'!H123,Table_51[TOTAL])+SUMIF(Table_49[Tipo de Gasto],'Asto-Cpras'!H123,Table_49[Otros / No Grav.])</f>
        <v>330000</v>
      </c>
      <c r="J123" s="293"/>
      <c r="L123" s="290">
        <f>IF($B$33="","",$B$33)</f>
        <v>500.03100000000001</v>
      </c>
      <c r="M123" s="291" t="str">
        <f>IF($C$33="","",$C$33)</f>
        <v>Servicios Informatica</v>
      </c>
      <c r="N123" s="347">
        <f>SUMIF(Table_56[Tipo de Gasto],'Asto-Cpras'!M123,Table_56[NETO GRAVADO])+SUMIF(Table_58[TIPO DE GASTO],'Asto-Cpras'!M123,Table_58[TOTAL])+SUMIF(Table_56[Tipo de Gasto],'Asto-Cpras'!M123,Table_56[Otros / No Grav.])</f>
        <v>330000</v>
      </c>
      <c r="O123" s="293"/>
    </row>
    <row r="124" spans="2:15" ht="15.75" customHeight="1" x14ac:dyDescent="0.25">
      <c r="B124" s="290">
        <f>IF($B$34="","",$B$34)</f>
        <v>500.036</v>
      </c>
      <c r="C124" s="291" t="str">
        <f>IF($C$34="","",$C$34)</f>
        <v>Servicios Torneria</v>
      </c>
      <c r="D124" s="347">
        <f>SUMIF(Table_42[Tipo de Gasto],'Asto-Cpras'!C124,Table_42[NETO GRAVADO])+SUMIF(Table_44[TIPO DE GASTO],'Asto-Cpras'!C124,Table_44[TOTAL])+SUMIF(Table_42[Tipo de Gasto],'Asto-Cpras'!C124,Table_42[Otros / No Grav.])</f>
        <v>92546.72</v>
      </c>
      <c r="E124" s="293"/>
      <c r="F124" s="89"/>
      <c r="G124" s="290">
        <f>IF($B$34="","",$B$34)</f>
        <v>500.036</v>
      </c>
      <c r="H124" s="291" t="str">
        <f>IF($C$34="","",$C$34)</f>
        <v>Servicios Torneria</v>
      </c>
      <c r="I124" s="347">
        <f>SUMIF(Table_49[Tipo de Gasto],'Asto-Cpras'!H124,Table_49[NETO GRAVADO])+SUMIF(Table_51[TIPO DE GASTO],'Asto-Cpras'!H124,Table_51[TOTAL])+SUMIF(Table_49[Tipo de Gasto],'Asto-Cpras'!H124,Table_49[Otros / No Grav.])</f>
        <v>0</v>
      </c>
      <c r="J124" s="293"/>
      <c r="L124" s="290">
        <f>IF($B$34="","",$B$34)</f>
        <v>500.036</v>
      </c>
      <c r="M124" s="291" t="str">
        <f>IF($C$34="","",$C$34)</f>
        <v>Servicios Torneria</v>
      </c>
      <c r="N124" s="347">
        <f>SUMIF(Table_56[Tipo de Gasto],'Asto-Cpras'!M124,Table_56[NETO GRAVADO])+SUMIF(Table_58[TIPO DE GASTO],'Asto-Cpras'!M124,Table_58[TOTAL])+SUMIF(Table_56[Tipo de Gasto],'Asto-Cpras'!M124,Table_56[Otros / No Grav.])</f>
        <v>511191.99999999994</v>
      </c>
      <c r="O124" s="293"/>
    </row>
    <row r="125" spans="2:15" ht="15.75" customHeight="1" x14ac:dyDescent="0.25">
      <c r="B125" s="290">
        <f>IF($B$35="","",$B$35)</f>
        <v>500.00900000000001</v>
      </c>
      <c r="C125" s="291" t="str">
        <f>IF($C$35="","",$C$35)</f>
        <v>SERVICIOS INTERNET</v>
      </c>
      <c r="D125" s="347">
        <f>SUMIF(Table_42[Tipo de Gasto],'Asto-Cpras'!C125,Table_42[NETO GRAVADO])+SUMIF(Table_44[TIPO DE GASTO],'Asto-Cpras'!C125,Table_44[TOTAL])+SUMIF(Table_42[Tipo de Gasto],'Asto-Cpras'!C125,Table_42[Otros / No Grav.])</f>
        <v>0</v>
      </c>
      <c r="E125" s="293"/>
      <c r="F125" s="89"/>
      <c r="G125" s="290">
        <f>IF($B$35="","",$B$35)</f>
        <v>500.00900000000001</v>
      </c>
      <c r="H125" s="291" t="str">
        <f>IF($C$35="","",$C$35)</f>
        <v>SERVICIOS INTERNET</v>
      </c>
      <c r="I125" s="347">
        <f>SUMIF(Table_49[Tipo de Gasto],'Asto-Cpras'!H125,Table_49[NETO GRAVADO])+SUMIF(Table_51[TIPO DE GASTO],'Asto-Cpras'!H125,Table_51[TOTAL])+SUMIF(Table_49[Tipo de Gasto],'Asto-Cpras'!H125,Table_49[Otros / No Grav.])</f>
        <v>0</v>
      </c>
      <c r="J125" s="293"/>
      <c r="L125" s="290">
        <f>IF($B$35="","",$B$35)</f>
        <v>500.00900000000001</v>
      </c>
      <c r="M125" s="291" t="str">
        <f>IF($C$35="","",$C$35)</f>
        <v>SERVICIOS INTERNET</v>
      </c>
      <c r="N125" s="347">
        <f>SUMIF(Table_56[Tipo de Gasto],'Asto-Cpras'!M125,Table_56[NETO GRAVADO])+SUMIF(Table_58[TIPO DE GASTO],'Asto-Cpras'!M125,Table_58[TOTAL])+SUMIF(Table_56[Tipo de Gasto],'Asto-Cpras'!M125,Table_56[Otros / No Grav.])</f>
        <v>0</v>
      </c>
      <c r="O125" s="293"/>
    </row>
    <row r="126" spans="2:15" ht="15.75" customHeight="1" x14ac:dyDescent="0.25">
      <c r="B126" s="290">
        <f>IF($B$36="","",$B$36)</f>
        <v>500.03</v>
      </c>
      <c r="C126" s="291" t="s">
        <v>1767</v>
      </c>
      <c r="D126" s="347">
        <f>SUMIF(Table_42[Tipo de Gasto],'Asto-Cpras'!C126,Table_42[NETO GRAVADO])+SUMIF(Table_44[TIPO DE GASTO],'Asto-Cpras'!C126,Table_44[TOTAL])+SUMIF(Table_42[Tipo de Gasto],'Asto-Cpras'!C126,Table_42[Otros / No Grav.])</f>
        <v>0</v>
      </c>
      <c r="E126" s="293"/>
      <c r="F126" s="89"/>
      <c r="G126" s="290">
        <f>IF($B$36="","",$B$36)</f>
        <v>500.03</v>
      </c>
      <c r="H126" s="291" t="str">
        <f>IF($C$36="","",$C$36)</f>
        <v>Software Mantenimiento</v>
      </c>
      <c r="I126" s="347">
        <f>SUMIF(Table_49[Tipo de Gasto],'Asto-Cpras'!H126,Table_49[NETO GRAVADO])+SUMIF(Table_51[TIPO DE GASTO],'Asto-Cpras'!H126,Table_51[TOTAL])+SUMIF(Table_49[Tipo de Gasto],'Asto-Cpras'!H126,Table_49[Otros / No Grav.])</f>
        <v>381300</v>
      </c>
      <c r="J126" s="293"/>
      <c r="L126" s="290">
        <f>IF($B$36="","",$B$36)</f>
        <v>500.03</v>
      </c>
      <c r="M126" s="291" t="str">
        <f>IF($C$36="","",$C$36)</f>
        <v>Software Mantenimiento</v>
      </c>
      <c r="N126" s="347">
        <f>SUMIF(Table_56[Tipo de Gasto],'Asto-Cpras'!M126,Table_56[NETO GRAVADO])+SUMIF(Table_58[TIPO DE GASTO],'Asto-Cpras'!M126,Table_58[TOTAL])+SUMIF(Table_56[Tipo de Gasto],'Asto-Cpras'!M126,Table_56[Otros / No Grav.])</f>
        <v>210800</v>
      </c>
      <c r="O126" s="293"/>
    </row>
    <row r="127" spans="2:15" ht="15.75" customHeight="1" x14ac:dyDescent="0.25">
      <c r="B127" s="290">
        <f>IF($B$37="","",$B$37)</f>
        <v>500.024</v>
      </c>
      <c r="C127" s="291" t="str">
        <f>IF($C$37="","",$C$37)</f>
        <v>TAXI</v>
      </c>
      <c r="D127" s="347">
        <f>SUMIF(Table_42[Tipo de Gasto],'Asto-Cpras'!C127,Table_42[NETO GRAVADO])+SUMIF(Table_44[TIPO DE GASTO],'Asto-Cpras'!C127,Table_44[TOTAL])+SUMIF(Table_42[Tipo de Gasto],'Asto-Cpras'!C127,Table_42[Otros / No Grav.])</f>
        <v>0</v>
      </c>
      <c r="E127" s="293"/>
      <c r="F127" s="89"/>
      <c r="G127" s="290">
        <f>IF($B$37="","",$B$37)</f>
        <v>500.024</v>
      </c>
      <c r="H127" s="291" t="str">
        <f>IF($C$37="","",$C$37)</f>
        <v>TAXI</v>
      </c>
      <c r="I127" s="347">
        <f>SUMIF(Table_49[Tipo de Gasto],'Asto-Cpras'!H127,Table_49[NETO GRAVADO])+SUMIF(Table_51[TIPO DE GASTO],'Asto-Cpras'!H127,Table_51[TOTAL])+SUMIF(Table_49[Tipo de Gasto],'Asto-Cpras'!H127,Table_49[Otros / No Grav.])</f>
        <v>0</v>
      </c>
      <c r="J127" s="293"/>
      <c r="L127" s="290">
        <f>IF($B$37="","",$B$37)</f>
        <v>500.024</v>
      </c>
      <c r="M127" s="291" t="str">
        <f>IF($C$37="","",$C$37)</f>
        <v>TAXI</v>
      </c>
      <c r="N127" s="347">
        <f>SUMIF(Table_56[Tipo de Gasto],'Asto-Cpras'!M127,Table_56[NETO GRAVADO])+SUMIF(Table_58[TIPO DE GASTO],'Asto-Cpras'!M127,Table_58[TOTAL])+SUMIF(Table_56[Tipo de Gasto],'Asto-Cpras'!M127,Table_56[Otros / No Grav.])</f>
        <v>0</v>
      </c>
      <c r="O127" s="293"/>
    </row>
    <row r="128" spans="2:15" ht="15.75" customHeight="1" x14ac:dyDescent="0.25">
      <c r="B128" s="290">
        <f>IF($B$36="","",$B$36)</f>
        <v>500.03</v>
      </c>
      <c r="C128" s="291" t="str">
        <f>IF($C$38="","",$C$38)</f>
        <v>IVA 21%</v>
      </c>
      <c r="D128" s="347">
        <f>SUM(Table_42[IVA 21 %])-'Oct-22'!I50</f>
        <v>524196.41069999995</v>
      </c>
      <c r="E128" s="293"/>
      <c r="F128" s="89"/>
      <c r="G128" s="290">
        <f>IF($B$38="","",$B$38)</f>
        <v>107.1</v>
      </c>
      <c r="H128" s="291" t="str">
        <f>IF($C$38="","",$C$38)</f>
        <v>IVA 21%</v>
      </c>
      <c r="I128" s="292">
        <f>SUM(Table_49[IVA 21 %])-'Nov-22'!I63</f>
        <v>542047.20759000001</v>
      </c>
      <c r="J128" s="293"/>
      <c r="L128" s="290">
        <f>IF($B$38="","",$B$38)</f>
        <v>107.1</v>
      </c>
      <c r="M128" s="291" t="str">
        <f>IF($C$38="","",$C$38)</f>
        <v>IVA 21%</v>
      </c>
      <c r="N128" s="292">
        <f>SUM(Table_56[IVA 21 %])-'Dic-22'!I46</f>
        <v>534151.70339999988</v>
      </c>
      <c r="O128" s="293"/>
    </row>
    <row r="129" spans="2:15" ht="15.75" customHeight="1" x14ac:dyDescent="0.25">
      <c r="B129" s="290">
        <f>IF($B$37="","",$B$37)</f>
        <v>500.024</v>
      </c>
      <c r="C129" s="291" t="str">
        <f>IF($C$39="","",$C$39)</f>
        <v>IVA 27%</v>
      </c>
      <c r="D129" s="292">
        <f>SUM(Table_42[IVA 27%])-'Oct-22'!J50</f>
        <v>666.7</v>
      </c>
      <c r="E129" s="293"/>
      <c r="F129" s="89"/>
      <c r="G129" s="290">
        <f>IF($B$39="","",$B$39)</f>
        <v>107.101</v>
      </c>
      <c r="H129" s="291" t="str">
        <f>IF($C$39="","",$C$39)</f>
        <v>IVA 27%</v>
      </c>
      <c r="I129" s="292">
        <f>SUM(Table_49[IVA 27%])-'Nov-22'!J63</f>
        <v>758.16</v>
      </c>
      <c r="J129" s="293"/>
      <c r="L129" s="290">
        <f>IF($B$39="","",$B$39)</f>
        <v>107.101</v>
      </c>
      <c r="M129" s="291" t="str">
        <f>IF($C$39="","",$C$39)</f>
        <v>IVA 27%</v>
      </c>
      <c r="N129" s="292">
        <f>SUM(Table_56[IVA 27%])-'Dic-22'!J46</f>
        <v>2230.7399999999998</v>
      </c>
      <c r="O129" s="293"/>
    </row>
    <row r="130" spans="2:15" ht="15.75" customHeight="1" x14ac:dyDescent="0.25">
      <c r="B130" s="290">
        <f>IF($B$40="","",$B$40)</f>
        <v>107.102</v>
      </c>
      <c r="C130" s="291" t="str">
        <f>IF($C$40="","",$C$40)</f>
        <v>IVA 10,5%</v>
      </c>
      <c r="D130" s="292">
        <f>SUM(Table_42[IVA 10,5%])-'Oct-22'!K50</f>
        <v>6898.7473999999984</v>
      </c>
      <c r="E130" s="293"/>
      <c r="F130" s="89"/>
      <c r="G130" s="290">
        <f>IF($B$40="","",$B$40)</f>
        <v>107.102</v>
      </c>
      <c r="H130" s="291" t="str">
        <f>IF($C$40="","",$C$40)</f>
        <v>IVA 10,5%</v>
      </c>
      <c r="I130" s="292">
        <f>SUM(Table_49[IVA 10,5%])-'Nov-22'!K63</f>
        <v>43495.002849999997</v>
      </c>
      <c r="J130" s="293"/>
      <c r="L130" s="290">
        <f>IF($B$40="","",$B$40)</f>
        <v>107.102</v>
      </c>
      <c r="M130" s="291" t="str">
        <f>IF($C$40="","",$C$40)</f>
        <v>IVA 10,5%</v>
      </c>
      <c r="N130" s="292">
        <f>SUM(Table_56[IVA 10,5%])-'Dic-22'!K46</f>
        <v>147598.14000000001</v>
      </c>
      <c r="O130" s="293"/>
    </row>
    <row r="131" spans="2:15" ht="15.75" customHeight="1" x14ac:dyDescent="0.25">
      <c r="B131" s="290">
        <f>IF($B$41="","",$B$41)</f>
        <v>106.521</v>
      </c>
      <c r="C131" s="291" t="str">
        <f>IF($C$41="","",$C$41)</f>
        <v>PERC IIBB BS AS</v>
      </c>
      <c r="D131" s="292">
        <f>SUM(Table_42[PERC IIBB 
BS AS])-'Oct-22'!M50</f>
        <v>0</v>
      </c>
      <c r="E131" s="293"/>
      <c r="F131" s="89"/>
      <c r="G131" s="290">
        <f>IF($B$41="","",$B$41)</f>
        <v>106.521</v>
      </c>
      <c r="H131" s="291" t="str">
        <f>IF($C$41="","",$C$41)</f>
        <v>PERC IIBB BS AS</v>
      </c>
      <c r="I131" s="292">
        <f>SUM(Table_49[PERC IIBB 
BS AS])-'Nov-22'!M63</f>
        <v>0</v>
      </c>
      <c r="J131" s="293"/>
      <c r="L131" s="290">
        <f>IF($B$41="","",$B$41)</f>
        <v>106.521</v>
      </c>
      <c r="M131" s="291" t="str">
        <f>IF($C$41="","",$C$41)</f>
        <v>PERC IIBB BS AS</v>
      </c>
      <c r="N131" s="292">
        <f>SUM(Table_56[PERC IIBB 
BS AS])-'Dic-22'!M46</f>
        <v>0</v>
      </c>
      <c r="O131" s="293"/>
    </row>
    <row r="132" spans="2:15" ht="15.75" customHeight="1" x14ac:dyDescent="0.25">
      <c r="B132" s="290">
        <f>IF($B$42="","",$B$42)</f>
        <v>106.515</v>
      </c>
      <c r="C132" s="291" t="str">
        <f>IF($C$42="","",$C$42)</f>
        <v>PERC IIBB CABA</v>
      </c>
      <c r="D132" s="292">
        <f>SUM(Table_42[PERC. IIBB CABA])-'Oct-22'!N50</f>
        <v>0</v>
      </c>
      <c r="E132" s="293"/>
      <c r="F132" s="89"/>
      <c r="G132" s="290">
        <f>IF($B$42="","",$B$42)</f>
        <v>106.515</v>
      </c>
      <c r="H132" s="291" t="str">
        <f>IF($C$42="","",$C$42)</f>
        <v>PERC IIBB CABA</v>
      </c>
      <c r="I132" s="292">
        <f>SUM(Table_49[PERC. IIBB CABA])-'Nov-22'!N63</f>
        <v>0</v>
      </c>
      <c r="J132" s="293"/>
      <c r="L132" s="290">
        <f>IF($B$42="","",$B$42)</f>
        <v>106.515</v>
      </c>
      <c r="M132" s="291" t="str">
        <f>IF($C$42="","",$C$42)</f>
        <v>PERC IIBB CABA</v>
      </c>
      <c r="N132" s="292">
        <f>SUM(Table_56[PERC. IIBB CABA])-'Dic-22'!N46</f>
        <v>0</v>
      </c>
      <c r="O132" s="293"/>
    </row>
    <row r="133" spans="2:15" ht="15.75" customHeight="1" x14ac:dyDescent="0.25">
      <c r="B133" s="290">
        <f>IF($B$43="","",$B$43)</f>
        <v>106.535</v>
      </c>
      <c r="C133" s="291" t="str">
        <f>IF($C$43="","",$C$43)</f>
        <v>PERC. IVA</v>
      </c>
      <c r="D133" s="292">
        <f>SUM(Table_42[PERC. IVA])-'Oct-22'!L50</f>
        <v>0</v>
      </c>
      <c r="E133" s="297"/>
      <c r="F133" s="89"/>
      <c r="G133" s="290">
        <f>IF($B$43="","",$B$43)</f>
        <v>106.535</v>
      </c>
      <c r="H133" s="291" t="str">
        <f>IF($C$43="","",$C$43)</f>
        <v>PERC. IVA</v>
      </c>
      <c r="I133" s="292">
        <f>SUM(Table_49[PERC. IVA])-'Nov-22'!L63</f>
        <v>84.24</v>
      </c>
      <c r="J133" s="297"/>
      <c r="L133" s="290">
        <f>IF($B$43="","",$B$43)</f>
        <v>106.535</v>
      </c>
      <c r="M133" s="291" t="str">
        <f>IF($C$43="","",$C$43)</f>
        <v>PERC. IVA</v>
      </c>
      <c r="N133" s="292">
        <f>SUM(Table_56[PERC. IVA])-'Dic-22'!L46</f>
        <v>247.86</v>
      </c>
      <c r="O133" s="297"/>
    </row>
    <row r="134" spans="2:15" ht="15.75" customHeight="1" x14ac:dyDescent="0.25">
      <c r="B134" s="290" t="str">
        <f>IF($B$44="","",$B$44)</f>
        <v/>
      </c>
      <c r="C134" s="291" t="str">
        <f>IF($C$44="","",$C$44)</f>
        <v>NO GRAVADO</v>
      </c>
      <c r="D134" s="292">
        <f>SUM(Table_42[Otros / No Grav.])-'Oct-22'!O50</f>
        <v>-123311.99599999997</v>
      </c>
      <c r="E134" s="297"/>
      <c r="F134" s="89"/>
      <c r="G134" s="290" t="str">
        <f>IF($B$44="","",$B$44)</f>
        <v/>
      </c>
      <c r="H134" s="291" t="str">
        <f>IF($C$44="","",$C$44)</f>
        <v>NO GRAVADO</v>
      </c>
      <c r="I134" s="292">
        <f>SUM(Table_49[Otros / No Grav.])-'Nov-22'!O63</f>
        <v>222476.78749999998</v>
      </c>
      <c r="J134" s="297"/>
      <c r="L134" s="290" t="str">
        <f>IF($B$44="","",$B$44)</f>
        <v/>
      </c>
      <c r="M134" s="291" t="str">
        <f>IF($C$44="","",$C$44)</f>
        <v>NO GRAVADO</v>
      </c>
      <c r="N134" s="292">
        <f>SUM(Table_56[Otros / No Grav.])-'Dic-22'!O46</f>
        <v>236831.95249999998</v>
      </c>
      <c r="O134" s="297"/>
    </row>
    <row r="135" spans="2:15" ht="15.75" customHeight="1" x14ac:dyDescent="0.25">
      <c r="B135" s="290" t="str">
        <f>IF($B$45="","",$B$45)</f>
        <v/>
      </c>
      <c r="C135" s="291" t="str">
        <f>IF($C$45="","",$C$45)</f>
        <v/>
      </c>
      <c r="D135" s="298"/>
      <c r="E135" s="297"/>
      <c r="F135" s="89"/>
      <c r="G135" s="290" t="str">
        <f>IF($B$45="","",$B$45)</f>
        <v/>
      </c>
      <c r="H135" s="291" t="str">
        <f>IF($C$45="","",$C$45)</f>
        <v/>
      </c>
      <c r="I135" s="298"/>
      <c r="J135" s="297"/>
      <c r="L135" s="290" t="str">
        <f>IF($B$45="","",$B$45)</f>
        <v/>
      </c>
      <c r="M135" s="291" t="str">
        <f>IF($C$45="","",$C$45)</f>
        <v/>
      </c>
      <c r="N135" s="298"/>
      <c r="O135" s="297"/>
    </row>
    <row r="136" spans="2:15" ht="15.75" customHeight="1" x14ac:dyDescent="0.25">
      <c r="B136" s="290">
        <f>IF($B$46="","",$B$46)</f>
        <v>200.9</v>
      </c>
      <c r="C136" s="291" t="str">
        <f>IF($C$46="","",$C$46)</f>
        <v>PROVEEDORES</v>
      </c>
      <c r="D136" s="297"/>
      <c r="E136" s="297">
        <v>4258712.76</v>
      </c>
      <c r="G136" s="290">
        <f>IF($B$46="","",$B$46)</f>
        <v>200.9</v>
      </c>
      <c r="H136" s="291" t="str">
        <f>IF($C$46="","",$C$46)</f>
        <v>PROVEEDORES</v>
      </c>
      <c r="I136" s="297"/>
      <c r="J136" s="297">
        <v>5862910.6600000001</v>
      </c>
      <c r="L136" s="290">
        <f>IF($B$46="","",$B$46)</f>
        <v>200.9</v>
      </c>
      <c r="M136" s="291" t="str">
        <f>IF($C$46="","",$C$46)</f>
        <v>PROVEEDORES</v>
      </c>
      <c r="N136" s="297"/>
      <c r="O136" s="297">
        <v>6378743.7699999996</v>
      </c>
    </row>
    <row r="137" spans="2:15" ht="15.75" customHeight="1" x14ac:dyDescent="0.25">
      <c r="B137" s="377"/>
      <c r="C137" s="378"/>
      <c r="D137" s="378"/>
      <c r="E137" s="301">
        <f>SUM(D94:D135)-E136</f>
        <v>-123311.99647142785</v>
      </c>
      <c r="G137" s="377"/>
      <c r="H137" s="378"/>
      <c r="I137" s="378"/>
      <c r="J137" s="301">
        <f>SUM(I94:I135)-J136</f>
        <v>222476.78443999961</v>
      </c>
      <c r="L137" s="377"/>
      <c r="M137" s="378"/>
      <c r="N137" s="378"/>
      <c r="O137" s="301">
        <f>SUM(N94:N135)-O136</f>
        <v>236831.94840000104</v>
      </c>
    </row>
    <row r="138" spans="2:15" ht="15.75" customHeight="1" thickBot="1" x14ac:dyDescent="0.3">
      <c r="B138" s="89"/>
      <c r="C138" s="89"/>
      <c r="D138" s="89"/>
      <c r="E138" s="89"/>
      <c r="L138" s="89"/>
      <c r="M138" s="89"/>
      <c r="N138" s="89"/>
      <c r="O138" s="89"/>
    </row>
    <row r="139" spans="2:15" ht="15.75" customHeight="1" thickBot="1" x14ac:dyDescent="0.3">
      <c r="B139" s="379">
        <f>EDATE($L$94,1)</f>
        <v>44927</v>
      </c>
      <c r="C139" s="382"/>
      <c r="D139" s="382"/>
      <c r="E139" s="383"/>
      <c r="G139" s="379">
        <f>EDATE($B$139,1)</f>
        <v>44958</v>
      </c>
      <c r="H139" s="380"/>
      <c r="I139" s="380"/>
      <c r="J139" s="381"/>
      <c r="L139" s="379">
        <f>EDATE($G$139,1)</f>
        <v>44986</v>
      </c>
      <c r="M139" s="380"/>
      <c r="N139" s="380"/>
      <c r="O139" s="381"/>
    </row>
    <row r="140" spans="2:15" ht="15.75" customHeight="1" x14ac:dyDescent="0.25">
      <c r="B140" s="290" t="str">
        <f>IF($B$5="","",$B$5)</f>
        <v/>
      </c>
      <c r="C140" s="291" t="str">
        <f>IF($C$5="","",$C$5)</f>
        <v>ALQUILER</v>
      </c>
      <c r="D140" s="347">
        <f>SUMIF(Table_63[Tipo de Gasto],'Asto-Cpras'!C140,Table_63[NETO GRAVADO])+SUMIF(Table_65[TIPO DE GASTO],'Asto-Cpras'!C140,Table_65[TOTAL])+SUMIF(Table_63[Tipo de Gasto],'Asto-Cpras'!C140,Table_63[Otros / No Grav.])</f>
        <v>0</v>
      </c>
      <c r="E140" s="289"/>
      <c r="F140" s="89"/>
      <c r="G140" s="290" t="str">
        <f>IF($B$5="","",$B$5)</f>
        <v/>
      </c>
      <c r="H140" s="291" t="str">
        <f>IF($C$5="","",$C$5)</f>
        <v>ALQUILER</v>
      </c>
      <c r="I140" s="347">
        <f>SUMIF(Table_70[Tipo de Gasto],'Asto-Cpras'!H140,Table_70[NETO GRAVADO])+SUMIF(Table_72[TIPO DE GASTO],'Asto-Cpras'!H140,Table_72[TOTAL])+SUMIF(Table_70[Tipo de Gasto],'Asto-Cpras'!H140,Table_70[Otros / No Grav.])</f>
        <v>0</v>
      </c>
      <c r="J140" s="289"/>
      <c r="K140" s="89"/>
      <c r="L140" s="290" t="str">
        <f>IF($B$5="","",$B$5)</f>
        <v/>
      </c>
      <c r="M140" s="291" t="str">
        <f>IF($C$5="","",$C$5)</f>
        <v>ALQUILER</v>
      </c>
      <c r="N140" s="347">
        <f>SUMIF(Table_76[Tipo de Gasto],'Asto-Cpras'!M140,Table_76[NETO GRAVADO])+SUMIF(Table_78[TIPO DE GASTO],'Asto-Cpras'!M140,Table_78[TOTAL])++SUMIF(Table_76[Tipo de Gasto],'Asto-Cpras'!M140,Table_76[Otros / No Grav.])</f>
        <v>0</v>
      </c>
      <c r="O140" s="289"/>
    </row>
    <row r="141" spans="2:15" ht="15.75" customHeight="1" x14ac:dyDescent="0.25">
      <c r="B141" s="290">
        <f>IF($B$6="","",$B$6)</f>
        <v>152.1</v>
      </c>
      <c r="C141" s="291" t="str">
        <f>IF($C$6="","",$C$6)</f>
        <v>BIENES DE USO</v>
      </c>
      <c r="D141" s="347">
        <f>SUMIF(Table_63[Tipo de Gasto],'Asto-Cpras'!C141,Table_63[NETO GRAVADO])+SUMIF(Table_65[TIPO DE GASTO],'Asto-Cpras'!C141,Table_65[TOTAL])+SUMIF(Table_63[Tipo de Gasto],'Asto-Cpras'!C141,Table_63[Otros / No Grav.])</f>
        <v>0</v>
      </c>
      <c r="E141" s="293"/>
      <c r="F141" s="89"/>
      <c r="G141" s="290">
        <f>IF($B$6="","",$B$6)</f>
        <v>152.1</v>
      </c>
      <c r="H141" s="291" t="str">
        <f>IF($C$6="","",$C$6)</f>
        <v>BIENES DE USO</v>
      </c>
      <c r="I141" s="347">
        <f>SUMIF(Table_70[Tipo de Gasto],'Asto-Cpras'!H141,Table_70[NETO GRAVADO])+SUMIF(Table_72[TIPO DE GASTO],'Asto-Cpras'!H141,Table_72[TOTAL])+SUMIF(Table_70[Tipo de Gasto],'Asto-Cpras'!H141,Table_70[Otros / No Grav.])</f>
        <v>0</v>
      </c>
      <c r="J141" s="293"/>
      <c r="K141" s="89"/>
      <c r="L141" s="290">
        <f>IF($B$6="","",$B$6)</f>
        <v>152.1</v>
      </c>
      <c r="M141" s="291" t="str">
        <f>IF($C$6="","",$C$6)</f>
        <v>BIENES DE USO</v>
      </c>
      <c r="N141" s="347">
        <f>SUMIF(Table_76[Tipo de Gasto],'Asto-Cpras'!M141,Table_76[NETO GRAVADO])+SUMIF(Table_78[TIPO DE GASTO],'Asto-Cpras'!M141,Table_78[TOTAL])++SUMIF(Table_76[Tipo de Gasto],'Asto-Cpras'!M141,Table_76[Otros / No Grav.])</f>
        <v>110697.36</v>
      </c>
      <c r="O141" s="293"/>
    </row>
    <row r="142" spans="2:15" ht="15.75" customHeight="1" x14ac:dyDescent="0.25">
      <c r="B142" s="290">
        <f>IF($B$7="","",$B$7)</f>
        <v>500.02300000000002</v>
      </c>
      <c r="C142" s="291" t="str">
        <f>IF($C$7="","",$C$7)</f>
        <v>CATERING</v>
      </c>
      <c r="D142" s="347">
        <f>SUMIF(Table_63[Tipo de Gasto],'Asto-Cpras'!C142,Table_63[NETO GRAVADO])+SUMIF(Table_65[TIPO DE GASTO],'Asto-Cpras'!C142,Table_65[TOTAL])+SUMIF(Table_63[Tipo de Gasto],'Asto-Cpras'!C142,Table_63[Otros / No Grav.])</f>
        <v>100370</v>
      </c>
      <c r="E142" s="293"/>
      <c r="F142" s="89"/>
      <c r="G142" s="290">
        <f>IF($B$7="","",$B$7)</f>
        <v>500.02300000000002</v>
      </c>
      <c r="H142" s="291" t="str">
        <f>IF($C$7="","",$C$7)</f>
        <v>CATERING</v>
      </c>
      <c r="I142" s="347">
        <f>SUMIF(Table_70[Tipo de Gasto],'Asto-Cpras'!H142,Table_70[NETO GRAVADO])+SUMIF(Table_72[TIPO DE GASTO],'Asto-Cpras'!H142,Table_72[TOTAL])+SUMIF(Table_70[Tipo de Gasto],'Asto-Cpras'!H142,Table_70[Otros / No Grav.])</f>
        <v>109440</v>
      </c>
      <c r="J142" s="293"/>
      <c r="K142" s="89"/>
      <c r="L142" s="290">
        <f>IF($B$7="","",$B$7)</f>
        <v>500.02300000000002</v>
      </c>
      <c r="M142" s="291" t="str">
        <f>IF($C$7="","",$C$7)</f>
        <v>CATERING</v>
      </c>
      <c r="N142" s="347">
        <f>SUMIF(Table_76[Tipo de Gasto],'Asto-Cpras'!M142,Table_76[NETO GRAVADO])+SUMIF(Table_78[TIPO DE GASTO],'Asto-Cpras'!M142,Table_78[TOTAL])++SUMIF(Table_76[Tipo de Gasto],'Asto-Cpras'!M142,Table_76[Otros / No Grav.])</f>
        <v>109650</v>
      </c>
      <c r="O142" s="293"/>
    </row>
    <row r="143" spans="2:15" ht="15.75" customHeight="1" x14ac:dyDescent="0.25">
      <c r="B143" s="290">
        <f>IF($B$8="","",$B$8)</f>
        <v>500.02499999999998</v>
      </c>
      <c r="C143" s="291" t="str">
        <f>IF($C$8="","",$C$8)</f>
        <v>COMBUSTIBLE</v>
      </c>
      <c r="D143" s="347">
        <f>SUMIF(Table_63[Tipo de Gasto],'Asto-Cpras'!C143,Table_63[NETO GRAVADO])+SUMIF(Table_65[TIPO DE GASTO],'Asto-Cpras'!C143,Table_65[TOTAL])+SUMIF(Table_63[Tipo de Gasto],'Asto-Cpras'!C143,Table_63[Otros / No Grav.])</f>
        <v>0</v>
      </c>
      <c r="E143" s="293"/>
      <c r="F143" s="89"/>
      <c r="G143" s="290">
        <f>IF($B$8="","",$B$8)</f>
        <v>500.02499999999998</v>
      </c>
      <c r="H143" s="291" t="str">
        <f>IF($C$8="","",$C$8)</f>
        <v>COMBUSTIBLE</v>
      </c>
      <c r="I143" s="347">
        <f>SUMIF(Table_70[Tipo de Gasto],'Asto-Cpras'!H143,Table_70[NETO GRAVADO])+SUMIF(Table_72[TIPO DE GASTO],'Asto-Cpras'!H143,Table_72[TOTAL])+SUMIF(Table_70[Tipo de Gasto],'Asto-Cpras'!H143,Table_70[Otros / No Grav.])</f>
        <v>15277.19</v>
      </c>
      <c r="J143" s="293"/>
      <c r="K143" s="89"/>
      <c r="L143" s="290">
        <f>IF($B$8="","",$B$8)</f>
        <v>500.02499999999998</v>
      </c>
      <c r="M143" s="291" t="str">
        <f>IF($C$8="","",$C$8)</f>
        <v>COMBUSTIBLE</v>
      </c>
      <c r="N143" s="347">
        <f>SUMIF(Table_76[Tipo de Gasto],'Asto-Cpras'!M143,Table_76[NETO GRAVADO])+SUMIF(Table_78[TIPO DE GASTO],'Asto-Cpras'!M143,Table_78[TOTAL])++SUMIF(Table_76[Tipo de Gasto],'Asto-Cpras'!M143,Table_76[Otros / No Grav.])</f>
        <v>9000.7000000000007</v>
      </c>
      <c r="O143" s="293"/>
    </row>
    <row r="144" spans="2:15" ht="15.75" customHeight="1" x14ac:dyDescent="0.25">
      <c r="B144" s="290">
        <f>IF($B$9="","",$B$9)</f>
        <v>500.03199999999998</v>
      </c>
      <c r="C144" s="291" t="str">
        <f>IF($C$9="","",$C$9)</f>
        <v>Control medidores masicos</v>
      </c>
      <c r="D144" s="347">
        <f>SUMIF(Table_63[Tipo de Gasto],'Asto-Cpras'!C144,Table_63[NETO GRAVADO])+SUMIF(Table_65[TIPO DE GASTO],'Asto-Cpras'!C144,Table_65[TOTAL])+SUMIF(Table_63[Tipo de Gasto],'Asto-Cpras'!C144,Table_63[Otros / No Grav.])</f>
        <v>276305</v>
      </c>
      <c r="E144" s="293"/>
      <c r="F144" s="89"/>
      <c r="G144" s="290">
        <f>IF($B$9="","",$B$9)</f>
        <v>500.03199999999998</v>
      </c>
      <c r="H144" s="291" t="str">
        <f>IF($C$9="","",$C$9)</f>
        <v>Control medidores masicos</v>
      </c>
      <c r="I144" s="347">
        <f>SUMIF(Table_70[Tipo de Gasto],'Asto-Cpras'!H144,Table_70[NETO GRAVADO])+SUMIF(Table_72[TIPO DE GASTO],'Asto-Cpras'!H144,Table_72[TOTAL])+SUMIF(Table_70[Tipo de Gasto],'Asto-Cpras'!H144,Table_70[Otros / No Grav.])</f>
        <v>246580</v>
      </c>
      <c r="J144" s="293"/>
      <c r="K144" s="89"/>
      <c r="L144" s="290">
        <f>IF($B$9="","",$B$9)</f>
        <v>500.03199999999998</v>
      </c>
      <c r="M144" s="291" t="str">
        <f>IF($C$9="","",$C$9)</f>
        <v>Control medidores masicos</v>
      </c>
      <c r="N144" s="347">
        <f>SUMIF(Table_76[Tipo de Gasto],'Asto-Cpras'!M144,Table_76[NETO GRAVADO])+SUMIF(Table_78[TIPO DE GASTO],'Asto-Cpras'!M144,Table_78[TOTAL])++SUMIF(Table_76[Tipo de Gasto],'Asto-Cpras'!M144,Table_76[Otros / No Grav.])</f>
        <v>327422.40000000002</v>
      </c>
      <c r="O144" s="293"/>
    </row>
    <row r="145" spans="2:15" ht="15.75" customHeight="1" x14ac:dyDescent="0.25">
      <c r="B145" s="290" t="str">
        <f>IF($B$10="","",$B$10)</f>
        <v/>
      </c>
      <c r="C145" s="291" t="str">
        <f>IF($C$10="","",$C$10)</f>
        <v>EQ COMPUTACION</v>
      </c>
      <c r="D145" s="347">
        <f>SUMIF(Table_63[Tipo de Gasto],'Asto-Cpras'!C145,Table_63[NETO GRAVADO])+SUMIF(Table_65[TIPO DE GASTO],'Asto-Cpras'!C145,Table_65[TOTAL])+SUMIF(Table_63[Tipo de Gasto],'Asto-Cpras'!C145,Table_63[Otros / No Grav.])</f>
        <v>9090.08</v>
      </c>
      <c r="E145" s="293"/>
      <c r="F145" s="89"/>
      <c r="G145" s="290" t="str">
        <f>IF($B$10="","",$B$10)</f>
        <v/>
      </c>
      <c r="H145" s="291" t="str">
        <f>IF($C$10="","",$C$10)</f>
        <v>EQ COMPUTACION</v>
      </c>
      <c r="I145" s="347">
        <f>SUMIF(Table_70[Tipo de Gasto],'Asto-Cpras'!H145,Table_70[NETO GRAVADO])+SUMIF(Table_72[TIPO DE GASTO],'Asto-Cpras'!H145,Table_72[TOTAL])+SUMIF(Table_70[Tipo de Gasto],'Asto-Cpras'!H145,Table_70[Otros / No Grav.])</f>
        <v>8925.6299999999992</v>
      </c>
      <c r="J145" s="293"/>
      <c r="K145" s="89"/>
      <c r="L145" s="290" t="str">
        <f>IF($B$10="","",$B$10)</f>
        <v/>
      </c>
      <c r="M145" s="291" t="str">
        <f>IF($C$10="","",$C$10)</f>
        <v>EQ COMPUTACION</v>
      </c>
      <c r="N145" s="347">
        <f>SUMIF(Table_76[Tipo de Gasto],'Asto-Cpras'!M145,Table_76[NETO GRAVADO])+SUMIF(Table_78[TIPO DE GASTO],'Asto-Cpras'!M145,Table_78[TOTAL])++SUMIF(Table_76[Tipo de Gasto],'Asto-Cpras'!M145,Table_76[Otros / No Grav.])</f>
        <v>0</v>
      </c>
      <c r="O145" s="293"/>
    </row>
    <row r="146" spans="2:15" ht="15.75" customHeight="1" x14ac:dyDescent="0.25">
      <c r="B146" s="290" t="str">
        <f>IF($B$11="","",$B$11)</f>
        <v/>
      </c>
      <c r="C146" s="291" t="str">
        <f>IF($C$11="","",$C$11)</f>
        <v>FERRETERIA</v>
      </c>
      <c r="D146" s="347">
        <f>SUMIF(Table_63[Tipo de Gasto],'Asto-Cpras'!C146,Table_63[NETO GRAVADO])+SUMIF(Table_65[TIPO DE GASTO],'Asto-Cpras'!C146,Table_65[TOTAL])+SUMIF(Table_63[Tipo de Gasto],'Asto-Cpras'!C146,Table_63[Otros / No Grav.])</f>
        <v>6785.62</v>
      </c>
      <c r="E146" s="293"/>
      <c r="F146" s="89"/>
      <c r="G146" s="290" t="str">
        <f>IF($B$11="","",$B$11)</f>
        <v/>
      </c>
      <c r="H146" s="291" t="str">
        <f>IF($C$11="","",$C$11)</f>
        <v>FERRETERIA</v>
      </c>
      <c r="I146" s="347">
        <f>SUMIF(Table_70[Tipo de Gasto],'Asto-Cpras'!H146,Table_70[NETO GRAVADO])+SUMIF(Table_72[TIPO DE GASTO],'Asto-Cpras'!H146,Table_72[TOTAL])+SUMIF(Table_70[Tipo de Gasto],'Asto-Cpras'!H146,Table_70[Otros / No Grav.])</f>
        <v>0</v>
      </c>
      <c r="J146" s="293"/>
      <c r="K146" s="89"/>
      <c r="L146" s="290" t="str">
        <f>IF($B$11="","",$B$11)</f>
        <v/>
      </c>
      <c r="M146" s="291" t="str">
        <f>IF($C$11="","",$C$11)</f>
        <v>FERRETERIA</v>
      </c>
      <c r="N146" s="347">
        <f>SUMIF(Table_76[Tipo de Gasto],'Asto-Cpras'!M146,Table_76[NETO GRAVADO])+SUMIF(Table_78[TIPO DE GASTO],'Asto-Cpras'!M146,Table_78[TOTAL])++SUMIF(Table_76[Tipo de Gasto],'Asto-Cpras'!M146,Table_76[Otros / No Grav.])</f>
        <v>0</v>
      </c>
      <c r="O146" s="293"/>
    </row>
    <row r="147" spans="2:15" ht="15.75" customHeight="1" x14ac:dyDescent="0.25">
      <c r="B147" s="290">
        <f>IF($B$12="","",$B$12)</f>
        <v>507.13</v>
      </c>
      <c r="C147" s="291" t="str">
        <f>IF($C$12="","",$C$12)</f>
        <v>FLETE</v>
      </c>
      <c r="D147" s="347">
        <f>SUMIF(Table_63[Tipo de Gasto],'Asto-Cpras'!C147,Table_63[NETO GRAVADO])+SUMIF(Table_65[TIPO DE GASTO],'Asto-Cpras'!C147,Table_65[TOTAL])+SUMIF(Table_63[Tipo de Gasto],'Asto-Cpras'!C147,Table_63[Otros / No Grav.])</f>
        <v>100906</v>
      </c>
      <c r="E147" s="293"/>
      <c r="F147" s="89"/>
      <c r="G147" s="290">
        <f>IF($B$12="","",$B$12)</f>
        <v>507.13</v>
      </c>
      <c r="H147" s="291" t="str">
        <f>IF($C$12="","",$C$12)</f>
        <v>FLETE</v>
      </c>
      <c r="I147" s="347">
        <f>SUMIF(Table_70[Tipo de Gasto],'Asto-Cpras'!H147,Table_70[NETO GRAVADO])+SUMIF(Table_72[TIPO DE GASTO],'Asto-Cpras'!H147,Table_72[TOTAL])+SUMIF(Table_70[Tipo de Gasto],'Asto-Cpras'!H147,Table_70[Otros / No Grav.])</f>
        <v>0</v>
      </c>
      <c r="J147" s="293"/>
      <c r="K147" s="89"/>
      <c r="L147" s="290">
        <f>IF($B$12="","",$B$12)</f>
        <v>507.13</v>
      </c>
      <c r="M147" s="291" t="str">
        <f>IF($C$12="","",$C$12)</f>
        <v>FLETE</v>
      </c>
      <c r="N147" s="347">
        <f>SUMIF(Table_76[Tipo de Gasto],'Asto-Cpras'!M147,Table_76[NETO GRAVADO])+SUMIF(Table_78[TIPO DE GASTO],'Asto-Cpras'!M147,Table_78[TOTAL])++SUMIF(Table_76[Tipo de Gasto],'Asto-Cpras'!M147,Table_76[Otros / No Grav.])</f>
        <v>291360.26</v>
      </c>
      <c r="O147" s="293"/>
    </row>
    <row r="148" spans="2:15" ht="15.75" customHeight="1" x14ac:dyDescent="0.25">
      <c r="B148" s="290">
        <f>IF($B$13="","",$B$13)</f>
        <v>121.12</v>
      </c>
      <c r="C148" s="291" t="str">
        <f>IF($C$13="","",$C$13)</f>
        <v>FOTOGRABADOS</v>
      </c>
      <c r="D148" s="347">
        <f>SUMIF(Table_63[Tipo de Gasto],'Asto-Cpras'!C148,Table_63[NETO GRAVADO])+SUMIF(Table_65[TIPO DE GASTO],'Asto-Cpras'!C148,Table_65[TOTAL])+SUMIF(Table_63[Tipo de Gasto],'Asto-Cpras'!C148,Table_63[Otros / No Grav.])</f>
        <v>0</v>
      </c>
      <c r="E148" s="293"/>
      <c r="F148" s="89"/>
      <c r="G148" s="290">
        <f>IF($B$13="","",$B$13)</f>
        <v>121.12</v>
      </c>
      <c r="H148" s="291" t="str">
        <f>IF($C$13="","",$C$13)</f>
        <v>FOTOGRABADOS</v>
      </c>
      <c r="I148" s="347">
        <f>SUMIF(Table_70[Tipo de Gasto],'Asto-Cpras'!H148,Table_70[NETO GRAVADO])+SUMIF(Table_72[TIPO DE GASTO],'Asto-Cpras'!H148,Table_72[TOTAL])+SUMIF(Table_70[Tipo de Gasto],'Asto-Cpras'!H148,Table_70[Otros / No Grav.])</f>
        <v>396450.4</v>
      </c>
      <c r="J148" s="293"/>
      <c r="K148" s="89"/>
      <c r="L148" s="290">
        <f>IF($B$13="","",$B$13)</f>
        <v>121.12</v>
      </c>
      <c r="M148" s="291" t="str">
        <f>IF($C$13="","",$C$13)</f>
        <v>FOTOGRABADOS</v>
      </c>
      <c r="N148" s="347">
        <f>SUMIF(Table_76[Tipo de Gasto],'Asto-Cpras'!M148,Table_76[NETO GRAVADO])+SUMIF(Table_78[TIPO DE GASTO],'Asto-Cpras'!M148,Table_78[TOTAL])++SUMIF(Table_76[Tipo de Gasto],'Asto-Cpras'!M148,Table_76[Otros / No Grav.])</f>
        <v>495563</v>
      </c>
      <c r="O148" s="293"/>
    </row>
    <row r="149" spans="2:15" ht="15.75" customHeight="1" x14ac:dyDescent="0.25">
      <c r="B149" s="290">
        <f>IF($B$14="","",$B$14)</f>
        <v>500.5</v>
      </c>
      <c r="C149" s="291" t="str">
        <f>IF($C$14="","",$C$14)</f>
        <v>GASTOS OFICINA</v>
      </c>
      <c r="D149" s="347">
        <f>SUMIF(Table_63[Tipo de Gasto],'Asto-Cpras'!C149,Table_63[NETO GRAVADO])+SUMIF(Table_65[TIPO DE GASTO],'Asto-Cpras'!C149,Table_65[TOTAL])+SUMIF(Table_63[Tipo de Gasto],'Asto-Cpras'!C149,Table_63[Otros / No Grav.])</f>
        <v>3297.52</v>
      </c>
      <c r="E149" s="293"/>
      <c r="F149" s="89"/>
      <c r="G149" s="290">
        <f>IF($B$14="","",$B$14)</f>
        <v>500.5</v>
      </c>
      <c r="H149" s="291" t="str">
        <f>IF($C$14="","",$C$14)</f>
        <v>GASTOS OFICINA</v>
      </c>
      <c r="I149" s="347">
        <f>SUMIF(Table_70[Tipo de Gasto],'Asto-Cpras'!H149,Table_70[NETO GRAVADO])+SUMIF(Table_72[TIPO DE GASTO],'Asto-Cpras'!H149,Table_72[TOTAL])+SUMIF(Table_70[Tipo de Gasto],'Asto-Cpras'!H149,Table_70[Otros / No Grav.])</f>
        <v>0</v>
      </c>
      <c r="J149" s="293"/>
      <c r="K149" s="89"/>
      <c r="L149" s="290">
        <f>IF($B$14="","",$B$14)</f>
        <v>500.5</v>
      </c>
      <c r="M149" s="291" t="str">
        <f>IF($C$14="","",$C$14)</f>
        <v>GASTOS OFICINA</v>
      </c>
      <c r="N149" s="347">
        <f>SUMIF(Table_76[Tipo de Gasto],'Asto-Cpras'!M149,Table_76[NETO GRAVADO])+SUMIF(Table_78[TIPO DE GASTO],'Asto-Cpras'!M149,Table_78[TOTAL])++SUMIF(Table_76[Tipo de Gasto],'Asto-Cpras'!M149,Table_76[Otros / No Grav.])</f>
        <v>0</v>
      </c>
      <c r="O149" s="293"/>
    </row>
    <row r="150" spans="2:15" ht="15.75" customHeight="1" x14ac:dyDescent="0.25">
      <c r="B150" s="290">
        <f>IF($B$15="","",$B$15)</f>
        <v>500.05</v>
      </c>
      <c r="C150" s="291" t="str">
        <f>IF($C$15="","",$C$15)</f>
        <v>GASTOS VARIOS</v>
      </c>
      <c r="D150" s="347">
        <f>SUMIF(Table_63[Tipo de Gasto],'Asto-Cpras'!C150,Table_63[NETO GRAVADO])+SUMIF(Table_65[TIPO DE GASTO],'Asto-Cpras'!C150,Table_65[TOTAL])+SUMIF(Table_63[Tipo de Gasto],'Asto-Cpras'!C150,Table_63[Otros / No Grav.])</f>
        <v>2498812.3525</v>
      </c>
      <c r="E150" s="293"/>
      <c r="F150" s="89"/>
      <c r="G150" s="290">
        <f>IF($B$15="","",$B$15)</f>
        <v>500.05</v>
      </c>
      <c r="H150" s="291" t="str">
        <f>IF($C$15="","",$C$15)</f>
        <v>GASTOS VARIOS</v>
      </c>
      <c r="I150" s="347">
        <f>SUMIF(Table_70[Tipo de Gasto],'Asto-Cpras'!H150,Table_70[NETO GRAVADO])+SUMIF(Table_72[TIPO DE GASTO],'Asto-Cpras'!H150,Table_72[TOTAL])+SUMIF(Table_70[Tipo de Gasto],'Asto-Cpras'!H150,Table_70[Otros / No Grav.])</f>
        <v>122655.31</v>
      </c>
      <c r="J150" s="293"/>
      <c r="K150" s="89"/>
      <c r="L150" s="290">
        <f>IF($B$15="","",$B$15)</f>
        <v>500.05</v>
      </c>
      <c r="M150" s="291" t="str">
        <f>IF($C$15="","",$C$15)</f>
        <v>GASTOS VARIOS</v>
      </c>
      <c r="N150" s="347">
        <f>SUMIF(Table_76[Tipo de Gasto],'Asto-Cpras'!M150,Table_76[NETO GRAVADO])+SUMIF(Table_78[TIPO DE GASTO],'Asto-Cpras'!M150,Table_78[TOTAL])++SUMIF(Table_76[Tipo de Gasto],'Asto-Cpras'!M150,Table_76[Otros / No Grav.])</f>
        <v>2118211.7250000001</v>
      </c>
      <c r="O150" s="293"/>
    </row>
    <row r="151" spans="2:15" ht="15.75" customHeight="1" x14ac:dyDescent="0.25">
      <c r="B151" s="290">
        <f>IF($B$16="","",$B$16)</f>
        <v>507.31</v>
      </c>
      <c r="C151" s="291" t="str">
        <f>IF($C$16="","",$C$16)</f>
        <v>GTOS IMP.</v>
      </c>
      <c r="D151" s="347">
        <f>SUMIF(Table_63[Tipo de Gasto],'Asto-Cpras'!C151,Table_63[NETO GRAVADO])+SUMIF(Table_65[TIPO DE GASTO],'Asto-Cpras'!C151,Table_65[TOTAL])+SUMIF(Table_63[Tipo de Gasto],'Asto-Cpras'!C151,Table_63[Otros / No Grav.])</f>
        <v>291934.58500000002</v>
      </c>
      <c r="E151" s="293"/>
      <c r="F151" s="89"/>
      <c r="G151" s="290">
        <f>IF($B$16="","",$B$16)</f>
        <v>507.31</v>
      </c>
      <c r="H151" s="291" t="str">
        <f>IF($C$16="","",$C$16)</f>
        <v>GTOS IMP.</v>
      </c>
      <c r="I151" s="347">
        <f>SUMIF(Table_70[Tipo de Gasto],'Asto-Cpras'!H151,Table_70[NETO GRAVADO])+SUMIF(Table_72[TIPO DE GASTO],'Asto-Cpras'!H151,Table_72[TOTAL])+SUMIF(Table_70[Tipo de Gasto],'Asto-Cpras'!H151,Table_70[Otros / No Grav.])</f>
        <v>367704.82540000009</v>
      </c>
      <c r="J151" s="293"/>
      <c r="K151" s="89"/>
      <c r="L151" s="290">
        <f>IF($B$16="","",$B$16)</f>
        <v>507.31</v>
      </c>
      <c r="M151" s="291" t="str">
        <f>IF($C$16="","",$C$16)</f>
        <v>GTOS IMP.</v>
      </c>
      <c r="N151" s="347">
        <f>SUMIF(Table_76[Tipo de Gasto],'Asto-Cpras'!M151,Table_76[NETO GRAVADO])+SUMIF(Table_78[TIPO DE GASTO],'Asto-Cpras'!M151,Table_78[TOTAL])++SUMIF(Table_76[Tipo de Gasto],'Asto-Cpras'!M151,Table_76[Otros / No Grav.])</f>
        <v>452022.38529999997</v>
      </c>
      <c r="O151" s="293"/>
    </row>
    <row r="152" spans="2:15" ht="15.75" customHeight="1" x14ac:dyDescent="0.25">
      <c r="B152" s="290">
        <f>IF($B$17="","",$B$17)</f>
        <v>500.024</v>
      </c>
      <c r="C152" s="291" t="str">
        <f>IF($C$17="","",$C$17)</f>
        <v>GTOS VARIOS-ESTACIONAMIENTO HORACIO</v>
      </c>
      <c r="D152" s="347">
        <f>SUMIF(Table_63[Tipo de Gasto],'Asto-Cpras'!C152,Table_63[NETO GRAVADO])+SUMIF(Table_65[TIPO DE GASTO],'Asto-Cpras'!C152,Table_65[TOTAL])+SUMIF(Table_63[Tipo de Gasto],'Asto-Cpras'!C152,Table_63[Otros / No Grav.])</f>
        <v>9173.5499999999993</v>
      </c>
      <c r="E152" s="293"/>
      <c r="F152" s="89"/>
      <c r="G152" s="290">
        <f>IF($B$17="","",$B$17)</f>
        <v>500.024</v>
      </c>
      <c r="H152" s="291" t="str">
        <f>IF($C$17="","",$C$17)</f>
        <v>GTOS VARIOS-ESTACIONAMIENTO HORACIO</v>
      </c>
      <c r="I152" s="347">
        <f>SUMIF(Table_70[Tipo de Gasto],'Asto-Cpras'!H152,Table_70[NETO GRAVADO])+SUMIF(Table_72[TIPO DE GASTO],'Asto-Cpras'!H152,Table_72[TOTAL])+SUMIF(Table_70[Tipo de Gasto],'Asto-Cpras'!H152,Table_70[Otros / No Grav.])</f>
        <v>11404.96</v>
      </c>
      <c r="J152" s="293"/>
      <c r="K152" s="89"/>
      <c r="L152" s="290">
        <f>IF($B$17="","",$B$17)</f>
        <v>500.024</v>
      </c>
      <c r="M152" s="291" t="str">
        <f>IF($C$17="","",$C$17)</f>
        <v>GTOS VARIOS-ESTACIONAMIENTO HORACIO</v>
      </c>
      <c r="N152" s="347">
        <f>SUMIF(Table_76[Tipo de Gasto],'Asto-Cpras'!M152,Table_76[NETO GRAVADO])+SUMIF(Table_78[TIPO DE GASTO],'Asto-Cpras'!M152,Table_78[TOTAL])++SUMIF(Table_76[Tipo de Gasto],'Asto-Cpras'!M152,Table_76[Otros / No Grav.])</f>
        <v>11404.96</v>
      </c>
      <c r="O152" s="293"/>
    </row>
    <row r="153" spans="2:15" ht="15.75" customHeight="1" x14ac:dyDescent="0.25">
      <c r="B153" s="290">
        <f>IF($B$18="","",$B$18)</f>
        <v>510.12</v>
      </c>
      <c r="C153" s="291" t="str">
        <f>IF($C$18="","",$C$18)</f>
        <v>HONOR. INGENIERO</v>
      </c>
      <c r="D153" s="347">
        <f>SUMIF(Table_63[Tipo de Gasto],'Asto-Cpras'!C153,Table_63[NETO GRAVADO])+SUMIF(Table_65[TIPO DE GASTO],'Asto-Cpras'!C153,Table_65[TOTAL])+SUMIF(Table_63[Tipo de Gasto],'Asto-Cpras'!C153,Table_63[Otros / No Grav.])</f>
        <v>154900</v>
      </c>
      <c r="E153" s="293"/>
      <c r="F153" s="89"/>
      <c r="G153" s="290">
        <f>IF($B$18="","",$B$18)</f>
        <v>510.12</v>
      </c>
      <c r="H153" s="291" t="str">
        <f>IF($C$18="","",$C$18)</f>
        <v>HONOR. INGENIERO</v>
      </c>
      <c r="I153" s="347">
        <f>SUMIF(Table_70[Tipo de Gasto],'Asto-Cpras'!H153,Table_70[NETO GRAVADO])+SUMIF(Table_72[TIPO DE GASTO],'Asto-Cpras'!H153,Table_72[TOTAL])+SUMIF(Table_70[Tipo de Gasto],'Asto-Cpras'!H153,Table_70[Otros / No Grav.])</f>
        <v>0</v>
      </c>
      <c r="J153" s="293"/>
      <c r="K153" s="89"/>
      <c r="L153" s="290">
        <f>IF($B$18="","",$B$18)</f>
        <v>510.12</v>
      </c>
      <c r="M153" s="291" t="str">
        <f>IF($C$18="","",$C$18)</f>
        <v>HONOR. INGENIERO</v>
      </c>
      <c r="N153" s="347">
        <f>SUMIF(Table_76[Tipo de Gasto],'Asto-Cpras'!M153,Table_76[NETO GRAVADO])+SUMIF(Table_78[TIPO DE GASTO],'Asto-Cpras'!M153,Table_78[TOTAL])++SUMIF(Table_76[Tipo de Gasto],'Asto-Cpras'!M153,Table_76[Otros / No Grav.])</f>
        <v>0</v>
      </c>
      <c r="O153" s="293"/>
    </row>
    <row r="154" spans="2:15" ht="15.75" customHeight="1" x14ac:dyDescent="0.25">
      <c r="B154" s="290">
        <f>IF($B$19="","",$B$19)</f>
        <v>510.13</v>
      </c>
      <c r="C154" s="291" t="str">
        <f>IF($C$19="","",$C$19)</f>
        <v>HONORARIOS</v>
      </c>
      <c r="D154" s="347">
        <f>SUMIF(Table_63[Tipo de Gasto],'Asto-Cpras'!C154,Table_63[NETO GRAVADO])+SUMIF(Table_65[TIPO DE GASTO],'Asto-Cpras'!C154,Table_65[TOTAL])+SUMIF(Table_63[Tipo de Gasto],'Asto-Cpras'!C154,Table_63[Otros / No Grav.])</f>
        <v>62800</v>
      </c>
      <c r="E154" s="293"/>
      <c r="F154" s="89"/>
      <c r="G154" s="290">
        <f>IF($B$19="","",$B$19)</f>
        <v>510.13</v>
      </c>
      <c r="H154" s="291" t="str">
        <f>IF($C$19="","",$C$19)</f>
        <v>HONORARIOS</v>
      </c>
      <c r="I154" s="347">
        <f>SUMIF(Table_70[Tipo de Gasto],'Asto-Cpras'!H154,Table_70[NETO GRAVADO])+SUMIF(Table_72[TIPO DE GASTO],'Asto-Cpras'!H154,Table_72[TOTAL])+SUMIF(Table_70[Tipo de Gasto],'Asto-Cpras'!H154,Table_70[Otros / No Grav.])</f>
        <v>62800</v>
      </c>
      <c r="J154" s="293"/>
      <c r="K154" s="89"/>
      <c r="L154" s="290">
        <f>IF($B$19="","",$B$19)</f>
        <v>510.13</v>
      </c>
      <c r="M154" s="291" t="str">
        <f>IF($C$19="","",$C$19)</f>
        <v>HONORARIOS</v>
      </c>
      <c r="N154" s="347">
        <f>SUMIF(Table_76[Tipo de Gasto],'Asto-Cpras'!M154,Table_76[NETO GRAVADO])+SUMIF(Table_78[TIPO DE GASTO],'Asto-Cpras'!M154,Table_78[TOTAL])++SUMIF(Table_76[Tipo de Gasto],'Asto-Cpras'!M154,Table_76[Otros / No Grav.])</f>
        <v>90544.95</v>
      </c>
      <c r="O154" s="293"/>
    </row>
    <row r="155" spans="2:15" ht="15.75" customHeight="1" x14ac:dyDescent="0.25">
      <c r="B155" s="290">
        <f>IF($B$20="","",$B$20)</f>
        <v>500.01600000000002</v>
      </c>
      <c r="C155" s="291" t="str">
        <f>IF($C$20="","",$C$20)</f>
        <v>Honorarios Administrativos-Cobranzas y Gestion Clientes</v>
      </c>
      <c r="D155" s="347">
        <f>SUMIF(Table_63[Tipo de Gasto],'Asto-Cpras'!C155,Table_63[NETO GRAVADO])+SUMIF(Table_65[TIPO DE GASTO],'Asto-Cpras'!C155,Table_65[TOTAL])+SUMIF(Table_63[Tipo de Gasto],'Asto-Cpras'!C155,Table_63[Otros / No Grav.])</f>
        <v>217410</v>
      </c>
      <c r="E155" s="293"/>
      <c r="F155" s="89"/>
      <c r="G155" s="290">
        <f>IF($B$20="","",$B$20)</f>
        <v>500.01600000000002</v>
      </c>
      <c r="H155" s="291" t="str">
        <f>IF($C$20="","",$C$20)</f>
        <v>Honorarios Administrativos-Cobranzas y Gestion Clientes</v>
      </c>
      <c r="I155" s="347">
        <f>SUMIF(Table_70[Tipo de Gasto],'Asto-Cpras'!H155,Table_70[NETO GRAVADO])+SUMIF(Table_72[TIPO DE GASTO],'Asto-Cpras'!H155,Table_72[TOTAL])+SUMIF(Table_70[Tipo de Gasto],'Asto-Cpras'!H155,Table_70[Otros / No Grav.])</f>
        <v>216940</v>
      </c>
      <c r="J155" s="293"/>
      <c r="K155" s="89"/>
      <c r="L155" s="290">
        <f>IF($B$20="","",$B$20)</f>
        <v>500.01600000000002</v>
      </c>
      <c r="M155" s="291" t="str">
        <f>IF($C$20="","",$C$20)</f>
        <v>Honorarios Administrativos-Cobranzas y Gestion Clientes</v>
      </c>
      <c r="N155" s="347">
        <f>SUMIF(Table_76[Tipo de Gasto],'Asto-Cpras'!M155,Table_76[NETO GRAVADO])+SUMIF(Table_78[TIPO DE GASTO],'Asto-Cpras'!M155,Table_78[TOTAL])++SUMIF(Table_76[Tipo de Gasto],'Asto-Cpras'!M155,Table_76[Otros / No Grav.])</f>
        <v>268160</v>
      </c>
      <c r="O155" s="293"/>
    </row>
    <row r="156" spans="2:15" ht="15.75" customHeight="1" x14ac:dyDescent="0.25">
      <c r="B156" s="290">
        <f>IF($B$21="","",$B$21)</f>
        <v>510.1</v>
      </c>
      <c r="C156" s="291" t="str">
        <f>IF($C$21="","",$C$21)</f>
        <v>HONORARIOS CONTABLES</v>
      </c>
      <c r="D156" s="347">
        <f>SUMIF(Table_63[Tipo de Gasto],'Asto-Cpras'!C156,Table_63[NETO GRAVADO])+SUMIF(Table_65[TIPO DE GASTO],'Asto-Cpras'!C156,Table_65[TOTAL])+SUMIF(Table_63[Tipo de Gasto],'Asto-Cpras'!C156,Table_63[Otros / No Grav.])</f>
        <v>11500</v>
      </c>
      <c r="E156" s="293"/>
      <c r="F156" s="89"/>
      <c r="G156" s="290">
        <f>IF($B$21="","",$B$21)</f>
        <v>510.1</v>
      </c>
      <c r="H156" s="291" t="str">
        <f>IF($C$21="","",$C$21)</f>
        <v>HONORARIOS CONTABLES</v>
      </c>
      <c r="I156" s="347">
        <f>SUMIF(Table_70[Tipo de Gasto],'Asto-Cpras'!H156,Table_70[NETO GRAVADO])+SUMIF(Table_72[TIPO DE GASTO],'Asto-Cpras'!H156,Table_72[TOTAL])+SUMIF(Table_70[Tipo de Gasto],'Asto-Cpras'!H156,Table_70[Otros / No Grav.])</f>
        <v>0</v>
      </c>
      <c r="J156" s="293"/>
      <c r="K156" s="89"/>
      <c r="L156" s="290">
        <f>IF($B$21="","",$B$21)</f>
        <v>510.1</v>
      </c>
      <c r="M156" s="291" t="str">
        <f>IF($C$21="","",$C$21)</f>
        <v>HONORARIOS CONTABLES</v>
      </c>
      <c r="N156" s="347">
        <f>SUMIF(Table_76[Tipo de Gasto],'Asto-Cpras'!M156,Table_76[NETO GRAVADO])+SUMIF(Table_78[TIPO DE GASTO],'Asto-Cpras'!M156,Table_78[TOTAL])++SUMIF(Table_76[Tipo de Gasto],'Asto-Cpras'!M156,Table_76[Otros / No Grav.])</f>
        <v>0</v>
      </c>
      <c r="O156" s="293"/>
    </row>
    <row r="157" spans="2:15" ht="15.75" customHeight="1" x14ac:dyDescent="0.25">
      <c r="B157" s="290">
        <f>IF($B$22="","",$B$22)</f>
        <v>510.11</v>
      </c>
      <c r="C157" s="291" t="str">
        <f>IF($C$22="","",$C$22)</f>
        <v>HONORARIOS LEGALES</v>
      </c>
      <c r="D157" s="347">
        <f>SUMIF(Table_63[Tipo de Gasto],'Asto-Cpras'!C157,Table_63[NETO GRAVADO])+SUMIF(Table_65[TIPO DE GASTO],'Asto-Cpras'!C157,Table_65[TOTAL])+SUMIF(Table_63[Tipo de Gasto],'Asto-Cpras'!C157,Table_63[Otros / No Grav.])</f>
        <v>37000</v>
      </c>
      <c r="E157" s="293"/>
      <c r="F157" s="89"/>
      <c r="G157" s="290">
        <f>IF($B$22="","",$B$22)</f>
        <v>510.11</v>
      </c>
      <c r="H157" s="291" t="str">
        <f>IF($C$22="","",$C$22)</f>
        <v>HONORARIOS LEGALES</v>
      </c>
      <c r="I157" s="347">
        <f>SUMIF(Table_70[Tipo de Gasto],'Asto-Cpras'!H157,Table_70[NETO GRAVADO])+SUMIF(Table_72[TIPO DE GASTO],'Asto-Cpras'!H157,Table_72[TOTAL])+SUMIF(Table_70[Tipo de Gasto],'Asto-Cpras'!H157,Table_70[Otros / No Grav.])</f>
        <v>0</v>
      </c>
      <c r="J157" s="293"/>
      <c r="K157" s="89"/>
      <c r="L157" s="290">
        <f>IF($B$22="","",$B$22)</f>
        <v>510.11</v>
      </c>
      <c r="M157" s="291" t="str">
        <f>IF($C$22="","",$C$22)</f>
        <v>HONORARIOS LEGALES</v>
      </c>
      <c r="N157" s="347">
        <f>SUMIF(Table_76[Tipo de Gasto],'Asto-Cpras'!M157,Table_76[NETO GRAVADO])+SUMIF(Table_78[TIPO DE GASTO],'Asto-Cpras'!M157,Table_78[TOTAL])++SUMIF(Table_76[Tipo de Gasto],'Asto-Cpras'!M157,Table_76[Otros / No Grav.])</f>
        <v>0</v>
      </c>
      <c r="O157" s="293"/>
    </row>
    <row r="158" spans="2:15" ht="15.75" customHeight="1" x14ac:dyDescent="0.25">
      <c r="B158" s="290" t="str">
        <f>IF($B$23="","",$B$23)</f>
        <v/>
      </c>
      <c r="C158" s="291" t="str">
        <f>IF($C$23="","",$C$23)</f>
        <v>Honorarios Profesionales</v>
      </c>
      <c r="D158" s="347">
        <f>SUMIF(Table_63[Tipo de Gasto],'Asto-Cpras'!C158,Table_63[NETO GRAVADO])+SUMIF(Table_65[TIPO DE GASTO],'Asto-Cpras'!C158,Table_65[TOTAL])+SUMIF(Table_63[Tipo de Gasto],'Asto-Cpras'!C158,Table_63[Otros / No Grav.])</f>
        <v>0</v>
      </c>
      <c r="E158" s="293"/>
      <c r="F158" s="89"/>
      <c r="G158" s="290" t="str">
        <f>IF($B$23="","",$B$23)</f>
        <v/>
      </c>
      <c r="H158" s="291" t="str">
        <f>IF($C$23="","",$C$23)</f>
        <v>Honorarios Profesionales</v>
      </c>
      <c r="I158" s="347">
        <f>SUMIF(Table_70[Tipo de Gasto],'Asto-Cpras'!H158,Table_70[NETO GRAVADO])+SUMIF(Table_72[TIPO DE GASTO],'Asto-Cpras'!H158,Table_72[TOTAL])+SUMIF(Table_70[Tipo de Gasto],'Asto-Cpras'!H158,Table_70[Otros / No Grav.])</f>
        <v>0</v>
      </c>
      <c r="J158" s="293"/>
      <c r="K158" s="89"/>
      <c r="L158" s="290" t="str">
        <f>IF($B$23="","",$B$23)</f>
        <v/>
      </c>
      <c r="M158" s="291" t="str">
        <f>IF($C$23="","",$C$23)</f>
        <v>Honorarios Profesionales</v>
      </c>
      <c r="N158" s="347">
        <f>SUMIF(Table_76[Tipo de Gasto],'Asto-Cpras'!M158,Table_76[NETO GRAVADO])+SUMIF(Table_78[TIPO DE GASTO],'Asto-Cpras'!M158,Table_78[TOTAL])++SUMIF(Table_76[Tipo de Gasto],'Asto-Cpras'!M158,Table_76[Otros / No Grav.])</f>
        <v>0</v>
      </c>
      <c r="O158" s="293"/>
    </row>
    <row r="159" spans="2:15" ht="15.75" customHeight="1" x14ac:dyDescent="0.25">
      <c r="B159" s="290">
        <f>IF($B$24="","",$B$24)</f>
        <v>121.12</v>
      </c>
      <c r="C159" s="291" t="str">
        <f>IF($C$24="","",$C$24)</f>
        <v>INSUMO</v>
      </c>
      <c r="D159" s="347">
        <f>SUMIF(Table_63[Tipo de Gasto],'Asto-Cpras'!C159,Table_63[NETO GRAVADO])+SUMIF(Table_65[TIPO DE GASTO],'Asto-Cpras'!C159,Table_65[TOTAL])+SUMIF(Table_63[Tipo de Gasto],'Asto-Cpras'!C159,Table_63[Otros / No Grav.])</f>
        <v>168453.84</v>
      </c>
      <c r="E159" s="293"/>
      <c r="F159" s="89"/>
      <c r="G159" s="290">
        <f>IF($B$24="","",$B$24)</f>
        <v>121.12</v>
      </c>
      <c r="H159" s="291" t="str">
        <f>IF($C$24="","",$C$24)</f>
        <v>INSUMO</v>
      </c>
      <c r="I159" s="347">
        <f>SUMIF(Table_70[Tipo de Gasto],'Asto-Cpras'!H159,Table_70[NETO GRAVADO])+SUMIF(Table_72[TIPO DE GASTO],'Asto-Cpras'!H159,Table_72[TOTAL])+SUMIF(Table_70[Tipo de Gasto],'Asto-Cpras'!H159,Table_70[Otros / No Grav.])</f>
        <v>434495.54000000004</v>
      </c>
      <c r="J159" s="293"/>
      <c r="K159" s="89"/>
      <c r="L159" s="290">
        <f>IF($B$24="","",$B$24)</f>
        <v>121.12</v>
      </c>
      <c r="M159" s="291" t="str">
        <f>IF($C$24="","",$C$24)</f>
        <v>INSUMO</v>
      </c>
      <c r="N159" s="347">
        <f>SUMIF(Table_76[Tipo de Gasto],'Asto-Cpras'!M159,Table_76[NETO GRAVADO])+SUMIF(Table_78[TIPO DE GASTO],'Asto-Cpras'!M159,Table_78[TOTAL])++SUMIF(Table_76[Tipo de Gasto],'Asto-Cpras'!M159,Table_76[Otros / No Grav.])</f>
        <v>4201377.25</v>
      </c>
      <c r="O159" s="293"/>
    </row>
    <row r="160" spans="2:15" ht="15.75" customHeight="1" x14ac:dyDescent="0.25">
      <c r="B160" s="290">
        <f>IF($B$25="","",$B$25)</f>
        <v>507.50200000000001</v>
      </c>
      <c r="C160" s="291" t="str">
        <f>IF($C$25="","",$C$25)</f>
        <v>ISO 9001</v>
      </c>
      <c r="D160" s="347">
        <f>SUMIF(Table_63[Tipo de Gasto],'Asto-Cpras'!C160,Table_63[NETO GRAVADO])+SUMIF(Table_65[TIPO DE GASTO],'Asto-Cpras'!C160,Table_65[TOTAL])+SUMIF(Table_63[Tipo de Gasto],'Asto-Cpras'!C160,Table_63[Otros / No Grav.])</f>
        <v>0</v>
      </c>
      <c r="E160" s="293"/>
      <c r="F160" s="89"/>
      <c r="G160" s="290">
        <f>IF($B$25="","",$B$25)</f>
        <v>507.50200000000001</v>
      </c>
      <c r="H160" s="291" t="str">
        <f>IF($C$25="","",$C$25)</f>
        <v>ISO 9001</v>
      </c>
      <c r="I160" s="347">
        <f>SUMIF(Table_70[Tipo de Gasto],'Asto-Cpras'!H160,Table_70[NETO GRAVADO])+SUMIF(Table_72[TIPO DE GASTO],'Asto-Cpras'!H160,Table_72[TOTAL])+SUMIF(Table_70[Tipo de Gasto],'Asto-Cpras'!H160,Table_70[Otros / No Grav.])</f>
        <v>0</v>
      </c>
      <c r="J160" s="293"/>
      <c r="K160" s="89"/>
      <c r="L160" s="290">
        <f>IF($B$25="","",$B$25)</f>
        <v>507.50200000000001</v>
      </c>
      <c r="M160" s="291" t="str">
        <f>IF($C$25="","",$C$25)</f>
        <v>ISO 9001</v>
      </c>
      <c r="N160" s="347">
        <f>SUMIF(Table_76[Tipo de Gasto],'Asto-Cpras'!M160,Table_76[NETO GRAVADO])+SUMIF(Table_78[TIPO DE GASTO],'Asto-Cpras'!M160,Table_78[TOTAL])++SUMIF(Table_76[Tipo de Gasto],'Asto-Cpras'!M160,Table_76[Otros / No Grav.])</f>
        <v>148000</v>
      </c>
      <c r="O160" s="293"/>
    </row>
    <row r="161" spans="2:15" ht="15.75" customHeight="1" x14ac:dyDescent="0.25">
      <c r="B161" s="290">
        <f>IF($B$26="","",$B$26)</f>
        <v>500.02600000000001</v>
      </c>
      <c r="C161" s="291" t="str">
        <f>IF($C$26="","",$C$26)</f>
        <v>Mantenimiento</v>
      </c>
      <c r="D161" s="347">
        <f>SUMIF(Table_63[Tipo de Gasto],'Asto-Cpras'!C161,Table_63[NETO GRAVADO])+SUMIF(Table_65[TIPO DE GASTO],'Asto-Cpras'!C161,Table_65[TOTAL])+SUMIF(Table_63[Tipo de Gasto],'Asto-Cpras'!C161,Table_63[Otros / No Grav.])</f>
        <v>7842.15</v>
      </c>
      <c r="E161" s="293"/>
      <c r="F161" s="89"/>
      <c r="G161" s="290">
        <f>IF($B$26="","",$B$26)</f>
        <v>500.02600000000001</v>
      </c>
      <c r="H161" s="291" t="str">
        <f>IF($C$26="","",$C$26)</f>
        <v>Mantenimiento</v>
      </c>
      <c r="I161" s="347">
        <f>SUMIF(Table_70[Tipo de Gasto],'Asto-Cpras'!H161,Table_70[NETO GRAVADO])+SUMIF(Table_72[TIPO DE GASTO],'Asto-Cpras'!H161,Table_72[TOTAL])+SUMIF(Table_70[Tipo de Gasto],'Asto-Cpras'!H161,Table_70[Otros / No Grav.])</f>
        <v>20700</v>
      </c>
      <c r="J161" s="293"/>
      <c r="K161" s="89"/>
      <c r="L161" s="290">
        <f>IF($B$26="","",$B$26)</f>
        <v>500.02600000000001</v>
      </c>
      <c r="M161" s="291" t="str">
        <f>IF($C$26="","",$C$26)</f>
        <v>Mantenimiento</v>
      </c>
      <c r="N161" s="347">
        <f>SUMIF(Table_76[Tipo de Gasto],'Asto-Cpras'!M161,Table_76[NETO GRAVADO])+SUMIF(Table_78[TIPO DE GASTO],'Asto-Cpras'!M161,Table_78[TOTAL])++SUMIF(Table_76[Tipo de Gasto],'Asto-Cpras'!M161,Table_76[Otros / No Grav.])</f>
        <v>36500</v>
      </c>
      <c r="O161" s="293"/>
    </row>
    <row r="162" spans="2:15" ht="15.75" customHeight="1" x14ac:dyDescent="0.25">
      <c r="B162" s="290">
        <f>IF($B$27="","",$B$27)</f>
        <v>500.02600000000001</v>
      </c>
      <c r="C162" s="291" t="str">
        <f>IF($C$27="","",$C$27)</f>
        <v>Mantenimiento Rodados</v>
      </c>
      <c r="D162" s="347">
        <f>SUMIF(Table_63[Tipo de Gasto],'Asto-Cpras'!C162,Table_63[NETO GRAVADO])+SUMIF(Table_65[TIPO DE GASTO],'Asto-Cpras'!C162,Table_65[TOTAL])+SUMIF(Table_63[Tipo de Gasto],'Asto-Cpras'!C162,Table_63[Otros / No Grav.])</f>
        <v>0</v>
      </c>
      <c r="E162" s="293"/>
      <c r="F162" s="89"/>
      <c r="G162" s="290">
        <f>IF($B$27="","",$B$27)</f>
        <v>500.02600000000001</v>
      </c>
      <c r="H162" s="291" t="str">
        <f>IF($C$27="","",$C$27)</f>
        <v>Mantenimiento Rodados</v>
      </c>
      <c r="I162" s="347">
        <f>SUMIF(Table_70[Tipo de Gasto],'Asto-Cpras'!H162,Table_70[NETO GRAVADO])+SUMIF(Table_72[TIPO DE GASTO],'Asto-Cpras'!H162,Table_72[TOTAL])+SUMIF(Table_70[Tipo de Gasto],'Asto-Cpras'!H162,Table_70[Otros / No Grav.])</f>
        <v>0</v>
      </c>
      <c r="J162" s="293"/>
      <c r="L162" s="290">
        <f>IF($B$27="","",$B$27)</f>
        <v>500.02600000000001</v>
      </c>
      <c r="M162" s="291" t="str">
        <f>IF($C$27="","",$C$27)</f>
        <v>Mantenimiento Rodados</v>
      </c>
      <c r="N162" s="347">
        <f>SUMIF(Table_76[Tipo de Gasto],'Asto-Cpras'!M162,Table_76[NETO GRAVADO])+SUMIF(Table_78[TIPO DE GASTO],'Asto-Cpras'!M162,Table_78[TOTAL])++SUMIF(Table_76[Tipo de Gasto],'Asto-Cpras'!M162,Table_76[Otros / No Grav.])</f>
        <v>0</v>
      </c>
      <c r="O162" s="293"/>
    </row>
    <row r="163" spans="2:15" ht="15.75" customHeight="1" x14ac:dyDescent="0.25">
      <c r="B163" s="290">
        <f>IF($B$28="","",$B$28)</f>
        <v>121.9</v>
      </c>
      <c r="C163" s="291" t="str">
        <f>IF($C$28="","",$C$28)</f>
        <v>MAT. PRIM.</v>
      </c>
      <c r="D163" s="347">
        <f>SUMIF(Table_63[Tipo de Gasto],'Asto-Cpras'!C163,Table_63[NETO GRAVADO])+SUMIF(Table_65[TIPO DE GASTO],'Asto-Cpras'!C163,Table_65[TOTAL])+SUMIF(Table_63[Tipo de Gasto],'Asto-Cpras'!C163,Table_63[Otros / No Grav.])</f>
        <v>344215.75</v>
      </c>
      <c r="E163" s="293"/>
      <c r="F163" s="89"/>
      <c r="G163" s="290">
        <f>IF($B$28="","",$B$28)</f>
        <v>121.9</v>
      </c>
      <c r="H163" s="291" t="str">
        <f>IF($C$28="","",$C$28)</f>
        <v>MAT. PRIM.</v>
      </c>
      <c r="I163" s="347">
        <f>SUMIF(Table_70[Tipo de Gasto],'Asto-Cpras'!H163,Table_70[NETO GRAVADO])+SUMIF(Table_72[TIPO DE GASTO],'Asto-Cpras'!H163,Table_72[TOTAL])+SUMIF(Table_70[Tipo de Gasto],'Asto-Cpras'!H163,Table_70[Otros / No Grav.])</f>
        <v>750472.13</v>
      </c>
      <c r="J163" s="293"/>
      <c r="L163" s="290">
        <f>IF($B$28="","",$B$28)</f>
        <v>121.9</v>
      </c>
      <c r="M163" s="291" t="str">
        <f>IF($C$28="","",$C$28)</f>
        <v>MAT. PRIM.</v>
      </c>
      <c r="N163" s="347">
        <f>SUMIF(Table_76[Tipo de Gasto],'Asto-Cpras'!M163,Table_76[NETO GRAVADO])+SUMIF(Table_78[TIPO DE GASTO],'Asto-Cpras'!M163,Table_78[TOTAL])++SUMIF(Table_76[Tipo de Gasto],'Asto-Cpras'!M163,Table_76[Otros / No Grav.])</f>
        <v>2538263.0700000003</v>
      </c>
      <c r="O163" s="293"/>
    </row>
    <row r="164" spans="2:15" ht="15.75" customHeight="1" x14ac:dyDescent="0.25">
      <c r="B164" s="290">
        <f>IF($B$29="","",$B$29)</f>
        <v>500.01499999999999</v>
      </c>
      <c r="C164" s="291" t="str">
        <f>IF($C$29="","",$C$29)</f>
        <v xml:space="preserve">Papeleria e Impresos </v>
      </c>
      <c r="D164" s="347">
        <f>SUMIF(Table_63[Tipo de Gasto],'Asto-Cpras'!C164,Table_63[NETO GRAVADO])+SUMIF(Table_65[TIPO DE GASTO],'Asto-Cpras'!C164,Table_65[TOTAL])+SUMIF(Table_63[Tipo de Gasto],'Asto-Cpras'!C164,Table_63[Otros / No Grav.])</f>
        <v>0</v>
      </c>
      <c r="E164" s="293"/>
      <c r="F164" s="89"/>
      <c r="G164" s="290">
        <f>IF($B$29="","",$B$29)</f>
        <v>500.01499999999999</v>
      </c>
      <c r="H164" s="291" t="str">
        <f>IF($C$29="","",$C$29)</f>
        <v xml:space="preserve">Papeleria e Impresos </v>
      </c>
      <c r="I164" s="347">
        <f>SUMIF(Table_70[Tipo de Gasto],'Asto-Cpras'!H164,Table_70[NETO GRAVADO])+SUMIF(Table_72[TIPO DE GASTO],'Asto-Cpras'!H164,Table_72[TOTAL])+SUMIF(Table_70[Tipo de Gasto],'Asto-Cpras'!H164,Table_70[Otros / No Grav.])</f>
        <v>4821.07</v>
      </c>
      <c r="J164" s="293"/>
      <c r="L164" s="290">
        <f>IF($B$29="","",$B$29)</f>
        <v>500.01499999999999</v>
      </c>
      <c r="M164" s="291" t="str">
        <f>IF($C$29="","",$C$29)</f>
        <v xml:space="preserve">Papeleria e Impresos </v>
      </c>
      <c r="N164" s="347">
        <f>SUMIF(Table_76[Tipo de Gasto],'Asto-Cpras'!M164,Table_76[NETO GRAVADO])+SUMIF(Table_78[TIPO DE GASTO],'Asto-Cpras'!M164,Table_78[TOTAL])++SUMIF(Table_76[Tipo de Gasto],'Asto-Cpras'!M164,Table_76[Otros / No Grav.])</f>
        <v>509600</v>
      </c>
      <c r="O164" s="293"/>
    </row>
    <row r="165" spans="2:15" ht="15.75" customHeight="1" x14ac:dyDescent="0.25">
      <c r="B165" s="290">
        <f>IF($B$30="","",$B$30)</f>
        <v>500.005</v>
      </c>
      <c r="C165" s="291" t="str">
        <f>IF($C$30="","",$C$30)</f>
        <v>SERVICIO</v>
      </c>
      <c r="D165" s="347">
        <f>SUMIF(Table_63[Tipo de Gasto],'Asto-Cpras'!C165,Table_63[NETO GRAVADO])+SUMIF(Table_65[TIPO DE GASTO],'Asto-Cpras'!C165,Table_65[TOTAL])+SUMIF(Table_63[Tipo de Gasto],'Asto-Cpras'!C165,Table_63[Otros / No Grav.])</f>
        <v>0</v>
      </c>
      <c r="E165" s="293"/>
      <c r="F165" s="89"/>
      <c r="G165" s="290">
        <f>IF($B$30="","",$B$30)</f>
        <v>500.005</v>
      </c>
      <c r="H165" s="291" t="str">
        <f>IF($C$30="","",$C$30)</f>
        <v>SERVICIO</v>
      </c>
      <c r="I165" s="347">
        <f>SUMIF(Table_70[Tipo de Gasto],'Asto-Cpras'!H165,Table_70[NETO GRAVADO])+SUMIF(Table_72[TIPO DE GASTO],'Asto-Cpras'!H165,Table_72[TOTAL])+SUMIF(Table_70[Tipo de Gasto],'Asto-Cpras'!H165,Table_70[Otros / No Grav.])</f>
        <v>0</v>
      </c>
      <c r="J165" s="293"/>
      <c r="L165" s="290">
        <f>IF($B$30="","",$B$30)</f>
        <v>500.005</v>
      </c>
      <c r="M165" s="291" t="str">
        <f>IF($C$30="","",$C$30)</f>
        <v>SERVICIO</v>
      </c>
      <c r="N165" s="347">
        <f>SUMIF(Table_76[Tipo de Gasto],'Asto-Cpras'!M165,Table_76[NETO GRAVADO])+SUMIF(Table_78[TIPO DE GASTO],'Asto-Cpras'!M165,Table_78[TOTAL])++SUMIF(Table_76[Tipo de Gasto],'Asto-Cpras'!M165,Table_76[Otros / No Grav.])</f>
        <v>45372</v>
      </c>
      <c r="O165" s="293"/>
    </row>
    <row r="166" spans="2:15" ht="15.75" customHeight="1" x14ac:dyDescent="0.25">
      <c r="B166" s="290">
        <f>IF($B$31="","",$B$31)</f>
        <v>508.1</v>
      </c>
      <c r="C166" s="291" t="str">
        <f>IF($C$31="","",$C$31)</f>
        <v>SERVICIOS DE PUBLICIDAD</v>
      </c>
      <c r="D166" s="347">
        <f>SUMIF(Table_63[Tipo de Gasto],'Asto-Cpras'!C166,Table_63[NETO GRAVADO])+SUMIF(Table_65[TIPO DE GASTO],'Asto-Cpras'!C166,Table_65[TOTAL])+SUMIF(Table_63[Tipo de Gasto],'Asto-Cpras'!C166,Table_63[Otros / No Grav.])</f>
        <v>0</v>
      </c>
      <c r="E166" s="293"/>
      <c r="F166" s="89"/>
      <c r="G166" s="290">
        <f>IF($B$31="","",$B$31)</f>
        <v>508.1</v>
      </c>
      <c r="H166" s="291" t="str">
        <f>IF($C$31="","",$C$31)</f>
        <v>SERVICIOS DE PUBLICIDAD</v>
      </c>
      <c r="I166" s="347">
        <f>SUMIF(Table_70[Tipo de Gasto],'Asto-Cpras'!H166,Table_70[NETO GRAVADO])+SUMIF(Table_72[TIPO DE GASTO],'Asto-Cpras'!H166,Table_72[TOTAL])+SUMIF(Table_70[Tipo de Gasto],'Asto-Cpras'!H166,Table_70[Otros / No Grav.])</f>
        <v>0</v>
      </c>
      <c r="J166" s="293"/>
      <c r="L166" s="290">
        <f>IF($B$31="","",$B$31)</f>
        <v>508.1</v>
      </c>
      <c r="M166" s="291" t="str">
        <f>IF($C$31="","",$C$31)</f>
        <v>SERVICIOS DE PUBLICIDAD</v>
      </c>
      <c r="N166" s="347">
        <f>SUMIF(Table_76[Tipo de Gasto],'Asto-Cpras'!M166,Table_76[NETO GRAVADO])+SUMIF(Table_78[TIPO DE GASTO],'Asto-Cpras'!M166,Table_78[TOTAL])++SUMIF(Table_76[Tipo de Gasto],'Asto-Cpras'!M166,Table_76[Otros / No Grav.])</f>
        <v>0</v>
      </c>
      <c r="O166" s="293"/>
    </row>
    <row r="167" spans="2:15" ht="15.75" customHeight="1" x14ac:dyDescent="0.25">
      <c r="B167" s="290">
        <f>IF($B$32="","",$B$32)</f>
        <v>500.005</v>
      </c>
      <c r="C167" s="291" t="str">
        <f>IF($C$32="","",$C$32)</f>
        <v>SERVICIOS GAS, LUZ, ETC</v>
      </c>
      <c r="D167" s="347">
        <f>SUMIF(Table_63[Tipo de Gasto],'Asto-Cpras'!C167,Table_63[NETO GRAVADO])+SUMIF(Table_65[TIPO DE GASTO],'Asto-Cpras'!C167,Table_65[TOTAL])+SUMIF(Table_63[Tipo de Gasto],'Asto-Cpras'!C167,Table_63[Otros / No Grav.])</f>
        <v>22645.71</v>
      </c>
      <c r="E167" s="293"/>
      <c r="F167" s="89"/>
      <c r="G167" s="290">
        <f>IF($B$32="","",$B$32)</f>
        <v>500.005</v>
      </c>
      <c r="H167" s="291" t="str">
        <f>IF($C$32="","",$C$32)</f>
        <v>SERVICIOS GAS, LUZ, ETC</v>
      </c>
      <c r="I167" s="347">
        <f>SUMIF(Table_70[Tipo de Gasto],'Asto-Cpras'!H167,Table_70[NETO GRAVADO])+SUMIF(Table_72[TIPO DE GASTO],'Asto-Cpras'!H167,Table_72[TOTAL])+SUMIF(Table_70[Tipo de Gasto],'Asto-Cpras'!H167,Table_70[Otros / No Grav.])</f>
        <v>14564.32</v>
      </c>
      <c r="J167" s="293"/>
      <c r="L167" s="290">
        <f>IF($B$32="","",$B$32)</f>
        <v>500.005</v>
      </c>
      <c r="M167" s="291" t="str">
        <f>IF($C$32="","",$C$32)</f>
        <v>SERVICIOS GAS, LUZ, ETC</v>
      </c>
      <c r="N167" s="347">
        <f>SUMIF(Table_76[Tipo de Gasto],'Asto-Cpras'!M167,Table_76[NETO GRAVADO])+SUMIF(Table_78[TIPO DE GASTO],'Asto-Cpras'!M167,Table_78[TOTAL])++SUMIF(Table_76[Tipo de Gasto],'Asto-Cpras'!M167,Table_76[Otros / No Grav.])</f>
        <v>57010.130000000005</v>
      </c>
      <c r="O167" s="293"/>
    </row>
    <row r="168" spans="2:15" ht="15.75" customHeight="1" x14ac:dyDescent="0.25">
      <c r="B168" s="290">
        <f>IF($B$33="","",$B$33)</f>
        <v>500.03100000000001</v>
      </c>
      <c r="C168" s="291" t="str">
        <f>IF($C$33="","",$C$33)</f>
        <v>Servicios Informatica</v>
      </c>
      <c r="D168" s="347">
        <f>SUMIF(Table_63[Tipo de Gasto],'Asto-Cpras'!C168,Table_63[NETO GRAVADO])+SUMIF(Table_65[TIPO DE GASTO],'Asto-Cpras'!C168,Table_65[TOTAL])+SUMIF(Table_63[Tipo de Gasto],'Asto-Cpras'!C168,Table_63[Otros / No Grav.])</f>
        <v>730000</v>
      </c>
      <c r="E168" s="293"/>
      <c r="F168" s="89"/>
      <c r="G168" s="290">
        <f>IF($B$33="","",$B$33)</f>
        <v>500.03100000000001</v>
      </c>
      <c r="H168" s="291" t="str">
        <f>IF($C$33="","",$C$33)</f>
        <v>Servicios Informatica</v>
      </c>
      <c r="I168" s="347">
        <f>SUMIF(Table_70[Tipo de Gasto],'Asto-Cpras'!H168,Table_70[NETO GRAVADO])+SUMIF(Table_72[TIPO DE GASTO],'Asto-Cpras'!H168,Table_72[TOTAL])+SUMIF(Table_70[Tipo de Gasto],'Asto-Cpras'!H168,Table_70[Otros / No Grav.])</f>
        <v>850000</v>
      </c>
      <c r="J168" s="293"/>
      <c r="L168" s="290">
        <f>IF($B$33="","",$B$33)</f>
        <v>500.03100000000001</v>
      </c>
      <c r="M168" s="291" t="str">
        <f>IF($C$33="","",$C$33)</f>
        <v>Servicios Informatica</v>
      </c>
      <c r="N168" s="347">
        <f>SUMIF(Table_76[Tipo de Gasto],'Asto-Cpras'!M168,Table_76[NETO GRAVADO])+SUMIF(Table_78[TIPO DE GASTO],'Asto-Cpras'!M168,Table_78[TOTAL])++SUMIF(Table_76[Tipo de Gasto],'Asto-Cpras'!M168,Table_76[Otros / No Grav.])</f>
        <v>850000</v>
      </c>
      <c r="O168" s="293"/>
    </row>
    <row r="169" spans="2:15" ht="15.75" customHeight="1" x14ac:dyDescent="0.25">
      <c r="B169" s="290">
        <f>IF($B$34="","",$B$34)</f>
        <v>500.036</v>
      </c>
      <c r="C169" s="291" t="str">
        <f>IF($C$34="","",$C$34)</f>
        <v>Servicios Torneria</v>
      </c>
      <c r="D169" s="347">
        <f>SUMIF(Table_63[Tipo de Gasto],'Asto-Cpras'!C169,Table_63[NETO GRAVADO])+SUMIF(Table_65[TIPO DE GASTO],'Asto-Cpras'!C169,Table_65[TOTAL])+SUMIF(Table_63[Tipo de Gasto],'Asto-Cpras'!C169,Table_63[Otros / No Grav.])</f>
        <v>0</v>
      </c>
      <c r="E169" s="293"/>
      <c r="F169" s="89"/>
      <c r="G169" s="290">
        <f>IF($B$34="","",$B$34)</f>
        <v>500.036</v>
      </c>
      <c r="H169" s="291" t="str">
        <f>IF($C$34="","",$C$34)</f>
        <v>Servicios Torneria</v>
      </c>
      <c r="I169" s="347">
        <f>SUMIF(Table_70[Tipo de Gasto],'Asto-Cpras'!H169,Table_70[NETO GRAVADO])+SUMIF(Table_72[TIPO DE GASTO],'Asto-Cpras'!H169,Table_72[TOTAL])+SUMIF(Table_70[Tipo de Gasto],'Asto-Cpras'!H169,Table_70[Otros / No Grav.])</f>
        <v>0</v>
      </c>
      <c r="J169" s="293"/>
      <c r="L169" s="290">
        <f>IF($B$34="","",$B$34)</f>
        <v>500.036</v>
      </c>
      <c r="M169" s="291" t="str">
        <f>IF($C$34="","",$C$34)</f>
        <v>Servicios Torneria</v>
      </c>
      <c r="N169" s="347">
        <f>SUMIF(Table_76[Tipo de Gasto],'Asto-Cpras'!M169,Table_76[NETO GRAVADO])+SUMIF(Table_78[TIPO DE GASTO],'Asto-Cpras'!M169,Table_78[TOTAL])++SUMIF(Table_76[Tipo de Gasto],'Asto-Cpras'!M169,Table_76[Otros / No Grav.])</f>
        <v>1139315.0999999999</v>
      </c>
      <c r="O169" s="293"/>
    </row>
    <row r="170" spans="2:15" ht="15.75" customHeight="1" x14ac:dyDescent="0.25">
      <c r="B170" s="290">
        <f>IF($B$35="","",$B$35)</f>
        <v>500.00900000000001</v>
      </c>
      <c r="C170" s="291" t="str">
        <f>IF($C$35="","",$C$35)</f>
        <v>SERVICIOS INTERNET</v>
      </c>
      <c r="D170" s="347">
        <f>SUMIF(Table_63[Tipo de Gasto],'Asto-Cpras'!C170,Table_63[NETO GRAVADO])+SUMIF(Table_65[TIPO DE GASTO],'Asto-Cpras'!C170,Table_65[TOTAL])+SUMIF(Table_63[Tipo de Gasto],'Asto-Cpras'!C170,Table_63[Otros / No Grav.])</f>
        <v>0</v>
      </c>
      <c r="E170" s="293"/>
      <c r="F170" s="89"/>
      <c r="G170" s="290">
        <f>IF($B$35="","",$B$35)</f>
        <v>500.00900000000001</v>
      </c>
      <c r="H170" s="291" t="str">
        <f>IF($C$35="","",$C$35)</f>
        <v>SERVICIOS INTERNET</v>
      </c>
      <c r="I170" s="347">
        <f>SUMIF(Table_70[Tipo de Gasto],'Asto-Cpras'!H170,Table_70[NETO GRAVADO])+SUMIF(Table_72[TIPO DE GASTO],'Asto-Cpras'!H170,Table_72[TOTAL])+SUMIF(Table_70[Tipo de Gasto],'Asto-Cpras'!H170,Table_70[Otros / No Grav.])</f>
        <v>0</v>
      </c>
      <c r="J170" s="293"/>
      <c r="L170" s="290">
        <f>IF($B$35="","",$B$35)</f>
        <v>500.00900000000001</v>
      </c>
      <c r="M170" s="291" t="str">
        <f>IF($C$35="","",$C$35)</f>
        <v>SERVICIOS INTERNET</v>
      </c>
      <c r="N170" s="347">
        <f>SUMIF(Table_76[Tipo de Gasto],'Asto-Cpras'!M170,Table_76[NETO GRAVADO])+SUMIF(Table_78[TIPO DE GASTO],'Asto-Cpras'!M170,Table_78[TOTAL])++SUMIF(Table_76[Tipo de Gasto],'Asto-Cpras'!M170,Table_76[Otros / No Grav.])</f>
        <v>0</v>
      </c>
      <c r="O170" s="293"/>
    </row>
    <row r="171" spans="2:15" ht="15.75" customHeight="1" x14ac:dyDescent="0.25">
      <c r="B171" s="290">
        <f>IF($B$36="","",$B$36)</f>
        <v>500.03</v>
      </c>
      <c r="C171" s="291" t="str">
        <f>IF($C$36="","",$C$36)</f>
        <v>Software Mantenimiento</v>
      </c>
      <c r="D171" s="347">
        <f>SUMIF(Table_63[Tipo de Gasto],'Asto-Cpras'!C171,Table_63[NETO GRAVADO])+SUMIF(Table_65[TIPO DE GASTO],'Asto-Cpras'!C171,Table_65[TOTAL])+SUMIF(Table_63[Tipo de Gasto],'Asto-Cpras'!C171,Table_63[Otros / No Grav.])</f>
        <v>220100</v>
      </c>
      <c r="E171" s="293"/>
      <c r="F171" s="89"/>
      <c r="G171" s="290">
        <f>IF($B$36="","",$B$36)</f>
        <v>500.03</v>
      </c>
      <c r="H171" s="291" t="str">
        <f>IF($C$36="","",$C$36)</f>
        <v>Software Mantenimiento</v>
      </c>
      <c r="I171" s="347">
        <f>SUMIF(Table_70[Tipo de Gasto],'Asto-Cpras'!H171,Table_70[NETO GRAVADO])+SUMIF(Table_72[TIPO DE GASTO],'Asto-Cpras'!H171,Table_72[TOTAL])+SUMIF(Table_70[Tipo de Gasto],'Asto-Cpras'!H171,Table_70[Otros / No Grav.])</f>
        <v>259000</v>
      </c>
      <c r="J171" s="293"/>
      <c r="L171" s="290">
        <f>IF($B$36="","",$B$36)</f>
        <v>500.03</v>
      </c>
      <c r="M171" s="291" t="str">
        <f>IF($C$36="","",$C$36)</f>
        <v>Software Mantenimiento</v>
      </c>
      <c r="N171" s="347">
        <f>SUMIF(Table_76[Tipo de Gasto],'Asto-Cpras'!M171,Table_76[NETO GRAVADO])+SUMIF(Table_78[TIPO DE GASTO],'Asto-Cpras'!M171,Table_78[TOTAL])++SUMIF(Table_76[Tipo de Gasto],'Asto-Cpras'!M171,Table_76[Otros / No Grav.])</f>
        <v>7594.72</v>
      </c>
      <c r="O171" s="293"/>
    </row>
    <row r="172" spans="2:15" ht="15.75" customHeight="1" x14ac:dyDescent="0.25">
      <c r="B172" s="290">
        <f>IF($B$37="","",$B$37)</f>
        <v>500.024</v>
      </c>
      <c r="C172" s="291" t="str">
        <f>IF($C$37="","",$C$37)</f>
        <v>TAXI</v>
      </c>
      <c r="D172" s="347">
        <f>SUMIF(Table_63[Tipo de Gasto],'Asto-Cpras'!C172,Table_63[NETO GRAVADO])+SUMIF(Table_65[TIPO DE GASTO],'Asto-Cpras'!C172,Table_65[TOTAL])+SUMIF(Table_63[Tipo de Gasto],'Asto-Cpras'!C172,Table_63[Otros / No Grav.])</f>
        <v>0</v>
      </c>
      <c r="E172" s="293"/>
      <c r="F172" s="89"/>
      <c r="G172" s="290">
        <f>IF($B$37="","",$B$37)</f>
        <v>500.024</v>
      </c>
      <c r="H172" s="291" t="str">
        <f>IF($C$37="","",$C$37)</f>
        <v>TAXI</v>
      </c>
      <c r="I172" s="347">
        <f>SUMIF(Table_70[Tipo de Gasto],'Asto-Cpras'!H172,Table_70[NETO GRAVADO])+SUMIF(Table_72[TIPO DE GASTO],'Asto-Cpras'!H172,Table_72[TOTAL])+SUMIF(Table_70[Tipo de Gasto],'Asto-Cpras'!H172,Table_70[Otros / No Grav.])</f>
        <v>0</v>
      </c>
      <c r="J172" s="293"/>
      <c r="L172" s="290">
        <f>IF($B$37="","",$B$37)</f>
        <v>500.024</v>
      </c>
      <c r="M172" s="291" t="str">
        <f>IF($C$37="","",$C$37)</f>
        <v>TAXI</v>
      </c>
      <c r="N172" s="347">
        <f>SUMIF(Table_76[Tipo de Gasto],'Asto-Cpras'!M172,Table_76[NETO GRAVADO])+SUMIF(Table_78[TIPO DE GASTO],'Asto-Cpras'!M172,Table_78[TOTAL])++SUMIF(Table_76[Tipo de Gasto],'Asto-Cpras'!M172,Table_76[Otros / No Grav.])</f>
        <v>0</v>
      </c>
      <c r="O172" s="293"/>
    </row>
    <row r="173" spans="2:15" ht="15.75" customHeight="1" x14ac:dyDescent="0.25">
      <c r="B173" s="290">
        <f>IF($B$38="","",$B$38)</f>
        <v>107.1</v>
      </c>
      <c r="C173" s="291" t="str">
        <f>IF($C$38="","",$C$38)</f>
        <v>IVA 21%</v>
      </c>
      <c r="D173" s="292">
        <f>SUM(Table_63[IVA 21 %])-'Ene-23'!I45</f>
        <v>615714.16787500004</v>
      </c>
      <c r="E173" s="293"/>
      <c r="F173" s="89"/>
      <c r="G173" s="290">
        <f>IF($B$38="","",$B$38)</f>
        <v>107.1</v>
      </c>
      <c r="H173" s="291" t="str">
        <f>IF($C$38="","",$C$38)</f>
        <v>IVA 21%</v>
      </c>
      <c r="I173" s="292">
        <f>SUM(Table_70[IVA 21 %])-'Feb-23'!I60</f>
        <v>558313.10916299978</v>
      </c>
      <c r="J173" s="293"/>
      <c r="L173" s="290">
        <f>IF($B$38="","",$B$38)</f>
        <v>107.1</v>
      </c>
      <c r="M173" s="291" t="str">
        <f>IF($C$38="","",$C$38)</f>
        <v>IVA 21%</v>
      </c>
      <c r="N173" s="292">
        <f>SUM(Table_76[IVA 21 %])-'Mar-23'!I76</f>
        <v>2405455.5100759994</v>
      </c>
      <c r="O173" s="293"/>
    </row>
    <row r="174" spans="2:15" ht="15.75" customHeight="1" x14ac:dyDescent="0.25">
      <c r="B174" s="290">
        <f>IF($B$39="","",$B$39)</f>
        <v>107.101</v>
      </c>
      <c r="C174" s="291" t="str">
        <f>IF($C$39="","",$C$39)</f>
        <v>IVA 27%</v>
      </c>
      <c r="D174" s="292">
        <f>SUM(Table_63[IVA 27%])-'Ene-23'!J45</f>
        <v>4881.88</v>
      </c>
      <c r="E174" s="293"/>
      <c r="F174" s="89"/>
      <c r="G174" s="290">
        <f>IF($B$39="","",$B$39)</f>
        <v>107.101</v>
      </c>
      <c r="H174" s="291" t="str">
        <f>IF($C$39="","",$C$39)</f>
        <v>IVA 27%</v>
      </c>
      <c r="I174" s="292">
        <f>SUM(Table_70[IVA 27%])-'Feb-23'!J60</f>
        <v>2700.2133000000003</v>
      </c>
      <c r="J174" s="293"/>
      <c r="L174" s="290">
        <f>IF($B$39="","",$B$39)</f>
        <v>107.101</v>
      </c>
      <c r="M174" s="291" t="str">
        <f>IF($C$39="","",$C$39)</f>
        <v>IVA 27%</v>
      </c>
      <c r="N174" s="292">
        <f>SUM(Table_76[IVA 27%])-'Mar-23'!J76</f>
        <v>935.55</v>
      </c>
      <c r="O174" s="293"/>
    </row>
    <row r="175" spans="2:15" ht="15.75" customHeight="1" x14ac:dyDescent="0.25">
      <c r="B175" s="290">
        <f>IF($B$40="","",$B$40)</f>
        <v>107.102</v>
      </c>
      <c r="C175" s="291" t="str">
        <f>IF($C$40="","",$C$40)</f>
        <v>IVA 10,5%</v>
      </c>
      <c r="D175" s="292">
        <f>SUM(Table_63[IVA 10,5%])-'Ene-23'!K45</f>
        <v>12937.32</v>
      </c>
      <c r="E175" s="293"/>
      <c r="F175" s="89"/>
      <c r="G175" s="290">
        <f>IF($B$40="","",$B$40)</f>
        <v>107.102</v>
      </c>
      <c r="H175" s="291" t="str">
        <f>IF($C$40="","",$C$40)</f>
        <v>IVA 10,5%</v>
      </c>
      <c r="I175" s="292">
        <f>SUM(Table_70[IVA 10,5%])-'Feb-23'!K60</f>
        <v>3150.9792000000002</v>
      </c>
      <c r="J175" s="293"/>
      <c r="L175" s="290">
        <f>IF($B$40="","",$B$40)</f>
        <v>107.102</v>
      </c>
      <c r="M175" s="291" t="str">
        <f>IF($C$40="","",$C$40)</f>
        <v>IVA 10,5%</v>
      </c>
      <c r="N175" s="292">
        <f>SUM(Table_76[IVA 10,5%])-'Mar-23'!K76</f>
        <v>19783.635600000001</v>
      </c>
      <c r="O175" s="293"/>
    </row>
    <row r="176" spans="2:15" ht="15.75" customHeight="1" x14ac:dyDescent="0.25">
      <c r="B176" s="290">
        <f>IF($B$41="","",$B$41)</f>
        <v>106.521</v>
      </c>
      <c r="C176" s="291" t="str">
        <f>IF($C$41="","",$C$41)</f>
        <v>PERC IIBB BS AS</v>
      </c>
      <c r="D176" s="292">
        <f>SUM(Table_63[PERC IIBB 
BS AS])-'Ene-23'!M45</f>
        <v>0</v>
      </c>
      <c r="E176" s="293"/>
      <c r="F176" s="89"/>
      <c r="G176" s="290">
        <f>IF($B$41="","",$B$41)</f>
        <v>106.521</v>
      </c>
      <c r="H176" s="291" t="str">
        <f>IF($C$41="","",$C$41)</f>
        <v>PERC IIBB BS AS</v>
      </c>
      <c r="I176" s="292">
        <f>SUM(Table_70[PERC IIBB 
BS AS])-'Feb-23'!M60</f>
        <v>0</v>
      </c>
      <c r="J176" s="293"/>
      <c r="L176" s="290">
        <f>IF($B$41="","",$B$41)</f>
        <v>106.521</v>
      </c>
      <c r="M176" s="291" t="str">
        <f>IF($C$41="","",$C$41)</f>
        <v>PERC IIBB BS AS</v>
      </c>
      <c r="N176" s="292">
        <f>SUM(Table_76[PERC IIBB 
BS AS])-'Mar-23'!M76</f>
        <v>0</v>
      </c>
      <c r="O176" s="293"/>
    </row>
    <row r="177" spans="2:15" ht="15.75" customHeight="1" x14ac:dyDescent="0.25">
      <c r="B177" s="290">
        <f>IF($B$42="","",$B$42)</f>
        <v>106.515</v>
      </c>
      <c r="C177" s="291" t="str">
        <f>IF($C$42="","",$C$42)</f>
        <v>PERC IIBB CABA</v>
      </c>
      <c r="D177" s="292">
        <f>SUM(Table_63[PERC. IIBB CABA])-'Ene-23'!N45</f>
        <v>0</v>
      </c>
      <c r="E177" s="293"/>
      <c r="F177" s="89"/>
      <c r="G177" s="290">
        <f>IF($B$42="","",$B$42)</f>
        <v>106.515</v>
      </c>
      <c r="H177" s="291" t="str">
        <f>IF($C$42="","",$C$42)</f>
        <v>PERC IIBB CABA</v>
      </c>
      <c r="I177" s="292">
        <f>SUM(Table_70[PERC. IIBB CABA])-'Feb-23'!N60</f>
        <v>0</v>
      </c>
      <c r="J177" s="293"/>
      <c r="L177" s="290">
        <f>IF($B$42="","",$B$42)</f>
        <v>106.515</v>
      </c>
      <c r="M177" s="291" t="str">
        <f>IF($C$42="","",$C$42)</f>
        <v>PERC IIBB CABA</v>
      </c>
      <c r="N177" s="292">
        <f>SUM(Table_76[PERC. IIBB CABA])-'Mar-23'!N76</f>
        <v>0</v>
      </c>
      <c r="O177" s="293"/>
    </row>
    <row r="178" spans="2:15" ht="15.75" customHeight="1" x14ac:dyDescent="0.25">
      <c r="B178" s="290">
        <f>IF($B$43="","",$B$43)</f>
        <v>106.535</v>
      </c>
      <c r="C178" s="291" t="str">
        <f>IF($C$43="","",$C$43)</f>
        <v>PERC. IVA</v>
      </c>
      <c r="D178" s="292">
        <f>SUM(Table_63[PERC. IVA])-'Ene-23'!L45</f>
        <v>542.42999999999995</v>
      </c>
      <c r="E178" s="297"/>
      <c r="F178" s="89"/>
      <c r="G178" s="290">
        <f>IF($B$43="","",$B$43)</f>
        <v>106.535</v>
      </c>
      <c r="H178" s="291" t="str">
        <f>IF($C$43="","",$C$43)</f>
        <v>PERC. IVA</v>
      </c>
      <c r="I178" s="292">
        <f>SUM(Table_70[PERC. IVA])-'Feb-23'!L60</f>
        <v>300.02</v>
      </c>
      <c r="J178" s="297"/>
      <c r="L178" s="290">
        <f>IF($B$43="","",$B$43)</f>
        <v>106.535</v>
      </c>
      <c r="M178" s="291" t="str">
        <f>IF($C$43="","",$C$43)</f>
        <v>PERC. IVA</v>
      </c>
      <c r="N178" s="292">
        <f>SUM(Table_76[PERC. IVA])-'Mar-23'!L76</f>
        <v>103.95</v>
      </c>
      <c r="O178" s="297"/>
    </row>
    <row r="179" spans="2:15" ht="15.75" customHeight="1" x14ac:dyDescent="0.25">
      <c r="B179" s="290" t="str">
        <f>IF($B$44="","",$B$44)</f>
        <v/>
      </c>
      <c r="C179" s="291" t="str">
        <f>IF($C$44="","",$C$44)</f>
        <v>NO GRAVADO</v>
      </c>
      <c r="D179" s="292">
        <f>SUM(Table_63[Otros / No Grav.])-'Ene-23'!O45</f>
        <v>284261.33</v>
      </c>
      <c r="E179" s="297"/>
      <c r="F179" s="89"/>
      <c r="G179" s="290" t="str">
        <f>IF($B$44="","",$B$44)</f>
        <v/>
      </c>
      <c r="H179" s="291" t="str">
        <f>IF($C$44="","",$C$44)</f>
        <v>NO GRAVADO</v>
      </c>
      <c r="I179" s="292">
        <f>SUM(Table_70[Otros / No Grav.])-'Feb-23'!O60</f>
        <v>-460847.25709999993</v>
      </c>
      <c r="J179" s="297"/>
      <c r="L179" s="290" t="str">
        <f>IF($B$44="","",$B$44)</f>
        <v/>
      </c>
      <c r="M179" s="291" t="str">
        <f>IF($C$44="","",$C$44)</f>
        <v>NO GRAVADO</v>
      </c>
      <c r="N179" s="292">
        <f>SUM(Table_76[Otros / No Grav.])-'Mar-23'!O76</f>
        <v>-126878.69379999999</v>
      </c>
      <c r="O179" s="297"/>
    </row>
    <row r="180" spans="2:15" ht="15.75" customHeight="1" x14ac:dyDescent="0.25">
      <c r="B180" s="290" t="str">
        <f>IF($B$45="","",$B$45)</f>
        <v/>
      </c>
      <c r="C180" s="291" t="str">
        <f>IF($C$45="","",$C$45)</f>
        <v/>
      </c>
      <c r="D180" s="298"/>
      <c r="E180" s="297"/>
      <c r="F180" s="89"/>
      <c r="G180" s="290" t="str">
        <f>IF($B$45="","",$B$45)</f>
        <v/>
      </c>
      <c r="H180" s="291" t="str">
        <f>IF($C$45="","",$C$45)</f>
        <v/>
      </c>
      <c r="I180" s="298"/>
      <c r="J180" s="297"/>
      <c r="L180" s="290" t="str">
        <f>IF($B$45="","",$B$45)</f>
        <v/>
      </c>
      <c r="M180" s="291" t="str">
        <f>IF($C$45="","",$C$45)</f>
        <v/>
      </c>
      <c r="N180" s="298"/>
      <c r="O180" s="297"/>
    </row>
    <row r="181" spans="2:15" ht="15.75" customHeight="1" x14ac:dyDescent="0.25">
      <c r="B181" s="290">
        <f>IF($B$46="","",$B$46)</f>
        <v>200.9</v>
      </c>
      <c r="C181" s="291" t="str">
        <f>IF($C$46="","",$C$46)</f>
        <v>PROVEEDORES</v>
      </c>
      <c r="D181" s="297"/>
      <c r="E181" s="297">
        <v>5907617.96</v>
      </c>
      <c r="G181" s="290">
        <f>IF($B$46="","",$B$46)</f>
        <v>200.9</v>
      </c>
      <c r="H181" s="291" t="str">
        <f>IF($C$46="","",$C$46)</f>
        <v>PROVEEDORES</v>
      </c>
      <c r="I181" s="297"/>
      <c r="J181" s="297">
        <v>4456695.7</v>
      </c>
      <c r="L181" s="290">
        <f>IF($B$46="","",$B$46)</f>
        <v>200.9</v>
      </c>
      <c r="M181" s="291" t="str">
        <f>IF($C$46="","",$C$46)</f>
        <v>PROVEEDORES</v>
      </c>
      <c r="N181" s="297"/>
      <c r="O181" s="297">
        <v>16243348.66</v>
      </c>
    </row>
    <row r="182" spans="2:15" ht="15.75" customHeight="1" x14ac:dyDescent="0.25">
      <c r="B182" s="377"/>
      <c r="C182" s="378"/>
      <c r="D182" s="378"/>
      <c r="E182" s="301">
        <f>SUM(D139:D180)-E181</f>
        <v>284261.32537500001</v>
      </c>
      <c r="G182" s="377"/>
      <c r="H182" s="378"/>
      <c r="I182" s="378"/>
      <c r="J182" s="301">
        <f>SUM(I139:I180)-J181</f>
        <v>-460847.26003700122</v>
      </c>
      <c r="L182" s="377"/>
      <c r="M182" s="378"/>
      <c r="N182" s="378"/>
      <c r="O182" s="301">
        <f>SUM(N139:N180)-O181</f>
        <v>-126878.69782399945</v>
      </c>
    </row>
    <row r="183" spans="2:15" ht="15.75" customHeight="1" x14ac:dyDescent="0.25"/>
    <row r="184" spans="2:15" ht="15.75" customHeight="1" x14ac:dyDescent="0.25"/>
    <row r="185" spans="2:15" ht="15.75" customHeight="1" x14ac:dyDescent="0.25"/>
    <row r="186" spans="2:15" ht="15.75" customHeight="1" x14ac:dyDescent="0.25"/>
    <row r="187" spans="2:15" ht="15.75" customHeight="1" x14ac:dyDescent="0.25"/>
    <row r="188" spans="2:15" ht="15.75" customHeight="1" x14ac:dyDescent="0.25"/>
    <row r="189" spans="2:15" ht="15.75" customHeight="1" x14ac:dyDescent="0.25"/>
    <row r="190" spans="2:15" ht="15.75" customHeight="1" x14ac:dyDescent="0.25"/>
    <row r="191" spans="2:15" ht="15.75" customHeight="1" x14ac:dyDescent="0.25"/>
    <row r="192" spans="2:15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sortState xmlns:xlrd2="http://schemas.microsoft.com/office/spreadsheetml/2017/richdata2" ref="B5:E34">
    <sortCondition ref="C5:C34"/>
  </sortState>
  <mergeCells count="25">
    <mergeCell ref="B49:E49"/>
    <mergeCell ref="G49:J49"/>
    <mergeCell ref="L49:O49"/>
    <mergeCell ref="G92:I92"/>
    <mergeCell ref="B94:E94"/>
    <mergeCell ref="G94:J94"/>
    <mergeCell ref="B2:O2"/>
    <mergeCell ref="B4:E4"/>
    <mergeCell ref="G4:J4"/>
    <mergeCell ref="L4:O4"/>
    <mergeCell ref="B47:D47"/>
    <mergeCell ref="G47:I47"/>
    <mergeCell ref="L47:N47"/>
    <mergeCell ref="L182:N182"/>
    <mergeCell ref="G139:J139"/>
    <mergeCell ref="B92:D92"/>
    <mergeCell ref="L139:O139"/>
    <mergeCell ref="L92:N92"/>
    <mergeCell ref="B137:D137"/>
    <mergeCell ref="G137:I137"/>
    <mergeCell ref="L137:N137"/>
    <mergeCell ref="L94:O94"/>
    <mergeCell ref="B139:E139"/>
    <mergeCell ref="B182:D182"/>
    <mergeCell ref="G182:I182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CDDC"/>
  </sheetPr>
  <dimension ref="B2:O1000"/>
  <sheetViews>
    <sheetView showGridLines="0" workbookViewId="0"/>
  </sheetViews>
  <sheetFormatPr baseColWidth="10" defaultColWidth="14.42578125" defaultRowHeight="15" customHeight="1" x14ac:dyDescent="0.2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5" width="11.5703125" customWidth="1"/>
    <col min="16" max="26" width="10.7109375" customWidth="1"/>
  </cols>
  <sheetData>
    <row r="2" spans="2:15" ht="31.5" x14ac:dyDescent="0.25">
      <c r="B2" s="384" t="s">
        <v>1736</v>
      </c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2"/>
    </row>
    <row r="3" spans="2:15" x14ac:dyDescent="0.25"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2:15" ht="18.75" x14ac:dyDescent="0.25">
      <c r="B4" s="379">
        <f>'Abr-22'!N1</f>
        <v>44652</v>
      </c>
      <c r="C4" s="382"/>
      <c r="D4" s="382"/>
      <c r="E4" s="383"/>
      <c r="F4" s="89"/>
      <c r="G4" s="379">
        <f>EDATE($B$4,1)</f>
        <v>44682</v>
      </c>
      <c r="H4" s="382"/>
      <c r="I4" s="382"/>
      <c r="J4" s="383"/>
      <c r="K4" s="89"/>
      <c r="L4" s="379">
        <f>EDATE($B$4,2)</f>
        <v>44713</v>
      </c>
      <c r="M4" s="382"/>
      <c r="N4" s="382"/>
      <c r="O4" s="383"/>
    </row>
    <row r="5" spans="2:15" x14ac:dyDescent="0.25">
      <c r="B5" s="304">
        <v>100.1</v>
      </c>
      <c r="C5" s="305" t="s">
        <v>1737</v>
      </c>
      <c r="D5" s="306">
        <v>0</v>
      </c>
      <c r="E5" s="293"/>
      <c r="F5" s="89"/>
      <c r="G5" s="304">
        <v>100.1</v>
      </c>
      <c r="H5" s="305" t="s">
        <v>1737</v>
      </c>
      <c r="I5" s="306">
        <v>0</v>
      </c>
      <c r="J5" s="293"/>
      <c r="K5" s="89"/>
      <c r="L5" s="304">
        <v>100.1</v>
      </c>
      <c r="M5" s="305" t="s">
        <v>1737</v>
      </c>
      <c r="N5" s="306">
        <v>0</v>
      </c>
      <c r="O5" s="293"/>
    </row>
    <row r="6" spans="2:15" x14ac:dyDescent="0.25">
      <c r="B6" s="304">
        <v>210.1</v>
      </c>
      <c r="C6" s="305" t="s">
        <v>1738</v>
      </c>
      <c r="D6" s="293"/>
      <c r="E6" s="307"/>
      <c r="F6" s="89"/>
      <c r="G6" s="304">
        <v>210.1</v>
      </c>
      <c r="H6" s="305" t="s">
        <v>1738</v>
      </c>
      <c r="I6" s="293"/>
      <c r="J6" s="307"/>
      <c r="K6" s="89"/>
      <c r="L6" s="304">
        <v>210.1</v>
      </c>
      <c r="M6" s="305" t="s">
        <v>1738</v>
      </c>
      <c r="N6" s="293"/>
      <c r="O6" s="307"/>
    </row>
    <row r="7" spans="2:15" x14ac:dyDescent="0.25">
      <c r="B7" s="304">
        <v>400.2</v>
      </c>
      <c r="C7" s="305" t="s">
        <v>1739</v>
      </c>
      <c r="D7" s="293"/>
      <c r="E7" s="307"/>
      <c r="F7" s="89"/>
      <c r="G7" s="304">
        <v>400.2</v>
      </c>
      <c r="H7" s="305" t="s">
        <v>1739</v>
      </c>
      <c r="I7" s="293"/>
      <c r="J7" s="307"/>
      <c r="K7" s="89"/>
      <c r="L7" s="304">
        <v>400.2</v>
      </c>
      <c r="M7" s="305" t="s">
        <v>1739</v>
      </c>
      <c r="N7" s="293"/>
      <c r="O7" s="307"/>
    </row>
    <row r="8" spans="2:15" x14ac:dyDescent="0.25">
      <c r="B8" s="308">
        <v>400.1</v>
      </c>
      <c r="C8" s="309" t="s">
        <v>1740</v>
      </c>
      <c r="D8" s="293"/>
      <c r="E8" s="310"/>
      <c r="F8" s="89"/>
      <c r="G8" s="308">
        <v>400.1</v>
      </c>
      <c r="H8" s="309" t="s">
        <v>1740</v>
      </c>
      <c r="I8" s="293"/>
      <c r="J8" s="310"/>
      <c r="K8" s="89"/>
      <c r="L8" s="308">
        <v>400.1</v>
      </c>
      <c r="M8" s="309" t="s">
        <v>1740</v>
      </c>
      <c r="N8" s="293"/>
      <c r="O8" s="310"/>
    </row>
    <row r="9" spans="2:15" x14ac:dyDescent="0.25">
      <c r="B9" s="311"/>
      <c r="C9" s="311"/>
      <c r="D9" s="311"/>
      <c r="E9" s="312">
        <v>0</v>
      </c>
      <c r="F9" s="89"/>
      <c r="G9" s="311"/>
      <c r="H9" s="311"/>
      <c r="I9" s="311"/>
      <c r="J9" s="312">
        <v>0</v>
      </c>
      <c r="K9" s="89"/>
      <c r="L9" s="311"/>
      <c r="M9" s="311"/>
      <c r="N9" s="311"/>
      <c r="O9" s="312">
        <v>0</v>
      </c>
    </row>
    <row r="10" spans="2:15" x14ac:dyDescent="0.25"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spans="2:15" ht="18.75" x14ac:dyDescent="0.25">
      <c r="B11" s="379">
        <f>EDATE($B$4,3)</f>
        <v>44743</v>
      </c>
      <c r="C11" s="382"/>
      <c r="D11" s="382"/>
      <c r="E11" s="383"/>
      <c r="F11" s="89"/>
      <c r="G11" s="379">
        <f>EDATE($B$4,4)</f>
        <v>44774</v>
      </c>
      <c r="H11" s="382"/>
      <c r="I11" s="382"/>
      <c r="J11" s="383"/>
      <c r="K11" s="89"/>
      <c r="L11" s="379">
        <f>EDATE($B$4,5)</f>
        <v>44805</v>
      </c>
      <c r="M11" s="382"/>
      <c r="N11" s="382"/>
      <c r="O11" s="383"/>
    </row>
    <row r="12" spans="2:15" x14ac:dyDescent="0.25">
      <c r="B12" s="304">
        <v>100.1</v>
      </c>
      <c r="C12" s="305" t="s">
        <v>1737</v>
      </c>
      <c r="D12" s="306">
        <v>0</v>
      </c>
      <c r="E12" s="293"/>
      <c r="F12" s="89"/>
      <c r="G12" s="304">
        <v>100.1</v>
      </c>
      <c r="H12" s="305" t="s">
        <v>1737</v>
      </c>
      <c r="I12" s="306">
        <v>0</v>
      </c>
      <c r="J12" s="293"/>
      <c r="K12" s="89"/>
      <c r="L12" s="304">
        <v>100.1</v>
      </c>
      <c r="M12" s="305" t="s">
        <v>1737</v>
      </c>
      <c r="N12" s="306">
        <v>0</v>
      </c>
      <c r="O12" s="293"/>
    </row>
    <row r="13" spans="2:15" x14ac:dyDescent="0.25">
      <c r="B13" s="304">
        <v>210.1</v>
      </c>
      <c r="C13" s="305" t="s">
        <v>1738</v>
      </c>
      <c r="D13" s="293"/>
      <c r="E13" s="307"/>
      <c r="F13" s="89"/>
      <c r="G13" s="304">
        <v>210.1</v>
      </c>
      <c r="H13" s="305" t="s">
        <v>1738</v>
      </c>
      <c r="I13" s="293"/>
      <c r="J13" s="307"/>
      <c r="K13" s="89"/>
      <c r="L13" s="304">
        <v>210.1</v>
      </c>
      <c r="M13" s="305" t="s">
        <v>1738</v>
      </c>
      <c r="N13" s="293"/>
      <c r="O13" s="307"/>
    </row>
    <row r="14" spans="2:15" x14ac:dyDescent="0.25">
      <c r="B14" s="304">
        <v>400.2</v>
      </c>
      <c r="C14" s="305" t="s">
        <v>1739</v>
      </c>
      <c r="D14" s="293"/>
      <c r="E14" s="307"/>
      <c r="F14" s="89"/>
      <c r="G14" s="304">
        <v>400.2</v>
      </c>
      <c r="H14" s="305" t="s">
        <v>1739</v>
      </c>
      <c r="I14" s="293"/>
      <c r="J14" s="307"/>
      <c r="K14" s="89"/>
      <c r="L14" s="304">
        <v>400.2</v>
      </c>
      <c r="M14" s="305" t="s">
        <v>1739</v>
      </c>
      <c r="N14" s="293"/>
      <c r="O14" s="307"/>
    </row>
    <row r="15" spans="2:15" x14ac:dyDescent="0.25">
      <c r="B15" s="308">
        <v>400.1</v>
      </c>
      <c r="C15" s="309" t="s">
        <v>1740</v>
      </c>
      <c r="D15" s="293"/>
      <c r="E15" s="310"/>
      <c r="F15" s="89"/>
      <c r="G15" s="308">
        <v>400.1</v>
      </c>
      <c r="H15" s="309" t="s">
        <v>1740</v>
      </c>
      <c r="I15" s="293"/>
      <c r="J15" s="310"/>
      <c r="K15" s="89"/>
      <c r="L15" s="308">
        <v>400.1</v>
      </c>
      <c r="M15" s="309" t="s">
        <v>1740</v>
      </c>
      <c r="N15" s="293"/>
      <c r="O15" s="310"/>
    </row>
    <row r="16" spans="2:15" x14ac:dyDescent="0.25">
      <c r="B16" s="311"/>
      <c r="C16" s="311"/>
      <c r="D16" s="311"/>
      <c r="E16" s="312">
        <v>0</v>
      </c>
      <c r="F16" s="89"/>
      <c r="G16" s="311"/>
      <c r="H16" s="311"/>
      <c r="I16" s="311"/>
      <c r="J16" s="312">
        <v>0</v>
      </c>
      <c r="K16" s="89"/>
      <c r="L16" s="311"/>
      <c r="M16" s="311"/>
      <c r="N16" s="311"/>
      <c r="O16" s="312">
        <v>0</v>
      </c>
    </row>
    <row r="17" spans="2:15" x14ac:dyDescent="0.25"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</row>
    <row r="18" spans="2:15" ht="18.75" x14ac:dyDescent="0.25">
      <c r="B18" s="379">
        <f>EDATE($B$4,6)</f>
        <v>44835</v>
      </c>
      <c r="C18" s="382"/>
      <c r="D18" s="382"/>
      <c r="E18" s="383"/>
      <c r="F18" s="89"/>
      <c r="G18" s="379">
        <f>EDATE($B$4,7)</f>
        <v>44866</v>
      </c>
      <c r="H18" s="382"/>
      <c r="I18" s="382"/>
      <c r="J18" s="383"/>
      <c r="K18" s="89"/>
      <c r="L18" s="379">
        <f>EDATE($B$4,8)</f>
        <v>44896</v>
      </c>
      <c r="M18" s="382"/>
      <c r="N18" s="382"/>
      <c r="O18" s="383"/>
    </row>
    <row r="19" spans="2:15" x14ac:dyDescent="0.25">
      <c r="B19" s="304">
        <v>100.1</v>
      </c>
      <c r="C19" s="305" t="s">
        <v>1737</v>
      </c>
      <c r="D19" s="306">
        <v>0</v>
      </c>
      <c r="E19" s="293"/>
      <c r="F19" s="89"/>
      <c r="G19" s="304">
        <v>100.1</v>
      </c>
      <c r="H19" s="305" t="s">
        <v>1737</v>
      </c>
      <c r="I19" s="306">
        <v>0</v>
      </c>
      <c r="J19" s="293"/>
      <c r="K19" s="89"/>
      <c r="L19" s="304">
        <v>100.1</v>
      </c>
      <c r="M19" s="305" t="s">
        <v>1737</v>
      </c>
      <c r="N19" s="306">
        <v>0</v>
      </c>
      <c r="O19" s="293"/>
    </row>
    <row r="20" spans="2:15" x14ac:dyDescent="0.25">
      <c r="B20" s="304">
        <v>210.1</v>
      </c>
      <c r="C20" s="305" t="s">
        <v>1738</v>
      </c>
      <c r="D20" s="293"/>
      <c r="E20" s="307"/>
      <c r="F20" s="89"/>
      <c r="G20" s="304">
        <v>210.1</v>
      </c>
      <c r="H20" s="305" t="s">
        <v>1738</v>
      </c>
      <c r="I20" s="293"/>
      <c r="J20" s="307"/>
      <c r="K20" s="89"/>
      <c r="L20" s="304">
        <v>210.1</v>
      </c>
      <c r="M20" s="305" t="s">
        <v>1738</v>
      </c>
      <c r="N20" s="293"/>
      <c r="O20" s="307"/>
    </row>
    <row r="21" spans="2:15" ht="15.75" customHeight="1" x14ac:dyDescent="0.25">
      <c r="B21" s="304">
        <v>400.2</v>
      </c>
      <c r="C21" s="305" t="s">
        <v>1739</v>
      </c>
      <c r="D21" s="293"/>
      <c r="E21" s="307"/>
      <c r="F21" s="89"/>
      <c r="G21" s="304">
        <v>400.2</v>
      </c>
      <c r="H21" s="305" t="s">
        <v>1739</v>
      </c>
      <c r="I21" s="293"/>
      <c r="J21" s="307"/>
      <c r="K21" s="89"/>
      <c r="L21" s="304">
        <v>400.2</v>
      </c>
      <c r="M21" s="305" t="s">
        <v>1739</v>
      </c>
      <c r="N21" s="293"/>
      <c r="O21" s="307"/>
    </row>
    <row r="22" spans="2:15" ht="15.75" customHeight="1" x14ac:dyDescent="0.25">
      <c r="B22" s="308">
        <v>400.1</v>
      </c>
      <c r="C22" s="309" t="s">
        <v>1740</v>
      </c>
      <c r="D22" s="293"/>
      <c r="E22" s="310"/>
      <c r="F22" s="89"/>
      <c r="G22" s="308">
        <v>400.1</v>
      </c>
      <c r="H22" s="309" t="s">
        <v>1740</v>
      </c>
      <c r="I22" s="293"/>
      <c r="J22" s="310"/>
      <c r="K22" s="89"/>
      <c r="L22" s="308">
        <v>400.1</v>
      </c>
      <c r="M22" s="309" t="s">
        <v>1740</v>
      </c>
      <c r="N22" s="293"/>
      <c r="O22" s="310"/>
    </row>
    <row r="23" spans="2:15" ht="15.75" customHeight="1" x14ac:dyDescent="0.25">
      <c r="B23" s="311"/>
      <c r="C23" s="311"/>
      <c r="D23" s="311"/>
      <c r="E23" s="312">
        <v>0</v>
      </c>
      <c r="F23" s="89"/>
      <c r="G23" s="311"/>
      <c r="H23" s="311"/>
      <c r="I23" s="311"/>
      <c r="J23" s="312">
        <v>0</v>
      </c>
      <c r="K23" s="89"/>
      <c r="L23" s="311"/>
      <c r="M23" s="311"/>
      <c r="N23" s="311"/>
      <c r="O23" s="312">
        <v>0</v>
      </c>
    </row>
    <row r="24" spans="2:15" ht="15.75" customHeight="1" x14ac:dyDescent="0.25">
      <c r="B24" s="311"/>
      <c r="C24" s="311"/>
      <c r="D24" s="311"/>
      <c r="E24" s="313"/>
      <c r="F24" s="89"/>
      <c r="G24" s="89"/>
      <c r="H24" s="89"/>
      <c r="I24" s="89"/>
      <c r="J24" s="89"/>
      <c r="K24" s="89"/>
      <c r="L24" s="89"/>
      <c r="M24" s="89"/>
      <c r="N24" s="89"/>
      <c r="O24" s="89"/>
    </row>
    <row r="25" spans="2:15" ht="15.75" customHeight="1" x14ac:dyDescent="0.25">
      <c r="B25" s="379">
        <f>EDATE($B$4,9)</f>
        <v>44927</v>
      </c>
      <c r="C25" s="382"/>
      <c r="D25" s="382"/>
      <c r="E25" s="383"/>
      <c r="F25" s="89"/>
      <c r="G25" s="379">
        <f>EDATE($B$4,10)</f>
        <v>44958</v>
      </c>
      <c r="H25" s="382"/>
      <c r="I25" s="382"/>
      <c r="J25" s="383"/>
      <c r="K25" s="89"/>
      <c r="L25" s="379">
        <f>EDATE($B$4,11)</f>
        <v>44986</v>
      </c>
      <c r="M25" s="382"/>
      <c r="N25" s="382"/>
      <c r="O25" s="383"/>
    </row>
    <row r="26" spans="2:15" ht="15.75" customHeight="1" x14ac:dyDescent="0.25">
      <c r="B26" s="304">
        <v>100.1</v>
      </c>
      <c r="C26" s="305" t="s">
        <v>1737</v>
      </c>
      <c r="D26" s="306">
        <v>0</v>
      </c>
      <c r="E26" s="293"/>
      <c r="F26" s="89"/>
      <c r="G26" s="304">
        <v>100.1</v>
      </c>
      <c r="H26" s="305" t="s">
        <v>1737</v>
      </c>
      <c r="I26" s="306">
        <v>0</v>
      </c>
      <c r="J26" s="293"/>
      <c r="K26" s="89"/>
      <c r="L26" s="304">
        <v>100.1</v>
      </c>
      <c r="M26" s="305" t="s">
        <v>1737</v>
      </c>
      <c r="N26" s="306">
        <v>0</v>
      </c>
      <c r="O26" s="293"/>
    </row>
    <row r="27" spans="2:15" ht="15.75" customHeight="1" x14ac:dyDescent="0.25">
      <c r="B27" s="304">
        <v>210.1</v>
      </c>
      <c r="C27" s="305" t="s">
        <v>1738</v>
      </c>
      <c r="D27" s="293"/>
      <c r="E27" s="307"/>
      <c r="F27" s="89"/>
      <c r="G27" s="304">
        <v>210.1</v>
      </c>
      <c r="H27" s="305" t="s">
        <v>1738</v>
      </c>
      <c r="I27" s="293"/>
      <c r="J27" s="307"/>
      <c r="K27" s="89"/>
      <c r="L27" s="304">
        <v>210.1</v>
      </c>
      <c r="M27" s="305" t="s">
        <v>1738</v>
      </c>
      <c r="N27" s="293"/>
      <c r="O27" s="307"/>
    </row>
    <row r="28" spans="2:15" ht="15.75" customHeight="1" x14ac:dyDescent="0.25">
      <c r="B28" s="304">
        <v>400.2</v>
      </c>
      <c r="C28" s="305" t="s">
        <v>1739</v>
      </c>
      <c r="D28" s="293"/>
      <c r="E28" s="307"/>
      <c r="F28" s="89"/>
      <c r="G28" s="304">
        <v>400.2</v>
      </c>
      <c r="H28" s="305" t="s">
        <v>1739</v>
      </c>
      <c r="I28" s="293"/>
      <c r="J28" s="307"/>
      <c r="K28" s="89"/>
      <c r="L28" s="304">
        <v>400.2</v>
      </c>
      <c r="M28" s="305" t="s">
        <v>1739</v>
      </c>
      <c r="N28" s="293"/>
      <c r="O28" s="307"/>
    </row>
    <row r="29" spans="2:15" ht="15.75" customHeight="1" x14ac:dyDescent="0.25">
      <c r="B29" s="308">
        <v>400.1</v>
      </c>
      <c r="C29" s="309" t="s">
        <v>1740</v>
      </c>
      <c r="D29" s="293"/>
      <c r="E29" s="310"/>
      <c r="F29" s="89"/>
      <c r="G29" s="308">
        <v>400.1</v>
      </c>
      <c r="H29" s="309" t="s">
        <v>1740</v>
      </c>
      <c r="I29" s="293"/>
      <c r="J29" s="310"/>
      <c r="K29" s="89"/>
      <c r="L29" s="308">
        <v>400.1</v>
      </c>
      <c r="M29" s="309" t="s">
        <v>1740</v>
      </c>
      <c r="N29" s="293"/>
      <c r="O29" s="310"/>
    </row>
    <row r="30" spans="2:15" ht="15.75" customHeight="1" x14ac:dyDescent="0.25">
      <c r="B30" s="311"/>
      <c r="C30" s="311"/>
      <c r="D30" s="311"/>
      <c r="E30" s="312">
        <v>0</v>
      </c>
      <c r="F30" s="89"/>
      <c r="G30" s="311"/>
      <c r="H30" s="311"/>
      <c r="I30" s="311"/>
      <c r="J30" s="312">
        <v>0</v>
      </c>
      <c r="K30" s="89"/>
      <c r="L30" s="311"/>
      <c r="M30" s="311"/>
      <c r="N30" s="311"/>
      <c r="O30" s="312">
        <v>0</v>
      </c>
    </row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B2:O2"/>
    <mergeCell ref="B4:E4"/>
    <mergeCell ref="G4:J4"/>
    <mergeCell ref="L4:O4"/>
    <mergeCell ref="B11:E11"/>
    <mergeCell ref="G11:J11"/>
    <mergeCell ref="L11:O11"/>
    <mergeCell ref="B18:E18"/>
    <mergeCell ref="G18:J18"/>
    <mergeCell ref="L18:O18"/>
    <mergeCell ref="B25:E25"/>
    <mergeCell ref="G25:J25"/>
    <mergeCell ref="L25:O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Abr-22</vt:lpstr>
      <vt:lpstr>May-22</vt:lpstr>
      <vt:lpstr>Jun-22</vt:lpstr>
      <vt:lpstr>Jul-22</vt:lpstr>
      <vt:lpstr>Ago-22</vt:lpstr>
      <vt:lpstr>Sep-22</vt:lpstr>
      <vt:lpstr>Oct-22</vt:lpstr>
      <vt:lpstr>Nov-22</vt:lpstr>
      <vt:lpstr>Dic-22</vt:lpstr>
      <vt:lpstr>Ene-23</vt:lpstr>
      <vt:lpstr>Feb-23</vt:lpstr>
      <vt:lpstr>Mar-23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123</cp:lastModifiedBy>
  <dcterms:created xsi:type="dcterms:W3CDTF">2006-09-16T00:00:00Z</dcterms:created>
  <dcterms:modified xsi:type="dcterms:W3CDTF">2024-08-14T17:14:32Z</dcterms:modified>
</cp:coreProperties>
</file>