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660" windowWidth="20730" windowHeight="1104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K28" i="1" s="1"/>
  <c r="G29" i="1"/>
  <c r="G30" i="1"/>
  <c r="K26" i="1" l="1"/>
  <c r="K25" i="1"/>
  <c r="K27" i="1"/>
  <c r="G31" i="1"/>
</calcChain>
</file>

<file path=xl/sharedStrings.xml><?xml version="1.0" encoding="utf-8"?>
<sst xmlns="http://schemas.openxmlformats.org/spreadsheetml/2006/main" count="71" uniqueCount="31">
  <si>
    <t>FACTURAS DE IMPORTACION CORITEC S.R.L</t>
  </si>
  <si>
    <t>FECHA</t>
  </si>
  <si>
    <t>PROVEEDOR</t>
  </si>
  <si>
    <t>ABRIL 2022 - ENERO 2022</t>
  </si>
  <si>
    <t xml:space="preserve">TOTAL </t>
  </si>
  <si>
    <t>SN207328</t>
  </si>
  <si>
    <t>Prince &amp; Izant Co Inc</t>
  </si>
  <si>
    <t>Mouser Electronics, Inc.</t>
  </si>
  <si>
    <t>Y2857748EP7W21</t>
  </si>
  <si>
    <t>SparkFun Electronics</t>
  </si>
  <si>
    <t>NRO FACTURA</t>
  </si>
  <si>
    <t>B2857748EP2W22</t>
  </si>
  <si>
    <t>X2857748EP2W23</t>
  </si>
  <si>
    <t>G2857748EP1W24</t>
  </si>
  <si>
    <t>U2857748EP3W25</t>
  </si>
  <si>
    <t>JuaLiChuang (HongKong) Co., Limited</t>
  </si>
  <si>
    <t>2857748E202210190114656</t>
  </si>
  <si>
    <t>W202209202317395</t>
  </si>
  <si>
    <t>2857748E202211160341183</t>
  </si>
  <si>
    <t>2857748E202211231920706</t>
  </si>
  <si>
    <t>SN237747</t>
  </si>
  <si>
    <t>SN238500</t>
  </si>
  <si>
    <t>2857748E2022120602481001</t>
  </si>
  <si>
    <t>SN239371</t>
  </si>
  <si>
    <t>2857748E202212140242373</t>
  </si>
  <si>
    <t>TOTAL</t>
  </si>
  <si>
    <t>Columna1</t>
  </si>
  <si>
    <t>Columna2</t>
  </si>
  <si>
    <t>Pais</t>
  </si>
  <si>
    <t>EEUU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</si>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</sst>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,##0.00\ [$USD]"/>
    <numFmt numFmtId="165" formatCode="[$$-2C0A]\ #,##0.00;\-[$$-2C0A]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164" fontId="0" fillId="0" borderId="0" xfId="0" applyNumberFormat="1"/>
    <xf numFmtId="14" fontId="0" fillId="0" borderId="5" xfId="0" applyNumberFormat="1" applyBorder="1"/>
    <xf numFmtId="14" fontId="0" fillId="0" borderId="5" xfId="0" applyNumberFormat="1" applyBorder="1" applyAlignment="1">
      <alignment horizontal="right"/>
    </xf>
    <xf numFmtId="164" fontId="0" fillId="0" borderId="6" xfId="0" applyNumberFormat="1" applyBorder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right"/>
    </xf>
    <xf numFmtId="164" fontId="0" fillId="0" borderId="3" xfId="0" applyNumberFormat="1" applyBorder="1"/>
    <xf numFmtId="0" fontId="5" fillId="4" borderId="0" xfId="0" applyFont="1" applyFill="1"/>
    <xf numFmtId="0" fontId="6" fillId="4" borderId="0" xfId="0" applyFont="1" applyFill="1" applyAlignment="1">
      <alignment vertical="center"/>
    </xf>
    <xf numFmtId="165" fontId="2" fillId="0" borderId="0" xfId="1" applyNumberFormat="1" applyFont="1" applyAlignment="1">
      <alignment vertical="center"/>
    </xf>
    <xf numFmtId="165" fontId="0" fillId="0" borderId="0" xfId="1" applyNumberFormat="1" applyFont="1"/>
    <xf numFmtId="165" fontId="1" fillId="3" borderId="8" xfId="1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/>
    <xf numFmtId="165" fontId="8" fillId="6" borderId="10" xfId="1" applyNumberFormat="1" applyFont="1" applyFill="1" applyBorder="1"/>
    <xf numFmtId="165" fontId="0" fillId="0" borderId="0" xfId="0" applyNumberFormat="1"/>
    <xf numFmtId="0" fontId="0" fillId="2" borderId="0" xfId="0" applyFill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9">
    <dxf>
      <numFmt numFmtId="165" formatCode="[$$-2C0A]\ #,##0.00;\-[$$-2C0A]\ #,##0.00"/>
    </dxf>
    <dxf>
      <numFmt numFmtId="164" formatCode="#,##0.00\ [$USD]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6:H30" totalsRowShown="0" headerRowDxfId="8" headerRowBorderDxfId="7" tableBorderDxfId="6" totalsRowBorderDxfId="5">
  <autoFilter ref="B6:H30"/>
  <sortState ref="B7:E30">
    <sortCondition ref="B6:B30"/>
  </sortState>
  <tableColumns count="7">
    <tableColumn id="1" name="FECHA" dataDxfId="4"/>
    <tableColumn id="2" name="NRO FACTURA" dataDxfId="3"/>
    <tableColumn id="3" name="PROVEEDOR" dataDxfId="2"/>
    <tableColumn id="4" name="TOTAL " dataDxfId="1"/>
    <tableColumn id="5" name="Columna1"/>
    <tableColumn id="6" name="Columna2" dataDxfId="0" dataCellStyle="Millares">
      <calculatedColumnFormula>+Tabla1[[#This Row],[TOTAL ]]*Tabla1[[#This Row],[Columna1]]</calculatedColumnFormula>
    </tableColumn>
    <tableColumn id="7" name="Pai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115" zoomScaleNormal="115" workbookViewId="0">
      <selection activeCell="D32" sqref="D32"/>
    </sheetView>
  </sheetViews>
  <sheetFormatPr baseColWidth="10" defaultColWidth="9.140625" defaultRowHeight="15" x14ac:dyDescent="0.25"/>
  <cols>
    <col min="1" max="1" width="2" customWidth="1"/>
    <col min="2" max="2" width="13.85546875" customWidth="1"/>
    <col min="3" max="3" width="27.28515625" customWidth="1"/>
    <col min="4" max="4" width="35.28515625" customWidth="1"/>
    <col min="5" max="5" width="14" bestFit="1" customWidth="1"/>
    <col min="7" max="7" width="16.85546875" style="21" bestFit="1" customWidth="1"/>
    <col min="8" max="8" width="11.140625" customWidth="1"/>
    <col min="11" max="11" width="12.7109375" bestFit="1" customWidth="1"/>
  </cols>
  <sheetData>
    <row r="1" spans="1:8" ht="31.5" customHeight="1" x14ac:dyDescent="0.25">
      <c r="A1" s="18"/>
      <c r="B1" s="19" t="s">
        <v>0</v>
      </c>
      <c r="C1" s="19"/>
      <c r="D1" s="19"/>
      <c r="E1" s="3"/>
      <c r="F1" s="1"/>
      <c r="G1" s="20"/>
      <c r="H1" s="1"/>
    </row>
    <row r="2" spans="1:8" x14ac:dyDescent="0.25">
      <c r="D2" s="26" t="s">
        <v>3</v>
      </c>
      <c r="E2" s="26"/>
    </row>
    <row r="6" spans="1:8" x14ac:dyDescent="0.25">
      <c r="B6" s="13" t="s">
        <v>1</v>
      </c>
      <c r="C6" s="14" t="s">
        <v>10</v>
      </c>
      <c r="D6" s="14" t="s">
        <v>2</v>
      </c>
      <c r="E6" s="15" t="s">
        <v>4</v>
      </c>
      <c r="F6" s="14" t="s">
        <v>26</v>
      </c>
      <c r="G6" s="22" t="s">
        <v>27</v>
      </c>
      <c r="H6" s="28" t="s">
        <v>28</v>
      </c>
    </row>
    <row r="7" spans="1:8" x14ac:dyDescent="0.25">
      <c r="B7" s="10">
        <v>44670</v>
      </c>
      <c r="C7" s="4" t="s">
        <v>5</v>
      </c>
      <c r="D7" s="2" t="s">
        <v>6</v>
      </c>
      <c r="E7" s="12">
        <v>2859.92</v>
      </c>
      <c r="F7">
        <v>120.25</v>
      </c>
      <c r="G7" s="21">
        <f>+Tabla1[[#This Row],[TOTAL ]]*Tabla1[[#This Row],[Columna1]]</f>
        <v>343905.38</v>
      </c>
      <c r="H7" t="s">
        <v>29</v>
      </c>
    </row>
    <row r="8" spans="1:8" x14ac:dyDescent="0.25">
      <c r="B8" s="10">
        <v>44679</v>
      </c>
      <c r="C8" s="4">
        <v>67571722</v>
      </c>
      <c r="D8" s="2" t="s">
        <v>7</v>
      </c>
      <c r="E8" s="12">
        <v>544.4</v>
      </c>
      <c r="F8">
        <v>120.25</v>
      </c>
      <c r="G8" s="21">
        <f>+Tabla1[[#This Row],[TOTAL ]]*Tabla1[[#This Row],[Columna1]]</f>
        <v>65464.1</v>
      </c>
      <c r="H8" t="s">
        <v>29</v>
      </c>
    </row>
    <row r="9" spans="1:8" x14ac:dyDescent="0.25">
      <c r="B9" s="10">
        <v>44679</v>
      </c>
      <c r="C9" s="4">
        <v>67571746</v>
      </c>
      <c r="D9" s="2" t="s">
        <v>7</v>
      </c>
      <c r="E9" s="12">
        <v>649.20000000000005</v>
      </c>
      <c r="F9">
        <v>120.25</v>
      </c>
      <c r="G9" s="21">
        <f>+Tabla1[[#This Row],[TOTAL ]]*Tabla1[[#This Row],[Columna1]]</f>
        <v>78066.3</v>
      </c>
      <c r="H9" t="s">
        <v>29</v>
      </c>
    </row>
    <row r="10" spans="1:8" x14ac:dyDescent="0.25">
      <c r="B10" s="11">
        <v>44725</v>
      </c>
      <c r="C10" s="4" t="s">
        <v>8</v>
      </c>
      <c r="D10" s="2" t="s">
        <v>15</v>
      </c>
      <c r="E10" s="12">
        <v>2848.52</v>
      </c>
      <c r="F10">
        <v>130</v>
      </c>
      <c r="G10" s="21">
        <f>+Tabla1[[#This Row],[TOTAL ]]*Tabla1[[#This Row],[Columna1]]</f>
        <v>370307.6</v>
      </c>
      <c r="H10" t="s">
        <v>30</v>
      </c>
    </row>
    <row r="11" spans="1:8" x14ac:dyDescent="0.25">
      <c r="B11" s="11">
        <v>44749</v>
      </c>
      <c r="C11" s="4">
        <v>6125740</v>
      </c>
      <c r="D11" s="2" t="s">
        <v>9</v>
      </c>
      <c r="E11" s="12">
        <v>1066.4000000000001</v>
      </c>
      <c r="F11">
        <v>138.25</v>
      </c>
      <c r="G11" s="21">
        <f>+Tabla1[[#This Row],[TOTAL ]]*Tabla1[[#This Row],[Columna1]]</f>
        <v>147429.80000000002</v>
      </c>
      <c r="H11" t="s">
        <v>29</v>
      </c>
    </row>
    <row r="12" spans="1:8" x14ac:dyDescent="0.25">
      <c r="B12" s="11">
        <v>44764</v>
      </c>
      <c r="C12" s="4" t="s">
        <v>11</v>
      </c>
      <c r="D12" s="2" t="s">
        <v>15</v>
      </c>
      <c r="E12" s="12">
        <v>2748.39</v>
      </c>
      <c r="F12">
        <v>138.25</v>
      </c>
      <c r="G12" s="21">
        <f>+Tabla1[[#This Row],[TOTAL ]]*Tabla1[[#This Row],[Columna1]]</f>
        <v>379964.91749999998</v>
      </c>
      <c r="H12" t="s">
        <v>30</v>
      </c>
    </row>
    <row r="13" spans="1:8" x14ac:dyDescent="0.25">
      <c r="B13" s="11">
        <v>44772</v>
      </c>
      <c r="C13" s="4" t="s">
        <v>12</v>
      </c>
      <c r="D13" s="2" t="s">
        <v>15</v>
      </c>
      <c r="E13" s="12">
        <v>2793.73</v>
      </c>
      <c r="F13">
        <v>138.25</v>
      </c>
      <c r="G13" s="21">
        <f>+Tabla1[[#This Row],[TOTAL ]]*Tabla1[[#This Row],[Columna1]]</f>
        <v>386233.17249999999</v>
      </c>
      <c r="H13" t="s">
        <v>30</v>
      </c>
    </row>
    <row r="14" spans="1:8" x14ac:dyDescent="0.25">
      <c r="B14" s="11">
        <v>44795</v>
      </c>
      <c r="C14" s="4" t="s">
        <v>13</v>
      </c>
      <c r="D14" s="2" t="s">
        <v>15</v>
      </c>
      <c r="E14" s="12">
        <v>2618.39</v>
      </c>
      <c r="F14">
        <v>145</v>
      </c>
      <c r="G14" s="21">
        <f>+Tabla1[[#This Row],[TOTAL ]]*Tabla1[[#This Row],[Columna1]]</f>
        <v>379666.55</v>
      </c>
      <c r="H14" t="s">
        <v>30</v>
      </c>
    </row>
    <row r="15" spans="1:8" x14ac:dyDescent="0.25">
      <c r="B15" s="11">
        <v>44805</v>
      </c>
      <c r="C15" s="4" t="s">
        <v>14</v>
      </c>
      <c r="D15" s="2" t="s">
        <v>15</v>
      </c>
      <c r="E15" s="12">
        <v>2608.96</v>
      </c>
      <c r="F15">
        <v>153</v>
      </c>
      <c r="G15" s="21">
        <f>+Tabla1[[#This Row],[TOTAL ]]*Tabla1[[#This Row],[Columna1]]</f>
        <v>399170.88</v>
      </c>
      <c r="H15" t="s">
        <v>30</v>
      </c>
    </row>
    <row r="16" spans="1:8" x14ac:dyDescent="0.25">
      <c r="B16" s="11">
        <v>44824</v>
      </c>
      <c r="C16" s="4" t="s">
        <v>17</v>
      </c>
      <c r="D16" s="2" t="s">
        <v>15</v>
      </c>
      <c r="E16" s="12">
        <v>2729.64</v>
      </c>
      <c r="F16">
        <v>153</v>
      </c>
      <c r="G16" s="21">
        <f>+Tabla1[[#This Row],[TOTAL ]]*Tabla1[[#This Row],[Columna1]]</f>
        <v>417634.92</v>
      </c>
      <c r="H16" t="s">
        <v>30</v>
      </c>
    </row>
    <row r="17" spans="2:11" x14ac:dyDescent="0.25">
      <c r="B17" s="11">
        <v>44853</v>
      </c>
      <c r="C17" s="4" t="s">
        <v>16</v>
      </c>
      <c r="D17" s="2" t="s">
        <v>15</v>
      </c>
      <c r="E17" s="12">
        <v>905.35</v>
      </c>
      <c r="F17">
        <v>162.5</v>
      </c>
      <c r="G17" s="21">
        <f>+Tabla1[[#This Row],[TOTAL ]]*Tabla1[[#This Row],[Columna1]]</f>
        <v>147119.375</v>
      </c>
      <c r="H17" t="s">
        <v>30</v>
      </c>
    </row>
    <row r="18" spans="2:11" x14ac:dyDescent="0.25">
      <c r="B18" s="11">
        <v>44881</v>
      </c>
      <c r="C18" s="4" t="s">
        <v>18</v>
      </c>
      <c r="D18" s="2" t="s">
        <v>15</v>
      </c>
      <c r="E18" s="12">
        <v>713.12</v>
      </c>
      <c r="F18">
        <v>173.75</v>
      </c>
      <c r="G18" s="21">
        <f>+Tabla1[[#This Row],[TOTAL ]]*Tabla1[[#This Row],[Columna1]]</f>
        <v>123904.6</v>
      </c>
      <c r="H18" t="s">
        <v>30</v>
      </c>
    </row>
    <row r="19" spans="2:11" x14ac:dyDescent="0.25">
      <c r="B19" s="11">
        <v>44888</v>
      </c>
      <c r="C19" s="4" t="s">
        <v>19</v>
      </c>
      <c r="D19" s="2" t="s">
        <v>15</v>
      </c>
      <c r="E19" s="12">
        <v>966.66</v>
      </c>
      <c r="F19">
        <v>173.75</v>
      </c>
      <c r="G19" s="21">
        <f>+Tabla1[[#This Row],[TOTAL ]]*Tabla1[[#This Row],[Columna1]]</f>
        <v>167957.17499999999</v>
      </c>
      <c r="H19" t="s">
        <v>30</v>
      </c>
    </row>
    <row r="20" spans="2:11" x14ac:dyDescent="0.25">
      <c r="B20" s="11">
        <v>44896</v>
      </c>
      <c r="C20" s="4" t="s">
        <v>20</v>
      </c>
      <c r="D20" s="2" t="s">
        <v>6</v>
      </c>
      <c r="E20" s="12">
        <v>931.09</v>
      </c>
      <c r="F20">
        <v>183.25</v>
      </c>
      <c r="G20" s="21">
        <f>+Tabla1[[#This Row],[TOTAL ]]*Tabla1[[#This Row],[Columna1]]</f>
        <v>170622.24249999999</v>
      </c>
      <c r="H20" t="s">
        <v>29</v>
      </c>
    </row>
    <row r="21" spans="2:11" x14ac:dyDescent="0.25">
      <c r="B21" s="11">
        <v>44901</v>
      </c>
      <c r="C21" s="4" t="s">
        <v>22</v>
      </c>
      <c r="D21" s="2" t="s">
        <v>15</v>
      </c>
      <c r="E21" s="12">
        <v>816.25</v>
      </c>
      <c r="F21">
        <v>183.25</v>
      </c>
      <c r="G21" s="21">
        <f>+Tabla1[[#This Row],[TOTAL ]]*Tabla1[[#This Row],[Columna1]]</f>
        <v>149577.8125</v>
      </c>
      <c r="H21" t="s">
        <v>30</v>
      </c>
    </row>
    <row r="22" spans="2:11" x14ac:dyDescent="0.25">
      <c r="B22" s="11">
        <v>44902</v>
      </c>
      <c r="C22" s="4" t="s">
        <v>21</v>
      </c>
      <c r="D22" s="2" t="s">
        <v>6</v>
      </c>
      <c r="E22" s="12">
        <v>925.15</v>
      </c>
      <c r="F22">
        <v>183.25</v>
      </c>
      <c r="G22" s="21">
        <f>+Tabla1[[#This Row],[TOTAL ]]*Tabla1[[#This Row],[Columna1]]</f>
        <v>169533.73749999999</v>
      </c>
      <c r="H22" t="s">
        <v>29</v>
      </c>
    </row>
    <row r="23" spans="2:11" x14ac:dyDescent="0.25">
      <c r="B23" s="11">
        <v>44909</v>
      </c>
      <c r="C23" s="4" t="s">
        <v>23</v>
      </c>
      <c r="D23" s="2" t="s">
        <v>6</v>
      </c>
      <c r="E23" s="12">
        <v>925.15</v>
      </c>
      <c r="F23">
        <v>183.25</v>
      </c>
      <c r="G23" s="21">
        <f>+Tabla1[[#This Row],[TOTAL ]]*Tabla1[[#This Row],[Columna1]]</f>
        <v>169533.73749999999</v>
      </c>
      <c r="H23" t="s">
        <v>29</v>
      </c>
    </row>
    <row r="24" spans="2:11" x14ac:dyDescent="0.25">
      <c r="B24" s="16">
        <v>44909</v>
      </c>
      <c r="C24" s="5" t="s">
        <v>24</v>
      </c>
      <c r="D24" s="6" t="s">
        <v>15</v>
      </c>
      <c r="E24" s="17">
        <v>901.16</v>
      </c>
      <c r="F24">
        <v>183.25</v>
      </c>
      <c r="G24" s="21">
        <f>+Tabla1[[#This Row],[TOTAL ]]*Tabla1[[#This Row],[Columna1]]</f>
        <v>165137.57</v>
      </c>
      <c r="H24" t="s">
        <v>30</v>
      </c>
    </row>
    <row r="25" spans="2:11" x14ac:dyDescent="0.25">
      <c r="B25" s="11">
        <v>44931</v>
      </c>
      <c r="C25" s="4"/>
      <c r="D25" s="6" t="s">
        <v>15</v>
      </c>
      <c r="E25" s="12">
        <v>852.8</v>
      </c>
      <c r="F25">
        <v>193.25</v>
      </c>
      <c r="G25" s="21">
        <f>+Tabla1[[#This Row],[TOTAL ]]*Tabla1[[#This Row],[Columna1]]</f>
        <v>164803.59999999998</v>
      </c>
      <c r="H25" t="s">
        <v>30</v>
      </c>
      <c r="K25" s="25">
        <f>SUM(G18:G19)</f>
        <v>291861.77500000002</v>
      </c>
    </row>
    <row r="26" spans="2:11" x14ac:dyDescent="0.25">
      <c r="B26" s="11">
        <v>44939</v>
      </c>
      <c r="C26" s="4"/>
      <c r="D26" s="6" t="s">
        <v>15</v>
      </c>
      <c r="E26" s="12">
        <v>838.75</v>
      </c>
      <c r="F26">
        <v>193.25</v>
      </c>
      <c r="G26" s="21">
        <f>+Tabla1[[#This Row],[TOTAL ]]*Tabla1[[#This Row],[Columna1]]</f>
        <v>162088.4375</v>
      </c>
      <c r="H26" t="s">
        <v>30</v>
      </c>
      <c r="K26" s="25">
        <f>SUM(G20:G24)</f>
        <v>824405.10000000009</v>
      </c>
    </row>
    <row r="27" spans="2:11" x14ac:dyDescent="0.25">
      <c r="B27" s="11">
        <v>44954</v>
      </c>
      <c r="C27" s="4"/>
      <c r="D27" s="6" t="s">
        <v>15</v>
      </c>
      <c r="E27" s="12">
        <v>930.75</v>
      </c>
      <c r="F27">
        <v>193.25</v>
      </c>
      <c r="G27" s="21">
        <f>+Tabla1[[#This Row],[TOTAL ]]*Tabla1[[#This Row],[Columna1]]</f>
        <v>179867.4375</v>
      </c>
      <c r="H27" t="s">
        <v>30</v>
      </c>
      <c r="K27" s="25">
        <f>SUM(G25:G27)</f>
        <v>506759.47499999998</v>
      </c>
    </row>
    <row r="28" spans="2:11" x14ac:dyDescent="0.25">
      <c r="B28" s="11">
        <v>44972</v>
      </c>
      <c r="C28" s="4"/>
      <c r="D28" s="6" t="s">
        <v>15</v>
      </c>
      <c r="E28" s="12">
        <v>859.46</v>
      </c>
      <c r="F28">
        <v>204</v>
      </c>
      <c r="G28" s="21">
        <f>+Tabla1[[#This Row],[TOTAL ]]*Tabla1[[#This Row],[Columna1]]</f>
        <v>175329.84</v>
      </c>
      <c r="H28" t="s">
        <v>30</v>
      </c>
      <c r="K28" s="25">
        <f>SUM(Tabla1[[#This Row],[Columna2]])</f>
        <v>175329.84</v>
      </c>
    </row>
    <row r="29" spans="2:11" x14ac:dyDescent="0.25">
      <c r="B29" s="11">
        <v>44789</v>
      </c>
      <c r="C29" s="4"/>
      <c r="D29" s="2" t="s">
        <v>6</v>
      </c>
      <c r="E29" s="12">
        <v>2750.06</v>
      </c>
      <c r="F29">
        <v>145</v>
      </c>
      <c r="G29" s="21">
        <f>+Tabla1[[#This Row],[TOTAL ]]*Tabla1[[#This Row],[Columna1]]</f>
        <v>398758.7</v>
      </c>
      <c r="H29" t="s">
        <v>30</v>
      </c>
    </row>
    <row r="30" spans="2:11" x14ac:dyDescent="0.25">
      <c r="B30" s="11"/>
      <c r="C30" s="4"/>
      <c r="D30" s="2"/>
      <c r="E30" s="12"/>
      <c r="G30" s="21">
        <f>+Tabla1[[#This Row],[TOTAL ]]*Tabla1[[#This Row],[Columna1]]</f>
        <v>0</v>
      </c>
    </row>
    <row r="31" spans="2:11" ht="15.75" x14ac:dyDescent="0.25">
      <c r="B31" s="27" t="s">
        <v>25</v>
      </c>
      <c r="C31" s="27"/>
      <c r="D31" s="27"/>
      <c r="E31" s="23">
        <f>SUBTOTAL(109,Tabla1[[TOTAL ]])</f>
        <v>34783.299999999996</v>
      </c>
      <c r="F31" s="23"/>
      <c r="G31" s="24">
        <f>SUBTOTAL(109,Tabla1[Columna2])</f>
        <v>5312077.8849999988</v>
      </c>
    </row>
    <row r="32" spans="2:11" x14ac:dyDescent="0.25">
      <c r="B32" s="7"/>
      <c r="C32" s="8"/>
      <c r="E32" s="9"/>
    </row>
    <row r="33" spans="2:5" x14ac:dyDescent="0.25">
      <c r="B33" s="7"/>
      <c r="C33" s="8"/>
      <c r="E33" s="9"/>
    </row>
    <row r="34" spans="2:5" x14ac:dyDescent="0.25">
      <c r="B34" s="7"/>
      <c r="C34" s="8"/>
      <c r="E34" s="9"/>
    </row>
    <row r="35" spans="2:5" x14ac:dyDescent="0.25">
      <c r="B35" s="7"/>
      <c r="C35" s="8"/>
    </row>
    <row r="36" spans="2:5" x14ac:dyDescent="0.25">
      <c r="B36" s="7"/>
      <c r="C36" s="8"/>
    </row>
    <row r="37" spans="2:5" x14ac:dyDescent="0.25">
      <c r="B37" s="7"/>
      <c r="C37" s="8"/>
    </row>
  </sheetData>
  <mergeCells count="2">
    <mergeCell ref="D2:E2"/>
    <mergeCell ref="B31:D31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234</dc:creator>
  <cp:lastModifiedBy>123</cp:lastModifiedBy>
  <dcterms:created xsi:type="dcterms:W3CDTF">2015-06-05T18:19:34Z</dcterms:created>
  <dcterms:modified xsi:type="dcterms:W3CDTF">2023-09-26T14:52:32Z</dcterms:modified>
</cp:coreProperties>
</file>