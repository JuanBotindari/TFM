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CORITEC S.R.L\CPRA-VTAS 2023-2024\"/>
    </mc:Choice>
  </mc:AlternateContent>
  <xr:revisionPtr revIDLastSave="0" documentId="13_ncr:1_{9039C967-BD54-4701-9473-D51FAD53D761}" xr6:coauthVersionLast="47" xr6:coauthVersionMax="47" xr10:uidLastSave="{00000000-0000-0000-0000-000000000000}"/>
  <bookViews>
    <workbookView xWindow="-108" yWindow="-108" windowWidth="23256" windowHeight="12576" tabRatio="828" activeTab="13" xr2:uid="{00000000-000D-0000-FFFF-FFFF00000000}"/>
  </bookViews>
  <sheets>
    <sheet name="Lista_CUIT" sheetId="8" r:id="rId1"/>
    <sheet name="Hoja1" sheetId="22" r:id="rId2"/>
    <sheet name="Abr-23" sheetId="2" r:id="rId3"/>
    <sheet name="May-23" sheetId="10" r:id="rId4"/>
    <sheet name="Jun-23" sheetId="11" r:id="rId5"/>
    <sheet name="Jul-23" sheetId="12" r:id="rId6"/>
    <sheet name="Ago-23" sheetId="16" r:id="rId7"/>
    <sheet name="Sept-23" sheetId="13" r:id="rId8"/>
    <sheet name="Nov-23" sheetId="18" r:id="rId9"/>
    <sheet name="Oct-23" sheetId="15" r:id="rId10"/>
    <sheet name="Dic-23" sheetId="19" r:id="rId11"/>
    <sheet name="Ene-24" sheetId="14" r:id="rId12"/>
    <sheet name="Feb-24" sheetId="21" r:id="rId13"/>
    <sheet name="Mar-24" sheetId="20" r:id="rId14"/>
    <sheet name="Asto-Cpras" sheetId="3" r:id="rId15"/>
    <sheet name="Asto-Vtas" sheetId="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18" l="1"/>
  <c r="P42" i="15"/>
  <c r="M15" i="22"/>
  <c r="I90" i="22" l="1"/>
  <c r="M200" i="22"/>
  <c r="G236" i="22"/>
  <c r="I228" i="22"/>
  <c r="F228" i="22"/>
  <c r="I227" i="22"/>
  <c r="F227" i="22"/>
  <c r="I223" i="22"/>
  <c r="F223" i="22"/>
  <c r="I233" i="22"/>
  <c r="F233" i="22"/>
  <c r="I235" i="22"/>
  <c r="F235" i="22"/>
  <c r="I231" i="22"/>
  <c r="F231" i="22"/>
  <c r="I230" i="22"/>
  <c r="H230" i="22"/>
  <c r="F230" i="22"/>
  <c r="I229" i="22"/>
  <c r="F229" i="22"/>
  <c r="I232" i="22"/>
  <c r="F232" i="22"/>
  <c r="I226" i="22"/>
  <c r="F226" i="22"/>
  <c r="I225" i="22"/>
  <c r="F225" i="22"/>
  <c r="I234" i="22"/>
  <c r="F234" i="22"/>
  <c r="I224" i="22"/>
  <c r="F224" i="22"/>
  <c r="G218" i="22"/>
  <c r="I205" i="22"/>
  <c r="H205" i="22"/>
  <c r="F205" i="22"/>
  <c r="I212" i="22"/>
  <c r="F212" i="22"/>
  <c r="I217" i="22"/>
  <c r="H217" i="22"/>
  <c r="F217" i="22"/>
  <c r="I211" i="22"/>
  <c r="F211" i="22"/>
  <c r="I207" i="22"/>
  <c r="F207" i="22"/>
  <c r="I208" i="22"/>
  <c r="F208" i="22"/>
  <c r="I214" i="22"/>
  <c r="F214" i="22"/>
  <c r="I206" i="22"/>
  <c r="F206" i="22"/>
  <c r="I216" i="22"/>
  <c r="F216" i="22"/>
  <c r="I210" i="22"/>
  <c r="F210" i="22"/>
  <c r="I215" i="22"/>
  <c r="F215" i="22"/>
  <c r="I209" i="22"/>
  <c r="F209" i="22"/>
  <c r="I213" i="22"/>
  <c r="F213" i="22"/>
  <c r="G199" i="22"/>
  <c r="I186" i="22"/>
  <c r="H186" i="22"/>
  <c r="F186" i="22"/>
  <c r="I190" i="22"/>
  <c r="F190" i="22"/>
  <c r="I189" i="22"/>
  <c r="F189" i="22"/>
  <c r="I195" i="22"/>
  <c r="F195" i="22"/>
  <c r="I194" i="22"/>
  <c r="F194" i="22"/>
  <c r="I193" i="22"/>
  <c r="F193" i="22"/>
  <c r="I187" i="22"/>
  <c r="F187" i="22"/>
  <c r="I192" i="22"/>
  <c r="F192" i="22"/>
  <c r="I191" i="22"/>
  <c r="F191" i="22"/>
  <c r="I197" i="22"/>
  <c r="F197" i="22"/>
  <c r="I198" i="22"/>
  <c r="F198" i="22"/>
  <c r="I188" i="22"/>
  <c r="F188" i="22"/>
  <c r="I196" i="22"/>
  <c r="F196" i="22"/>
  <c r="M122" i="22"/>
  <c r="G181" i="22"/>
  <c r="I166" i="22"/>
  <c r="H166" i="22"/>
  <c r="F166" i="22"/>
  <c r="I165" i="22"/>
  <c r="H165" i="22"/>
  <c r="F165" i="22"/>
  <c r="I178" i="22"/>
  <c r="F178" i="22"/>
  <c r="I169" i="22"/>
  <c r="F169" i="22"/>
  <c r="I180" i="22"/>
  <c r="H180" i="22"/>
  <c r="F180" i="22"/>
  <c r="I173" i="22"/>
  <c r="F173" i="22"/>
  <c r="I167" i="22"/>
  <c r="F167" i="22"/>
  <c r="I174" i="22"/>
  <c r="H174" i="22"/>
  <c r="F174" i="22"/>
  <c r="I177" i="22"/>
  <c r="F177" i="22"/>
  <c r="I179" i="22"/>
  <c r="F179" i="22"/>
  <c r="I176" i="22"/>
  <c r="F176" i="22"/>
  <c r="I172" i="22"/>
  <c r="F172" i="22"/>
  <c r="I170" i="22"/>
  <c r="H170" i="22"/>
  <c r="F170" i="22"/>
  <c r="I175" i="22"/>
  <c r="F175" i="22"/>
  <c r="I168" i="22"/>
  <c r="F168" i="22"/>
  <c r="I171" i="22"/>
  <c r="F171" i="22"/>
  <c r="G160" i="22"/>
  <c r="I154" i="22"/>
  <c r="F154" i="22"/>
  <c r="I153" i="22"/>
  <c r="F153" i="22"/>
  <c r="I158" i="22"/>
  <c r="F158" i="22"/>
  <c r="I156" i="22"/>
  <c r="H156" i="22"/>
  <c r="F156" i="22"/>
  <c r="I159" i="22"/>
  <c r="F159" i="22"/>
  <c r="I155" i="22"/>
  <c r="F155" i="22"/>
  <c r="I157" i="22"/>
  <c r="F157" i="22"/>
  <c r="G148" i="22"/>
  <c r="I133" i="22"/>
  <c r="H133" i="22"/>
  <c r="F133" i="22"/>
  <c r="I132" i="22"/>
  <c r="H132" i="22"/>
  <c r="F132" i="22"/>
  <c r="I138" i="22"/>
  <c r="F138" i="22"/>
  <c r="I143" i="22"/>
  <c r="H143" i="22"/>
  <c r="F143" i="22"/>
  <c r="I141" i="22"/>
  <c r="F141" i="22"/>
  <c r="I142" i="22"/>
  <c r="H142" i="22"/>
  <c r="F142" i="22"/>
  <c r="I137" i="22"/>
  <c r="F137" i="22"/>
  <c r="I147" i="22"/>
  <c r="F147" i="22"/>
  <c r="I145" i="22"/>
  <c r="F145" i="22"/>
  <c r="I140" i="22"/>
  <c r="F140" i="22"/>
  <c r="I134" i="22"/>
  <c r="H134" i="22"/>
  <c r="F134" i="22"/>
  <c r="I146" i="22"/>
  <c r="H146" i="22"/>
  <c r="F146" i="22"/>
  <c r="I144" i="22"/>
  <c r="F144" i="22"/>
  <c r="I136" i="22"/>
  <c r="F136" i="22"/>
  <c r="I139" i="22"/>
  <c r="F139" i="22"/>
  <c r="I135" i="22"/>
  <c r="F135" i="22"/>
  <c r="G127" i="22"/>
  <c r="I118" i="22"/>
  <c r="F118" i="22"/>
  <c r="I126" i="22"/>
  <c r="F126" i="22"/>
  <c r="I117" i="22"/>
  <c r="F117" i="22"/>
  <c r="I114" i="22"/>
  <c r="F114" i="22"/>
  <c r="I123" i="22"/>
  <c r="H123" i="22"/>
  <c r="F123" i="22"/>
  <c r="I113" i="22"/>
  <c r="F113" i="22"/>
  <c r="I125" i="22"/>
  <c r="F125" i="22"/>
  <c r="I119" i="22"/>
  <c r="H119" i="22"/>
  <c r="F119" i="22"/>
  <c r="I116" i="22"/>
  <c r="F116" i="22"/>
  <c r="I121" i="22"/>
  <c r="F121" i="22"/>
  <c r="I115" i="22"/>
  <c r="F115" i="22"/>
  <c r="I122" i="22"/>
  <c r="F122" i="22"/>
  <c r="I124" i="22"/>
  <c r="F124" i="22"/>
  <c r="I120" i="22"/>
  <c r="F120" i="22"/>
  <c r="M34" i="22"/>
  <c r="G108" i="22"/>
  <c r="I92" i="22"/>
  <c r="H92" i="22"/>
  <c r="F92" i="22"/>
  <c r="I91" i="22"/>
  <c r="H91" i="22"/>
  <c r="F91" i="22"/>
  <c r="I96" i="22"/>
  <c r="F96" i="22"/>
  <c r="I101" i="22"/>
  <c r="F101" i="22"/>
  <c r="I95" i="22"/>
  <c r="F95" i="22"/>
  <c r="I103" i="22"/>
  <c r="H103" i="22"/>
  <c r="F103" i="22"/>
  <c r="F90" i="22"/>
  <c r="I100" i="22"/>
  <c r="F100" i="22"/>
  <c r="I93" i="22"/>
  <c r="F93" i="22"/>
  <c r="I107" i="22"/>
  <c r="F107" i="22"/>
  <c r="I99" i="22"/>
  <c r="F99" i="22"/>
  <c r="I105" i="22"/>
  <c r="F105" i="22"/>
  <c r="I98" i="22"/>
  <c r="F98" i="22"/>
  <c r="I106" i="22"/>
  <c r="F106" i="22"/>
  <c r="I97" i="22"/>
  <c r="H97" i="22"/>
  <c r="F97" i="22"/>
  <c r="I104" i="22"/>
  <c r="F104" i="22"/>
  <c r="I94" i="22"/>
  <c r="F94" i="22"/>
  <c r="I102" i="22"/>
  <c r="H102" i="22"/>
  <c r="F102" i="22"/>
  <c r="G85" i="22"/>
  <c r="I77" i="22"/>
  <c r="F77" i="22"/>
  <c r="I76" i="22"/>
  <c r="F76" i="22"/>
  <c r="I81" i="22"/>
  <c r="F81" i="22"/>
  <c r="I80" i="22"/>
  <c r="F80" i="22"/>
  <c r="I79" i="22"/>
  <c r="H79" i="22"/>
  <c r="F79" i="22"/>
  <c r="I84" i="22"/>
  <c r="F84" i="22"/>
  <c r="I83" i="22"/>
  <c r="F83" i="22"/>
  <c r="I78" i="22"/>
  <c r="H78" i="22"/>
  <c r="F78" i="22"/>
  <c r="I72" i="22"/>
  <c r="F72" i="22"/>
  <c r="I75" i="22"/>
  <c r="F75" i="22"/>
  <c r="I74" i="22"/>
  <c r="F74" i="22"/>
  <c r="I82" i="22"/>
  <c r="F82" i="22"/>
  <c r="I73" i="22"/>
  <c r="F73" i="22"/>
  <c r="G67" i="22"/>
  <c r="I58" i="22"/>
  <c r="F58" i="22"/>
  <c r="I57" i="22"/>
  <c r="H57" i="22"/>
  <c r="F57" i="22"/>
  <c r="I56" i="22"/>
  <c r="H56" i="22"/>
  <c r="F56" i="22"/>
  <c r="I63" i="22"/>
  <c r="F63" i="22"/>
  <c r="I54" i="22"/>
  <c r="F54" i="22"/>
  <c r="I62" i="22"/>
  <c r="F62" i="22"/>
  <c r="I64" i="22"/>
  <c r="F64" i="22"/>
  <c r="I60" i="22"/>
  <c r="H60" i="22"/>
  <c r="F60" i="22"/>
  <c r="I66" i="22"/>
  <c r="F66" i="22"/>
  <c r="I61" i="22"/>
  <c r="F61" i="22"/>
  <c r="I55" i="22"/>
  <c r="F55" i="22"/>
  <c r="I59" i="22"/>
  <c r="H59" i="22"/>
  <c r="F59" i="22"/>
  <c r="I53" i="22"/>
  <c r="F53" i="22"/>
  <c r="I65" i="22"/>
  <c r="F65" i="22"/>
  <c r="G48" i="22"/>
  <c r="I47" i="22"/>
  <c r="H47" i="22"/>
  <c r="F47" i="22"/>
  <c r="I24" i="22"/>
  <c r="F24" i="22"/>
  <c r="I46" i="22"/>
  <c r="F46" i="22"/>
  <c r="I44" i="22"/>
  <c r="F44" i="22"/>
  <c r="I45" i="22"/>
  <c r="F45" i="22"/>
  <c r="I43" i="22"/>
  <c r="F43" i="22"/>
  <c r="I42" i="22"/>
  <c r="F42" i="22"/>
  <c r="I41" i="22"/>
  <c r="F41" i="22"/>
  <c r="I40" i="22"/>
  <c r="F40" i="22"/>
  <c r="I39" i="22"/>
  <c r="H39" i="22"/>
  <c r="F39" i="22"/>
  <c r="I23" i="22"/>
  <c r="F23" i="22"/>
  <c r="I37" i="22"/>
  <c r="F37" i="22"/>
  <c r="I36" i="22"/>
  <c r="F36" i="22"/>
  <c r="I35" i="22"/>
  <c r="F35" i="22"/>
  <c r="I34" i="22"/>
  <c r="H34" i="22"/>
  <c r="F34" i="22"/>
  <c r="I33" i="22"/>
  <c r="H33" i="22"/>
  <c r="F33" i="22"/>
  <c r="I32" i="22"/>
  <c r="H32" i="22"/>
  <c r="F32" i="22"/>
  <c r="I31" i="22"/>
  <c r="H31" i="22"/>
  <c r="F31" i="22"/>
  <c r="I30" i="22"/>
  <c r="H30" i="22"/>
  <c r="F30" i="22"/>
  <c r="I25" i="22"/>
  <c r="H25" i="22"/>
  <c r="F25" i="22"/>
  <c r="I22" i="22"/>
  <c r="F22" i="22"/>
  <c r="I21" i="22"/>
  <c r="F21" i="22"/>
  <c r="I38" i="22"/>
  <c r="F38" i="22"/>
  <c r="I29" i="22"/>
  <c r="F29" i="22"/>
  <c r="I28" i="22"/>
  <c r="F28" i="22"/>
  <c r="I27" i="22"/>
  <c r="F27" i="22"/>
  <c r="I26" i="22"/>
  <c r="F26" i="22"/>
  <c r="G17" i="22"/>
  <c r="I16" i="22"/>
  <c r="H16" i="22"/>
  <c r="F16" i="22"/>
  <c r="I15" i="22"/>
  <c r="F15" i="22"/>
  <c r="I14" i="22"/>
  <c r="F14" i="22"/>
  <c r="I13" i="22"/>
  <c r="F13" i="22"/>
  <c r="I12" i="22"/>
  <c r="F12" i="22"/>
  <c r="I11" i="22"/>
  <c r="F11" i="22"/>
  <c r="I10" i="22"/>
  <c r="F10" i="22"/>
  <c r="I9" i="22"/>
  <c r="F9" i="22"/>
  <c r="I8" i="22"/>
  <c r="H8" i="22"/>
  <c r="F8" i="22"/>
  <c r="I7" i="22"/>
  <c r="H7" i="22"/>
  <c r="F7" i="22"/>
  <c r="I6" i="22"/>
  <c r="F6" i="22"/>
  <c r="I5" i="22"/>
  <c r="H5" i="22"/>
  <c r="F5" i="22"/>
  <c r="O74" i="10"/>
  <c r="N92" i="2"/>
  <c r="H50" i="20"/>
  <c r="H48" i="20"/>
  <c r="G22" i="20"/>
  <c r="I22" i="20"/>
  <c r="P22" i="20" s="1"/>
  <c r="R22" i="20"/>
  <c r="H47" i="20"/>
  <c r="H46" i="20"/>
  <c r="H45" i="20"/>
  <c r="H43" i="20"/>
  <c r="H44" i="20"/>
  <c r="H49" i="20"/>
  <c r="G12" i="20"/>
  <c r="G35" i="20"/>
  <c r="G25" i="20"/>
  <c r="G16" i="20"/>
  <c r="G13" i="20"/>
  <c r="G19" i="20"/>
  <c r="I12" i="20"/>
  <c r="P12" i="20" s="1"/>
  <c r="I25" i="20"/>
  <c r="P25" i="20" s="1"/>
  <c r="I16" i="20"/>
  <c r="P16" i="20" s="1"/>
  <c r="I13" i="20"/>
  <c r="P13" i="20" s="1"/>
  <c r="I19" i="20"/>
  <c r="P19" i="20" s="1"/>
  <c r="P35" i="20"/>
  <c r="Q25" i="20"/>
  <c r="Q13" i="20"/>
  <c r="Q19" i="20"/>
  <c r="R12" i="20"/>
  <c r="R35" i="20"/>
  <c r="R25" i="20"/>
  <c r="R16" i="20"/>
  <c r="R13" i="20"/>
  <c r="R19" i="20"/>
  <c r="G14" i="20"/>
  <c r="G20" i="20"/>
  <c r="G15" i="20"/>
  <c r="G17" i="20"/>
  <c r="G33" i="20"/>
  <c r="G28" i="20"/>
  <c r="I14" i="20"/>
  <c r="P14" i="20" s="1"/>
  <c r="I20" i="20"/>
  <c r="I15" i="20"/>
  <c r="P15" i="20" s="1"/>
  <c r="I17" i="20"/>
  <c r="P17" i="20" s="1"/>
  <c r="I28" i="20"/>
  <c r="P28" i="20" s="1"/>
  <c r="P20" i="20"/>
  <c r="P33" i="20"/>
  <c r="Q14" i="20"/>
  <c r="Q20" i="20"/>
  <c r="Q17" i="20"/>
  <c r="Q33" i="20"/>
  <c r="R14" i="20"/>
  <c r="R20" i="20"/>
  <c r="R15" i="20"/>
  <c r="R17" i="20"/>
  <c r="R33" i="20"/>
  <c r="R28" i="20"/>
  <c r="G29" i="20"/>
  <c r="G26" i="20"/>
  <c r="G10" i="20"/>
  <c r="G31" i="20"/>
  <c r="G23" i="20"/>
  <c r="G18" i="20"/>
  <c r="I29" i="20"/>
  <c r="P29" i="20" s="1"/>
  <c r="I26" i="20"/>
  <c r="P26" i="20" s="1"/>
  <c r="I10" i="20"/>
  <c r="I31" i="20"/>
  <c r="P31" i="20" s="1"/>
  <c r="I23" i="20"/>
  <c r="P23" i="20" s="1"/>
  <c r="I18" i="20"/>
  <c r="P18" i="20" s="1"/>
  <c r="P10" i="20"/>
  <c r="Q26" i="20"/>
  <c r="Q18" i="20"/>
  <c r="R29" i="20"/>
  <c r="R26" i="20"/>
  <c r="R10" i="20"/>
  <c r="R31" i="20"/>
  <c r="R23" i="20"/>
  <c r="R18" i="20"/>
  <c r="H63" i="20"/>
  <c r="J63" i="20"/>
  <c r="K63" i="20"/>
  <c r="H57" i="20"/>
  <c r="H58" i="20"/>
  <c r="H59" i="20"/>
  <c r="H60" i="20"/>
  <c r="J57" i="20"/>
  <c r="J58" i="20"/>
  <c r="J59" i="20"/>
  <c r="J60" i="20"/>
  <c r="K57" i="20"/>
  <c r="K58" i="20"/>
  <c r="K59" i="20"/>
  <c r="K60" i="20"/>
  <c r="H61" i="20"/>
  <c r="H62" i="20"/>
  <c r="H64" i="20"/>
  <c r="H65" i="20"/>
  <c r="J61" i="20"/>
  <c r="J62" i="20"/>
  <c r="J64" i="20"/>
  <c r="J65" i="20"/>
  <c r="K61" i="20"/>
  <c r="K62" i="20"/>
  <c r="K64" i="20"/>
  <c r="K65" i="20"/>
  <c r="H67" i="20"/>
  <c r="J67" i="20"/>
  <c r="K67" i="20"/>
  <c r="H68" i="20"/>
  <c r="J68" i="20"/>
  <c r="K68" i="20"/>
  <c r="H69" i="20"/>
  <c r="J69" i="20"/>
  <c r="K69" i="20"/>
  <c r="H66" i="20"/>
  <c r="J66" i="20"/>
  <c r="K66" i="20"/>
  <c r="L102" i="21"/>
  <c r="L101" i="21"/>
  <c r="K104" i="21"/>
  <c r="J104" i="21"/>
  <c r="I104" i="21"/>
  <c r="H104" i="21"/>
  <c r="M103" i="21"/>
  <c r="M104" i="21" s="1"/>
  <c r="G103" i="21"/>
  <c r="G102" i="21"/>
  <c r="G101" i="21"/>
  <c r="H44" i="21"/>
  <c r="K44" i="21"/>
  <c r="G43" i="21"/>
  <c r="J79" i="21"/>
  <c r="I75" i="21"/>
  <c r="J77" i="21"/>
  <c r="J76" i="21"/>
  <c r="I76" i="21"/>
  <c r="H53" i="21"/>
  <c r="H54" i="21"/>
  <c r="H55" i="21"/>
  <c r="J53" i="21"/>
  <c r="J54" i="21"/>
  <c r="J55" i="21"/>
  <c r="K53" i="21"/>
  <c r="K54" i="21"/>
  <c r="K55" i="21"/>
  <c r="H56" i="21"/>
  <c r="H57" i="21"/>
  <c r="H58" i="21"/>
  <c r="J56" i="21"/>
  <c r="J57" i="21"/>
  <c r="J58" i="21"/>
  <c r="K56" i="21"/>
  <c r="K57" i="21"/>
  <c r="K58" i="21"/>
  <c r="H59" i="21"/>
  <c r="H60" i="21"/>
  <c r="H61" i="21"/>
  <c r="J59" i="21"/>
  <c r="J60" i="21"/>
  <c r="J61" i="21"/>
  <c r="K59" i="21"/>
  <c r="K60" i="21"/>
  <c r="K61" i="21"/>
  <c r="G18" i="21"/>
  <c r="G13" i="21"/>
  <c r="G24" i="21"/>
  <c r="G32" i="21"/>
  <c r="G11" i="21"/>
  <c r="G33" i="21"/>
  <c r="G26" i="21"/>
  <c r="G20" i="21"/>
  <c r="G25" i="21"/>
  <c r="I18" i="21"/>
  <c r="P18" i="21" s="1"/>
  <c r="I13" i="21"/>
  <c r="P13" i="21" s="1"/>
  <c r="I24" i="21"/>
  <c r="P24" i="21" s="1"/>
  <c r="I32" i="21"/>
  <c r="P32" i="21" s="1"/>
  <c r="I11" i="21"/>
  <c r="P11" i="21" s="1"/>
  <c r="I33" i="21"/>
  <c r="P26" i="21"/>
  <c r="I20" i="21"/>
  <c r="P20" i="21" s="1"/>
  <c r="I25" i="21"/>
  <c r="P25" i="21" s="1"/>
  <c r="P33" i="21"/>
  <c r="Q11" i="21"/>
  <c r="Q26" i="21"/>
  <c r="Q20" i="21"/>
  <c r="Q25" i="21"/>
  <c r="R18" i="21"/>
  <c r="R13" i="21"/>
  <c r="R24" i="21"/>
  <c r="R32" i="21"/>
  <c r="R11" i="21"/>
  <c r="R33" i="21"/>
  <c r="R26" i="21"/>
  <c r="R20" i="21"/>
  <c r="R25" i="21"/>
  <c r="G21" i="21"/>
  <c r="G28" i="21"/>
  <c r="G29" i="21"/>
  <c r="G30" i="21"/>
  <c r="G31" i="21"/>
  <c r="G34" i="21"/>
  <c r="G16" i="21"/>
  <c r="G19" i="21"/>
  <c r="G23" i="21"/>
  <c r="G17" i="21"/>
  <c r="G27" i="21"/>
  <c r="I21" i="21"/>
  <c r="P21" i="21" s="1"/>
  <c r="I28" i="21"/>
  <c r="P28" i="21" s="1"/>
  <c r="I29" i="21"/>
  <c r="P29" i="21" s="1"/>
  <c r="I30" i="21"/>
  <c r="P30" i="21" s="1"/>
  <c r="I31" i="21"/>
  <c r="P31" i="21" s="1"/>
  <c r="P34" i="21"/>
  <c r="I16" i="21"/>
  <c r="P16" i="21" s="1"/>
  <c r="P19" i="21"/>
  <c r="I23" i="21"/>
  <c r="P23" i="21" s="1"/>
  <c r="I17" i="21"/>
  <c r="P17" i="21" s="1"/>
  <c r="I27" i="21"/>
  <c r="P27" i="21" s="1"/>
  <c r="Q34" i="21"/>
  <c r="Q19" i="21"/>
  <c r="Q27" i="21"/>
  <c r="R21" i="21"/>
  <c r="R28" i="21"/>
  <c r="R29" i="21"/>
  <c r="R30" i="21"/>
  <c r="R31" i="21"/>
  <c r="R34" i="21"/>
  <c r="R16" i="21"/>
  <c r="R19" i="21"/>
  <c r="R23" i="21"/>
  <c r="R17" i="21"/>
  <c r="R27" i="21"/>
  <c r="G15" i="21"/>
  <c r="G22" i="21"/>
  <c r="G9" i="21"/>
  <c r="I15" i="21"/>
  <c r="P15" i="21" s="1"/>
  <c r="I22" i="21"/>
  <c r="P22" i="21" s="1"/>
  <c r="I9" i="21"/>
  <c r="P9" i="21" s="1"/>
  <c r="Q9" i="21"/>
  <c r="R15" i="21"/>
  <c r="R22" i="21"/>
  <c r="R9" i="21"/>
  <c r="I28" i="14"/>
  <c r="P28" i="14" s="1"/>
  <c r="G59" i="14"/>
  <c r="H59" i="14" s="1"/>
  <c r="H60" i="14"/>
  <c r="H61" i="14"/>
  <c r="G13" i="14"/>
  <c r="G40" i="14"/>
  <c r="G14" i="14"/>
  <c r="G22" i="14"/>
  <c r="G23" i="14"/>
  <c r="G41" i="14"/>
  <c r="G24" i="14"/>
  <c r="G42" i="14"/>
  <c r="G25" i="14"/>
  <c r="I13" i="14"/>
  <c r="P13" i="14" s="1"/>
  <c r="P14" i="14"/>
  <c r="I22" i="14"/>
  <c r="P22" i="14" s="1"/>
  <c r="I23" i="14"/>
  <c r="P23" i="14" s="1"/>
  <c r="I41" i="14"/>
  <c r="P41" i="14" s="1"/>
  <c r="I24" i="14"/>
  <c r="P24" i="14" s="1"/>
  <c r="I25" i="14"/>
  <c r="P25" i="14" s="1"/>
  <c r="P40" i="14"/>
  <c r="P42" i="14"/>
  <c r="Q13" i="14"/>
  <c r="Q40" i="14"/>
  <c r="Q14" i="14"/>
  <c r="Q41" i="14"/>
  <c r="Q42" i="14"/>
  <c r="R13" i="14"/>
  <c r="R40" i="14"/>
  <c r="R14" i="14"/>
  <c r="R22" i="14"/>
  <c r="R23" i="14"/>
  <c r="R41" i="14"/>
  <c r="R24" i="14"/>
  <c r="R42" i="14"/>
  <c r="R25" i="14"/>
  <c r="J91" i="14"/>
  <c r="I91" i="14"/>
  <c r="H69" i="14"/>
  <c r="H70" i="14"/>
  <c r="H71" i="14"/>
  <c r="J69" i="14"/>
  <c r="J70" i="14"/>
  <c r="J71" i="14"/>
  <c r="K69" i="14"/>
  <c r="K70" i="14"/>
  <c r="K71" i="14"/>
  <c r="H72" i="14"/>
  <c r="H74" i="14"/>
  <c r="H75" i="14"/>
  <c r="J72" i="14"/>
  <c r="J74" i="14"/>
  <c r="J75" i="14"/>
  <c r="K72" i="14"/>
  <c r="K74" i="14"/>
  <c r="K75" i="14"/>
  <c r="H76" i="14"/>
  <c r="H77" i="14"/>
  <c r="H78" i="14"/>
  <c r="J76" i="14"/>
  <c r="J77" i="14"/>
  <c r="J78" i="14"/>
  <c r="K76" i="14"/>
  <c r="K77" i="14"/>
  <c r="K78" i="14"/>
  <c r="G18" i="14"/>
  <c r="G37" i="14"/>
  <c r="G32" i="14"/>
  <c r="G19" i="14"/>
  <c r="G20" i="14"/>
  <c r="G50" i="14"/>
  <c r="G38" i="14"/>
  <c r="G10" i="14"/>
  <c r="I18" i="14"/>
  <c r="I37" i="14"/>
  <c r="I32" i="14"/>
  <c r="I19" i="14"/>
  <c r="I20" i="14"/>
  <c r="P50" i="14"/>
  <c r="P38" i="14"/>
  <c r="I10" i="14"/>
  <c r="P10" i="14" s="1"/>
  <c r="P18" i="14"/>
  <c r="P37" i="14"/>
  <c r="P32" i="14"/>
  <c r="P19" i="14"/>
  <c r="P20" i="14"/>
  <c r="Q32" i="14"/>
  <c r="Q50" i="14"/>
  <c r="Q10" i="14"/>
  <c r="R18" i="14"/>
  <c r="R37" i="14"/>
  <c r="R32" i="14"/>
  <c r="R19" i="14"/>
  <c r="R20" i="14"/>
  <c r="R50" i="14"/>
  <c r="R38" i="14"/>
  <c r="R10" i="14"/>
  <c r="G11" i="14"/>
  <c r="G33" i="14"/>
  <c r="G39" i="14"/>
  <c r="G21" i="14"/>
  <c r="G34" i="14"/>
  <c r="G45" i="14"/>
  <c r="G26" i="14"/>
  <c r="G48" i="14"/>
  <c r="I11" i="14"/>
  <c r="I33" i="14"/>
  <c r="I39" i="14"/>
  <c r="I21" i="14"/>
  <c r="I34" i="14"/>
  <c r="I45" i="14"/>
  <c r="I26" i="14"/>
  <c r="I48" i="14"/>
  <c r="P48" i="14" s="1"/>
  <c r="P11" i="14"/>
  <c r="P33" i="14"/>
  <c r="P39" i="14"/>
  <c r="P21" i="14"/>
  <c r="P34" i="14"/>
  <c r="P45" i="14"/>
  <c r="P26" i="14"/>
  <c r="Q33" i="14"/>
  <c r="Q39" i="14"/>
  <c r="Q34" i="14"/>
  <c r="Q48" i="14"/>
  <c r="R11" i="14"/>
  <c r="R33" i="14"/>
  <c r="R39" i="14"/>
  <c r="R21" i="14"/>
  <c r="R34" i="14"/>
  <c r="R45" i="14"/>
  <c r="R26" i="14"/>
  <c r="R48" i="14"/>
  <c r="G12" i="14"/>
  <c r="G30" i="14"/>
  <c r="G17" i="14"/>
  <c r="G16" i="14"/>
  <c r="G43" i="14"/>
  <c r="G44" i="14"/>
  <c r="I12" i="14"/>
  <c r="P12" i="14" s="1"/>
  <c r="P30" i="14"/>
  <c r="I17" i="14"/>
  <c r="P17" i="14" s="1"/>
  <c r="I16" i="14"/>
  <c r="P16" i="14" s="1"/>
  <c r="I43" i="14"/>
  <c r="P43" i="14" s="1"/>
  <c r="I44" i="14"/>
  <c r="P44" i="14" s="1"/>
  <c r="Q12" i="14"/>
  <c r="Q30" i="14"/>
  <c r="Q43" i="14"/>
  <c r="R12" i="14"/>
  <c r="R30" i="14"/>
  <c r="R17" i="14"/>
  <c r="R16" i="14"/>
  <c r="R43" i="14"/>
  <c r="R44" i="14"/>
  <c r="G27" i="14"/>
  <c r="G28" i="14"/>
  <c r="G15" i="14"/>
  <c r="G29" i="14"/>
  <c r="G49" i="14"/>
  <c r="G46" i="14"/>
  <c r="I27" i="14"/>
  <c r="P27" i="14" s="1"/>
  <c r="I15" i="14"/>
  <c r="P15" i="14" s="1"/>
  <c r="I29" i="14"/>
  <c r="P29" i="14" s="1"/>
  <c r="I49" i="14"/>
  <c r="P49" i="14" s="1"/>
  <c r="I46" i="14"/>
  <c r="P46" i="14" s="1"/>
  <c r="Q15" i="14"/>
  <c r="Q46" i="14"/>
  <c r="R27" i="14"/>
  <c r="R28" i="14"/>
  <c r="R15" i="14"/>
  <c r="R29" i="14"/>
  <c r="R49" i="14"/>
  <c r="R46" i="14"/>
  <c r="H47" i="19"/>
  <c r="H48" i="19"/>
  <c r="H49" i="19"/>
  <c r="L104" i="21" l="1"/>
  <c r="J38" i="19"/>
  <c r="G24" i="19"/>
  <c r="I24" i="19"/>
  <c r="P24" i="19" s="1"/>
  <c r="Q24" i="19"/>
  <c r="R24" i="19"/>
  <c r="G32" i="19"/>
  <c r="I32" i="19"/>
  <c r="P32" i="19" s="1"/>
  <c r="Q32" i="19"/>
  <c r="R32" i="19"/>
  <c r="G12" i="19"/>
  <c r="I12" i="19"/>
  <c r="P12" i="19" s="1"/>
  <c r="Q12" i="19"/>
  <c r="R12" i="19"/>
  <c r="G36" i="19"/>
  <c r="I36" i="19"/>
  <c r="P36" i="19" s="1"/>
  <c r="R36" i="19"/>
  <c r="G18" i="19"/>
  <c r="I18" i="19"/>
  <c r="P18" i="19" s="1"/>
  <c r="R18" i="19"/>
  <c r="G28" i="19"/>
  <c r="I28" i="19"/>
  <c r="P28" i="19" s="1"/>
  <c r="Q28" i="19"/>
  <c r="R28" i="19"/>
  <c r="G34" i="19"/>
  <c r="I34" i="19"/>
  <c r="P34" i="19" s="1"/>
  <c r="Q34" i="19"/>
  <c r="R34" i="19"/>
  <c r="G17" i="19"/>
  <c r="I17" i="19"/>
  <c r="P17" i="19" s="1"/>
  <c r="Q17" i="19"/>
  <c r="R17" i="19"/>
  <c r="G16" i="19"/>
  <c r="I16" i="19"/>
  <c r="P16" i="19" s="1"/>
  <c r="R16" i="19"/>
  <c r="G35" i="19"/>
  <c r="I35" i="19"/>
  <c r="R35" i="19"/>
  <c r="G27" i="19"/>
  <c r="I27" i="19"/>
  <c r="Q27" i="19"/>
  <c r="R27" i="19"/>
  <c r="G23" i="19"/>
  <c r="I23" i="19"/>
  <c r="P23" i="19" s="1"/>
  <c r="Q23" i="19"/>
  <c r="R23" i="19"/>
  <c r="G11" i="19"/>
  <c r="I11" i="19"/>
  <c r="P11" i="19" s="1"/>
  <c r="Q11" i="19"/>
  <c r="R11" i="19"/>
  <c r="G10" i="19"/>
  <c r="R10" i="19"/>
  <c r="G31" i="19"/>
  <c r="I31" i="19"/>
  <c r="R31" i="19"/>
  <c r="G30" i="19"/>
  <c r="I30" i="19"/>
  <c r="P30" i="19" s="1"/>
  <c r="R30" i="19"/>
  <c r="G26" i="19"/>
  <c r="I26" i="19"/>
  <c r="P26" i="19" s="1"/>
  <c r="Q26" i="19"/>
  <c r="R26" i="19"/>
  <c r="G9" i="19"/>
  <c r="I9" i="19"/>
  <c r="Q9" i="19"/>
  <c r="R9" i="19"/>
  <c r="G21" i="19"/>
  <c r="I21" i="19"/>
  <c r="P21" i="19" s="1"/>
  <c r="R21" i="19"/>
  <c r="G20" i="19"/>
  <c r="I20" i="19"/>
  <c r="P20" i="19" s="1"/>
  <c r="R20" i="19"/>
  <c r="G25" i="19"/>
  <c r="I25" i="19"/>
  <c r="P25" i="19" s="1"/>
  <c r="Q25" i="19"/>
  <c r="R25" i="19"/>
  <c r="G33" i="19"/>
  <c r="I33" i="19"/>
  <c r="Q33" i="19"/>
  <c r="R33" i="19"/>
  <c r="G37" i="19"/>
  <c r="I37" i="19"/>
  <c r="P37" i="19" s="1"/>
  <c r="R37" i="19"/>
  <c r="H57" i="19"/>
  <c r="H58" i="19"/>
  <c r="H59" i="19"/>
  <c r="J57" i="19"/>
  <c r="J58" i="19"/>
  <c r="J59" i="19"/>
  <c r="K57" i="19"/>
  <c r="K58" i="19"/>
  <c r="K59" i="19"/>
  <c r="H60" i="19"/>
  <c r="H61" i="19"/>
  <c r="H62" i="19"/>
  <c r="J60" i="19"/>
  <c r="J61" i="19"/>
  <c r="J62" i="19"/>
  <c r="K60" i="19"/>
  <c r="K61" i="19"/>
  <c r="K62" i="19"/>
  <c r="H63" i="19"/>
  <c r="H64" i="19"/>
  <c r="H65" i="19"/>
  <c r="J63" i="19"/>
  <c r="J64" i="19"/>
  <c r="J65" i="19"/>
  <c r="K63" i="19"/>
  <c r="K64" i="19"/>
  <c r="K65" i="19"/>
  <c r="H66" i="19"/>
  <c r="H67" i="19"/>
  <c r="H68" i="19"/>
  <c r="J66" i="19"/>
  <c r="J67" i="19"/>
  <c r="J68" i="19"/>
  <c r="K66" i="19"/>
  <c r="K67" i="19"/>
  <c r="K68" i="19"/>
  <c r="H69" i="19"/>
  <c r="J69" i="19"/>
  <c r="K69" i="19"/>
  <c r="H70" i="19"/>
  <c r="J70" i="19"/>
  <c r="K70" i="19"/>
  <c r="H71" i="19"/>
  <c r="J71" i="19"/>
  <c r="K71" i="19"/>
  <c r="G106" i="19"/>
  <c r="G107" i="19"/>
  <c r="G108" i="19"/>
  <c r="G96" i="19"/>
  <c r="G97" i="19"/>
  <c r="G98" i="19"/>
  <c r="G99" i="19"/>
  <c r="G100" i="19"/>
  <c r="G101" i="19"/>
  <c r="L109" i="19"/>
  <c r="K109" i="19"/>
  <c r="J109" i="19"/>
  <c r="I109" i="19"/>
  <c r="H109" i="19"/>
  <c r="M108" i="19"/>
  <c r="M109" i="19" s="1"/>
  <c r="G43" i="18"/>
  <c r="H43" i="18" s="1"/>
  <c r="K43" i="18"/>
  <c r="G21" i="18"/>
  <c r="I21" i="18"/>
  <c r="P21" i="18" s="1"/>
  <c r="Q21" i="18"/>
  <c r="R21" i="18"/>
  <c r="H42" i="18"/>
  <c r="H44" i="18"/>
  <c r="G20" i="18"/>
  <c r="I20" i="18"/>
  <c r="P20" i="18" s="1"/>
  <c r="Q20" i="18"/>
  <c r="R20" i="18"/>
  <c r="G11" i="18"/>
  <c r="I11" i="18"/>
  <c r="P11" i="18" s="1"/>
  <c r="Q11" i="18"/>
  <c r="R11" i="18"/>
  <c r="R29" i="18"/>
  <c r="R16" i="18"/>
  <c r="R19" i="18"/>
  <c r="R32" i="18"/>
  <c r="R10" i="18"/>
  <c r="R30" i="18"/>
  <c r="R31" i="18"/>
  <c r="R15" i="18"/>
  <c r="R9" i="18"/>
  <c r="R18" i="18"/>
  <c r="R27" i="18"/>
  <c r="R26" i="18"/>
  <c r="R25" i="18"/>
  <c r="R33" i="18"/>
  <c r="R24" i="18"/>
  <c r="Q29" i="18"/>
  <c r="Q19" i="18"/>
  <c r="Q10" i="18"/>
  <c r="Q15" i="18"/>
  <c r="Q9" i="18"/>
  <c r="Q18" i="18"/>
  <c r="Q26" i="18"/>
  <c r="Q33" i="18"/>
  <c r="Q24" i="18"/>
  <c r="I29" i="18"/>
  <c r="P29" i="18" s="1"/>
  <c r="P16" i="18"/>
  <c r="I19" i="18"/>
  <c r="P19" i="18" s="1"/>
  <c r="I32" i="18"/>
  <c r="P32" i="18" s="1"/>
  <c r="I10" i="18"/>
  <c r="P10" i="18" s="1"/>
  <c r="I30" i="18"/>
  <c r="P30" i="18" s="1"/>
  <c r="I31" i="18"/>
  <c r="P31" i="18" s="1"/>
  <c r="I15" i="18"/>
  <c r="P15" i="18" s="1"/>
  <c r="I9" i="18"/>
  <c r="P9" i="18" s="1"/>
  <c r="I18" i="18"/>
  <c r="P18" i="18" s="1"/>
  <c r="P27" i="18"/>
  <c r="I26" i="18"/>
  <c r="P26" i="18" s="1"/>
  <c r="I25" i="18"/>
  <c r="P25" i="18" s="1"/>
  <c r="P33" i="18"/>
  <c r="I24" i="18"/>
  <c r="P24" i="18" s="1"/>
  <c r="G29" i="18"/>
  <c r="G16" i="18"/>
  <c r="G19" i="18"/>
  <c r="G32" i="18"/>
  <c r="G10" i="18"/>
  <c r="G30" i="18"/>
  <c r="G31" i="18"/>
  <c r="G15" i="18"/>
  <c r="G9" i="18"/>
  <c r="G18" i="18"/>
  <c r="G27" i="18"/>
  <c r="G26" i="18"/>
  <c r="G25" i="18"/>
  <c r="G33" i="18"/>
  <c r="G24" i="18"/>
  <c r="H55" i="18"/>
  <c r="H56" i="18"/>
  <c r="H57" i="18"/>
  <c r="J55" i="18"/>
  <c r="J56" i="18"/>
  <c r="J57" i="18"/>
  <c r="K55" i="18"/>
  <c r="K56" i="18"/>
  <c r="K57" i="18"/>
  <c r="G51" i="15"/>
  <c r="H51" i="15" s="1"/>
  <c r="K51" i="15"/>
  <c r="H49" i="15"/>
  <c r="H50" i="15"/>
  <c r="H52" i="15"/>
  <c r="G100" i="15"/>
  <c r="G101" i="15"/>
  <c r="G13" i="15"/>
  <c r="G33" i="15"/>
  <c r="G12" i="15"/>
  <c r="G20" i="15"/>
  <c r="G19" i="15"/>
  <c r="G39" i="15"/>
  <c r="G21" i="15"/>
  <c r="G40" i="15"/>
  <c r="G34" i="15"/>
  <c r="G35" i="15"/>
  <c r="G36" i="15"/>
  <c r="G23" i="15"/>
  <c r="G24" i="15"/>
  <c r="G17" i="15"/>
  <c r="G26" i="15"/>
  <c r="G14" i="15"/>
  <c r="I13" i="15"/>
  <c r="P13" i="15" s="1"/>
  <c r="I33" i="15"/>
  <c r="P33" i="15" s="1"/>
  <c r="I12" i="15"/>
  <c r="P12" i="15" s="1"/>
  <c r="I20" i="15"/>
  <c r="P20" i="15" s="1"/>
  <c r="I19" i="15"/>
  <c r="P19" i="15" s="1"/>
  <c r="I39" i="15"/>
  <c r="P39" i="15" s="1"/>
  <c r="I21" i="15"/>
  <c r="P21" i="15" s="1"/>
  <c r="I34" i="15"/>
  <c r="P34" i="15" s="1"/>
  <c r="I35" i="15"/>
  <c r="P35" i="15" s="1"/>
  <c r="I36" i="15"/>
  <c r="P36" i="15" s="1"/>
  <c r="I23" i="15"/>
  <c r="P23" i="15" s="1"/>
  <c r="I24" i="15"/>
  <c r="P24" i="15" s="1"/>
  <c r="I17" i="15"/>
  <c r="P17" i="15" s="1"/>
  <c r="I26" i="15"/>
  <c r="P26" i="15" s="1"/>
  <c r="I14" i="15"/>
  <c r="P14" i="15" s="1"/>
  <c r="P40" i="15"/>
  <c r="Q20" i="15"/>
  <c r="Q19" i="15"/>
  <c r="Q39" i="15"/>
  <c r="Q21" i="15"/>
  <c r="Q40" i="15"/>
  <c r="Q34" i="15"/>
  <c r="Q23" i="15"/>
  <c r="Q24" i="15"/>
  <c r="Q17" i="15"/>
  <c r="Q26" i="15"/>
  <c r="R13" i="15"/>
  <c r="R33" i="15"/>
  <c r="R12" i="15"/>
  <c r="R20" i="15"/>
  <c r="R19" i="15"/>
  <c r="R39" i="15"/>
  <c r="R21" i="15"/>
  <c r="R40" i="15"/>
  <c r="R34" i="15"/>
  <c r="R35" i="15"/>
  <c r="R36" i="15"/>
  <c r="R23" i="15"/>
  <c r="R24" i="15"/>
  <c r="R17" i="15"/>
  <c r="R26" i="15"/>
  <c r="R14" i="15"/>
  <c r="G16" i="15"/>
  <c r="G38" i="15"/>
  <c r="G27" i="15"/>
  <c r="G28" i="15"/>
  <c r="G18" i="15"/>
  <c r="G37" i="15"/>
  <c r="G29" i="15"/>
  <c r="G15" i="15"/>
  <c r="G31" i="15"/>
  <c r="G30" i="15"/>
  <c r="G32" i="15"/>
  <c r="I16" i="15"/>
  <c r="P16" i="15" s="1"/>
  <c r="I38" i="15"/>
  <c r="P38" i="15" s="1"/>
  <c r="I27" i="15"/>
  <c r="P27" i="15" s="1"/>
  <c r="I28" i="15"/>
  <c r="P28" i="15" s="1"/>
  <c r="I18" i="15"/>
  <c r="P18" i="15" s="1"/>
  <c r="I37" i="15"/>
  <c r="P37" i="15" s="1"/>
  <c r="P29" i="15"/>
  <c r="I15" i="15"/>
  <c r="P15" i="15" s="1"/>
  <c r="P31" i="15"/>
  <c r="I30" i="15"/>
  <c r="P30" i="15" s="1"/>
  <c r="I32" i="15"/>
  <c r="P32" i="15" s="1"/>
  <c r="Q16" i="15"/>
  <c r="Q38" i="15"/>
  <c r="Q27" i="15"/>
  <c r="Q28" i="15"/>
  <c r="Q29" i="15"/>
  <c r="Q30" i="15"/>
  <c r="Q32" i="15"/>
  <c r="R16" i="15"/>
  <c r="R38" i="15"/>
  <c r="R27" i="15"/>
  <c r="R28" i="15"/>
  <c r="R18" i="15"/>
  <c r="R37" i="15"/>
  <c r="R29" i="15"/>
  <c r="R15" i="15"/>
  <c r="R31" i="15"/>
  <c r="R30" i="15"/>
  <c r="R32" i="15"/>
  <c r="G10" i="15"/>
  <c r="G11" i="15"/>
  <c r="G25" i="15"/>
  <c r="I10" i="15"/>
  <c r="P10" i="15" s="1"/>
  <c r="I11" i="15"/>
  <c r="P11" i="15" s="1"/>
  <c r="P25" i="15"/>
  <c r="Q25" i="15"/>
  <c r="R10" i="15"/>
  <c r="R11" i="15"/>
  <c r="R25" i="15"/>
  <c r="H59" i="15"/>
  <c r="H60" i="15"/>
  <c r="H61" i="15"/>
  <c r="H62" i="15"/>
  <c r="J59" i="15"/>
  <c r="J60" i="15"/>
  <c r="J61" i="15"/>
  <c r="J62" i="15"/>
  <c r="K59" i="15"/>
  <c r="K60" i="15"/>
  <c r="K61" i="15"/>
  <c r="K62" i="15"/>
  <c r="H63" i="15"/>
  <c r="H64" i="15"/>
  <c r="H65" i="15"/>
  <c r="H66" i="15"/>
  <c r="J63" i="15"/>
  <c r="J64" i="15"/>
  <c r="J65" i="15"/>
  <c r="J66" i="15"/>
  <c r="K63" i="15"/>
  <c r="K64" i="15"/>
  <c r="K65" i="15"/>
  <c r="K66" i="15"/>
  <c r="H67" i="15"/>
  <c r="H68" i="15"/>
  <c r="H69" i="15"/>
  <c r="H70" i="15"/>
  <c r="J67" i="15"/>
  <c r="J68" i="15"/>
  <c r="J69" i="15"/>
  <c r="J70" i="15"/>
  <c r="K67" i="15"/>
  <c r="K68" i="15"/>
  <c r="K69" i="15"/>
  <c r="K70" i="15"/>
  <c r="I13" i="13"/>
  <c r="H46" i="13"/>
  <c r="K47" i="13"/>
  <c r="G47" i="13"/>
  <c r="H47" i="13" s="1"/>
  <c r="H44" i="13"/>
  <c r="H45" i="13"/>
  <c r="H64" i="13"/>
  <c r="J64" i="13"/>
  <c r="K64" i="13"/>
  <c r="K35" i="13"/>
  <c r="K31" i="13"/>
  <c r="J24" i="13"/>
  <c r="P24" i="13" s="1"/>
  <c r="P32" i="13"/>
  <c r="K15" i="13"/>
  <c r="G13" i="13"/>
  <c r="Q13" i="13"/>
  <c r="R13" i="13"/>
  <c r="G35" i="13"/>
  <c r="Q35" i="13"/>
  <c r="R35" i="13"/>
  <c r="G34" i="13"/>
  <c r="I34" i="13"/>
  <c r="Q34" i="13"/>
  <c r="R34" i="13"/>
  <c r="G33" i="13"/>
  <c r="I33" i="13"/>
  <c r="P33" i="13" s="1"/>
  <c r="Q33" i="13"/>
  <c r="R33" i="13"/>
  <c r="G32" i="13"/>
  <c r="Q32" i="13"/>
  <c r="R32" i="13"/>
  <c r="G31" i="13"/>
  <c r="Q31" i="13"/>
  <c r="R31" i="13"/>
  <c r="G30" i="13"/>
  <c r="I30" i="13"/>
  <c r="Q30" i="13"/>
  <c r="R30" i="13"/>
  <c r="G29" i="13"/>
  <c r="I29" i="13"/>
  <c r="P29" i="13" s="1"/>
  <c r="Q29" i="13"/>
  <c r="R29" i="13"/>
  <c r="G28" i="13"/>
  <c r="I28" i="13"/>
  <c r="P28" i="13" s="1"/>
  <c r="Q28" i="13"/>
  <c r="R28" i="13"/>
  <c r="G27" i="13"/>
  <c r="I27" i="13"/>
  <c r="Q27" i="13"/>
  <c r="R27" i="13"/>
  <c r="G26" i="13"/>
  <c r="I26" i="13"/>
  <c r="P26" i="13" s="1"/>
  <c r="Q26" i="13"/>
  <c r="R26" i="13"/>
  <c r="G25" i="13"/>
  <c r="I25" i="13"/>
  <c r="P25" i="13" s="1"/>
  <c r="Q25" i="13"/>
  <c r="R25" i="13"/>
  <c r="G24" i="13"/>
  <c r="Q24" i="13"/>
  <c r="R24" i="13"/>
  <c r="G23" i="13"/>
  <c r="I23" i="13"/>
  <c r="Q23" i="13"/>
  <c r="R23" i="13"/>
  <c r="G22" i="13"/>
  <c r="I22" i="13"/>
  <c r="P22" i="13" s="1"/>
  <c r="Q22" i="13"/>
  <c r="R22" i="13"/>
  <c r="G21" i="13"/>
  <c r="I21" i="13"/>
  <c r="P21" i="13" s="1"/>
  <c r="Q21" i="13"/>
  <c r="R21" i="13"/>
  <c r="G20" i="13"/>
  <c r="I20" i="13"/>
  <c r="P20" i="13" s="1"/>
  <c r="Q20" i="13"/>
  <c r="R20" i="13"/>
  <c r="G19" i="13"/>
  <c r="I19" i="13"/>
  <c r="Q19" i="13"/>
  <c r="R19" i="13"/>
  <c r="G18" i="13"/>
  <c r="I18" i="13"/>
  <c r="P18" i="13" s="1"/>
  <c r="Q18" i="13"/>
  <c r="R18" i="13"/>
  <c r="G17" i="13"/>
  <c r="I17" i="13"/>
  <c r="P17" i="13" s="1"/>
  <c r="Q17" i="13"/>
  <c r="R17" i="13"/>
  <c r="H52" i="13"/>
  <c r="H53" i="13"/>
  <c r="H54" i="13"/>
  <c r="H55" i="13"/>
  <c r="J52" i="13"/>
  <c r="J53" i="13"/>
  <c r="J54" i="13"/>
  <c r="J55" i="13"/>
  <c r="K52" i="13"/>
  <c r="K53" i="13"/>
  <c r="K54" i="13"/>
  <c r="K55" i="13"/>
  <c r="H56" i="13"/>
  <c r="H57" i="13"/>
  <c r="H58" i="13"/>
  <c r="H59" i="13"/>
  <c r="J56" i="13"/>
  <c r="J57" i="13"/>
  <c r="J58" i="13"/>
  <c r="J59" i="13"/>
  <c r="K56" i="13"/>
  <c r="K57" i="13"/>
  <c r="K58" i="13"/>
  <c r="K59" i="13"/>
  <c r="H60" i="13"/>
  <c r="H61" i="13"/>
  <c r="H62" i="13"/>
  <c r="H63" i="13"/>
  <c r="J60" i="13"/>
  <c r="J61" i="13"/>
  <c r="J62" i="13"/>
  <c r="J63" i="13"/>
  <c r="K60" i="13"/>
  <c r="K61" i="13"/>
  <c r="K62" i="13"/>
  <c r="K63" i="13"/>
  <c r="J85" i="13"/>
  <c r="L85" i="13" s="1"/>
  <c r="J81" i="13"/>
  <c r="I124" i="2"/>
  <c r="I125" i="2"/>
  <c r="M102" i="13"/>
  <c r="M103" i="13" s="1"/>
  <c r="J103" i="13"/>
  <c r="K103" i="13"/>
  <c r="H103" i="13"/>
  <c r="G85" i="13"/>
  <c r="J28" i="16"/>
  <c r="P28" i="16" s="1"/>
  <c r="H84" i="16"/>
  <c r="H87" i="16"/>
  <c r="J84" i="16"/>
  <c r="J87" i="16"/>
  <c r="K84" i="16"/>
  <c r="K87" i="16"/>
  <c r="H89" i="16"/>
  <c r="H90" i="16"/>
  <c r="J89" i="16"/>
  <c r="J90" i="16"/>
  <c r="K89" i="16"/>
  <c r="K90" i="16"/>
  <c r="H93" i="16"/>
  <c r="H94" i="16"/>
  <c r="J93" i="16"/>
  <c r="J94" i="16"/>
  <c r="K93" i="16"/>
  <c r="K94" i="16"/>
  <c r="H97" i="16"/>
  <c r="J97" i="16"/>
  <c r="K97" i="16"/>
  <c r="H98" i="16"/>
  <c r="J98" i="16"/>
  <c r="K98" i="16"/>
  <c r="G62" i="16"/>
  <c r="I62" i="16"/>
  <c r="P62" i="16" s="1"/>
  <c r="Q62" i="16"/>
  <c r="R62" i="16"/>
  <c r="G57" i="16"/>
  <c r="I57" i="16"/>
  <c r="Q57" i="16"/>
  <c r="R57" i="16"/>
  <c r="G58" i="16"/>
  <c r="I58" i="16"/>
  <c r="P58" i="16" s="1"/>
  <c r="Q58" i="16"/>
  <c r="R58" i="16"/>
  <c r="G61" i="16"/>
  <c r="I61" i="16"/>
  <c r="P61" i="16" s="1"/>
  <c r="Q61" i="16"/>
  <c r="R61" i="16"/>
  <c r="G54" i="16"/>
  <c r="I54" i="16"/>
  <c r="P54" i="16" s="1"/>
  <c r="Q54" i="16"/>
  <c r="R54" i="16"/>
  <c r="G48" i="16"/>
  <c r="I48" i="16"/>
  <c r="Q48" i="16"/>
  <c r="R48" i="16"/>
  <c r="G47" i="16"/>
  <c r="I47" i="16"/>
  <c r="P47" i="16" s="1"/>
  <c r="Q47" i="16"/>
  <c r="R47" i="16"/>
  <c r="G39" i="16"/>
  <c r="I39" i="16"/>
  <c r="P39" i="16" s="1"/>
  <c r="Q39" i="16"/>
  <c r="R39" i="16"/>
  <c r="G34" i="16"/>
  <c r="I34" i="16"/>
  <c r="P34" i="16" s="1"/>
  <c r="Q34" i="16"/>
  <c r="R34" i="16"/>
  <c r="G37" i="16"/>
  <c r="I37" i="16"/>
  <c r="P37" i="16" s="1"/>
  <c r="Q37" i="16"/>
  <c r="R37" i="16"/>
  <c r="G36" i="16"/>
  <c r="I36" i="16"/>
  <c r="P36" i="16" s="1"/>
  <c r="Q36" i="16"/>
  <c r="R36" i="16"/>
  <c r="G28" i="16"/>
  <c r="Q28" i="16"/>
  <c r="R28" i="16"/>
  <c r="G26" i="16"/>
  <c r="I26" i="16"/>
  <c r="P26" i="16" s="1"/>
  <c r="Q26" i="16"/>
  <c r="R26" i="16"/>
  <c r="G20" i="16"/>
  <c r="I20" i="16"/>
  <c r="Q20" i="16"/>
  <c r="R20" i="16"/>
  <c r="G18" i="16"/>
  <c r="I18" i="16"/>
  <c r="P18" i="16" s="1"/>
  <c r="Q18" i="16"/>
  <c r="R18" i="16"/>
  <c r="G16" i="16"/>
  <c r="I16" i="16"/>
  <c r="P16" i="16" s="1"/>
  <c r="Q16" i="16"/>
  <c r="R16" i="16"/>
  <c r="G15" i="16"/>
  <c r="I15" i="16"/>
  <c r="P15" i="16" s="1"/>
  <c r="Q15" i="16"/>
  <c r="R15" i="16"/>
  <c r="H123" i="16"/>
  <c r="I123" i="16" s="1"/>
  <c r="H124" i="16"/>
  <c r="I124" i="16" s="1"/>
  <c r="H125" i="16"/>
  <c r="I125" i="16" s="1"/>
  <c r="H126" i="16"/>
  <c r="I126" i="16" s="1"/>
  <c r="H127" i="16"/>
  <c r="I127" i="16" s="1"/>
  <c r="H128" i="16"/>
  <c r="I128" i="16" s="1"/>
  <c r="J115" i="16"/>
  <c r="J114" i="16"/>
  <c r="J111" i="16"/>
  <c r="H74" i="16"/>
  <c r="P33" i="19" l="1"/>
  <c r="P9" i="19"/>
  <c r="P31" i="19"/>
  <c r="P10" i="19"/>
  <c r="P27" i="19"/>
  <c r="P35" i="19"/>
  <c r="P30" i="13"/>
  <c r="P34" i="13"/>
  <c r="P13" i="13"/>
  <c r="P35" i="13"/>
  <c r="P19" i="13"/>
  <c r="P23" i="13"/>
  <c r="P27" i="13"/>
  <c r="P31" i="13"/>
  <c r="I103" i="13"/>
  <c r="L103" i="13"/>
  <c r="P20" i="16"/>
  <c r="P57" i="16"/>
  <c r="P48" i="16"/>
  <c r="H73" i="16"/>
  <c r="G11" i="16"/>
  <c r="I11" i="16"/>
  <c r="P11" i="16" s="1"/>
  <c r="Q11" i="16"/>
  <c r="R11" i="16"/>
  <c r="G9" i="16"/>
  <c r="G14" i="16"/>
  <c r="I14" i="16"/>
  <c r="P14" i="16" s="1"/>
  <c r="Q14" i="16"/>
  <c r="R14" i="16"/>
  <c r="H82" i="16"/>
  <c r="J82" i="16"/>
  <c r="K82" i="16"/>
  <c r="H83" i="16"/>
  <c r="J83" i="16"/>
  <c r="K83" i="16"/>
  <c r="H81" i="16"/>
  <c r="J81" i="16"/>
  <c r="K81" i="16"/>
  <c r="K17" i="16"/>
  <c r="P17" i="16" s="1"/>
  <c r="H85" i="16"/>
  <c r="J85" i="16"/>
  <c r="K85" i="16"/>
  <c r="H70" i="16"/>
  <c r="H71" i="16"/>
  <c r="H72" i="16"/>
  <c r="H86" i="16"/>
  <c r="J86" i="16"/>
  <c r="K86" i="16"/>
  <c r="G12" i="16"/>
  <c r="I12" i="16"/>
  <c r="Q12" i="16"/>
  <c r="R12" i="16"/>
  <c r="G10" i="16"/>
  <c r="I10" i="16"/>
  <c r="P10" i="16" s="1"/>
  <c r="Q10" i="16"/>
  <c r="R10" i="16"/>
  <c r="I9" i="16"/>
  <c r="P9" i="16" s="1"/>
  <c r="Q9" i="16"/>
  <c r="R9" i="16"/>
  <c r="G17" i="16"/>
  <c r="Q17" i="16"/>
  <c r="R17" i="16"/>
  <c r="G13" i="16"/>
  <c r="I13" i="16"/>
  <c r="Q13" i="16"/>
  <c r="R13" i="16"/>
  <c r="G19" i="16"/>
  <c r="I19" i="16"/>
  <c r="P19" i="16" s="1"/>
  <c r="Q19" i="16"/>
  <c r="R19" i="16"/>
  <c r="G23" i="16"/>
  <c r="I23" i="16"/>
  <c r="Q23" i="16"/>
  <c r="R23" i="16"/>
  <c r="G29" i="16"/>
  <c r="I29" i="16"/>
  <c r="Q29" i="16"/>
  <c r="R29" i="16"/>
  <c r="I31" i="16"/>
  <c r="I99" i="16"/>
  <c r="H88" i="16"/>
  <c r="J88" i="16"/>
  <c r="K88" i="16"/>
  <c r="I51" i="16"/>
  <c r="G56" i="16"/>
  <c r="G55" i="16"/>
  <c r="G59" i="16"/>
  <c r="G45" i="16"/>
  <c r="I56" i="16"/>
  <c r="P56" i="16" s="1"/>
  <c r="I55" i="16"/>
  <c r="P55" i="16" s="1"/>
  <c r="I59" i="16"/>
  <c r="P59" i="16" s="1"/>
  <c r="I45" i="16"/>
  <c r="P45" i="16" s="1"/>
  <c r="Q56" i="16"/>
  <c r="Q55" i="16"/>
  <c r="Q59" i="16"/>
  <c r="Q45" i="16"/>
  <c r="R56" i="16"/>
  <c r="R55" i="16"/>
  <c r="R59" i="16"/>
  <c r="R45" i="16"/>
  <c r="G51" i="16"/>
  <c r="G60" i="16"/>
  <c r="G53" i="16"/>
  <c r="G35" i="16"/>
  <c r="I60" i="16"/>
  <c r="I53" i="16"/>
  <c r="P53" i="16" s="1"/>
  <c r="I35" i="16"/>
  <c r="P35" i="16" s="1"/>
  <c r="Q51" i="16"/>
  <c r="Q60" i="16"/>
  <c r="Q53" i="16"/>
  <c r="Q35" i="16"/>
  <c r="R51" i="16"/>
  <c r="R60" i="16"/>
  <c r="R53" i="16"/>
  <c r="R35" i="16"/>
  <c r="G32" i="16"/>
  <c r="G42" i="16"/>
  <c r="G33" i="16"/>
  <c r="G38" i="16"/>
  <c r="I32" i="16"/>
  <c r="I42" i="16"/>
  <c r="I33" i="16"/>
  <c r="P33" i="16" s="1"/>
  <c r="I38" i="16"/>
  <c r="Q32" i="16"/>
  <c r="Q42" i="16"/>
  <c r="Q33" i="16"/>
  <c r="Q38" i="16"/>
  <c r="R32" i="16"/>
  <c r="R42" i="16"/>
  <c r="R33" i="16"/>
  <c r="R38" i="16"/>
  <c r="G46" i="16"/>
  <c r="G44" i="16"/>
  <c r="G43" i="16"/>
  <c r="G41" i="16"/>
  <c r="I46" i="16"/>
  <c r="P46" i="16" s="1"/>
  <c r="I44" i="16"/>
  <c r="P44" i="16" s="1"/>
  <c r="I43" i="16"/>
  <c r="P43" i="16" s="1"/>
  <c r="I41" i="16"/>
  <c r="P41" i="16" s="1"/>
  <c r="Q46" i="16"/>
  <c r="Q44" i="16"/>
  <c r="Q43" i="16"/>
  <c r="Q41" i="16"/>
  <c r="R46" i="16"/>
  <c r="R44" i="16"/>
  <c r="R43" i="16"/>
  <c r="R41" i="16"/>
  <c r="G40" i="16"/>
  <c r="G24" i="16"/>
  <c r="G21" i="16"/>
  <c r="I40" i="16"/>
  <c r="I24" i="16"/>
  <c r="I21" i="16"/>
  <c r="P21" i="16" s="1"/>
  <c r="Q40" i="16"/>
  <c r="Q24" i="16"/>
  <c r="Q21" i="16"/>
  <c r="R40" i="16"/>
  <c r="R24" i="16"/>
  <c r="R21" i="16"/>
  <c r="G31" i="16"/>
  <c r="Q31" i="16"/>
  <c r="R31" i="16"/>
  <c r="G25" i="16"/>
  <c r="I25" i="16"/>
  <c r="Q25" i="16"/>
  <c r="R25" i="16"/>
  <c r="G22" i="16"/>
  <c r="I22" i="16"/>
  <c r="P22" i="16" s="1"/>
  <c r="Q22" i="16"/>
  <c r="R22" i="16"/>
  <c r="G30" i="16"/>
  <c r="I30" i="16"/>
  <c r="P30" i="16" s="1"/>
  <c r="Q30" i="16"/>
  <c r="R30" i="16"/>
  <c r="K45" i="12"/>
  <c r="H42" i="12"/>
  <c r="H43" i="12"/>
  <c r="H44" i="12"/>
  <c r="H46" i="12"/>
  <c r="J101" i="12"/>
  <c r="J102" i="12"/>
  <c r="G14" i="12"/>
  <c r="I14" i="12"/>
  <c r="P14" i="12" s="1"/>
  <c r="Q14" i="12"/>
  <c r="R14" i="12"/>
  <c r="G23" i="12"/>
  <c r="I23" i="12"/>
  <c r="P23" i="12" s="1"/>
  <c r="Q23" i="12"/>
  <c r="R23" i="12"/>
  <c r="P42" i="16" l="1"/>
  <c r="P25" i="16"/>
  <c r="P32" i="16"/>
  <c r="P51" i="16"/>
  <c r="P29" i="16"/>
  <c r="P23" i="16"/>
  <c r="P13" i="16"/>
  <c r="P12" i="16"/>
  <c r="P24" i="16"/>
  <c r="P60" i="16"/>
  <c r="P40" i="16"/>
  <c r="P31" i="16"/>
  <c r="P38" i="16"/>
  <c r="I90" i="12"/>
  <c r="I91" i="12"/>
  <c r="I92" i="12"/>
  <c r="I93" i="12"/>
  <c r="I94" i="12"/>
  <c r="I95" i="12"/>
  <c r="I77" i="12"/>
  <c r="I78" i="12"/>
  <c r="I80" i="12"/>
  <c r="I81" i="12"/>
  <c r="I84" i="12"/>
  <c r="G101" i="12"/>
  <c r="L125" i="10"/>
  <c r="L126" i="10"/>
  <c r="L127" i="10"/>
  <c r="K103" i="12"/>
  <c r="I103" i="12"/>
  <c r="H103" i="12"/>
  <c r="G102" i="12"/>
  <c r="G29" i="12"/>
  <c r="G30" i="12"/>
  <c r="G31" i="12"/>
  <c r="G32" i="12"/>
  <c r="G33" i="12"/>
  <c r="G34" i="12"/>
  <c r="I29" i="12"/>
  <c r="P29" i="12" s="1"/>
  <c r="I30" i="12"/>
  <c r="P30" i="12" s="1"/>
  <c r="I31" i="12"/>
  <c r="I32" i="12"/>
  <c r="P32" i="12" s="1"/>
  <c r="I33" i="12"/>
  <c r="P33" i="12" s="1"/>
  <c r="I34" i="12"/>
  <c r="P34" i="12" s="1"/>
  <c r="P31" i="12"/>
  <c r="Q29" i="12"/>
  <c r="Q30" i="12"/>
  <c r="Q31" i="12"/>
  <c r="Q32" i="12"/>
  <c r="Q33" i="12"/>
  <c r="Q34" i="12"/>
  <c r="R29" i="12"/>
  <c r="R30" i="12"/>
  <c r="R31" i="12"/>
  <c r="R32" i="12"/>
  <c r="R33" i="12"/>
  <c r="R34" i="12"/>
  <c r="G11" i="12"/>
  <c r="G12" i="12"/>
  <c r="G13" i="12"/>
  <c r="G15" i="12"/>
  <c r="G16" i="12"/>
  <c r="I11" i="12"/>
  <c r="P11" i="12" s="1"/>
  <c r="I12" i="12"/>
  <c r="I13" i="12"/>
  <c r="P13" i="12" s="1"/>
  <c r="I15" i="12"/>
  <c r="P15" i="12" s="1"/>
  <c r="I16" i="12"/>
  <c r="P16" i="12" s="1"/>
  <c r="P12" i="12"/>
  <c r="Q11" i="12"/>
  <c r="Q12" i="12"/>
  <c r="Q13" i="12"/>
  <c r="Q15" i="12"/>
  <c r="Q16" i="12"/>
  <c r="R11" i="12"/>
  <c r="R12" i="12"/>
  <c r="R13" i="12"/>
  <c r="R15" i="12"/>
  <c r="R16" i="12"/>
  <c r="G17" i="12"/>
  <c r="G18" i="12"/>
  <c r="G19" i="12"/>
  <c r="G20" i="12"/>
  <c r="G21" i="12"/>
  <c r="P17" i="12"/>
  <c r="I18" i="12"/>
  <c r="P18" i="12" s="1"/>
  <c r="I19" i="12"/>
  <c r="P19" i="12" s="1"/>
  <c r="I20" i="12"/>
  <c r="P20" i="12" s="1"/>
  <c r="I21" i="12"/>
  <c r="P21" i="12" s="1"/>
  <c r="Q17" i="12"/>
  <c r="Q18" i="12"/>
  <c r="Q19" i="12"/>
  <c r="Q20" i="12"/>
  <c r="Q21" i="12"/>
  <c r="R17" i="12"/>
  <c r="R18" i="12"/>
  <c r="R19" i="12"/>
  <c r="R20" i="12"/>
  <c r="R21" i="12"/>
  <c r="H63" i="12"/>
  <c r="H61" i="12"/>
  <c r="H55" i="12"/>
  <c r="J63" i="12"/>
  <c r="J61" i="12"/>
  <c r="J55" i="12"/>
  <c r="K63" i="12"/>
  <c r="K61" i="12"/>
  <c r="K55" i="12"/>
  <c r="H53" i="12"/>
  <c r="H60" i="12"/>
  <c r="H54" i="12"/>
  <c r="J53" i="12"/>
  <c r="J60" i="12"/>
  <c r="J54" i="12"/>
  <c r="K53" i="12"/>
  <c r="K60" i="12"/>
  <c r="K54" i="12"/>
  <c r="H62" i="12"/>
  <c r="H59" i="12"/>
  <c r="H57" i="12"/>
  <c r="J62" i="12"/>
  <c r="J59" i="12"/>
  <c r="J57" i="12"/>
  <c r="K62" i="12"/>
  <c r="K59" i="12"/>
  <c r="K57" i="12"/>
  <c r="G108" i="11"/>
  <c r="H109" i="11"/>
  <c r="I109" i="11"/>
  <c r="J109" i="11"/>
  <c r="K109" i="11"/>
  <c r="G115" i="11"/>
  <c r="I88" i="11"/>
  <c r="L88" i="11" s="1"/>
  <c r="L128" i="10" l="1"/>
  <c r="J103" i="12"/>
  <c r="H60" i="11"/>
  <c r="J60" i="11"/>
  <c r="K60" i="11"/>
  <c r="G14" i="11"/>
  <c r="G35" i="11"/>
  <c r="G13" i="11"/>
  <c r="I14" i="11"/>
  <c r="P14" i="11" s="1"/>
  <c r="I35" i="11"/>
  <c r="P35" i="11" s="1"/>
  <c r="I13" i="11"/>
  <c r="P13" i="11" s="1"/>
  <c r="Q14" i="11"/>
  <c r="Q35" i="11"/>
  <c r="Q13" i="11"/>
  <c r="R14" i="11"/>
  <c r="R35" i="11"/>
  <c r="R13" i="11"/>
  <c r="G15" i="11"/>
  <c r="G43" i="11"/>
  <c r="I15" i="11"/>
  <c r="P15" i="11" s="1"/>
  <c r="I43" i="11"/>
  <c r="P43" i="11" s="1"/>
  <c r="Q15" i="11"/>
  <c r="Q43" i="11"/>
  <c r="R15" i="11"/>
  <c r="R43" i="11"/>
  <c r="G41" i="11"/>
  <c r="P41" i="11"/>
  <c r="Q41" i="11"/>
  <c r="R41" i="11"/>
  <c r="G22" i="11"/>
  <c r="P22" i="11"/>
  <c r="Q22" i="11"/>
  <c r="R22" i="11"/>
  <c r="G25" i="11"/>
  <c r="I25" i="11"/>
  <c r="P25" i="11" s="1"/>
  <c r="Q25" i="11"/>
  <c r="R25" i="11"/>
  <c r="G32" i="11"/>
  <c r="I32" i="11"/>
  <c r="P32" i="11" s="1"/>
  <c r="Q32" i="11"/>
  <c r="R32" i="11"/>
  <c r="G12" i="11"/>
  <c r="I12" i="11"/>
  <c r="P12" i="11" s="1"/>
  <c r="Q12" i="11"/>
  <c r="R12" i="11"/>
  <c r="I34" i="11"/>
  <c r="I21" i="11"/>
  <c r="H51" i="11" l="1"/>
  <c r="H52" i="11"/>
  <c r="H53" i="11"/>
  <c r="L99" i="10" l="1"/>
  <c r="L100" i="10"/>
  <c r="L103" i="10"/>
  <c r="L106" i="10"/>
  <c r="H52" i="10"/>
  <c r="H53" i="10"/>
  <c r="H51" i="10"/>
  <c r="H54" i="10"/>
  <c r="J108" i="10" l="1"/>
  <c r="H120" i="10"/>
  <c r="I115" i="10"/>
  <c r="L115" i="10" s="1"/>
  <c r="I116" i="10"/>
  <c r="I117" i="10"/>
  <c r="I118" i="10"/>
  <c r="I119" i="10"/>
  <c r="L119" i="10" s="1"/>
  <c r="L116" i="10"/>
  <c r="L117" i="10"/>
  <c r="L118" i="10"/>
  <c r="G118" i="10"/>
  <c r="G119" i="10"/>
  <c r="M120" i="10"/>
  <c r="K120" i="10"/>
  <c r="J120" i="10"/>
  <c r="G117" i="10"/>
  <c r="G116" i="10"/>
  <c r="G115" i="10"/>
  <c r="L120" i="10" l="1"/>
  <c r="I120" i="10"/>
  <c r="L96" i="11"/>
  <c r="G108" i="2"/>
  <c r="I108" i="2"/>
  <c r="L108" i="2" s="1"/>
  <c r="H49" i="10" l="1"/>
  <c r="H50" i="10"/>
  <c r="H58" i="2" l="1"/>
  <c r="H72" i="2"/>
  <c r="M72" i="2" s="1"/>
  <c r="H73" i="2"/>
  <c r="M73" i="2" s="1"/>
  <c r="H71" i="2"/>
  <c r="M71" i="2" s="1"/>
  <c r="H74" i="2"/>
  <c r="M74" i="2" s="1"/>
  <c r="H69" i="2"/>
  <c r="M69" i="2" s="1"/>
  <c r="H70" i="2"/>
  <c r="M70" i="2" s="1"/>
  <c r="H66" i="2"/>
  <c r="M66" i="2" s="1"/>
  <c r="H65" i="2"/>
  <c r="M65" i="2" s="1"/>
  <c r="H67" i="2" l="1"/>
  <c r="M67" i="2" s="1"/>
  <c r="H68" i="2"/>
  <c r="M68" i="2" s="1"/>
  <c r="H84" i="2" l="1"/>
  <c r="J84" i="2"/>
  <c r="K84" i="2"/>
  <c r="G10" i="2"/>
  <c r="I10" i="2"/>
  <c r="P10" i="2" s="1"/>
  <c r="Q10" i="2"/>
  <c r="R10" i="2"/>
  <c r="G9" i="2"/>
  <c r="I9" i="2"/>
  <c r="P9" i="2" s="1"/>
  <c r="Q9" i="2"/>
  <c r="R9" i="2"/>
  <c r="G29" i="2"/>
  <c r="I29" i="2"/>
  <c r="P29" i="2" s="1"/>
  <c r="Q29" i="2"/>
  <c r="R29" i="2"/>
  <c r="G32" i="2"/>
  <c r="I32" i="2"/>
  <c r="P32" i="2" s="1"/>
  <c r="Q32" i="2"/>
  <c r="R32" i="2"/>
  <c r="G35" i="2"/>
  <c r="I35" i="2"/>
  <c r="P35" i="2" s="1"/>
  <c r="Q35" i="2"/>
  <c r="R35" i="2"/>
  <c r="G42" i="2"/>
  <c r="G43" i="2"/>
  <c r="G53" i="2"/>
  <c r="G33" i="2"/>
  <c r="G27" i="2"/>
  <c r="G34" i="2"/>
  <c r="G44" i="2"/>
  <c r="G46" i="2"/>
  <c r="G45" i="2"/>
  <c r="G55" i="2"/>
  <c r="G54" i="2"/>
  <c r="G11" i="2"/>
  <c r="G48" i="2"/>
  <c r="G17" i="2"/>
  <c r="G52" i="2"/>
  <c r="G36" i="2"/>
  <c r="G12" i="2"/>
  <c r="G13" i="2"/>
  <c r="I42" i="2"/>
  <c r="P42" i="2" s="1"/>
  <c r="I43" i="2"/>
  <c r="P43" i="2" s="1"/>
  <c r="I53" i="2"/>
  <c r="P53" i="2" s="1"/>
  <c r="I33" i="2"/>
  <c r="P33" i="2" s="1"/>
  <c r="I27" i="2"/>
  <c r="P27" i="2" s="1"/>
  <c r="I34" i="2"/>
  <c r="P34" i="2" s="1"/>
  <c r="I44" i="2"/>
  <c r="P44" i="2" s="1"/>
  <c r="I46" i="2"/>
  <c r="P46" i="2" s="1"/>
  <c r="I45" i="2"/>
  <c r="P45" i="2" s="1"/>
  <c r="I55" i="2"/>
  <c r="P55" i="2" s="1"/>
  <c r="I54" i="2"/>
  <c r="P54" i="2" s="1"/>
  <c r="I11" i="2"/>
  <c r="P11" i="2" s="1"/>
  <c r="I48" i="2"/>
  <c r="P48" i="2" s="1"/>
  <c r="I17" i="2"/>
  <c r="P17" i="2" s="1"/>
  <c r="I52" i="2"/>
  <c r="P52" i="2" s="1"/>
  <c r="I36" i="2"/>
  <c r="P36" i="2" s="1"/>
  <c r="I12" i="2"/>
  <c r="P12" i="2" s="1"/>
  <c r="I13" i="2"/>
  <c r="P13" i="2" s="1"/>
  <c r="Q42" i="2"/>
  <c r="Q43" i="2"/>
  <c r="Q53" i="2"/>
  <c r="Q33" i="2"/>
  <c r="Q27" i="2"/>
  <c r="Q34" i="2"/>
  <c r="Q44" i="2"/>
  <c r="Q46" i="2"/>
  <c r="Q45" i="2"/>
  <c r="Q55" i="2"/>
  <c r="Q54" i="2"/>
  <c r="Q11" i="2"/>
  <c r="Q48" i="2"/>
  <c r="Q17" i="2"/>
  <c r="Q52" i="2"/>
  <c r="Q36" i="2"/>
  <c r="Q12" i="2"/>
  <c r="Q13" i="2"/>
  <c r="R42" i="2"/>
  <c r="R43" i="2"/>
  <c r="R53" i="2"/>
  <c r="R33" i="2"/>
  <c r="R27" i="2"/>
  <c r="R34" i="2"/>
  <c r="R44" i="2"/>
  <c r="R46" i="2"/>
  <c r="R45" i="2"/>
  <c r="R55" i="2"/>
  <c r="R54" i="2"/>
  <c r="R11" i="2"/>
  <c r="R48" i="2"/>
  <c r="R17" i="2"/>
  <c r="R52" i="2"/>
  <c r="R36" i="2"/>
  <c r="R12" i="2"/>
  <c r="R13" i="2"/>
  <c r="H90" i="2"/>
  <c r="H91" i="2"/>
  <c r="H83" i="2"/>
  <c r="H81" i="2"/>
  <c r="J83" i="2"/>
  <c r="J81" i="2"/>
  <c r="K90" i="2"/>
  <c r="K91" i="2"/>
  <c r="K83" i="2"/>
  <c r="K81" i="2"/>
  <c r="G125" i="2" l="1"/>
  <c r="M126" i="2" l="1"/>
  <c r="K126" i="2"/>
  <c r="J126" i="2"/>
  <c r="I126" i="2"/>
  <c r="H126" i="2"/>
  <c r="G124" i="2"/>
  <c r="G130" i="2"/>
  <c r="G51" i="2"/>
  <c r="I51" i="2"/>
  <c r="P51" i="2" s="1"/>
  <c r="Q51" i="2"/>
  <c r="R51" i="2"/>
  <c r="G50" i="2"/>
  <c r="I50" i="2"/>
  <c r="P50" i="2" s="1"/>
  <c r="Q50" i="2"/>
  <c r="R50" i="2"/>
  <c r="G30" i="2"/>
  <c r="I30" i="2"/>
  <c r="P30" i="2" s="1"/>
  <c r="Q30" i="2"/>
  <c r="R30" i="2"/>
  <c r="G37" i="2"/>
  <c r="I37" i="2"/>
  <c r="P37" i="2" s="1"/>
  <c r="Q37" i="2"/>
  <c r="R37" i="2"/>
  <c r="I57" i="2"/>
  <c r="I18" i="2"/>
  <c r="I28" i="2"/>
  <c r="I19" i="2"/>
  <c r="I49" i="2"/>
  <c r="I21" i="2"/>
  <c r="I15" i="2"/>
  <c r="I24" i="2"/>
  <c r="I38" i="2"/>
  <c r="I25" i="2"/>
  <c r="I40" i="2"/>
  <c r="I41" i="2"/>
  <c r="I31" i="2"/>
  <c r="N1" i="20"/>
  <c r="I21" i="10"/>
  <c r="I24" i="10"/>
  <c r="I28" i="10"/>
  <c r="I29" i="10"/>
  <c r="I20" i="10"/>
  <c r="I39" i="10"/>
  <c r="I34" i="10"/>
  <c r="I19" i="10"/>
  <c r="I9" i="10"/>
  <c r="I10" i="10"/>
  <c r="I38" i="10"/>
  <c r="I11" i="10"/>
  <c r="I22" i="10"/>
  <c r="I35" i="10"/>
  <c r="I12" i="10"/>
  <c r="I13" i="10"/>
  <c r="I14" i="10"/>
  <c r="I15" i="10"/>
  <c r="I16" i="10"/>
  <c r="I17" i="10"/>
  <c r="I36" i="10"/>
  <c r="I23" i="10"/>
  <c r="I37" i="10"/>
  <c r="I18" i="10"/>
  <c r="I32" i="10"/>
  <c r="I27" i="10"/>
  <c r="I31" i="10"/>
  <c r="I25" i="10"/>
  <c r="I26" i="10"/>
  <c r="I37" i="11"/>
  <c r="P37" i="11" s="1"/>
  <c r="I36" i="11"/>
  <c r="I40" i="11"/>
  <c r="P40" i="11" s="1"/>
  <c r="I17" i="11"/>
  <c r="P17" i="11" s="1"/>
  <c r="I18" i="11"/>
  <c r="P18" i="11" s="1"/>
  <c r="I9" i="11"/>
  <c r="P9" i="11" s="1"/>
  <c r="I30" i="11"/>
  <c r="I27" i="11"/>
  <c r="P27" i="11" s="1"/>
  <c r="I26" i="11"/>
  <c r="P26" i="11" s="1"/>
  <c r="I29" i="11"/>
  <c r="I28" i="11"/>
  <c r="P28" i="11" s="1"/>
  <c r="I38" i="11"/>
  <c r="P38" i="11" s="1"/>
  <c r="P10" i="11"/>
  <c r="I33" i="11"/>
  <c r="P33" i="11" s="1"/>
  <c r="P39" i="11"/>
  <c r="P31" i="11"/>
  <c r="P11" i="11"/>
  <c r="I42" i="11"/>
  <c r="P42" i="11" s="1"/>
  <c r="I23" i="11"/>
  <c r="P23" i="11" s="1"/>
  <c r="P21" i="11"/>
  <c r="P34" i="11"/>
  <c r="I19" i="11"/>
  <c r="P19" i="11" s="1"/>
  <c r="I20" i="11"/>
  <c r="P20" i="11" s="1"/>
  <c r="H59" i="11"/>
  <c r="J59" i="11"/>
  <c r="K59" i="11"/>
  <c r="H64" i="11"/>
  <c r="J64" i="11"/>
  <c r="K64" i="11"/>
  <c r="H65" i="11"/>
  <c r="H66" i="11"/>
  <c r="J65" i="11"/>
  <c r="J66" i="11"/>
  <c r="K65" i="11"/>
  <c r="K66" i="11"/>
  <c r="H68" i="11"/>
  <c r="J68" i="11"/>
  <c r="K68" i="11"/>
  <c r="H61" i="11"/>
  <c r="H69" i="11"/>
  <c r="J61" i="11"/>
  <c r="J69" i="11"/>
  <c r="K61" i="11"/>
  <c r="K69" i="11"/>
  <c r="H70" i="11"/>
  <c r="J70" i="11"/>
  <c r="K70" i="11"/>
  <c r="G23" i="11"/>
  <c r="Q23" i="11"/>
  <c r="R23" i="11"/>
  <c r="G42" i="11"/>
  <c r="Q42" i="11"/>
  <c r="R42" i="11"/>
  <c r="G20" i="11"/>
  <c r="Q20" i="11"/>
  <c r="R20" i="11"/>
  <c r="G21" i="11"/>
  <c r="Q21" i="11"/>
  <c r="R21" i="11"/>
  <c r="G39" i="11"/>
  <c r="Q39" i="11"/>
  <c r="R39" i="11"/>
  <c r="H58" i="11"/>
  <c r="H62" i="11"/>
  <c r="H63" i="11"/>
  <c r="J58" i="11"/>
  <c r="J62" i="11"/>
  <c r="J63" i="11"/>
  <c r="K58" i="11"/>
  <c r="K62" i="11"/>
  <c r="K63" i="11"/>
  <c r="H67" i="11"/>
  <c r="J67" i="11"/>
  <c r="K67" i="11"/>
  <c r="G37" i="11"/>
  <c r="G40" i="11"/>
  <c r="G17" i="11"/>
  <c r="G9" i="11"/>
  <c r="Q37" i="11"/>
  <c r="Q40" i="11"/>
  <c r="Q17" i="11"/>
  <c r="Q9" i="11"/>
  <c r="R37" i="11"/>
  <c r="R40" i="11"/>
  <c r="R17" i="11"/>
  <c r="R9" i="11"/>
  <c r="P24" i="11"/>
  <c r="G19" i="11"/>
  <c r="Q19" i="11"/>
  <c r="R19" i="11"/>
  <c r="G27" i="11"/>
  <c r="G30" i="11"/>
  <c r="G10" i="11"/>
  <c r="G29" i="11"/>
  <c r="G38" i="11"/>
  <c r="G28" i="11"/>
  <c r="G24" i="11"/>
  <c r="G33" i="11"/>
  <c r="G11" i="11"/>
  <c r="G31" i="11"/>
  <c r="Q27" i="11"/>
  <c r="Q30" i="11"/>
  <c r="Q10" i="11"/>
  <c r="Q29" i="11"/>
  <c r="Q38" i="11"/>
  <c r="Q28" i="11"/>
  <c r="Q24" i="11"/>
  <c r="Q33" i="11"/>
  <c r="Q11" i="11"/>
  <c r="Q31" i="11"/>
  <c r="R27" i="11"/>
  <c r="R30" i="11"/>
  <c r="R10" i="11"/>
  <c r="R29" i="11"/>
  <c r="R38" i="11"/>
  <c r="R28" i="11"/>
  <c r="R24" i="11"/>
  <c r="R33" i="11"/>
  <c r="R11" i="11"/>
  <c r="R31" i="11"/>
  <c r="G18" i="11"/>
  <c r="Q18" i="11"/>
  <c r="R18" i="11"/>
  <c r="G26" i="11"/>
  <c r="G34" i="11"/>
  <c r="Q26" i="11"/>
  <c r="Q34" i="11"/>
  <c r="R26" i="11"/>
  <c r="R34" i="11"/>
  <c r="L126" i="2" l="1"/>
  <c r="P30" i="11"/>
  <c r="P29" i="11"/>
  <c r="G41" i="10" l="1"/>
  <c r="I41" i="10"/>
  <c r="P41" i="10" s="1"/>
  <c r="G162" i="10" l="1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27" i="10" l="1"/>
  <c r="G101" i="10"/>
  <c r="G102" i="10"/>
  <c r="G103" i="10"/>
  <c r="G104" i="10"/>
  <c r="G105" i="10"/>
  <c r="G106" i="10"/>
  <c r="G107" i="10"/>
  <c r="I101" i="10"/>
  <c r="L101" i="10" s="1"/>
  <c r="I102" i="10"/>
  <c r="L102" i="10" s="1"/>
  <c r="I104" i="10"/>
  <c r="L104" i="10" s="1"/>
  <c r="I105" i="10"/>
  <c r="L105" i="10" s="1"/>
  <c r="I107" i="10"/>
  <c r="L107" i="10" s="1"/>
  <c r="H84" i="10" l="1"/>
  <c r="H61" i="10"/>
  <c r="H69" i="10"/>
  <c r="H70" i="10"/>
  <c r="J84" i="10"/>
  <c r="J61" i="10"/>
  <c r="J69" i="10"/>
  <c r="J70" i="10"/>
  <c r="K84" i="10"/>
  <c r="K61" i="10"/>
  <c r="K69" i="10"/>
  <c r="K70" i="10"/>
  <c r="H86" i="10"/>
  <c r="H66" i="10"/>
  <c r="H85" i="10"/>
  <c r="H71" i="10"/>
  <c r="H72" i="10"/>
  <c r="H78" i="10"/>
  <c r="H68" i="10"/>
  <c r="H67" i="10"/>
  <c r="H79" i="10"/>
  <c r="H62" i="10"/>
  <c r="J86" i="10"/>
  <c r="J66" i="10"/>
  <c r="J85" i="10"/>
  <c r="J71" i="10"/>
  <c r="J72" i="10"/>
  <c r="J78" i="10"/>
  <c r="J68" i="10"/>
  <c r="J67" i="10"/>
  <c r="J79" i="10"/>
  <c r="J62" i="10"/>
  <c r="K86" i="10"/>
  <c r="K66" i="10"/>
  <c r="K85" i="10"/>
  <c r="K71" i="10"/>
  <c r="K72" i="10"/>
  <c r="K78" i="10"/>
  <c r="K68" i="10"/>
  <c r="K67" i="10"/>
  <c r="K79" i="10"/>
  <c r="K62" i="10"/>
  <c r="H81" i="10"/>
  <c r="H80" i="10"/>
  <c r="H65" i="10"/>
  <c r="H76" i="10"/>
  <c r="H73" i="10"/>
  <c r="H63" i="10"/>
  <c r="H74" i="10"/>
  <c r="H64" i="10"/>
  <c r="H77" i="10"/>
  <c r="J81" i="10"/>
  <c r="J80" i="10"/>
  <c r="J73" i="10"/>
  <c r="J63" i="10"/>
  <c r="J74" i="10"/>
  <c r="J64" i="10"/>
  <c r="J77" i="10"/>
  <c r="K81" i="10"/>
  <c r="K80" i="10"/>
  <c r="K65" i="10"/>
  <c r="K76" i="10"/>
  <c r="K73" i="10"/>
  <c r="K63" i="10"/>
  <c r="K74" i="10"/>
  <c r="K64" i="10"/>
  <c r="K77" i="10"/>
  <c r="H83" i="10"/>
  <c r="H87" i="10"/>
  <c r="H75" i="10"/>
  <c r="H82" i="10"/>
  <c r="J83" i="10"/>
  <c r="J87" i="10"/>
  <c r="J82" i="10"/>
  <c r="K83" i="10"/>
  <c r="K87" i="10"/>
  <c r="K75" i="10"/>
  <c r="K82" i="10"/>
  <c r="G32" i="10"/>
  <c r="P32" i="10"/>
  <c r="Q32" i="10"/>
  <c r="R32" i="10"/>
  <c r="G28" i="10"/>
  <c r="P28" i="10"/>
  <c r="Q28" i="10"/>
  <c r="R28" i="10"/>
  <c r="G29" i="10"/>
  <c r="P29" i="10"/>
  <c r="Q29" i="10"/>
  <c r="R29" i="10"/>
  <c r="G14" i="10"/>
  <c r="P14" i="10"/>
  <c r="Q14" i="10"/>
  <c r="R14" i="10"/>
  <c r="G30" i="10"/>
  <c r="P30" i="10"/>
  <c r="Q30" i="10"/>
  <c r="R30" i="10"/>
  <c r="G22" i="10"/>
  <c r="G11" i="10"/>
  <c r="G34" i="10"/>
  <c r="G24" i="10"/>
  <c r="G35" i="10"/>
  <c r="G40" i="10"/>
  <c r="G39" i="10"/>
  <c r="G21" i="10"/>
  <c r="G33" i="10"/>
  <c r="G38" i="10"/>
  <c r="G19" i="10"/>
  <c r="G9" i="10"/>
  <c r="G15" i="10"/>
  <c r="G12" i="10"/>
  <c r="G37" i="10"/>
  <c r="G23" i="10"/>
  <c r="G36" i="10"/>
  <c r="G16" i="10"/>
  <c r="G13" i="10"/>
  <c r="G17" i="10"/>
  <c r="P22" i="10"/>
  <c r="P11" i="10"/>
  <c r="P34" i="10"/>
  <c r="P24" i="10"/>
  <c r="P35" i="10"/>
  <c r="P40" i="10"/>
  <c r="P39" i="10"/>
  <c r="P21" i="10"/>
  <c r="P33" i="10"/>
  <c r="P38" i="10"/>
  <c r="P19" i="10"/>
  <c r="P9" i="10"/>
  <c r="P15" i="10"/>
  <c r="P12" i="10"/>
  <c r="P37" i="10"/>
  <c r="P23" i="10"/>
  <c r="P36" i="10"/>
  <c r="P16" i="10"/>
  <c r="P13" i="10"/>
  <c r="P17" i="10"/>
  <c r="Q22" i="10"/>
  <c r="Q11" i="10"/>
  <c r="Q41" i="10"/>
  <c r="Q34" i="10"/>
  <c r="Q24" i="10"/>
  <c r="Q35" i="10"/>
  <c r="Q40" i="10"/>
  <c r="Q39" i="10"/>
  <c r="Q21" i="10"/>
  <c r="Q33" i="10"/>
  <c r="Q38" i="10"/>
  <c r="Q19" i="10"/>
  <c r="Q9" i="10"/>
  <c r="Q15" i="10"/>
  <c r="Q12" i="10"/>
  <c r="Q37" i="10"/>
  <c r="Q23" i="10"/>
  <c r="Q36" i="10"/>
  <c r="Q16" i="10"/>
  <c r="Q13" i="10"/>
  <c r="Q17" i="10"/>
  <c r="R22" i="10"/>
  <c r="R11" i="10"/>
  <c r="R41" i="10"/>
  <c r="R34" i="10"/>
  <c r="R24" i="10"/>
  <c r="R35" i="10"/>
  <c r="R40" i="10"/>
  <c r="R39" i="10"/>
  <c r="R21" i="10"/>
  <c r="R33" i="10"/>
  <c r="R38" i="10"/>
  <c r="R19" i="10"/>
  <c r="R9" i="10"/>
  <c r="R15" i="10"/>
  <c r="R12" i="10"/>
  <c r="R37" i="10"/>
  <c r="R23" i="10"/>
  <c r="R36" i="10"/>
  <c r="R16" i="10"/>
  <c r="R13" i="10"/>
  <c r="R17" i="10"/>
  <c r="G18" i="10"/>
  <c r="G27" i="10"/>
  <c r="G25" i="10"/>
  <c r="G31" i="10"/>
  <c r="P18" i="10"/>
  <c r="P27" i="10"/>
  <c r="P25" i="10"/>
  <c r="P31" i="10"/>
  <c r="Q18" i="10"/>
  <c r="Q27" i="10"/>
  <c r="Q25" i="10"/>
  <c r="Q31" i="10"/>
  <c r="R18" i="10"/>
  <c r="R27" i="10"/>
  <c r="R25" i="10"/>
  <c r="R31" i="10"/>
  <c r="G26" i="10"/>
  <c r="P26" i="10"/>
  <c r="Q26" i="10"/>
  <c r="R26" i="10"/>
  <c r="H85" i="2" l="1"/>
  <c r="H88" i="2"/>
  <c r="J85" i="2"/>
  <c r="K85" i="2"/>
  <c r="K88" i="2"/>
  <c r="G40" i="2"/>
  <c r="G22" i="2"/>
  <c r="P40" i="2"/>
  <c r="P22" i="2"/>
  <c r="Q40" i="2"/>
  <c r="Q22" i="2"/>
  <c r="R40" i="2"/>
  <c r="R22" i="2"/>
  <c r="G14" i="2"/>
  <c r="P14" i="2"/>
  <c r="Q14" i="2"/>
  <c r="R14" i="2"/>
  <c r="H86" i="2"/>
  <c r="H89" i="2"/>
  <c r="H82" i="2"/>
  <c r="H87" i="2"/>
  <c r="J82" i="2"/>
  <c r="K86" i="2"/>
  <c r="K89" i="2"/>
  <c r="K82" i="2"/>
  <c r="K87" i="2"/>
  <c r="H92" i="2"/>
  <c r="J92" i="2"/>
  <c r="K92" i="2"/>
  <c r="G23" i="2"/>
  <c r="P23" i="2"/>
  <c r="Q23" i="2"/>
  <c r="R23" i="2"/>
  <c r="G19" i="2"/>
  <c r="P19" i="2"/>
  <c r="Q19" i="2"/>
  <c r="R19" i="2"/>
  <c r="G20" i="2"/>
  <c r="P20" i="2"/>
  <c r="Q20" i="2"/>
  <c r="R20" i="2"/>
  <c r="G57" i="2"/>
  <c r="P57" i="2"/>
  <c r="Q57" i="2"/>
  <c r="R57" i="2"/>
  <c r="G28" i="2"/>
  <c r="P28" i="2"/>
  <c r="Q28" i="2"/>
  <c r="R28" i="2"/>
  <c r="G31" i="2"/>
  <c r="P31" i="2"/>
  <c r="Q31" i="2"/>
  <c r="R31" i="2"/>
  <c r="G24" i="2"/>
  <c r="P24" i="2"/>
  <c r="Q24" i="2"/>
  <c r="R24" i="2"/>
  <c r="G49" i="2"/>
  <c r="P49" i="2"/>
  <c r="Q49" i="2"/>
  <c r="R49" i="2"/>
  <c r="G15" i="2"/>
  <c r="P15" i="2"/>
  <c r="Q15" i="2"/>
  <c r="R15" i="2"/>
  <c r="G47" i="2"/>
  <c r="P47" i="2"/>
  <c r="Q47" i="2"/>
  <c r="R47" i="2"/>
  <c r="G26" i="2"/>
  <c r="P26" i="2"/>
  <c r="Q26" i="2"/>
  <c r="R26" i="2"/>
  <c r="G25" i="2"/>
  <c r="P25" i="2"/>
  <c r="Q25" i="2"/>
  <c r="R25" i="2"/>
  <c r="G56" i="2"/>
  <c r="P56" i="2"/>
  <c r="Q56" i="2"/>
  <c r="R56" i="2"/>
  <c r="G38" i="2"/>
  <c r="P38" i="2"/>
  <c r="Q38" i="2"/>
  <c r="R38" i="2"/>
  <c r="G39" i="2"/>
  <c r="P39" i="2"/>
  <c r="Q39" i="2"/>
  <c r="R39" i="2"/>
  <c r="G41" i="2"/>
  <c r="P41" i="2"/>
  <c r="Q41" i="2"/>
  <c r="R41" i="2"/>
  <c r="G109" i="20" l="1"/>
  <c r="G110" i="20"/>
  <c r="G111" i="20"/>
  <c r="G112" i="20"/>
  <c r="G113" i="20"/>
  <c r="G111" i="21"/>
  <c r="G112" i="21"/>
  <c r="G113" i="21"/>
  <c r="G114" i="21"/>
  <c r="G115" i="21"/>
  <c r="G121" i="14"/>
  <c r="G122" i="14"/>
  <c r="G123" i="14"/>
  <c r="G124" i="14"/>
  <c r="G125" i="14"/>
  <c r="G118" i="19"/>
  <c r="G119" i="19"/>
  <c r="G120" i="19"/>
  <c r="G121" i="19"/>
  <c r="G122" i="19"/>
  <c r="G95" i="18"/>
  <c r="G96" i="18"/>
  <c r="G97" i="18"/>
  <c r="G98" i="18"/>
  <c r="G99" i="18"/>
  <c r="G115" i="15"/>
  <c r="G116" i="15"/>
  <c r="G117" i="15"/>
  <c r="G118" i="15"/>
  <c r="G119" i="15"/>
  <c r="G107" i="13"/>
  <c r="G108" i="13"/>
  <c r="G109" i="13"/>
  <c r="G110" i="13"/>
  <c r="G111" i="13"/>
  <c r="G139" i="16"/>
  <c r="G140" i="16"/>
  <c r="G141" i="16"/>
  <c r="G142" i="16"/>
  <c r="G143" i="16"/>
  <c r="G109" i="12"/>
  <c r="G110" i="12"/>
  <c r="G111" i="12"/>
  <c r="G112" i="12"/>
  <c r="G113" i="12"/>
  <c r="G116" i="11"/>
  <c r="G117" i="11"/>
  <c r="G118" i="11"/>
  <c r="G119" i="11"/>
  <c r="G131" i="2"/>
  <c r="G132" i="2"/>
  <c r="G133" i="2"/>
  <c r="G134" i="2"/>
  <c r="G140" i="10"/>
  <c r="G137" i="10"/>
  <c r="G138" i="10"/>
  <c r="G139" i="10"/>
  <c r="G136" i="10"/>
  <c r="G126" i="10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B18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K75" i="20"/>
  <c r="N1" i="21"/>
  <c r="K71" i="21" s="1"/>
  <c r="N1" i="14"/>
  <c r="K87" i="14" s="1"/>
  <c r="N1" i="19"/>
  <c r="K78" i="19" s="1"/>
  <c r="N1" i="18"/>
  <c r="K61" i="18" s="1"/>
  <c r="N1" i="15"/>
  <c r="K81" i="15" s="1"/>
  <c r="N1" i="13"/>
  <c r="K72" i="13" s="1"/>
  <c r="N1" i="16"/>
  <c r="K105" i="16" s="1"/>
  <c r="N1" i="12"/>
  <c r="K72" i="12" s="1"/>
  <c r="N1" i="11"/>
  <c r="K78" i="11" s="1"/>
  <c r="G1" i="20"/>
  <c r="G1" i="21"/>
  <c r="G1" i="14"/>
  <c r="G1" i="19"/>
  <c r="G1" i="18"/>
  <c r="G1" i="15"/>
  <c r="G1" i="13"/>
  <c r="G1" i="16"/>
  <c r="G1" i="12"/>
  <c r="G1" i="11"/>
  <c r="G1" i="10"/>
  <c r="M95" i="21"/>
  <c r="K95" i="21"/>
  <c r="J95" i="21"/>
  <c r="I95" i="21"/>
  <c r="H95" i="21"/>
  <c r="L94" i="21"/>
  <c r="L93" i="21"/>
  <c r="L92" i="21"/>
  <c r="L91" i="21"/>
  <c r="L90" i="21"/>
  <c r="L89" i="21"/>
  <c r="G89" i="21"/>
  <c r="M84" i="21"/>
  <c r="K84" i="21"/>
  <c r="J84" i="21"/>
  <c r="H84" i="21"/>
  <c r="I83" i="21"/>
  <c r="L83" i="21" s="1"/>
  <c r="G83" i="21"/>
  <c r="I82" i="21"/>
  <c r="L82" i="21" s="1"/>
  <c r="G82" i="21"/>
  <c r="I81" i="21"/>
  <c r="L81" i="21" s="1"/>
  <c r="G81" i="21"/>
  <c r="I80" i="21"/>
  <c r="L80" i="21" s="1"/>
  <c r="G80" i="21"/>
  <c r="L79" i="21"/>
  <c r="G79" i="21"/>
  <c r="I78" i="21"/>
  <c r="L78" i="21" s="1"/>
  <c r="G78" i="21"/>
  <c r="L77" i="21"/>
  <c r="G77" i="21"/>
  <c r="L76" i="21"/>
  <c r="G76" i="21"/>
  <c r="G75" i="21"/>
  <c r="I65" i="21"/>
  <c r="K64" i="21"/>
  <c r="J64" i="21"/>
  <c r="H64" i="21"/>
  <c r="K63" i="21"/>
  <c r="J63" i="21"/>
  <c r="H63" i="21"/>
  <c r="K62" i="21"/>
  <c r="J62" i="21"/>
  <c r="H62" i="21"/>
  <c r="K52" i="21"/>
  <c r="J52" i="21"/>
  <c r="H52" i="21"/>
  <c r="L46" i="21"/>
  <c r="K46" i="21"/>
  <c r="J46" i="21"/>
  <c r="I46" i="21"/>
  <c r="H46" i="21"/>
  <c r="G46" i="21"/>
  <c r="O36" i="21"/>
  <c r="N36" i="21"/>
  <c r="M36" i="21"/>
  <c r="L36" i="21"/>
  <c r="K36" i="21"/>
  <c r="J36" i="21"/>
  <c r="H36" i="21"/>
  <c r="R10" i="21"/>
  <c r="Q10" i="21"/>
  <c r="I10" i="21"/>
  <c r="P10" i="21" s="1"/>
  <c r="G10" i="21"/>
  <c r="R12" i="21"/>
  <c r="Q12" i="21"/>
  <c r="I12" i="21"/>
  <c r="P12" i="21" s="1"/>
  <c r="G12" i="21"/>
  <c r="R14" i="21"/>
  <c r="I14" i="21"/>
  <c r="P14" i="21" s="1"/>
  <c r="G14" i="21"/>
  <c r="R35" i="21"/>
  <c r="Q35" i="21"/>
  <c r="I35" i="21"/>
  <c r="P35" i="21" s="1"/>
  <c r="G35" i="21"/>
  <c r="M99" i="20"/>
  <c r="K99" i="20"/>
  <c r="J99" i="20"/>
  <c r="I99" i="20"/>
  <c r="H99" i="20"/>
  <c r="L98" i="20"/>
  <c r="L97" i="20"/>
  <c r="L96" i="20"/>
  <c r="L95" i="20"/>
  <c r="L94" i="20"/>
  <c r="L93" i="20"/>
  <c r="G93" i="20"/>
  <c r="M88" i="20"/>
  <c r="K88" i="20"/>
  <c r="J88" i="20"/>
  <c r="H88" i="20"/>
  <c r="I87" i="20"/>
  <c r="L87" i="20" s="1"/>
  <c r="G87" i="20"/>
  <c r="I86" i="20"/>
  <c r="L86" i="20" s="1"/>
  <c r="G86" i="20"/>
  <c r="I85" i="20"/>
  <c r="L85" i="20" s="1"/>
  <c r="G85" i="20"/>
  <c r="I84" i="20"/>
  <c r="L84" i="20" s="1"/>
  <c r="G84" i="20"/>
  <c r="I83" i="20"/>
  <c r="L83" i="20" s="1"/>
  <c r="G83" i="20"/>
  <c r="L82" i="20"/>
  <c r="G82" i="20"/>
  <c r="L81" i="20"/>
  <c r="G81" i="20"/>
  <c r="L80" i="20"/>
  <c r="G80" i="20"/>
  <c r="I79" i="20"/>
  <c r="G79" i="20"/>
  <c r="I70" i="20"/>
  <c r="L51" i="20"/>
  <c r="K51" i="20"/>
  <c r="J51" i="20"/>
  <c r="I51" i="20"/>
  <c r="H51" i="20"/>
  <c r="G51" i="20"/>
  <c r="O36" i="20"/>
  <c r="N36" i="20"/>
  <c r="M36" i="20"/>
  <c r="L36" i="20"/>
  <c r="K36" i="20"/>
  <c r="J36" i="20"/>
  <c r="H36" i="20"/>
  <c r="R24" i="20"/>
  <c r="I24" i="20"/>
  <c r="P24" i="20" s="1"/>
  <c r="G24" i="20"/>
  <c r="R11" i="20"/>
  <c r="I11" i="20"/>
  <c r="P11" i="20" s="1"/>
  <c r="G11" i="20"/>
  <c r="R32" i="20"/>
  <c r="I32" i="20"/>
  <c r="P32" i="20" s="1"/>
  <c r="G32" i="20"/>
  <c r="R27" i="20"/>
  <c r="Q27" i="20"/>
  <c r="I27" i="20"/>
  <c r="P27" i="20" s="1"/>
  <c r="G27" i="20"/>
  <c r="R9" i="20"/>
  <c r="Q9" i="20"/>
  <c r="I9" i="20"/>
  <c r="P9" i="20" s="1"/>
  <c r="G9" i="20"/>
  <c r="R21" i="20"/>
  <c r="Q21" i="20"/>
  <c r="I21" i="20"/>
  <c r="P21" i="20" s="1"/>
  <c r="G21" i="20"/>
  <c r="R30" i="20"/>
  <c r="I30" i="20"/>
  <c r="P30" i="20" s="1"/>
  <c r="G30" i="20"/>
  <c r="R34" i="20"/>
  <c r="Q34" i="20"/>
  <c r="I34" i="20"/>
  <c r="G34" i="20"/>
  <c r="M102" i="19"/>
  <c r="K102" i="19"/>
  <c r="J102" i="19"/>
  <c r="I102" i="19"/>
  <c r="H102" i="19"/>
  <c r="L101" i="19"/>
  <c r="L100" i="19"/>
  <c r="L99" i="19"/>
  <c r="L98" i="19"/>
  <c r="L97" i="19"/>
  <c r="L96" i="19"/>
  <c r="M91" i="19"/>
  <c r="K91" i="19"/>
  <c r="J91" i="19"/>
  <c r="H91" i="19"/>
  <c r="I90" i="19"/>
  <c r="L90" i="19" s="1"/>
  <c r="G90" i="19"/>
  <c r="I89" i="19"/>
  <c r="L89" i="19" s="1"/>
  <c r="G89" i="19"/>
  <c r="I88" i="19"/>
  <c r="L88" i="19" s="1"/>
  <c r="G88" i="19"/>
  <c r="I87" i="19"/>
  <c r="L87" i="19" s="1"/>
  <c r="G87" i="19"/>
  <c r="I86" i="19"/>
  <c r="L86" i="19" s="1"/>
  <c r="G86" i="19"/>
  <c r="I85" i="19"/>
  <c r="L85" i="19" s="1"/>
  <c r="G85" i="19"/>
  <c r="I84" i="19"/>
  <c r="L84" i="19" s="1"/>
  <c r="G84" i="19"/>
  <c r="I83" i="19"/>
  <c r="L83" i="19" s="1"/>
  <c r="G83" i="19"/>
  <c r="L82" i="19"/>
  <c r="G82" i="19"/>
  <c r="I72" i="19"/>
  <c r="K56" i="19"/>
  <c r="J56" i="19"/>
  <c r="H56" i="19"/>
  <c r="L50" i="19"/>
  <c r="K50" i="19"/>
  <c r="J50" i="19"/>
  <c r="I50" i="19"/>
  <c r="H50" i="19"/>
  <c r="G50" i="19"/>
  <c r="O40" i="19"/>
  <c r="N40" i="19"/>
  <c r="M40" i="19"/>
  <c r="L40" i="19"/>
  <c r="K40" i="19"/>
  <c r="J40" i="19"/>
  <c r="H40" i="19"/>
  <c r="R15" i="19"/>
  <c r="I15" i="19"/>
  <c r="P15" i="19" s="1"/>
  <c r="G15" i="19"/>
  <c r="R38" i="19"/>
  <c r="Q38" i="19"/>
  <c r="P38" i="19"/>
  <c r="G38" i="19"/>
  <c r="R14" i="19"/>
  <c r="Q14" i="19"/>
  <c r="I14" i="19"/>
  <c r="P14" i="19" s="1"/>
  <c r="G14" i="19"/>
  <c r="R22" i="19"/>
  <c r="Q22" i="19"/>
  <c r="I22" i="19"/>
  <c r="P22" i="19" s="1"/>
  <c r="G22" i="19"/>
  <c r="R29" i="19"/>
  <c r="I29" i="19"/>
  <c r="P29" i="19" s="1"/>
  <c r="G29" i="19"/>
  <c r="R19" i="19"/>
  <c r="I19" i="19"/>
  <c r="P19" i="19" s="1"/>
  <c r="G19" i="19"/>
  <c r="R13" i="19"/>
  <c r="Q13" i="19"/>
  <c r="I13" i="19"/>
  <c r="P13" i="19" s="1"/>
  <c r="G13" i="19"/>
  <c r="R39" i="19"/>
  <c r="Q39" i="19"/>
  <c r="I39" i="19"/>
  <c r="P39" i="19" s="1"/>
  <c r="G39" i="19"/>
  <c r="M85" i="18"/>
  <c r="K85" i="18"/>
  <c r="J85" i="18"/>
  <c r="I85" i="18"/>
  <c r="H85" i="18"/>
  <c r="L84" i="18"/>
  <c r="L83" i="18"/>
  <c r="L82" i="18"/>
  <c r="L81" i="18"/>
  <c r="L80" i="18"/>
  <c r="L79" i="18"/>
  <c r="G79" i="18"/>
  <c r="M74" i="18"/>
  <c r="K74" i="18"/>
  <c r="J74" i="18"/>
  <c r="H74" i="18"/>
  <c r="I73" i="18"/>
  <c r="L73" i="18" s="1"/>
  <c r="G73" i="18"/>
  <c r="I72" i="18"/>
  <c r="L72" i="18" s="1"/>
  <c r="G72" i="18"/>
  <c r="I71" i="18"/>
  <c r="L71" i="18" s="1"/>
  <c r="G71" i="18"/>
  <c r="I70" i="18"/>
  <c r="L70" i="18" s="1"/>
  <c r="G70" i="18"/>
  <c r="I69" i="18"/>
  <c r="L69" i="18" s="1"/>
  <c r="G69" i="18"/>
  <c r="I68" i="18"/>
  <c r="L68" i="18" s="1"/>
  <c r="G68" i="18"/>
  <c r="I67" i="18"/>
  <c r="L67" i="18" s="1"/>
  <c r="G67" i="18"/>
  <c r="I66" i="18"/>
  <c r="L66" i="18" s="1"/>
  <c r="G66" i="18"/>
  <c r="G65" i="18"/>
  <c r="I58" i="18"/>
  <c r="K54" i="18"/>
  <c r="J54" i="18"/>
  <c r="H54" i="18"/>
  <c r="K53" i="18"/>
  <c r="J53" i="18"/>
  <c r="H53" i="18"/>
  <c r="K52" i="18"/>
  <c r="J52" i="18"/>
  <c r="H52" i="18"/>
  <c r="K51" i="18"/>
  <c r="J51" i="18"/>
  <c r="H51" i="18"/>
  <c r="L45" i="18"/>
  <c r="K45" i="18"/>
  <c r="J45" i="18"/>
  <c r="I45" i="18"/>
  <c r="H45" i="18"/>
  <c r="G45" i="18"/>
  <c r="O35" i="18"/>
  <c r="N35" i="18"/>
  <c r="M35" i="18"/>
  <c r="L35" i="18"/>
  <c r="K35" i="18"/>
  <c r="J35" i="18"/>
  <c r="H35" i="18"/>
  <c r="R23" i="18"/>
  <c r="Q23" i="18"/>
  <c r="I23" i="18"/>
  <c r="P23" i="18" s="1"/>
  <c r="G23" i="18"/>
  <c r="R14" i="18"/>
  <c r="I14" i="18"/>
  <c r="P14" i="18" s="1"/>
  <c r="G14" i="18"/>
  <c r="R22" i="18"/>
  <c r="Q22" i="18"/>
  <c r="I22" i="18"/>
  <c r="P22" i="18" s="1"/>
  <c r="G22" i="18"/>
  <c r="R13" i="18"/>
  <c r="I13" i="18"/>
  <c r="P13" i="18" s="1"/>
  <c r="G13" i="18"/>
  <c r="R28" i="18"/>
  <c r="I28" i="18"/>
  <c r="P28" i="18" s="1"/>
  <c r="G28" i="18"/>
  <c r="R12" i="18"/>
  <c r="Q12" i="18"/>
  <c r="I12" i="18"/>
  <c r="P12" i="18" s="1"/>
  <c r="G12" i="18"/>
  <c r="R17" i="18"/>
  <c r="I17" i="18"/>
  <c r="P17" i="18" s="1"/>
  <c r="G17" i="18"/>
  <c r="R34" i="18"/>
  <c r="Q34" i="18"/>
  <c r="I34" i="18"/>
  <c r="P34" i="18" s="1"/>
  <c r="G34" i="18"/>
  <c r="M129" i="16"/>
  <c r="K129" i="16"/>
  <c r="J129" i="16"/>
  <c r="I129" i="16"/>
  <c r="H129" i="16"/>
  <c r="G123" i="16"/>
  <c r="M118" i="16"/>
  <c r="K118" i="16"/>
  <c r="J118" i="16"/>
  <c r="H118" i="16"/>
  <c r="I117" i="16"/>
  <c r="L117" i="16" s="1"/>
  <c r="G117" i="16"/>
  <c r="I116" i="16"/>
  <c r="L116" i="16" s="1"/>
  <c r="G116" i="16"/>
  <c r="L115" i="16"/>
  <c r="G115" i="16"/>
  <c r="L114" i="16"/>
  <c r="G114" i="16"/>
  <c r="I113" i="16"/>
  <c r="L113" i="16" s="1"/>
  <c r="G113" i="16"/>
  <c r="I112" i="16"/>
  <c r="L112" i="16" s="1"/>
  <c r="G112" i="16"/>
  <c r="L111" i="16"/>
  <c r="G111" i="16"/>
  <c r="I110" i="16"/>
  <c r="L110" i="16" s="1"/>
  <c r="G110" i="16"/>
  <c r="I109" i="16"/>
  <c r="G109" i="16"/>
  <c r="K92" i="16"/>
  <c r="J92" i="16"/>
  <c r="H92" i="16"/>
  <c r="K91" i="16"/>
  <c r="J91" i="16"/>
  <c r="H91" i="16"/>
  <c r="K95" i="16"/>
  <c r="J95" i="16"/>
  <c r="H95" i="16"/>
  <c r="K96" i="16"/>
  <c r="J96" i="16"/>
  <c r="H96" i="16"/>
  <c r="L75" i="16"/>
  <c r="K75" i="16"/>
  <c r="J75" i="16"/>
  <c r="I75" i="16"/>
  <c r="H75" i="16"/>
  <c r="G75" i="16"/>
  <c r="O63" i="16"/>
  <c r="N63" i="16"/>
  <c r="M63" i="16"/>
  <c r="L63" i="16"/>
  <c r="K63" i="16"/>
  <c r="J63" i="16"/>
  <c r="H63" i="16"/>
  <c r="R50" i="16"/>
  <c r="Q50" i="16"/>
  <c r="I50" i="16"/>
  <c r="P50" i="16" s="1"/>
  <c r="G50" i="16"/>
  <c r="R52" i="16"/>
  <c r="Q52" i="16"/>
  <c r="I52" i="16"/>
  <c r="P52" i="16" s="1"/>
  <c r="G52" i="16"/>
  <c r="R27" i="16"/>
  <c r="Q27" i="16"/>
  <c r="I27" i="16"/>
  <c r="P27" i="16" s="1"/>
  <c r="G27" i="16"/>
  <c r="R49" i="16"/>
  <c r="Q49" i="16"/>
  <c r="I49" i="16"/>
  <c r="G49" i="16"/>
  <c r="M105" i="15"/>
  <c r="K105" i="15"/>
  <c r="J105" i="15"/>
  <c r="I105" i="15"/>
  <c r="H105" i="15"/>
  <c r="L104" i="15"/>
  <c r="L103" i="15"/>
  <c r="L102" i="15"/>
  <c r="L101" i="15"/>
  <c r="L100" i="15"/>
  <c r="L99" i="15"/>
  <c r="G99" i="15"/>
  <c r="M94" i="15"/>
  <c r="K94" i="15"/>
  <c r="J94" i="15"/>
  <c r="H94" i="15"/>
  <c r="I93" i="15"/>
  <c r="L93" i="15" s="1"/>
  <c r="G93" i="15"/>
  <c r="I92" i="15"/>
  <c r="L92" i="15" s="1"/>
  <c r="G92" i="15"/>
  <c r="I91" i="15"/>
  <c r="L91" i="15" s="1"/>
  <c r="G91" i="15"/>
  <c r="I90" i="15"/>
  <c r="L90" i="15" s="1"/>
  <c r="G90" i="15"/>
  <c r="I89" i="15"/>
  <c r="L89" i="15" s="1"/>
  <c r="G89" i="15"/>
  <c r="L88" i="15"/>
  <c r="G88" i="15"/>
  <c r="I87" i="15"/>
  <c r="L87" i="15" s="1"/>
  <c r="G87" i="15"/>
  <c r="I86" i="15"/>
  <c r="L86" i="15" s="1"/>
  <c r="G86" i="15"/>
  <c r="G85" i="15"/>
  <c r="I75" i="15"/>
  <c r="K74" i="15"/>
  <c r="J74" i="15"/>
  <c r="H74" i="15"/>
  <c r="K73" i="15"/>
  <c r="J73" i="15"/>
  <c r="H73" i="15"/>
  <c r="K72" i="15"/>
  <c r="J72" i="15"/>
  <c r="H72" i="15"/>
  <c r="K71" i="15"/>
  <c r="J71" i="15"/>
  <c r="H71" i="15"/>
  <c r="L53" i="15"/>
  <c r="K53" i="15"/>
  <c r="J53" i="15"/>
  <c r="I53" i="15"/>
  <c r="H53" i="15"/>
  <c r="G53" i="15"/>
  <c r="O42" i="15"/>
  <c r="N42" i="15"/>
  <c r="M42" i="15"/>
  <c r="L42" i="15"/>
  <c r="K42" i="15"/>
  <c r="J42" i="15"/>
  <c r="H42" i="15"/>
  <c r="R9" i="15"/>
  <c r="Q9" i="15"/>
  <c r="I9" i="15"/>
  <c r="P9" i="15" s="1"/>
  <c r="G9" i="15"/>
  <c r="R22" i="15"/>
  <c r="Q22" i="15"/>
  <c r="I22" i="15"/>
  <c r="P22" i="15" s="1"/>
  <c r="G22" i="15"/>
  <c r="R41" i="15"/>
  <c r="Q41" i="15"/>
  <c r="I41" i="15"/>
  <c r="G41" i="15"/>
  <c r="M111" i="14"/>
  <c r="K111" i="14"/>
  <c r="J111" i="14"/>
  <c r="I111" i="14"/>
  <c r="H111" i="14"/>
  <c r="L110" i="14"/>
  <c r="L109" i="14"/>
  <c r="L108" i="14"/>
  <c r="L107" i="14"/>
  <c r="L106" i="14"/>
  <c r="L105" i="14"/>
  <c r="G105" i="14"/>
  <c r="M100" i="14"/>
  <c r="K100" i="14"/>
  <c r="J100" i="14"/>
  <c r="H100" i="14"/>
  <c r="I99" i="14"/>
  <c r="L99" i="14" s="1"/>
  <c r="G99" i="14"/>
  <c r="I98" i="14"/>
  <c r="L98" i="14" s="1"/>
  <c r="G98" i="14"/>
  <c r="I97" i="14"/>
  <c r="L97" i="14" s="1"/>
  <c r="G97" i="14"/>
  <c r="I96" i="14"/>
  <c r="L96" i="14" s="1"/>
  <c r="G96" i="14"/>
  <c r="I95" i="14"/>
  <c r="L95" i="14" s="1"/>
  <c r="G95" i="14"/>
  <c r="I94" i="14"/>
  <c r="L94" i="14" s="1"/>
  <c r="G94" i="14"/>
  <c r="I93" i="14"/>
  <c r="L93" i="14" s="1"/>
  <c r="G93" i="14"/>
  <c r="I92" i="14"/>
  <c r="L92" i="14" s="1"/>
  <c r="G92" i="14"/>
  <c r="G91" i="14"/>
  <c r="I81" i="14"/>
  <c r="K80" i="14"/>
  <c r="J80" i="14"/>
  <c r="H80" i="14"/>
  <c r="K73" i="14"/>
  <c r="J73" i="14"/>
  <c r="H73" i="14"/>
  <c r="K79" i="14"/>
  <c r="J79" i="14"/>
  <c r="H79" i="14"/>
  <c r="K68" i="14"/>
  <c r="J68" i="14"/>
  <c r="H68" i="14"/>
  <c r="L62" i="14"/>
  <c r="K62" i="14"/>
  <c r="J62" i="14"/>
  <c r="I62" i="14"/>
  <c r="H62" i="14"/>
  <c r="G62" i="14"/>
  <c r="O52" i="14"/>
  <c r="N52" i="14"/>
  <c r="M52" i="14"/>
  <c r="L52" i="14"/>
  <c r="K52" i="14"/>
  <c r="J52" i="14"/>
  <c r="H52" i="14"/>
  <c r="R47" i="14"/>
  <c r="I47" i="14"/>
  <c r="P47" i="14" s="1"/>
  <c r="G47" i="14"/>
  <c r="R31" i="14"/>
  <c r="Q31" i="14"/>
  <c r="I31" i="14"/>
  <c r="P31" i="14" s="1"/>
  <c r="G31" i="14"/>
  <c r="R36" i="14"/>
  <c r="Q36" i="14"/>
  <c r="I36" i="14"/>
  <c r="P36" i="14" s="1"/>
  <c r="G36" i="14"/>
  <c r="R35" i="14"/>
  <c r="Q35" i="14"/>
  <c r="I35" i="14"/>
  <c r="P35" i="14" s="1"/>
  <c r="G35" i="14"/>
  <c r="R9" i="14"/>
  <c r="Q9" i="14"/>
  <c r="I9" i="14"/>
  <c r="P9" i="14" s="1"/>
  <c r="G9" i="14"/>
  <c r="R51" i="14"/>
  <c r="Q51" i="14"/>
  <c r="I51" i="14"/>
  <c r="G51" i="14"/>
  <c r="M96" i="13"/>
  <c r="K96" i="13"/>
  <c r="J96" i="13"/>
  <c r="I96" i="13"/>
  <c r="H96" i="13"/>
  <c r="L95" i="13"/>
  <c r="L94" i="13"/>
  <c r="L93" i="13"/>
  <c r="L92" i="13"/>
  <c r="L91" i="13"/>
  <c r="L90" i="13"/>
  <c r="G90" i="13"/>
  <c r="M86" i="13"/>
  <c r="K86" i="13"/>
  <c r="J86" i="13"/>
  <c r="H86" i="13"/>
  <c r="L84" i="13"/>
  <c r="G84" i="13"/>
  <c r="I83" i="13"/>
  <c r="L83" i="13" s="1"/>
  <c r="G83" i="13"/>
  <c r="I82" i="13"/>
  <c r="L82" i="13" s="1"/>
  <c r="G82" i="13"/>
  <c r="L81" i="13"/>
  <c r="G81" i="13"/>
  <c r="I80" i="13"/>
  <c r="L80" i="13" s="1"/>
  <c r="G80" i="13"/>
  <c r="L79" i="13"/>
  <c r="G79" i="13"/>
  <c r="I78" i="13"/>
  <c r="L78" i="13" s="1"/>
  <c r="G78" i="13"/>
  <c r="I77" i="13"/>
  <c r="L77" i="13" s="1"/>
  <c r="G77" i="13"/>
  <c r="I76" i="13"/>
  <c r="G76" i="13"/>
  <c r="I66" i="13"/>
  <c r="K65" i="13"/>
  <c r="J65" i="13"/>
  <c r="H65" i="13"/>
  <c r="L48" i="13"/>
  <c r="K48" i="13"/>
  <c r="J48" i="13"/>
  <c r="I48" i="13"/>
  <c r="H48" i="13"/>
  <c r="G48" i="13"/>
  <c r="O37" i="13"/>
  <c r="N37" i="13"/>
  <c r="M37" i="13"/>
  <c r="L37" i="13"/>
  <c r="K37" i="13"/>
  <c r="J37" i="13"/>
  <c r="H37" i="13"/>
  <c r="R16" i="13"/>
  <c r="Q16" i="13"/>
  <c r="I16" i="13"/>
  <c r="P16" i="13" s="1"/>
  <c r="G16" i="13"/>
  <c r="R15" i="13"/>
  <c r="Q15" i="13"/>
  <c r="P15" i="13"/>
  <c r="G15" i="13"/>
  <c r="R14" i="13"/>
  <c r="Q14" i="13"/>
  <c r="I14" i="13"/>
  <c r="P14" i="13" s="1"/>
  <c r="G14" i="13"/>
  <c r="R12" i="13"/>
  <c r="Q12" i="13"/>
  <c r="I12" i="13"/>
  <c r="P12" i="13" s="1"/>
  <c r="G12" i="13"/>
  <c r="R36" i="13"/>
  <c r="Q36" i="13"/>
  <c r="I36" i="13"/>
  <c r="P36" i="13" s="1"/>
  <c r="G36" i="13"/>
  <c r="R11" i="13"/>
  <c r="Q11" i="13"/>
  <c r="I11" i="13"/>
  <c r="P11" i="13" s="1"/>
  <c r="G11" i="13"/>
  <c r="R10" i="13"/>
  <c r="Q10" i="13"/>
  <c r="I10" i="13"/>
  <c r="P10" i="13" s="1"/>
  <c r="G10" i="13"/>
  <c r="R9" i="13"/>
  <c r="Q9" i="13"/>
  <c r="I9" i="13"/>
  <c r="P9" i="13" s="1"/>
  <c r="G9" i="13"/>
  <c r="M96" i="12"/>
  <c r="K96" i="12"/>
  <c r="J96" i="12"/>
  <c r="I96" i="12"/>
  <c r="H96" i="12"/>
  <c r="L95" i="12"/>
  <c r="L94" i="12"/>
  <c r="L93" i="12"/>
  <c r="L92" i="12"/>
  <c r="L91" i="12"/>
  <c r="L90" i="12"/>
  <c r="G90" i="12"/>
  <c r="M85" i="12"/>
  <c r="K85" i="12"/>
  <c r="J85" i="12"/>
  <c r="H85" i="12"/>
  <c r="L84" i="12"/>
  <c r="G84" i="12"/>
  <c r="L83" i="12"/>
  <c r="G83" i="12"/>
  <c r="L82" i="12"/>
  <c r="G82" i="12"/>
  <c r="L81" i="12"/>
  <c r="G81" i="12"/>
  <c r="L80" i="12"/>
  <c r="G80" i="12"/>
  <c r="L79" i="12"/>
  <c r="G79" i="12"/>
  <c r="L78" i="12"/>
  <c r="G78" i="12"/>
  <c r="L77" i="12"/>
  <c r="G77" i="12"/>
  <c r="G76" i="12"/>
  <c r="I66" i="12"/>
  <c r="K65" i="12"/>
  <c r="J65" i="12"/>
  <c r="H65" i="12"/>
  <c r="K58" i="12"/>
  <c r="J58" i="12"/>
  <c r="H58" i="12"/>
  <c r="K56" i="12"/>
  <c r="J56" i="12"/>
  <c r="H56" i="12"/>
  <c r="K64" i="12"/>
  <c r="J64" i="12"/>
  <c r="H64" i="12"/>
  <c r="L47" i="12"/>
  <c r="K47" i="12"/>
  <c r="J47" i="12"/>
  <c r="I47" i="12"/>
  <c r="H47" i="12"/>
  <c r="G47" i="12"/>
  <c r="O35" i="12"/>
  <c r="N35" i="12"/>
  <c r="M35" i="12"/>
  <c r="L35" i="12"/>
  <c r="K35" i="12"/>
  <c r="J35" i="12"/>
  <c r="H35" i="12"/>
  <c r="R28" i="12"/>
  <c r="Q28" i="12"/>
  <c r="P28" i="12"/>
  <c r="G28" i="12"/>
  <c r="R27" i="12"/>
  <c r="Q27" i="12"/>
  <c r="I27" i="12"/>
  <c r="P27" i="12" s="1"/>
  <c r="G27" i="12"/>
  <c r="R26" i="12"/>
  <c r="Q26" i="12"/>
  <c r="I26" i="12"/>
  <c r="P26" i="12" s="1"/>
  <c r="G26" i="12"/>
  <c r="R25" i="12"/>
  <c r="Q25" i="12"/>
  <c r="I25" i="12"/>
  <c r="P25" i="12" s="1"/>
  <c r="G25" i="12"/>
  <c r="R24" i="12"/>
  <c r="Q24" i="12"/>
  <c r="I24" i="12"/>
  <c r="P24" i="12" s="1"/>
  <c r="G24" i="12"/>
  <c r="R22" i="12"/>
  <c r="Q22" i="12"/>
  <c r="P22" i="12"/>
  <c r="G22" i="12"/>
  <c r="R10" i="12"/>
  <c r="Q10" i="12"/>
  <c r="I10" i="12"/>
  <c r="P10" i="12" s="1"/>
  <c r="G10" i="12"/>
  <c r="R9" i="12"/>
  <c r="Q9" i="12"/>
  <c r="I9" i="12"/>
  <c r="P9" i="12" s="1"/>
  <c r="G9" i="12"/>
  <c r="M102" i="11"/>
  <c r="K102" i="11"/>
  <c r="J102" i="11"/>
  <c r="I102" i="11"/>
  <c r="H102" i="11"/>
  <c r="L101" i="11"/>
  <c r="L100" i="11"/>
  <c r="L99" i="11"/>
  <c r="L98" i="11"/>
  <c r="L97" i="11"/>
  <c r="G96" i="11"/>
  <c r="M91" i="11"/>
  <c r="K91" i="11"/>
  <c r="J91" i="11"/>
  <c r="H91" i="11"/>
  <c r="I90" i="11"/>
  <c r="L90" i="11" s="1"/>
  <c r="G90" i="11"/>
  <c r="I89" i="11"/>
  <c r="L89" i="11" s="1"/>
  <c r="G89" i="11"/>
  <c r="G88" i="11"/>
  <c r="I87" i="11"/>
  <c r="L87" i="11" s="1"/>
  <c r="G87" i="11"/>
  <c r="I86" i="11"/>
  <c r="L86" i="11" s="1"/>
  <c r="G86" i="11"/>
  <c r="I85" i="11"/>
  <c r="L85" i="11" s="1"/>
  <c r="G85" i="11"/>
  <c r="I84" i="11"/>
  <c r="L84" i="11" s="1"/>
  <c r="G84" i="11"/>
  <c r="I83" i="11"/>
  <c r="L83" i="11" s="1"/>
  <c r="G83" i="11"/>
  <c r="G82" i="11"/>
  <c r="I72" i="11"/>
  <c r="K71" i="11"/>
  <c r="J71" i="11"/>
  <c r="H71" i="11"/>
  <c r="L54" i="11"/>
  <c r="K54" i="11"/>
  <c r="J54" i="11"/>
  <c r="I54" i="11"/>
  <c r="H54" i="11"/>
  <c r="G54" i="11"/>
  <c r="O44" i="11"/>
  <c r="N44" i="11"/>
  <c r="M44" i="11"/>
  <c r="L44" i="11"/>
  <c r="K44" i="11"/>
  <c r="J44" i="11"/>
  <c r="H44" i="11"/>
  <c r="R36" i="11"/>
  <c r="Q36" i="11"/>
  <c r="P36" i="11"/>
  <c r="G36" i="11"/>
  <c r="R16" i="11"/>
  <c r="Q16" i="11"/>
  <c r="I16" i="11"/>
  <c r="G16" i="11"/>
  <c r="N1" i="10"/>
  <c r="K94" i="10" s="1"/>
  <c r="M128" i="10"/>
  <c r="K128" i="10"/>
  <c r="J128" i="10"/>
  <c r="I128" i="10"/>
  <c r="H128" i="10"/>
  <c r="G125" i="10"/>
  <c r="K108" i="10"/>
  <c r="H108" i="10"/>
  <c r="G100" i="10"/>
  <c r="G99" i="10"/>
  <c r="I98" i="10"/>
  <c r="L98" i="10" s="1"/>
  <c r="G98" i="10"/>
  <c r="I88" i="10"/>
  <c r="L55" i="10"/>
  <c r="K55" i="10"/>
  <c r="J55" i="10"/>
  <c r="I55" i="10"/>
  <c r="H55" i="10"/>
  <c r="G55" i="10"/>
  <c r="O42" i="10"/>
  <c r="N42" i="10"/>
  <c r="M42" i="10"/>
  <c r="L42" i="10"/>
  <c r="K42" i="10"/>
  <c r="J42" i="10"/>
  <c r="H42" i="10"/>
  <c r="R10" i="10"/>
  <c r="Q10" i="10"/>
  <c r="P10" i="10"/>
  <c r="G10" i="10"/>
  <c r="R20" i="10"/>
  <c r="Q20" i="10"/>
  <c r="P20" i="10"/>
  <c r="G20" i="10"/>
  <c r="L99" i="2"/>
  <c r="I100" i="2"/>
  <c r="L100" i="2" s="1"/>
  <c r="I101" i="2"/>
  <c r="L101" i="2" s="1"/>
  <c r="I102" i="2"/>
  <c r="L102" i="2" s="1"/>
  <c r="I103" i="2"/>
  <c r="L103" i="2" s="1"/>
  <c r="I104" i="2"/>
  <c r="L104" i="2" s="1"/>
  <c r="I105" i="2"/>
  <c r="L105" i="2" s="1"/>
  <c r="I106" i="2"/>
  <c r="L106" i="2" s="1"/>
  <c r="L107" i="2"/>
  <c r="G106" i="2"/>
  <c r="G107" i="2"/>
  <c r="G101" i="2"/>
  <c r="G102" i="2"/>
  <c r="G103" i="2"/>
  <c r="G104" i="2"/>
  <c r="G105" i="2"/>
  <c r="G100" i="2"/>
  <c r="G113" i="2"/>
  <c r="G18" i="2"/>
  <c r="P18" i="2"/>
  <c r="Q18" i="2"/>
  <c r="R18" i="2"/>
  <c r="G16" i="2"/>
  <c r="P16" i="2"/>
  <c r="Q16" i="2"/>
  <c r="R16" i="2"/>
  <c r="P21" i="2"/>
  <c r="I93" i="2"/>
  <c r="K75" i="2"/>
  <c r="J75" i="2"/>
  <c r="I75" i="2"/>
  <c r="H75" i="2"/>
  <c r="G75" i="2"/>
  <c r="L75" i="2"/>
  <c r="K119" i="2"/>
  <c r="J119" i="2"/>
  <c r="I119" i="2"/>
  <c r="H119" i="2"/>
  <c r="M119" i="2"/>
  <c r="K95" i="2"/>
  <c r="K109" i="2"/>
  <c r="J109" i="2"/>
  <c r="H109" i="2"/>
  <c r="M109" i="2"/>
  <c r="G99" i="2"/>
  <c r="R21" i="2"/>
  <c r="G21" i="2"/>
  <c r="Q21" i="2"/>
  <c r="O58" i="2"/>
  <c r="N58" i="2"/>
  <c r="M58" i="2"/>
  <c r="L58" i="2"/>
  <c r="K58" i="2"/>
  <c r="J58" i="2"/>
  <c r="H87" i="12" l="1"/>
  <c r="B4" i="12"/>
  <c r="B4" i="13"/>
  <c r="J4" i="21"/>
  <c r="J4" i="10"/>
  <c r="J4" i="14"/>
  <c r="B4" i="18"/>
  <c r="J4" i="20"/>
  <c r="B4" i="21"/>
  <c r="J4" i="12"/>
  <c r="J4" i="13"/>
  <c r="J4" i="15"/>
  <c r="B4" i="16"/>
  <c r="J4" i="16"/>
  <c r="J4" i="11"/>
  <c r="L111" i="14"/>
  <c r="J4" i="18"/>
  <c r="B4" i="19"/>
  <c r="J4" i="19"/>
  <c r="I88" i="20"/>
  <c r="M4" i="20" s="1"/>
  <c r="I84" i="21"/>
  <c r="M4" i="21" s="1"/>
  <c r="P42" i="10"/>
  <c r="I108" i="10"/>
  <c r="M4" i="10" s="1"/>
  <c r="L102" i="11"/>
  <c r="B4" i="11"/>
  <c r="I91" i="11"/>
  <c r="M4" i="11" s="1"/>
  <c r="B4" i="20"/>
  <c r="B4" i="10"/>
  <c r="I76" i="2"/>
  <c r="B4" i="14"/>
  <c r="B4" i="15"/>
  <c r="I74" i="18"/>
  <c r="M4" i="18" s="1"/>
  <c r="L95" i="21"/>
  <c r="B4" i="2"/>
  <c r="G18" i="4"/>
  <c r="L18" i="4"/>
  <c r="I44" i="11"/>
  <c r="G4" i="11" s="1"/>
  <c r="I40" i="19"/>
  <c r="G4" i="19" s="1"/>
  <c r="I36" i="20"/>
  <c r="G4" i="20" s="1"/>
  <c r="G4" i="4"/>
  <c r="B25" i="4"/>
  <c r="P16" i="11"/>
  <c r="P44" i="11" s="1"/>
  <c r="I85" i="12"/>
  <c r="M4" i="12" s="1"/>
  <c r="I118" i="16"/>
  <c r="M4" i="16" s="1"/>
  <c r="P34" i="20"/>
  <c r="P36" i="20" s="1"/>
  <c r="L4" i="4"/>
  <c r="G25" i="4"/>
  <c r="L96" i="12"/>
  <c r="L85" i="18"/>
  <c r="L102" i="19"/>
  <c r="B11" i="4"/>
  <c r="L25" i="4"/>
  <c r="I91" i="19"/>
  <c r="M4" i="19" s="1"/>
  <c r="I100" i="14"/>
  <c r="M4" i="14" s="1"/>
  <c r="I94" i="15"/>
  <c r="M4" i="15" s="1"/>
  <c r="I63" i="16"/>
  <c r="G4" i="16" s="1"/>
  <c r="L129" i="16"/>
  <c r="G11" i="4"/>
  <c r="I52" i="14"/>
  <c r="G4" i="14" s="1"/>
  <c r="I42" i="15"/>
  <c r="G4" i="15" s="1"/>
  <c r="P49" i="16"/>
  <c r="P63" i="16" s="1"/>
  <c r="L11" i="4"/>
  <c r="I86" i="13"/>
  <c r="M4" i="13" s="1"/>
  <c r="P51" i="14"/>
  <c r="P52" i="14" s="1"/>
  <c r="P41" i="15"/>
  <c r="L105" i="15"/>
  <c r="P40" i="19"/>
  <c r="L91" i="19"/>
  <c r="L96" i="13"/>
  <c r="L99" i="20"/>
  <c r="P36" i="21"/>
  <c r="L75" i="21"/>
  <c r="L84" i="21" s="1"/>
  <c r="I36" i="21"/>
  <c r="G4" i="21" s="1"/>
  <c r="L79" i="20"/>
  <c r="L88" i="20" s="1"/>
  <c r="L65" i="18"/>
  <c r="L74" i="18" s="1"/>
  <c r="I35" i="18"/>
  <c r="G4" i="18" s="1"/>
  <c r="L109" i="16"/>
  <c r="L118" i="16" s="1"/>
  <c r="L85" i="15"/>
  <c r="L94" i="15" s="1"/>
  <c r="L91" i="14"/>
  <c r="L100" i="14" s="1"/>
  <c r="P37" i="13"/>
  <c r="L76" i="13"/>
  <c r="L86" i="13" s="1"/>
  <c r="I37" i="13"/>
  <c r="P35" i="12"/>
  <c r="L76" i="12"/>
  <c r="L85" i="12" s="1"/>
  <c r="I35" i="12"/>
  <c r="G4" i="12" s="1"/>
  <c r="L82" i="11"/>
  <c r="L91" i="11" s="1"/>
  <c r="L108" i="10"/>
  <c r="I42" i="10"/>
  <c r="G4" i="10" s="1"/>
  <c r="I109" i="2"/>
  <c r="M4" i="2" s="1"/>
  <c r="I58" i="2"/>
  <c r="J4" i="2"/>
  <c r="L119" i="2"/>
  <c r="L109" i="2"/>
  <c r="P58" i="2"/>
  <c r="G4" i="13" l="1"/>
  <c r="P4" i="13" s="1"/>
  <c r="I39" i="13"/>
  <c r="P4" i="21"/>
  <c r="P4" i="10"/>
  <c r="P4" i="18"/>
  <c r="P4" i="16"/>
  <c r="P4" i="11"/>
  <c r="G4" i="2"/>
  <c r="P4" i="2" s="1"/>
  <c r="P4" i="20"/>
  <c r="P4" i="15"/>
  <c r="P4" i="19"/>
  <c r="P4" i="14"/>
  <c r="P4" i="12"/>
  <c r="M62" i="22"/>
  <c r="M140" i="22"/>
  <c r="M78" i="22"/>
  <c r="M99" i="22"/>
  <c r="M212" i="22"/>
  <c r="M173" i="22"/>
  <c r="M159" i="22"/>
  <c r="M228" i="22"/>
</calcChain>
</file>

<file path=xl/sharedStrings.xml><?xml version="1.0" encoding="utf-8"?>
<sst xmlns="http://schemas.openxmlformats.org/spreadsheetml/2006/main" count="3545" uniqueCount="1435">
  <si>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</si>
  <si>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</si>
  <si>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</si>
  <si>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</si>
  <si>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</si>
  <si>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</si>
  <si>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</si>
  <si>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</si>
  <si>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</si>
  <si>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</si>
  <si>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</si>
  <si>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</si>
  <si>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</si>
  <si>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</si>
  <si>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</si>
  <si>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</si>
  <si>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</si>
  <si>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</si>
  <si>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</si>
  <si>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</si>
  <si>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</si>
  <si>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</si>
  <si>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</si>
  <si>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</si>
  <si>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</si>
  <si>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</si>
  <si>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</si>
  <si>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</si>
  <si>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</si>
  <si>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</si>
  <si>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</si>
  <si>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</si>
  <si>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</si>
  <si>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</si>
  <si>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</si>
  <si>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</si>
  <si>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</si>
  <si>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</si>
  <si>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</si>
  <si>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</si>
  <si>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</si>
  <si>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</si>
  <si>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</si>
  <si>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</si>
  <si>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</si>
  <si>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</si>
  <si>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</si>
  <si>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</si>
  <si>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</si>
  <si>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</si>
  <si>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</si>
  <si>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</si>
  <si>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</si>
  <si>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</si>
  <si>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</si>
  <si>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</si>
  <si>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</si>
  <si>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</si>
  <si>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</si>
  <si>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</si>
  <si>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</si>
  <si>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</si>
  <si>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</si>
  <si>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</si>
  <si>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</si>
  <si>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</si>
  <si>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</si>
  <si>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</si>
  <si>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</si>
  <si>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</si>
  <si>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</si>
  <si>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</si>
  <si>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</si>
  <si>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</si>
  <si>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</si>
  <si>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</si>
  <si>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</si>
  <si>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</si>
  <si>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</si>
  <si>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</si>
  <si>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</si>
  <si>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</si>
  <si>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</si>
  <si>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ALKO SRL</t>
  </si>
  <si>
    <t>Mercaderia</t>
  </si>
  <si>
    <t>Combustibe</t>
  </si>
  <si>
    <t>Extracto</t>
  </si>
  <si>
    <t>Otros</t>
  </si>
  <si>
    <t>CENCOSUD S.A.</t>
  </si>
  <si>
    <t>COCA COLA FEMSA DE BS AS SA</t>
  </si>
  <si>
    <t>Alquiler</t>
  </si>
  <si>
    <t>COTO CICSA</t>
  </si>
  <si>
    <t>DEHEZA SAICF E I</t>
  </si>
  <si>
    <t>Telefonia</t>
  </si>
  <si>
    <t>ESTUDIO BOTINDARI</t>
  </si>
  <si>
    <t>GABRIEL GONZALEZ SAGASETA</t>
  </si>
  <si>
    <t>IFM ELECTRONIC  SRL</t>
  </si>
  <si>
    <t>Librería</t>
  </si>
  <si>
    <t>MAKRO SA</t>
  </si>
  <si>
    <t>MEGAH SRL</t>
  </si>
  <si>
    <t>MOLINOS RIO DE LA PLATA SA</t>
  </si>
  <si>
    <t>MR CAVALIERI SA</t>
  </si>
  <si>
    <t>OPER. DE EST. DE SERV. SA</t>
  </si>
  <si>
    <t>PAN AMERICAN ENERGY LLC</t>
  </si>
  <si>
    <t>PEUGEOT CITROEN ARG SA</t>
  </si>
  <si>
    <t>PINTURERIAS PRESTIGIO SA</t>
  </si>
  <si>
    <t>ROLLS Y EMPANADAS SA</t>
  </si>
  <si>
    <t>SUTIL SILVIA EDITH</t>
  </si>
  <si>
    <t>TELECENTRO SA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</si>
  <si>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</si>
  <si>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</si>
  <si>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</si>
  <si>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</si>
  <si>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</si>
  <si>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</si>
  <si>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</si>
  <si>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</si>
  <si>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</si>
  <si>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</si>
  <si>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</si>
  <si>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</si>
  <si>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>AGH S.A</t>
  </si>
  <si>
    <t>AGUA Y SANEAMIENTOS ARG SA</t>
  </si>
  <si>
    <t>AKIAN GRAFICA EDITORA SA</t>
  </si>
  <si>
    <t>ALANAR S.R.L.</t>
  </si>
  <si>
    <t xml:space="preserve">ALEJANDRO DARIO LOPEZ </t>
  </si>
  <si>
    <t>ALEJANDRO MIGUEL DAUBLER</t>
  </si>
  <si>
    <t>ALFABIS SRL.</t>
  </si>
  <si>
    <t xml:space="preserve">ALFREDO DANIEL FERNANDEZ </t>
  </si>
  <si>
    <t xml:space="preserve">ALFREDO OMAR POTENZA SRL </t>
  </si>
  <si>
    <t>ALI HERMANOS SRL</t>
  </si>
  <si>
    <t>ALL FEDERAL SA.</t>
  </si>
  <si>
    <t>ALVARENGA VILLAR LUIS F</t>
  </si>
  <si>
    <t xml:space="preserve">ALVAREZ MARCELINO </t>
  </si>
  <si>
    <t>AMAKOR SA</t>
  </si>
  <si>
    <t>AMX ARG SA</t>
  </si>
  <si>
    <t>ANA MARIA VALDEZ</t>
  </si>
  <si>
    <t>ANAVI S.C.A.</t>
  </si>
  <si>
    <t>ANDES LINEAS AEREAS SA</t>
  </si>
  <si>
    <t>ANTAGGER SRL</t>
  </si>
  <si>
    <t>ANTARES INDUST. ORTOP SA</t>
  </si>
  <si>
    <t>ANTOLFO S.R.L.</t>
  </si>
  <si>
    <t>AQUÍ MERCEDES SRL</t>
  </si>
  <si>
    <t>ARALIMP S.R.L.</t>
  </si>
  <si>
    <t>ARANCIBIA IBACETA CIPRIANO</t>
  </si>
  <si>
    <t>ARENAS MONICA MARIEL</t>
  </si>
  <si>
    <t>AREVALO LORENA ELIZABETH</t>
  </si>
  <si>
    <t xml:space="preserve">ARGENVODA SA </t>
  </si>
  <si>
    <t>ARMAGALLI SA</t>
  </si>
  <si>
    <t>ARMY TECHNOLOGIES S.A.</t>
  </si>
  <si>
    <t>ARREDO</t>
  </si>
  <si>
    <t>ARSA ELECTRICIDAD SRL</t>
  </si>
  <si>
    <t>ARTELEC ARGENTINA SRL</t>
  </si>
  <si>
    <t>ARTES REGIONALES SRL</t>
  </si>
  <si>
    <t>ARUGUETE ENRIQUE JORGE</t>
  </si>
  <si>
    <t>ASAHI MOTORS SA</t>
  </si>
  <si>
    <t>ASIAL SRL</t>
  </si>
  <si>
    <t>ASOC. MUTUAL SANCOR SALUD</t>
  </si>
  <si>
    <t>AUMECON SA</t>
  </si>
  <si>
    <t>AURELIO GUNDIN SA</t>
  </si>
  <si>
    <t>AUTO VENETO S.A.</t>
  </si>
  <si>
    <t>AUTOBIZ SA</t>
  </si>
  <si>
    <t>AUTOMOTORES FIORASI Y CORRADI</t>
  </si>
  <si>
    <t>AUTOP. URBANAS SA</t>
  </si>
  <si>
    <t>AUTOPISTAS DEL SOL SA</t>
  </si>
  <si>
    <t>AUTOSERVICIO DIARCO SA</t>
  </si>
  <si>
    <t>AVANCE-MAG</t>
  </si>
  <si>
    <t>AVILA MARTIN LEONARDO</t>
  </si>
  <si>
    <t>AXION ENERGY ARG SA</t>
  </si>
  <si>
    <t>AYUDA MUT. DEL PERS. DE GENDAR</t>
  </si>
  <si>
    <t>BALANZE S.A.</t>
  </si>
  <si>
    <t>BALE JORGE CARLOS</t>
  </si>
  <si>
    <t>BALLERINI ATILIO Y SOTO RAUL C</t>
  </si>
  <si>
    <t>BANCO ITAU ARG SA</t>
  </si>
  <si>
    <t>BANCO SANTANDER RIO SA</t>
  </si>
  <si>
    <t>BAUMGARTEN GRAFICA ARG SA</t>
  </si>
  <si>
    <t>BEEL SUL S.A.</t>
  </si>
  <si>
    <t>BELGRANO NEUMATICOS S.A.</t>
  </si>
  <si>
    <t>BELLINI HNOS SRL</t>
  </si>
  <si>
    <t>BELLOMO MARIA MERCEDES</t>
  </si>
  <si>
    <t xml:space="preserve">BEN Y BEN </t>
  </si>
  <si>
    <t>BENITEZ ANA MARIA</t>
  </si>
  <si>
    <t>BERGOC CECILIA ANDREA</t>
  </si>
  <si>
    <t>BI POOL S.R.L.</t>
  </si>
  <si>
    <t>BIALA SRL</t>
  </si>
  <si>
    <t>BIAUS SRL</t>
  </si>
  <si>
    <t>BIOMAX INSUMOS MEDICOS</t>
  </si>
  <si>
    <t>BISTRO SA</t>
  </si>
  <si>
    <t xml:space="preserve">BOECHI JUAN </t>
  </si>
  <si>
    <t>BOSAN SA</t>
  </si>
  <si>
    <t>BOTINDARI JUAN IGNACIO</t>
  </si>
  <si>
    <t>BROGAS SA</t>
  </si>
  <si>
    <t>BRUBEN DUDAMERICANA</t>
  </si>
  <si>
    <t>BRUNETTE SRL</t>
  </si>
  <si>
    <t>BSMS SRL</t>
  </si>
  <si>
    <t xml:space="preserve">BULONERA HURLINGHAM </t>
  </si>
  <si>
    <t>BULONERA MATADEROS SRL</t>
  </si>
  <si>
    <t xml:space="preserve">BUSACCA PAOLA EDITH </t>
  </si>
  <si>
    <t>CABALLITO CARS SA</t>
  </si>
  <si>
    <t>CABLEVISION SA</t>
  </si>
  <si>
    <t>CALIBRON SA</t>
  </si>
  <si>
    <t>CAMPOMASI FERNANDO MARTIN TECH-SERVICES</t>
  </si>
  <si>
    <t xml:space="preserve">CANETTI OLINDA </t>
  </si>
  <si>
    <t>CAÑOS Y ACCESORIOS OESTE SA</t>
  </si>
  <si>
    <t>CAPOFLEX SRL</t>
  </si>
  <si>
    <t>CARLOS DANIEL QUIROZ</t>
  </si>
  <si>
    <t>CARLOS LUIS GARCIA GARASSINO</t>
  </si>
  <si>
    <t>CARLOS M MACCIO</t>
  </si>
  <si>
    <t>CARLOS RODOLFO FERNANDEZ</t>
  </si>
  <si>
    <t>CARRIER SRL</t>
  </si>
  <si>
    <t>CASA HUTTON SACEI</t>
  </si>
  <si>
    <t>CASTAÑO AUTOVOX SRL</t>
  </si>
  <si>
    <t>CCYD SRL</t>
  </si>
  <si>
    <t>CEDAT SA</t>
  </si>
  <si>
    <t>CEMENTO FULMINANTE SA</t>
  </si>
  <si>
    <t>CENTRO MEDICO AMENABAR SRL</t>
  </si>
  <si>
    <t>CESAR ALBERTO MIGOYA</t>
  </si>
  <si>
    <t>CEVA-MED SRL</t>
  </si>
  <si>
    <t>CEVICHE PILAR S.A.</t>
  </si>
  <si>
    <t xml:space="preserve">CHICOTE SA </t>
  </si>
  <si>
    <t>CHIRINOS BENITES NALDY PAOLA</t>
  </si>
  <si>
    <t>CIERRES ABROJO &amp; HERRAJES SRL</t>
  </si>
  <si>
    <t>CINFA SRL</t>
  </si>
  <si>
    <t>CINTAS OUTLET SA</t>
  </si>
  <si>
    <t>CITI SHOP</t>
  </si>
  <si>
    <t>CITTADINI CLAUDIA MARCELA</t>
  </si>
  <si>
    <t>CLAUDIO O. GARCIA</t>
  </si>
  <si>
    <t>CLEVERS SRL</t>
  </si>
  <si>
    <t>CLUB ATLETICO TALLERES</t>
  </si>
  <si>
    <t>COHUI SA</t>
  </si>
  <si>
    <t>COLAFRANCESCO RICARDO DANIEL</t>
  </si>
  <si>
    <t>COLTEX SRL</t>
  </si>
  <si>
    <t>COMERCIAL ALPACA SA</t>
  </si>
  <si>
    <t>Comercial e Industrial SRL</t>
  </si>
  <si>
    <t>COMPAÑÍA AMERICANA DE LAPICES S.R.L.</t>
  </si>
  <si>
    <t>COMPUMUNDO</t>
  </si>
  <si>
    <t>CONSORCIO BTOME MITRE 2466</t>
  </si>
  <si>
    <t>CONSTRUC MAR SA</t>
  </si>
  <si>
    <t>CONSTRUCTORA SANTOS SRL</t>
  </si>
  <si>
    <t>CONTE SEBASTIAN Y CONTE MICAELA S.H.</t>
  </si>
  <si>
    <t>CONTERI EDGARDO MARCELO</t>
  </si>
  <si>
    <t>COPPENS SA</t>
  </si>
  <si>
    <t>Copy Max</t>
  </si>
  <si>
    <t>CORE SDI SA</t>
  </si>
  <si>
    <t>CORRALON LAPRIDA S.R.L.</t>
  </si>
  <si>
    <t>CORREO ARGENTINO</t>
  </si>
  <si>
    <t>CPDD SRL</t>
  </si>
  <si>
    <t>CRYSLAN SA</t>
  </si>
  <si>
    <t>CSKY S.A</t>
  </si>
  <si>
    <t>CUELLAR OMAR EDGARDO</t>
  </si>
  <si>
    <t>CUEROSUR</t>
  </si>
  <si>
    <t>D ACCORD SA</t>
  </si>
  <si>
    <t>DALAMY S.A</t>
  </si>
  <si>
    <t>D'AMICO OSVALDO DANIEL</t>
  </si>
  <si>
    <t>DANDY GRILL</t>
  </si>
  <si>
    <t>DANIEL ENRIQUE GOMEZ</t>
  </si>
  <si>
    <t>DARC LIBERTADOR SA</t>
  </si>
  <si>
    <t>DATARIGHT TECNO INF. SA.</t>
  </si>
  <si>
    <t>DATAYCOM</t>
  </si>
  <si>
    <t>DE LA CRUZ MARIANA ANDREA</t>
  </si>
  <si>
    <t xml:space="preserve">DE LAS MISIONES SA </t>
  </si>
  <si>
    <t>DE MARCHI HNOS SA</t>
  </si>
  <si>
    <t>DECASUL SRL</t>
  </si>
  <si>
    <t xml:space="preserve">DECHANZI </t>
  </si>
  <si>
    <t>DEL DIESTRO MARIA PATRICIA</t>
  </si>
  <si>
    <t>DEPETRIS  VILLALBA GABRIEL</t>
  </si>
  <si>
    <t>DEVOTO STATION SA</t>
  </si>
  <si>
    <t xml:space="preserve">DI FEO HUGO PASCUAL </t>
  </si>
  <si>
    <t>DIA ARGENTINA S.A.</t>
  </si>
  <si>
    <t>DIEGO MARTIN RIOS - REHAB</t>
  </si>
  <si>
    <t xml:space="preserve">DIESEL SAN MIGUEL </t>
  </si>
  <si>
    <t>DIETRICH DIEGO RICARDO</t>
  </si>
  <si>
    <t>DILLON MARIANO JOSE</t>
  </si>
  <si>
    <t>DINATECNICA</t>
  </si>
  <si>
    <t>DISAPLA S.A.</t>
  </si>
  <si>
    <t>DISEÑOS JERY SRL</t>
  </si>
  <si>
    <t>DISTRIBUIDORA CIRYBAR</t>
  </si>
  <si>
    <t>DISTRIBUIDORA LISBOA</t>
  </si>
  <si>
    <t>DISTRIBUIDORA PLACASUR SA.</t>
  </si>
  <si>
    <t>DISTRIBUIDORA PSM SRL</t>
  </si>
  <si>
    <t>DOBARRO PAULA MARCELA</t>
  </si>
  <si>
    <t xml:space="preserve">DOBE CECILIA LEONOR </t>
  </si>
  <si>
    <t>DRABBLE LESLIE BENJAMIN</t>
  </si>
  <si>
    <t>DREAM SHOP</t>
  </si>
  <si>
    <t>DROGUERIA MARTORANI SA.</t>
  </si>
  <si>
    <t>DUHAU ALBA NOEMI</t>
  </si>
  <si>
    <t>DULCE ESTILO S.A.</t>
  </si>
  <si>
    <t>DURWORKS SRL</t>
  </si>
  <si>
    <t>EDENOR</t>
  </si>
  <si>
    <t>EDESUR</t>
  </si>
  <si>
    <t>EDUARDO TRAJTERMAN</t>
  </si>
  <si>
    <t>EL CRUCE S.A.</t>
  </si>
  <si>
    <t>El Surco Cia de Seguros</t>
  </si>
  <si>
    <t>ELECTROMEC. CONELEC SA</t>
  </si>
  <si>
    <t>ELECTRONICA MEGATONE SA</t>
  </si>
  <si>
    <t xml:space="preserve">ELECTROSHOWS </t>
  </si>
  <si>
    <t>ELI-MET S.R.L.</t>
  </si>
  <si>
    <t>EMPRENDIMIENTOS SATELITALES SA</t>
  </si>
  <si>
    <t>ENCINAS de GUILLERMO FAB</t>
  </si>
  <si>
    <t>ENRIQUE BERDASCO Y CIA SRL</t>
  </si>
  <si>
    <t>ENVADEC SRL</t>
  </si>
  <si>
    <t>EPSON ARGENTINA SRL</t>
  </si>
  <si>
    <t>EREVAN UNIFORMES</t>
  </si>
  <si>
    <t xml:space="preserve">ERGOTEC </t>
  </si>
  <si>
    <t>ERPA SACIF</t>
  </si>
  <si>
    <t>ESCORIAL SAI Y C</t>
  </si>
  <si>
    <t>ESPAÑA ALEJANDRO JORGE</t>
  </si>
  <si>
    <t xml:space="preserve">ESPASA EXCLUSIVOS </t>
  </si>
  <si>
    <t xml:space="preserve">ESPINOSA CANDIOTA </t>
  </si>
  <si>
    <t>ESPOSITO BEATRIZ ROSA</t>
  </si>
  <si>
    <t>EST. METALURGICO PSM S.R.L</t>
  </si>
  <si>
    <t>ESTEBAN URRESTI</t>
  </si>
  <si>
    <t>ETXEAN SALUD S.A.</t>
  </si>
  <si>
    <t>EUROFULL SRL</t>
  </si>
  <si>
    <t>EXPRESO MAR DEL PLATA S.A.</t>
  </si>
  <si>
    <t xml:space="preserve">F BRIONES SRL </t>
  </si>
  <si>
    <t>FABIAN Y JORGE RODRIGUEZ VIAU</t>
  </si>
  <si>
    <t>FABORT SRL.</t>
  </si>
  <si>
    <t>FAGAS SA</t>
  </si>
  <si>
    <t>FALABELLA S.A.</t>
  </si>
  <si>
    <t>FAVICUR ICSA</t>
  </si>
  <si>
    <t>FEDERAC. PATRONAL SEG. SA</t>
  </si>
  <si>
    <t>SEGURO</t>
  </si>
  <si>
    <t>FEDERICO BOTINDARI</t>
  </si>
  <si>
    <t>FERNANDEZ PATRICIO</t>
  </si>
  <si>
    <t>FERRE MARIANO Y CASTRO ROB. SH</t>
  </si>
  <si>
    <t>FERREIRO ADRIAN DANIEL</t>
  </si>
  <si>
    <t>FERREIRO OSCAR Y VILLAROEL SH</t>
  </si>
  <si>
    <t>FERRETERIA INDUS SRL</t>
  </si>
  <si>
    <t xml:space="preserve">FERRETERIA JC </t>
  </si>
  <si>
    <t>FERREVIS SA</t>
  </si>
  <si>
    <t>FERRT.INDUS.ONCE SRL</t>
  </si>
  <si>
    <t>FERRUM SA</t>
  </si>
  <si>
    <t>FHAVILL SA</t>
  </si>
  <si>
    <t>FIORI HECTOR</t>
  </si>
  <si>
    <t>FISCHER ARGENTINA SA</t>
  </si>
  <si>
    <t>FORMATO GRAFICO SRL</t>
  </si>
  <si>
    <t>FOTOQUALITY</t>
  </si>
  <si>
    <t>FOUR WAY LOGISTICS S.R.L.</t>
  </si>
  <si>
    <t xml:space="preserve">FRANCIS GAS </t>
  </si>
  <si>
    <t>FRANSI SA</t>
  </si>
  <si>
    <t>FRAVEGA</t>
  </si>
  <si>
    <t>FULL BENEFITS S.A.</t>
  </si>
  <si>
    <t>FUNDAC EMPRESARIA MADERERA</t>
  </si>
  <si>
    <t>FUNDICION DELTA SRL</t>
  </si>
  <si>
    <t>FV SA</t>
  </si>
  <si>
    <t>GAED S.H.</t>
  </si>
  <si>
    <t>GALANDER SA</t>
  </si>
  <si>
    <t>GALUX</t>
  </si>
  <si>
    <t>GAM SRL</t>
  </si>
  <si>
    <t>GAREGNANI EDGARDO CLAUDIO</t>
  </si>
  <si>
    <t>GATA S.A</t>
  </si>
  <si>
    <t>GEDDIGITAL GROUP SRL</t>
  </si>
  <si>
    <t>GELFORM SRL</t>
  </si>
  <si>
    <t>GELSI LUCIANO</t>
  </si>
  <si>
    <t>GENDARMERIA NACIONAL ARG</t>
  </si>
  <si>
    <t>GEORGINA SALAZAR</t>
  </si>
  <si>
    <t>GITMED INSUMOS MEDICOS</t>
  </si>
  <si>
    <t>GLACYTER SRL</t>
  </si>
  <si>
    <t>GLOBAL AGH S.A.</t>
  </si>
  <si>
    <t xml:space="preserve">GONZALEZ GIORDANO MIQUEAS </t>
  </si>
  <si>
    <t>GOTZL NICOLAS</t>
  </si>
  <si>
    <t>GPLAYERS SRL</t>
  </si>
  <si>
    <t>Grafika Producciones SRL</t>
  </si>
  <si>
    <t>GRAMTOR S.A</t>
  </si>
  <si>
    <t>GRASSO ERNESTO CARLOS</t>
  </si>
  <si>
    <t>GRAVENT SA</t>
  </si>
  <si>
    <t>GREEN GARDEN MARKET S.A.</t>
  </si>
  <si>
    <t>GREEN GARDEN MARKET SA</t>
  </si>
  <si>
    <t>GRIFERIAS COBRA SRL</t>
  </si>
  <si>
    <t>GRUPO CONCES. DEL OESTE SA</t>
  </si>
  <si>
    <t>GRUPO MAXIMUS S.R.L.</t>
  </si>
  <si>
    <t>GS GASTROSHOP SA</t>
  </si>
  <si>
    <t>GUIA PONCIANO YORDY</t>
  </si>
  <si>
    <t>GUILLERMO DIETRICH SA.</t>
  </si>
  <si>
    <t xml:space="preserve">GUITELO SRL </t>
  </si>
  <si>
    <t>GULLO JUAN PABLO</t>
  </si>
  <si>
    <t>GUTIERREZ JORGE LUIS</t>
  </si>
  <si>
    <t>GUZMAN CARLOS ALBERTO</t>
  </si>
  <si>
    <t>HANDORF JOSE IGNACIO</t>
  </si>
  <si>
    <t>HAPPENING</t>
  </si>
  <si>
    <t>HERME. MIGUEL SAGREDO SRL</t>
  </si>
  <si>
    <t>HERNAN BERNEY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</si>
  <si>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</si>
  <si>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</si>
  <si>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</si>
  <si>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</si>
  <si>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</si>
  <si>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</si>
  <si>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</si>
  <si>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</si>
  <si>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</si>
  <si>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</si>
  <si>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>HIPERPLASTICOS COLOMBRARO</t>
  </si>
  <si>
    <t>HOSPIMED SA</t>
  </si>
  <si>
    <t>HTS AR SA</t>
  </si>
  <si>
    <t>HUAMAN REYES WILLIAMS ALEX</t>
  </si>
  <si>
    <t>HUMMENE TEXTIL S.A.</t>
  </si>
  <si>
    <t>HURLINGAS S.RL.</t>
  </si>
  <si>
    <t>IASSA SEGURIDAD</t>
  </si>
  <si>
    <t>IDAN SRL</t>
  </si>
  <si>
    <t>IMPONET S.A.</t>
  </si>
  <si>
    <t>INCLUSUD</t>
  </si>
  <si>
    <t>INDAVER MIGUEL ANGEL</t>
  </si>
  <si>
    <t>INDEFLEX SA</t>
  </si>
  <si>
    <t>INDUSTRIAL CONTROLES SRL</t>
  </si>
  <si>
    <t>INDUSTRIAS JQ S.A</t>
  </si>
  <si>
    <t>INDUSTRIAS MARTIN S.A.</t>
  </si>
  <si>
    <t>INOXIDABLES DEL SUR SA</t>
  </si>
  <si>
    <t>INSGHT GROUP SA.</t>
  </si>
  <si>
    <t>INSUMOS PLASTICOS SA</t>
  </si>
  <si>
    <t xml:space="preserve">INTEGRI SRL </t>
  </si>
  <si>
    <t>INV. MINORISTA SA</t>
  </si>
  <si>
    <t xml:space="preserve">IRAOLA Y CIA SA </t>
  </si>
  <si>
    <t>IRIME SRL</t>
  </si>
  <si>
    <t>ITALSUR S.A.</t>
  </si>
  <si>
    <t xml:space="preserve">ITAR AMOBLAMIENTOS SRL </t>
  </si>
  <si>
    <t>JANET W SA</t>
  </si>
  <si>
    <t>JAXTIL SOCIEDAD ANONIMA</t>
  </si>
  <si>
    <t>JBRUSCO</t>
  </si>
  <si>
    <t xml:space="preserve">JEFFERSON SUDAMERICANA SA </t>
  </si>
  <si>
    <t>JOEL GOMEZ BENITEZ</t>
  </si>
  <si>
    <t>JUAN B JUSTO 1333</t>
  </si>
  <si>
    <t>JUAN CARLOS AVALOS GRNACE</t>
  </si>
  <si>
    <t>JUAN D NAVARRO</t>
  </si>
  <si>
    <t>JUAN MARTIN ALVAREZ</t>
  </si>
  <si>
    <t>JUAN PABLO ALONSO ABOGADO</t>
  </si>
  <si>
    <t>KALFAIAN HNOS. SRL</t>
  </si>
  <si>
    <t>KAMAY SRL</t>
  </si>
  <si>
    <t>KAMNIK SRL</t>
  </si>
  <si>
    <t>KAVCIC SRL</t>
  </si>
  <si>
    <t>KEVORK TOUFENEDJIAN SA</t>
  </si>
  <si>
    <t>KLEM JOSE ALFREDO</t>
  </si>
  <si>
    <t>KNBA SRL</t>
  </si>
  <si>
    <t>KOMALIA SA</t>
  </si>
  <si>
    <t>LA CAMIONERA MENDOCINA SRL</t>
  </si>
  <si>
    <t>LA INDUSTRIAL ELECT. SA</t>
  </si>
  <si>
    <t>LA MERIDIONAL SEG. SA</t>
  </si>
  <si>
    <t xml:space="preserve">LAFONT SRL </t>
  </si>
  <si>
    <t>LANDRO RICARDO</t>
  </si>
  <si>
    <t>LARAIGNEE CARLOS HORACIO</t>
  </si>
  <si>
    <t>LASALVIA CARO MARIA BELEN</t>
  </si>
  <si>
    <t xml:space="preserve">LATIN GRAFICA SRL </t>
  </si>
  <si>
    <t>LAVEZZARI CARLOS ALBERTO</t>
  </si>
  <si>
    <t>LD DISTRIBUIDORA LARREA</t>
  </si>
  <si>
    <t>LE POSET SRL</t>
  </si>
  <si>
    <t>LEDSCENE S.A</t>
  </si>
  <si>
    <t>LEONARDO ALBERTO COLONESE</t>
  </si>
  <si>
    <t>LEONARDO TILL</t>
  </si>
  <si>
    <t>LEONIAN JIMENA</t>
  </si>
  <si>
    <t>LESEDIFE SA</t>
  </si>
  <si>
    <t xml:space="preserve">LIBERTECH SRL </t>
  </si>
  <si>
    <t>LIBRERÍA DEL ONCE</t>
  </si>
  <si>
    <t>LIBRERÍA LOS PIBES</t>
  </si>
  <si>
    <t>LIBRERÍA PELUFFO SRL</t>
  </si>
  <si>
    <t>LIS GABRIEL HERNAN</t>
  </si>
  <si>
    <t>LISNIZER ISABEL JULIANA RUTH</t>
  </si>
  <si>
    <t xml:space="preserve">LIZA GOLD SA </t>
  </si>
  <si>
    <t>LNG OLIVIERI SA</t>
  </si>
  <si>
    <t>LOFI ON LINE</t>
  </si>
  <si>
    <t>LONCO HUE S.A</t>
  </si>
  <si>
    <t>LONGIVE SA</t>
  </si>
  <si>
    <t>LOPEZ ANGELA ROMINA</t>
  </si>
  <si>
    <t>LOPEZ JUAN MANUEL</t>
  </si>
  <si>
    <t>LUIS LUCANA YANCCE</t>
  </si>
  <si>
    <t>LUPO GUSTAVO ARTURO</t>
  </si>
  <si>
    <t xml:space="preserve">LUWAI SA </t>
  </si>
  <si>
    <t>MACROPLAST SA</t>
  </si>
  <si>
    <t>MALECKI OSCAR ANDRES</t>
  </si>
  <si>
    <t>MARCELO A. MUSMANNO</t>
  </si>
  <si>
    <t>MARCELO MMENAHEM</t>
  </si>
  <si>
    <t>MARIA ESPERANZA CORVALAN</t>
  </si>
  <si>
    <t>MARIA NATALIA OLIVERI</t>
  </si>
  <si>
    <t>MARIÑO GERMAN</t>
  </si>
  <si>
    <t>MARIO JUAN SZWARC</t>
  </si>
  <si>
    <t>MARIPEL S.A.</t>
  </si>
  <si>
    <t>MARKETCAR</t>
  </si>
  <si>
    <t xml:space="preserve">MARTIN CAVA </t>
  </si>
  <si>
    <t>MARTINO CARLOS ALBERTO</t>
  </si>
  <si>
    <t>MAYCAR S.A</t>
  </si>
  <si>
    <t>MB Papeles SRL</t>
  </si>
  <si>
    <t>MBP PROVEEDORES INDUSTRIALES</t>
  </si>
  <si>
    <t>MD CARGAS</t>
  </si>
  <si>
    <t>MECCA HECTOR DOMINGO</t>
  </si>
  <si>
    <t>MEDICAL CARE SOLUTIONS SRL</t>
  </si>
  <si>
    <t>MEDICAL FOAM SRL</t>
  </si>
  <si>
    <t>MEDICUS S.A DE ASIST. MEDICA</t>
  </si>
  <si>
    <t xml:space="preserve">MEDINA JULIO RAMON </t>
  </si>
  <si>
    <t>MEFALE S.A.</t>
  </si>
  <si>
    <t>MEGAPOL SUCESION DE PUPPIO J H</t>
  </si>
  <si>
    <t>MELERWI SA</t>
  </si>
  <si>
    <t>MELI LOG S.R.L.</t>
  </si>
  <si>
    <t>MELICASLAT SRL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</si>
  <si>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</si>
  <si>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</si>
  <si>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</si>
  <si>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</si>
  <si>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</si>
  <si>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MERMACO SA</t>
  </si>
  <si>
    <t>METALFORJA SRL</t>
  </si>
  <si>
    <t>METALURGICA ANTONINI SA</t>
  </si>
  <si>
    <t>MGR IMPLANTES S.A</t>
  </si>
  <si>
    <t>MIATECH</t>
  </si>
  <si>
    <t>MIGUEL CARLOS ACOSTA</t>
  </si>
  <si>
    <t>MIGUEL TOMA SACI</t>
  </si>
  <si>
    <t>MIRTA SUSANA AMERELLI</t>
  </si>
  <si>
    <t>MIRVAR SA</t>
  </si>
  <si>
    <t xml:space="preserve">MMSAL SRL. </t>
  </si>
  <si>
    <t xml:space="preserve">MOAVRO MIGUEL FELIX ANTONIO </t>
  </si>
  <si>
    <t xml:space="preserve">MOLINA PABLO LEANDRO </t>
  </si>
  <si>
    <t>MOLINO MARIONA GASTON</t>
  </si>
  <si>
    <t>MONTENEGRO LUCIO FANDOR</t>
  </si>
  <si>
    <t xml:space="preserve">MORON GOMA A </t>
  </si>
  <si>
    <t>MOTORVILLE SA</t>
  </si>
  <si>
    <t>MR ALTER CORPORATION SRL</t>
  </si>
  <si>
    <t>MULTI RADIO S.A</t>
  </si>
  <si>
    <t>NAFPUR SA</t>
  </si>
  <si>
    <t>NAFPUR XXI SA</t>
  </si>
  <si>
    <t>NAKA FLORENCIA</t>
  </si>
  <si>
    <t>NARBAL SA</t>
  </si>
  <si>
    <t xml:space="preserve">NASCA GUSTAVO JORGE </t>
  </si>
  <si>
    <t>NATIONAL SERVICE ARGENTINA SA</t>
  </si>
  <si>
    <t>NELIDA B. TAUMEHIMER</t>
  </si>
  <si>
    <t>NEPLASTIC SRL</t>
  </si>
  <si>
    <t>NESTLE ARG S.A</t>
  </si>
  <si>
    <t>NESTOR LUIS VINAGRE</t>
  </si>
  <si>
    <t>NEUMATICOS PILAR SRL</t>
  </si>
  <si>
    <t xml:space="preserve">NICOLAS ARMANDO CENTURION </t>
  </si>
  <si>
    <t>NICOLAS LUCERO - CLINICA DISEÑO</t>
  </si>
  <si>
    <t>NOLAZCO EDUARDO ARTURO</t>
  </si>
  <si>
    <t>NORBERTO HARDOCK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</si>
  <si>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</si>
  <si>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</si>
  <si>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</si>
  <si>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</si>
  <si>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</si>
  <si>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</si>
  <si>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</si>
  <si>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NSS SA</t>
  </si>
  <si>
    <t>NUEVA ABASTECEDORA GRAF. S.A</t>
  </si>
  <si>
    <t>NUEVA CHEVALLIER SA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</si>
  <si>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</si>
  <si>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</si>
  <si>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</si>
  <si>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</si>
  <si>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</si>
  <si>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</si>
  <si>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OBRA SOCIAL DE DOCENTES PARTICULARES</t>
  </si>
  <si>
    <t>OBRA SOCIAL SUPERCO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</si>
  <si>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</si>
  <si>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</si>
  <si>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</si>
  <si>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</si>
  <si>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</si>
  <si>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</si>
  <si>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OLGA REBRYK</t>
  </si>
  <si>
    <t>OLIVARES HNOS SA</t>
  </si>
  <si>
    <t>OMINT ART SA</t>
  </si>
  <si>
    <t>OMINT SA</t>
  </si>
  <si>
    <t>ONS SRL</t>
  </si>
  <si>
    <t>ORBIS MERTIG SAIC</t>
  </si>
  <si>
    <t>ORG COORDINADORA ARG SRL</t>
  </si>
  <si>
    <t>ORIGEN BEBE S.A.</t>
  </si>
  <si>
    <t>ORTOPEDIA GULLONE SRL</t>
  </si>
  <si>
    <t>ORTOPEDICOS ALFOLATEX S.A</t>
  </si>
  <si>
    <t>ORTOPEDICOS SAN ANDRES SRL</t>
  </si>
  <si>
    <t>OSPADEP</t>
  </si>
  <si>
    <t xml:space="preserve">OTERO NORTE SRL </t>
  </si>
  <si>
    <t>OTTO BOCK ARG. S.A</t>
  </si>
  <si>
    <t>OUTLANDISH SRL</t>
  </si>
  <si>
    <t>OYOLI SA</t>
  </si>
  <si>
    <t>PABLO DANIEL SPADAVACCHIA</t>
  </si>
  <si>
    <t>PAESANO CARLOS CHAVEZ RUBEN SH</t>
  </si>
  <si>
    <t>PAPELERA BERTOLIN</t>
  </si>
  <si>
    <t>PAPELERA RAUL JUAN CORA SA</t>
  </si>
  <si>
    <t>PAPELES EUROPEOS SA</t>
  </si>
  <si>
    <t>PAR  KE GOM SA</t>
  </si>
  <si>
    <t>PARABRISAS BARRANCAS DE BELGRANO S.A.</t>
  </si>
  <si>
    <t xml:space="preserve">PARLAPIANO BIBIANA SANDRA </t>
  </si>
  <si>
    <t>PARSON DE ARGENTINA</t>
  </si>
  <si>
    <t>PASSINI CLAUDIA RUTH</t>
  </si>
  <si>
    <t>PATAGONIA STONE S.A</t>
  </si>
  <si>
    <t>PELUSO DANIELA ANGELICA</t>
  </si>
  <si>
    <t>PENSO CLAUDIO</t>
  </si>
  <si>
    <t>PERILLI ALEJANDRO ADRIAN</t>
  </si>
  <si>
    <t xml:space="preserve">PETIT CABILDO </t>
  </si>
  <si>
    <t>PETLIFE S.A.</t>
  </si>
  <si>
    <t>PIETRUSZKA ALBERTO</t>
  </si>
  <si>
    <t>PILKINGTON AUTOMOTIVE SA</t>
  </si>
  <si>
    <t xml:space="preserve">PINDELEC SA </t>
  </si>
  <si>
    <t>PINTO LEONEL EMILIANO</t>
  </si>
  <si>
    <t>PINTURERIAS SAGITARIO SA</t>
  </si>
  <si>
    <t>POBERAJ SA</t>
  </si>
  <si>
    <t>POLISKY DANIEL HERNAN</t>
  </si>
  <si>
    <t>POLYFILM SRL</t>
  </si>
  <si>
    <t>PORTA GUSTAVO Y PORTA M. SH</t>
  </si>
  <si>
    <t>PORTAL SACI</t>
  </si>
  <si>
    <t>POTENZA ALEJANDRA CRISTINA</t>
  </si>
  <si>
    <t>PRENTEX</t>
  </si>
  <si>
    <t>PRETE ROSSO SA</t>
  </si>
  <si>
    <t>PRINCIPE SRL.</t>
  </si>
  <si>
    <t>PRIND-CO SRL</t>
  </si>
  <si>
    <t>PRO. CA. TA. SRL.</t>
  </si>
  <si>
    <t>PROSMARTS S.R.L.</t>
  </si>
  <si>
    <t>PROVEFRIO SRL</t>
  </si>
  <si>
    <t>PROYECCION PUBLICIDAD SRL</t>
  </si>
  <si>
    <t xml:space="preserve">PYFER SA </t>
  </si>
  <si>
    <t>QUAGLIA EDIT LUJAN</t>
  </si>
  <si>
    <t>QUIMICA OESTE S.A.</t>
  </si>
  <si>
    <t>RABE CRISTIAN ALEJANDRO C</t>
  </si>
  <si>
    <t>RADRIZZANI GABRIELA ALEJANDRA</t>
  </si>
  <si>
    <t>RAFAEL KURZROK</t>
  </si>
  <si>
    <t>RAKE SA</t>
  </si>
  <si>
    <t>RALDUA SILVIA CECILIA</t>
  </si>
  <si>
    <t>RAMIREZEI SRL</t>
  </si>
  <si>
    <t>MUEBLES Y UTILES</t>
  </si>
  <si>
    <t>RANDOM SISTEM SRL.</t>
  </si>
  <si>
    <t xml:space="preserve">RAPOSO GERARDO ANSELMO </t>
  </si>
  <si>
    <t>RC RADIOLOGIA CASTELAR SRL</t>
  </si>
  <si>
    <t>RED DE COBRANZAS SA</t>
  </si>
  <si>
    <t>RED DE RECEPTORIAS S.A.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</si>
  <si>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</si>
  <si>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</si>
  <si>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</si>
  <si>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</si>
  <si>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</si>
  <si>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</si>
  <si>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 xml:space="preserve">RENZ ARGENTINA </t>
  </si>
  <si>
    <t>REPUESTOS ABC</t>
  </si>
  <si>
    <t>RH SH BAZZANO RICARDO Y RAMOS</t>
  </si>
  <si>
    <t>RHEEM SA</t>
  </si>
  <si>
    <t>RIBEIRO S.A.C.I.F.A.</t>
  </si>
  <si>
    <t>RICARDO A.G. DOLDAN ARISTIZABAL</t>
  </si>
  <si>
    <t xml:space="preserve">RICHITTO SA </t>
  </si>
  <si>
    <t>RIDIGAS SRL</t>
  </si>
  <si>
    <t>RINGO BS AS S.A.</t>
  </si>
  <si>
    <t xml:space="preserve">RIOS RUBEN ALBERTO 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</si>
  <si>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</si>
  <si>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</si>
  <si>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</si>
  <si>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</si>
  <si>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</si>
  <si>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</si>
  <si>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</si>
  <si>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</si>
  <si>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RODOLFO O MEYER</t>
  </si>
  <si>
    <t>RODRIGUEZ JOSE LUIS Y RAFAEL</t>
  </si>
  <si>
    <t>ROGER  WILCO S.R.L.</t>
  </si>
  <si>
    <t>ROLANDO IVAN LEONEL</t>
  </si>
  <si>
    <t>ROLON LUIS ALBERTO</t>
  </si>
  <si>
    <t>ROMAN CARLOS ANTONIO</t>
  </si>
  <si>
    <t>ROMAN Y TERPIN SH</t>
  </si>
  <si>
    <t>ROSSO SUSANA BEATRIZ</t>
  </si>
  <si>
    <t>ROWA SA</t>
  </si>
  <si>
    <t>RUSSO ANALIA Y RUSSO PABLO SH</t>
  </si>
  <si>
    <t>RYDEX SA</t>
  </si>
  <si>
    <t>S.A. IMP. Y EXPO.  PATAGONIA</t>
  </si>
  <si>
    <t>SACHECO SA</t>
  </si>
  <si>
    <t>SAFE ESTABLECIMIENTO GRAF</t>
  </si>
  <si>
    <t xml:space="preserve">SAINT-GOBAIN </t>
  </si>
  <si>
    <t>SALOMON MARIA ELENA</t>
  </si>
  <si>
    <t>SALPARK SRL</t>
  </si>
  <si>
    <t>SALUD TEX S.A</t>
  </si>
  <si>
    <t xml:space="preserve">SANCHEZ GAMARRA CANDIDA </t>
  </si>
  <si>
    <t>SARJUR SA</t>
  </si>
  <si>
    <t>SAUBIETTE ANDREA KARINA</t>
  </si>
  <si>
    <t>SCIS SA.</t>
  </si>
  <si>
    <t>SEMICONDUC. Y COMPON. SRL</t>
  </si>
  <si>
    <t>SEMM ACOMPAÑANTES DE SALUD SA</t>
  </si>
  <si>
    <t>SENDECO</t>
  </si>
  <si>
    <t>SERGIO TREPAT AUTOMOVILES S.A.</t>
  </si>
  <si>
    <t>SERV. SALUD MENTAL SRL</t>
  </si>
  <si>
    <t>SERVICIO MEDICO PREVISIONAL</t>
  </si>
  <si>
    <t>SHELL SA</t>
  </si>
  <si>
    <t>SHOWPEL SRL</t>
  </si>
  <si>
    <t>SIEBEN LUCRECIA SUSANA</t>
  </si>
  <si>
    <t>SILMAR BAZAR</t>
  </si>
  <si>
    <t>SILVA VILLANUEVA MARIO ALEJAN</t>
  </si>
  <si>
    <t>SILVER CROSS AMERICA INC SA</t>
  </si>
  <si>
    <t>SILVESTRIN FABRIS SRL</t>
  </si>
  <si>
    <t>SIMBOLOS PATRIOS S.R.L.</t>
  </si>
  <si>
    <t>SIRO SA</t>
  </si>
  <si>
    <t>SISTEMA MEDICO DEL SUR SRL</t>
  </si>
  <si>
    <t xml:space="preserve">SODIMAC ARGENTINA </t>
  </si>
  <si>
    <t>SOFISURAUSTRAL S.A.</t>
  </si>
  <si>
    <t>SOLUCIONES MULTIMEDIA SA</t>
  </si>
  <si>
    <t>SOMMIERCENTER</t>
  </si>
  <si>
    <t>SOMOZA JUAN JOSE Y PALMA CAR</t>
  </si>
  <si>
    <t>SOSA MIRIAM DEL CARMEN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</si>
  <si>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</si>
  <si>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</si>
  <si>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</si>
  <si>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</si>
  <si>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</si>
  <si>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</si>
  <si>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 xml:space="preserve">STEIN Y TEICHBERG SA </t>
  </si>
  <si>
    <t>STRINGARO</t>
  </si>
  <si>
    <t>SUAREZ FERNANDO EZEQUIEL</t>
  </si>
  <si>
    <t>SUAYA SERGIO EDUARDO</t>
  </si>
  <si>
    <t>SUCCEX SRL</t>
  </si>
  <si>
    <t>SULDAL SA</t>
  </si>
  <si>
    <t xml:space="preserve">SULTANI VICTOR JOSE </t>
  </si>
  <si>
    <t>SUPER NUEVA COLON SRL</t>
  </si>
  <si>
    <t>SUR LOGISTICA Y DISTRIBUCION</t>
  </si>
  <si>
    <t>SURIANO S.A.</t>
  </si>
  <si>
    <t>SYMONDS SA.</t>
  </si>
  <si>
    <t>TACHELLA ALEJANDRA SILVANA</t>
  </si>
  <si>
    <t>TANQUES ARGENTINOS</t>
  </si>
  <si>
    <t>TARGET MEDICAL SA</t>
  </si>
  <si>
    <t>TARJETA NARANJA SA</t>
  </si>
  <si>
    <t>TARRAT SA</t>
  </si>
  <si>
    <t>TCM TELEF CEL MOVIL</t>
  </si>
  <si>
    <t>TDI AUTOPARTES SRL</t>
  </si>
  <si>
    <t>TEKNOVENTILACION SRL</t>
  </si>
  <si>
    <t>TELMEX ARGENTINA S.A.</t>
  </si>
  <si>
    <t>TERMINACIONES GRAFICAS SA</t>
  </si>
  <si>
    <t>TEXTIL ESPARTILLO SA.</t>
  </si>
  <si>
    <t xml:space="preserve">TEXTIL ROCK SRL </t>
  </si>
  <si>
    <t>TEXTIL TRIUNVIRATO SH DE MAUAS Y SOUSSE</t>
  </si>
  <si>
    <t>THAMES CLP SRL</t>
  </si>
  <si>
    <t>THEAGAS S.A.</t>
  </si>
  <si>
    <t>TIO MUSA S.A.</t>
  </si>
  <si>
    <t>TIVIROLI CARLOS MARIANO</t>
  </si>
  <si>
    <t>TOAGRA SRL</t>
  </si>
  <si>
    <t>TODO COPIA S.A.</t>
  </si>
  <si>
    <t xml:space="preserve">TODO COPIA SA </t>
  </si>
  <si>
    <t>TODO EMBALAJE SRL</t>
  </si>
  <si>
    <t>TONKA S.A.</t>
  </si>
  <si>
    <t>TOURS AUTOMOTORES S.A</t>
  </si>
  <si>
    <t xml:space="preserve">TOY STORE SA </t>
  </si>
  <si>
    <t>TRABAJ DE ENTIDADES DEPORTIVAS</t>
  </si>
  <si>
    <t>TRANSAMERICA TRANSPORTES SA</t>
  </si>
  <si>
    <t>TRANSPALET S.A.</t>
  </si>
  <si>
    <t>TRANSPORTES A4 SA</t>
  </si>
  <si>
    <t>TRANSPÓRTES DEL SUR</t>
  </si>
  <si>
    <t>TRIANGLE SCA</t>
  </si>
  <si>
    <t>TRIBER SA</t>
  </si>
  <si>
    <t>TRIPAILA CLAUDIA ELIZABETH</t>
  </si>
  <si>
    <t>TRIPOLI FERNANDO JULIAN</t>
  </si>
  <si>
    <t>TRONCOSO VALERIA</t>
  </si>
  <si>
    <t>TRUST S.R.L.</t>
  </si>
  <si>
    <t>TRUSTY SRL</t>
  </si>
  <si>
    <t>TST S.A</t>
  </si>
  <si>
    <t>TWENTY ILUMINACION SRL</t>
  </si>
  <si>
    <t>TWINLOK ABROJO</t>
  </si>
  <si>
    <t>UNIFORMES SA</t>
  </si>
  <si>
    <t>UNION AGRICOLA DE AVELALNEDA COOP LTDA</t>
  </si>
  <si>
    <t>URIARTE TALDEA</t>
  </si>
  <si>
    <t>VACA MAURO CARLOS</t>
  </si>
  <si>
    <t xml:space="preserve">VAZQUEZ FERNANDEZ CARMEN </t>
  </si>
  <si>
    <t xml:space="preserve">VELAS DE LA BALLENA S.R.L. </t>
  </si>
  <si>
    <t>VELEZ CLAUDIA ALEJANDRA</t>
  </si>
  <si>
    <t>VELEZ FERNANDO ARIEL</t>
  </si>
  <si>
    <t>VELIZ MARCELO</t>
  </si>
  <si>
    <t>VELIZY</t>
  </si>
  <si>
    <t>VENDITTO NORMA BEATRIZ</t>
  </si>
  <si>
    <t>VENTO HUGO GABRIEL</t>
  </si>
  <si>
    <t>VERA RICARDO</t>
  </si>
  <si>
    <t>VERBA GERMAN WALTER</t>
  </si>
  <si>
    <t>VERTOLINI NORBERTO LUIS</t>
  </si>
  <si>
    <t>VETERINARIA JUAREZ</t>
  </si>
  <si>
    <t>VIA BARILOCHE SA</t>
  </si>
  <si>
    <t>VIA CARGO SA</t>
  </si>
  <si>
    <t>VICTOR HERNAN PAZZI</t>
  </si>
  <si>
    <t>VIEGAS GABRIELA LAURA</t>
  </si>
  <si>
    <t>VILLAREAL MARTIN MIGUEL</t>
  </si>
  <si>
    <t>VISION 101 SA</t>
  </si>
  <si>
    <t>VISION PILAR</t>
  </si>
  <si>
    <t>VISION TECNOLOGIA SA</t>
  </si>
  <si>
    <t>VITASSE EDITH GRACIELA</t>
  </si>
  <si>
    <t>VIYILANT SRL</t>
  </si>
  <si>
    <t>VOCOBELLI SEBASTIAN FEDERICO</t>
  </si>
  <si>
    <t>VOLONTERI MARTIN</t>
  </si>
  <si>
    <t>VOSTOKE CONSTRUC SA</t>
  </si>
  <si>
    <t>VTV METROPOLITANA SA</t>
  </si>
  <si>
    <t>WAINMANN PABLO MARIANO</t>
  </si>
  <si>
    <t>WAY COMPUTER S.R.L.</t>
  </si>
  <si>
    <t>WESTAFLEX SA ARGENTINA</t>
  </si>
  <si>
    <t>YAGMOUR SRL</t>
  </si>
  <si>
    <t>YAPAY SRL</t>
  </si>
  <si>
    <t>YOCARANT S.A.</t>
  </si>
  <si>
    <t>YPF SA</t>
  </si>
  <si>
    <t>FLETE</t>
  </si>
  <si>
    <t>INSUMO</t>
  </si>
  <si>
    <t>SERVICIOS</t>
  </si>
  <si>
    <t>Mantenimiento</t>
  </si>
  <si>
    <t>EXTRACTO</t>
  </si>
  <si>
    <t> 30607371799</t>
  </si>
  <si>
    <t>HONORARIOS</t>
  </si>
  <si>
    <t>COORDINACION ECOLOGICA AREA METROPOLITANA SOCIEDAD DEL ESTADO</t>
  </si>
  <si>
    <t>CORREO ANDREANI SA</t>
  </si>
  <si>
    <t>ELECTRICIDAD AREV S R L</t>
  </si>
  <si>
    <t>ESTACION DE SERVICIO</t>
  </si>
  <si>
    <t>OTROS</t>
  </si>
  <si>
    <t>IT BROKERS S.A.</t>
  </si>
  <si>
    <t>JARSE SA</t>
  </si>
  <si>
    <t>PASION DISTRIBUCIONES SRL</t>
  </si>
  <si>
    <t>VERGARA COMBUSTIBLES SRL</t>
  </si>
  <si>
    <t>TOTAL COMPRAS NETAS</t>
  </si>
  <si>
    <t>TOTAL:</t>
  </si>
  <si>
    <t>&gt; ya esta sumado al total</t>
  </si>
  <si>
    <t>100000 LAMPARAS SRL</t>
  </si>
  <si>
    <t>4KRC SA</t>
  </si>
  <si>
    <t>5 CEPAS S.R.L.</t>
  </si>
  <si>
    <t>60 LIBRAS SRL</t>
  </si>
  <si>
    <t>A R C CONSTRUCCIONES S.A.</t>
  </si>
  <si>
    <t>A. RUSSONIELLO SA</t>
  </si>
  <si>
    <t>A.M. PESCIO S.C.A</t>
  </si>
  <si>
    <t>ABBS POINT DESING S.A.</t>
  </si>
  <si>
    <t>ABEL JAVIER KLAINER</t>
  </si>
  <si>
    <t>ABELSON SA</t>
  </si>
  <si>
    <t>ACCESOR SRL</t>
  </si>
  <si>
    <t>ACEROSALFA SA</t>
  </si>
  <si>
    <t>ACLOS ASOC. CIVIL PARA LA LONG</t>
  </si>
  <si>
    <t>ADSE S.A</t>
  </si>
  <si>
    <t>ADUEARDO FRANCISCO NARDOMARINO</t>
  </si>
  <si>
    <t>AGRACO S.A</t>
  </si>
  <si>
    <t>AQUALAF S.A.</t>
  </si>
  <si>
    <t>VARAS TOLEDO SEBASTIAN</t>
  </si>
  <si>
    <t>MARAKANA SRL</t>
  </si>
  <si>
    <t>BODEGA DON BOSCO</t>
  </si>
  <si>
    <t>body group feliz srl</t>
  </si>
  <si>
    <t>COMERCIAL  ALPACA SA</t>
  </si>
  <si>
    <t>27-14744212-8</t>
  </si>
  <si>
    <t>como lo soñe</t>
  </si>
  <si>
    <t>CONFITERIA GRAN CORDOBA</t>
  </si>
  <si>
    <t>CRISTALERIA MARIA LUJAN S.R.L.</t>
  </si>
  <si>
    <t>FAMILIA GRION S.R.L.</t>
  </si>
  <si>
    <t>MercaderiaS</t>
  </si>
  <si>
    <t>FIAMINGOLEANDRO MARTIN</t>
  </si>
  <si>
    <t>Servicios</t>
  </si>
  <si>
    <t>FINCAS DEL LIMAY S.A.</t>
  </si>
  <si>
    <t>GALENO ARGENTINA S.A</t>
  </si>
  <si>
    <t>GALENO ART S.A</t>
  </si>
  <si>
    <t>GLOBAL BRANDS DEVELOPMENT</t>
  </si>
  <si>
    <t>GRUPO BAIO S.A.</t>
  </si>
  <si>
    <t>IPANCO S.R.L.</t>
  </si>
  <si>
    <t>ITALOMED PRODUCTOS</t>
  </si>
  <si>
    <t>KTL S.A.</t>
  </si>
  <si>
    <t>LIN XINYONG</t>
  </si>
  <si>
    <t>MASSUAR</t>
  </si>
  <si>
    <t>GASTO DE COMERCIALIZACION</t>
  </si>
  <si>
    <t>MONDOVINO S.A.</t>
  </si>
  <si>
    <t>PANTYMED S.A</t>
  </si>
  <si>
    <t>PINTURERIA REX S.A.</t>
  </si>
  <si>
    <t>PLASTIFERRO INFRAESTRUCTURA SA</t>
  </si>
  <si>
    <t>PUEYRREDON 2042</t>
  </si>
  <si>
    <t>QUEIJA S.A.</t>
  </si>
  <si>
    <t>REPUESTOS</t>
  </si>
  <si>
    <t>CATERING</t>
  </si>
  <si>
    <t>SALADILLO S.A.</t>
  </si>
  <si>
    <t>SOULTEC INDUSTRIAL SRL</t>
  </si>
  <si>
    <t>SWISS MEDICAL S.A.</t>
  </si>
  <si>
    <t>TECNIPRAX S.R.L.</t>
  </si>
  <si>
    <t>TELECOM ARG SA</t>
  </si>
  <si>
    <t>TELEFONICA DE ARG S.A.</t>
  </si>
  <si>
    <t>TELEFONICA MOVILES ARG</t>
  </si>
  <si>
    <t>TEXTIL PANDA S.A.</t>
  </si>
  <si>
    <t xml:space="preserve">TRAFE SUDAMERICANA SA </t>
  </si>
  <si>
    <t>YURREBASO NATALIA GISELE</t>
  </si>
  <si>
    <t>ZEITPLAN SRL</t>
  </si>
  <si>
    <t>KEPUCHE NEHUEN S.R.L.</t>
  </si>
  <si>
    <t>ALIMENTOS DE MENDOZA S.A.</t>
  </si>
  <si>
    <t>SERVICIOS LOGISTICA</t>
  </si>
  <si>
    <t>SUR BODEGAS Y VIÑEDOS S.A.</t>
  </si>
  <si>
    <t>MONTANA CONSULTORES S.R.L.</t>
  </si>
  <si>
    <t>PATRITTI S.A.</t>
  </si>
  <si>
    <t>TRANSPORTE EL FARO S.A.</t>
  </si>
  <si>
    <t>MAGNUS AGRICOLAE S.A.</t>
  </si>
  <si>
    <t>GEACOM S.R.L.</t>
  </si>
  <si>
    <t>CÁMARA ARGENTINA VINOTECAS Y AFINES</t>
  </si>
  <si>
    <t>CUOTA SOCIAL</t>
  </si>
  <si>
    <t>TIERRAS ALTAS S.A.</t>
  </si>
  <si>
    <t xml:space="preserve">MERCADERIA </t>
  </si>
  <si>
    <t xml:space="preserve">NIMO GUERRA MANUEL </t>
  </si>
  <si>
    <t>JAWORSKY PABLO ALBERTO</t>
  </si>
  <si>
    <t>DONATO ALFREDO ENRIQUE Y PENSEL FRANCISCO JAVIER SOCIEDAD DE HECHO</t>
  </si>
  <si>
    <t>MARIA FEDELE S.R.L.</t>
  </si>
  <si>
    <t>MARTINASCHI FERNANDO NICOLAS</t>
  </si>
  <si>
    <t>SUCESION DE LIBONATI FRANCISCO</t>
  </si>
  <si>
    <t>DOS CORTADOS S.R.L.</t>
  </si>
  <si>
    <t>QUILES FLAVIO GABRIEL</t>
  </si>
  <si>
    <t xml:space="preserve">AMADO MONICA CRISTINA </t>
  </si>
  <si>
    <t>ZARBO CARNIEL PABLO</t>
  </si>
  <si>
    <t>FERRETTI CLAUDIO HERNAN</t>
  </si>
  <si>
    <t>ZABALA ALBA NOEMI</t>
  </si>
  <si>
    <t>TIERRA DE VIÑAS Y OLIVOS</t>
  </si>
  <si>
    <t>CRISTAL SAN MARTIN S.R.L.</t>
  </si>
  <si>
    <t>LA RURAL VIÑEDOS Y BODEGAS S.A.</t>
  </si>
  <si>
    <t>EL GARAGE DE ALDO S.R.L.</t>
  </si>
  <si>
    <t>CENTRAL DE COMERCIOS S.R.L.</t>
  </si>
  <si>
    <t xml:space="preserve">AUTOMOTORES DEL SUR S A C I F I Y A G </t>
  </si>
  <si>
    <t>OLD ROPE S.R.L.</t>
  </si>
  <si>
    <t>AKITANIA SRL</t>
  </si>
  <si>
    <t>ISOLSE SRL</t>
  </si>
  <si>
    <t>LIN WEN HUA</t>
  </si>
  <si>
    <t>PARADA LINIERS SA</t>
  </si>
  <si>
    <t xml:space="preserve">SARSY SRL </t>
  </si>
  <si>
    <t>PREMIER WINES SA</t>
  </si>
  <si>
    <t>BANCO GALICIA S.A.</t>
  </si>
  <si>
    <t>BANCO SUPERVIELLE S.A.</t>
  </si>
  <si>
    <t>REJOVIZKY ALEJANDRA</t>
  </si>
  <si>
    <t xml:space="preserve">ELDAR SRL </t>
  </si>
  <si>
    <t xml:space="preserve">DIAGNOS MED SRL </t>
  </si>
  <si>
    <t>VILAPLANA Y GONZALEZ S.R.L.</t>
  </si>
  <si>
    <t>CUVELIER LOS ANDES S.A.</t>
  </si>
  <si>
    <t>POL PACK S.R.L.</t>
  </si>
  <si>
    <t>AMERICAN EXPRESS</t>
  </si>
  <si>
    <t>VANESA MARGARIÑOS</t>
  </si>
  <si>
    <t>LIBRERÍA SAN LUIS S.R.L.</t>
  </si>
  <si>
    <t>MADERA MARIANA PAULA</t>
  </si>
  <si>
    <t>FREIXENET ARGENTINA S.A.</t>
  </si>
  <si>
    <t>30-57481687-0</t>
  </si>
  <si>
    <t>PAPELERA BERTOLIN SA</t>
  </si>
  <si>
    <t>ESTRAME SA</t>
  </si>
  <si>
    <t>MASANA JOSE ALBERTO</t>
  </si>
  <si>
    <t>OLIVA GERLI GERMAN</t>
  </si>
  <si>
    <t>ESPACIOVINO SRL</t>
  </si>
  <si>
    <t>ACOSTA SILVIA ADRIANA</t>
  </si>
  <si>
    <t>BARSZCZUK HUGO DANIEL</t>
  </si>
  <si>
    <t>SUCESION DE SEVESO ROSA MARINA</t>
  </si>
  <si>
    <t>YACOMELLI GLADYS B</t>
  </si>
  <si>
    <t>MERCADE IGNACIO ESTEBAN</t>
  </si>
  <si>
    <t>CANAIMA ESPACIO DE SABORES S.R.L.</t>
  </si>
  <si>
    <t>POTENZA LEONOR BEATRIZ</t>
  </si>
  <si>
    <t>GLOBALGATE S.R.L.</t>
  </si>
  <si>
    <t>PANIFICADORA BETA'S S.R.L.</t>
  </si>
  <si>
    <t>CREDIDIO MARIA CELESTE</t>
  </si>
  <si>
    <t>SOTTANO S.A.</t>
  </si>
  <si>
    <t>BATTISTINI ALEJANDRO ARMANDO</t>
  </si>
  <si>
    <t>CHI CHOCOLATES INDUSTRIALES S.A.</t>
  </si>
  <si>
    <t>NT CONSULTING S.A.</t>
  </si>
  <si>
    <t>SUAREZ SILVERA VICTOR ANDRES</t>
  </si>
  <si>
    <t>I VINI S.R.L.</t>
  </si>
  <si>
    <t>CORITEC SRL</t>
  </si>
  <si>
    <t>BALAMA S.A.</t>
  </si>
  <si>
    <t>JIA GRAF SRL</t>
  </si>
  <si>
    <t>LA ASTURIANA SAIC</t>
  </si>
  <si>
    <t>ABEI CONSULTORA S.A.</t>
  </si>
  <si>
    <t>TRANS GLASS S.R.L.</t>
  </si>
  <si>
    <t>PONTECORVO RICARDO JAVIER</t>
  </si>
  <si>
    <t>QIU CHUNYUN</t>
  </si>
  <si>
    <t>POSITECH S.R.L.</t>
  </si>
  <si>
    <t>POZZO AGUSTINA MARIEL</t>
  </si>
  <si>
    <t>SOCIEDAD ARGENTINA DE MEDICINA FISICA Y REHABILITACION</t>
  </si>
  <si>
    <t>AGROVIT RURAL S.A.</t>
  </si>
  <si>
    <t>COMPAÑÍA DE MONTAJES SA</t>
  </si>
  <si>
    <t>SILKSTONE SA</t>
  </si>
  <si>
    <t>TRACK LOGISTICA SRL</t>
  </si>
  <si>
    <t>MONTEVIEJO S.A.</t>
  </si>
  <si>
    <t>LEY SECA S.A.</t>
  </si>
  <si>
    <t>PROWINES S.A.</t>
  </si>
  <si>
    <t>BODEGA DIAMANDES SA</t>
  </si>
  <si>
    <t>HELENICA GROUP S.A.</t>
  </si>
  <si>
    <t>TALLERES TRUANOVSKY S A</t>
  </si>
  <si>
    <t>DEMENTES DIGITALES S.R.L.</t>
  </si>
  <si>
    <t>JIANG XIUJUAN</t>
  </si>
  <si>
    <t>YAO YAZHU</t>
  </si>
  <si>
    <t>RICARDO FRADEANI Y OCTAVIO LERENA ASOCIACION SIMPLE</t>
  </si>
  <si>
    <t>GRUPO RIDIGAS S.R.L.</t>
  </si>
  <si>
    <t>GABAK SYSTEM SA</t>
  </si>
  <si>
    <t>CRISTALES HURLINGHAM SRL</t>
  </si>
  <si>
    <t>LISTORTI DISTRIBUCION S.R.L.</t>
  </si>
  <si>
    <t>BODEGAS ESMERALDA SOCIEDAD ANONIMA</t>
  </si>
  <si>
    <t>MeRCADERIA</t>
  </si>
  <si>
    <t>WARNEKE KURT HERMAN</t>
  </si>
  <si>
    <t>SAN MARTIN NICOLAS PABLO</t>
  </si>
  <si>
    <t xml:space="preserve">ALTOS DE SAN CARLOS </t>
  </si>
  <si>
    <t>DREAMKERS S.A.</t>
  </si>
  <si>
    <t>LUNFA VERMU S.R.L</t>
  </si>
  <si>
    <t>RIO DULCE SA</t>
  </si>
  <si>
    <t>RICARDO CELA</t>
  </si>
  <si>
    <t>LA RIOJANA</t>
  </si>
  <si>
    <t>ARGENTINA SPECIALITY SRL</t>
  </si>
  <si>
    <t>CARRALME S.R.L.</t>
  </si>
  <si>
    <t>GRAFICA PINTER SA</t>
  </si>
  <si>
    <t>FITNESAS SRL</t>
  </si>
  <si>
    <t>WINE CO SA</t>
  </si>
  <si>
    <t>FECOVITA FEDERACION DE COOPERATIVAS</t>
  </si>
  <si>
    <t>BODEGAS SALENTEIN SA</t>
  </si>
  <si>
    <t>KARDENT SAS</t>
  </si>
  <si>
    <t>DRIMER DIANA CELIA</t>
  </si>
  <si>
    <t>AGGGROUP SOLUCIONES TACTICAS SRL</t>
  </si>
  <si>
    <t>GASTRONOMIA EN MOVIMIENTO SRL</t>
  </si>
  <si>
    <t>BERALDI MARIANO LUIS</t>
  </si>
  <si>
    <t>REPARACIONES</t>
  </si>
  <si>
    <t>TRANSPORTES SAN JOSE SRL</t>
  </si>
  <si>
    <t>FLETE-LOGISTICA</t>
  </si>
  <si>
    <t>BILOTTA GUIDO MAXIMILIANO</t>
  </si>
  <si>
    <t>MITCHELL ERIC</t>
  </si>
  <si>
    <t>ARYTZA S.R.L.</t>
  </si>
  <si>
    <t>DISTRIBUIDORA LA AMISTAD S.R.L.</t>
  </si>
  <si>
    <t>DIELO S A</t>
  </si>
  <si>
    <t>LEDO JULIAN HUGO</t>
  </si>
  <si>
    <t>CZUDNOWSKY PEDRO ANDRES</t>
  </si>
  <si>
    <t>DRIVECOM S.A.</t>
  </si>
  <si>
    <t>BRUNO SCHILLIG S.A</t>
  </si>
  <si>
    <t>KIDS CORP S.R.L</t>
  </si>
  <si>
    <t>SCHMIDT ALVAREZ ROMINA SOLANGE</t>
  </si>
  <si>
    <t xml:space="preserve">EL BAZAR DIGITAL </t>
  </si>
  <si>
    <t xml:space="preserve">COOPERATIVA DE TRABAJO FRIGORIFICO TORGELON 58 LTDA </t>
  </si>
  <si>
    <t xml:space="preserve">FRIGORIFICO CÁRDENAS S.R.L </t>
  </si>
  <si>
    <t>SANTAGIULIANA ANGEL ALEJANDRO</t>
  </si>
  <si>
    <t>FERNANDEZ LUIS ALBERTO</t>
  </si>
  <si>
    <t>DISTRIBUIDORA VICARI S.A.</t>
  </si>
  <si>
    <t>CERVECERIA Y MALTERIA QUILMES S.A.I.C.A.Y G.</t>
  </si>
  <si>
    <t>KERVIN MARIA CRISTINA</t>
  </si>
  <si>
    <t xml:space="preserve">LACTEOS SANTA FE </t>
  </si>
  <si>
    <t xml:space="preserve">GASTRONOMIA GONZALEZ SRL </t>
  </si>
  <si>
    <t>DYPACK SRL</t>
  </si>
  <si>
    <t>CENTRALFER S.A</t>
  </si>
  <si>
    <t>MEGATEN S.A.</t>
  </si>
  <si>
    <t>VAL MAIRA SOCIEDAD ANONIMA</t>
  </si>
  <si>
    <t>MANFIYA SOCIEDAD ANONIMA</t>
  </si>
  <si>
    <t>LACTEOS VIDAL S A</t>
  </si>
  <si>
    <t>LABORATORIO CUENCA S A</t>
  </si>
  <si>
    <t>SENCHEK EDGARDO ARIEL</t>
  </si>
  <si>
    <t>INSUMOS Y PRESTACIONES TRENQUE SRL</t>
  </si>
  <si>
    <t>PAPELERA DELMAR SRL</t>
  </si>
  <si>
    <t xml:space="preserve">BODEGA DONZO BERLANGA </t>
  </si>
  <si>
    <t>CALIBER S.R.L.</t>
  </si>
  <si>
    <t>EL CIMBRON SRL</t>
  </si>
  <si>
    <t>AITOR IDER BALBO SAACI</t>
  </si>
  <si>
    <t>PASIVO</t>
  </si>
  <si>
    <t>DANA LUIS MARIANO</t>
  </si>
  <si>
    <t>ARTE Y BURBUJAS S.A.</t>
  </si>
  <si>
    <t>ELECTRICIDAD TRIBUNALES SA</t>
  </si>
  <si>
    <t>BUMERAN.COM ARGENTINA SA</t>
  </si>
  <si>
    <t>MASTELLONE HNOS S A</t>
  </si>
  <si>
    <t>ZURICH ASEGURADORA ARGENTINA S.A</t>
  </si>
  <si>
    <t>AUNCLICK SRL</t>
  </si>
  <si>
    <t>ROEDELSPERGER ARIEL HERNAN</t>
  </si>
  <si>
    <t>DISTRIBUIDORA RAICES S.R.L.</t>
  </si>
  <si>
    <t>LAZZARIN LIMA MARTIN IGNACIO</t>
  </si>
  <si>
    <t>ARCHMAR S.R.L.</t>
  </si>
  <si>
    <t>GALA GOURMET SA</t>
  </si>
  <si>
    <t>BASILE GASTON HECTOR</t>
  </si>
  <si>
    <t>ALTO CAMPO SUCURSAL</t>
  </si>
  <si>
    <t>DISTRIBUIDORA SEMAS SA</t>
  </si>
  <si>
    <t>SALVIO LORENA BEATRIZ</t>
  </si>
  <si>
    <t>NAVA JUAN CARLOS MIGUEL</t>
  </si>
  <si>
    <t>DE URQUIETA JORGE LUIS</t>
  </si>
  <si>
    <t>MUCHNIK DESIGN SRL</t>
  </si>
  <si>
    <t>DAMVILLE S.A</t>
  </si>
  <si>
    <t>ANDAHI S.R.L.</t>
  </si>
  <si>
    <t>NOVO CARS SA</t>
  </si>
  <si>
    <t>FARIAS JORGE A</t>
  </si>
  <si>
    <t>SAN ISIDRO S.R.L</t>
  </si>
  <si>
    <t>NSQNP S.A.</t>
  </si>
  <si>
    <t>LAS DINAS SRL</t>
  </si>
  <si>
    <t>INTRADAT S.R.L.</t>
  </si>
  <si>
    <t>CURA BERNARDO</t>
  </si>
  <si>
    <t>LINKEDSTORE ARGENTINA S.R.L.</t>
  </si>
  <si>
    <t>POTIGIAN GOLOSINAS SACIF E I</t>
  </si>
  <si>
    <t>ESCUELA ARGENTINA SOCIEDAD DE RESPONSABILIDAD LIMITADA</t>
  </si>
  <si>
    <t>DOLINSKY IRMA</t>
  </si>
  <si>
    <t>RICOBENE DIEGO ARIEL</t>
  </si>
  <si>
    <t>IMEFENG PULCU</t>
  </si>
  <si>
    <t>VIDAL GABRIEL</t>
  </si>
  <si>
    <t>MALC BRIAN S R L</t>
  </si>
  <si>
    <t>GUIDO TOMAS GIORDANO Y KEVIN BALCKER</t>
  </si>
  <si>
    <t>SIMON SEBASTIAN</t>
  </si>
  <si>
    <t>NORFRIG SRL</t>
  </si>
  <si>
    <t>VML ONLINE S.R.L</t>
  </si>
  <si>
    <t>F2 GAMING</t>
  </si>
  <si>
    <t>VALCEREAL SA</t>
  </si>
  <si>
    <t>LIBRERIA WELCOME S.R.L.</t>
  </si>
  <si>
    <t>EURO JAMONES SRL</t>
  </si>
  <si>
    <t>PEER CIDER BREWERY S.R.L.</t>
  </si>
  <si>
    <t>BORCA JUAN MANUEL</t>
  </si>
  <si>
    <t>VALDEZ PEDRO ALBERTO</t>
  </si>
  <si>
    <t>GOLF CORPORATION SRL</t>
  </si>
  <si>
    <t>POSITIVA SALUDABLE</t>
  </si>
  <si>
    <t>ASOCIACION COOPERADORA DE LA ESCUELA DE PRODUCCION E INDUSTRIALIZACION DE LECHE DR RAMON SANTAMARINA</t>
  </si>
  <si>
    <t>SARGA S A</t>
  </si>
  <si>
    <t>CORITEC S. R. L.</t>
  </si>
  <si>
    <t>ABELEDO AGUSTIN ENRIQUE</t>
  </si>
  <si>
    <t>CASTIGLIONI MATIAS EZEQUIEL</t>
  </si>
  <si>
    <t>FREIER SANDRA DANIELA</t>
  </si>
  <si>
    <t>KENNEL SEBASTIAN</t>
  </si>
  <si>
    <t>FIORENTINO JORGE IGNACIO</t>
  </si>
  <si>
    <t>DE BONIS IGNACIO LUIS</t>
  </si>
  <si>
    <t>FERABOLI OSPAL SANTIAGO HERNAN</t>
  </si>
  <si>
    <t>HONRE S.A</t>
  </si>
  <si>
    <t>FIDO ARGENTINA SRL</t>
  </si>
  <si>
    <t>CITILAN ARGENTINA S.A.</t>
  </si>
  <si>
    <t>RIO 265 S.R.L.</t>
  </si>
  <si>
    <t>FEDERAL EXPRESS CORPORATION</t>
  </si>
  <si>
    <t>GOMEZ FERNANDO ALBERTO</t>
  </si>
  <si>
    <t>SIRTAUTAS ALBERTO IVAN</t>
  </si>
  <si>
    <t>MOROLDO EMILIANO DANIEL</t>
  </si>
  <si>
    <t>ELECTROCOMPONENTES SA</t>
  </si>
  <si>
    <t>FIGUEIRAS KARINA BEATRIZ</t>
  </si>
  <si>
    <t>REA PABLO</t>
  </si>
  <si>
    <t>D LED SOCIEDAD DE HECHO DE DIEGO NICOLAS BARSKY Y DAMIAN DANEL SPIVAK</t>
  </si>
  <si>
    <t>KURIABE S. A.</t>
  </si>
  <si>
    <t>EMELINT S.R.L.</t>
  </si>
  <si>
    <t>PINTOS SCHMIDT ALDANA MARCELA Y SACK ADRIANA CRISTINA SH</t>
  </si>
  <si>
    <t>PONCE JUAN MANUEL</t>
  </si>
  <si>
    <t>DHL EXPRESS (ARGENTINA) S.A.</t>
  </si>
  <si>
    <t>INDUSTRIAS FEMAN S.R.L.</t>
  </si>
  <si>
    <t>SEMICONDUCTORES Y COMPONENTES SRL</t>
  </si>
  <si>
    <t>DIGAS SRL</t>
  </si>
  <si>
    <t>TELEFONICA MOVILES ARGENTINA SOCIEDAD ANONIMA</t>
  </si>
  <si>
    <t>HERRERO ANZORENA MATIAS</t>
  </si>
  <si>
    <t>FEDERICI NICOLAS JOSE</t>
  </si>
  <si>
    <t>OLIVEAR S. R. L.</t>
  </si>
  <si>
    <t>DUAITEK SRL</t>
  </si>
  <si>
    <t>COSTA DIEGO ALEJANDRO</t>
  </si>
  <si>
    <t>PAZ CLAUDIA SILVIA</t>
  </si>
  <si>
    <t>SERVICIO INTEGRAL DE LIMPIEZA SRL</t>
  </si>
  <si>
    <t>BIRD COMERCIALIZACION IMPORTACION Y SERVICIOS S.R.L.</t>
  </si>
  <si>
    <t>TERGEN SRL</t>
  </si>
  <si>
    <t>ALAMTEC SRL</t>
  </si>
  <si>
    <t>J Y M COMPONENTES ELECTRICOS S.A.</t>
  </si>
  <si>
    <t>BCO CREDICOOP (LIQ C.I. MOSTRADOR)</t>
  </si>
  <si>
    <t>ANTIC.-FIN EXT</t>
  </si>
  <si>
    <t>seg.permisos de embarque(Credicop)</t>
  </si>
  <si>
    <t>total</t>
  </si>
  <si>
    <t>825-849174</t>
  </si>
  <si>
    <t>825-847663</t>
  </si>
  <si>
    <t>COD 5</t>
  </si>
  <si>
    <t>VISA-CREDICOOP</t>
  </si>
  <si>
    <t>AGIRA  S A</t>
  </si>
  <si>
    <t>NEXT SERVICE GNC S.R.L.</t>
  </si>
  <si>
    <t>COMPRESORES SERVICIO TECNICO S A</t>
  </si>
  <si>
    <t>PEREZ EMILIA EUGENIA</t>
  </si>
  <si>
    <t>INGENIERIA GAMAR SOCIEDAD ANONIMA</t>
  </si>
  <si>
    <t>DELTA COMPRESION S R L</t>
  </si>
  <si>
    <t>VENTAS "E"</t>
  </si>
  <si>
    <t>USD</t>
  </si>
  <si>
    <t>TIPO DE CAMBIO2</t>
  </si>
  <si>
    <t>102-8143</t>
  </si>
  <si>
    <t>102-7024</t>
  </si>
  <si>
    <t>825-847664</t>
  </si>
  <si>
    <t>825-847487</t>
  </si>
  <si>
    <t>Anticipos - Fin Ext</t>
  </si>
  <si>
    <t>GRAFICA Y FOTOGRABADOS LA PLAZA SRL</t>
  </si>
  <si>
    <t>MATERIALES</t>
  </si>
  <si>
    <t>LEPORT SH DE PORTELA JORGE FERNANDO Y LEAL JORGE ANGEL</t>
  </si>
  <si>
    <t>SUTEL SRL</t>
  </si>
  <si>
    <t>BRACCO ROSANA</t>
  </si>
  <si>
    <t>RIOS GOMEZ JOSE ANTONIO</t>
  </si>
  <si>
    <t>LITORAL TRADING SAS</t>
  </si>
  <si>
    <t>SUMINISTROS WHITE S.A.</t>
  </si>
  <si>
    <t>ACPLIND SRL</t>
  </si>
  <si>
    <t>MAV GROUP S.A.</t>
  </si>
  <si>
    <t>GIOVO JUAN SEBASTIAN Y GIOVO JORGE DIEGO SOC. DE HECHO</t>
  </si>
  <si>
    <t>POTENZA SHOP S.A.S.</t>
  </si>
  <si>
    <t>MEIJOMIN PABLO MARTIN</t>
  </si>
  <si>
    <t>SPOT VISION S.A.S.</t>
  </si>
  <si>
    <t>ELECTRONICA ELEMON S A</t>
  </si>
  <si>
    <t>IMPORTADORA FOTOGRAFICA SOCIEDAD ANONIMA</t>
  </si>
  <si>
    <t>FUNK MATIAS NICOLAS</t>
  </si>
  <si>
    <t>JORVICAL ACEROS S A</t>
  </si>
  <si>
    <t>BROCATTO SRL</t>
  </si>
  <si>
    <t>GLOBANS S.R.L.</t>
  </si>
  <si>
    <t>ANTONIO LUQUIN S A C I F E I</t>
  </si>
  <si>
    <t>INITIUM SRL</t>
  </si>
  <si>
    <t>BIANCHI CRISTIAN MAXIMILIANO</t>
  </si>
  <si>
    <t>LIPANOVICH JUAN CRUZ</t>
  </si>
  <si>
    <t>ASOCIACION DE IMPORTADORES Y EXPORTADORES DE LA REPUBLICA ARGENTINA</t>
  </si>
  <si>
    <t>FUERTES DAMIAN MATIAS</t>
  </si>
  <si>
    <t>RODRIGUEZ DE LA FUEN HECTOR MARCELO</t>
  </si>
  <si>
    <t>LIPANOVICH MARIA SOL</t>
  </si>
  <si>
    <t>LOPEZ MOLINA MARIA</t>
  </si>
  <si>
    <t>FONDO DE COOPERACION TECNICA Y FINANCIERA - CECBA - SL Y T - LEY 23.412</t>
  </si>
  <si>
    <t>DANSKY ULLMANN VIVIANA EVA YOLANDA</t>
  </si>
  <si>
    <t>818-708657000</t>
  </si>
  <si>
    <t>617-547987000</t>
  </si>
  <si>
    <t>Solution Supply SAC</t>
  </si>
  <si>
    <t>BRAIN S.A.</t>
  </si>
  <si>
    <t>JURO S A</t>
  </si>
  <si>
    <t>VULPIANI S.A.</t>
  </si>
  <si>
    <t>EXA COMPRESION S.R.L.</t>
  </si>
  <si>
    <t>CREDICOOP RESUMEN (CTA CORRIENTE)</t>
  </si>
  <si>
    <t>Credicoop-VISA</t>
  </si>
  <si>
    <t>consultoria informatica</t>
  </si>
  <si>
    <t>CONSORCIO DE PROPIETARIOS YATAY 138</t>
  </si>
  <si>
    <t>BUENOS AIRES</t>
  </si>
  <si>
    <t>COMISION POR GESTION DE PERMISOS INCUMPLIDOS</t>
  </si>
  <si>
    <t>SOFTWARE</t>
  </si>
  <si>
    <t>ACACIA Y LENGA S R L</t>
  </si>
  <si>
    <t>CABA</t>
  </si>
  <si>
    <t>SAENZ GERMAN</t>
  </si>
  <si>
    <t>ADATTO MARCELO ADRIAN</t>
  </si>
  <si>
    <t>ELINDAR SRL</t>
  </si>
  <si>
    <t>MASTER LEADER MUNDIAL S.A.</t>
  </si>
  <si>
    <t>SERCAP INSUMOS S.R.L.</t>
  </si>
  <si>
    <t xml:space="preserve"> </t>
  </si>
  <si>
    <t>LA JUNIO SRL</t>
  </si>
  <si>
    <t>AM STUDIOS SRL</t>
  </si>
  <si>
    <t>ULTRALIGHT SRL</t>
  </si>
  <si>
    <t>ASESORAMIENTO</t>
  </si>
  <si>
    <t>ELECTROMINGO S.R.L.</t>
  </si>
  <si>
    <t>BULONERA VIETRI SOCIEDAD DE RESPONSABILIDAD LIMITADA</t>
  </si>
  <si>
    <t>DABUL NICOLAS ADRIAN</t>
  </si>
  <si>
    <t>WARD IVAN NICOLAS</t>
  </si>
  <si>
    <t>AM STUDIOS S.R.L.</t>
  </si>
  <si>
    <t>BOHERDI ELECTRONICA S R L</t>
  </si>
  <si>
    <t>SBARRA GABRIELA BEATRIZ</t>
  </si>
  <si>
    <t>BARRAGAN FEDERICO ANDRES</t>
  </si>
  <si>
    <t xml:space="preserve">BCO CREDICOOP </t>
  </si>
  <si>
    <t>Pais</t>
  </si>
  <si>
    <t>NITRO BIKES S.R.L.</t>
  </si>
  <si>
    <t>NEUMATICOS CORRAL S.A.</t>
  </si>
  <si>
    <t>SOMMARIO TURONI GUSTAVO</t>
  </si>
  <si>
    <t>ORTUÑO ALVAREZ HECTOR MANUEL</t>
  </si>
  <si>
    <t>STENFAR S. A. U.</t>
  </si>
  <si>
    <t>MAESTROJUAN DEL VILLAR MAXIMILIANO</t>
  </si>
  <si>
    <t>CAMAUER GUSTAVO MAXIMILIANO</t>
  </si>
  <si>
    <t>CINT BROC S A</t>
  </si>
  <si>
    <t>BLUE STAR ONLINE S.R.L.</t>
  </si>
  <si>
    <t>UNIMACO S.A.</t>
  </si>
  <si>
    <t>PUGLIESE GUSTAVO HERNAN</t>
  </si>
  <si>
    <t>AGUILAR DIANA ANGELA</t>
  </si>
  <si>
    <t>LO PRIMO S A</t>
  </si>
  <si>
    <t>LAKAUT S.A.</t>
  </si>
  <si>
    <t>GAS FUTURO SISTEMAS DE COMPRESSÃO LTDA</t>
  </si>
  <si>
    <t>2 IN FLOW COMPAÑIA DE SERVICIOS S. A.</t>
  </si>
  <si>
    <t>Liq. Comision por NOMINACION</t>
  </si>
  <si>
    <t>COD 05</t>
  </si>
  <si>
    <t>COD 81</t>
  </si>
  <si>
    <t>23001ic04125348p</t>
  </si>
  <si>
    <t>IVA IMPORTACION</t>
  </si>
  <si>
    <t>ALLISING</t>
  </si>
  <si>
    <t>ALGABO SA</t>
  </si>
  <si>
    <t>FARMACIA GRAN FERRARI SA</t>
  </si>
  <si>
    <t>SIMPLEX VILLI SA</t>
  </si>
  <si>
    <t>NGA SRL</t>
  </si>
  <si>
    <t>BATERIAS PRO-BAT</t>
  </si>
  <si>
    <t>LOMIR SA</t>
  </si>
  <si>
    <t>LAVADERO BLANCANIEVES</t>
  </si>
  <si>
    <t>LOPEZ DAIANA BELEN</t>
  </si>
  <si>
    <t>GIFEL SRL</t>
  </si>
  <si>
    <t>FRANCISCO JAVIER LEAL FUENTES</t>
  </si>
  <si>
    <t>PINTURERIAS YANINA SA</t>
  </si>
  <si>
    <t>JULIAN FELIPE</t>
  </si>
  <si>
    <t>MUVIN SRL</t>
  </si>
  <si>
    <t>MTB A TODO EL PAIS SRL</t>
  </si>
  <si>
    <t>PINALLI PABLO GABRIEL</t>
  </si>
  <si>
    <t>CASELLA TRADING SRL</t>
  </si>
  <si>
    <t>10-42161</t>
  </si>
  <si>
    <t>CREDICOOP</t>
  </si>
  <si>
    <t>FAMIQ SRL</t>
  </si>
  <si>
    <t>ACCESORIOS Y HERRAMIENTAS SRL</t>
  </si>
  <si>
    <t>977-212</t>
  </si>
  <si>
    <t>COMISION POR AFECTACION SAOFFE</t>
  </si>
  <si>
    <t>825-858913</t>
  </si>
  <si>
    <t>BIENES EXPORTADOS</t>
  </si>
  <si>
    <t>INTERCONTINENTAL CARGAS SRL</t>
  </si>
  <si>
    <t>CASATI ENRIQUE ARIEL</t>
  </si>
  <si>
    <t>ELECTRO IND S.R.L</t>
  </si>
  <si>
    <t>COMPRESURT S.A.</t>
  </si>
  <si>
    <t>SAFIT SPORT S.R.L.</t>
  </si>
  <si>
    <t>AQUADELTA OUTDOORS S.R.L.</t>
  </si>
  <si>
    <t>ALFEST S.R.L.</t>
  </si>
  <si>
    <t>CONVERTI HNOS  S R L</t>
  </si>
  <si>
    <t>HOGAR ACTUAL SRL</t>
  </si>
  <si>
    <t>GALLEGO ANDRES MARIANO</t>
  </si>
  <si>
    <t>DI PALMA S.R.L.</t>
  </si>
  <si>
    <t>LUCERO MARIO ALFREDO</t>
  </si>
  <si>
    <t>Grifos Espinoza SA</t>
  </si>
  <si>
    <t>BULONERA MITRE SA</t>
  </si>
  <si>
    <t>TEBY SRL</t>
  </si>
  <si>
    <t>D WEINSTOCK S R L</t>
  </si>
  <si>
    <t>SYTE S.A.</t>
  </si>
  <si>
    <t>COMEX MARIA SA</t>
  </si>
  <si>
    <t>SPENA FERNANDO ARIEL</t>
  </si>
  <si>
    <t>VAZQUEZ CABRAL WANDA MILENA</t>
  </si>
  <si>
    <t>MICROELECTRONICA COMPONENTES S.R.L.</t>
  </si>
  <si>
    <t>LASARTE HNOS SRL</t>
  </si>
  <si>
    <t>MERCURIUS S.A.S.</t>
  </si>
  <si>
    <t>ESPACIO MARKETING S.R.L.</t>
  </si>
  <si>
    <t>NUBBEO S.R.L.</t>
  </si>
  <si>
    <t>CHERRO NICOLAS</t>
  </si>
  <si>
    <t>visa credicoop</t>
  </si>
  <si>
    <t>PAIS</t>
  </si>
  <si>
    <t>FRACCHIA GRACIELA LILIANA</t>
  </si>
  <si>
    <t>IMPRENTA24 S.R.L.</t>
  </si>
  <si>
    <t>GONZALEZ MATIAS LIONEL</t>
  </si>
  <si>
    <t>GUSU S A</t>
  </si>
  <si>
    <t>MORINIGO ESTELA MERCEDE</t>
  </si>
  <si>
    <t>AEROPUERTOS ARGENTINA 2000 S A</t>
  </si>
  <si>
    <t>LIBECOM S.R.L</t>
  </si>
  <si>
    <t>DELTAGAS SA</t>
  </si>
  <si>
    <t>SELTAGAS S.A.</t>
  </si>
  <si>
    <t>COD 21</t>
  </si>
  <si>
    <t>CREDICOOP EMBARQUE</t>
  </si>
  <si>
    <t xml:space="preserve">LIQ. COMISION </t>
  </si>
  <si>
    <t>COD81</t>
  </si>
  <si>
    <t>ASENSIO E HIJO Y PULLEY SOCIEDAD DE RESP</t>
  </si>
  <si>
    <t xml:space="preserve">CREDICOOP </t>
  </si>
  <si>
    <t>VISA CREDICOOP</t>
  </si>
  <si>
    <t>LOS TRILLIZOS PERAZOLI S.R.L.</t>
  </si>
  <si>
    <t>ACCESORIOS TEO SRL</t>
  </si>
  <si>
    <t>BOJORGE ROMINA VALERIA</t>
  </si>
  <si>
    <t>D'ALBENAS PEYRONEL SILVANA ELISABET</t>
  </si>
  <si>
    <t>MOCOROA SOCIEDAD ANONIMA</t>
  </si>
  <si>
    <t>ABAC S R L</t>
  </si>
  <si>
    <t>credicoop</t>
  </si>
  <si>
    <t>credicoop-gestion permisos incump</t>
  </si>
  <si>
    <t>cod 5</t>
  </si>
  <si>
    <t>04/12/2023</t>
  </si>
  <si>
    <t>05/12/2023</t>
  </si>
  <si>
    <t>01/12/2023</t>
  </si>
  <si>
    <t>31/12/2023</t>
  </si>
  <si>
    <t>06/12/2023</t>
  </si>
  <si>
    <t>12/12/2023</t>
  </si>
  <si>
    <t>15/12/2023</t>
  </si>
  <si>
    <t>18/12/2023</t>
  </si>
  <si>
    <t>20/12/2023</t>
  </si>
  <si>
    <t>26/12/2023</t>
  </si>
  <si>
    <t>DELFINO LUIS ADOLFO</t>
  </si>
  <si>
    <t>LOPEZ LOPEZ FLAVIA</t>
  </si>
  <si>
    <t>11/12/2023</t>
  </si>
  <si>
    <t>13/12/2023</t>
  </si>
  <si>
    <t>14/12/2023</t>
  </si>
  <si>
    <t>16/12/2023</t>
  </si>
  <si>
    <t>19/12/2023</t>
  </si>
  <si>
    <t>21/12/2023</t>
  </si>
  <si>
    <t>27/12/2023</t>
  </si>
  <si>
    <t>29/12/2023</t>
  </si>
  <si>
    <t>30/12/2023</t>
  </si>
  <si>
    <t>COMERCIAL MGM S.R.L</t>
  </si>
  <si>
    <t>SANTA FE COMERCIAL SOCIEDAD DE RESPONSABILIDAD LIMITADA</t>
  </si>
  <si>
    <t>SANCHEZ DI MARE DANIEL FERNANDO</t>
  </si>
  <si>
    <t>O A FERNANDEZ E HIJOS SRL</t>
  </si>
  <si>
    <t>CDP AUTOMATION  S.R.L.</t>
  </si>
  <si>
    <t>DESSINS CARTELERIA S.R.L.</t>
  </si>
  <si>
    <t>SK DISTRIBUTORS S.R.L.</t>
  </si>
  <si>
    <t>AMEX</t>
  </si>
  <si>
    <t>VISA</t>
  </si>
  <si>
    <t>GARCIA JUAN IGNACIO</t>
  </si>
  <si>
    <t>GRILLI ROMINA WANDA</t>
  </si>
  <si>
    <t>HAPPY BUY ARGENTINA S.R.L.</t>
  </si>
  <si>
    <t>SOSTRE FERNANDO</t>
  </si>
  <si>
    <t>GRIDEL WALTER DIEGO</t>
  </si>
  <si>
    <t>2001 GRUPO ELECTRO S.R.L.</t>
  </si>
  <si>
    <t>DE GISI ANTONIO LUIS</t>
  </si>
  <si>
    <t>N2M SOCIEDAD DE RESPONSABILIDAD LIMITADA</t>
  </si>
  <si>
    <t>FIDALGO LA FALCE EZEQUIEL ERNESTO</t>
  </si>
  <si>
    <t>SYS IMPORTACIONES S.R.L.</t>
  </si>
  <si>
    <t>VICDA ARGENTINA S R L</t>
  </si>
  <si>
    <t>POSITIF PLANIFIER S.A.</t>
  </si>
  <si>
    <t>GIMENEZ DAMIAN ANGEL</t>
  </si>
  <si>
    <t>SEGUIMIENTOS PEDIDOS DE EMBARQUE</t>
  </si>
  <si>
    <t>RAIMONDI FACUNDO ALBERTO</t>
  </si>
  <si>
    <t>MAGGESE JORGE LUIS</t>
  </si>
  <si>
    <t>MITSUKO ARGENTINA S R L</t>
  </si>
  <si>
    <t>ACOSTA MARIA EUGENIA</t>
  </si>
  <si>
    <t>ROVLAN S.A.</t>
  </si>
  <si>
    <t>LASERTEC INGENIERIA SOCIEDAD ANONIMA</t>
  </si>
  <si>
    <t>WORLD ONE TRADE</t>
  </si>
  <si>
    <t>INSUMOS SERVICOMP S.A.</t>
  </si>
  <si>
    <t>MOTORES ELECTROMECANICA ATLAS S.A.</t>
  </si>
  <si>
    <t>BAGUI S A</t>
  </si>
  <si>
    <t>MOSCOSO SANTIAGO JULIAN</t>
  </si>
  <si>
    <t>BASSO HNOS S. A.</t>
  </si>
  <si>
    <t>DOMINGUEZ LAGANA GONZALO FABIAN</t>
  </si>
  <si>
    <t>825-875977</t>
  </si>
  <si>
    <t>FLORES CECILIA NOEMI</t>
  </si>
  <si>
    <t>ABELEDO ENRIQUE JUAN</t>
  </si>
  <si>
    <t>POLINORTE S A</t>
  </si>
  <si>
    <t>DISTRI AIRES S.R.L</t>
  </si>
  <si>
    <t>STENDEL ELIANA JUDITH</t>
  </si>
  <si>
    <t>K Y G MILENIUM S.R.L.</t>
  </si>
  <si>
    <t>BONFIGLI ARMANDO DANIEL</t>
  </si>
  <si>
    <t>IGNISMOTORREDUCTORES S. A.</t>
  </si>
  <si>
    <t>AVENIDA MAIPU 4199 S C S</t>
  </si>
  <si>
    <t>FAC EXPORTACION</t>
  </si>
  <si>
    <t>Otros - No Grav.</t>
  </si>
  <si>
    <t>ASTRONIC SRL</t>
  </si>
  <si>
    <t>CREDICOOP- bienes exportados</t>
  </si>
  <si>
    <t>seg.serv. De embarque</t>
  </si>
  <si>
    <t>Servicios Gas, Luz, Etc</t>
  </si>
  <si>
    <t>Gtos. Imp.</t>
  </si>
  <si>
    <t>Mat. Prima</t>
  </si>
  <si>
    <t>Electronica</t>
  </si>
  <si>
    <t>Software Mantenimiento</t>
  </si>
  <si>
    <t>Hon. Admin.</t>
  </si>
  <si>
    <t>Gastos Oficina</t>
  </si>
  <si>
    <t>Papeleria e Insumos</t>
  </si>
  <si>
    <t>Gastos varios</t>
  </si>
  <si>
    <t>Honorarios Admnistrativos</t>
  </si>
  <si>
    <t>Honorarios Contables</t>
  </si>
  <si>
    <t>Mantenimiento Sofware</t>
  </si>
  <si>
    <t>Mantenimiento Oficvina</t>
  </si>
  <si>
    <t>Mantenim Materiales</t>
  </si>
  <si>
    <t>Desarrollo Software</t>
  </si>
  <si>
    <t>Honorarios Ingeniero</t>
  </si>
  <si>
    <t>Ingenieria Aplicada</t>
  </si>
  <si>
    <t>Honorario Contable</t>
  </si>
  <si>
    <t>Honorarios Administrativos</t>
  </si>
  <si>
    <t>Control de Materiales</t>
  </si>
  <si>
    <t>Fletes-Logisdtica</t>
  </si>
  <si>
    <t>Insumos</t>
  </si>
  <si>
    <t>Estaciones Mantenimiento</t>
  </si>
  <si>
    <t>Control de Calidad</t>
  </si>
  <si>
    <t>AGOSTO</t>
  </si>
  <si>
    <t xml:space="preserve"> OCTUBRE 2023</t>
  </si>
  <si>
    <t xml:space="preserve"> DICIEMBRE 2023</t>
  </si>
  <si>
    <t>Relevamiento Estaciones</t>
  </si>
  <si>
    <t xml:space="preserve">  NOVIEMBRE 2023</t>
  </si>
  <si>
    <t>Diseño Surtidor</t>
  </si>
  <si>
    <t>Asistencia Clientes</t>
  </si>
  <si>
    <t>Servicios de Informatica</t>
  </si>
  <si>
    <t>Instalacion Equipos</t>
  </si>
  <si>
    <t>Desarrollo de Software</t>
  </si>
  <si>
    <t>Adecuacion de Equipods</t>
  </si>
  <si>
    <t>Programacion</t>
  </si>
  <si>
    <t>Gastos Diseño Equipos</t>
  </si>
  <si>
    <t>Verificacion y Control Equipos</t>
  </si>
  <si>
    <t>Mantenimiento Software</t>
  </si>
  <si>
    <t>Mantenimiento Oficina</t>
  </si>
  <si>
    <t>Insumos --Accesorios</t>
  </si>
  <si>
    <t>Seguimientos de Clientes</t>
  </si>
  <si>
    <t xml:space="preserve">Papeleria </t>
  </si>
  <si>
    <t>Repuestos</t>
  </si>
  <si>
    <t>Gtos Importacion</t>
  </si>
  <si>
    <t>Combustible</t>
  </si>
  <si>
    <t>Insumos Electricos</t>
  </si>
  <si>
    <t>Mueblesy Utiles</t>
  </si>
  <si>
    <t>Papeleria</t>
  </si>
  <si>
    <t>Insumo Electri</t>
  </si>
  <si>
    <t>Muebley Utriles</t>
  </si>
  <si>
    <t>Gtos Varios</t>
  </si>
  <si>
    <t>Gtos varios</t>
  </si>
  <si>
    <t>Materiales</t>
  </si>
  <si>
    <t>Gtos.Imp.</t>
  </si>
  <si>
    <t>Insumos Electrico</t>
  </si>
  <si>
    <t>Muebles y Utilies</t>
  </si>
  <si>
    <t>Gtos Import.</t>
  </si>
  <si>
    <t>Insumo Electrico</t>
  </si>
  <si>
    <t>Sotware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</si>
</sst>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&quot;$&quot;\ #,##0.00;&quot;$&quot;\ \-#,##0.00"/>
    <numFmt numFmtId="167" formatCode="_ &quot;$&quot;\ * #,##0.00_ ;_ &quot;$&quot;\ * \-#,##0.00_ ;_ &quot;$&quot;\ * &quot;-&quot;??_ ;_ @_ "/>
    <numFmt numFmtId="168" formatCode="_ * #,##0.00_ ;_ * \-#,##0.00_ ;_ * &quot;-&quot;??_ ;_ @_ "/>
    <numFmt numFmtId="169" formatCode="dd\-mm\-yy;@"/>
    <numFmt numFmtId="170" formatCode="000"/>
    <numFmt numFmtId="171" formatCode="0000"/>
    <numFmt numFmtId="172" formatCode="00000000"/>
    <numFmt numFmtId="173" formatCode="##\-########\-#"/>
    <numFmt numFmtId="174" formatCode="[$-C0A]mmmm\-yy;@"/>
    <numFmt numFmtId="175" formatCode="[$$-2C0A]\ #,##0.00;\-[$$-2C0A]\ #,##0.00"/>
    <numFmt numFmtId="176" formatCode="_-[$$-2C0A]\ * #,##0.00_-;\-[$$-2C0A]\ * #,##0.00_-;_-[$$-2C0A]\ * &quot;-&quot;??_-;_-@_-"/>
    <numFmt numFmtId="177" formatCode="#,##0.000"/>
    <numFmt numFmtId="178" formatCode="0.000"/>
    <numFmt numFmtId="179" formatCode="#,##0.00_ ;[Red]\-#,##0.00\ "/>
    <numFmt numFmtId="180" formatCode="dd/mm/yy;@"/>
    <numFmt numFmtId="181" formatCode="d/mm/yyyy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8" fontId="20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165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4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5" fontId="1" fillId="0" borderId="0" applyFont="0" applyFill="0" applyBorder="0" applyAlignment="0" applyProtection="0"/>
  </cellStyleXfs>
  <cellXfs count="441">
    <xf numFmtId="0" fontId="0" fillId="0" borderId="0" xfId="0"/>
    <xf numFmtId="173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7" fontId="21" fillId="8" borderId="18" xfId="6" applyNumberFormat="1" applyFont="1" applyFill="1" applyBorder="1" applyAlignment="1">
      <alignment horizontal="center"/>
    </xf>
    <xf numFmtId="177" fontId="21" fillId="8" borderId="2" xfId="6" applyNumberFormat="1" applyFont="1" applyFill="1" applyBorder="1" applyAlignment="1">
      <alignment horizontal="center"/>
    </xf>
    <xf numFmtId="177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7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8" fontId="20" fillId="0" borderId="7" xfId="9" applyFont="1" applyBorder="1" applyAlignment="1">
      <alignment horizontal="center"/>
    </xf>
    <xf numFmtId="168" fontId="20" fillId="0" borderId="11" xfId="9" applyFont="1" applyBorder="1" applyAlignment="1">
      <alignment horizontal="center"/>
    </xf>
    <xf numFmtId="168" fontId="20" fillId="0" borderId="1" xfId="9" applyFont="1" applyBorder="1" applyAlignment="1">
      <alignment horizontal="center"/>
    </xf>
    <xf numFmtId="178" fontId="25" fillId="0" borderId="0" xfId="6" applyNumberFormat="1" applyFont="1"/>
    <xf numFmtId="0" fontId="25" fillId="16" borderId="0" xfId="6" applyFont="1" applyFill="1" applyAlignment="1">
      <alignment horizontal="center"/>
    </xf>
    <xf numFmtId="178" fontId="26" fillId="8" borderId="1" xfId="6" applyNumberFormat="1" applyFont="1" applyFill="1" applyBorder="1" applyAlignment="1">
      <alignment horizontal="left"/>
    </xf>
    <xf numFmtId="178" fontId="26" fillId="8" borderId="17" xfId="6" applyNumberFormat="1" applyFont="1" applyFill="1" applyBorder="1" applyAlignment="1">
      <alignment horizontal="left"/>
    </xf>
    <xf numFmtId="178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8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69" fontId="6" fillId="0" borderId="0" xfId="3" applyNumberFormat="1" applyFont="1" applyAlignment="1">
      <alignment horizontal="center" vertical="center"/>
    </xf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69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79" fontId="10" fillId="0" borderId="1" xfId="3" applyNumberFormat="1" applyFont="1" applyBorder="1"/>
    <xf numFmtId="179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79" fontId="10" fillId="0" borderId="28" xfId="0" applyNumberFormat="1" applyFont="1" applyBorder="1"/>
    <xf numFmtId="179" fontId="13" fillId="0" borderId="28" xfId="0" applyNumberFormat="1" applyFont="1" applyBorder="1" applyAlignment="1">
      <alignment horizontal="right"/>
    </xf>
    <xf numFmtId="179" fontId="6" fillId="0" borderId="28" xfId="0" applyNumberFormat="1" applyFont="1" applyBorder="1" applyAlignment="1">
      <alignment horizontal="right" vertical="center"/>
    </xf>
    <xf numFmtId="179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69" fontId="39" fillId="0" borderId="0" xfId="3" applyNumberFormat="1" applyFont="1" applyAlignment="1">
      <alignment horizontal="center" vertical="center"/>
    </xf>
    <xf numFmtId="170" fontId="39" fillId="0" borderId="0" xfId="3" applyNumberFormat="1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3" fontId="6" fillId="0" borderId="1" xfId="3" applyNumberFormat="1" applyFont="1" applyBorder="1" applyAlignment="1">
      <alignment horizontal="center"/>
    </xf>
    <xf numFmtId="179" fontId="6" fillId="0" borderId="1" xfId="3" applyNumberFormat="1" applyFont="1" applyBorder="1"/>
    <xf numFmtId="179" fontId="6" fillId="0" borderId="1" xfId="3" applyNumberFormat="1" applyFont="1" applyBorder="1" applyAlignment="1">
      <alignment horizontal="right"/>
    </xf>
    <xf numFmtId="169" fontId="6" fillId="0" borderId="27" xfId="3" applyNumberFormat="1" applyFont="1" applyBorder="1" applyAlignment="1">
      <alignment horizontal="center"/>
    </xf>
    <xf numFmtId="170" fontId="6" fillId="0" borderId="28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79" fontId="6" fillId="0" borderId="28" xfId="3" applyNumberFormat="1" applyFont="1" applyBorder="1"/>
    <xf numFmtId="179" fontId="6" fillId="0" borderId="28" xfId="3" applyNumberFormat="1" applyFont="1" applyBorder="1" applyAlignment="1">
      <alignment horizontal="right"/>
    </xf>
    <xf numFmtId="169" fontId="6" fillId="0" borderId="9" xfId="3" applyNumberFormat="1" applyFont="1" applyBorder="1" applyAlignment="1">
      <alignment horizontal="center"/>
    </xf>
    <xf numFmtId="170" fontId="6" fillId="0" borderId="1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69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3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8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172" fontId="42" fillId="0" borderId="0" xfId="3" applyNumberFormat="1" applyFont="1" applyAlignment="1">
      <alignment horizontal="center" vertical="center"/>
    </xf>
    <xf numFmtId="4" fontId="0" fillId="0" borderId="0" xfId="0" applyNumberFormat="1"/>
    <xf numFmtId="0" fontId="12" fillId="24" borderId="34" xfId="0" applyFont="1" applyFill="1" applyBorder="1" applyAlignment="1">
      <alignment horizontal="right"/>
    </xf>
    <xf numFmtId="165" fontId="12" fillId="24" borderId="35" xfId="27" applyFont="1" applyFill="1" applyBorder="1"/>
    <xf numFmtId="172" fontId="48" fillId="0" borderId="0" xfId="3" applyNumberFormat="1" applyFont="1" applyAlignment="1">
      <alignment horizontal="center"/>
    </xf>
    <xf numFmtId="173" fontId="48" fillId="0" borderId="0" xfId="3" applyNumberFormat="1" applyFont="1" applyAlignment="1">
      <alignment horizontal="center"/>
    </xf>
    <xf numFmtId="0" fontId="48" fillId="0" borderId="0" xfId="3" applyFont="1" applyAlignment="1">
      <alignment horizontal="left"/>
    </xf>
    <xf numFmtId="0" fontId="48" fillId="0" borderId="0" xfId="3" applyFont="1" applyAlignment="1">
      <alignment horizontal="center" vertical="center"/>
    </xf>
    <xf numFmtId="4" fontId="45" fillId="0" borderId="0" xfId="3" applyNumberFormat="1" applyFont="1" applyAlignment="1">
      <alignment horizontal="right" vertical="center"/>
    </xf>
    <xf numFmtId="169" fontId="10" fillId="0" borderId="36" xfId="3" applyNumberFormat="1" applyFont="1" applyBorder="1" applyAlignment="1">
      <alignment horizontal="center"/>
    </xf>
    <xf numFmtId="170" fontId="10" fillId="0" borderId="1" xfId="3" applyNumberFormat="1" applyFont="1" applyBorder="1" applyAlignment="1">
      <alignment horizontal="center"/>
    </xf>
    <xf numFmtId="171" fontId="10" fillId="0" borderId="9" xfId="3" applyNumberFormat="1" applyFont="1" applyBorder="1" applyAlignment="1">
      <alignment horizontal="center"/>
    </xf>
    <xf numFmtId="172" fontId="10" fillId="0" borderId="1" xfId="3" applyNumberFormat="1" applyFont="1" applyBorder="1" applyAlignment="1">
      <alignment horizontal="center"/>
    </xf>
    <xf numFmtId="179" fontId="10" fillId="0" borderId="1" xfId="3" applyNumberFormat="1" applyFont="1" applyBorder="1" applyAlignment="1">
      <alignment horizontal="right"/>
    </xf>
    <xf numFmtId="179" fontId="10" fillId="0" borderId="1" xfId="3" applyNumberFormat="1" applyFont="1" applyBorder="1" applyAlignment="1">
      <alignment horizontal="right" vertical="center"/>
    </xf>
    <xf numFmtId="169" fontId="49" fillId="0" borderId="0" xfId="3" applyNumberFormat="1" applyFont="1" applyAlignment="1">
      <alignment horizontal="center"/>
    </xf>
    <xf numFmtId="1" fontId="49" fillId="0" borderId="0" xfId="3" applyNumberFormat="1" applyFont="1" applyAlignment="1">
      <alignment horizontal="center"/>
    </xf>
    <xf numFmtId="173" fontId="49" fillId="0" borderId="0" xfId="3" applyNumberFormat="1" applyFont="1" applyAlignment="1">
      <alignment horizontal="center"/>
    </xf>
    <xf numFmtId="0" fontId="49" fillId="0" borderId="0" xfId="3" applyFont="1" applyAlignment="1">
      <alignment horizontal="left"/>
    </xf>
    <xf numFmtId="40" fontId="49" fillId="0" borderId="0" xfId="3" applyNumberFormat="1" applyFont="1" applyAlignment="1">
      <alignment horizontal="right"/>
    </xf>
    <xf numFmtId="169" fontId="46" fillId="0" borderId="0" xfId="3" applyNumberFormat="1" applyFont="1" applyAlignment="1">
      <alignment horizontal="center" vertical="center"/>
    </xf>
    <xf numFmtId="171" fontId="46" fillId="0" borderId="0" xfId="3" applyNumberFormat="1" applyFont="1" applyAlignment="1">
      <alignment horizontal="center" vertical="center"/>
    </xf>
    <xf numFmtId="172" fontId="46" fillId="0" borderId="0" xfId="3" applyNumberFormat="1" applyFont="1" applyAlignment="1">
      <alignment horizontal="center" vertical="center"/>
    </xf>
    <xf numFmtId="173" fontId="46" fillId="0" borderId="0" xfId="3" applyNumberFormat="1" applyFont="1" applyAlignment="1">
      <alignment horizontal="center" vertical="center"/>
    </xf>
    <xf numFmtId="0" fontId="46" fillId="0" borderId="0" xfId="3" applyFont="1" applyAlignment="1">
      <alignment horizontal="left" vertical="center"/>
    </xf>
    <xf numFmtId="40" fontId="47" fillId="0" borderId="0" xfId="3" applyNumberFormat="1" applyFont="1" applyAlignment="1">
      <alignment horizontal="right" vertical="center"/>
    </xf>
    <xf numFmtId="40" fontId="47" fillId="0" borderId="0" xfId="3" applyNumberFormat="1" applyFont="1" applyAlignment="1">
      <alignment vertical="center"/>
    </xf>
    <xf numFmtId="40" fontId="47" fillId="0" borderId="0" xfId="3" applyNumberFormat="1" applyFont="1" applyAlignment="1">
      <alignment horizontal="center" vertical="center"/>
    </xf>
    <xf numFmtId="169" fontId="50" fillId="0" borderId="0" xfId="3" applyNumberFormat="1" applyFont="1" applyAlignment="1">
      <alignment horizontal="center" vertical="center"/>
    </xf>
    <xf numFmtId="171" fontId="50" fillId="0" borderId="0" xfId="3" applyNumberFormat="1" applyFont="1" applyAlignment="1">
      <alignment horizontal="center" vertical="center"/>
    </xf>
    <xf numFmtId="172" fontId="50" fillId="0" borderId="0" xfId="3" applyNumberFormat="1" applyFont="1" applyAlignment="1">
      <alignment horizontal="center" vertical="center"/>
    </xf>
    <xf numFmtId="173" fontId="50" fillId="0" borderId="0" xfId="3" applyNumberFormat="1" applyFont="1" applyAlignment="1">
      <alignment horizontal="center" vertical="center"/>
    </xf>
    <xf numFmtId="0" fontId="50" fillId="0" borderId="0" xfId="3" applyFont="1" applyAlignment="1">
      <alignment horizontal="left" vertical="center"/>
    </xf>
    <xf numFmtId="40" fontId="51" fillId="0" borderId="0" xfId="3" applyNumberFormat="1" applyFont="1" applyAlignment="1">
      <alignment horizontal="right" vertical="center"/>
    </xf>
    <xf numFmtId="40" fontId="51" fillId="0" borderId="0" xfId="3" applyNumberFormat="1" applyFont="1" applyAlignment="1">
      <alignment vertical="center"/>
    </xf>
    <xf numFmtId="40" fontId="51" fillId="0" borderId="0" xfId="3" applyNumberFormat="1" applyFont="1" applyAlignment="1">
      <alignment horizontal="center" vertical="center"/>
    </xf>
    <xf numFmtId="0" fontId="50" fillId="0" borderId="0" xfId="3" applyFont="1" applyAlignment="1">
      <alignment horizontal="center" vertical="center"/>
    </xf>
    <xf numFmtId="172" fontId="49" fillId="0" borderId="0" xfId="3" applyNumberFormat="1" applyFont="1" applyAlignment="1">
      <alignment horizontal="center"/>
    </xf>
    <xf numFmtId="4" fontId="49" fillId="0" borderId="0" xfId="3" applyNumberFormat="1" applyFont="1" applyAlignment="1">
      <alignment horizontal="right" vertical="center"/>
    </xf>
    <xf numFmtId="0" fontId="49" fillId="0" borderId="0" xfId="3" applyFont="1" applyAlignment="1">
      <alignment horizontal="center" vertical="center"/>
    </xf>
    <xf numFmtId="170" fontId="50" fillId="0" borderId="0" xfId="3" applyNumberFormat="1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10" fillId="0" borderId="0" xfId="0" applyFont="1" applyAlignment="1">
      <alignment horizontal="center"/>
    </xf>
    <xf numFmtId="179" fontId="10" fillId="0" borderId="0" xfId="0" applyNumberFormat="1" applyFont="1"/>
    <xf numFmtId="179" fontId="13" fillId="0" borderId="0" xfId="0" applyNumberFormat="1" applyFont="1" applyAlignment="1">
      <alignment horizontal="right"/>
    </xf>
    <xf numFmtId="179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40" fontId="13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 vertical="center"/>
    </xf>
    <xf numFmtId="169" fontId="42" fillId="0" borderId="0" xfId="3" applyNumberFormat="1" applyFont="1" applyAlignment="1">
      <alignment horizontal="center" vertical="center"/>
    </xf>
    <xf numFmtId="171" fontId="42" fillId="0" borderId="0" xfId="3" applyNumberFormat="1" applyFont="1" applyAlignment="1">
      <alignment horizontal="center" vertical="center"/>
    </xf>
    <xf numFmtId="173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horizontal="right" vertical="center"/>
    </xf>
    <xf numFmtId="40" fontId="43" fillId="0" borderId="0" xfId="3" applyNumberFormat="1" applyFont="1" applyAlignment="1">
      <alignment vertical="center"/>
    </xf>
    <xf numFmtId="40" fontId="43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180" fontId="44" fillId="0" borderId="0" xfId="3" applyNumberFormat="1" applyFont="1" applyAlignment="1">
      <alignment horizontal="center"/>
    </xf>
    <xf numFmtId="172" fontId="44" fillId="0" borderId="0" xfId="3" applyNumberFormat="1" applyFont="1" applyAlignment="1">
      <alignment horizontal="center"/>
    </xf>
    <xf numFmtId="173" fontId="44" fillId="0" borderId="0" xfId="3" applyNumberFormat="1" applyFont="1" applyAlignment="1">
      <alignment horizont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180" fontId="49" fillId="0" borderId="0" xfId="3" applyNumberFormat="1" applyFont="1" applyAlignment="1">
      <alignment horizontal="center"/>
    </xf>
    <xf numFmtId="0" fontId="49" fillId="0" borderId="0" xfId="0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4" fontId="49" fillId="0" borderId="0" xfId="0" applyNumberFormat="1" applyFont="1" applyAlignment="1">
      <alignment horizontal="right" vertical="center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left" vertical="center"/>
    </xf>
    <xf numFmtId="40" fontId="51" fillId="0" borderId="0" xfId="0" applyNumberFormat="1" applyFont="1" applyAlignment="1">
      <alignment horizontal="right" vertical="center"/>
    </xf>
    <xf numFmtId="169" fontId="52" fillId="0" borderId="0" xfId="3" applyNumberFormat="1" applyFont="1" applyAlignment="1">
      <alignment horizontal="center" vertical="center"/>
    </xf>
    <xf numFmtId="181" fontId="53" fillId="0" borderId="0" xfId="3" applyNumberFormat="1" applyFont="1" applyAlignment="1">
      <alignment horizontal="center"/>
    </xf>
    <xf numFmtId="0" fontId="53" fillId="0" borderId="0" xfId="0" applyFont="1" applyAlignment="1">
      <alignment horizontal="center"/>
    </xf>
    <xf numFmtId="4" fontId="52" fillId="0" borderId="0" xfId="3" applyNumberFormat="1" applyFont="1" applyAlignment="1">
      <alignment horizontal="right" vertical="center"/>
    </xf>
    <xf numFmtId="0" fontId="52" fillId="0" borderId="0" xfId="0" applyFont="1" applyAlignment="1">
      <alignment horizontal="center" vertical="center"/>
    </xf>
    <xf numFmtId="4" fontId="52" fillId="0" borderId="0" xfId="0" applyNumberFormat="1" applyFont="1" applyAlignment="1">
      <alignment horizontal="right" vertical="center"/>
    </xf>
    <xf numFmtId="14" fontId="53" fillId="0" borderId="0" xfId="3" applyNumberFormat="1" applyFont="1" applyAlignment="1">
      <alignment horizontal="center"/>
    </xf>
    <xf numFmtId="0" fontId="52" fillId="0" borderId="0" xfId="0" applyFont="1" applyAlignment="1">
      <alignment horizontal="right" vertical="center"/>
    </xf>
    <xf numFmtId="0" fontId="54" fillId="22" borderId="40" xfId="0" applyFont="1" applyFill="1" applyBorder="1" applyAlignment="1">
      <alignment horizontal="center" vertical="center"/>
    </xf>
    <xf numFmtId="0" fontId="53" fillId="0" borderId="0" xfId="3" applyFont="1" applyAlignment="1">
      <alignment horizontal="center"/>
    </xf>
    <xf numFmtId="0" fontId="0" fillId="25" borderId="0" xfId="0" applyFill="1"/>
    <xf numFmtId="4" fontId="8" fillId="25" borderId="0" xfId="0" applyNumberFormat="1" applyFont="1" applyFill="1" applyAlignment="1">
      <alignment horizontal="center" vertical="center"/>
    </xf>
    <xf numFmtId="179" fontId="10" fillId="0" borderId="11" xfId="3" applyNumberFormat="1" applyFont="1" applyBorder="1" applyAlignment="1">
      <alignment horizontal="right" vertical="center"/>
    </xf>
    <xf numFmtId="169" fontId="42" fillId="26" borderId="0" xfId="3" applyNumberFormat="1" applyFont="1" applyFill="1" applyAlignment="1">
      <alignment horizontal="center" vertical="center"/>
    </xf>
    <xf numFmtId="170" fontId="6" fillId="26" borderId="0" xfId="3" applyNumberFormat="1" applyFont="1" applyFill="1" applyAlignment="1">
      <alignment horizontal="center" vertical="center"/>
    </xf>
    <xf numFmtId="171" fontId="42" fillId="26" borderId="0" xfId="3" applyNumberFormat="1" applyFont="1" applyFill="1" applyAlignment="1">
      <alignment horizontal="center" vertical="center"/>
    </xf>
    <xf numFmtId="172" fontId="42" fillId="26" borderId="0" xfId="3" applyNumberFormat="1" applyFont="1" applyFill="1" applyAlignment="1">
      <alignment horizontal="center" vertical="center"/>
    </xf>
    <xf numFmtId="173" fontId="42" fillId="26" borderId="0" xfId="3" applyNumberFormat="1" applyFont="1" applyFill="1" applyAlignment="1">
      <alignment horizontal="center" vertical="center"/>
    </xf>
    <xf numFmtId="0" fontId="42" fillId="26" borderId="0" xfId="3" applyFont="1" applyFill="1" applyAlignment="1">
      <alignment horizontal="left" vertical="center"/>
    </xf>
    <xf numFmtId="40" fontId="43" fillId="26" borderId="0" xfId="3" applyNumberFormat="1" applyFont="1" applyFill="1" applyAlignment="1">
      <alignment horizontal="right" vertical="center"/>
    </xf>
    <xf numFmtId="40" fontId="43" fillId="26" borderId="0" xfId="3" applyNumberFormat="1" applyFont="1" applyFill="1" applyAlignment="1">
      <alignment vertical="center"/>
    </xf>
    <xf numFmtId="40" fontId="51" fillId="26" borderId="0" xfId="3" applyNumberFormat="1" applyFont="1" applyFill="1" applyAlignment="1">
      <alignment vertical="center"/>
    </xf>
    <xf numFmtId="40" fontId="43" fillId="26" borderId="0" xfId="3" applyNumberFormat="1" applyFont="1" applyFill="1" applyAlignment="1">
      <alignment horizontal="center" vertical="center"/>
    </xf>
    <xf numFmtId="0" fontId="42" fillId="26" borderId="0" xfId="3" applyFont="1" applyFill="1" applyAlignment="1">
      <alignment horizontal="center" vertical="center"/>
    </xf>
    <xf numFmtId="169" fontId="50" fillId="26" borderId="0" xfId="3" applyNumberFormat="1" applyFont="1" applyFill="1" applyAlignment="1">
      <alignment horizontal="center" vertical="center"/>
    </xf>
    <xf numFmtId="171" fontId="50" fillId="26" borderId="0" xfId="3" applyNumberFormat="1" applyFont="1" applyFill="1" applyAlignment="1">
      <alignment horizontal="center" vertical="center"/>
    </xf>
    <xf numFmtId="172" fontId="50" fillId="26" borderId="0" xfId="3" applyNumberFormat="1" applyFont="1" applyFill="1" applyAlignment="1">
      <alignment horizontal="center" vertical="center"/>
    </xf>
    <xf numFmtId="173" fontId="50" fillId="26" borderId="0" xfId="3" applyNumberFormat="1" applyFont="1" applyFill="1" applyAlignment="1">
      <alignment horizontal="center" vertical="center"/>
    </xf>
    <xf numFmtId="0" fontId="50" fillId="26" borderId="0" xfId="3" applyFont="1" applyFill="1" applyAlignment="1">
      <alignment horizontal="left" vertical="center"/>
    </xf>
    <xf numFmtId="40" fontId="51" fillId="26" borderId="0" xfId="3" applyNumberFormat="1" applyFont="1" applyFill="1" applyAlignment="1">
      <alignment horizontal="right" vertical="center"/>
    </xf>
    <xf numFmtId="40" fontId="51" fillId="26" borderId="0" xfId="3" applyNumberFormat="1" applyFont="1" applyFill="1" applyAlignment="1">
      <alignment horizontal="center" vertical="center"/>
    </xf>
    <xf numFmtId="0" fontId="50" fillId="26" borderId="0" xfId="3" applyFont="1" applyFill="1" applyAlignment="1">
      <alignment horizontal="center" vertical="center"/>
    </xf>
    <xf numFmtId="170" fontId="50" fillId="26" borderId="0" xfId="3" applyNumberFormat="1" applyFont="1" applyFill="1" applyAlignment="1">
      <alignment horizontal="center" vertical="center"/>
    </xf>
    <xf numFmtId="180" fontId="44" fillId="26" borderId="0" xfId="3" applyNumberFormat="1" applyFont="1" applyFill="1" applyAlignment="1">
      <alignment horizontal="center"/>
    </xf>
    <xf numFmtId="172" fontId="44" fillId="26" borderId="0" xfId="3" applyNumberFormat="1" applyFont="1" applyFill="1" applyAlignment="1">
      <alignment horizontal="center"/>
    </xf>
    <xf numFmtId="173" fontId="44" fillId="26" borderId="0" xfId="3" applyNumberFormat="1" applyFont="1" applyFill="1" applyAlignment="1">
      <alignment horizontal="center"/>
    </xf>
    <xf numFmtId="0" fontId="44" fillId="26" borderId="0" xfId="3" applyFont="1" applyFill="1" applyAlignment="1">
      <alignment horizontal="left"/>
    </xf>
    <xf numFmtId="4" fontId="44" fillId="26" borderId="0" xfId="3" applyNumberFormat="1" applyFont="1" applyFill="1" applyAlignment="1">
      <alignment horizontal="right" vertical="center"/>
    </xf>
    <xf numFmtId="0" fontId="44" fillId="26" borderId="0" xfId="3" applyFont="1" applyFill="1" applyAlignment="1">
      <alignment horizontal="center" vertical="center"/>
    </xf>
    <xf numFmtId="180" fontId="49" fillId="26" borderId="0" xfId="3" applyNumberFormat="1" applyFont="1" applyFill="1" applyAlignment="1">
      <alignment horizontal="center"/>
    </xf>
    <xf numFmtId="172" fontId="49" fillId="26" borderId="0" xfId="3" applyNumberFormat="1" applyFont="1" applyFill="1" applyAlignment="1">
      <alignment horizontal="center"/>
    </xf>
    <xf numFmtId="173" fontId="49" fillId="26" borderId="0" xfId="3" applyNumberFormat="1" applyFont="1" applyFill="1" applyAlignment="1">
      <alignment horizontal="center"/>
    </xf>
    <xf numFmtId="0" fontId="49" fillId="26" borderId="0" xfId="3" applyFont="1" applyFill="1" applyAlignment="1">
      <alignment horizontal="left"/>
    </xf>
    <xf numFmtId="4" fontId="49" fillId="26" borderId="0" xfId="3" applyNumberFormat="1" applyFont="1" applyFill="1" applyAlignment="1">
      <alignment horizontal="right" vertical="center"/>
    </xf>
    <xf numFmtId="0" fontId="49" fillId="26" borderId="0" xfId="3" applyFont="1" applyFill="1" applyAlignment="1">
      <alignment horizontal="center" vertical="center"/>
    </xf>
    <xf numFmtId="173" fontId="6" fillId="0" borderId="1" xfId="3" applyNumberFormat="1" applyFont="1" applyBorder="1" applyAlignment="1">
      <alignment horizontal="left"/>
    </xf>
    <xf numFmtId="169" fontId="46" fillId="26" borderId="0" xfId="3" applyNumberFormat="1" applyFont="1" applyFill="1" applyAlignment="1">
      <alignment horizontal="center" vertical="center"/>
    </xf>
    <xf numFmtId="171" fontId="46" fillId="26" borderId="0" xfId="3" applyNumberFormat="1" applyFont="1" applyFill="1" applyAlignment="1">
      <alignment horizontal="center" vertical="center"/>
    </xf>
    <xf numFmtId="172" fontId="46" fillId="26" borderId="0" xfId="3" applyNumberFormat="1" applyFont="1" applyFill="1" applyAlignment="1">
      <alignment horizontal="center" vertical="center"/>
    </xf>
    <xf numFmtId="173" fontId="46" fillId="26" borderId="0" xfId="3" applyNumberFormat="1" applyFont="1" applyFill="1" applyAlignment="1">
      <alignment horizontal="center" vertical="center"/>
    </xf>
    <xf numFmtId="0" fontId="46" fillId="26" borderId="0" xfId="3" applyFont="1" applyFill="1" applyAlignment="1">
      <alignment horizontal="left" vertical="center"/>
    </xf>
    <xf numFmtId="40" fontId="47" fillId="26" borderId="0" xfId="3" applyNumberFormat="1" applyFont="1" applyFill="1" applyAlignment="1">
      <alignment horizontal="right" vertical="center"/>
    </xf>
    <xf numFmtId="40" fontId="47" fillId="26" borderId="0" xfId="3" applyNumberFormat="1" applyFont="1" applyFill="1" applyAlignment="1">
      <alignment vertical="center"/>
    </xf>
    <xf numFmtId="40" fontId="47" fillId="26" borderId="0" xfId="3" applyNumberFormat="1" applyFont="1" applyFill="1" applyAlignment="1">
      <alignment horizontal="center" vertical="center"/>
    </xf>
    <xf numFmtId="0" fontId="46" fillId="26" borderId="0" xfId="3" applyFont="1" applyFill="1" applyAlignment="1">
      <alignment horizontal="center" vertical="center"/>
    </xf>
    <xf numFmtId="173" fontId="6" fillId="0" borderId="28" xfId="3" applyNumberFormat="1" applyFont="1" applyBorder="1" applyAlignment="1">
      <alignment horizontal="left"/>
    </xf>
    <xf numFmtId="0" fontId="49" fillId="0" borderId="27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40" fontId="55" fillId="0" borderId="28" xfId="0" applyNumberFormat="1" applyFont="1" applyBorder="1" applyAlignment="1">
      <alignment horizontal="right"/>
    </xf>
    <xf numFmtId="40" fontId="50" fillId="0" borderId="28" xfId="0" applyNumberFormat="1" applyFont="1" applyBorder="1" applyAlignment="1">
      <alignment horizontal="right" vertical="center"/>
    </xf>
    <xf numFmtId="0" fontId="50" fillId="0" borderId="29" xfId="0" applyFont="1" applyBorder="1" applyAlignment="1">
      <alignment horizontal="right" vertical="center"/>
    </xf>
    <xf numFmtId="179" fontId="55" fillId="0" borderId="28" xfId="0" applyNumberFormat="1" applyFont="1" applyBorder="1" applyAlignment="1">
      <alignment horizontal="right"/>
    </xf>
    <xf numFmtId="0" fontId="49" fillId="0" borderId="0" xfId="0" applyFont="1" applyAlignment="1">
      <alignment horizontal="center"/>
    </xf>
    <xf numFmtId="40" fontId="55" fillId="0" borderId="0" xfId="0" applyNumberFormat="1" applyFont="1" applyAlignment="1">
      <alignment horizontal="right"/>
    </xf>
    <xf numFmtId="40" fontId="50" fillId="0" borderId="0" xfId="0" applyNumberFormat="1" applyFont="1" applyAlignment="1">
      <alignment horizontal="right" vertical="center"/>
    </xf>
    <xf numFmtId="0" fontId="50" fillId="0" borderId="0" xfId="0" applyFont="1" applyAlignment="1">
      <alignment horizontal="right" vertical="center"/>
    </xf>
    <xf numFmtId="179" fontId="49" fillId="0" borderId="0" xfId="0" applyNumberFormat="1" applyFont="1"/>
    <xf numFmtId="179" fontId="55" fillId="0" borderId="0" xfId="0" applyNumberFormat="1" applyFont="1" applyAlignment="1">
      <alignment horizontal="right"/>
    </xf>
    <xf numFmtId="179" fontId="50" fillId="0" borderId="0" xfId="0" applyNumberFormat="1" applyFont="1" applyAlignment="1">
      <alignment horizontal="right" vertical="center"/>
    </xf>
    <xf numFmtId="169" fontId="49" fillId="0" borderId="36" xfId="3" applyNumberFormat="1" applyFont="1" applyBorder="1" applyAlignment="1">
      <alignment horizontal="center"/>
    </xf>
    <xf numFmtId="170" fontId="49" fillId="0" borderId="1" xfId="3" applyNumberFormat="1" applyFont="1" applyBorder="1" applyAlignment="1">
      <alignment horizontal="center"/>
    </xf>
    <xf numFmtId="171" fontId="49" fillId="0" borderId="9" xfId="3" applyNumberFormat="1" applyFont="1" applyBorder="1" applyAlignment="1">
      <alignment horizontal="center"/>
    </xf>
    <xf numFmtId="172" fontId="49" fillId="0" borderId="1" xfId="3" applyNumberFormat="1" applyFont="1" applyBorder="1" applyAlignment="1">
      <alignment horizontal="center"/>
    </xf>
    <xf numFmtId="0" fontId="50" fillId="0" borderId="1" xfId="3" applyFont="1" applyBorder="1" applyAlignment="1">
      <alignment horizontal="center"/>
    </xf>
    <xf numFmtId="173" fontId="49" fillId="0" borderId="1" xfId="3" applyNumberFormat="1" applyFont="1" applyBorder="1" applyAlignment="1">
      <alignment horizontal="center"/>
    </xf>
    <xf numFmtId="179" fontId="49" fillId="0" borderId="1" xfId="3" applyNumberFormat="1" applyFont="1" applyBorder="1"/>
    <xf numFmtId="179" fontId="49" fillId="0" borderId="1" xfId="3" applyNumberFormat="1" applyFont="1" applyBorder="1" applyAlignment="1">
      <alignment horizontal="right"/>
    </xf>
    <xf numFmtId="179" fontId="49" fillId="0" borderId="1" xfId="3" applyNumberFormat="1" applyFont="1" applyBorder="1" applyAlignment="1">
      <alignment horizontal="right" vertical="center"/>
    </xf>
    <xf numFmtId="2" fontId="49" fillId="0" borderId="1" xfId="3" applyNumberFormat="1" applyFont="1" applyBorder="1" applyAlignment="1">
      <alignment horizontal="right" vertical="center"/>
    </xf>
    <xf numFmtId="40" fontId="50" fillId="0" borderId="13" xfId="3" applyNumberFormat="1" applyFont="1" applyBorder="1" applyAlignment="1">
      <alignment horizontal="right" vertical="center"/>
    </xf>
    <xf numFmtId="0" fontId="0" fillId="27" borderId="0" xfId="0" applyFill="1"/>
    <xf numFmtId="169" fontId="6" fillId="26" borderId="0" xfId="3" applyNumberFormat="1" applyFont="1" applyFill="1" applyAlignment="1">
      <alignment horizontal="center" vertical="center"/>
    </xf>
    <xf numFmtId="171" fontId="6" fillId="26" borderId="0" xfId="3" applyNumberFormat="1" applyFont="1" applyFill="1" applyAlignment="1">
      <alignment horizontal="center" vertical="center"/>
    </xf>
    <xf numFmtId="172" fontId="6" fillId="26" borderId="0" xfId="3" applyNumberFormat="1" applyFont="1" applyFill="1" applyAlignment="1">
      <alignment horizontal="center" vertical="center"/>
    </xf>
    <xf numFmtId="173" fontId="6" fillId="26" borderId="0" xfId="3" applyNumberFormat="1" applyFont="1" applyFill="1" applyAlignment="1">
      <alignment horizontal="center" vertical="center"/>
    </xf>
    <xf numFmtId="0" fontId="6" fillId="26" borderId="0" xfId="3" applyFont="1" applyFill="1" applyAlignment="1">
      <alignment horizontal="left" vertical="center"/>
    </xf>
    <xf numFmtId="40" fontId="7" fillId="26" borderId="0" xfId="3" applyNumberFormat="1" applyFont="1" applyFill="1" applyAlignment="1">
      <alignment horizontal="right" vertical="center"/>
    </xf>
    <xf numFmtId="40" fontId="7" fillId="26" borderId="0" xfId="3" applyNumberFormat="1" applyFont="1" applyFill="1" applyAlignment="1">
      <alignment vertical="center"/>
    </xf>
    <xf numFmtId="40" fontId="7" fillId="26" borderId="0" xfId="3" applyNumberFormat="1" applyFont="1" applyFill="1" applyAlignment="1">
      <alignment horizontal="center" vertical="center"/>
    </xf>
    <xf numFmtId="0" fontId="6" fillId="26" borderId="0" xfId="3" applyFont="1" applyFill="1" applyAlignment="1">
      <alignment horizontal="center" vertical="center"/>
    </xf>
    <xf numFmtId="169" fontId="6" fillId="28" borderId="0" xfId="3" applyNumberFormat="1" applyFont="1" applyFill="1" applyAlignment="1">
      <alignment horizontal="center" vertical="center"/>
    </xf>
    <xf numFmtId="170" fontId="6" fillId="28" borderId="0" xfId="3" applyNumberFormat="1" applyFont="1" applyFill="1" applyAlignment="1">
      <alignment horizontal="center" vertical="center"/>
    </xf>
    <xf numFmtId="171" fontId="6" fillId="28" borderId="0" xfId="3" applyNumberFormat="1" applyFont="1" applyFill="1" applyAlignment="1">
      <alignment horizontal="center" vertical="center"/>
    </xf>
    <xf numFmtId="172" fontId="6" fillId="28" borderId="0" xfId="3" applyNumberFormat="1" applyFont="1" applyFill="1" applyAlignment="1">
      <alignment horizontal="center" vertical="center"/>
    </xf>
    <xf numFmtId="173" fontId="6" fillId="28" borderId="0" xfId="3" applyNumberFormat="1" applyFont="1" applyFill="1" applyAlignment="1">
      <alignment horizontal="center" vertical="center"/>
    </xf>
    <xf numFmtId="0" fontId="6" fillId="28" borderId="0" xfId="3" applyFont="1" applyFill="1" applyAlignment="1">
      <alignment horizontal="left" vertical="center"/>
    </xf>
    <xf numFmtId="40" fontId="7" fillId="28" borderId="0" xfId="3" applyNumberFormat="1" applyFont="1" applyFill="1" applyAlignment="1">
      <alignment horizontal="right" vertical="center"/>
    </xf>
    <xf numFmtId="40" fontId="7" fillId="28" borderId="0" xfId="3" applyNumberFormat="1" applyFont="1" applyFill="1" applyAlignment="1">
      <alignment vertical="center"/>
    </xf>
    <xf numFmtId="40" fontId="7" fillId="28" borderId="0" xfId="3" applyNumberFormat="1" applyFont="1" applyFill="1" applyAlignment="1">
      <alignment horizontal="center" vertical="center"/>
    </xf>
    <xf numFmtId="0" fontId="6" fillId="28" borderId="0" xfId="3" applyFont="1" applyFill="1" applyAlignment="1">
      <alignment horizontal="center" vertical="center"/>
    </xf>
    <xf numFmtId="169" fontId="50" fillId="28" borderId="0" xfId="3" applyNumberFormat="1" applyFont="1" applyFill="1" applyAlignment="1">
      <alignment horizontal="center" vertical="center"/>
    </xf>
    <xf numFmtId="171" fontId="50" fillId="28" borderId="0" xfId="3" applyNumberFormat="1" applyFont="1" applyFill="1" applyAlignment="1">
      <alignment horizontal="center" vertical="center"/>
    </xf>
    <xf numFmtId="172" fontId="50" fillId="28" borderId="0" xfId="3" applyNumberFormat="1" applyFont="1" applyFill="1" applyAlignment="1">
      <alignment horizontal="center" vertical="center"/>
    </xf>
    <xf numFmtId="173" fontId="50" fillId="28" borderId="0" xfId="3" applyNumberFormat="1" applyFont="1" applyFill="1" applyAlignment="1">
      <alignment horizontal="center" vertical="center"/>
    </xf>
    <xf numFmtId="0" fontId="50" fillId="28" borderId="0" xfId="3" applyFont="1" applyFill="1" applyAlignment="1">
      <alignment horizontal="left" vertical="center"/>
    </xf>
    <xf numFmtId="40" fontId="51" fillId="28" borderId="0" xfId="3" applyNumberFormat="1" applyFont="1" applyFill="1" applyAlignment="1">
      <alignment horizontal="right" vertical="center"/>
    </xf>
    <xf numFmtId="40" fontId="51" fillId="28" borderId="0" xfId="3" applyNumberFormat="1" applyFont="1" applyFill="1" applyAlignment="1">
      <alignment vertical="center"/>
    </xf>
    <xf numFmtId="40" fontId="51" fillId="28" borderId="0" xfId="3" applyNumberFormat="1" applyFont="1" applyFill="1" applyAlignment="1">
      <alignment horizontal="center" vertical="center"/>
    </xf>
    <xf numFmtId="0" fontId="50" fillId="28" borderId="0" xfId="3" applyFont="1" applyFill="1" applyAlignment="1">
      <alignment horizontal="center" vertical="center"/>
    </xf>
    <xf numFmtId="179" fontId="0" fillId="0" borderId="0" xfId="0" applyNumberFormat="1"/>
    <xf numFmtId="0" fontId="37" fillId="0" borderId="0" xfId="0" quotePrefix="1" applyFont="1" applyAlignment="1">
      <alignment horizontal="center"/>
    </xf>
    <xf numFmtId="169" fontId="36" fillId="26" borderId="0" xfId="3" applyNumberFormat="1" applyFont="1" applyFill="1" applyAlignment="1">
      <alignment horizontal="center" vertical="center"/>
    </xf>
    <xf numFmtId="169" fontId="50" fillId="0" borderId="9" xfId="3" applyNumberFormat="1" applyFont="1" applyBorder="1" applyAlignment="1">
      <alignment horizontal="center"/>
    </xf>
    <xf numFmtId="171" fontId="50" fillId="0" borderId="1" xfId="3" applyNumberFormat="1" applyFont="1" applyBorder="1" applyAlignment="1">
      <alignment horizontal="center"/>
    </xf>
    <xf numFmtId="172" fontId="50" fillId="0" borderId="1" xfId="3" applyNumberFormat="1" applyFont="1" applyBorder="1" applyAlignment="1">
      <alignment horizontal="center"/>
    </xf>
    <xf numFmtId="173" fontId="50" fillId="0" borderId="1" xfId="3" applyNumberFormat="1" applyFont="1" applyBorder="1" applyAlignment="1">
      <alignment horizontal="center"/>
    </xf>
    <xf numFmtId="179" fontId="50" fillId="0" borderId="1" xfId="3" applyNumberFormat="1" applyFont="1" applyBorder="1"/>
    <xf numFmtId="179" fontId="50" fillId="0" borderId="1" xfId="3" applyNumberFormat="1" applyFont="1" applyBorder="1" applyAlignment="1">
      <alignment horizontal="right"/>
    </xf>
    <xf numFmtId="179" fontId="50" fillId="0" borderId="1" xfId="3" applyNumberFormat="1" applyFont="1" applyBorder="1" applyAlignment="1">
      <alignment horizontal="right" vertical="center"/>
    </xf>
    <xf numFmtId="169" fontId="39" fillId="26" borderId="0" xfId="3" applyNumberFormat="1" applyFont="1" applyFill="1" applyAlignment="1">
      <alignment horizontal="center" vertical="center"/>
    </xf>
    <xf numFmtId="171" fontId="39" fillId="26" borderId="0" xfId="3" applyNumberFormat="1" applyFont="1" applyFill="1" applyAlignment="1">
      <alignment horizontal="center" vertical="center"/>
    </xf>
    <xf numFmtId="172" fontId="39" fillId="26" borderId="0" xfId="3" applyNumberFormat="1" applyFont="1" applyFill="1" applyAlignment="1">
      <alignment horizontal="center" vertical="center"/>
    </xf>
    <xf numFmtId="173" fontId="39" fillId="26" borderId="0" xfId="3" applyNumberFormat="1" applyFont="1" applyFill="1" applyAlignment="1">
      <alignment horizontal="center" vertical="center"/>
    </xf>
    <xf numFmtId="0" fontId="39" fillId="26" borderId="0" xfId="3" applyFont="1" applyFill="1" applyAlignment="1">
      <alignment horizontal="left" vertical="center"/>
    </xf>
    <xf numFmtId="40" fontId="40" fillId="26" borderId="0" xfId="3" applyNumberFormat="1" applyFont="1" applyFill="1" applyAlignment="1">
      <alignment horizontal="right" vertical="center"/>
    </xf>
    <xf numFmtId="40" fontId="40" fillId="26" borderId="0" xfId="3" applyNumberFormat="1" applyFont="1" applyFill="1" applyAlignment="1">
      <alignment vertical="center"/>
    </xf>
    <xf numFmtId="0" fontId="39" fillId="26" borderId="0" xfId="3" applyFont="1" applyFill="1" applyAlignment="1">
      <alignment horizontal="center" vertical="center"/>
    </xf>
    <xf numFmtId="0" fontId="56" fillId="0" borderId="0" xfId="3" applyFont="1" applyAlignment="1">
      <alignment horizontal="left"/>
    </xf>
    <xf numFmtId="0" fontId="56" fillId="0" borderId="0" xfId="3" applyFont="1" applyAlignment="1">
      <alignment horizontal="center" vertical="center"/>
    </xf>
    <xf numFmtId="165" fontId="56" fillId="0" borderId="0" xfId="27" applyFont="1" applyFill="1" applyAlignment="1">
      <alignment horizontal="right" vertical="center"/>
    </xf>
    <xf numFmtId="165" fontId="36" fillId="0" borderId="0" xfId="27" applyFont="1" applyAlignment="1">
      <alignment horizontal="right" vertical="center"/>
    </xf>
    <xf numFmtId="169" fontId="57" fillId="0" borderId="0" xfId="3" applyNumberFormat="1" applyFont="1" applyAlignment="1">
      <alignment horizontal="center" vertical="center"/>
    </xf>
    <xf numFmtId="170" fontId="57" fillId="0" borderId="0" xfId="3" applyNumberFormat="1" applyFont="1" applyAlignment="1">
      <alignment horizontal="center" vertical="center"/>
    </xf>
    <xf numFmtId="171" fontId="57" fillId="0" borderId="0" xfId="3" applyNumberFormat="1" applyFont="1" applyAlignment="1">
      <alignment horizontal="center" vertical="center"/>
    </xf>
    <xf numFmtId="172" fontId="57" fillId="0" borderId="0" xfId="3" applyNumberFormat="1" applyFont="1" applyAlignment="1">
      <alignment horizontal="center" vertical="center"/>
    </xf>
    <xf numFmtId="173" fontId="57" fillId="0" borderId="0" xfId="3" applyNumberFormat="1" applyFont="1" applyAlignment="1">
      <alignment horizontal="center" vertical="center"/>
    </xf>
    <xf numFmtId="0" fontId="57" fillId="0" borderId="0" xfId="3" applyFont="1" applyAlignment="1">
      <alignment horizontal="left" vertical="center"/>
    </xf>
    <xf numFmtId="40" fontId="58" fillId="0" borderId="0" xfId="3" applyNumberFormat="1" applyFont="1" applyAlignment="1">
      <alignment horizontal="right" vertical="center"/>
    </xf>
    <xf numFmtId="40" fontId="58" fillId="0" borderId="0" xfId="3" applyNumberFormat="1" applyFont="1" applyAlignment="1">
      <alignment vertical="center"/>
    </xf>
    <xf numFmtId="40" fontId="58" fillId="0" borderId="0" xfId="3" applyNumberFormat="1" applyFont="1" applyAlignment="1">
      <alignment horizontal="center" vertical="center"/>
    </xf>
    <xf numFmtId="0" fontId="57" fillId="0" borderId="0" xfId="3" applyFont="1" applyAlignment="1">
      <alignment horizontal="center" vertical="center"/>
    </xf>
    <xf numFmtId="169" fontId="57" fillId="26" borderId="0" xfId="3" applyNumberFormat="1" applyFont="1" applyFill="1" applyAlignment="1">
      <alignment horizontal="center" vertical="center"/>
    </xf>
    <xf numFmtId="171" fontId="57" fillId="26" borderId="0" xfId="3" applyNumberFormat="1" applyFont="1" applyFill="1" applyAlignment="1">
      <alignment horizontal="center" vertical="center"/>
    </xf>
    <xf numFmtId="172" fontId="57" fillId="26" borderId="0" xfId="3" applyNumberFormat="1" applyFont="1" applyFill="1" applyAlignment="1">
      <alignment horizontal="center" vertical="center"/>
    </xf>
    <xf numFmtId="173" fontId="57" fillId="26" borderId="0" xfId="3" applyNumberFormat="1" applyFont="1" applyFill="1" applyAlignment="1">
      <alignment horizontal="center" vertical="center"/>
    </xf>
    <xf numFmtId="0" fontId="57" fillId="26" borderId="0" xfId="3" applyFont="1" applyFill="1" applyAlignment="1">
      <alignment horizontal="left" vertical="center"/>
    </xf>
    <xf numFmtId="40" fontId="58" fillId="26" borderId="0" xfId="3" applyNumberFormat="1" applyFont="1" applyFill="1" applyAlignment="1">
      <alignment horizontal="right" vertical="center"/>
    </xf>
    <xf numFmtId="40" fontId="58" fillId="26" borderId="0" xfId="3" applyNumberFormat="1" applyFont="1" applyFill="1" applyAlignment="1">
      <alignment vertical="center"/>
    </xf>
    <xf numFmtId="4" fontId="59" fillId="0" borderId="0" xfId="3" applyNumberFormat="1" applyFont="1" applyAlignment="1">
      <alignment horizontal="right" vertical="center"/>
    </xf>
    <xf numFmtId="172" fontId="6" fillId="27" borderId="0" xfId="3" applyNumberFormat="1" applyFont="1" applyFill="1" applyAlignment="1">
      <alignment horizontal="center" vertical="center"/>
    </xf>
    <xf numFmtId="165" fontId="6" fillId="0" borderId="28" xfId="27" applyFont="1" applyBorder="1" applyAlignment="1">
      <alignment horizontal="center" vertical="center"/>
    </xf>
    <xf numFmtId="165" fontId="10" fillId="0" borderId="28" xfId="27" applyFont="1" applyBorder="1" applyAlignment="1">
      <alignment horizontal="center" vertical="center"/>
    </xf>
    <xf numFmtId="165" fontId="13" fillId="0" borderId="28" xfId="27" applyFont="1" applyBorder="1" applyAlignment="1">
      <alignment horizontal="center" vertical="center"/>
    </xf>
    <xf numFmtId="4" fontId="56" fillId="0" borderId="0" xfId="3" applyNumberFormat="1" applyFont="1" applyAlignment="1">
      <alignment horizontal="right" vertical="center"/>
    </xf>
    <xf numFmtId="40" fontId="40" fillId="26" borderId="0" xfId="3" applyNumberFormat="1" applyFont="1" applyFill="1" applyAlignment="1">
      <alignment horizontal="center" vertical="center"/>
    </xf>
    <xf numFmtId="40" fontId="58" fillId="26" borderId="0" xfId="3" applyNumberFormat="1" applyFont="1" applyFill="1" applyAlignment="1">
      <alignment horizontal="center" vertical="center"/>
    </xf>
    <xf numFmtId="0" fontId="57" fillId="26" borderId="0" xfId="3" applyFont="1" applyFill="1" applyAlignment="1">
      <alignment horizontal="center" vertical="center"/>
    </xf>
    <xf numFmtId="173" fontId="10" fillId="0" borderId="28" xfId="0" applyNumberFormat="1" applyFont="1" applyBorder="1" applyAlignment="1">
      <alignment horizontal="center"/>
    </xf>
    <xf numFmtId="172" fontId="56" fillId="0" borderId="0" xfId="3" applyNumberFormat="1" applyFont="1" applyAlignment="1">
      <alignment horizontal="center"/>
    </xf>
    <xf numFmtId="173" fontId="56" fillId="0" borderId="0" xfId="3" applyNumberFormat="1" applyFont="1" applyAlignment="1">
      <alignment horizontal="center"/>
    </xf>
    <xf numFmtId="0" fontId="10" fillId="26" borderId="0" xfId="3" applyFont="1" applyFill="1" applyAlignment="1">
      <alignment horizontal="left"/>
    </xf>
    <xf numFmtId="4" fontId="36" fillId="26" borderId="0" xfId="3" applyNumberFormat="1" applyFont="1" applyFill="1" applyAlignment="1">
      <alignment horizontal="right" vertical="center"/>
    </xf>
    <xf numFmtId="0" fontId="10" fillId="26" borderId="0" xfId="3" applyFont="1" applyFill="1" applyAlignment="1">
      <alignment horizontal="center" vertical="center"/>
    </xf>
    <xf numFmtId="172" fontId="56" fillId="26" borderId="0" xfId="3" applyNumberFormat="1" applyFont="1" applyFill="1" applyAlignment="1">
      <alignment horizontal="center"/>
    </xf>
    <xf numFmtId="173" fontId="56" fillId="26" borderId="0" xfId="3" applyNumberFormat="1" applyFont="1" applyFill="1" applyAlignment="1">
      <alignment horizontal="center"/>
    </xf>
    <xf numFmtId="0" fontId="56" fillId="26" borderId="0" xfId="3" applyFont="1" applyFill="1" applyAlignment="1">
      <alignment horizontal="left"/>
    </xf>
    <xf numFmtId="4" fontId="56" fillId="26" borderId="0" xfId="3" applyNumberFormat="1" applyFont="1" applyFill="1" applyAlignment="1">
      <alignment horizontal="right" vertical="center"/>
    </xf>
    <xf numFmtId="0" fontId="56" fillId="26" borderId="0" xfId="3" applyFont="1" applyFill="1" applyAlignment="1">
      <alignment horizontal="center" vertical="center"/>
    </xf>
    <xf numFmtId="169" fontId="59" fillId="0" borderId="0" xfId="3" applyNumberFormat="1" applyFont="1" applyAlignment="1">
      <alignment horizontal="center" vertical="center"/>
    </xf>
    <xf numFmtId="0" fontId="60" fillId="0" borderId="0" xfId="0" applyFont="1" applyAlignment="1">
      <alignment horizontal="center"/>
    </xf>
    <xf numFmtId="0" fontId="10" fillId="29" borderId="1" xfId="3" applyFont="1" applyFill="1" applyBorder="1" applyAlignment="1">
      <alignment horizontal="left" vertical="center"/>
    </xf>
    <xf numFmtId="0" fontId="10" fillId="26" borderId="1" xfId="3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48" fillId="0" borderId="1" xfId="3" applyFont="1" applyBorder="1" applyAlignment="1">
      <alignment horizontal="center" vertical="center"/>
    </xf>
    <xf numFmtId="4" fontId="45" fillId="27" borderId="0" xfId="3" applyNumberFormat="1" applyFont="1" applyFill="1" applyAlignment="1">
      <alignment horizontal="right" vertical="center"/>
    </xf>
    <xf numFmtId="0" fontId="49" fillId="0" borderId="1" xfId="3" applyFont="1" applyBorder="1" applyAlignment="1">
      <alignment horizontal="center" vertical="center"/>
    </xf>
    <xf numFmtId="0" fontId="10" fillId="29" borderId="0" xfId="3" applyFont="1" applyFill="1" applyAlignment="1">
      <alignment horizontal="left" vertical="center"/>
    </xf>
    <xf numFmtId="0" fontId="61" fillId="0" borderId="1" xfId="0" applyFont="1" applyBorder="1" applyAlignment="1">
      <alignment horizontal="left"/>
    </xf>
    <xf numFmtId="0" fontId="25" fillId="29" borderId="1" xfId="3" applyFont="1" applyFill="1" applyBorder="1" applyAlignment="1">
      <alignment horizontal="left" vertical="center"/>
    </xf>
    <xf numFmtId="0" fontId="25" fillId="26" borderId="1" xfId="3" applyFont="1" applyFill="1" applyBorder="1" applyAlignment="1">
      <alignment horizontal="left" vertical="center"/>
    </xf>
    <xf numFmtId="0" fontId="61" fillId="0" borderId="0" xfId="0" applyFont="1" applyAlignment="1">
      <alignment horizontal="left"/>
    </xf>
    <xf numFmtId="0" fontId="10" fillId="0" borderId="1" xfId="3" applyFont="1" applyBorder="1" applyAlignment="1">
      <alignment horizontal="center" vertical="center"/>
    </xf>
    <xf numFmtId="0" fontId="63" fillId="0" borderId="1" xfId="0" applyFont="1" applyBorder="1" applyAlignment="1">
      <alignment horizontal="left"/>
    </xf>
    <xf numFmtId="0" fontId="14" fillId="0" borderId="0" xfId="3" applyFont="1" applyAlignment="1">
      <alignment horizontal="left" vertical="center"/>
    </xf>
    <xf numFmtId="0" fontId="14" fillId="26" borderId="0" xfId="3" applyFont="1" applyFill="1" applyAlignment="1">
      <alignment horizontal="left" vertical="center"/>
    </xf>
    <xf numFmtId="0" fontId="63" fillId="0" borderId="0" xfId="0" applyFont="1" applyAlignment="1">
      <alignment horizontal="left"/>
    </xf>
    <xf numFmtId="0" fontId="14" fillId="29" borderId="1" xfId="3" applyFont="1" applyFill="1" applyBorder="1" applyAlignment="1">
      <alignment horizontal="left" vertical="center"/>
    </xf>
    <xf numFmtId="0" fontId="14" fillId="26" borderId="1" xfId="3" applyFont="1" applyFill="1" applyBorder="1" applyAlignment="1">
      <alignment horizontal="left" vertical="center"/>
    </xf>
    <xf numFmtId="0" fontId="64" fillId="0" borderId="1" xfId="0" applyFont="1" applyBorder="1" applyAlignment="1">
      <alignment horizontal="left"/>
    </xf>
    <xf numFmtId="0" fontId="64" fillId="0" borderId="1" xfId="0" applyFont="1" applyBorder="1" applyAlignment="1">
      <alignment horizontal="left" vertical="center"/>
    </xf>
    <xf numFmtId="0" fontId="25" fillId="0" borderId="1" xfId="3" applyFont="1" applyBorder="1" applyAlignment="1">
      <alignment horizontal="left" vertical="center"/>
    </xf>
    <xf numFmtId="0" fontId="64" fillId="0" borderId="0" xfId="0" applyFont="1" applyAlignment="1">
      <alignment horizontal="left"/>
    </xf>
    <xf numFmtId="0" fontId="14" fillId="29" borderId="0" xfId="3" applyFont="1" applyFill="1" applyAlignment="1">
      <alignment horizontal="left" vertical="center"/>
    </xf>
    <xf numFmtId="0" fontId="63" fillId="0" borderId="1" xfId="0" applyFont="1" applyBorder="1"/>
    <xf numFmtId="0" fontId="14" fillId="29" borderId="0" xfId="3" applyFont="1" applyFill="1" applyAlignment="1">
      <alignment vertical="center"/>
    </xf>
    <xf numFmtId="0" fontId="64" fillId="0" borderId="1" xfId="0" applyFont="1" applyBorder="1"/>
    <xf numFmtId="0" fontId="49" fillId="26" borderId="0" xfId="3" applyFont="1" applyFill="1" applyAlignment="1">
      <alignment vertical="center"/>
    </xf>
    <xf numFmtId="0" fontId="64" fillId="0" borderId="0" xfId="0" applyFont="1"/>
    <xf numFmtId="0" fontId="49" fillId="0" borderId="1" xfId="3" applyFont="1" applyBorder="1" applyAlignment="1">
      <alignment vertical="center"/>
    </xf>
    <xf numFmtId="0" fontId="63" fillId="0" borderId="0" xfId="0" applyFont="1"/>
    <xf numFmtId="0" fontId="10" fillId="0" borderId="1" xfId="3" applyFont="1" applyBorder="1" applyAlignment="1">
      <alignment vertical="center"/>
    </xf>
    <xf numFmtId="0" fontId="10" fillId="0" borderId="0" xfId="3" applyFont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10" fillId="0" borderId="0" xfId="3" applyFont="1" applyAlignment="1">
      <alignment vertical="center"/>
    </xf>
    <xf numFmtId="0" fontId="25" fillId="29" borderId="1" xfId="3" applyFont="1" applyFill="1" applyBorder="1" applyAlignment="1">
      <alignment vertical="center"/>
    </xf>
    <xf numFmtId="0" fontId="0" fillId="0" borderId="11" xfId="0" applyBorder="1"/>
    <xf numFmtId="0" fontId="61" fillId="0" borderId="11" xfId="0" applyFont="1" applyBorder="1" applyAlignment="1">
      <alignment horizontal="left"/>
    </xf>
    <xf numFmtId="0" fontId="56" fillId="26" borderId="1" xfId="3" applyFont="1" applyFill="1" applyBorder="1" applyAlignment="1">
      <alignment horizontal="center" vertical="center"/>
    </xf>
    <xf numFmtId="0" fontId="25" fillId="29" borderId="0" xfId="3" applyFont="1" applyFill="1" applyAlignment="1">
      <alignment horizontal="left" vertical="center"/>
    </xf>
    <xf numFmtId="177" fontId="0" fillId="0" borderId="1" xfId="0" applyNumberFormat="1" applyBorder="1"/>
    <xf numFmtId="177" fontId="0" fillId="0" borderId="0" xfId="0" applyNumberFormat="1"/>
    <xf numFmtId="0" fontId="0" fillId="0" borderId="28" xfId="0" applyBorder="1"/>
    <xf numFmtId="4" fontId="3" fillId="0" borderId="28" xfId="0" applyNumberFormat="1" applyFont="1" applyBorder="1"/>
    <xf numFmtId="4" fontId="3" fillId="0" borderId="0" xfId="0" applyNumberFormat="1" applyFont="1"/>
    <xf numFmtId="0" fontId="62" fillId="0" borderId="28" xfId="3" applyFont="1" applyBorder="1" applyAlignment="1">
      <alignment horizontal="left" vertical="center"/>
    </xf>
    <xf numFmtId="0" fontId="64" fillId="0" borderId="28" xfId="0" applyFont="1" applyBorder="1" applyAlignment="1">
      <alignment horizontal="left"/>
    </xf>
    <xf numFmtId="0" fontId="46" fillId="30" borderId="0" xfId="3" applyFont="1" applyFill="1" applyAlignment="1">
      <alignment horizontal="left" vertical="center"/>
    </xf>
    <xf numFmtId="0" fontId="11" fillId="2" borderId="0" xfId="2" applyFont="1" applyBorder="1" applyAlignment="1">
      <alignment horizontal="center" vertical="center"/>
    </xf>
    <xf numFmtId="17" fontId="11" fillId="2" borderId="0" xfId="2" applyNumberFormat="1" applyFont="1" applyBorder="1" applyAlignment="1">
      <alignment horizontal="center" vertical="center"/>
    </xf>
    <xf numFmtId="166" fontId="34" fillId="6" borderId="0" xfId="1" applyNumberFormat="1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0" fontId="32" fillId="17" borderId="37" xfId="15" applyFont="1" applyBorder="1" applyAlignment="1">
      <alignment horizontal="center" vertical="center"/>
    </xf>
    <xf numFmtId="0" fontId="32" fillId="17" borderId="38" xfId="15" applyFont="1" applyBorder="1" applyAlignment="1">
      <alignment horizontal="center" vertical="center"/>
    </xf>
    <xf numFmtId="0" fontId="32" fillId="17" borderId="39" xfId="15" applyFont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174" fontId="41" fillId="10" borderId="0" xfId="0" applyNumberFormat="1" applyFont="1" applyFill="1" applyAlignment="1">
      <alignment horizontal="center" vertic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74" fontId="18" fillId="9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175" fontId="34" fillId="4" borderId="0" xfId="1" applyNumberFormat="1" applyFont="1" applyFill="1" applyAlignment="1">
      <alignment horizontal="center" vertical="center"/>
    </xf>
    <xf numFmtId="176" fontId="34" fillId="4" borderId="0" xfId="1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76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32" fillId="17" borderId="33" xfId="15" applyFont="1" applyBorder="1" applyAlignment="1">
      <alignment horizontal="center" vertical="center"/>
    </xf>
    <xf numFmtId="0" fontId="11" fillId="10" borderId="0" xfId="0" applyFont="1" applyFill="1" applyAlignment="1">
      <alignment horizontal="left" vertical="center"/>
    </xf>
    <xf numFmtId="0" fontId="28" fillId="0" borderId="0" xfId="6" applyFont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177" fontId="21" fillId="0" borderId="23" xfId="6" applyNumberFormat="1" applyFont="1" applyBorder="1" applyAlignment="1">
      <alignment horizontal="center"/>
    </xf>
    <xf numFmtId="0" fontId="27" fillId="2" borderId="0" xfId="2" applyFont="1" applyAlignment="1">
      <alignment horizontal="center" vertical="center"/>
    </xf>
  </cellXfs>
  <cellStyles count="28">
    <cellStyle name="Car" xfId="7" xr:uid="{00000000-0005-0000-0000-000000000000}"/>
    <cellStyle name="Celda de comprobación" xfId="15" builtinId="23"/>
    <cellStyle name="Énfasis1" xfId="5" builtinId="29"/>
    <cellStyle name="Énfasis2" xfId="2" builtinId="33"/>
    <cellStyle name="Error" xfId="8" xr:uid="{00000000-0005-0000-0000-000004000000}"/>
    <cellStyle name="Error 2" xfId="16" xr:uid="{00000000-0005-0000-0000-000005000000}"/>
    <cellStyle name="Millares" xfId="27" builtinId="3"/>
    <cellStyle name="Millares 2" xfId="9" xr:uid="{00000000-0005-0000-0000-000007000000}"/>
    <cellStyle name="Millares 2 2" xfId="17" xr:uid="{00000000-0005-0000-0000-000008000000}"/>
    <cellStyle name="Moneda" xfId="1" builtinId="4"/>
    <cellStyle name="Moneda 2" xfId="10" xr:uid="{00000000-0005-0000-0000-00000A000000}"/>
    <cellStyle name="Moneda 2 2" xfId="20" xr:uid="{00000000-0005-0000-0000-00000B000000}"/>
    <cellStyle name="Moneda 3" xfId="23" xr:uid="{00000000-0005-0000-0000-00000C000000}"/>
    <cellStyle name="No completar" xfId="11" xr:uid="{00000000-0005-0000-0000-00000D000000}"/>
    <cellStyle name="No completar 2" xfId="18" xr:uid="{00000000-0005-0000-0000-00000E000000}"/>
    <cellStyle name="Normal" xfId="0" builtinId="0"/>
    <cellStyle name="Normal 10" xfId="26" xr:uid="{00000000-0005-0000-0000-000010000000}"/>
    <cellStyle name="Normal 2" xfId="4" xr:uid="{00000000-0005-0000-0000-000011000000}"/>
    <cellStyle name="Normal 2 2" xfId="19" xr:uid="{00000000-0005-0000-0000-000012000000}"/>
    <cellStyle name="Normal 3" xfId="3" xr:uid="{00000000-0005-0000-0000-000013000000}"/>
    <cellStyle name="Normal 4" xfId="12" xr:uid="{00000000-0005-0000-0000-000014000000}"/>
    <cellStyle name="Normal 5" xfId="13" xr:uid="{00000000-0005-0000-0000-000015000000}"/>
    <cellStyle name="Normal 6" xfId="14" xr:uid="{00000000-0005-0000-0000-000016000000}"/>
    <cellStyle name="Normal 6 2" xfId="21" xr:uid="{00000000-0005-0000-0000-000017000000}"/>
    <cellStyle name="Normal 7" xfId="6" xr:uid="{00000000-0005-0000-0000-000018000000}"/>
    <cellStyle name="Normal 7 2" xfId="22" xr:uid="{00000000-0005-0000-0000-000019000000}"/>
    <cellStyle name="Normal 8" xfId="24" xr:uid="{00000000-0005-0000-0000-00001A000000}"/>
    <cellStyle name="Normal 9" xfId="25" xr:uid="{00000000-0005-0000-0000-00001B000000}"/>
  </cellStyles>
  <dxfs count="216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2" formatCode="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2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2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1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9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dd/mm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9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dd/mm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3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Medium9">
    <tableStyle name="Estilo de tabla 1" pivot="0" count="4" xr9:uid="{00000000-0011-0000-FFFF-FFFF00000000}">
      <tableStyleElement type="wholeTable" dxfId="2168"/>
      <tableStyleElement type="headerRow" dxfId="2167"/>
      <tableStyleElement type="totalRow" dxfId="2166"/>
      <tableStyleElement type="firstRowStripe" dxfId="2165"/>
    </tableStyle>
    <tableStyle name="Tabla Ventas" pivot="0" count="5" xr9:uid="{00000000-0011-0000-FFFF-FFFF01000000}">
      <tableStyleElement type="wholeTable" dxfId="2164"/>
      <tableStyleElement type="headerRow" dxfId="2163"/>
      <tableStyleElement type="totalRow" dxfId="2162"/>
      <tableStyleElement type="firstRowStripe" dxfId="2161"/>
      <tableStyleElement type="secondRowStripe" dxfId="2160"/>
    </tableStyle>
  </tableStyles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ista_CUIT" displayName="Lista_CUIT" ref="A1:D2242" totalsRowShown="0" headerRowDxfId="2159">
  <autoFilter ref="A1:D2242" xr:uid="{00000000-0009-0000-0100-000006000000}">
    <filterColumn colId="1">
      <filters>
        <filter val="BIANCHI CRISTIAN MAXIMILIANO"/>
      </filters>
    </filterColumn>
  </autoFilter>
  <sortState xmlns:xlrd2="http://schemas.microsoft.com/office/spreadsheetml/2017/richdata2" ref="A2:D1861">
    <sortCondition ref="B1:B1861"/>
  </sortState>
  <tableColumns count="4">
    <tableColumn id="1" xr3:uid="{00000000-0010-0000-0000-000001000000}" name="CUIT" dataDxfId="2158"/>
    <tableColumn id="2" xr3:uid="{00000000-0010-0000-0000-000002000000}" name="RAZON SOCIAL" dataDxfId="2157"/>
    <tableColumn id="3" xr3:uid="{00000000-0010-0000-0000-000003000000}" name="Tipo de Gasto" dataDxfId="2156"/>
    <tableColumn id="4" xr3:uid="{00000000-0010-0000-0000-000004000000}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B85ABDB7-DA88-45A8-AB14-5192FE54A413}" name="factura_c_mes182" displayName="factura_c_mes182" ref="B4:I17" totalsRowCount="1" headerRowDxfId="2155" dataDxfId="2154" totalsRowDxfId="2153" headerRowCellStyle="Normal 3">
  <autoFilter ref="B4:I16" xr:uid="{B85ABDB7-DA88-45A8-AB14-5192FE54A413}"/>
  <sortState xmlns:xlrd2="http://schemas.microsoft.com/office/spreadsheetml/2017/richdata2" ref="B5:I16">
    <sortCondition ref="H81:H92"/>
  </sortState>
  <tableColumns count="8">
    <tableColumn id="1" xr3:uid="{6B1A48DC-629A-41E9-9E37-B1E158255504}" name="FECHA" totalsRowLabel="Total" dataDxfId="2152" totalsRowDxfId="2151" dataCellStyle="Normal 3"/>
    <tableColumn id="2" xr3:uid="{B47AA74C-9CDC-4ECB-86F7-511F91779D8C}" name="PTO VTA" dataDxfId="2150" totalsRowDxfId="2149" dataCellStyle="Normal 3"/>
    <tableColumn id="3" xr3:uid="{46BE9563-2495-4D21-B566-AFA60EA402C5}" name="FC Nº" dataDxfId="2148" totalsRowDxfId="2147" dataCellStyle="Normal 3"/>
    <tableColumn id="4" xr3:uid="{AAB14992-ED62-47AE-A22E-654B2513E566}" name="CUIT" dataDxfId="2146" totalsRowDxfId="2145" dataCellStyle="Normal 3"/>
    <tableColumn id="5" xr3:uid="{830C84ED-7D5E-488E-BFB9-2277508F3A28}" name="RAZON SOCIAL" dataDxfId="2144" totalsRowDxfId="2143" dataCellStyle="Normal 3">
      <calculatedColumnFormula>IFERROR(IF(factura_c_mes182[[#This Row],[CUIT]]="","-",VLOOKUP(factura_c_mes182[[#This Row],[CUIT]],Lista_CUIT[#All],2,0)),"CUIT NO CARGADO")</calculatedColumnFormula>
    </tableColumn>
    <tableColumn id="6" xr3:uid="{4ADFDD31-21CB-4631-B465-CB1AA374D399}" name="TOTAL" totalsRowFunction="sum" dataDxfId="2142" totalsRowDxfId="2141" dataCellStyle="Normal 3"/>
    <tableColumn id="7" xr3:uid="{BA8A3240-E9B0-43DB-B003-8EF973D02E7C}" name="TIPO DE GASTO" dataDxfId="2140" totalsRowDxfId="2139" dataCellStyle="Normal 3">
      <calculatedColumnFormula>IFERROR(IF(factura_c_mes182[[#This Row],[CUIT]]="","-",VLOOKUP(factura_c_mes182[[#This Row],[CUIT]],Lista_CUIT[#All],3,0)),"CUIT NO CARGADO")</calculatedColumnFormula>
    </tableColumn>
    <tableColumn id="8" xr3:uid="{D2F0B21B-6405-4E58-9C55-5338BD25E700}" name="Provincia" dataDxfId="2138" totalsRowDxfId="2137" dataCellStyle="Normal 3">
      <calculatedColumnFormula>IFERROR(IF(factura_c_mes182[[#This Row],[CUIT]]="","-",VLOOKUP(factura_c_mes182[[#This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541E0574-BCD3-4509-9666-A351EB6FF63F}" name="factura_c_mes283" displayName="factura_c_mes283" ref="B20:I48" totalsRowCount="1" headerRowDxfId="2136" totalsRowDxfId="2135" headerRowCellStyle="Normal 3">
  <autoFilter ref="B20:I47" xr:uid="{541E0574-BCD3-4509-9666-A351EB6FF63F}"/>
  <sortState xmlns:xlrd2="http://schemas.microsoft.com/office/spreadsheetml/2017/richdata2" ref="B21:I47">
    <sortCondition ref="H21:H47"/>
  </sortState>
  <tableColumns count="8">
    <tableColumn id="1" xr3:uid="{4F6D13A4-4F61-476C-B185-D525262D9C84}" name="FECHA" totalsRowLabel="Total" dataDxfId="2134" totalsRowDxfId="2133" dataCellStyle="Normal 3"/>
    <tableColumn id="2" xr3:uid="{81464439-145A-47A3-96D1-C36171F676D1}" name="PTO VTA" dataDxfId="2132" totalsRowDxfId="2131" dataCellStyle="Normal 3"/>
    <tableColumn id="3" xr3:uid="{4CDF7FE8-69BA-4DF6-A3CE-CFD55B844EAD}" name="FC Nº" dataDxfId="2130" totalsRowDxfId="2129" dataCellStyle="Normal 3"/>
    <tableColumn id="4" xr3:uid="{B7C4325F-9ACE-40A2-805E-69FC606270D7}" name="CUIT" dataDxfId="2128" totalsRowDxfId="2127" dataCellStyle="Normal 3"/>
    <tableColumn id="5" xr3:uid="{35CC89FB-AD6A-4855-84B9-70EB5150E21E}" name="RAZON SOCIAL" dataDxfId="2126" totalsRowDxfId="2125" dataCellStyle="Normal 3">
      <calculatedColumnFormula>IFERROR(IF(factura_c_mes283[[#This Row],[CUIT]]="","-",VLOOKUP(factura_c_mes283[[#This Row],[CUIT]],Lista_CUIT[#All],2,0)),"CUIT NO CARGADO")</calculatedColumnFormula>
    </tableColumn>
    <tableColumn id="6" xr3:uid="{15344597-F40A-4FBC-BB6F-FCFF35A6953D}" name="TOTAL" totalsRowFunction="sum" dataDxfId="2124" totalsRowDxfId="2123" dataCellStyle="Normal 3"/>
    <tableColumn id="7" xr3:uid="{19B1EC0B-4637-4DA3-B1CE-DAAE9F0EDC37}" name="TIPO DE GASTO" dataDxfId="2122" totalsRowDxfId="2121" dataCellStyle="Normal 3">
      <calculatedColumnFormula>IFERROR(IF(factura_c_mes283[[#This Row],[CUIT]]="","-",VLOOKUP(factura_c_mes283[[#This Row],[CUIT]],Lista_CUIT[#All],3,0)),"CUIT NO CARGADO")</calculatedColumnFormula>
    </tableColumn>
    <tableColumn id="8" xr3:uid="{14EEA02D-6BF4-4850-B332-39A5EC845EA8}" name="Provincia" dataDxfId="2120" totalsRowDxfId="2119" dataCellStyle="Normal 3">
      <calculatedColumnFormula>IFERROR(IF(factura_c_mes283[[#This Row],[CUIT]]="","-",VLOOKUP(factura_c_mes283[[#This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CC4694D9-96D9-418C-961C-5C751A03B2DC}" name="factura_c_mes384" displayName="factura_c_mes384" ref="B52:I67" totalsRowCount="1" headerRowDxfId="2118" totalsRowDxfId="2117" headerRowCellStyle="Normal 3">
  <autoFilter ref="B52:I66" xr:uid="{CC4694D9-96D9-418C-961C-5C751A03B2DC}"/>
  <sortState xmlns:xlrd2="http://schemas.microsoft.com/office/spreadsheetml/2017/richdata2" ref="B53:I66">
    <sortCondition ref="H53:H66"/>
  </sortState>
  <tableColumns count="8">
    <tableColumn id="1" xr3:uid="{F8B9FB38-3159-40C9-95C1-2A1B66361DEE}" name="FECHA" totalsRowLabel="Total" dataDxfId="2116" totalsRowDxfId="2115" dataCellStyle="Normal 3"/>
    <tableColumn id="2" xr3:uid="{4B40D0DB-4CB2-4465-A11F-AA31FC957DFE}" name="PTO VTA" dataDxfId="2114" totalsRowDxfId="2113" dataCellStyle="Normal 3"/>
    <tableColumn id="3" xr3:uid="{F6B8DE5D-132A-4914-9969-B7D505F2895A}" name="FC Nº" dataDxfId="2112" totalsRowDxfId="2111" dataCellStyle="Normal 3"/>
    <tableColumn id="4" xr3:uid="{FE325768-4330-4A13-B3B4-2066B085964B}" name="CUIT" dataDxfId="2110" totalsRowDxfId="2109" dataCellStyle="Normal 3"/>
    <tableColumn id="5" xr3:uid="{49B3223C-0DE4-4D30-8D35-98F538F56983}" name="RAZON SOCIAL" dataDxfId="2108" totalsRowDxfId="2107" dataCellStyle="Normal 3">
      <calculatedColumnFormula>IFERROR(IF(factura_c_mes384[[#This Row],[CUIT]]="","-",VLOOKUP(factura_c_mes384[[#This Row],[CUIT]],Lista_CUIT[#All],2,0)),"CUIT NO CARGADO")</calculatedColumnFormula>
    </tableColumn>
    <tableColumn id="6" xr3:uid="{DE6CFB8E-38AC-44E9-AA30-8C494728B3DB}" name="TOTAL" totalsRowFunction="sum" dataDxfId="2106" totalsRowDxfId="2105" dataCellStyle="Normal 3"/>
    <tableColumn id="7" xr3:uid="{2394FD67-3B15-444D-8508-5E82F3AA63BC}" name="TIPO DE GASTO" dataDxfId="2104" totalsRowDxfId="2103" dataCellStyle="Normal 3">
      <calculatedColumnFormula>IFERROR(IF(factura_c_mes384[[#This Row],[CUIT]]="","-",VLOOKUP(factura_c_mes384[[#This Row],[CUIT]],Lista_CUIT[#All],3,0)),"CUIT NO CARGADO")</calculatedColumnFormula>
    </tableColumn>
    <tableColumn id="8" xr3:uid="{7103FCCD-4DF6-48ED-B0A5-1D3C999C5EB4}" name="Provincia" dataDxfId="2102" totalsRowDxfId="2101" dataCellStyle="Normal 3">
      <calculatedColumnFormula>IFERROR(IF(factura_c_mes384[[#This Row],[CUIT]]="","-",VLOOKUP(factura_c_mes384[[#This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898E7B64-5674-418E-9221-D6EA1D812714}" name="factura_c_mes485" displayName="factura_c_mes485" ref="B71:I85" totalsRowCount="1" headerRowDxfId="2100" totalsRowDxfId="2099" headerRowCellStyle="Normal 3">
  <autoFilter ref="B71:I84" xr:uid="{898E7B64-5674-418E-9221-D6EA1D812714}"/>
  <sortState xmlns:xlrd2="http://schemas.microsoft.com/office/spreadsheetml/2017/richdata2" ref="B72:I84">
    <sortCondition ref="H72:H84"/>
  </sortState>
  <tableColumns count="8">
    <tableColumn id="1" xr3:uid="{3E6C6BEA-F8F4-444D-979A-A9210D274FD3}" name="FECHA" totalsRowLabel="Total" dataDxfId="2098" totalsRowDxfId="2097" dataCellStyle="Normal 3"/>
    <tableColumn id="2" xr3:uid="{EE9C5DBE-0E22-4920-B39C-8F82FEDD559F}" name="PTO VTA" dataDxfId="2096" totalsRowDxfId="2095" dataCellStyle="Normal 3"/>
    <tableColumn id="3" xr3:uid="{90985433-21B0-46F0-9B57-2B3F6F331F3A}" name="FC Nº" dataDxfId="2094" totalsRowDxfId="2093" dataCellStyle="Normal 3"/>
    <tableColumn id="4" xr3:uid="{02FD56E2-E350-4A58-B76E-78940725032C}" name="CUIT" dataDxfId="2092" totalsRowDxfId="2091" dataCellStyle="Normal 3"/>
    <tableColumn id="5" xr3:uid="{F605D475-54E3-4D0D-9172-2B9C26133F7C}" name="RAZON SOCIAL" dataDxfId="2090" totalsRowDxfId="2089" dataCellStyle="Normal 3">
      <calculatedColumnFormula>IFERROR(IF(factura_c_mes485[[#This Row],[CUIT]]="","-",VLOOKUP(factura_c_mes485[[#This Row],[CUIT]],Lista_CUIT[#All],2,0)),"CUIT NO CARGADO")</calculatedColumnFormula>
    </tableColumn>
    <tableColumn id="6" xr3:uid="{7B3C921E-7C50-4723-BFE7-20EEE6C9D4CC}" name="TOTAL" totalsRowFunction="sum" dataDxfId="2088" totalsRowDxfId="2087" dataCellStyle="Normal 3"/>
    <tableColumn id="7" xr3:uid="{0FDE38B1-03C3-44CA-9443-5FC8DBE92D30}" name="TIPO DE GASTO" dataDxfId="2086" totalsRowDxfId="2085" dataCellStyle="Normal 3">
      <calculatedColumnFormula>IFERROR(IF(factura_c_mes485[[#This Row],[CUIT]]="","-",VLOOKUP(factura_c_mes485[[#This Row],[CUIT]],Lista_CUIT[#All],3,0)),"CUIT NO CARGADO")</calculatedColumnFormula>
    </tableColumn>
    <tableColumn id="8" xr3:uid="{CBBBE0A1-244B-4C1D-A849-49D1421DC3C6}" name="Provincia" dataDxfId="2084" totalsRowDxfId="2083" dataCellStyle="Normal 3">
      <calculatedColumnFormula>IFERROR(IF(factura_c_mes485[[#This Row],[CUIT]]="","-",VLOOKUP(factura_c_mes485[[#This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8B37758-9E61-4CFE-9F8C-89583B029FC8}" name="factura_c_mes586" displayName="factura_c_mes586" ref="B89:I108" totalsRowCount="1" headerRowDxfId="2082" totalsRowDxfId="2081" headerRowCellStyle="Normal 3">
  <autoFilter ref="B89:I107" xr:uid="{E8B37758-9E61-4CFE-9F8C-89583B029FC8}"/>
  <sortState xmlns:xlrd2="http://schemas.microsoft.com/office/spreadsheetml/2017/richdata2" ref="B90:I107">
    <sortCondition ref="H90:H107"/>
  </sortState>
  <tableColumns count="8">
    <tableColumn id="1" xr3:uid="{9E48BEAE-80D8-4C4E-B69E-757F0368749A}" name="FECHA" totalsRowLabel="Total" dataDxfId="2080" totalsRowDxfId="2079" dataCellStyle="Normal 3"/>
    <tableColumn id="2" xr3:uid="{847C9C1B-5936-4D5D-B518-EC4D1F51DD5A}" name="PTO VTA" dataDxfId="2078" totalsRowDxfId="2077" dataCellStyle="Normal 3"/>
    <tableColumn id="3" xr3:uid="{208B0CDC-0CE4-42BD-A29B-149209042F8F}" name="FC Nº" dataDxfId="2076" totalsRowDxfId="2075" dataCellStyle="Normal 3"/>
    <tableColumn id="4" xr3:uid="{7DA4CA71-4EB5-4F61-BB98-435C4964315F}" name="CUIT" dataDxfId="2074" totalsRowDxfId="2073" dataCellStyle="Normal 3"/>
    <tableColumn id="5" xr3:uid="{F380F25D-9C92-4C3F-9823-909922A98411}" name="RAZON SOCIAL" dataDxfId="2072" totalsRowDxfId="2071" dataCellStyle="Normal 3">
      <calculatedColumnFormula>IFERROR(IF(factura_c_mes586[[#This Row],[CUIT]]="","-",VLOOKUP(factura_c_mes586[[#This Row],[CUIT]],Lista_CUIT[#All],2,0)),"CUIT NO CARGADO")</calculatedColumnFormula>
    </tableColumn>
    <tableColumn id="6" xr3:uid="{46EAAEC5-13BF-4EBA-87F2-83826D44DCAE}" name="TOTAL" totalsRowFunction="sum" dataDxfId="2070" totalsRowDxfId="2069" dataCellStyle="Normal 3"/>
    <tableColumn id="7" xr3:uid="{14777417-6C78-4ED7-A74C-59E264A4296F}" name="TIPO DE GASTO" dataDxfId="2068" totalsRowDxfId="2067" dataCellStyle="Normal 3">
      <calculatedColumnFormula>IFERROR(IF(factura_c_mes586[[#This Row],[CUIT]]="","-",VLOOKUP(factura_c_mes586[[#This Row],[CUIT]],Lista_CUIT[#All],3,0)),"CUIT NO CARGADO")</calculatedColumnFormula>
    </tableColumn>
    <tableColumn id="8" xr3:uid="{D57A9A9B-5067-4AB6-B208-32FA4290ECA8}" name="Provincia" dataDxfId="2066" totalsRowDxfId="2065" dataCellStyle="Normal 3">
      <calculatedColumnFormula>IFERROR(IF(factura_c_mes586[[#This Row],[CUIT]]="","-",VLOOKUP(factura_c_mes586[[#This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F7832C84-1CCA-4992-BD7F-02C4991F2265}" name="factura_c_mes687" displayName="factura_c_mes687" ref="B112:I127" totalsRowCount="1" headerRowDxfId="2064" totalsRowDxfId="2063" headerRowCellStyle="Normal 3">
  <autoFilter ref="B112:I126" xr:uid="{F7832C84-1CCA-4992-BD7F-02C4991F2265}"/>
  <sortState xmlns:xlrd2="http://schemas.microsoft.com/office/spreadsheetml/2017/richdata2" ref="B113:I126">
    <sortCondition ref="H113:H126"/>
  </sortState>
  <tableColumns count="8">
    <tableColumn id="1" xr3:uid="{667497B9-0F3C-4E98-81C6-2B303C6E4E9F}" name="FECHA" totalsRowLabel="Total" dataDxfId="2062" totalsRowDxfId="2061" dataCellStyle="Normal 3"/>
    <tableColumn id="2" xr3:uid="{F9DA4267-1390-426C-8632-08F572D2437B}" name="PTO VTA" dataDxfId="2060" totalsRowDxfId="2059" dataCellStyle="Normal 3"/>
    <tableColumn id="3" xr3:uid="{61AA864D-363D-4E52-A026-D2C3FB73FC69}" name="FC Nº" dataDxfId="2058" totalsRowDxfId="2057" dataCellStyle="Normal 3"/>
    <tableColumn id="4" xr3:uid="{7DF4A0CE-722D-44B5-9F25-05A01312ADF9}" name="CUIT" dataDxfId="2056" totalsRowDxfId="2055" dataCellStyle="Normal 3"/>
    <tableColumn id="5" xr3:uid="{4AA22E21-F5DA-4179-827A-AB05F7B0ED52}" name="RAZON SOCIAL" dataDxfId="2054" totalsRowDxfId="2053" dataCellStyle="Normal 3">
      <calculatedColumnFormula>IFERROR(IF(factura_c_mes687[[#This Row],[CUIT]]="","-",VLOOKUP(factura_c_mes687[[#This Row],[CUIT]],Lista_CUIT[#All],2,0)),"CUIT NO CARGADO")</calculatedColumnFormula>
    </tableColumn>
    <tableColumn id="6" xr3:uid="{F526023C-86C1-449D-A46A-D8ABD7B8C7A1}" name="TOTAL" totalsRowFunction="sum" dataDxfId="2052" totalsRowDxfId="2051" dataCellStyle="Normal 3"/>
    <tableColumn id="7" xr3:uid="{111383BC-EF15-4230-972F-F367DE0A0165}" name="TIPO DE GASTO" dataDxfId="2050" totalsRowDxfId="2049" dataCellStyle="Normal 3">
      <calculatedColumnFormula>IFERROR(IF(factura_c_mes687[[#This Row],[CUIT]]="","-",VLOOKUP(factura_c_mes687[[#This Row],[CUIT]],Lista_CUIT[#All],3,0)),"CUIT NO CARGADO")</calculatedColumnFormula>
    </tableColumn>
    <tableColumn id="8" xr3:uid="{B60EE2A6-2E11-421A-968E-C3057525F073}" name="Provincia" dataDxfId="2048" totalsRowDxfId="2047" dataCellStyle="Normal 3">
      <calculatedColumnFormula>IFERROR(IF(factura_c_mes687[[#This Row],[CUIT]]="","-",VLOOKUP(factura_c_mes687[[#This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A53620B-F797-4997-9F97-324C98EF4A2F}" name="factura_c_mes788" displayName="factura_c_mes788" ref="B131:I148" totalsRowCount="1" headerRowDxfId="2046" totalsRowDxfId="2045" headerRowCellStyle="Normal 3">
  <autoFilter ref="B131:I147" xr:uid="{CA53620B-F797-4997-9F97-324C98EF4A2F}"/>
  <sortState xmlns:xlrd2="http://schemas.microsoft.com/office/spreadsheetml/2017/richdata2" ref="B132:I147">
    <sortCondition ref="H132:H147"/>
  </sortState>
  <tableColumns count="8">
    <tableColumn id="1" xr3:uid="{4F9DF549-42B1-4E8C-AC7C-6FC1427EEA7F}" name="FECHA" totalsRowLabel="Total" dataDxfId="2044" totalsRowDxfId="2043" dataCellStyle="Normal 3"/>
    <tableColumn id="2" xr3:uid="{220F7617-431B-4FC2-9675-1BDC6A620674}" name="PTO VTA" dataDxfId="2042" totalsRowDxfId="2041" dataCellStyle="Normal 3"/>
    <tableColumn id="3" xr3:uid="{DE39A015-B2D7-4AA5-8C94-419072D1F4C6}" name="FC Nº" dataDxfId="2040" totalsRowDxfId="2039" dataCellStyle="Normal 3"/>
    <tableColumn id="4" xr3:uid="{DA25E845-3643-45E6-8971-C5374E815913}" name="CUIT" dataDxfId="2038" totalsRowDxfId="2037" dataCellStyle="Normal 3"/>
    <tableColumn id="5" xr3:uid="{AA9056B4-6A64-4634-8E3A-1F7488E67D93}" name="RAZON SOCIAL" dataDxfId="2036" totalsRowDxfId="2035" dataCellStyle="Normal 3">
      <calculatedColumnFormula>IFERROR(IF(factura_c_mes788[[#This Row],[CUIT]]="","-",VLOOKUP(factura_c_mes788[[#This Row],[CUIT]],Lista_CUIT[#All],2,0)),"CUIT NO CARGADO")</calculatedColumnFormula>
    </tableColumn>
    <tableColumn id="6" xr3:uid="{8270F9B9-FBD1-4346-BEF1-8F3D4D873791}" name="TOTAL" totalsRowFunction="sum" dataDxfId="2034" totalsRowDxfId="2033" dataCellStyle="Normal 3"/>
    <tableColumn id="7" xr3:uid="{13DBDDDD-6912-42E0-B071-D4F44064E2AE}" name="TIPO DE GASTO" dataDxfId="2032" totalsRowDxfId="2031" dataCellStyle="Normal 3">
      <calculatedColumnFormula>IFERROR(IF(factura_c_mes788[[#This Row],[CUIT]]="","-",VLOOKUP(factura_c_mes788[[#This Row],[CUIT]],Lista_CUIT[#All],3,0)),"CUIT NO CARGADO")</calculatedColumnFormula>
    </tableColumn>
    <tableColumn id="8" xr3:uid="{B45861BE-80DD-48F3-AB25-F6FA95169783}" name="Provincia" dataDxfId="2030" totalsRowDxfId="2029" dataCellStyle="Normal 3">
      <calculatedColumnFormula>IFERROR(IF(factura_c_mes788[[#This Row],[CUIT]]="","-",VLOOKUP(factura_c_mes788[[#This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DA574902-21E7-40E4-8617-0D1C66A779A4}" name="factura_c_mes889" displayName="factura_c_mes889" ref="B152:I160" totalsRowCount="1" headerRowDxfId="2028" totalsRowDxfId="2027" headerRowCellStyle="Normal 3">
  <autoFilter ref="B152:I159" xr:uid="{DA574902-21E7-40E4-8617-0D1C66A779A4}"/>
  <sortState xmlns:xlrd2="http://schemas.microsoft.com/office/spreadsheetml/2017/richdata2" ref="B153:I159">
    <sortCondition ref="H153:H159"/>
  </sortState>
  <tableColumns count="8">
    <tableColumn id="1" xr3:uid="{804885BB-9E4F-4341-9522-9C1E84A65320}" name="FECHA" totalsRowLabel="Total" dataDxfId="2026" totalsRowDxfId="2025" dataCellStyle="Normal 3"/>
    <tableColumn id="2" xr3:uid="{04FBB2F7-600B-406B-8838-01CCC3256276}" name="PTO VTA" dataDxfId="2024" totalsRowDxfId="2023" dataCellStyle="Normal 3"/>
    <tableColumn id="3" xr3:uid="{762E8DA9-3938-45F6-AF0E-309378E6424E}" name="FC Nº" dataDxfId="2022" totalsRowDxfId="2021" dataCellStyle="Normal 3"/>
    <tableColumn id="4" xr3:uid="{F0DD9169-2CF3-42FB-BF48-0FD92B58FEF6}" name="CUIT" dataDxfId="2020" totalsRowDxfId="2019" dataCellStyle="Normal 3"/>
    <tableColumn id="5" xr3:uid="{9CB470A2-A2F5-4C59-928E-C75FD806634A}" name="RAZON SOCIAL" dataDxfId="2018" totalsRowDxfId="2017" dataCellStyle="Normal 3">
      <calculatedColumnFormula>IFERROR(IF(factura_c_mes889[[#This Row],[CUIT]]="","-",VLOOKUP(factura_c_mes889[[#This Row],[CUIT]],Lista_CUIT[#All],2,0)),"CUIT NO CARGADO")</calculatedColumnFormula>
    </tableColumn>
    <tableColumn id="6" xr3:uid="{E135A12F-D1E2-495A-8E72-CFFF143FAFE0}" name="TOTAL" totalsRowFunction="sum" dataDxfId="2016" totalsRowDxfId="2015" dataCellStyle="Normal 3"/>
    <tableColumn id="7" xr3:uid="{F459016F-1D39-4488-A04A-F5F0F36C68D9}" name="TIPO DE GASTO" dataDxfId="2014" totalsRowDxfId="2013" dataCellStyle="Normal 3">
      <calculatedColumnFormula>IFERROR(IF(factura_c_mes889[[#This Row],[CUIT]]="","-",VLOOKUP(factura_c_mes889[[#This Row],[CUIT]],Lista_CUIT[#All],3,0)),"CUIT NO CARGADO")</calculatedColumnFormula>
    </tableColumn>
    <tableColumn id="8" xr3:uid="{FDA63896-5F6C-4617-A0BC-AB4D240D8E41}" name="Provincia" dataDxfId="2012" totalsRowDxfId="2011" dataCellStyle="Normal 3">
      <calculatedColumnFormula>IFERROR(IF(factura_c_mes889[[#This Row],[CUIT]]="","-",VLOOKUP(factura_c_mes889[[#This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8DB5707E-A18B-40C0-90C7-9750B0399523}" name="factura_c_mes990" displayName="factura_c_mes990" ref="B164:I181" totalsRowCount="1" headerRowDxfId="2010" totalsRowDxfId="2009" headerRowCellStyle="Normal 3">
  <autoFilter ref="B164:I180" xr:uid="{8DB5707E-A18B-40C0-90C7-9750B0399523}"/>
  <sortState xmlns:xlrd2="http://schemas.microsoft.com/office/spreadsheetml/2017/richdata2" ref="B165:I180">
    <sortCondition ref="H165:H180"/>
  </sortState>
  <tableColumns count="8">
    <tableColumn id="1" xr3:uid="{66E8BF1A-8D23-4689-ADD2-C86ED829E4A5}" name="FECHA" totalsRowLabel="Total" dataDxfId="2008" totalsRowDxfId="2007" dataCellStyle="Normal 3"/>
    <tableColumn id="2" xr3:uid="{382A25F9-6119-46D4-9AB6-83F60F3D110B}" name="PTO VTA" dataDxfId="2006" totalsRowDxfId="2005" dataCellStyle="Normal 3"/>
    <tableColumn id="3" xr3:uid="{0CEFCC94-D665-40A0-9445-0925AFB19134}" name="FC Nº" dataDxfId="2004" totalsRowDxfId="2003" dataCellStyle="Normal 3"/>
    <tableColumn id="4" xr3:uid="{B0301598-E26C-4F05-A4B3-5724380BD095}" name="CUIT" dataDxfId="2002" totalsRowDxfId="2001" dataCellStyle="Normal 3"/>
    <tableColumn id="5" xr3:uid="{0BDDF8D6-BDA6-49E8-9575-864D3FE81826}" name="RAZON SOCIAL" dataDxfId="2000" totalsRowDxfId="1999" dataCellStyle="Normal 3">
      <calculatedColumnFormula>IFERROR(IF(factura_c_mes990[[#This Row],[CUIT]]="","-",VLOOKUP(factura_c_mes990[[#This Row],[CUIT]],Lista_CUIT[#All],2,0)),"CUIT NO CARGADO")</calculatedColumnFormula>
    </tableColumn>
    <tableColumn id="6" xr3:uid="{52E890DE-DE27-4147-867A-2DE5B2869A96}" name="TOTAL" totalsRowFunction="sum" dataDxfId="1998" totalsRowDxfId="1997" dataCellStyle="Normal 3"/>
    <tableColumn id="7" xr3:uid="{B2622725-65CA-4477-99A8-E4607BD17BD4}" name="TIPO DE GASTO" dataDxfId="1996" totalsRowDxfId="1995" dataCellStyle="Normal 3">
      <calculatedColumnFormula>IFERROR(IF(factura_c_mes990[[#This Row],[CUIT]]="","-",VLOOKUP(factura_c_mes990[[#This Row],[CUIT]],Lista_CUIT[#All],3,0)),"CUIT NO CARGADO")</calculatedColumnFormula>
    </tableColumn>
    <tableColumn id="8" xr3:uid="{C26D1EB9-04AD-423A-B787-3A691EF65167}" name="Provincia" dataDxfId="1994" totalsRowDxfId="1993" dataCellStyle="Normal 3">
      <calculatedColumnFormula>IFERROR(IF(factura_c_mes990[[#This Row],[CUIT]]="","-",VLOOKUP(factura_c_mes990[[#This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558987DC-2475-4340-AABD-140EEDA31F69}" name="factura_c_mes1091" displayName="factura_c_mes1091" ref="B185:I199" totalsRowCount="1" headerRowDxfId="1992" totalsRowDxfId="1991" headerRowCellStyle="Normal 3">
  <autoFilter ref="B185:I198" xr:uid="{558987DC-2475-4340-AABD-140EEDA31F69}"/>
  <sortState xmlns:xlrd2="http://schemas.microsoft.com/office/spreadsheetml/2017/richdata2" ref="B186:I198">
    <sortCondition ref="H186:H198"/>
  </sortState>
  <tableColumns count="8">
    <tableColumn id="1" xr3:uid="{C0D57613-4B02-4311-AEC3-0D417EC9BC74}" name="FECHA" totalsRowLabel="Total" dataDxfId="1990" totalsRowDxfId="1989" dataCellStyle="Normal 3"/>
    <tableColumn id="2" xr3:uid="{B761A0D9-F7E5-4178-B013-BD2D4373F4A2}" name="PTO VTA" dataDxfId="1988" totalsRowDxfId="1987" dataCellStyle="Normal 3"/>
    <tableColumn id="3" xr3:uid="{3351DBEC-C855-4CA6-8786-E427EB32FC37}" name="FC Nº" dataDxfId="1986" totalsRowDxfId="1985" dataCellStyle="Normal 3"/>
    <tableColumn id="4" xr3:uid="{310E771E-7DF1-44E9-8EED-E571F867CCFD}" name="CUIT" dataDxfId="1984" totalsRowDxfId="1983" dataCellStyle="Normal 3"/>
    <tableColumn id="5" xr3:uid="{8CA81D12-5C75-4848-B4C7-ECCC5B83795C}" name="RAZON SOCIAL" dataDxfId="1982" totalsRowDxfId="1981" dataCellStyle="Normal 3">
      <calculatedColumnFormula>IFERROR(IF(factura_c_mes1091[[#This Row],[CUIT]]="","-",VLOOKUP(factura_c_mes1091[[#This Row],[CUIT]],Lista_CUIT[#All],2,0)),"CUIT NO CARGADO")</calculatedColumnFormula>
    </tableColumn>
    <tableColumn id="6" xr3:uid="{E3758C8A-99BC-4D8A-8BF1-7A6587385CBF}" name="TOTAL" totalsRowFunction="sum" dataDxfId="1980" totalsRowDxfId="1979" dataCellStyle="Normal 3"/>
    <tableColumn id="7" xr3:uid="{74964B51-8DCE-43C1-A0BE-A4755B182CF7}" name="TIPO DE GASTO" dataDxfId="1978" totalsRowDxfId="1977" dataCellStyle="Normal 3">
      <calculatedColumnFormula>IFERROR(IF(factura_c_mes1091[[#This Row],[CUIT]]="","-",VLOOKUP(factura_c_mes1091[[#This Row],[CUIT]],Lista_CUIT[#All],3,0)),"CUIT NO CARGADO")</calculatedColumnFormula>
    </tableColumn>
    <tableColumn id="8" xr3:uid="{C9FC213B-8DBC-4567-B7CA-F1BA9C0D3B40}" name="Provincia" dataDxfId="1976" totalsRowDxfId="1975" dataCellStyle="Normal 3">
      <calculatedColumnFormula>IFERROR(IF(factura_c_mes1091[[#This Row],[CUIT]]="","-",VLOOKUP(factura_c_mes1091[[#This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66B254C0-02B7-43F8-8798-DEE4AE2DF03B}" name="factura_c_mes1192" displayName="factura_c_mes1192" ref="B204:I218" totalsRowCount="1" headerRowDxfId="1974" totalsRowDxfId="1973" headerRowCellStyle="Normal 3">
  <autoFilter ref="B204:I217" xr:uid="{66B254C0-02B7-43F8-8798-DEE4AE2DF03B}"/>
  <sortState xmlns:xlrd2="http://schemas.microsoft.com/office/spreadsheetml/2017/richdata2" ref="B205:I217">
    <sortCondition ref="H205:H217"/>
  </sortState>
  <tableColumns count="8">
    <tableColumn id="1" xr3:uid="{7E208DD6-5490-4E5F-B7D5-28C0C7191E4A}" name="FECHA" totalsRowLabel="Total" dataDxfId="1972" totalsRowDxfId="1971" dataCellStyle="Normal 3"/>
    <tableColumn id="2" xr3:uid="{228A997D-C842-4935-BEC5-6ECBCE52F474}" name="PTO VTA" dataDxfId="1970" totalsRowDxfId="1969" dataCellStyle="Normal 3"/>
    <tableColumn id="3" xr3:uid="{04AB0E5D-1A7E-4208-BD02-14CBDE907933}" name="FC Nº" dataDxfId="1968" totalsRowDxfId="1967" dataCellStyle="Normal 3"/>
    <tableColumn id="4" xr3:uid="{8DF75E25-6C5C-4F74-B7B6-B0DCFECCB003}" name="CUIT" dataDxfId="1966" totalsRowDxfId="1965" dataCellStyle="Normal 3"/>
    <tableColumn id="5" xr3:uid="{61B6DF71-02B2-4DB7-BA32-4A1E2A171156}" name="RAZON SOCIAL" dataDxfId="1964" totalsRowDxfId="1963" dataCellStyle="Normal 3">
      <calculatedColumnFormula>IFERROR(IF(factura_c_mes1192[[#This Row],[CUIT]]="","-",VLOOKUP(factura_c_mes1192[[#This Row],[CUIT]],Lista_CUIT[#All],2,0)),"CUIT NO CARGADO")</calculatedColumnFormula>
    </tableColumn>
    <tableColumn id="6" xr3:uid="{44CCC741-4BCD-4711-B9C3-D1215E17C8C0}" name="TOTAL" totalsRowFunction="sum" dataDxfId="1962" totalsRowDxfId="1961" dataCellStyle="Normal 3"/>
    <tableColumn id="7" xr3:uid="{2F094C4B-F7C3-43E8-85C6-A59481BB6435}" name="TIPO DE GASTO" dataDxfId="1960" totalsRowDxfId="1959" dataCellStyle="Normal 3">
      <calculatedColumnFormula>IFERROR(IF(factura_c_mes1192[[#This Row],[CUIT]]="","-",VLOOKUP(factura_c_mes1192[[#This Row],[CUIT]],Lista_CUIT[#All],3,0)),"CUIT NO CARGADO")</calculatedColumnFormula>
    </tableColumn>
    <tableColumn id="8" xr3:uid="{73B8F59C-24E8-4CD2-BA69-13E050A2267C}" name="Provincia" dataDxfId="1958" totalsRowDxfId="1957" dataCellStyle="Normal 3">
      <calculatedColumnFormula>IFERROR(IF(factura_c_mes1192[[#This Row],[CUIT]]="","-",VLOOKUP(factura_c_mes1192[[#This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BF91B5DB-CD0D-48F0-AC5F-D6B0A2187004}" name="factura_c_mes1293" displayName="factura_c_mes1293" ref="B222:I236" totalsRowCount="1" headerRowDxfId="1956" totalsRowDxfId="1955" headerRowCellStyle="Normal 3">
  <autoFilter ref="B222:I235" xr:uid="{BF91B5DB-CD0D-48F0-AC5F-D6B0A2187004}"/>
  <sortState xmlns:xlrd2="http://schemas.microsoft.com/office/spreadsheetml/2017/richdata2" ref="B223:I235">
    <sortCondition ref="H223:H235"/>
  </sortState>
  <tableColumns count="8">
    <tableColumn id="1" xr3:uid="{6EB11F45-5AE0-455B-8120-6985035E4ECA}" name="FECHA" totalsRowLabel="Total" dataDxfId="1954" totalsRowDxfId="1953" dataCellStyle="Normal 3"/>
    <tableColumn id="2" xr3:uid="{118909BC-8475-4050-A168-565427058809}" name="PTO VTA" dataDxfId="1952" totalsRowDxfId="1951" dataCellStyle="Normal 3"/>
    <tableColumn id="3" xr3:uid="{5A37D040-4410-4A3F-8481-00D5A677E0E1}" name="FC Nº" dataDxfId="1950" totalsRowDxfId="1949" dataCellStyle="Normal 3"/>
    <tableColumn id="4" xr3:uid="{E2629D33-88F6-42F4-ABEA-9F6B3452B052}" name="CUIT" dataDxfId="1948" totalsRowDxfId="1947" dataCellStyle="Normal 3"/>
    <tableColumn id="5" xr3:uid="{09CA0057-7841-4807-B629-883499DFD3F3}" name="RAZON SOCIAL" dataDxfId="1946" totalsRowDxfId="1945" dataCellStyle="Normal 3">
      <calculatedColumnFormula>IFERROR(IF(factura_c_mes1293[[#This Row],[CUIT]]="","-",VLOOKUP(factura_c_mes1293[[#This Row],[CUIT]],Lista_CUIT[#All],2,0)),"CUIT NO CARGADO")</calculatedColumnFormula>
    </tableColumn>
    <tableColumn id="6" xr3:uid="{D347E21C-4E61-480A-A5FB-09358D6CC6C4}" name="TOTAL" totalsRowFunction="sum" dataDxfId="1944" totalsRowDxfId="1943" dataCellStyle="Normal 3"/>
    <tableColumn id="7" xr3:uid="{86D10F32-E97C-46BD-A995-C1515F1224B1}" name="TIPO DE GASTO" dataDxfId="1942" totalsRowDxfId="1941" dataCellStyle="Normal 3">
      <calculatedColumnFormula>IFERROR(IF(factura_c_mes1293[[#This Row],[CUIT]]="","-",VLOOKUP(factura_c_mes1293[[#This Row],[CUIT]],Lista_CUIT[#All],3,0)),"CUIT NO CARGADO")</calculatedColumnFormula>
    </tableColumn>
    <tableColumn id="8" xr3:uid="{2C7DE714-36C8-4ACD-B5A7-B966D234C3DB}" name="Provincia" dataDxfId="1940" totalsRowDxfId="1939" dataCellStyle="Normal 3">
      <calculatedColumnFormula>IFERROR(IF(factura_c_mes1293[[#This Row],[CUIT]]="","-",VLOOKUP(factura_c_mes1293[[#This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compras_mes1" displayName="compras_mes1" ref="B8:R58" totalsRowCount="1" headerRowDxfId="1938" dataDxfId="1937" totalsRowDxfId="1936">
  <autoFilter ref="B8:R57" xr:uid="{00000000-0009-0000-0100-000008000000}"/>
  <sortState xmlns:xlrd2="http://schemas.microsoft.com/office/spreadsheetml/2017/richdata2" ref="B9:R57">
    <sortCondition ref="Q9:Q57"/>
  </sortState>
  <tableColumns count="17">
    <tableColumn id="1" xr3:uid="{00000000-0010-0000-0100-000001000000}" name="FECHA" totalsRowLabel="Total" dataDxfId="1935" totalsRowDxfId="1934" dataCellStyle="Normal 3"/>
    <tableColumn id="2" xr3:uid="{00000000-0010-0000-0100-000002000000}" name="TIPO" dataDxfId="1933" totalsRowDxfId="1932" dataCellStyle="Normal 3"/>
    <tableColumn id="3" xr3:uid="{00000000-0010-0000-0100-000003000000}" name="PTO VTA" dataDxfId="1931" totalsRowDxfId="1930" dataCellStyle="Normal 3"/>
    <tableColumn id="4" xr3:uid="{00000000-0010-0000-0100-000004000000}" name="NRO. CPTE" dataDxfId="1929" totalsRowDxfId="1928" dataCellStyle="Normal 3"/>
    <tableColumn id="5" xr3:uid="{00000000-0010-0000-0100-000005000000}" name="CUIT" dataDxfId="1927" totalsRowDxfId="1926" dataCellStyle="Normal 3"/>
    <tableColumn id="6" xr3:uid="{00000000-0010-0000-0100-000006000000}" name="RAZON SOCIAL" dataDxfId="1925" totalsRowDxfId="1924" dataCellStyle="Normal 3">
      <calculatedColumnFormula>IFERROR(IF(compras_mes1[[#This Row],[CUIT]]="","-",VLOOKUP(compras_mes1[[#This Row],[CUIT]],Lista_CUIT[#All],2,0)),"CUIT NO CARGADO")</calculatedColumnFormula>
    </tableColumn>
    <tableColumn id="7" xr3:uid="{00000000-0010-0000-0100-000007000000}" name="NETO GRAVADO" totalsRowFunction="sum" dataDxfId="1923" totalsRowDxfId="1922" dataCellStyle="Normal 3"/>
    <tableColumn id="8" xr3:uid="{00000000-0010-0000-0100-000008000000}" name="IVA 21 %" totalsRowFunction="sum" dataDxfId="1921" totalsRowDxfId="1920" dataCellStyle="Normal 3">
      <calculatedColumnFormula>compras_mes1[[#This Row],[NETO GRAVADO]]*0.21</calculatedColumnFormula>
    </tableColumn>
    <tableColumn id="9" xr3:uid="{00000000-0010-0000-0100-000009000000}" name="IVA 27%" totalsRowFunction="sum" dataDxfId="1919" totalsRowDxfId="1918" dataCellStyle="Normal 3"/>
    <tableColumn id="10" xr3:uid="{00000000-0010-0000-0100-00000A000000}" name="IVA 10,5%" totalsRowFunction="sum" dataDxfId="1917" totalsRowDxfId="1916" dataCellStyle="Normal 3"/>
    <tableColumn id="11" xr3:uid="{00000000-0010-0000-0100-00000B000000}" name="PERC. IVA" totalsRowFunction="sum" dataDxfId="1915" totalsRowDxfId="1914" dataCellStyle="Normal 3"/>
    <tableColumn id="12" xr3:uid="{00000000-0010-0000-0100-00000C000000}" name="PERC IIBB _x000a_BS AS" totalsRowFunction="sum" dataDxfId="1913" totalsRowDxfId="1912" dataCellStyle="Normal 3"/>
    <tableColumn id="13" xr3:uid="{00000000-0010-0000-0100-00000D000000}" name="PERC. IIBB CABA" totalsRowFunction="sum" dataDxfId="1911" totalsRowDxfId="1910" dataCellStyle="Normal 3"/>
    <tableColumn id="14" xr3:uid="{00000000-0010-0000-0100-00000E000000}" name="Otros / No Grav." totalsRowFunction="sum" dataDxfId="1909" totalsRowDxfId="1908" dataCellStyle="Normal 3"/>
    <tableColumn id="15" xr3:uid="{00000000-0010-0000-0100-00000F000000}" name="TOTAL" totalsRowFunction="sum" dataDxfId="1907" totalsRowDxfId="1906" dataCellStyle="Normal 3">
      <calculatedColumnFormula>SUM(compras_mes1[[#This Row],[NETO GRAVADO]:[Otros / No Grav.]])</calculatedColumnFormula>
    </tableColumn>
    <tableColumn id="16" xr3:uid="{00000000-0010-0000-0100-000010000000}" name="Tipo de Gasto" dataDxfId="1905" totalsRowDxfId="1904" dataCellStyle="Normal 3">
      <calculatedColumnFormula>IFERROR(IF(compras_mes1[[#This Row],[CUIT]]="","-",VLOOKUP(compras_mes1[[#This Row],[CUIT]],Lista_CUIT[#All],3,0)),"CUIT NO CARGADO")</calculatedColumnFormula>
    </tableColumn>
    <tableColumn id="17" xr3:uid="{00000000-0010-0000-0100-000011000000}" name="Provincia" dataDxfId="1903" totalsRowDxfId="1902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factura_c_mes1" displayName="factura_c_mes1" ref="D80:K93" totalsRowCount="1" headerRowDxfId="1901" dataDxfId="1900" totalsRowDxfId="1899" headerRowCellStyle="Normal 3">
  <autoFilter ref="D80:K92" xr:uid="{00000000-0009-0000-0100-00000A000000}"/>
  <sortState xmlns:xlrd2="http://schemas.microsoft.com/office/spreadsheetml/2017/richdata2" ref="D81:K92">
    <sortCondition ref="J81:J92"/>
  </sortState>
  <tableColumns count="8">
    <tableColumn id="1" xr3:uid="{00000000-0010-0000-0200-000001000000}" name="FECHA" totalsRowLabel="Total" dataDxfId="1898" totalsRowDxfId="1897" dataCellStyle="Normal 3"/>
    <tableColumn id="2" xr3:uid="{00000000-0010-0000-0200-000002000000}" name="PTO VTA" dataDxfId="1896" totalsRowDxfId="1895" dataCellStyle="Normal 3"/>
    <tableColumn id="3" xr3:uid="{00000000-0010-0000-0200-000003000000}" name="FC Nº" dataDxfId="1894" totalsRowDxfId="1893" dataCellStyle="Normal 3"/>
    <tableColumn id="4" xr3:uid="{00000000-0010-0000-0200-000004000000}" name="CUIT" dataDxfId="1892" totalsRowDxfId="1891" dataCellStyle="Normal 3"/>
    <tableColumn id="5" xr3:uid="{00000000-0010-0000-0200-000005000000}" name="RAZON SOCIAL" dataDxfId="1890" totalsRowDxfId="1889" dataCellStyle="Normal 3">
      <calculatedColumnFormula>IFERROR(IF(factura_c_mes1[[#This Row],[CUIT]]="","-",VLOOKUP(factura_c_mes1[[#This Row],[CUIT]],Lista_CUIT[#All],2,0)),"CUIT NO CARGADO")</calculatedColumnFormula>
    </tableColumn>
    <tableColumn id="6" xr3:uid="{00000000-0010-0000-0200-000006000000}" name="TOTAL" totalsRowFunction="sum" dataDxfId="1888" totalsRowDxfId="1887" dataCellStyle="Normal 3"/>
    <tableColumn id="7" xr3:uid="{00000000-0010-0000-0200-000007000000}" name="TIPO DE GASTO" dataDxfId="1886" totalsRowDxfId="1885" dataCellStyle="Normal 3">
      <calculatedColumnFormula>IFERROR(IF(factura_c_mes1[[#This Row],[CUIT]]="","-",VLOOKUP(factura_c_mes1[[#This Row],[CUIT]],Lista_CUIT[#All],3,0)),"CUIT NO CARGADO")</calculatedColumnFormula>
    </tableColumn>
    <tableColumn id="8" xr3:uid="{00000000-0010-0000-0200-000008000000}" name="Provincia" dataDxfId="1884" totalsRowDxfId="1883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venta_a_mes1" displayName="venta_a_mes1" ref="B98:M109" totalsRowCount="1" headerRowDxfId="1882" dataDxfId="1880" headerRowBorderDxfId="1881" tableBorderDxfId="1879" totalsRowBorderDxfId="1878" dataCellStyle="Normal 3">
  <autoFilter ref="B98:M108" xr:uid="{00000000-0009-0000-0100-000001000000}"/>
  <tableColumns count="12">
    <tableColumn id="1" xr3:uid="{00000000-0010-0000-0300-000001000000}" name="FECHA" totalsRowLabel="Total" dataDxfId="1877" totalsRowDxfId="1876" dataCellStyle="Normal 3"/>
    <tableColumn id="2" xr3:uid="{00000000-0010-0000-0300-000002000000}" name="TIPO" dataDxfId="1875" totalsRowDxfId="1874" dataCellStyle="Normal 3"/>
    <tableColumn id="3" xr3:uid="{00000000-0010-0000-0300-000003000000}" name="PTO VENTA" dataDxfId="1873" totalsRowDxfId="1872" dataCellStyle="Normal 3"/>
    <tableColumn id="4" xr3:uid="{00000000-0010-0000-0300-000004000000}" name="Nº FACTURA" dataDxfId="1871" totalsRowDxfId="1870" dataCellStyle="Normal 3"/>
    <tableColumn id="5" xr3:uid="{00000000-0010-0000-0300-000005000000}" name="CUIT" dataDxfId="1869" totalsRowDxfId="1868" dataCellStyle="Normal 3"/>
    <tableColumn id="6" xr3:uid="{00000000-0010-0000-0300-000006000000}" name="RAZON SOCIAL" dataDxfId="1867" totalsRowDxfId="1866" dataCellStyle="Normal 3">
      <calculatedColumnFormula>IFERROR(IF(venta_a_mes1[[#This Row],[CUIT]]="","-",VLOOKUP(venta_a_mes1[[#This Row],[CUIT]],Lista_CUIT[#All],2,0)),"CUIT NO CARGADO")</calculatedColumnFormula>
    </tableColumn>
    <tableColumn id="7" xr3:uid="{00000000-0010-0000-0300-000007000000}" name="IMPORTE NETO" totalsRowFunction="sum" dataDxfId="1865" totalsRowDxfId="1864" dataCellStyle="Normal 3"/>
    <tableColumn id="8" xr3:uid="{00000000-0010-0000-0300-000008000000}" name="IVA 21%" totalsRowFunction="sum" dataDxfId="1863" totalsRowDxfId="1862" dataCellStyle="Normal 3">
      <calculatedColumnFormula>venta_a_mes1[[#This Row],[IMPORTE NETO]]*0.21</calculatedColumnFormula>
    </tableColumn>
    <tableColumn id="9" xr3:uid="{00000000-0010-0000-0300-000009000000}" name="IVA 10,5%" totalsRowFunction="sum" dataDxfId="1861" totalsRowDxfId="1860" dataCellStyle="Normal 3"/>
    <tableColumn id="10" xr3:uid="{00000000-0010-0000-0300-00000A000000}" name="EXENTO" totalsRowFunction="sum" dataDxfId="1859" totalsRowDxfId="1858" dataCellStyle="Normal 3"/>
    <tableColumn id="11" xr3:uid="{00000000-0010-0000-0300-00000B000000}" name="TOTAL" totalsRowFunction="sum" dataDxfId="1857" totalsRowDxfId="1856" dataCellStyle="Normal 3">
      <calculatedColumnFormula>SUM(venta_a_mes1[[#This Row],[IMPORTE NETO]:[EXENTO]])</calculatedColumnFormula>
    </tableColumn>
    <tableColumn id="12" xr3:uid="{00000000-0010-0000-0300-00000C000000}" name="Provincia" totalsRowFunction="count" dataDxfId="1855" totalsRowDxfId="1854" dataCellStyle="Normal 3"/>
  </tableColumns>
  <tableStyleInfo name="Tabla Ventas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ventas_b_mes1" displayName="ventas_b_mes1" ref="B112:M119" totalsRowCount="1" headerRowDxfId="1853" dataDxfId="1851" headerRowBorderDxfId="1852" tableBorderDxfId="1850" totalsRowBorderDxfId="1849" dataCellStyle="Normal 3">
  <autoFilter ref="B112:M118" xr:uid="{00000000-0009-0000-0100-000003000000}"/>
  <tableColumns count="12">
    <tableColumn id="1" xr3:uid="{00000000-0010-0000-0400-000001000000}" name="FECHA" totalsRowLabel="Total" dataDxfId="1848" totalsRowDxfId="1847" dataCellStyle="Normal 3"/>
    <tableColumn id="2" xr3:uid="{00000000-0010-0000-0400-000002000000}" name="TIPO" dataDxfId="1846" totalsRowDxfId="1845" dataCellStyle="Normal 3"/>
    <tableColumn id="3" xr3:uid="{00000000-0010-0000-0400-000003000000}" name="PTO VENTA" dataDxfId="1844" totalsRowDxfId="1843" dataCellStyle="Normal 3"/>
    <tableColumn id="4" xr3:uid="{00000000-0010-0000-0400-000004000000}" name="Nº FACTURA" dataDxfId="1842" totalsRowDxfId="1841" dataCellStyle="Normal 3"/>
    <tableColumn id="5" xr3:uid="{00000000-0010-0000-0400-000005000000}" name="CUIT" dataDxfId="1840" totalsRowDxfId="1839" dataCellStyle="Normal 3"/>
    <tableColumn id="6" xr3:uid="{00000000-0010-0000-0400-000006000000}" name="RAZON SOCIAL" dataDxfId="1838" totalsRowDxfId="1837" dataCellStyle="Normal 3">
      <calculatedColumnFormula>IFERROR(IF(ventas_b_mes1[[#This Row],[CUIT]]="","-",VLOOKUP(ventas_b_mes1[[#This Row],[CUIT]],Lista_CUIT[#All],2,0)),"CUIT NO CARGADO")</calculatedColumnFormula>
    </tableColumn>
    <tableColumn id="7" xr3:uid="{00000000-0010-0000-0400-000007000000}" name="IMPORTE NETO" totalsRowFunction="sum" dataDxfId="1836" totalsRowDxfId="1835" dataCellStyle="Normal 3"/>
    <tableColumn id="8" xr3:uid="{00000000-0010-0000-0400-000008000000}" name="IVA 21%" totalsRowFunction="sum" dataDxfId="1834" totalsRowDxfId="1833" dataCellStyle="Normal 3"/>
    <tableColumn id="9" xr3:uid="{00000000-0010-0000-0400-000009000000}" name="IVA 10,5%" totalsRowFunction="sum" dataDxfId="1832" totalsRowDxfId="1831" dataCellStyle="Normal 3"/>
    <tableColumn id="10" xr3:uid="{00000000-0010-0000-0400-00000A000000}" name="EXENTO" totalsRowFunction="sum" dataDxfId="1830" totalsRowDxfId="1829" dataCellStyle="Normal 3"/>
    <tableColumn id="11" xr3:uid="{00000000-0010-0000-0400-00000B000000}" name="TOTAL" totalsRowFunction="sum" dataDxfId="1828" totalsRowDxfId="1827" dataCellStyle="Normal 3"/>
    <tableColumn id="12" xr3:uid="{00000000-0010-0000-0400-00000C000000}" name="Provincia" totalsRowFunction="count" dataDxfId="1826" totalsRowDxfId="1825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extracto_banco_mes1" displayName="extracto_banco_mes1" ref="D64:M75" totalsRowCount="1" headerRowDxfId="1824" dataDxfId="1823" tableBorderDxfId="1822" dataCellStyle="Normal 3">
  <autoFilter ref="D64:M74" xr:uid="{00000000-0009-0000-0100-000004000000}"/>
  <tableColumns count="10">
    <tableColumn id="1" xr3:uid="{00000000-0010-0000-0500-000001000000}" name="FECHA" totalsRowLabel="Total" dataDxfId="1821" totalsRowDxfId="1820" dataCellStyle="Normal 3"/>
    <tableColumn id="2" xr3:uid="{00000000-0010-0000-0500-000002000000}" name="NRO CPTE" dataDxfId="1819" totalsRowDxfId="1818"/>
    <tableColumn id="3" xr3:uid="{00000000-0010-0000-0500-000003000000}" name="BANCO" dataDxfId="1817" totalsRowDxfId="1816"/>
    <tableColumn id="4" xr3:uid="{00000000-0010-0000-0500-000004000000}" name="NETO" totalsRowFunction="sum" dataDxfId="1815" totalsRowDxfId="1814" dataCellStyle="Normal 3"/>
    <tableColumn id="5" xr3:uid="{00000000-0010-0000-0500-000005000000}" name="IVA 21%" totalsRowFunction="sum" dataDxfId="1813" totalsRowDxfId="1812" dataCellStyle="Normal 3">
      <calculatedColumnFormula>extracto_banco_mes1[[#This Row],[NETO]]*0.21</calculatedColumnFormula>
    </tableColumn>
    <tableColumn id="6" xr3:uid="{00000000-0010-0000-0500-000006000000}" name="IVA 10,5%" totalsRowFunction="sum" dataDxfId="1811" totalsRowDxfId="1810" dataCellStyle="Normal 3"/>
    <tableColumn id="7" xr3:uid="{00000000-0010-0000-0500-000007000000}" name="RET IIBB CABA" totalsRowFunction="sum" dataDxfId="1809" totalsRowDxfId="1808" dataCellStyle="Normal 3"/>
    <tableColumn id="8" xr3:uid="{00000000-0010-0000-0500-000008000000}" name="PERC IVA" totalsRowFunction="sum" dataDxfId="1807" totalsRowDxfId="1806" dataCellStyle="Normal 3"/>
    <tableColumn id="9" xr3:uid="{00000000-0010-0000-0500-000009000000}" name="PERC IIBB" totalsRowFunction="sum" dataDxfId="1805" totalsRowDxfId="1804" dataCellStyle="Normal 3"/>
    <tableColumn id="10" xr3:uid="{00000000-0010-0000-0500-00000A000000}" name="total" dataDxfId="1803" totalsRowDxfId="1802" dataCellStyle="Normal 3">
      <calculatedColumnFormula>extracto_banco_mes1[[#This Row],[NETO]]+extracto_banco_mes1[[#This Row],[IVA 21%]]+extracto_banco_mes1[[#This Row],[IVA 10,5%]]+extracto_banco_mes1[[#This Row],[RET IIBB CABA]]+extracto_banco_mes1[[#This Row],[PERC IVA]]</calculatedColumnFormula>
    </tableColumn>
  </tableColumns>
  <tableStyleInfo name="Estilo de tabla 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retenciones_mes1" displayName="retenciones_mes1" ref="C129:L134" totalsRowShown="0" headerRowDxfId="1801" dataDxfId="1800" headerRowCellStyle="Normal 3" dataCellStyle="Normal 3">
  <autoFilter ref="C129:L134" xr:uid="{00000000-0009-0000-0100-000005000000}"/>
  <tableColumns count="10">
    <tableColumn id="1" xr3:uid="{00000000-0010-0000-0600-000001000000}" name="FECHA " dataDxfId="1799" dataCellStyle="Normal 3"/>
    <tableColumn id="2" xr3:uid="{00000000-0010-0000-0600-000002000000}" name="COMP Nº" dataDxfId="1798" dataCellStyle="Normal 3"/>
    <tableColumn id="3" xr3:uid="{00000000-0010-0000-0600-000003000000}" name="Columna1" dataDxfId="1797" dataCellStyle="Normal 3"/>
    <tableColumn id="4" xr3:uid="{00000000-0010-0000-0600-000004000000}" name="CUIT" dataDxfId="1796" dataCellStyle="Normal 3"/>
    <tableColumn id="5" xr3:uid="{00000000-0010-0000-0600-000005000000}" name="RAZON SOCIAL" dataDxfId="1795" dataCellStyle="Normal 3">
      <calculatedColumnFormula>IFERROR(IF(retenciones_mes1[[#This Row],[CUIT]]="","-",VLOOKUP(retenciones_mes1[[#This Row],[CUIT]],Lista_CUIT[#All],2,0)),"CUIT NO CARGADO")</calculatedColumnFormula>
    </tableColumn>
    <tableColumn id="6" xr3:uid="{00000000-0010-0000-0600-000006000000}" name="Ganancias" dataDxfId="1794" dataCellStyle="Normal 3"/>
    <tableColumn id="7" xr3:uid="{00000000-0010-0000-0600-000007000000}" name="IVA" dataDxfId="1793" dataCellStyle="Normal 3"/>
    <tableColumn id="8" xr3:uid="{00000000-0010-0000-0600-000008000000}" name="SUSS" dataDxfId="1792" dataCellStyle="Normal 3"/>
    <tableColumn id="9" xr3:uid="{00000000-0010-0000-0600-000009000000}" name="IIBB BSAS" dataDxfId="1791" dataCellStyle="Normal 3"/>
    <tableColumn id="10" xr3:uid="{00000000-0010-0000-0600-00000A000000}" name="IIBB CABA" dataDxfId="1790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ventas_b_mes13" displayName="ventas_b_mes13" ref="B123:M126" totalsRowCount="1" headerRowDxfId="1789" dataDxfId="1787" headerRowBorderDxfId="1788" tableBorderDxfId="1786" totalsRowBorderDxfId="1785" dataCellStyle="Normal 3">
  <autoFilter ref="B123:M125" xr:uid="{00000000-0009-0000-0100-000002000000}"/>
  <tableColumns count="12">
    <tableColumn id="1" xr3:uid="{00000000-0010-0000-0700-000001000000}" name="FECHA" totalsRowLabel="Total" dataDxfId="1784" totalsRowDxfId="1783" dataCellStyle="Normal 3"/>
    <tableColumn id="2" xr3:uid="{00000000-0010-0000-0700-000002000000}" name="TIPO" dataDxfId="1782" totalsRowDxfId="1781" dataCellStyle="Normal 3"/>
    <tableColumn id="3" xr3:uid="{00000000-0010-0000-0700-000003000000}" name="PTO VENTA" dataDxfId="1780" totalsRowDxfId="1779" dataCellStyle="Normal 3"/>
    <tableColumn id="4" xr3:uid="{00000000-0010-0000-0700-000004000000}" name="Nº FACTURA" dataDxfId="1778" totalsRowDxfId="1777" dataCellStyle="Normal 3"/>
    <tableColumn id="5" xr3:uid="{00000000-0010-0000-0700-000005000000}" name="CUIT" dataDxfId="1776" totalsRowDxfId="1775" dataCellStyle="Normal 3"/>
    <tableColumn id="6" xr3:uid="{00000000-0010-0000-0700-000006000000}" name="RAZON SOCIAL" dataDxfId="1774" totalsRowDxfId="1773" dataCellStyle="Normal 3">
      <calculatedColumnFormula>IFERROR(IF(ventas_b_mes13[[#This Row],[CUIT]]="","-",VLOOKUP(ventas_b_mes13[[#This Row],[CUIT]],Lista_CUIT[#All],2,0)),"CUIT NO CARGADO")</calculatedColumnFormula>
    </tableColumn>
    <tableColumn id="7" xr3:uid="{00000000-0010-0000-0700-000007000000}" name="USD" totalsRowFunction="sum" dataDxfId="1772" totalsRowDxfId="1771" dataCellStyle="Normal 3"/>
    <tableColumn id="8" xr3:uid="{00000000-0010-0000-0700-000008000000}" name="IVA 21%" totalsRowFunction="sum" dataDxfId="1770" totalsRowDxfId="1769" dataCellStyle="Normal 3">
      <calculatedColumnFormula>ventas_b_mes13[[#This Row],[USD]]*0.21</calculatedColumnFormula>
    </tableColumn>
    <tableColumn id="9" xr3:uid="{00000000-0010-0000-0700-000009000000}" name="Columna1" totalsRowFunction="sum" dataDxfId="1768" totalsRowDxfId="1767" dataCellStyle="Normal 3"/>
    <tableColumn id="10" xr3:uid="{00000000-0010-0000-0700-00000A000000}" name="TIPO DE CAMBIO2" totalsRowFunction="sum" dataDxfId="1766" totalsRowDxfId="1765" dataCellStyle="Normal 3"/>
    <tableColumn id="11" xr3:uid="{00000000-0010-0000-0700-00000B000000}" name="TOTAL" totalsRowFunction="sum" dataDxfId="1764" totalsRowDxfId="1763" dataCellStyle="Normal 3"/>
    <tableColumn id="12" xr3:uid="{00000000-0010-0000-0700-00000C000000}" name="Provincia" totalsRowFunction="count" dataDxfId="1762" totalsRowDxfId="1761" dataCellStyle="Normal 3"/>
  </tableColumns>
  <tableStyleInfo name="Tabla Ventas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compras_mes2" displayName="compras_mes2" ref="B8:R42" totalsRowCount="1" headerRowDxfId="1760" dataDxfId="1759" totalsRowDxfId="1758">
  <autoFilter ref="B8:R41" xr:uid="{00000000-0009-0000-0100-000007000000}"/>
  <sortState xmlns:xlrd2="http://schemas.microsoft.com/office/spreadsheetml/2017/richdata2" ref="B9:R41">
    <sortCondition ref="Q9:Q41"/>
  </sortState>
  <tableColumns count="17">
    <tableColumn id="1" xr3:uid="{00000000-0010-0000-0800-000001000000}" name="FECHA" totalsRowLabel="Total" dataDxfId="1757" totalsRowDxfId="1756" dataCellStyle="Normal 3"/>
    <tableColumn id="2" xr3:uid="{00000000-0010-0000-0800-000002000000}" name="TIPO" dataDxfId="1755" totalsRowDxfId="1754" dataCellStyle="Normal 3"/>
    <tableColumn id="3" xr3:uid="{00000000-0010-0000-0800-000003000000}" name="PTO VTA" dataDxfId="1753" totalsRowDxfId="1752" dataCellStyle="Normal 3"/>
    <tableColumn id="4" xr3:uid="{00000000-0010-0000-0800-000004000000}" name="NRO. CPTE" dataDxfId="1751" totalsRowDxfId="1750" dataCellStyle="Normal 3"/>
    <tableColumn id="5" xr3:uid="{00000000-0010-0000-0800-000005000000}" name="CUIT" dataDxfId="1749" totalsRowDxfId="1748" dataCellStyle="Normal 3"/>
    <tableColumn id="6" xr3:uid="{00000000-0010-0000-0800-000006000000}" name="RAZON SOCIAL" dataDxfId="1747" totalsRowDxfId="1746" dataCellStyle="Normal 3">
      <calculatedColumnFormula>IFERROR(IF(compras_mes2[[#This Row],[CUIT]]="","-",VLOOKUP(compras_mes2[[#This Row],[CUIT]],Lista_CUIT[#All],2,0)),"CUIT NO CARGADO")</calculatedColumnFormula>
    </tableColumn>
    <tableColumn id="7" xr3:uid="{00000000-0010-0000-0800-000007000000}" name="NETO GRAVADO" totalsRowFunction="sum" dataDxfId="1745" totalsRowDxfId="1744" dataCellStyle="Normal 3"/>
    <tableColumn id="8" xr3:uid="{00000000-0010-0000-0800-000008000000}" name="IVA 21 %" totalsRowFunction="sum" dataDxfId="1743" totalsRowDxfId="1742" dataCellStyle="Normal 3">
      <calculatedColumnFormula>IF(compras_mes2[[#This Row],[NETO GRAVADO]]="","",compras_mes2[[#This Row],[NETO GRAVADO]]*0.21)</calculatedColumnFormula>
    </tableColumn>
    <tableColumn id="9" xr3:uid="{00000000-0010-0000-0800-000009000000}" name="IVA 27%" totalsRowFunction="sum" dataDxfId="1741" totalsRowDxfId="1740" dataCellStyle="Normal 3"/>
    <tableColumn id="10" xr3:uid="{00000000-0010-0000-0800-00000A000000}" name="IVA 10,5%" totalsRowFunction="sum" dataDxfId="1739" totalsRowDxfId="1738" dataCellStyle="Normal 3"/>
    <tableColumn id="11" xr3:uid="{00000000-0010-0000-0800-00000B000000}" name="PERC. IVA" totalsRowFunction="sum" dataDxfId="1737" totalsRowDxfId="1736" dataCellStyle="Normal 3"/>
    <tableColumn id="12" xr3:uid="{00000000-0010-0000-0800-00000C000000}" name="PERC IIBB _x000a_BS AS" totalsRowFunction="sum" dataDxfId="1735" totalsRowDxfId="1734" dataCellStyle="Normal 3"/>
    <tableColumn id="13" xr3:uid="{00000000-0010-0000-0800-00000D000000}" name="PERC. IIBB CABA" totalsRowFunction="sum" dataDxfId="1733" totalsRowDxfId="1732" dataCellStyle="Normal 3"/>
    <tableColumn id="14" xr3:uid="{00000000-0010-0000-0800-00000E000000}" name="Otros / No Grav." totalsRowFunction="sum" dataDxfId="1731" totalsRowDxfId="1730" dataCellStyle="Normal 3"/>
    <tableColumn id="15" xr3:uid="{00000000-0010-0000-0800-00000F000000}" name="TOTAL" totalsRowFunction="sum" dataDxfId="1729" totalsRowDxfId="1728" dataCellStyle="Normal 3">
      <calculatedColumnFormula>SUM(compras_mes2[[#This Row],[NETO GRAVADO]:[Otros / No Grav.]])</calculatedColumnFormula>
    </tableColumn>
    <tableColumn id="16" xr3:uid="{00000000-0010-0000-0800-000010000000}" name="Tipo de Gasto" dataDxfId="1727" totalsRowDxfId="1726" dataCellStyle="Normal 3">
      <calculatedColumnFormula>IFERROR(IF(compras_mes2[[#This Row],[CUIT]]="","-",VLOOKUP(compras_mes2[[#This Row],[CUIT]],Lista_CUIT[#All],3,0)),"CUIT NO CARGADO")</calculatedColumnFormula>
    </tableColumn>
    <tableColumn id="17" xr3:uid="{00000000-0010-0000-0800-000011000000}" name="Provincia" dataDxfId="1725" totalsRowDxfId="1724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factura_c_mes2" displayName="factura_c_mes2" ref="D60:K88" totalsRowCount="1" headerRowDxfId="1723" totalsRowDxfId="1722" headerRowCellStyle="Normal 3">
  <autoFilter ref="D60:K87" xr:uid="{00000000-0009-0000-0100-000009000000}"/>
  <sortState xmlns:xlrd2="http://schemas.microsoft.com/office/spreadsheetml/2017/richdata2" ref="D61:K87">
    <sortCondition ref="J61:J87"/>
  </sortState>
  <tableColumns count="8">
    <tableColumn id="1" xr3:uid="{00000000-0010-0000-0900-000001000000}" name="FECHA" totalsRowLabel="Total" dataDxfId="1721" totalsRowDxfId="1720" dataCellStyle="Normal 3"/>
    <tableColumn id="2" xr3:uid="{00000000-0010-0000-0900-000002000000}" name="PTO VTA" dataDxfId="1719" totalsRowDxfId="1718" dataCellStyle="Normal 3"/>
    <tableColumn id="3" xr3:uid="{00000000-0010-0000-0900-000003000000}" name="FC Nº" dataDxfId="1717" totalsRowDxfId="1716" dataCellStyle="Normal 3"/>
    <tableColumn id="4" xr3:uid="{00000000-0010-0000-0900-000004000000}" name="CUIT" dataDxfId="1715" totalsRowDxfId="1714" dataCellStyle="Normal 3"/>
    <tableColumn id="5" xr3:uid="{00000000-0010-0000-0900-000005000000}" name="RAZON SOCIAL" dataDxfId="1713" totalsRowDxfId="1712" dataCellStyle="Normal 3">
      <calculatedColumnFormula>IFERROR(IF(factura_c_mes2[[#This Row],[CUIT]]="","-",VLOOKUP(factura_c_mes2[[#This Row],[CUIT]],Lista_CUIT[#All],2,0)),"CUIT NO CARGADO")</calculatedColumnFormula>
    </tableColumn>
    <tableColumn id="6" xr3:uid="{00000000-0010-0000-0900-000006000000}" name="TOTAL" totalsRowFunction="sum" dataDxfId="1711" totalsRowDxfId="1710" dataCellStyle="Normal 3"/>
    <tableColumn id="7" xr3:uid="{00000000-0010-0000-0900-000007000000}" name="TIPO DE GASTO" dataDxfId="1709" totalsRowDxfId="1708" dataCellStyle="Normal 3">
      <calculatedColumnFormula>IFERROR(IF(factura_c_mes2[[#This Row],[CUIT]]="","-",VLOOKUP(factura_c_mes2[[#This Row],[CUIT]],Lista_CUIT[#All],3,0)),"CUIT NO CARGADO")</calculatedColumnFormula>
    </tableColumn>
    <tableColumn id="8" xr3:uid="{00000000-0010-0000-0900-000008000000}" name="Provincia" dataDxfId="1707" totalsRowDxfId="1706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venta_a_mes2" displayName="venta_a_mes2" ref="B97:M108" totalsRowCount="1" headerRowDxfId="1705" dataDxfId="1703" headerRowBorderDxfId="1704" tableBorderDxfId="1702" totalsRowBorderDxfId="1701" dataCellStyle="Normal 3">
  <autoFilter ref="B97:M107" xr:uid="{00000000-0009-0000-0100-00000B000000}"/>
  <tableColumns count="12">
    <tableColumn id="1" xr3:uid="{00000000-0010-0000-0A00-000001000000}" name="FECHA" totalsRowLabel="Total" dataDxfId="1700" totalsRowDxfId="1699" dataCellStyle="Normal 3"/>
    <tableColumn id="2" xr3:uid="{00000000-0010-0000-0A00-000002000000}" name="TIPO" dataDxfId="1698" totalsRowDxfId="1697" dataCellStyle="Normal 3"/>
    <tableColumn id="3" xr3:uid="{00000000-0010-0000-0A00-000003000000}" name="PTO VENTA" dataDxfId="1696" totalsRowDxfId="1695" dataCellStyle="Normal 3"/>
    <tableColumn id="4" xr3:uid="{00000000-0010-0000-0A00-000004000000}" name="Nº FACTURA" dataDxfId="1694" totalsRowDxfId="1693" dataCellStyle="Normal 3"/>
    <tableColumn id="5" xr3:uid="{00000000-0010-0000-0A00-000005000000}" name="CUIT" dataDxfId="1692" totalsRowDxfId="1691" dataCellStyle="Normal 3"/>
    <tableColumn id="6" xr3:uid="{00000000-0010-0000-0A00-000006000000}" name="RAZON SOCIAL" dataDxfId="1690" totalsRowDxfId="1689" dataCellStyle="Normal 3">
      <calculatedColumnFormula>IFERROR(IF(venta_a_mes2[[#This Row],[CUIT]]="","-",VLOOKUP(venta_a_mes2[[#This Row],[CUIT]],Lista_CUIT[#All],2,0)),"CUIT NO CARGADO")</calculatedColumnFormula>
    </tableColumn>
    <tableColumn id="7" xr3:uid="{00000000-0010-0000-0A00-000007000000}" name="IMPORTE NETO" totalsRowFunction="sum" dataDxfId="1688" totalsRowDxfId="1687" dataCellStyle="Normal 3"/>
    <tableColumn id="8" xr3:uid="{00000000-0010-0000-0A00-000008000000}" name="IVA 21%" totalsRowFunction="sum" dataDxfId="1686" totalsRowDxfId="1685" dataCellStyle="Normal 3">
      <calculatedColumnFormula>venta_a_mes2[[#This Row],[IMPORTE NETO]]*0.21</calculatedColumnFormula>
    </tableColumn>
    <tableColumn id="9" xr3:uid="{00000000-0010-0000-0A00-000009000000}" name="IVA 10,5%" totalsRowFunction="sum" dataDxfId="1684" totalsRowDxfId="1683" dataCellStyle="Normal 3"/>
    <tableColumn id="10" xr3:uid="{00000000-0010-0000-0A00-00000A000000}" name="EXENTO" totalsRowFunction="sum" dataDxfId="1682" totalsRowDxfId="1681" dataCellStyle="Normal 3"/>
    <tableColumn id="11" xr3:uid="{00000000-0010-0000-0A00-00000B000000}" name="TOTAL" totalsRowFunction="sum" dataDxfId="1680" totalsRowDxfId="1679" dataCellStyle="Normal 3">
      <calculatedColumnFormula>SUM(venta_a_mes2[[#This Row],[IMPORTE NETO]:[EXENTO]])</calculatedColumnFormula>
    </tableColumn>
    <tableColumn id="12" xr3:uid="{00000000-0010-0000-0A00-00000C000000}" name="Provincia" dataDxfId="1678" totalsRowDxfId="1677" dataCellStyle="Normal 3"/>
  </tableColumns>
  <tableStyleInfo name="Tabla Ventas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ventas_b_mes2" displayName="ventas_b_mes2" ref="B124:M128" totalsRowCount="1" headerRowDxfId="1676" dataDxfId="1674" headerRowBorderDxfId="1675" tableBorderDxfId="1673" totalsRowBorderDxfId="1672" dataCellStyle="Normal 3">
  <autoFilter ref="B124:M127" xr:uid="{00000000-0009-0000-0100-00000C000000}"/>
  <tableColumns count="12">
    <tableColumn id="1" xr3:uid="{00000000-0010-0000-0B00-000001000000}" name="FECHA" totalsRowLabel="Total" dataDxfId="1671" totalsRowDxfId="1670" dataCellStyle="Normal 3"/>
    <tableColumn id="2" xr3:uid="{00000000-0010-0000-0B00-000002000000}" name="TIPO" dataDxfId="1669" totalsRowDxfId="1668" dataCellStyle="Normal 3"/>
    <tableColumn id="3" xr3:uid="{00000000-0010-0000-0B00-000003000000}" name="PTO VENTA" dataDxfId="1667" totalsRowDxfId="1666" dataCellStyle="Normal 3"/>
    <tableColumn id="4" xr3:uid="{00000000-0010-0000-0B00-000004000000}" name="Nº FACTURA" dataDxfId="1665" totalsRowDxfId="1664" dataCellStyle="Normal 3"/>
    <tableColumn id="5" xr3:uid="{00000000-0010-0000-0B00-000005000000}" name="CUIT" dataDxfId="1663" totalsRowDxfId="1662" dataCellStyle="Normal 3"/>
    <tableColumn id="6" xr3:uid="{00000000-0010-0000-0B00-000006000000}" name="RAZON SOCIAL" dataDxfId="1661" totalsRowDxfId="1660" dataCellStyle="Normal 3">
      <calculatedColumnFormula>IFERROR(IF(ventas_b_mes2[[#This Row],[CUIT]]="","-",VLOOKUP(ventas_b_mes2[[#This Row],[CUIT]],Lista_CUIT[#All],2,0)),"CUIT NO CARGADO")</calculatedColumnFormula>
    </tableColumn>
    <tableColumn id="7" xr3:uid="{00000000-0010-0000-0B00-000007000000}" name="IMPORTE NETO" totalsRowFunction="sum" dataDxfId="1659" totalsRowDxfId="1658" dataCellStyle="Normal 3"/>
    <tableColumn id="8" xr3:uid="{00000000-0010-0000-0B00-000008000000}" name="IVA 21%" totalsRowFunction="sum" dataDxfId="1657" totalsRowDxfId="1656" dataCellStyle="Normal 3"/>
    <tableColumn id="9" xr3:uid="{00000000-0010-0000-0B00-000009000000}" name="IVA 10,5%" totalsRowFunction="sum" dataDxfId="1655" totalsRowDxfId="1654" dataCellStyle="Normal 3"/>
    <tableColumn id="10" xr3:uid="{00000000-0010-0000-0B00-00000A000000}" name="EXENTO" totalsRowFunction="sum" dataDxfId="1653" totalsRowDxfId="1652" dataCellStyle="Normal 3"/>
    <tableColumn id="11" xr3:uid="{00000000-0010-0000-0B00-00000B000000}" name="TOTAL" totalsRowFunction="custom" dataDxfId="1651" totalsRowDxfId="1650" dataCellStyle="Normal 3">
      <calculatedColumnFormula>ventas_b_mes2[[#This Row],[EXENTO]]</calculatedColumnFormula>
      <totalsRowFormula>SUM(L125:L126)</totalsRowFormula>
    </tableColumn>
    <tableColumn id="12" xr3:uid="{00000000-0010-0000-0B00-00000C000000}" name="Provincia" totalsRowFunction="count" dataDxfId="1649" totalsRowDxfId="1648" dataCellStyle="Normal 3"/>
  </tableColumns>
  <tableStyleInfo name="Tabla Ventas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extracto_banco_mes2" displayName="extracto_banco_mes2" ref="D48:L55" totalsRowCount="1" headerRowDxfId="1647" dataDxfId="1646" tableBorderDxfId="1645" dataCellStyle="Normal 3">
  <autoFilter ref="D48:L54" xr:uid="{00000000-0009-0000-0100-00000D000000}"/>
  <tableColumns count="9">
    <tableColumn id="1" xr3:uid="{00000000-0010-0000-0C00-000001000000}" name="FECHA" totalsRowLabel="Total" dataDxfId="1644" totalsRowDxfId="1643" dataCellStyle="Normal 3"/>
    <tableColumn id="2" xr3:uid="{00000000-0010-0000-0C00-000002000000}" name="NRO CPTE" dataDxfId="1642" totalsRowDxfId="1641"/>
    <tableColumn id="3" xr3:uid="{00000000-0010-0000-0C00-000003000000}" name="BANCO" dataDxfId="1640" totalsRowDxfId="1639"/>
    <tableColumn id="4" xr3:uid="{00000000-0010-0000-0C00-000004000000}" name="NETO" totalsRowFunction="sum" dataDxfId="1638" totalsRowDxfId="1637" dataCellStyle="Normal 3"/>
    <tableColumn id="5" xr3:uid="{00000000-0010-0000-0C00-000005000000}" name="IVA 21%" totalsRowFunction="sum" dataDxfId="1636" totalsRowDxfId="1635" dataCellStyle="Normal 3">
      <calculatedColumnFormula>extracto_banco_mes2[[#This Row],[NETO]]*0.21</calculatedColumnFormula>
    </tableColumn>
    <tableColumn id="6" xr3:uid="{00000000-0010-0000-0C00-000006000000}" name="IVA 10,5%" totalsRowFunction="sum" dataDxfId="1634" totalsRowDxfId="1633" dataCellStyle="Normal 3"/>
    <tableColumn id="7" xr3:uid="{00000000-0010-0000-0C00-000007000000}" name="RET IIBB CABA" totalsRowFunction="sum" dataDxfId="1632" totalsRowDxfId="1631" dataCellStyle="Normal 3"/>
    <tableColumn id="8" xr3:uid="{00000000-0010-0000-0C00-000008000000}" name="PERC IVA" totalsRowFunction="sum" dataDxfId="1630" totalsRowDxfId="1629" dataCellStyle="Normal 3"/>
    <tableColumn id="9" xr3:uid="{00000000-0010-0000-0C00-000009000000}" name="PERC IIBB" totalsRowFunction="sum" dataDxfId="1628" totalsRowDxfId="1627" dataCellStyle="Normal 3"/>
  </tableColumns>
  <tableStyleInfo name="Estilo de tabla 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Retenciones_mes2" displayName="Retenciones_mes2" ref="C135:L162" totalsRowShown="0" headerRowDxfId="1626" dataDxfId="1625" headerRowCellStyle="Normal 3" dataCellStyle="Normal 3">
  <autoFilter ref="C135:L162" xr:uid="{00000000-0009-0000-0100-00000E000000}"/>
  <tableColumns count="10">
    <tableColumn id="1" xr3:uid="{00000000-0010-0000-0D00-000001000000}" name="FECHA " dataDxfId="1624" dataCellStyle="Normal 3"/>
    <tableColumn id="2" xr3:uid="{00000000-0010-0000-0D00-000002000000}" name="COMP Nº" dataDxfId="1623" dataCellStyle="Normal 3"/>
    <tableColumn id="3" xr3:uid="{00000000-0010-0000-0D00-000003000000}" name="Columna1" dataDxfId="1622" dataCellStyle="Normal 3"/>
    <tableColumn id="4" xr3:uid="{00000000-0010-0000-0D00-000004000000}" name="CUIT" dataDxfId="1621" dataCellStyle="Normal 3"/>
    <tableColumn id="5" xr3:uid="{00000000-0010-0000-0D00-000005000000}" name="RAZON SOCIAL" dataDxfId="1620" dataCellStyle="Normal 3">
      <calculatedColumnFormula>IFERROR(IF(Retenciones_mes2[[#This Row],[CUIT]]="","-",VLOOKUP(Retenciones_mes2[[#This Row],[CUIT]],Lista_CUIT[#All],2,0)),"CUIT NO CARGADO")</calculatedColumnFormula>
    </tableColumn>
    <tableColumn id="6" xr3:uid="{00000000-0010-0000-0D00-000006000000}" name="Ganancias" dataDxfId="1619" dataCellStyle="Normal 3"/>
    <tableColumn id="7" xr3:uid="{00000000-0010-0000-0D00-000007000000}" name="IVA" dataDxfId="1618" dataCellStyle="Normal 3"/>
    <tableColumn id="8" xr3:uid="{00000000-0010-0000-0D00-000008000000}" name="SUSS" dataDxfId="1617" dataCellStyle="Normal 3"/>
    <tableColumn id="9" xr3:uid="{00000000-0010-0000-0D00-000009000000}" name="IIBB BSAS" dataDxfId="1616" dataCellStyle="Normal 3"/>
    <tableColumn id="10" xr3:uid="{00000000-0010-0000-0D00-00000A000000}" name="IIBB CABA" dataDxfId="1615" dataCellStyle="Normal 3"/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0E000000}" name="ventas_b_mes252" displayName="ventas_b_mes252" ref="B114:M120" totalsRowCount="1" headerRowDxfId="1614" dataDxfId="1612" headerRowBorderDxfId="1613" tableBorderDxfId="1611" totalsRowBorderDxfId="1610" dataCellStyle="Normal 3">
  <autoFilter ref="B114:M119" xr:uid="{00000000-0009-0000-0100-000033000000}"/>
  <tableColumns count="12">
    <tableColumn id="1" xr3:uid="{00000000-0010-0000-0E00-000001000000}" name="FECHA" totalsRowLabel="Total" dataDxfId="1609" totalsRowDxfId="1608" dataCellStyle="Normal 3"/>
    <tableColumn id="2" xr3:uid="{00000000-0010-0000-0E00-000002000000}" name="TIPO" dataDxfId="1607" totalsRowDxfId="1606" dataCellStyle="Normal 3"/>
    <tableColumn id="3" xr3:uid="{00000000-0010-0000-0E00-000003000000}" name="PTO VENTA" dataDxfId="1605" totalsRowDxfId="1604" dataCellStyle="Normal 3"/>
    <tableColumn id="4" xr3:uid="{00000000-0010-0000-0E00-000004000000}" name="Nº FACTURA" dataDxfId="1603" totalsRowDxfId="1602" dataCellStyle="Normal 3"/>
    <tableColumn id="5" xr3:uid="{00000000-0010-0000-0E00-000005000000}" name="CUIT" dataDxfId="1601" totalsRowDxfId="1600" dataCellStyle="Normal 3"/>
    <tableColumn id="6" xr3:uid="{00000000-0010-0000-0E00-000006000000}" name="RAZON SOCIAL" dataDxfId="1599" totalsRowDxfId="1598" dataCellStyle="Normal 3">
      <calculatedColumnFormula>IFERROR(IF(ventas_b_mes252[[#This Row],[CUIT]]="","-",VLOOKUP(ventas_b_mes252[[#This Row],[CUIT]],Lista_CUIT[#All],2,0)),"CUIT NO CARGADO")</calculatedColumnFormula>
    </tableColumn>
    <tableColumn id="7" xr3:uid="{00000000-0010-0000-0E00-000007000000}" name="IMPORTE NETO" totalsRowFunction="sum" dataDxfId="1597" totalsRowDxfId="1596" dataCellStyle="Normal 3"/>
    <tableColumn id="8" xr3:uid="{00000000-0010-0000-0E00-000008000000}" name="IVA 21%" totalsRowFunction="sum" dataDxfId="1595" totalsRowDxfId="1594" dataCellStyle="Normal 3">
      <calculatedColumnFormula>ventas_b_mes252[[#This Row],[IMPORTE NETO]]*0.21</calculatedColumnFormula>
    </tableColumn>
    <tableColumn id="9" xr3:uid="{00000000-0010-0000-0E00-000009000000}" name="IVA 10,5%" totalsRowFunction="sum" dataDxfId="1593" totalsRowDxfId="1592" dataCellStyle="Normal 3"/>
    <tableColumn id="10" xr3:uid="{00000000-0010-0000-0E00-00000A000000}" name="EXENTO" totalsRowFunction="sum" dataDxfId="1591" totalsRowDxfId="1590" dataCellStyle="Normal 3"/>
    <tableColumn id="11" xr3:uid="{00000000-0010-0000-0E00-00000B000000}" name="TOTAL" totalsRowFunction="sum" dataDxfId="1589" totalsRowDxfId="1588" dataCellStyle="Normal 3">
      <calculatedColumnFormula>ventas_b_mes252[[#This Row],[EXENTO]]+ventas_b_mes252[[#This Row],[IVA 10,5%]]+ventas_b_mes252[[#This Row],[IVA 21%]]+ventas_b_mes252[[#This Row],[IMPORTE NETO]]</calculatedColumnFormula>
    </tableColumn>
    <tableColumn id="12" xr3:uid="{00000000-0010-0000-0E00-00000C000000}" name="Provincia" totalsRowFunction="count" dataDxfId="1587" totalsRowDxfId="1586" dataCellStyle="Normal 3"/>
  </tableColumns>
  <tableStyleInfo name="Tabla Ventas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F000000}" name="compras_mes3" displayName="compras_mes3" ref="B8:R44" totalsRowCount="1" headerRowDxfId="1585" dataDxfId="1584" totalsRowDxfId="1583">
  <autoFilter ref="B8:R43" xr:uid="{00000000-0009-0000-0100-00000F000000}"/>
  <sortState xmlns:xlrd2="http://schemas.microsoft.com/office/spreadsheetml/2017/richdata2" ref="B9:R43">
    <sortCondition ref="G8:G43"/>
  </sortState>
  <tableColumns count="17">
    <tableColumn id="1" xr3:uid="{00000000-0010-0000-0F00-000001000000}" name="FECHA" totalsRowLabel="Total" dataDxfId="1582" totalsRowDxfId="1581" dataCellStyle="Normal 3"/>
    <tableColumn id="2" xr3:uid="{00000000-0010-0000-0F00-000002000000}" name="TIPO" dataDxfId="1580" totalsRowDxfId="1579" dataCellStyle="Normal 3"/>
    <tableColumn id="3" xr3:uid="{00000000-0010-0000-0F00-000003000000}" name="PTO VTA" dataDxfId="1578" totalsRowDxfId="1577" dataCellStyle="Normal 3"/>
    <tableColumn id="4" xr3:uid="{00000000-0010-0000-0F00-000004000000}" name="NRO. CPTE" dataDxfId="1576" totalsRowDxfId="1575" dataCellStyle="Normal 3"/>
    <tableColumn id="5" xr3:uid="{00000000-0010-0000-0F00-000005000000}" name="CUIT" dataDxfId="1574" totalsRowDxfId="1573" dataCellStyle="Normal 3"/>
    <tableColumn id="6" xr3:uid="{00000000-0010-0000-0F00-000006000000}" name="RAZON SOCIAL" dataDxfId="1572" totalsRowDxfId="1571" dataCellStyle="Normal 3">
      <calculatedColumnFormula>IFERROR(IF(compras_mes3[[#This Row],[CUIT]]="","-",VLOOKUP(compras_mes3[[#This Row],[CUIT]],Lista_CUIT[#All],2,0)),"CUIT NO CARGADO")</calculatedColumnFormula>
    </tableColumn>
    <tableColumn id="7" xr3:uid="{00000000-0010-0000-0F00-000007000000}" name="NETO GRAVADO" totalsRowFunction="sum" dataDxfId="1570" totalsRowDxfId="1569" dataCellStyle="Normal 3"/>
    <tableColumn id="8" xr3:uid="{00000000-0010-0000-0F00-000008000000}" name="IVA 21 %" totalsRowFunction="sum" dataDxfId="1568" totalsRowDxfId="1567" dataCellStyle="Normal 3">
      <calculatedColumnFormula>IF(compras_mes3[[#This Row],[NETO GRAVADO]]="","",compras_mes3[[#This Row],[NETO GRAVADO]]*0.21)</calculatedColumnFormula>
    </tableColumn>
    <tableColumn id="9" xr3:uid="{00000000-0010-0000-0F00-000009000000}" name="IVA 27%" totalsRowFunction="sum" dataDxfId="1566" totalsRowDxfId="1565" dataCellStyle="Normal 3"/>
    <tableColumn id="10" xr3:uid="{00000000-0010-0000-0F00-00000A000000}" name="IVA 10,5%" totalsRowFunction="sum" dataDxfId="1564" totalsRowDxfId="1563" dataCellStyle="Normal 3"/>
    <tableColumn id="11" xr3:uid="{00000000-0010-0000-0F00-00000B000000}" name="PERC. IVA" totalsRowFunction="sum" dataDxfId="1562" totalsRowDxfId="1561" dataCellStyle="Normal 3"/>
    <tableColumn id="12" xr3:uid="{00000000-0010-0000-0F00-00000C000000}" name="PERC IIBB _x000a_BS AS" totalsRowFunction="sum" dataDxfId="1560" totalsRowDxfId="1559" dataCellStyle="Normal 3"/>
    <tableColumn id="13" xr3:uid="{00000000-0010-0000-0F00-00000D000000}" name="PERC. IIBB CABA" totalsRowFunction="sum" dataDxfId="1558" totalsRowDxfId="1557" dataCellStyle="Normal 3"/>
    <tableColumn id="14" xr3:uid="{00000000-0010-0000-0F00-00000E000000}" name="Otros / No Grav." totalsRowFunction="sum" dataDxfId="1556" totalsRowDxfId="1555" dataCellStyle="Normal 3"/>
    <tableColumn id="15" xr3:uid="{00000000-0010-0000-0F00-00000F000000}" name="TOTAL" totalsRowFunction="sum" dataDxfId="1554" totalsRowDxfId="1553" dataCellStyle="Normal 3">
      <calculatedColumnFormula>SUM(compras_mes3[[#This Row],[NETO GRAVADO]:[Otros / No Grav.]])</calculatedColumnFormula>
    </tableColumn>
    <tableColumn id="16" xr3:uid="{00000000-0010-0000-0F00-000010000000}" name="Tipo de Gasto" dataDxfId="1552" totalsRowDxfId="1551" dataCellStyle="Normal 3">
      <calculatedColumnFormula>IFERROR(IF(compras_mes3[[#This Row],[CUIT]]="","-",VLOOKUP(compras_mes3[[#This Row],[CUIT]],Lista_CUIT[#All],3,0)),"CUIT NO CARGADO")</calculatedColumnFormula>
    </tableColumn>
    <tableColumn id="17" xr3:uid="{00000000-0010-0000-0F00-000011000000}" name="Provincia" dataDxfId="1550" totalsRowDxfId="1549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0000000}" name="factura_c_mes3" displayName="factura_c_mes3" ref="D57:K72" totalsRowCount="1" headerRowDxfId="1548" totalsRowDxfId="1547" headerRowCellStyle="Normal 3">
  <autoFilter ref="D57:K71" xr:uid="{00000000-0009-0000-0100-000010000000}"/>
  <sortState xmlns:xlrd2="http://schemas.microsoft.com/office/spreadsheetml/2017/richdata2" ref="D143:K179">
    <sortCondition ref="D143:D179"/>
  </sortState>
  <tableColumns count="8">
    <tableColumn id="1" xr3:uid="{00000000-0010-0000-1000-000001000000}" name="FECHA" totalsRowLabel="Total" dataDxfId="1546" totalsRowDxfId="1545" dataCellStyle="Normal 3"/>
    <tableColumn id="2" xr3:uid="{00000000-0010-0000-1000-000002000000}" name="PTO VTA" dataDxfId="1544" totalsRowDxfId="1543" dataCellStyle="Normal 3"/>
    <tableColumn id="3" xr3:uid="{00000000-0010-0000-1000-000003000000}" name="FC Nº" dataDxfId="1542" totalsRowDxfId="1541" dataCellStyle="Normal 3"/>
    <tableColumn id="4" xr3:uid="{00000000-0010-0000-1000-000004000000}" name="CUIT" dataDxfId="1540" totalsRowDxfId="1539" dataCellStyle="Normal 3"/>
    <tableColumn id="5" xr3:uid="{00000000-0010-0000-1000-000005000000}" name="RAZON SOCIAL" dataDxfId="1538" totalsRowDxfId="1537" dataCellStyle="Normal 3">
      <calculatedColumnFormula>IFERROR(IF(factura_c_mes3[[#This Row],[CUIT]]="","-",VLOOKUP(factura_c_mes3[[#This Row],[CUIT]],Lista_CUIT[#All],2,0)),"CUIT NO CARGADO")</calculatedColumnFormula>
    </tableColumn>
    <tableColumn id="6" xr3:uid="{00000000-0010-0000-1000-000006000000}" name="TOTAL" totalsRowFunction="sum" dataDxfId="1536" totalsRowDxfId="1535" dataCellStyle="Normal 3"/>
    <tableColumn id="7" xr3:uid="{00000000-0010-0000-1000-000007000000}" name="TIPO DE GASTO" dataDxfId="1534" totalsRowDxfId="1533" dataCellStyle="Normal 3">
      <calculatedColumnFormula>IFERROR(IF(factura_c_mes3[[#This Row],[CUIT]]="","-",VLOOKUP(factura_c_mes3[[#This Row],[CUIT]],Lista_CUIT[#All],3,0)),"CUIT NO CARGADO")</calculatedColumnFormula>
    </tableColumn>
    <tableColumn id="8" xr3:uid="{00000000-0010-0000-1000-000008000000}" name="Provincia" dataDxfId="1532" totalsRowDxfId="1531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1000000}" name="venta_a_mes3" displayName="venta_a_mes3" ref="B81:M91" totalsRowCount="1" headerRowDxfId="1530" dataDxfId="1528" headerRowBorderDxfId="1529" tableBorderDxfId="1527" totalsRowBorderDxfId="1526" dataCellStyle="Normal 3">
  <autoFilter ref="B81:M90" xr:uid="{00000000-0009-0000-0100-000011000000}"/>
  <tableColumns count="12">
    <tableColumn id="1" xr3:uid="{00000000-0010-0000-1100-000001000000}" name="FECHA" totalsRowLabel="Total" dataDxfId="1525" totalsRowDxfId="1524" dataCellStyle="Normal 3"/>
    <tableColumn id="2" xr3:uid="{00000000-0010-0000-1100-000002000000}" name="TIPO" dataDxfId="1523" totalsRowDxfId="1522" dataCellStyle="Normal 3"/>
    <tableColumn id="3" xr3:uid="{00000000-0010-0000-1100-000003000000}" name="PTO VENTA" dataDxfId="1521" totalsRowDxfId="1520" dataCellStyle="Normal 3"/>
    <tableColumn id="4" xr3:uid="{00000000-0010-0000-1100-000004000000}" name="Nº FACTURA" dataDxfId="1519" totalsRowDxfId="1518" dataCellStyle="Normal 3"/>
    <tableColumn id="5" xr3:uid="{00000000-0010-0000-1100-000005000000}" name="CUIT" dataDxfId="1517" totalsRowDxfId="1516" dataCellStyle="Normal 3"/>
    <tableColumn id="6" xr3:uid="{00000000-0010-0000-1100-000006000000}" name="RAZON SOCIAL" dataDxfId="1515" totalsRowDxfId="1514" dataCellStyle="Normal 3">
      <calculatedColumnFormula>IFERROR(IF(venta_a_mes3[[#This Row],[CUIT]]="","-",VLOOKUP(venta_a_mes3[[#This Row],[CUIT]],Lista_CUIT[#All],2,0)),"CUIT NO CARGADO")</calculatedColumnFormula>
    </tableColumn>
    <tableColumn id="7" xr3:uid="{00000000-0010-0000-1100-000007000000}" name="IMPORTE NETO" totalsRowFunction="sum" dataDxfId="1513" totalsRowDxfId="1512" dataCellStyle="Normal 3"/>
    <tableColumn id="8" xr3:uid="{00000000-0010-0000-1100-000008000000}" name="IVA 21%" totalsRowFunction="sum" dataDxfId="1511" totalsRowDxfId="1510" dataCellStyle="Normal 3">
      <calculatedColumnFormula>venta_a_mes3[[#This Row],[IMPORTE NETO]]*0.21</calculatedColumnFormula>
    </tableColumn>
    <tableColumn id="9" xr3:uid="{00000000-0010-0000-1100-000009000000}" name="IVA 10,5%" totalsRowFunction="sum" dataDxfId="1509" totalsRowDxfId="1508" dataCellStyle="Normal 3"/>
    <tableColumn id="10" xr3:uid="{00000000-0010-0000-1100-00000A000000}" name="EXENTO" totalsRowFunction="sum" dataDxfId="1507" totalsRowDxfId="1506" dataCellStyle="Normal 3"/>
    <tableColumn id="11" xr3:uid="{00000000-0010-0000-1100-00000B000000}" name="TOTAL" totalsRowFunction="sum" dataDxfId="1505" totalsRowDxfId="1504" dataCellStyle="Normal 3">
      <calculatedColumnFormula>SUM(venta_a_mes3[[#This Row],[IMPORTE NETO]:[EXENTO]])</calculatedColumnFormula>
    </tableColumn>
    <tableColumn id="12" xr3:uid="{00000000-0010-0000-1100-00000C000000}" name="Provincia" totalsRowFunction="count" dataDxfId="1503" totalsRowDxfId="1502" dataCellStyle="Normal 3"/>
  </tableColumns>
  <tableStyleInfo name="Tabla Ventas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2000000}" name="ventas_b_mes3" displayName="ventas_b_mes3" ref="B95:M102" totalsRowCount="1" headerRowDxfId="1501" dataDxfId="1499" headerRowBorderDxfId="1500" tableBorderDxfId="1498" totalsRowBorderDxfId="1497" dataCellStyle="Normal 3">
  <autoFilter ref="B95:M101" xr:uid="{00000000-0009-0000-0100-000012000000}"/>
  <tableColumns count="12">
    <tableColumn id="1" xr3:uid="{00000000-0010-0000-1200-000001000000}" name="FECHA" totalsRowLabel="Total" dataDxfId="1496" totalsRowDxfId="1495" dataCellStyle="Normal 3"/>
    <tableColumn id="2" xr3:uid="{00000000-0010-0000-1200-000002000000}" name="TIPO" dataDxfId="1494" totalsRowDxfId="1493" dataCellStyle="Normal 3"/>
    <tableColumn id="3" xr3:uid="{00000000-0010-0000-1200-000003000000}" name="PTO VENTA" dataDxfId="1492" totalsRowDxfId="1491" dataCellStyle="Normal 3"/>
    <tableColumn id="4" xr3:uid="{00000000-0010-0000-1200-000004000000}" name="Nº FACTURA" dataDxfId="1490" totalsRowDxfId="1489" dataCellStyle="Normal 3"/>
    <tableColumn id="5" xr3:uid="{00000000-0010-0000-1200-000005000000}" name="CUIT" dataDxfId="1488" totalsRowDxfId="1487" dataCellStyle="Normal 3"/>
    <tableColumn id="6" xr3:uid="{00000000-0010-0000-1200-000006000000}" name="RAZON SOCIAL" dataDxfId="1486" totalsRowDxfId="1485" dataCellStyle="Normal 3">
      <calculatedColumnFormula>IFERROR(IF(ventas_b_mes3[[#This Row],[CUIT]]="","-",VLOOKUP(ventas_b_mes3[[#This Row],[CUIT]],Lista_CUIT[#All],2,0)),"CUIT NO CARGADO")</calculatedColumnFormula>
    </tableColumn>
    <tableColumn id="7" xr3:uid="{00000000-0010-0000-1200-000007000000}" name="IMPORTE NETO" totalsRowFunction="sum" dataDxfId="1484" totalsRowDxfId="1483" dataCellStyle="Normal 3"/>
    <tableColumn id="8" xr3:uid="{00000000-0010-0000-1200-000008000000}" name="IVA 21%" totalsRowFunction="sum" dataDxfId="1482" totalsRowDxfId="1481" dataCellStyle="Normal 3"/>
    <tableColumn id="9" xr3:uid="{00000000-0010-0000-1200-000009000000}" name="IVA 10,5%" totalsRowFunction="sum" dataDxfId="1480" totalsRowDxfId="1479" dataCellStyle="Normal 3"/>
    <tableColumn id="10" xr3:uid="{00000000-0010-0000-1200-00000A000000}" name="EXENTO" totalsRowFunction="sum" dataDxfId="1478" totalsRowDxfId="1477" dataCellStyle="Normal 3"/>
    <tableColumn id="11" xr3:uid="{00000000-0010-0000-1200-00000B000000}" name="TOTAL" totalsRowFunction="sum" dataDxfId="1476" totalsRowDxfId="1475" dataCellStyle="Normal 3">
      <calculatedColumnFormula>SUM(ventas_b_mes3[[#This Row],[IMPORTE NETO]:[EXENTO]])</calculatedColumnFormula>
    </tableColumn>
    <tableColumn id="12" xr3:uid="{00000000-0010-0000-1200-00000C000000}" name="Provincia" totalsRowFunction="count" dataDxfId="1474" totalsRowDxfId="1473" dataCellStyle="Normal 3"/>
  </tableColumns>
  <tableStyleInfo name="Tabla Ventas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3000000}" name="extracto_banco_mes3" displayName="extracto_banco_mes3" ref="D50:L54" totalsRowCount="1" headerRowDxfId="1472" dataDxfId="1471" tableBorderDxfId="1470" dataCellStyle="Normal 3">
  <autoFilter ref="D50:L53" xr:uid="{00000000-0009-0000-0100-000013000000}"/>
  <tableColumns count="9">
    <tableColumn id="1" xr3:uid="{00000000-0010-0000-1300-000001000000}" name="FECHA" totalsRowLabel="Total" dataDxfId="1469" totalsRowDxfId="1468" dataCellStyle="Normal 3"/>
    <tableColumn id="2" xr3:uid="{00000000-0010-0000-1300-000002000000}" name="NRO CPTE" dataDxfId="1467" totalsRowDxfId="1466" dataCellStyle="Normal 3"/>
    <tableColumn id="3" xr3:uid="{00000000-0010-0000-1300-000003000000}" name="BANCO" dataDxfId="1465" totalsRowDxfId="1464"/>
    <tableColumn id="4" xr3:uid="{00000000-0010-0000-1300-000004000000}" name="NETO" totalsRowFunction="sum" dataDxfId="1463" totalsRowDxfId="1462" dataCellStyle="Normal 3"/>
    <tableColumn id="5" xr3:uid="{00000000-0010-0000-1300-000005000000}" name="IVA 21%" totalsRowFunction="sum" dataDxfId="1461" totalsRowDxfId="1460" dataCellStyle="Normal 3">
      <calculatedColumnFormula>extracto_banco_mes3[[#This Row],[NETO]]*0.21</calculatedColumnFormula>
    </tableColumn>
    <tableColumn id="6" xr3:uid="{00000000-0010-0000-1300-000006000000}" name="IVA 10,5%" totalsRowFunction="sum" dataDxfId="1459" totalsRowDxfId="1458" dataCellStyle="Normal 3"/>
    <tableColumn id="7" xr3:uid="{00000000-0010-0000-1300-000007000000}" name="RET IIBB CABA" totalsRowFunction="sum" dataDxfId="1457" totalsRowDxfId="1456" dataCellStyle="Normal 3"/>
    <tableColumn id="8" xr3:uid="{00000000-0010-0000-1300-000008000000}" name="PERC IVA" totalsRowFunction="sum" dataDxfId="1455" totalsRowDxfId="1454" dataCellStyle="Normal 3"/>
    <tableColumn id="9" xr3:uid="{00000000-0010-0000-1300-000009000000}" name="PERC IIBB" totalsRowFunction="sum" dataDxfId="1453" totalsRowDxfId="1452" dataCellStyle="Normal 3"/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4000000}" name="Retenciones_mes3" displayName="Retenciones_mes3" ref="C114:L119" totalsRowShown="0" headerRowDxfId="1451" dataDxfId="1450" headerRowCellStyle="Normal 3" dataCellStyle="Normal 3">
  <autoFilter ref="C114:L119" xr:uid="{00000000-0009-0000-0100-000014000000}"/>
  <tableColumns count="10">
    <tableColumn id="1" xr3:uid="{00000000-0010-0000-1400-000001000000}" name="FECHA " dataDxfId="1449" dataCellStyle="Normal 3"/>
    <tableColumn id="2" xr3:uid="{00000000-0010-0000-1400-000002000000}" name="COMP Nº" dataDxfId="1448" dataCellStyle="Normal 3"/>
    <tableColumn id="3" xr3:uid="{00000000-0010-0000-1400-000003000000}" name="Columna1" dataDxfId="1447" dataCellStyle="Normal 3"/>
    <tableColumn id="4" xr3:uid="{00000000-0010-0000-1400-000004000000}" name="CUIT" dataDxfId="1446" dataCellStyle="Normal 3"/>
    <tableColumn id="5" xr3:uid="{00000000-0010-0000-1400-000005000000}" name="RAZON SOCIAL" dataDxfId="1445" dataCellStyle="Normal 3">
      <calculatedColumnFormula>IFERROR(IF(Retenciones_mes3[[#This Row],[CUIT]]="","-",VLOOKUP(Retenciones_mes3[[#This Row],[CUIT]],Lista_CUIT[#All],2,0)),"CUIT NO CARGADO")</calculatedColumnFormula>
    </tableColumn>
    <tableColumn id="6" xr3:uid="{00000000-0010-0000-1400-000006000000}" name="Ganancias" dataDxfId="1444" dataCellStyle="Normal 3"/>
    <tableColumn id="7" xr3:uid="{00000000-0010-0000-1400-000007000000}" name="IVA" dataDxfId="1443" dataCellStyle="Normal 3"/>
    <tableColumn id="8" xr3:uid="{00000000-0010-0000-1400-000008000000}" name="SUSS" dataDxfId="1442" dataCellStyle="Normal 3"/>
    <tableColumn id="9" xr3:uid="{00000000-0010-0000-1400-000009000000}" name="IIBB BSAS" dataDxfId="1441" dataCellStyle="Normal 3"/>
    <tableColumn id="10" xr3:uid="{00000000-0010-0000-1400-00000A000000}" name="IIBB CABA" dataDxfId="1440" dataCellStyle="Normal 3"/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15000000}" name="ventas_b_mes1354" displayName="ventas_b_mes1354" ref="B106:K109" totalsRowCount="1" headerRowDxfId="1439" dataDxfId="1437" headerRowBorderDxfId="1438" tableBorderDxfId="1436" totalsRowBorderDxfId="1435" dataCellStyle="Normal 3">
  <autoFilter ref="B106:K108" xr:uid="{00000000-0009-0000-0100-000035000000}"/>
  <tableColumns count="10">
    <tableColumn id="1" xr3:uid="{00000000-0010-0000-1500-000001000000}" name="FECHA" totalsRowLabel="Total" dataDxfId="1434" totalsRowDxfId="1433" dataCellStyle="Normal 3"/>
    <tableColumn id="2" xr3:uid="{00000000-0010-0000-1500-000002000000}" name="TIPO" dataDxfId="1432" totalsRowDxfId="1431" dataCellStyle="Normal 3"/>
    <tableColumn id="3" xr3:uid="{00000000-0010-0000-1500-000003000000}" name="PTO VENTA" dataDxfId="1430" totalsRowDxfId="1429" dataCellStyle="Normal 3"/>
    <tableColumn id="4" xr3:uid="{00000000-0010-0000-1500-000004000000}" name="Nº FACTURA" dataDxfId="1428" totalsRowDxfId="1427" dataCellStyle="Normal 3"/>
    <tableColumn id="5" xr3:uid="{00000000-0010-0000-1500-000005000000}" name="CUIT" dataDxfId="1426" totalsRowDxfId="1425" dataCellStyle="Normal 3"/>
    <tableColumn id="6" xr3:uid="{00000000-0010-0000-1500-000006000000}" name="RAZON SOCIAL" dataDxfId="1424" totalsRowDxfId="1423" dataCellStyle="Normal 3">
      <calculatedColumnFormula>IFERROR(IF(ventas_b_mes1354[[#This Row],[CUIT]]="","-",VLOOKUP(ventas_b_mes1354[[#This Row],[CUIT]],Lista_CUIT[#All],2,0)),"CUIT NO CARGADO")</calculatedColumnFormula>
    </tableColumn>
    <tableColumn id="7" xr3:uid="{00000000-0010-0000-1500-000007000000}" name="USD" totalsRowFunction="sum" dataDxfId="1422" totalsRowDxfId="1421" dataCellStyle="Normal 3"/>
    <tableColumn id="10" xr3:uid="{00000000-0010-0000-1500-00000A000000}" name="TIPO DE CAMBIO2" totalsRowFunction="sum" dataDxfId="1420" totalsRowDxfId="1419" dataCellStyle="Normal 3"/>
    <tableColumn id="11" xr3:uid="{00000000-0010-0000-1500-00000B000000}" name="TOTAL" totalsRowFunction="sum" dataDxfId="1418" totalsRowDxfId="1417" dataCellStyle="Normal 3"/>
    <tableColumn id="12" xr3:uid="{00000000-0010-0000-1500-00000C000000}" name="Pais" totalsRowFunction="count" dataDxfId="1416" totalsRowDxfId="1415" dataCellStyle="Normal 3"/>
  </tableColumns>
  <tableStyleInfo name="Tabla Ventas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6000000}" name="compras_mes4" displayName="compras_mes4" ref="B8:R35" totalsRowCount="1" headerRowDxfId="1414" totalsRowDxfId="1413">
  <autoFilter ref="B8:R34" xr:uid="{00000000-0009-0000-0100-000015000000}"/>
  <sortState xmlns:xlrd2="http://schemas.microsoft.com/office/spreadsheetml/2017/richdata2" ref="B9:R34">
    <sortCondition ref="B8:B34"/>
  </sortState>
  <tableColumns count="17">
    <tableColumn id="1" xr3:uid="{00000000-0010-0000-1600-000001000000}" name="FECHA" totalsRowLabel="Total" dataDxfId="1412" totalsRowDxfId="1411" dataCellStyle="Normal 3"/>
    <tableColumn id="2" xr3:uid="{00000000-0010-0000-1600-000002000000}" name="TIPO" dataDxfId="1410" totalsRowDxfId="1409" dataCellStyle="Normal 3"/>
    <tableColumn id="3" xr3:uid="{00000000-0010-0000-1600-000003000000}" name="PTO VTA" dataDxfId="1408" totalsRowDxfId="1407" dataCellStyle="Normal 3"/>
    <tableColumn id="4" xr3:uid="{00000000-0010-0000-1600-000004000000}" name="NRO. CPTE" dataDxfId="1406" totalsRowDxfId="1405" dataCellStyle="Normal 3"/>
    <tableColumn id="5" xr3:uid="{00000000-0010-0000-1600-000005000000}" name="CUIT" dataDxfId="1404" totalsRowDxfId="1403" dataCellStyle="Normal 3"/>
    <tableColumn id="6" xr3:uid="{00000000-0010-0000-1600-000006000000}" name="RAZON SOCIAL" dataDxfId="1402" totalsRowDxfId="1401" dataCellStyle="Normal 3">
      <calculatedColumnFormula>IFERROR(IF(compras_mes4[[#This Row],[CUIT]]="","-",VLOOKUP(compras_mes4[[#This Row],[CUIT]],Lista_CUIT[#All],2,0)),"CUIT NO CARGADO")</calculatedColumnFormula>
    </tableColumn>
    <tableColumn id="7" xr3:uid="{00000000-0010-0000-1600-000007000000}" name="NETO GRAVADO" totalsRowFunction="sum" dataDxfId="1400" totalsRowDxfId="1399" dataCellStyle="Normal 3"/>
    <tableColumn id="8" xr3:uid="{00000000-0010-0000-1600-000008000000}" name="IVA 21 %" totalsRowFunction="sum" dataDxfId="1398" totalsRowDxfId="1397" dataCellStyle="Normal 3">
      <calculatedColumnFormula>IF(compras_mes4[[#This Row],[NETO GRAVADO]]="","",compras_mes4[[#This Row],[NETO GRAVADO]]*0.21)</calculatedColumnFormula>
    </tableColumn>
    <tableColumn id="9" xr3:uid="{00000000-0010-0000-1600-000009000000}" name="IVA 27%" totalsRowFunction="sum" dataDxfId="1396" totalsRowDxfId="1395" dataCellStyle="Normal 3"/>
    <tableColumn id="10" xr3:uid="{00000000-0010-0000-1600-00000A000000}" name="IVA 10,5%" totalsRowFunction="sum" dataDxfId="1394" totalsRowDxfId="1393" dataCellStyle="Normal 3"/>
    <tableColumn id="11" xr3:uid="{00000000-0010-0000-1600-00000B000000}" name="PERC. IVA" totalsRowFunction="sum" dataDxfId="1392" totalsRowDxfId="1391" dataCellStyle="Normal 3"/>
    <tableColumn id="12" xr3:uid="{00000000-0010-0000-1600-00000C000000}" name="PERC IIBB _x000a_BS AS" totalsRowFunction="sum" dataDxfId="1390" totalsRowDxfId="1389" dataCellStyle="Normal 3"/>
    <tableColumn id="13" xr3:uid="{00000000-0010-0000-1600-00000D000000}" name="PERC. IIBB CABA" totalsRowFunction="sum" dataDxfId="1388" totalsRowDxfId="1387" dataCellStyle="Normal 3"/>
    <tableColumn id="14" xr3:uid="{00000000-0010-0000-1600-00000E000000}" name="Otros / No Grav." totalsRowFunction="sum" dataDxfId="1386" totalsRowDxfId="1385" dataCellStyle="Normal 3"/>
    <tableColumn id="15" xr3:uid="{00000000-0010-0000-1600-00000F000000}" name="TOTAL" totalsRowFunction="sum" dataDxfId="1384" totalsRowDxfId="1383" dataCellStyle="Normal 3">
      <calculatedColumnFormula>SUM(compras_mes4[[#This Row],[NETO GRAVADO]:[Otros / No Grav.]])</calculatedColumnFormula>
    </tableColumn>
    <tableColumn id="16" xr3:uid="{00000000-0010-0000-1600-000010000000}" name="Tipo de Gasto" dataDxfId="1382" totalsRowDxfId="1381" dataCellStyle="Normal 3">
      <calculatedColumnFormula>IFERROR(IF(compras_mes4[[#This Row],[CUIT]]="","-",VLOOKUP(compras_mes4[[#This Row],[CUIT]],Lista_CUIT[#All],3,0)),"CUIT NO CARGADO")</calculatedColumnFormula>
    </tableColumn>
    <tableColumn id="17" xr3:uid="{00000000-0010-0000-1600-000011000000}" name="Provincia" dataDxfId="1380" totalsRowDxfId="1379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7000000}" name="factura_c_mes4" displayName="factura_c_mes4" ref="D52:K66" totalsRowCount="1" headerRowDxfId="1378" totalsRowDxfId="1377" headerRowCellStyle="Normal 3">
  <autoFilter ref="D52:K65" xr:uid="{00000000-0009-0000-0100-000016000000}"/>
  <sortState xmlns:xlrd2="http://schemas.microsoft.com/office/spreadsheetml/2017/richdata2" ref="D53:K65">
    <sortCondition ref="F53:F65"/>
  </sortState>
  <tableColumns count="8">
    <tableColumn id="1" xr3:uid="{00000000-0010-0000-1700-000001000000}" name="FECHA" totalsRowLabel="Total" dataDxfId="1376" totalsRowDxfId="1375" dataCellStyle="Normal 3"/>
    <tableColumn id="2" xr3:uid="{00000000-0010-0000-1700-000002000000}" name="PTO VTA" dataDxfId="1374" totalsRowDxfId="1373" dataCellStyle="Normal 3"/>
    <tableColumn id="3" xr3:uid="{00000000-0010-0000-1700-000003000000}" name="FC Nº" dataDxfId="1372" totalsRowDxfId="1371" dataCellStyle="Normal 3"/>
    <tableColumn id="4" xr3:uid="{00000000-0010-0000-1700-000004000000}" name="CUIT" dataDxfId="1370" totalsRowDxfId="1369" dataCellStyle="Normal 3"/>
    <tableColumn id="5" xr3:uid="{00000000-0010-0000-1700-000005000000}" name="RAZON SOCIAL" dataDxfId="1368" totalsRowDxfId="1367" dataCellStyle="Normal 3">
      <calculatedColumnFormula>IFERROR(IF(factura_c_mes4[[#This Row],[CUIT]]="","-",VLOOKUP(factura_c_mes4[[#This Row],[CUIT]],Lista_CUIT[#All],2,0)),"CUIT NO CARGADO")</calculatedColumnFormula>
    </tableColumn>
    <tableColumn id="6" xr3:uid="{00000000-0010-0000-1700-000006000000}" name="TOTAL" totalsRowFunction="sum" dataDxfId="1366" totalsRowDxfId="1365" dataCellStyle="Normal 3"/>
    <tableColumn id="7" xr3:uid="{00000000-0010-0000-1700-000007000000}" name="TIPO DE GASTO" dataDxfId="1364" totalsRowDxfId="1363" dataCellStyle="Normal 3">
      <calculatedColumnFormula>IFERROR(IF(factura_c_mes4[[#This Row],[CUIT]]="","-",VLOOKUP(factura_c_mes4[[#This Row],[CUIT]],Lista_CUIT[#All],3,0)),"CUIT NO CARGADO")</calculatedColumnFormula>
    </tableColumn>
    <tableColumn id="8" xr3:uid="{00000000-0010-0000-1700-000008000000}" name="Provincia" dataDxfId="1362" totalsRowDxfId="1361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8000000}" name="venta_a_mes4" displayName="venta_a_mes4" ref="B75:M85" totalsRowCount="1" headerRowDxfId="1360" dataDxfId="1358" headerRowBorderDxfId="1359" tableBorderDxfId="1357" totalsRowBorderDxfId="1356" dataCellStyle="Normal 3">
  <autoFilter ref="B75:M84" xr:uid="{00000000-0009-0000-0100-000017000000}"/>
  <tableColumns count="12">
    <tableColumn id="1" xr3:uid="{00000000-0010-0000-1800-000001000000}" name="FECHA" totalsRowLabel="Total" dataDxfId="1355" totalsRowDxfId="1354" dataCellStyle="Normal 3"/>
    <tableColumn id="2" xr3:uid="{00000000-0010-0000-1800-000002000000}" name="TIPO" dataDxfId="1353" totalsRowDxfId="1352" dataCellStyle="Normal 3"/>
    <tableColumn id="3" xr3:uid="{00000000-0010-0000-1800-000003000000}" name="PTO VENTA" dataDxfId="1351" totalsRowDxfId="1350" dataCellStyle="Normal 3"/>
    <tableColumn id="4" xr3:uid="{00000000-0010-0000-1800-000004000000}" name="Nº FACTURA" dataDxfId="1349" totalsRowDxfId="1348" dataCellStyle="Normal 3"/>
    <tableColumn id="5" xr3:uid="{00000000-0010-0000-1800-000005000000}" name="CUIT" dataDxfId="1347" totalsRowDxfId="1346" dataCellStyle="Normal 3"/>
    <tableColumn id="6" xr3:uid="{00000000-0010-0000-1800-000006000000}" name="RAZON SOCIAL" dataDxfId="1345" totalsRowDxfId="1344" dataCellStyle="Normal 3">
      <calculatedColumnFormula>IFERROR(IF(venta_a_mes4[[#This Row],[CUIT]]="","-",VLOOKUP(venta_a_mes4[[#This Row],[CUIT]],Lista_CUIT[#All],2,0)),"CUIT NO CARGADO")</calculatedColumnFormula>
    </tableColumn>
    <tableColumn id="7" xr3:uid="{00000000-0010-0000-1800-000007000000}" name="IMPORTE NETO" totalsRowFunction="sum" dataDxfId="1343" totalsRowDxfId="1342" dataCellStyle="Normal 3"/>
    <tableColumn id="8" xr3:uid="{00000000-0010-0000-1800-000008000000}" name="IVA 21%" totalsRowFunction="sum" dataDxfId="1341" totalsRowDxfId="1340" dataCellStyle="Normal 3">
      <calculatedColumnFormula>venta_a_mes4[[#This Row],[IMPORTE NETO]]*0.21</calculatedColumnFormula>
    </tableColumn>
    <tableColumn id="9" xr3:uid="{00000000-0010-0000-1800-000009000000}" name="IVA 10,5%" totalsRowFunction="sum" dataDxfId="1339" totalsRowDxfId="1338" dataCellStyle="Normal 3"/>
    <tableColumn id="10" xr3:uid="{00000000-0010-0000-1800-00000A000000}" name="EXENTO" totalsRowFunction="sum" dataDxfId="1337" totalsRowDxfId="1336" dataCellStyle="Normal 3"/>
    <tableColumn id="11" xr3:uid="{00000000-0010-0000-1800-00000B000000}" name="TOTAL" totalsRowFunction="sum" dataDxfId="1335" totalsRowDxfId="1334" dataCellStyle="Normal 3">
      <calculatedColumnFormula>SUM(venta_a_mes4[[#This Row],[IMPORTE NETO]:[EXENTO]])</calculatedColumnFormula>
    </tableColumn>
    <tableColumn id="12" xr3:uid="{00000000-0010-0000-1800-00000C000000}" name="Provincia" totalsRowFunction="count" dataDxfId="1333" totalsRowDxfId="1332" dataCellStyle="Normal 3"/>
  </tableColumns>
  <tableStyleInfo name="Tabla Ventas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9000000}" name="ventas_b_mes4" displayName="ventas_b_mes4" ref="B89:M96" totalsRowCount="1" headerRowDxfId="1331" dataDxfId="1329" headerRowBorderDxfId="1330" tableBorderDxfId="1328" totalsRowBorderDxfId="1327" dataCellStyle="Normal 3">
  <autoFilter ref="B89:M95" xr:uid="{00000000-0009-0000-0100-000018000000}"/>
  <tableColumns count="12">
    <tableColumn id="1" xr3:uid="{00000000-0010-0000-1900-000001000000}" name="FECHA" totalsRowLabel="Total" dataDxfId="1326" totalsRowDxfId="1325" dataCellStyle="Normal 3"/>
    <tableColumn id="2" xr3:uid="{00000000-0010-0000-1900-000002000000}" name="TIPO" dataDxfId="1324" totalsRowDxfId="1323" dataCellStyle="Normal 3"/>
    <tableColumn id="3" xr3:uid="{00000000-0010-0000-1900-000003000000}" name="PTO VENTA" dataDxfId="1322" totalsRowDxfId="1321" dataCellStyle="Normal 3"/>
    <tableColumn id="4" xr3:uid="{00000000-0010-0000-1900-000004000000}" name="Nº FACTURA" dataDxfId="1320" totalsRowDxfId="1319" dataCellStyle="Normal 3"/>
    <tableColumn id="5" xr3:uid="{00000000-0010-0000-1900-000005000000}" name="CUIT" dataDxfId="1318" totalsRowDxfId="1317" dataCellStyle="Normal 3"/>
    <tableColumn id="6" xr3:uid="{00000000-0010-0000-1900-000006000000}" name="RAZON SOCIAL" dataDxfId="1316" totalsRowDxfId="1315" dataCellStyle="Normal 3">
      <calculatedColumnFormula>IFERROR(IF(ventas_b_mes4[[#This Row],[CUIT]]="","-",VLOOKUP(ventas_b_mes4[[#This Row],[CUIT]],Lista_CUIT[#All],2,0)),"CUIT NO CARGADO")</calculatedColumnFormula>
    </tableColumn>
    <tableColumn id="7" xr3:uid="{00000000-0010-0000-1900-000007000000}" name="IMPORTE NETO" totalsRowFunction="sum" dataDxfId="1314" totalsRowDxfId="1313" dataCellStyle="Normal 3"/>
    <tableColumn id="8" xr3:uid="{00000000-0010-0000-1900-000008000000}" name="IVA 21%" totalsRowFunction="sum" dataDxfId="1312" totalsRowDxfId="1311" dataCellStyle="Normal 3">
      <calculatedColumnFormula>ventas_b_mes4[[#This Row],[IMPORTE NETO]]*0.21</calculatedColumnFormula>
    </tableColumn>
    <tableColumn id="9" xr3:uid="{00000000-0010-0000-1900-000009000000}" name="IVA 10,5%" totalsRowFunction="sum" dataDxfId="1310" totalsRowDxfId="1309" dataCellStyle="Normal 3"/>
    <tableColumn id="10" xr3:uid="{00000000-0010-0000-1900-00000A000000}" name="EXENTO" totalsRowFunction="sum" dataDxfId="1308" totalsRowDxfId="1307" dataCellStyle="Normal 3"/>
    <tableColumn id="11" xr3:uid="{00000000-0010-0000-1900-00000B000000}" name="TOTAL" totalsRowFunction="sum" dataDxfId="1306" totalsRowDxfId="1305" dataCellStyle="Normal 3">
      <calculatedColumnFormula>SUM(ventas_b_mes4[[#This Row],[IMPORTE NETO]:[EXENTO]])</calculatedColumnFormula>
    </tableColumn>
    <tableColumn id="12" xr3:uid="{00000000-0010-0000-1900-00000C000000}" name="Provincia" totalsRowFunction="count" dataDxfId="1304" totalsRowDxfId="1303" dataCellStyle="Normal 3"/>
  </tableColumns>
  <tableStyleInfo name="Tabla Ventas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A000000}" name="extracto_banco_mes4" displayName="extracto_banco_mes4" ref="D41:L47" totalsRowCount="1" headerRowDxfId="1302" dataDxfId="1301" tableBorderDxfId="1300" dataCellStyle="Normal 3">
  <autoFilter ref="D41:L46" xr:uid="{00000000-0009-0000-0100-000019000000}"/>
  <tableColumns count="9">
    <tableColumn id="1" xr3:uid="{00000000-0010-0000-1A00-000001000000}" name="FECHA" totalsRowLabel="Total" dataDxfId="1299" totalsRowDxfId="1298" dataCellStyle="Normal 3"/>
    <tableColumn id="2" xr3:uid="{00000000-0010-0000-1A00-000002000000}" name="NRO CPTE" dataDxfId="1297" totalsRowDxfId="1296"/>
    <tableColumn id="3" xr3:uid="{00000000-0010-0000-1A00-000003000000}" name="BANCO" dataDxfId="1295" totalsRowDxfId="1294"/>
    <tableColumn id="4" xr3:uid="{00000000-0010-0000-1A00-000004000000}" name="NETO" totalsRowFunction="sum" dataDxfId="1293" totalsRowDxfId="1292" dataCellStyle="Normal 3"/>
    <tableColumn id="5" xr3:uid="{00000000-0010-0000-1A00-000005000000}" name="IVA 21%" totalsRowFunction="sum" dataDxfId="1291" totalsRowDxfId="1290" dataCellStyle="Normal 3">
      <calculatedColumnFormula>extracto_banco_mes4[[#This Row],[NETO]]*0.21</calculatedColumnFormula>
    </tableColumn>
    <tableColumn id="6" xr3:uid="{00000000-0010-0000-1A00-000006000000}" name="IVA 10,5%" totalsRowFunction="sum" dataDxfId="1289" totalsRowDxfId="1288" dataCellStyle="Normal 3"/>
    <tableColumn id="7" xr3:uid="{00000000-0010-0000-1A00-000007000000}" name="RET IIBB CABA" totalsRowFunction="sum" dataDxfId="1287" totalsRowDxfId="1286" dataCellStyle="Normal 3"/>
    <tableColumn id="8" xr3:uid="{00000000-0010-0000-1A00-000008000000}" name="PERC IVA" totalsRowFunction="sum" dataDxfId="1285" totalsRowDxfId="1284" dataCellStyle="Normal 3"/>
    <tableColumn id="9" xr3:uid="{00000000-0010-0000-1A00-000009000000}" name="PERC IIBB" totalsRowFunction="sum" dataDxfId="1283" totalsRowDxfId="1282" dataCellStyle="Normal 3"/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B000000}" name="Retenciones_mes4" displayName="Retenciones_mes4" ref="C108:L113" totalsRowShown="0" headerRowDxfId="1281" dataDxfId="1280" headerRowCellStyle="Normal 3" dataCellStyle="Normal 3">
  <autoFilter ref="C108:L113" xr:uid="{00000000-0009-0000-0100-00001A000000}"/>
  <tableColumns count="10">
    <tableColumn id="1" xr3:uid="{00000000-0010-0000-1B00-000001000000}" name="FECHA " dataDxfId="1279" dataCellStyle="Normal 3"/>
    <tableColumn id="2" xr3:uid="{00000000-0010-0000-1B00-000002000000}" name="COMP Nº" dataDxfId="1278" dataCellStyle="Normal 3"/>
    <tableColumn id="3" xr3:uid="{00000000-0010-0000-1B00-000003000000}" name="Columna1" dataDxfId="1277" dataCellStyle="Normal 3"/>
    <tableColumn id="4" xr3:uid="{00000000-0010-0000-1B00-000004000000}" name="CUIT" dataDxfId="1276" dataCellStyle="Normal 3"/>
    <tableColumn id="5" xr3:uid="{00000000-0010-0000-1B00-000005000000}" name="RAZON SOCIAL" dataDxfId="1275" dataCellStyle="Normal 3">
      <calculatedColumnFormula>IFERROR(IF(Retenciones_mes4[[#This Row],[CUIT]]="","-",VLOOKUP(Retenciones_mes4[[#This Row],[CUIT]],Lista_CUIT[#All],2,0)),"CUIT NO CARGADO")</calculatedColumnFormula>
    </tableColumn>
    <tableColumn id="6" xr3:uid="{00000000-0010-0000-1B00-000006000000}" name="Ganancias" dataDxfId="1274" dataCellStyle="Normal 3"/>
    <tableColumn id="7" xr3:uid="{00000000-0010-0000-1B00-000007000000}" name="IVA" dataDxfId="1273" dataCellStyle="Normal 3"/>
    <tableColumn id="8" xr3:uid="{00000000-0010-0000-1B00-000008000000}" name="SUSS" dataDxfId="1272" dataCellStyle="Normal 3"/>
    <tableColumn id="9" xr3:uid="{00000000-0010-0000-1B00-000009000000}" name="IIBB BSAS" dataDxfId="1271" dataCellStyle="Normal 3"/>
    <tableColumn id="10" xr3:uid="{00000000-0010-0000-1B00-00000A000000}" name="IIBB CABA" dataDxfId="1270" dataCellStyle="Normal 3"/>
  </tableColumns>
  <tableStyleInfo name="Estilo de tabla 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1C000000}" name="ventas_b_mes135453" displayName="ventas_b_mes135453" ref="B100:K103" totalsRowCount="1" headerRowDxfId="1269" dataDxfId="1267" headerRowBorderDxfId="1268" tableBorderDxfId="1266" totalsRowBorderDxfId="1265" dataCellStyle="Normal 3">
  <autoFilter ref="B100:K102" xr:uid="{00000000-0009-0000-0100-000034000000}"/>
  <tableColumns count="10">
    <tableColumn id="1" xr3:uid="{00000000-0010-0000-1C00-000001000000}" name="FECHA" totalsRowLabel="Total" dataDxfId="1264" totalsRowDxfId="1263" dataCellStyle="Normal 3"/>
    <tableColumn id="2" xr3:uid="{00000000-0010-0000-1C00-000002000000}" name="TIPO" dataDxfId="1262" totalsRowDxfId="1261" dataCellStyle="Normal 3"/>
    <tableColumn id="3" xr3:uid="{00000000-0010-0000-1C00-000003000000}" name="PTO VENTA" dataDxfId="1260" totalsRowDxfId="1259" dataCellStyle="Normal 3"/>
    <tableColumn id="4" xr3:uid="{00000000-0010-0000-1C00-000004000000}" name="Nº FACTURA" dataDxfId="1258" totalsRowDxfId="1257" dataCellStyle="Normal 3"/>
    <tableColumn id="5" xr3:uid="{00000000-0010-0000-1C00-000005000000}" name="CUIT" dataDxfId="1256" totalsRowDxfId="1255" dataCellStyle="Normal 3"/>
    <tableColumn id="6" xr3:uid="{00000000-0010-0000-1C00-000006000000}" name="RAZON SOCIAL" dataDxfId="1254" totalsRowDxfId="1253" dataCellStyle="Normal 3">
      <calculatedColumnFormula>IFERROR(IF(ventas_b_mes135453[[#This Row],[CUIT]]="","-",VLOOKUP(ventas_b_mes135453[[#This Row],[CUIT]],Lista_CUIT[#All],2,0)),"CUIT NO CARGADO")</calculatedColumnFormula>
    </tableColumn>
    <tableColumn id="7" xr3:uid="{00000000-0010-0000-1C00-000007000000}" name="USD" totalsRowFunction="sum" dataDxfId="1252" totalsRowDxfId="1251" dataCellStyle="Normal 3"/>
    <tableColumn id="10" xr3:uid="{00000000-0010-0000-1C00-00000A000000}" name="TIPO DE CAMBIO2" totalsRowFunction="sum" dataDxfId="1250" totalsRowDxfId="1249" dataCellStyle="Normal 3"/>
    <tableColumn id="11" xr3:uid="{00000000-0010-0000-1C00-00000B000000}" name="TOTAL" totalsRowFunction="sum" dataDxfId="1248" totalsRowDxfId="1247" dataCellStyle="Normal 3">
      <calculatedColumnFormula>ventas_b_mes135453[[#This Row],[USD]]*ventas_b_mes135453[[#This Row],[TIPO DE CAMBIO2]]</calculatedColumnFormula>
    </tableColumn>
    <tableColumn id="12" xr3:uid="{00000000-0010-0000-1C00-00000C000000}" name="Pais" totalsRowFunction="count" dataDxfId="1246" totalsRowDxfId="1245" dataCellStyle="Normal 3"/>
  </tableColumns>
  <tableStyleInfo name="Tabla Ventas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D000000}" name="compras_mes5" displayName="compras_mes5" ref="B8:R63" totalsRowCount="1" headerRowDxfId="1244" totalsRowDxfId="1243">
  <autoFilter ref="B8:R62" xr:uid="{00000000-0009-0000-0100-00002D000000}"/>
  <sortState xmlns:xlrd2="http://schemas.microsoft.com/office/spreadsheetml/2017/richdata2" ref="B9:R62">
    <sortCondition ref="B8:B62"/>
  </sortState>
  <tableColumns count="17">
    <tableColumn id="1" xr3:uid="{00000000-0010-0000-1D00-000001000000}" name="FECHA" totalsRowLabel="Total" dataDxfId="1242" totalsRowDxfId="1241" dataCellStyle="Normal 3"/>
    <tableColumn id="2" xr3:uid="{00000000-0010-0000-1D00-000002000000}" name="TIPO" dataDxfId="1240" totalsRowDxfId="1239" dataCellStyle="Normal 3"/>
    <tableColumn id="3" xr3:uid="{00000000-0010-0000-1D00-000003000000}" name="PTO VTA" dataDxfId="1238" totalsRowDxfId="1237" dataCellStyle="Normal 3"/>
    <tableColumn id="4" xr3:uid="{00000000-0010-0000-1D00-000004000000}" name="NRO. CPTE" dataDxfId="1236" totalsRowDxfId="1235" dataCellStyle="Normal 3"/>
    <tableColumn id="5" xr3:uid="{00000000-0010-0000-1D00-000005000000}" name="CUIT" dataDxfId="1234" totalsRowDxfId="1233" dataCellStyle="Normal 3"/>
    <tableColumn id="6" xr3:uid="{00000000-0010-0000-1D00-000006000000}" name="RAZON SOCIAL" dataDxfId="1232" totalsRowDxfId="1231" dataCellStyle="Normal 3">
      <calculatedColumnFormula>IFERROR(IF(compras_mes5[[#This Row],[CUIT]]="","-",VLOOKUP(compras_mes5[[#This Row],[CUIT]],Lista_CUIT[#All],2,0)),"CUIT NO CARGADO")</calculatedColumnFormula>
    </tableColumn>
    <tableColumn id="7" xr3:uid="{00000000-0010-0000-1D00-000007000000}" name="NETO GRAVADO" totalsRowFunction="sum" dataDxfId="1230" totalsRowDxfId="1229" dataCellStyle="Normal 3"/>
    <tableColumn id="8" xr3:uid="{00000000-0010-0000-1D00-000008000000}" name="IVA 21 %" totalsRowFunction="sum" dataDxfId="1228" totalsRowDxfId="1227" dataCellStyle="Normal 3">
      <calculatedColumnFormula>IF(compras_mes5[[#This Row],[NETO GRAVADO]]="","",compras_mes5[[#This Row],[NETO GRAVADO]]*0.21)</calculatedColumnFormula>
    </tableColumn>
    <tableColumn id="9" xr3:uid="{00000000-0010-0000-1D00-000009000000}" name="IVA 27%" totalsRowFunction="sum" dataDxfId="1226" dataCellStyle="Normal 3"/>
    <tableColumn id="10" xr3:uid="{00000000-0010-0000-1D00-00000A000000}" name="IVA 10,5%" totalsRowFunction="sum" dataDxfId="1225" totalsRowDxfId="1224" dataCellStyle="Normal 3"/>
    <tableColumn id="11" xr3:uid="{00000000-0010-0000-1D00-00000B000000}" name="PERC. IVA" totalsRowFunction="sum" dataDxfId="1223" totalsRowDxfId="1222" dataCellStyle="Normal 3"/>
    <tableColumn id="12" xr3:uid="{00000000-0010-0000-1D00-00000C000000}" name="PERC IIBB _x000a_BS AS" totalsRowFunction="sum" dataDxfId="1221" totalsRowDxfId="1220" dataCellStyle="Normal 3"/>
    <tableColumn id="13" xr3:uid="{00000000-0010-0000-1D00-00000D000000}" name="PERC. IIBB CABA" totalsRowFunction="sum" dataDxfId="1219" totalsRowDxfId="1218" dataCellStyle="Normal 3"/>
    <tableColumn id="14" xr3:uid="{00000000-0010-0000-1D00-00000E000000}" name="Otros / No Grav." totalsRowFunction="sum" dataDxfId="1217" totalsRowDxfId="1216" dataCellStyle="Normal 3"/>
    <tableColumn id="15" xr3:uid="{00000000-0010-0000-1D00-00000F000000}" name="TOTAL" totalsRowFunction="sum" dataDxfId="1215" totalsRowDxfId="1214" dataCellStyle="Normal 3">
      <calculatedColumnFormula>SUM(compras_mes5[[#This Row],[NETO GRAVADO]:[Otros / No Grav.]])</calculatedColumnFormula>
    </tableColumn>
    <tableColumn id="16" xr3:uid="{00000000-0010-0000-1D00-000010000000}" name="Tipo de Gasto" dataDxfId="1213" totalsRowDxfId="1212" dataCellStyle="Normal 3">
      <calculatedColumnFormula>IFERROR(IF(compras_mes5[[#This Row],[CUIT]]="","-",VLOOKUP(compras_mes5[[#This Row],[CUIT]],Lista_CUIT[#All],3,0)),"CUIT NO CARGADO")</calculatedColumnFormula>
    </tableColumn>
    <tableColumn id="17" xr3:uid="{00000000-0010-0000-1D00-000011000000}" name="Provincia" dataDxfId="1211" totalsRowDxfId="1210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E000000}" name="factura_c_mes5" displayName="factura_c_mes5" ref="D80:K99" totalsRowCount="1" headerRowDxfId="1209" totalsRowDxfId="1208" headerRowCellStyle="Normal 3">
  <autoFilter ref="D80:K98" xr:uid="{00000000-0009-0000-0100-00002E000000}"/>
  <sortState xmlns:xlrd2="http://schemas.microsoft.com/office/spreadsheetml/2017/richdata2" ref="D81:K98">
    <sortCondition ref="D80:D98"/>
  </sortState>
  <tableColumns count="8">
    <tableColumn id="1" xr3:uid="{00000000-0010-0000-1E00-000001000000}" name="FECHA" totalsRowLabel="Total" dataDxfId="1207" totalsRowDxfId="1206" dataCellStyle="Normal 3"/>
    <tableColumn id="2" xr3:uid="{00000000-0010-0000-1E00-000002000000}" name="PTO VTA" dataDxfId="1205" totalsRowDxfId="1204" dataCellStyle="Normal 3"/>
    <tableColumn id="3" xr3:uid="{00000000-0010-0000-1E00-000003000000}" name="FC Nº" dataDxfId="1203" totalsRowDxfId="1202" dataCellStyle="Normal 3"/>
    <tableColumn id="4" xr3:uid="{00000000-0010-0000-1E00-000004000000}" name="CUIT" dataDxfId="1201" totalsRowDxfId="1200" dataCellStyle="Normal 3"/>
    <tableColumn id="5" xr3:uid="{00000000-0010-0000-1E00-000005000000}" name="RAZON SOCIAL" dataDxfId="1199" totalsRowDxfId="1198" dataCellStyle="Normal 3">
      <calculatedColumnFormula>IFERROR(IF(factura_c_mes5[[#This Row],[CUIT]]="","-",VLOOKUP(factura_c_mes5[[#This Row],[CUIT]],Lista_CUIT[#All],2,0)),"CUIT NO CARGADO")</calculatedColumnFormula>
    </tableColumn>
    <tableColumn id="6" xr3:uid="{00000000-0010-0000-1E00-000006000000}" name="TOTAL" totalsRowFunction="sum" dataDxfId="1197" totalsRowDxfId="1196" dataCellStyle="Normal 3"/>
    <tableColumn id="7" xr3:uid="{00000000-0010-0000-1E00-000007000000}" name="TIPO DE GASTO" dataDxfId="1195" totalsRowDxfId="1194" dataCellStyle="Normal 3">
      <calculatedColumnFormula>IFERROR(IF(factura_c_mes5[[#This Row],[CUIT]]="","-",VLOOKUP(factura_c_mes5[[#This Row],[CUIT]],Lista_CUIT[#All],3,0)),"CUIT NO CARGADO")</calculatedColumnFormula>
    </tableColumn>
    <tableColumn id="8" xr3:uid="{00000000-0010-0000-1E00-000008000000}" name="Provincia" dataDxfId="1193" totalsRowDxfId="1192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1F000000}" name="venta_a_mes5" displayName="venta_a_mes5" ref="B108:M118" totalsRowCount="1" headerRowDxfId="1191" dataDxfId="1189" headerRowBorderDxfId="1190" tableBorderDxfId="1188" totalsRowBorderDxfId="1187" dataCellStyle="Normal 3">
  <autoFilter ref="B108:M117" xr:uid="{00000000-0009-0000-0100-00002F000000}"/>
  <tableColumns count="12">
    <tableColumn id="1" xr3:uid="{00000000-0010-0000-1F00-000001000000}" name="FECHA" totalsRowLabel="Total" dataDxfId="1186" totalsRowDxfId="1185" dataCellStyle="Normal 3"/>
    <tableColumn id="2" xr3:uid="{00000000-0010-0000-1F00-000002000000}" name="TIPO" dataDxfId="1184" totalsRowDxfId="1183" dataCellStyle="Normal 3"/>
    <tableColumn id="3" xr3:uid="{00000000-0010-0000-1F00-000003000000}" name="PTO VENTA" dataDxfId="1182" totalsRowDxfId="1181" dataCellStyle="Normal 3"/>
    <tableColumn id="4" xr3:uid="{00000000-0010-0000-1F00-000004000000}" name="Nº FACTURA" dataDxfId="1180" totalsRowDxfId="1179" dataCellStyle="Normal 3"/>
    <tableColumn id="5" xr3:uid="{00000000-0010-0000-1F00-000005000000}" name="CUIT" dataDxfId="1178" totalsRowDxfId="1177" dataCellStyle="Normal 3"/>
    <tableColumn id="6" xr3:uid="{00000000-0010-0000-1F00-000006000000}" name="RAZON SOCIAL" dataDxfId="1176" totalsRowDxfId="1175" dataCellStyle="Normal 3">
      <calculatedColumnFormula>IFERROR(IF(venta_a_mes5[[#This Row],[CUIT]]="","-",VLOOKUP(venta_a_mes5[[#This Row],[CUIT]],Lista_CUIT[#All],2,0)),"CUIT NO CARGADO")</calculatedColumnFormula>
    </tableColumn>
    <tableColumn id="7" xr3:uid="{00000000-0010-0000-1F00-000007000000}" name="IMPORTE NETO" totalsRowFunction="sum" dataDxfId="1174" totalsRowDxfId="1173" dataCellStyle="Normal 3"/>
    <tableColumn id="8" xr3:uid="{00000000-0010-0000-1F00-000008000000}" name="IVA 21%" totalsRowFunction="sum" dataDxfId="1172" totalsRowDxfId="1171" dataCellStyle="Normal 3">
      <calculatedColumnFormula>venta_a_mes5[[#This Row],[IMPORTE NETO]]*0.21</calculatedColumnFormula>
    </tableColumn>
    <tableColumn id="9" xr3:uid="{00000000-0010-0000-1F00-000009000000}" name="IVA 10,5%" totalsRowFunction="sum" dataDxfId="1170" totalsRowDxfId="1169" dataCellStyle="Normal 3"/>
    <tableColumn id="10" xr3:uid="{00000000-0010-0000-1F00-00000A000000}" name="EXENTO" totalsRowFunction="sum" dataDxfId="1168" totalsRowDxfId="1167" dataCellStyle="Normal 3"/>
    <tableColumn id="11" xr3:uid="{00000000-0010-0000-1F00-00000B000000}" name="TOTAL" totalsRowFunction="sum" dataDxfId="1166" totalsRowDxfId="1165" dataCellStyle="Normal 3">
      <calculatedColumnFormula>SUM(venta_a_mes5[[#This Row],[IMPORTE NETO]:[EXENTO]])</calculatedColumnFormula>
    </tableColumn>
    <tableColumn id="12" xr3:uid="{00000000-0010-0000-1F00-00000C000000}" name="Provincia" totalsRowFunction="count" dataDxfId="1164" totalsRowDxfId="1163" dataCellStyle="Normal 3"/>
  </tableColumns>
  <tableStyleInfo name="Tabla Ventas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0000000}" name="ventas_b_mes5" displayName="ventas_b_mes5" ref="B122:M129" totalsRowCount="1" headerRowDxfId="1162" dataDxfId="1160" headerRowBorderDxfId="1161" tableBorderDxfId="1159" totalsRowBorderDxfId="1158" dataCellStyle="Normal 3">
  <autoFilter ref="B122:M128" xr:uid="{00000000-0009-0000-0100-000030000000}"/>
  <tableColumns count="12">
    <tableColumn id="1" xr3:uid="{00000000-0010-0000-2000-000001000000}" name="FECHA" totalsRowLabel="Total" dataDxfId="1157" totalsRowDxfId="1156" dataCellStyle="Normal 3"/>
    <tableColumn id="2" xr3:uid="{00000000-0010-0000-2000-000002000000}" name="TIPO" dataDxfId="1155" totalsRowDxfId="1154" dataCellStyle="Normal 3"/>
    <tableColumn id="3" xr3:uid="{00000000-0010-0000-2000-000003000000}" name="PTO VENTA" dataDxfId="1153" totalsRowDxfId="1152" dataCellStyle="Normal 3"/>
    <tableColumn id="4" xr3:uid="{00000000-0010-0000-2000-000004000000}" name="Nº FACTURA" dataDxfId="1151" totalsRowDxfId="1150" dataCellStyle="Normal 3"/>
    <tableColumn id="5" xr3:uid="{00000000-0010-0000-2000-000005000000}" name="CUIT" dataDxfId="1149" totalsRowDxfId="1148" dataCellStyle="Normal 3"/>
    <tableColumn id="6" xr3:uid="{00000000-0010-0000-2000-000006000000}" name="RAZON SOCIAL" dataDxfId="1147" totalsRowDxfId="1146" dataCellStyle="Normal 3">
      <calculatedColumnFormula>IFERROR(IF(ventas_b_mes5[[#This Row],[CUIT]]="","-",VLOOKUP(ventas_b_mes5[[#This Row],[CUIT]],Lista_CUIT[#All],2,0)),"CUIT NO CARGADO")</calculatedColumnFormula>
    </tableColumn>
    <tableColumn id="7" xr3:uid="{00000000-0010-0000-2000-000007000000}" name="IMPORTE NETO" totalsRowFunction="sum" dataDxfId="1145" totalsRowDxfId="1144" dataCellStyle="Normal 3">
      <calculatedColumnFormula>ventas_b_mes5[[#This Row],[TOTAL]]/1.21</calculatedColumnFormula>
    </tableColumn>
    <tableColumn id="8" xr3:uid="{00000000-0010-0000-2000-000008000000}" name="IVA 21%" totalsRowFunction="sum" dataDxfId="1143" totalsRowDxfId="1142" dataCellStyle="Normal 3">
      <calculatedColumnFormula>ventas_b_mes5[[#This Row],[IMPORTE NETO]]*0.21</calculatedColumnFormula>
    </tableColumn>
    <tableColumn id="9" xr3:uid="{00000000-0010-0000-2000-000009000000}" name="IVA 10,5%" totalsRowFunction="sum" dataDxfId="1141" totalsRowDxfId="1140" dataCellStyle="Normal 3"/>
    <tableColumn id="10" xr3:uid="{00000000-0010-0000-2000-00000A000000}" name="EXENTO" totalsRowFunction="sum" dataDxfId="1139" totalsRowDxfId="1138" dataCellStyle="Normal 3"/>
    <tableColumn id="11" xr3:uid="{00000000-0010-0000-2000-00000B000000}" name="TOTAL" totalsRowFunction="sum" dataDxfId="1137" totalsRowDxfId="1136" dataCellStyle="Normal 3"/>
    <tableColumn id="12" xr3:uid="{00000000-0010-0000-2000-00000C000000}" name="Provincia" totalsRowFunction="count" dataDxfId="1135" totalsRowDxfId="1134" dataCellStyle="Normal 3"/>
  </tableColumns>
  <tableStyleInfo name="Tabla Ventas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1000000}" name="extracto_banco_mes5" displayName="extracto_banco_mes5" ref="D69:L75" totalsRowCount="1" headerRowDxfId="1133" dataDxfId="1132" tableBorderDxfId="1131" dataCellStyle="Normal 3">
  <autoFilter ref="D69:L74" xr:uid="{00000000-0009-0000-0100-000031000000}"/>
  <tableColumns count="9">
    <tableColumn id="1" xr3:uid="{00000000-0010-0000-2100-000001000000}" name="FECHA" totalsRowLabel="Total" dataDxfId="1130" totalsRowDxfId="1129" dataCellStyle="Normal 3"/>
    <tableColumn id="2" xr3:uid="{00000000-0010-0000-2100-000002000000}" name="NRO CPTE" dataDxfId="1128" totalsRowDxfId="1127"/>
    <tableColumn id="3" xr3:uid="{00000000-0010-0000-2100-000003000000}" name="BANCO" dataDxfId="1126" totalsRowDxfId="1125"/>
    <tableColumn id="4" xr3:uid="{00000000-0010-0000-2100-000004000000}" name="NETO" totalsRowFunction="sum" dataDxfId="1124" totalsRowDxfId="1123" dataCellStyle="Normal 3"/>
    <tableColumn id="5" xr3:uid="{00000000-0010-0000-2100-000005000000}" name="IVA 21%" totalsRowFunction="sum" dataDxfId="1122" totalsRowDxfId="1121" dataCellStyle="Normal 3">
      <calculatedColumnFormula>extracto_banco_mes5[[#This Row],[NETO]]*0.21</calculatedColumnFormula>
    </tableColumn>
    <tableColumn id="6" xr3:uid="{00000000-0010-0000-2100-000006000000}" name="IVA 10,5%" totalsRowFunction="sum" dataDxfId="1120" totalsRowDxfId="1119" dataCellStyle="Normal 3"/>
    <tableColumn id="7" xr3:uid="{00000000-0010-0000-2100-000007000000}" name="RET IIBB CABA" totalsRowFunction="sum" dataDxfId="1118" totalsRowDxfId="1117" dataCellStyle="Normal 3"/>
    <tableColumn id="8" xr3:uid="{00000000-0010-0000-2100-000008000000}" name="PERC IVA" totalsRowFunction="sum" dataDxfId="1116" totalsRowDxfId="1115" dataCellStyle="Normal 3"/>
    <tableColumn id="9" xr3:uid="{00000000-0010-0000-2100-000009000000}" name="PERC IIBB" totalsRowFunction="sum" dataDxfId="1114" totalsRowDxfId="1113" dataCellStyle="Normal 3"/>
  </tableColumns>
  <tableStyleInfo name="Estilo de tabla 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2000000}" name="Retenciones_mes5" displayName="Retenciones_mes5" ref="C138:L143" totalsRowShown="0" headerRowDxfId="1112" dataDxfId="1111" headerRowCellStyle="Normal 3" dataCellStyle="Normal 3">
  <autoFilter ref="C138:L143" xr:uid="{00000000-0009-0000-0100-000032000000}"/>
  <tableColumns count="10">
    <tableColumn id="1" xr3:uid="{00000000-0010-0000-2200-000001000000}" name="FECHA " dataDxfId="1110" dataCellStyle="Normal 3"/>
    <tableColumn id="2" xr3:uid="{00000000-0010-0000-2200-000002000000}" name="COMP Nº" dataDxfId="1109" dataCellStyle="Normal 3"/>
    <tableColumn id="3" xr3:uid="{00000000-0010-0000-2200-000003000000}" name="Columna1" dataDxfId="1108" dataCellStyle="Normal 3"/>
    <tableColumn id="4" xr3:uid="{00000000-0010-0000-2200-000004000000}" name="CUIT" dataDxfId="1107" dataCellStyle="Normal 3"/>
    <tableColumn id="5" xr3:uid="{00000000-0010-0000-2200-000005000000}" name="RAZON SOCIAL" dataDxfId="1106" dataCellStyle="Normal 3">
      <calculatedColumnFormula>IFERROR(IF(Retenciones_mes5[[#This Row],[CUIT]]="","-",VLOOKUP(Retenciones_mes5[[#This Row],[CUIT]],Lista_CUIT[#All],2,0)),"CUIT NO CARGADO")</calculatedColumnFormula>
    </tableColumn>
    <tableColumn id="6" xr3:uid="{00000000-0010-0000-2200-000006000000}" name="Ganancias" dataDxfId="1105" dataCellStyle="Normal 3"/>
    <tableColumn id="7" xr3:uid="{00000000-0010-0000-2200-000007000000}" name="IVA" dataDxfId="1104" dataCellStyle="Normal 3"/>
    <tableColumn id="8" xr3:uid="{00000000-0010-0000-2200-000008000000}" name="SUSS" dataDxfId="1103" dataCellStyle="Normal 3"/>
    <tableColumn id="9" xr3:uid="{00000000-0010-0000-2200-000009000000}" name="IIBB BSAS" dataDxfId="1102" dataCellStyle="Normal 3"/>
    <tableColumn id="10" xr3:uid="{00000000-0010-0000-2200-00000A000000}" name="IIBB CABA" dataDxfId="1101" dataCellStyle="Normal 3"/>
  </tableColumns>
  <tableStyleInfo name="Estilo de tabla 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23000000}" name="compras_mes6" displayName="compras_mes6" ref="B8:R37" totalsRowCount="1" headerRowDxfId="1100" totalsRowDxfId="1099">
  <autoFilter ref="B8:R36" xr:uid="{00000000-0009-0000-0100-00001B000000}"/>
  <sortState xmlns:xlrd2="http://schemas.microsoft.com/office/spreadsheetml/2017/richdata2" ref="B9:R36">
    <sortCondition ref="B8:B36"/>
  </sortState>
  <tableColumns count="17">
    <tableColumn id="1" xr3:uid="{00000000-0010-0000-2300-000001000000}" name="FECHA" totalsRowLabel="Total" dataDxfId="1098" totalsRowDxfId="1097" dataCellStyle="Normal 3"/>
    <tableColumn id="2" xr3:uid="{00000000-0010-0000-2300-000002000000}" name="TIPO" dataDxfId="1096" totalsRowDxfId="1095" dataCellStyle="Normal 3"/>
    <tableColumn id="3" xr3:uid="{00000000-0010-0000-2300-000003000000}" name="PTO VTA" dataDxfId="1094" totalsRowDxfId="1093" dataCellStyle="Normal 3"/>
    <tableColumn id="4" xr3:uid="{00000000-0010-0000-2300-000004000000}" name="NRO. CPTE" dataDxfId="1092" totalsRowDxfId="1091" dataCellStyle="Normal 3"/>
    <tableColumn id="5" xr3:uid="{00000000-0010-0000-2300-000005000000}" name="CUIT" dataDxfId="1090" totalsRowDxfId="1089" dataCellStyle="Normal 3"/>
    <tableColumn id="6" xr3:uid="{00000000-0010-0000-2300-000006000000}" name="RAZON SOCIAL" dataDxfId="1088" totalsRowDxfId="1087" dataCellStyle="Normal 3">
      <calculatedColumnFormula>IFERROR(IF(compras_mes6[[#This Row],[CUIT]]="","-",VLOOKUP(compras_mes6[[#This Row],[CUIT]],Lista_CUIT[#All],2,0)),"CUIT NO CARGADO")</calculatedColumnFormula>
    </tableColumn>
    <tableColumn id="7" xr3:uid="{00000000-0010-0000-2300-000007000000}" name="NETO GRAVADO" totalsRowFunction="sum" dataDxfId="1086" totalsRowDxfId="1085" dataCellStyle="Normal 3"/>
    <tableColumn id="8" xr3:uid="{00000000-0010-0000-2300-000008000000}" name="IVA 21 %" totalsRowFunction="sum" dataDxfId="1084" totalsRowDxfId="1083" dataCellStyle="Normal 3">
      <calculatedColumnFormula>IF(compras_mes6[[#This Row],[NETO GRAVADO]]="","",compras_mes6[[#This Row],[NETO GRAVADO]]*0.21)</calculatedColumnFormula>
    </tableColumn>
    <tableColumn id="9" xr3:uid="{00000000-0010-0000-2300-000009000000}" name="IVA 27%" totalsRowFunction="sum" dataDxfId="1082" totalsRowDxfId="1081" dataCellStyle="Normal 3"/>
    <tableColumn id="10" xr3:uid="{00000000-0010-0000-2300-00000A000000}" name="IVA 10,5%" totalsRowFunction="sum" dataDxfId="1080" totalsRowDxfId="1079" dataCellStyle="Normal 3"/>
    <tableColumn id="11" xr3:uid="{00000000-0010-0000-2300-00000B000000}" name="PERC. IVA" totalsRowFunction="sum" dataDxfId="1078" totalsRowDxfId="1077" dataCellStyle="Normal 3"/>
    <tableColumn id="12" xr3:uid="{00000000-0010-0000-2300-00000C000000}" name="PERC IIBB _x000a_BS AS" totalsRowFunction="sum" dataDxfId="1076" totalsRowDxfId="1075" dataCellStyle="Normal 3"/>
    <tableColumn id="13" xr3:uid="{00000000-0010-0000-2300-00000D000000}" name="PERC. IIBB CABA" totalsRowFunction="sum" dataDxfId="1074" totalsRowDxfId="1073" dataCellStyle="Normal 3"/>
    <tableColumn id="14" xr3:uid="{00000000-0010-0000-2300-00000E000000}" name="Otros / No Grav." totalsRowFunction="sum" dataDxfId="1072" totalsRowDxfId="1071" dataCellStyle="Normal 3"/>
    <tableColumn id="15" xr3:uid="{00000000-0010-0000-2300-00000F000000}" name="TOTAL" totalsRowFunction="sum" dataDxfId="1070" totalsRowDxfId="1069" dataCellStyle="Normal 3">
      <calculatedColumnFormula>SUM(compras_mes6[[#This Row],[NETO GRAVADO]:[Otros / No Grav.]])</calculatedColumnFormula>
    </tableColumn>
    <tableColumn id="16" xr3:uid="{00000000-0010-0000-2300-000010000000}" name="Tipo de Gasto" dataDxfId="1068" totalsRowDxfId="1067" dataCellStyle="Normal 3">
      <calculatedColumnFormula>IFERROR(IF(compras_mes6[[#This Row],[CUIT]]="","-",VLOOKUP(compras_mes6[[#This Row],[CUIT]],Lista_CUIT[#All],3,0)),"CUIT NO CARGADO")</calculatedColumnFormula>
    </tableColumn>
    <tableColumn id="17" xr3:uid="{00000000-0010-0000-2300-000011000000}" name="Provincia" dataDxfId="1066" totalsRowDxfId="1065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4000000}" name="factura_c_mes6" displayName="factura_c_mes6" ref="D51:K66" totalsRowCount="1" headerRowDxfId="1064" totalsRowDxfId="1063" headerRowCellStyle="Normal 3">
  <autoFilter ref="D51:K65" xr:uid="{00000000-0009-0000-0100-00001C000000}"/>
  <tableColumns count="8">
    <tableColumn id="1" xr3:uid="{00000000-0010-0000-2400-000001000000}" name="FECHA" totalsRowLabel="Total" dataDxfId="1062" totalsRowDxfId="1061" dataCellStyle="Normal 3"/>
    <tableColumn id="2" xr3:uid="{00000000-0010-0000-2400-000002000000}" name="PTO VTA" dataDxfId="1060" totalsRowDxfId="1059" dataCellStyle="Normal 3"/>
    <tableColumn id="3" xr3:uid="{00000000-0010-0000-2400-000003000000}" name="FC Nº" dataDxfId="1058" totalsRowDxfId="1057" dataCellStyle="Normal 3"/>
    <tableColumn id="4" xr3:uid="{00000000-0010-0000-2400-000004000000}" name="CUIT" dataDxfId="1056" totalsRowDxfId="1055" dataCellStyle="Normal 3"/>
    <tableColumn id="5" xr3:uid="{00000000-0010-0000-2400-000005000000}" name="RAZON SOCIAL" dataDxfId="1054" totalsRowDxfId="1053" dataCellStyle="Normal 3">
      <calculatedColumnFormula>IFERROR(IF(factura_c_mes6[[#This Row],[CUIT]]="","-",VLOOKUP(factura_c_mes6[[#This Row],[CUIT]],Lista_CUIT[#All],2,0)),"CUIT NO CARGADO")</calculatedColumnFormula>
    </tableColumn>
    <tableColumn id="6" xr3:uid="{00000000-0010-0000-2400-000006000000}" name="TOTAL" totalsRowFunction="sum" dataDxfId="1052" totalsRowDxfId="1051" dataCellStyle="Normal 3"/>
    <tableColumn id="7" xr3:uid="{00000000-0010-0000-2400-000007000000}" name="TIPO DE GASTO" dataDxfId="1050" totalsRowDxfId="1049" dataCellStyle="Normal 3">
      <calculatedColumnFormula>IFERROR(IF(factura_c_mes6[[#This Row],[CUIT]]="","-",VLOOKUP(factura_c_mes6[[#This Row],[CUIT]],Lista_CUIT[#All],3,0)),"CUIT NO CARGADO")</calculatedColumnFormula>
    </tableColumn>
    <tableColumn id="8" xr3:uid="{00000000-0010-0000-2400-000008000000}" name="Provincia" dataDxfId="1048" totalsRowDxfId="1047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5000000}" name="venta_a_mes6" displayName="venta_a_mes6" ref="B75:M86" totalsRowCount="1" headerRowDxfId="1046" dataDxfId="1044" headerRowBorderDxfId="1045" tableBorderDxfId="1043" totalsRowBorderDxfId="1042" dataCellStyle="Normal 3">
  <autoFilter ref="B75:M85" xr:uid="{00000000-0009-0000-0100-00001D000000}"/>
  <tableColumns count="12">
    <tableColumn id="1" xr3:uid="{00000000-0010-0000-2500-000001000000}" name="FECHA" totalsRowLabel="Total" dataDxfId="1041" totalsRowDxfId="1040" dataCellStyle="Normal 3"/>
    <tableColumn id="2" xr3:uid="{00000000-0010-0000-2500-000002000000}" name="TIPO" dataDxfId="1039" totalsRowDxfId="1038" dataCellStyle="Normal 3"/>
    <tableColumn id="3" xr3:uid="{00000000-0010-0000-2500-000003000000}" name="PTO VENTA" dataDxfId="1037" totalsRowDxfId="1036" dataCellStyle="Normal 3"/>
    <tableColumn id="4" xr3:uid="{00000000-0010-0000-2500-000004000000}" name="Nº FACTURA" dataDxfId="1035" totalsRowDxfId="1034" dataCellStyle="Normal 3"/>
    <tableColumn id="5" xr3:uid="{00000000-0010-0000-2500-000005000000}" name="CUIT" dataDxfId="1033" totalsRowDxfId="1032" dataCellStyle="Normal 3"/>
    <tableColumn id="6" xr3:uid="{00000000-0010-0000-2500-000006000000}" name="RAZON SOCIAL" dataDxfId="1031" totalsRowDxfId="1030" dataCellStyle="Normal 3">
      <calculatedColumnFormula>IFERROR(IF(venta_a_mes6[[#This Row],[CUIT]]="","-",VLOOKUP(venta_a_mes6[[#This Row],[CUIT]],Lista_CUIT[#All],2,0)),"CUIT NO CARGADO")</calculatedColumnFormula>
    </tableColumn>
    <tableColumn id="7" xr3:uid="{00000000-0010-0000-2500-000007000000}" name="IMPORTE NETO" totalsRowFunction="sum" dataDxfId="1029" totalsRowDxfId="1028" dataCellStyle="Normal 3"/>
    <tableColumn id="8" xr3:uid="{00000000-0010-0000-2500-000008000000}" name="IVA 21%" totalsRowFunction="sum" dataDxfId="1027" totalsRowDxfId="1026" dataCellStyle="Normal 3">
      <calculatedColumnFormula>venta_a_mes6[[#This Row],[IMPORTE NETO]]*0.21</calculatedColumnFormula>
    </tableColumn>
    <tableColumn id="9" xr3:uid="{00000000-0010-0000-2500-000009000000}" name="IVA 10,5%" totalsRowFunction="sum" dataDxfId="1025" totalsRowDxfId="1024" dataCellStyle="Normal 3"/>
    <tableColumn id="10" xr3:uid="{00000000-0010-0000-2500-00000A000000}" name="EXENTO" totalsRowFunction="sum" dataDxfId="1023" totalsRowDxfId="1022" dataCellStyle="Normal 3"/>
    <tableColumn id="11" xr3:uid="{00000000-0010-0000-2500-00000B000000}" name="TOTAL" totalsRowFunction="sum" dataDxfId="1021" totalsRowDxfId="1020" dataCellStyle="Normal 3">
      <calculatedColumnFormula>SUM(venta_a_mes6[[#This Row],[IMPORTE NETO]:[EXENTO]])</calculatedColumnFormula>
    </tableColumn>
    <tableColumn id="12" xr3:uid="{00000000-0010-0000-2500-00000C000000}" name="Provincia" totalsRowFunction="count" dataDxfId="1019" totalsRowDxfId="1018" dataCellStyle="Normal 3"/>
  </tableColumns>
  <tableStyleInfo name="Tabla Ventas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6000000}" name="ventas_b_mes6" displayName="ventas_b_mes6" ref="B89:M96" totalsRowCount="1" headerRowDxfId="1017" dataDxfId="1015" headerRowBorderDxfId="1016" tableBorderDxfId="1014" totalsRowBorderDxfId="1013" dataCellStyle="Normal 3">
  <autoFilter ref="B89:M95" xr:uid="{00000000-0009-0000-0100-00001E000000}"/>
  <tableColumns count="12">
    <tableColumn id="1" xr3:uid="{00000000-0010-0000-2600-000001000000}" name="FECHA" totalsRowLabel="Total" dataDxfId="1012" totalsRowDxfId="1011" dataCellStyle="Normal 3"/>
    <tableColumn id="2" xr3:uid="{00000000-0010-0000-2600-000002000000}" name="TIPO" dataDxfId="1010" totalsRowDxfId="1009" dataCellStyle="Normal 3"/>
    <tableColumn id="3" xr3:uid="{00000000-0010-0000-2600-000003000000}" name="PTO VENTA" dataDxfId="1008" totalsRowDxfId="1007" dataCellStyle="Normal 3"/>
    <tableColumn id="4" xr3:uid="{00000000-0010-0000-2600-000004000000}" name="Nº FACTURA" dataDxfId="1006" totalsRowDxfId="1005" dataCellStyle="Normal 3"/>
    <tableColumn id="5" xr3:uid="{00000000-0010-0000-2600-000005000000}" name="CUIT" dataDxfId="1004" totalsRowDxfId="1003" dataCellStyle="Normal 3"/>
    <tableColumn id="6" xr3:uid="{00000000-0010-0000-2600-000006000000}" name="RAZON SOCIAL" dataDxfId="1002" totalsRowDxfId="1001" dataCellStyle="Normal 3">
      <calculatedColumnFormula>IFERROR(IF(ventas_b_mes6[[#This Row],[CUIT]]="","-",VLOOKUP(ventas_b_mes6[[#This Row],[CUIT]],Lista_CUIT[#All],2,0)),"CUIT NO CARGADO")</calculatedColumnFormula>
    </tableColumn>
    <tableColumn id="7" xr3:uid="{00000000-0010-0000-2600-000007000000}" name="IMPORTE NETO" totalsRowFunction="sum" dataDxfId="1000" totalsRowDxfId="999" dataCellStyle="Normal 3"/>
    <tableColumn id="8" xr3:uid="{00000000-0010-0000-2600-000008000000}" name="IVA 21%" totalsRowFunction="sum" dataDxfId="998" totalsRowDxfId="997" dataCellStyle="Normal 3"/>
    <tableColumn id="9" xr3:uid="{00000000-0010-0000-2600-000009000000}" name="IVA 10,5%" totalsRowFunction="sum" dataDxfId="996" totalsRowDxfId="995" dataCellStyle="Normal 3"/>
    <tableColumn id="10" xr3:uid="{00000000-0010-0000-2600-00000A000000}" name="EXENTO" totalsRowFunction="sum" dataDxfId="994" totalsRowDxfId="993" dataCellStyle="Normal 3"/>
    <tableColumn id="11" xr3:uid="{00000000-0010-0000-2600-00000B000000}" name="TOTAL" totalsRowFunction="sum" dataDxfId="992" totalsRowDxfId="991" dataCellStyle="Normal 3">
      <calculatedColumnFormula>SUM(ventas_b_mes6[[#This Row],[IMPORTE NETO]:[EXENTO]])</calculatedColumnFormula>
    </tableColumn>
    <tableColumn id="12" xr3:uid="{00000000-0010-0000-2600-00000C000000}" name="Provincia" totalsRowFunction="count" dataDxfId="990" totalsRowDxfId="989" dataCellStyle="Normal 3"/>
  </tableColumns>
  <tableStyleInfo name="Tabla Ventas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7000000}" name="extracto_banco_mes6" displayName="extracto_banco_mes6" ref="D43:L48" totalsRowCount="1" headerRowDxfId="988" dataDxfId="987" tableBorderDxfId="986" dataCellStyle="Normal 3">
  <autoFilter ref="D43:L47" xr:uid="{00000000-0009-0000-0100-00001F000000}"/>
  <tableColumns count="9">
    <tableColumn id="1" xr3:uid="{00000000-0010-0000-2700-000001000000}" name="FECHA" totalsRowLabel="Total" dataDxfId="985" totalsRowDxfId="984" dataCellStyle="Normal 3"/>
    <tableColumn id="2" xr3:uid="{00000000-0010-0000-2700-000002000000}" name="NRO CPTE" dataDxfId="983" totalsRowDxfId="982"/>
    <tableColumn id="3" xr3:uid="{00000000-0010-0000-2700-000003000000}" name="BANCO" dataDxfId="981" totalsRowDxfId="980"/>
    <tableColumn id="4" xr3:uid="{00000000-0010-0000-2700-000004000000}" name="NETO" totalsRowFunction="sum" dataDxfId="979" totalsRowDxfId="978" dataCellStyle="Normal 3"/>
    <tableColumn id="5" xr3:uid="{00000000-0010-0000-2700-000005000000}" name="IVA 21%" totalsRowFunction="sum" dataDxfId="977" totalsRowDxfId="976" dataCellStyle="Normal 3">
      <calculatedColumnFormula>extracto_banco_mes6[[#This Row],[NETO]]*0.21</calculatedColumnFormula>
    </tableColumn>
    <tableColumn id="6" xr3:uid="{00000000-0010-0000-2700-000006000000}" name="IVA 10,5%" totalsRowFunction="sum" dataDxfId="975" totalsRowDxfId="974" dataCellStyle="Normal 3"/>
    <tableColumn id="7" xr3:uid="{00000000-0010-0000-2700-000007000000}" name="RET IIBB CABA" totalsRowFunction="sum" dataDxfId="973" totalsRowDxfId="972" dataCellStyle="Normal 3"/>
    <tableColumn id="8" xr3:uid="{00000000-0010-0000-2700-000008000000}" name="PERC IVA" totalsRowFunction="sum" dataDxfId="971" totalsRowDxfId="970" dataCellStyle="Normal 3"/>
    <tableColumn id="9" xr3:uid="{00000000-0010-0000-2700-000009000000}" name="PERC IIBB" totalsRowFunction="sum" dataDxfId="969" totalsRowDxfId="968" dataCellStyle="Normal 3"/>
  </tableColumns>
  <tableStyleInfo name="Estilo de tabla 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8000000}" name="Retenciones_mes6" displayName="Retenciones_mes6" ref="C106:L111" totalsRowShown="0" headerRowDxfId="967" dataDxfId="966" headerRowCellStyle="Normal 3" dataCellStyle="Normal 3">
  <autoFilter ref="C106:L111" xr:uid="{00000000-0009-0000-0100-000020000000}"/>
  <tableColumns count="10">
    <tableColumn id="1" xr3:uid="{00000000-0010-0000-2800-000001000000}" name="FECHA " dataDxfId="965" dataCellStyle="Normal 3"/>
    <tableColumn id="2" xr3:uid="{00000000-0010-0000-2800-000002000000}" name="COMP Nº" dataDxfId="964" dataCellStyle="Normal 3"/>
    <tableColumn id="3" xr3:uid="{00000000-0010-0000-2800-000003000000}" name="Columna1" dataDxfId="963" dataCellStyle="Normal 3"/>
    <tableColumn id="4" xr3:uid="{00000000-0010-0000-2800-000004000000}" name="CUIT" dataDxfId="962" dataCellStyle="Normal 3"/>
    <tableColumn id="5" xr3:uid="{00000000-0010-0000-2800-000005000000}" name="RAZON SOCIAL" dataDxfId="961" dataCellStyle="Normal 3">
      <calculatedColumnFormula>IFERROR(IF(Retenciones_mes6[[#This Row],[CUIT]]="","-",VLOOKUP(Retenciones_mes6[[#This Row],[CUIT]],Lista_CUIT[#All],2,0)),"CUIT NO CARGADO")</calculatedColumnFormula>
    </tableColumn>
    <tableColumn id="6" xr3:uid="{00000000-0010-0000-2800-000006000000}" name="Ganancias" dataDxfId="960" dataCellStyle="Normal 3"/>
    <tableColumn id="7" xr3:uid="{00000000-0010-0000-2800-000007000000}" name="IVA" dataDxfId="959" dataCellStyle="Normal 3"/>
    <tableColumn id="8" xr3:uid="{00000000-0010-0000-2800-000008000000}" name="SUSS" dataDxfId="958" dataCellStyle="Normal 3"/>
    <tableColumn id="9" xr3:uid="{00000000-0010-0000-2800-000009000000}" name="IIBB BSAS" dataDxfId="957" dataCellStyle="Normal 3"/>
    <tableColumn id="10" xr3:uid="{00000000-0010-0000-2800-00000A000000}" name="IIBB CABA" dataDxfId="956" dataCellStyle="Normal 3"/>
  </tableColumns>
  <tableStyleInfo name="Estilo de tabla 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29000000}" name="ventas_b_mes256" displayName="ventas_b_mes256" ref="B99:M103" totalsRowCount="1" headerRowDxfId="955" dataDxfId="953" headerRowBorderDxfId="954" tableBorderDxfId="952" totalsRowBorderDxfId="951" dataCellStyle="Normal 3">
  <autoFilter ref="B99:M102" xr:uid="{00000000-0009-0000-0100-000037000000}"/>
  <tableColumns count="12">
    <tableColumn id="1" xr3:uid="{00000000-0010-0000-2900-000001000000}" name="FECHA" totalsRowLabel="Total" dataDxfId="950" totalsRowDxfId="949" dataCellStyle="Normal 3"/>
    <tableColumn id="2" xr3:uid="{00000000-0010-0000-2900-000002000000}" name="TIPO" dataDxfId="948" totalsRowDxfId="947" dataCellStyle="Normal 3"/>
    <tableColumn id="3" xr3:uid="{00000000-0010-0000-2900-000003000000}" name="PTO VENTA" dataDxfId="946" totalsRowDxfId="945" dataCellStyle="Normal 3"/>
    <tableColumn id="4" xr3:uid="{00000000-0010-0000-2900-000004000000}" name="Nº FACTURA" dataDxfId="944" totalsRowDxfId="943" dataCellStyle="Normal 3"/>
    <tableColumn id="5" xr3:uid="{00000000-0010-0000-2900-000005000000}" name="CUIT" dataDxfId="942" totalsRowDxfId="941" dataCellStyle="Normal 3"/>
    <tableColumn id="6" xr3:uid="{00000000-0010-0000-2900-000006000000}" name="RAZON SOCIAL" dataDxfId="940" totalsRowDxfId="939" dataCellStyle="Normal 3"/>
    <tableColumn id="7" xr3:uid="{00000000-0010-0000-2900-000007000000}" name="USD" totalsRowFunction="sum" dataDxfId="938" totalsRowDxfId="937" dataCellStyle="Normal 3"/>
    <tableColumn id="8" xr3:uid="{00000000-0010-0000-2900-000008000000}" name="IVA 21%" totalsRowFunction="sum" dataDxfId="936" totalsRowDxfId="935" dataCellStyle="Normal 3">
      <calculatedColumnFormula>ventas_b_mes256[[#This Row],[USD]]*0.21</calculatedColumnFormula>
    </tableColumn>
    <tableColumn id="9" xr3:uid="{00000000-0010-0000-2900-000009000000}" name="Columna1" totalsRowFunction="sum" dataDxfId="934" totalsRowDxfId="933" dataCellStyle="Normal 3"/>
    <tableColumn id="10" xr3:uid="{00000000-0010-0000-2900-00000A000000}" name="TIPO DE CAMBIO2" totalsRowFunction="sum" dataDxfId="932" totalsRowDxfId="931" dataCellStyle="Normal 3"/>
    <tableColumn id="11" xr3:uid="{00000000-0010-0000-2900-00000B000000}" name="TOTAL" totalsRowFunction="custom" dataDxfId="930" totalsRowDxfId="929" dataCellStyle="Normal 3">
      <totalsRowFormula>SUM(L100:L101)</totalsRowFormula>
    </tableColumn>
    <tableColumn id="12" xr3:uid="{00000000-0010-0000-2900-00000C000000}" name="PAIS" totalsRowFunction="count" dataDxfId="928" totalsRowDxfId="927" dataCellStyle="Normal 3"/>
  </tableColumns>
  <tableStyleInfo name="Tabla Ventas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0000000}" name="compras_mes8" displayName="compras_mes8" ref="B8:R35" totalsRowCount="1" headerRowDxfId="926" totalsRowDxfId="925">
  <autoFilter ref="B8:R34" xr:uid="{00000000-0009-0000-0100-000039000000}"/>
  <sortState xmlns:xlrd2="http://schemas.microsoft.com/office/spreadsheetml/2017/richdata2" ref="B9:R34">
    <sortCondition ref="Q9:Q34"/>
  </sortState>
  <tableColumns count="17">
    <tableColumn id="1" xr3:uid="{00000000-0010-0000-3000-000001000000}" name="FECHA" totalsRowLabel="Total" dataDxfId="924" totalsRowDxfId="923" dataCellStyle="Normal 3"/>
    <tableColumn id="2" xr3:uid="{00000000-0010-0000-3000-000002000000}" name="TIPO" dataDxfId="922" totalsRowDxfId="921" dataCellStyle="Normal 3"/>
    <tableColumn id="3" xr3:uid="{00000000-0010-0000-3000-000003000000}" name="PTO VTA" dataDxfId="920" totalsRowDxfId="919" dataCellStyle="Normal 3"/>
    <tableColumn id="4" xr3:uid="{00000000-0010-0000-3000-000004000000}" name="NRO. CPTE" dataDxfId="918" totalsRowDxfId="917" dataCellStyle="Normal 3"/>
    <tableColumn id="5" xr3:uid="{00000000-0010-0000-3000-000005000000}" name="CUIT" dataDxfId="916" totalsRowDxfId="915" dataCellStyle="Normal 3"/>
    <tableColumn id="6" xr3:uid="{00000000-0010-0000-3000-000006000000}" name="RAZON SOCIAL" dataDxfId="914" totalsRowDxfId="913" dataCellStyle="Normal 3">
      <calculatedColumnFormula>IFERROR(IF(compras_mes8[[#This Row],[CUIT]]="","-",VLOOKUP(compras_mes8[[#This Row],[CUIT]],Lista_CUIT[#All],2,0)),"CUIT NO CARGADO")</calculatedColumnFormula>
    </tableColumn>
    <tableColumn id="7" xr3:uid="{00000000-0010-0000-3000-000007000000}" name="NETO GRAVADO" totalsRowFunction="sum" dataDxfId="912" totalsRowDxfId="911" dataCellStyle="Normal 3"/>
    <tableColumn id="8" xr3:uid="{00000000-0010-0000-3000-000008000000}" name="IVA 21 %" totalsRowFunction="sum" dataDxfId="910" totalsRowDxfId="909" dataCellStyle="Normal 3">
      <calculatedColumnFormula>IF(compras_mes8[[#This Row],[NETO GRAVADO]]="","",compras_mes8[[#This Row],[NETO GRAVADO]]*0.21)</calculatedColumnFormula>
    </tableColumn>
    <tableColumn id="9" xr3:uid="{00000000-0010-0000-3000-000009000000}" name="IVA 27%" totalsRowFunction="sum" dataDxfId="908" totalsRowDxfId="907" dataCellStyle="Normal 3"/>
    <tableColumn id="10" xr3:uid="{00000000-0010-0000-3000-00000A000000}" name="IVA 10,5%" totalsRowFunction="sum" dataDxfId="906" totalsRowDxfId="905" dataCellStyle="Normal 3"/>
    <tableColumn id="11" xr3:uid="{00000000-0010-0000-3000-00000B000000}" name="PERC. IVA" totalsRowFunction="sum" dataDxfId="904" totalsRowDxfId="903" dataCellStyle="Normal 3"/>
    <tableColumn id="12" xr3:uid="{00000000-0010-0000-3000-00000C000000}" name="PERC IIBB _x000a_BS AS" totalsRowFunction="sum" dataDxfId="902" totalsRowDxfId="901" dataCellStyle="Normal 3"/>
    <tableColumn id="13" xr3:uid="{00000000-0010-0000-3000-00000D000000}" name="PERC. IIBB CABA" totalsRowFunction="sum" dataDxfId="900" totalsRowDxfId="899" dataCellStyle="Normal 3"/>
    <tableColumn id="14" xr3:uid="{00000000-0010-0000-3000-00000E000000}" name="Otros / No Grav." totalsRowFunction="sum" dataDxfId="898" totalsRowDxfId="897" dataCellStyle="Normal 3"/>
    <tableColumn id="15" xr3:uid="{00000000-0010-0000-3000-00000F000000}" name="TOTAL" totalsRowFunction="sum" dataDxfId="896" totalsRowDxfId="895" dataCellStyle="Normal 3">
      <calculatedColumnFormula>SUM(compras_mes8[[#This Row],[NETO GRAVADO]:[Otros / No Grav.]])</calculatedColumnFormula>
    </tableColumn>
    <tableColumn id="16" xr3:uid="{00000000-0010-0000-3000-000010000000}" name="Tipo de Gasto" dataDxfId="894" totalsRowDxfId="893" dataCellStyle="Normal 3">
      <calculatedColumnFormula>IFERROR(IF(compras_mes8[[#This Row],[CUIT]]="","-",VLOOKUP(compras_mes8[[#This Row],[CUIT]],Lista_CUIT[#All],3,0)),"CUIT NO CARGADO")</calculatedColumnFormula>
    </tableColumn>
    <tableColumn id="17" xr3:uid="{00000000-0010-0000-3000-000011000000}" name="Provincia" dataDxfId="892" totalsRowDxfId="891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1000000}" name="factura_c_mes8" displayName="factura_c_mes8" ref="D50:K58" totalsRowCount="1" headerRowDxfId="890" totalsRowDxfId="889" headerRowCellStyle="Normal 3">
  <autoFilter ref="D50:K57" xr:uid="{00000000-0009-0000-0100-00003A000000}"/>
  <tableColumns count="8">
    <tableColumn id="1" xr3:uid="{00000000-0010-0000-3100-000001000000}" name="FECHA" totalsRowLabel="Total" dataDxfId="888" totalsRowDxfId="887" dataCellStyle="Normal 3"/>
    <tableColumn id="2" xr3:uid="{00000000-0010-0000-3100-000002000000}" name="PTO VTA" dataDxfId="886" totalsRowDxfId="885" dataCellStyle="Normal 3"/>
    <tableColumn id="3" xr3:uid="{00000000-0010-0000-3100-000003000000}" name="FC Nº" dataDxfId="884" totalsRowDxfId="883" dataCellStyle="Normal 3"/>
    <tableColumn id="4" xr3:uid="{00000000-0010-0000-3100-000004000000}" name="CUIT" dataDxfId="882" totalsRowDxfId="881" dataCellStyle="Normal 3"/>
    <tableColumn id="5" xr3:uid="{00000000-0010-0000-3100-000005000000}" name="RAZON SOCIAL" dataDxfId="880" totalsRowDxfId="879" dataCellStyle="Normal 3">
      <calculatedColumnFormula>IFERROR(IF(factura_c_mes8[[#This Row],[CUIT]]="","-",VLOOKUP(factura_c_mes8[[#This Row],[CUIT]],Lista_CUIT[#All],2,0)),"CUIT NO CARGADO")</calculatedColumnFormula>
    </tableColumn>
    <tableColumn id="6" xr3:uid="{00000000-0010-0000-3100-000006000000}" name="TOTAL" totalsRowFunction="sum" dataDxfId="878" totalsRowDxfId="877" dataCellStyle="Normal 3"/>
    <tableColumn id="7" xr3:uid="{00000000-0010-0000-3100-000007000000}" name="TIPO DE GASTO" dataDxfId="876" totalsRowDxfId="875" dataCellStyle="Normal 3">
      <calculatedColumnFormula>IFERROR(IF(factura_c_mes8[[#This Row],[CUIT]]="","-",VLOOKUP(factura_c_mes8[[#This Row],[CUIT]],Lista_CUIT[#All],3,0)),"CUIT NO CARGADO")</calculatedColumnFormula>
    </tableColumn>
    <tableColumn id="8" xr3:uid="{00000000-0010-0000-3100-000008000000}" name="Provincia" dataDxfId="874" totalsRowDxfId="873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2000000}" name="venta_a_mes8" displayName="venta_a_mes8" ref="B64:M74" totalsRowCount="1" headerRowDxfId="872" dataDxfId="870" headerRowBorderDxfId="871" tableBorderDxfId="869" totalsRowBorderDxfId="868" dataCellStyle="Normal 3">
  <autoFilter ref="B64:M73" xr:uid="{00000000-0009-0000-0100-00003B000000}"/>
  <tableColumns count="12">
    <tableColumn id="1" xr3:uid="{00000000-0010-0000-3200-000001000000}" name="FECHA" totalsRowLabel="Total" dataDxfId="867" totalsRowDxfId="866" dataCellStyle="Normal 3"/>
    <tableColumn id="2" xr3:uid="{00000000-0010-0000-3200-000002000000}" name="TIPO" dataDxfId="865" totalsRowDxfId="864" dataCellStyle="Normal 3"/>
    <tableColumn id="3" xr3:uid="{00000000-0010-0000-3200-000003000000}" name="PTO VENTA" dataDxfId="863" totalsRowDxfId="862" dataCellStyle="Normal 3"/>
    <tableColumn id="4" xr3:uid="{00000000-0010-0000-3200-000004000000}" name="Nº FACTURA" dataDxfId="861" totalsRowDxfId="860" dataCellStyle="Normal 3"/>
    <tableColumn id="5" xr3:uid="{00000000-0010-0000-3200-000005000000}" name="CUIT" dataDxfId="859" totalsRowDxfId="858" dataCellStyle="Normal 3"/>
    <tableColumn id="6" xr3:uid="{00000000-0010-0000-3200-000006000000}" name="RAZON SOCIAL" dataDxfId="857" totalsRowDxfId="856" dataCellStyle="Normal 3">
      <calculatedColumnFormula>IFERROR(IF(venta_a_mes8[[#This Row],[CUIT]]="","-",VLOOKUP(venta_a_mes8[[#This Row],[CUIT]],Lista_CUIT[#All],2,0)),"CUIT NO CARGADO")</calculatedColumnFormula>
    </tableColumn>
    <tableColumn id="7" xr3:uid="{00000000-0010-0000-3200-000007000000}" name="IMPORTE NETO" totalsRowFunction="sum" dataDxfId="855" totalsRowDxfId="854" dataCellStyle="Normal 3"/>
    <tableColumn id="8" xr3:uid="{00000000-0010-0000-3200-000008000000}" name="IVA 21%" totalsRowFunction="sum" dataDxfId="853" totalsRowDxfId="852" dataCellStyle="Normal 3">
      <calculatedColumnFormula>venta_a_mes8[[#This Row],[IMPORTE NETO]]*0.21</calculatedColumnFormula>
    </tableColumn>
    <tableColumn id="9" xr3:uid="{00000000-0010-0000-3200-000009000000}" name="IVA 10,5%" totalsRowFunction="sum" dataDxfId="851" totalsRowDxfId="850" dataCellStyle="Normal 3"/>
    <tableColumn id="10" xr3:uid="{00000000-0010-0000-3200-00000A000000}" name="EXENTO" totalsRowFunction="sum" dataDxfId="849" totalsRowDxfId="848" dataCellStyle="Normal 3"/>
    <tableColumn id="11" xr3:uid="{00000000-0010-0000-3200-00000B000000}" name="TOTAL" totalsRowFunction="sum" dataDxfId="847" totalsRowDxfId="846" dataCellStyle="Normal 3">
      <calculatedColumnFormula>SUM(venta_a_mes8[[#This Row],[IMPORTE NETO]:[EXENTO]])</calculatedColumnFormula>
    </tableColumn>
    <tableColumn id="12" xr3:uid="{00000000-0010-0000-3200-00000C000000}" name="Provincia" totalsRowFunction="count" dataDxfId="845" totalsRowDxfId="844" dataCellStyle="Normal 3"/>
  </tableColumns>
  <tableStyleInfo name="Tabla Ventas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3000000}" name="ventas_b_mes8" displayName="ventas_b_mes8" ref="B78:M85" totalsRowCount="1" headerRowDxfId="843" dataDxfId="841" headerRowBorderDxfId="842" tableBorderDxfId="840" totalsRowBorderDxfId="839" dataCellStyle="Normal 3">
  <autoFilter ref="B78:M84" xr:uid="{00000000-0009-0000-0100-00003C000000}"/>
  <tableColumns count="12">
    <tableColumn id="1" xr3:uid="{00000000-0010-0000-3300-000001000000}" name="FECHA" totalsRowLabel="Total" dataDxfId="838" totalsRowDxfId="837" dataCellStyle="Normal 3"/>
    <tableColumn id="2" xr3:uid="{00000000-0010-0000-3300-000002000000}" name="TIPO" dataDxfId="836" totalsRowDxfId="835" dataCellStyle="Normal 3"/>
    <tableColumn id="3" xr3:uid="{00000000-0010-0000-3300-000003000000}" name="PTO VENTA" dataDxfId="834" totalsRowDxfId="833" dataCellStyle="Normal 3"/>
    <tableColumn id="4" xr3:uid="{00000000-0010-0000-3300-000004000000}" name="Nº FACTURA" dataDxfId="832" totalsRowDxfId="831" dataCellStyle="Normal 3"/>
    <tableColumn id="5" xr3:uid="{00000000-0010-0000-3300-000005000000}" name="CUIT" dataDxfId="830" totalsRowDxfId="829" dataCellStyle="Normal 3"/>
    <tableColumn id="6" xr3:uid="{00000000-0010-0000-3300-000006000000}" name="RAZON SOCIAL" dataDxfId="828" totalsRowDxfId="827" dataCellStyle="Normal 3">
      <calculatedColumnFormula>IFERROR(IF(ventas_b_mes8[[#This Row],[CUIT]]="","-",VLOOKUP(ventas_b_mes8[[#This Row],[CUIT]],Lista_CUIT[#All],2,0)),"CUIT NO CARGADO")</calculatedColumnFormula>
    </tableColumn>
    <tableColumn id="7" xr3:uid="{00000000-0010-0000-3300-000007000000}" name="IMPORTE NETO" totalsRowFunction="sum" dataDxfId="826" totalsRowDxfId="825" dataCellStyle="Normal 3"/>
    <tableColumn id="8" xr3:uid="{00000000-0010-0000-3300-000008000000}" name="IVA 21%" totalsRowFunction="sum" dataDxfId="824" totalsRowDxfId="823" dataCellStyle="Normal 3"/>
    <tableColumn id="9" xr3:uid="{00000000-0010-0000-3300-000009000000}" name="IVA 10,5%" totalsRowFunction="sum" dataDxfId="822" totalsRowDxfId="821" dataCellStyle="Normal 3"/>
    <tableColumn id="10" xr3:uid="{00000000-0010-0000-3300-00000A000000}" name="EXENTO" totalsRowFunction="sum" dataDxfId="820" totalsRowDxfId="819" dataCellStyle="Normal 3"/>
    <tableColumn id="11" xr3:uid="{00000000-0010-0000-3300-00000B000000}" name="TOTAL" totalsRowFunction="sum" dataDxfId="818" totalsRowDxfId="817" dataCellStyle="Normal 3">
      <calculatedColumnFormula>SUM(ventas_b_mes8[[#This Row],[IMPORTE NETO]:[EXENTO]])</calculatedColumnFormula>
    </tableColumn>
    <tableColumn id="12" xr3:uid="{00000000-0010-0000-3300-00000C000000}" name="Provincia" totalsRowFunction="count" dataDxfId="816" totalsRowDxfId="815" dataCellStyle="Normal 3"/>
  </tableColumns>
  <tableStyleInfo name="Tabla Ventas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4000000}" name="extracto_banco_mes8" displayName="extracto_banco_mes8" ref="D41:L45" totalsRowCount="1" headerRowDxfId="814" dataDxfId="813" tableBorderDxfId="812" dataCellStyle="Normal 3">
  <autoFilter ref="D41:L44" xr:uid="{00000000-0009-0000-0100-00003D000000}"/>
  <tableColumns count="9">
    <tableColumn id="1" xr3:uid="{00000000-0010-0000-3400-000001000000}" name="FECHA" totalsRowLabel="Total" dataDxfId="811" totalsRowDxfId="810" dataCellStyle="Normal 3"/>
    <tableColumn id="2" xr3:uid="{00000000-0010-0000-3400-000002000000}" name="NRO CPTE" dataDxfId="809" totalsRowDxfId="808"/>
    <tableColumn id="3" xr3:uid="{00000000-0010-0000-3400-000003000000}" name="BANCO" dataDxfId="807" totalsRowDxfId="806"/>
    <tableColumn id="4" xr3:uid="{00000000-0010-0000-3400-000004000000}" name="NETO" totalsRowFunction="sum" dataDxfId="805" totalsRowDxfId="804" dataCellStyle="Normal 3"/>
    <tableColumn id="5" xr3:uid="{00000000-0010-0000-3400-000005000000}" name="IVA 21%" totalsRowFunction="sum" dataDxfId="803" totalsRowDxfId="802" dataCellStyle="Normal 3">
      <calculatedColumnFormula>extracto_banco_mes8[[#This Row],[NETO]]*0.21</calculatedColumnFormula>
    </tableColumn>
    <tableColumn id="6" xr3:uid="{00000000-0010-0000-3400-000006000000}" name="IVA 10,5%" totalsRowFunction="sum" dataDxfId="801" totalsRowDxfId="800" dataCellStyle="Normal 3"/>
    <tableColumn id="7" xr3:uid="{00000000-0010-0000-3400-000007000000}" name="RET IIBB CABA" totalsRowFunction="sum" dataDxfId="799" totalsRowDxfId="798" dataCellStyle="Normal 3"/>
    <tableColumn id="8" xr3:uid="{00000000-0010-0000-3400-000008000000}" name="PERC IVA" totalsRowFunction="sum" dataDxfId="797" totalsRowDxfId="796" dataCellStyle="Normal 3"/>
    <tableColumn id="9" xr3:uid="{00000000-0010-0000-3400-000009000000}" name="PERC IIBB" totalsRowFunction="sum" dataDxfId="795" totalsRowDxfId="794" dataCellStyle="Normal 3"/>
  </tableColumns>
  <tableStyleInfo name="Estilo de tabla 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5000000}" name="Retenciones_mes8" displayName="Retenciones_mes8" ref="C94:L99" totalsRowShown="0" headerRowDxfId="793" dataDxfId="792" headerRowCellStyle="Normal 3" dataCellStyle="Normal 3">
  <autoFilter ref="C94:L99" xr:uid="{00000000-0009-0000-0100-00003E000000}"/>
  <tableColumns count="10">
    <tableColumn id="1" xr3:uid="{00000000-0010-0000-3500-000001000000}" name="FECHA " dataDxfId="791" dataCellStyle="Normal 3"/>
    <tableColumn id="2" xr3:uid="{00000000-0010-0000-3500-000002000000}" name="COMP Nº" dataDxfId="790" dataCellStyle="Normal 3"/>
    <tableColumn id="3" xr3:uid="{00000000-0010-0000-3500-000003000000}" name="Columna1" dataDxfId="789" dataCellStyle="Normal 3"/>
    <tableColumn id="4" xr3:uid="{00000000-0010-0000-3500-000004000000}" name="CUIT" dataDxfId="788" dataCellStyle="Normal 3"/>
    <tableColumn id="5" xr3:uid="{00000000-0010-0000-3500-000005000000}" name="RAZON SOCIAL" dataDxfId="787" dataCellStyle="Normal 3">
      <calculatedColumnFormula>IFERROR(IF(Retenciones_mes8[[#This Row],[CUIT]]="","-",VLOOKUP(Retenciones_mes8[[#This Row],[CUIT]],Lista_CUIT[#All],2,0)),"CUIT NO CARGADO")</calculatedColumnFormula>
    </tableColumn>
    <tableColumn id="6" xr3:uid="{00000000-0010-0000-3500-000006000000}" name="Ganancias" dataDxfId="786" dataCellStyle="Normal 3"/>
    <tableColumn id="7" xr3:uid="{00000000-0010-0000-3500-000007000000}" name="IVA" dataDxfId="785" dataCellStyle="Normal 3"/>
    <tableColumn id="8" xr3:uid="{00000000-0010-0000-3500-000008000000}" name="SUSS" dataDxfId="784" dataCellStyle="Normal 3"/>
    <tableColumn id="9" xr3:uid="{00000000-0010-0000-3500-000009000000}" name="IIBB BSAS" dataDxfId="783" dataCellStyle="Normal 3"/>
    <tableColumn id="10" xr3:uid="{00000000-0010-0000-3500-00000A000000}" name="IIBB CABA" dataDxfId="782" dataCellStyle="Normal 3"/>
  </tableColumns>
  <tableStyleInfo name="Estilo de tabla 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A000000}" name="compras_mes7" displayName="compras_mes7" ref="B8:R42" totalsRowCount="1" headerRowDxfId="781" totalsRowDxfId="780">
  <autoFilter ref="B8:R41" xr:uid="{00000000-0009-0000-0100-000027000000}"/>
  <sortState xmlns:xlrd2="http://schemas.microsoft.com/office/spreadsheetml/2017/richdata2" ref="B9:R41">
    <sortCondition ref="Q9:Q41"/>
  </sortState>
  <tableColumns count="17">
    <tableColumn id="1" xr3:uid="{00000000-0010-0000-2A00-000001000000}" name="FECHA" totalsRowLabel="Total" dataDxfId="779" totalsRowDxfId="778" dataCellStyle="Normal 3"/>
    <tableColumn id="2" xr3:uid="{00000000-0010-0000-2A00-000002000000}" name="TIPO" dataDxfId="777" totalsRowDxfId="776" dataCellStyle="Normal 3"/>
    <tableColumn id="3" xr3:uid="{00000000-0010-0000-2A00-000003000000}" name="PTO VTA" dataDxfId="775" totalsRowDxfId="774" dataCellStyle="Normal 3"/>
    <tableColumn id="4" xr3:uid="{00000000-0010-0000-2A00-000004000000}" name="NRO. CPTE" dataDxfId="773" totalsRowDxfId="772" dataCellStyle="Normal 3"/>
    <tableColumn id="5" xr3:uid="{00000000-0010-0000-2A00-000005000000}" name="CUIT" dataDxfId="771" totalsRowDxfId="770" dataCellStyle="Normal 3"/>
    <tableColumn id="6" xr3:uid="{00000000-0010-0000-2A00-000006000000}" name="RAZON SOCIAL" dataDxfId="769" totalsRowDxfId="768" dataCellStyle="Normal 3">
      <calculatedColumnFormula>IFERROR(IF(compras_mes7[[#This Row],[CUIT]]="","-",VLOOKUP(compras_mes7[[#This Row],[CUIT]],Lista_CUIT[#All],2,0)),"CUIT NO CARGADO")</calculatedColumnFormula>
    </tableColumn>
    <tableColumn id="7" xr3:uid="{00000000-0010-0000-2A00-000007000000}" name="NETO GRAVADO" totalsRowFunction="sum" dataDxfId="767" totalsRowDxfId="766" dataCellStyle="Normal 3"/>
    <tableColumn id="8" xr3:uid="{00000000-0010-0000-2A00-000008000000}" name="IVA 21 %" totalsRowFunction="sum" dataDxfId="765" totalsRowDxfId="764" dataCellStyle="Normal 3">
      <calculatedColumnFormula>IF(compras_mes7[[#This Row],[NETO GRAVADO]]="","",compras_mes7[[#This Row],[NETO GRAVADO]]*0.21)</calculatedColumnFormula>
    </tableColumn>
    <tableColumn id="9" xr3:uid="{00000000-0010-0000-2A00-000009000000}" name="IVA 27%" totalsRowFunction="sum" dataDxfId="763" totalsRowDxfId="762" dataCellStyle="Normal 3"/>
    <tableColumn id="10" xr3:uid="{00000000-0010-0000-2A00-00000A000000}" name="IVA 10,5%" totalsRowFunction="sum" dataDxfId="761" totalsRowDxfId="760" dataCellStyle="Normal 3"/>
    <tableColumn id="11" xr3:uid="{00000000-0010-0000-2A00-00000B000000}" name="PERC. IVA" totalsRowFunction="sum" dataDxfId="759" totalsRowDxfId="758" dataCellStyle="Normal 3"/>
    <tableColumn id="12" xr3:uid="{00000000-0010-0000-2A00-00000C000000}" name="PERC IIBB _x000a_BS AS" totalsRowFunction="sum" dataDxfId="757" totalsRowDxfId="756" dataCellStyle="Normal 3"/>
    <tableColumn id="13" xr3:uid="{00000000-0010-0000-2A00-00000D000000}" name="PERC. IIBB CABA" totalsRowFunction="sum" dataDxfId="755" totalsRowDxfId="754" dataCellStyle="Normal 3"/>
    <tableColumn id="14" xr3:uid="{00000000-0010-0000-2A00-00000E000000}" name="Otros / No Grav." totalsRowFunction="sum" dataDxfId="753" totalsRowDxfId="752" dataCellStyle="Normal 3"/>
    <tableColumn id="15" xr3:uid="{00000000-0010-0000-2A00-00000F000000}" name="TOTAL" totalsRowFunction="sum" dataDxfId="751" dataCellStyle="Normal 3">
      <calculatedColumnFormula>SUM(compras_mes7[[#This Row],[NETO GRAVADO]:[Otros / No Grav.]])</calculatedColumnFormula>
    </tableColumn>
    <tableColumn id="16" xr3:uid="{00000000-0010-0000-2A00-000010000000}" name="Tipo de Gasto" dataDxfId="750" totalsRowDxfId="749" dataCellStyle="Normal 3">
      <calculatedColumnFormula>IFERROR(IF(compras_mes7[[#This Row],[CUIT]]="","-",VLOOKUP(compras_mes7[[#This Row],[CUIT]],Lista_CUIT[#All],3,0)),"CUIT NO CARGADO")</calculatedColumnFormula>
    </tableColumn>
    <tableColumn id="17" xr3:uid="{00000000-0010-0000-2A00-000011000000}" name="Provincia" dataDxfId="748" totalsRowDxfId="747" dataCellStyle="Normal 3">
      <calculatedColumnFormula>IFERROR(IF(compras_mes7[[#This Row],[CUIT]]="","-",VLOOKUP(compras_mes7[[#This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B000000}" name="factura_c_mes7" displayName="factura_c_mes7" ref="D58:K75" totalsRowCount="1" headerRowDxfId="746" totalsRowDxfId="745" headerRowCellStyle="Normal 3">
  <autoFilter ref="D58:K74" xr:uid="{00000000-0009-0000-0100-000028000000}"/>
  <tableColumns count="8">
    <tableColumn id="1" xr3:uid="{00000000-0010-0000-2B00-000001000000}" name="FECHA" totalsRowLabel="Total" dataDxfId="744" totalsRowDxfId="743" dataCellStyle="Normal 3"/>
    <tableColumn id="2" xr3:uid="{00000000-0010-0000-2B00-000002000000}" name="PTO VTA" dataDxfId="742" totalsRowDxfId="741" dataCellStyle="Normal 3"/>
    <tableColumn id="3" xr3:uid="{00000000-0010-0000-2B00-000003000000}" name="FC Nº" dataDxfId="740" totalsRowDxfId="739" dataCellStyle="Normal 3"/>
    <tableColumn id="4" xr3:uid="{00000000-0010-0000-2B00-000004000000}" name="CUIT" dataDxfId="738" totalsRowDxfId="737" dataCellStyle="Normal 3"/>
    <tableColumn id="5" xr3:uid="{00000000-0010-0000-2B00-000005000000}" name="RAZON SOCIAL" dataDxfId="736" totalsRowDxfId="735" dataCellStyle="Normal 3">
      <calculatedColumnFormula>IFERROR(IF(factura_c_mes7[[#This Row],[CUIT]]="","-",VLOOKUP(factura_c_mes7[[#This Row],[CUIT]],Lista_CUIT[#All],2,0)),"CUIT NO CARGADO")</calculatedColumnFormula>
    </tableColumn>
    <tableColumn id="6" xr3:uid="{00000000-0010-0000-2B00-000006000000}" name="TOTAL" totalsRowFunction="sum" dataDxfId="734" totalsRowDxfId="733" dataCellStyle="Normal 3"/>
    <tableColumn id="7" xr3:uid="{00000000-0010-0000-2B00-000007000000}" name="TIPO DE GASTO" dataDxfId="732" totalsRowDxfId="731" dataCellStyle="Normal 3">
      <calculatedColumnFormula>IFERROR(IF(factura_c_mes7[[#This Row],[CUIT]]="","-",VLOOKUP(factura_c_mes7[[#This Row],[CUIT]],Lista_CUIT[#All],3,0)),"CUIT NO CARGADO")</calculatedColumnFormula>
    </tableColumn>
    <tableColumn id="8" xr3:uid="{00000000-0010-0000-2B00-000008000000}" name="Provincia" dataDxfId="730" totalsRowDxfId="729" dataCellStyle="Normal 3">
      <calculatedColumnFormula>IFERROR(IF(factura_c_mes7[[#This Row],[CUIT]]="","-",VLOOKUP(factura_c_mes7[[#This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C000000}" name="venta_a_mes7" displayName="venta_a_mes7" ref="B84:M94" totalsRowCount="1" headerRowDxfId="728" dataDxfId="726" headerRowBorderDxfId="727" tableBorderDxfId="725" totalsRowBorderDxfId="724" dataCellStyle="Normal 3">
  <autoFilter ref="B84:M93" xr:uid="{00000000-0009-0000-0100-000029000000}"/>
  <tableColumns count="12">
    <tableColumn id="1" xr3:uid="{00000000-0010-0000-2C00-000001000000}" name="FECHA" totalsRowLabel="Total" dataDxfId="723" totalsRowDxfId="722" dataCellStyle="Normal 3"/>
    <tableColumn id="2" xr3:uid="{00000000-0010-0000-2C00-000002000000}" name="TIPO" dataDxfId="721" totalsRowDxfId="720" dataCellStyle="Normal 3"/>
    <tableColumn id="3" xr3:uid="{00000000-0010-0000-2C00-000003000000}" name="PTO VENTA" dataDxfId="719" totalsRowDxfId="718" dataCellStyle="Normal 3"/>
    <tableColumn id="4" xr3:uid="{00000000-0010-0000-2C00-000004000000}" name="Nº FACTURA" dataDxfId="717" totalsRowDxfId="716" dataCellStyle="Normal 3"/>
    <tableColumn id="5" xr3:uid="{00000000-0010-0000-2C00-000005000000}" name="CUIT" dataDxfId="715" totalsRowDxfId="714" dataCellStyle="Normal 3"/>
    <tableColumn id="6" xr3:uid="{00000000-0010-0000-2C00-000006000000}" name="RAZON SOCIAL" dataDxfId="713" totalsRowDxfId="712" dataCellStyle="Normal 3">
      <calculatedColumnFormula>IFERROR(IF(venta_a_mes7[[#This Row],[CUIT]]="","-",VLOOKUP(venta_a_mes7[[#This Row],[CUIT]],Lista_CUIT[#All],2,0)),"CUIT NO CARGADO")</calculatedColumnFormula>
    </tableColumn>
    <tableColumn id="7" xr3:uid="{00000000-0010-0000-2C00-000007000000}" name="IMPORTE NETO" totalsRowFunction="sum" dataDxfId="711" totalsRowDxfId="710" dataCellStyle="Millares"/>
    <tableColumn id="8" xr3:uid="{00000000-0010-0000-2C00-000008000000}" name="IVA 21%" totalsRowFunction="sum" dataDxfId="709" totalsRowDxfId="708" dataCellStyle="Millares">
      <calculatedColumnFormula>venta_a_mes7[[#This Row],[IMPORTE NETO]]*0.21</calculatedColumnFormula>
    </tableColumn>
    <tableColumn id="9" xr3:uid="{00000000-0010-0000-2C00-000009000000}" name="IVA 10,5%" totalsRowFunction="sum" dataDxfId="707" totalsRowDxfId="706" dataCellStyle="Millares"/>
    <tableColumn id="10" xr3:uid="{00000000-0010-0000-2C00-00000A000000}" name="EXENTO" totalsRowFunction="sum" dataDxfId="705" totalsRowDxfId="704" dataCellStyle="Millares"/>
    <tableColumn id="11" xr3:uid="{00000000-0010-0000-2C00-00000B000000}" name="TOTAL" totalsRowFunction="sum" dataDxfId="703" totalsRowDxfId="702" dataCellStyle="Millares">
      <calculatedColumnFormula>SUM(venta_a_mes7[[#This Row],[IMPORTE NETO]:[EXENTO]])</calculatedColumnFormula>
    </tableColumn>
    <tableColumn id="12" xr3:uid="{00000000-0010-0000-2C00-00000C000000}" name="Provincia" totalsRowFunction="count" dataDxfId="701" totalsRowDxfId="700" dataCellStyle="Normal 3"/>
  </tableColumns>
  <tableStyleInfo name="Tabla Ventas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D000000}" name="ventas_b_mes7" displayName="ventas_b_mes7" ref="B98:M105" totalsRowCount="1" headerRowDxfId="699" dataDxfId="697" headerRowBorderDxfId="698" tableBorderDxfId="696" totalsRowBorderDxfId="695" dataCellStyle="Normal 3">
  <autoFilter ref="B98:M104" xr:uid="{00000000-0009-0000-0100-00002A000000}"/>
  <tableColumns count="12">
    <tableColumn id="1" xr3:uid="{00000000-0010-0000-2D00-000001000000}" name="FECHA" totalsRowLabel="Total" dataDxfId="694" totalsRowDxfId="693" dataCellStyle="Normal 3"/>
    <tableColumn id="2" xr3:uid="{00000000-0010-0000-2D00-000002000000}" name="TIPO" dataDxfId="692" totalsRowDxfId="691" dataCellStyle="Normal 3"/>
    <tableColumn id="3" xr3:uid="{00000000-0010-0000-2D00-000003000000}" name="PTO VENTA" dataDxfId="690" totalsRowDxfId="689" dataCellStyle="Normal 3"/>
    <tableColumn id="4" xr3:uid="{00000000-0010-0000-2D00-000004000000}" name="Nº FACTURA" dataDxfId="688" totalsRowDxfId="687" dataCellStyle="Normal 3"/>
    <tableColumn id="5" xr3:uid="{00000000-0010-0000-2D00-000005000000}" name="CUIT" dataDxfId="686" totalsRowDxfId="685" dataCellStyle="Normal 3"/>
    <tableColumn id="6" xr3:uid="{00000000-0010-0000-2D00-000006000000}" name="RAZON SOCIAL" dataDxfId="684" totalsRowDxfId="683" dataCellStyle="Normal 3">
      <calculatedColumnFormula>IFERROR(IF(ventas_b_mes7[[#This Row],[CUIT]]="","-",VLOOKUP(ventas_b_mes7[[#This Row],[CUIT]],Lista_CUIT[#All],2,0)),"CUIT NO CARGADO")</calculatedColumnFormula>
    </tableColumn>
    <tableColumn id="7" xr3:uid="{00000000-0010-0000-2D00-000007000000}" name="IMPORTE NETO" totalsRowFunction="sum" dataDxfId="682" totalsRowDxfId="681" dataCellStyle="Normal 3"/>
    <tableColumn id="8" xr3:uid="{00000000-0010-0000-2D00-000008000000}" name="IVA 21%" totalsRowFunction="sum" dataDxfId="680" totalsRowDxfId="679" dataCellStyle="Normal 3"/>
    <tableColumn id="9" xr3:uid="{00000000-0010-0000-2D00-000009000000}" name="IVA 10,5%" totalsRowFunction="sum" dataDxfId="678" totalsRowDxfId="677" dataCellStyle="Normal 3"/>
    <tableColumn id="10" xr3:uid="{00000000-0010-0000-2D00-00000A000000}" name="EXENTO" totalsRowFunction="sum" dataDxfId="676" totalsRowDxfId="675" dataCellStyle="Normal 3"/>
    <tableColumn id="11" xr3:uid="{00000000-0010-0000-2D00-00000B000000}" name="TOTAL" totalsRowFunction="sum" dataDxfId="674" totalsRowDxfId="673" dataCellStyle="Normal 3">
      <calculatedColumnFormula>SUM(ventas_b_mes7[[#This Row],[IMPORTE NETO]:[EXENTO]])</calculatedColumnFormula>
    </tableColumn>
    <tableColumn id="12" xr3:uid="{00000000-0010-0000-2D00-00000C000000}" name="Provincia" totalsRowFunction="count" dataDxfId="672" totalsRowDxfId="671" dataCellStyle="Normal 3"/>
  </tableColumns>
  <tableStyleInfo name="Tabla Ventas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E000000}" name="extracto_banco_mes7" displayName="extracto_banco_mes7" ref="D48:L53" totalsRowCount="1" headerRowDxfId="670" dataDxfId="669" tableBorderDxfId="668" dataCellStyle="Normal 3">
  <autoFilter ref="D48:L52" xr:uid="{00000000-0009-0000-0100-00002B000000}"/>
  <tableColumns count="9">
    <tableColumn id="1" xr3:uid="{00000000-0010-0000-2E00-000001000000}" name="FECHA" totalsRowLabel="Total" dataDxfId="667" totalsRowDxfId="666" dataCellStyle="Normal 3"/>
    <tableColumn id="2" xr3:uid="{00000000-0010-0000-2E00-000002000000}" name="NRO CPTE" dataDxfId="665" totalsRowDxfId="664"/>
    <tableColumn id="3" xr3:uid="{00000000-0010-0000-2E00-000003000000}" name="BANCO" dataDxfId="663" totalsRowDxfId="662"/>
    <tableColumn id="4" xr3:uid="{00000000-0010-0000-2E00-000004000000}" name="NETO" totalsRowFunction="sum" dataDxfId="661" totalsRowDxfId="660" dataCellStyle="Normal 3"/>
    <tableColumn id="5" xr3:uid="{00000000-0010-0000-2E00-000005000000}" name="IVA 21%" totalsRowFunction="sum" dataDxfId="659" totalsRowDxfId="658" dataCellStyle="Normal 3">
      <calculatedColumnFormula>extracto_banco_mes7[[#This Row],[NETO]]*0.21</calculatedColumnFormula>
    </tableColumn>
    <tableColumn id="6" xr3:uid="{00000000-0010-0000-2E00-000006000000}" name="IVA 10,5%" totalsRowFunction="sum" dataDxfId="657" totalsRowDxfId="656" dataCellStyle="Normal 3"/>
    <tableColumn id="7" xr3:uid="{00000000-0010-0000-2E00-000007000000}" name="RET IIBB CABA" totalsRowFunction="sum" dataDxfId="655" totalsRowDxfId="654" dataCellStyle="Normal 3"/>
    <tableColumn id="8" xr3:uid="{00000000-0010-0000-2E00-000008000000}" name="PERC IVA" totalsRowFunction="sum" dataDxfId="653" totalsRowDxfId="652" dataCellStyle="Normal 3"/>
    <tableColumn id="9" xr3:uid="{00000000-0010-0000-2E00-000009000000}" name="PERC IIBB" totalsRowFunction="sum" dataDxfId="651" totalsRowDxfId="650" dataCellStyle="Normal 3"/>
  </tableColumns>
  <tableStyleInfo name="Estilo de tabla 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F000000}" name="Retenciones_mes7" displayName="Retenciones_mes7" ref="C114:L119" totalsRowShown="0" headerRowDxfId="649" dataDxfId="648" headerRowCellStyle="Normal 3" dataCellStyle="Normal 3">
  <autoFilter ref="C114:L119" xr:uid="{00000000-0009-0000-0100-00002C000000}"/>
  <tableColumns count="10">
    <tableColumn id="1" xr3:uid="{00000000-0010-0000-2F00-000001000000}" name="FECHA " dataDxfId="647" dataCellStyle="Normal 3"/>
    <tableColumn id="2" xr3:uid="{00000000-0010-0000-2F00-000002000000}" name="COMP Nº" dataDxfId="646" dataCellStyle="Normal 3"/>
    <tableColumn id="3" xr3:uid="{00000000-0010-0000-2F00-000003000000}" name="Columna1" dataDxfId="645" dataCellStyle="Normal 3"/>
    <tableColumn id="4" xr3:uid="{00000000-0010-0000-2F00-000004000000}" name="CUIT" dataDxfId="644" dataCellStyle="Normal 3"/>
    <tableColumn id="5" xr3:uid="{00000000-0010-0000-2F00-000005000000}" name="RAZON SOCIAL" dataDxfId="643" dataCellStyle="Normal 3">
      <calculatedColumnFormula>IFERROR(IF(Retenciones_mes7[[#This Row],[CUIT]]="","-",VLOOKUP(Retenciones_mes7[[#This Row],[CUIT]],Lista_CUIT[#All],2,0)),"CUIT NO CARGADO")</calculatedColumnFormula>
    </tableColumn>
    <tableColumn id="6" xr3:uid="{00000000-0010-0000-2F00-000006000000}" name="Ganancias" dataDxfId="642" dataCellStyle="Normal 3"/>
    <tableColumn id="7" xr3:uid="{00000000-0010-0000-2F00-000007000000}" name="IVA" dataDxfId="641" dataCellStyle="Normal 3"/>
    <tableColumn id="8" xr3:uid="{00000000-0010-0000-2F00-000008000000}" name="SUSS" dataDxfId="640" dataCellStyle="Normal 3"/>
    <tableColumn id="9" xr3:uid="{00000000-0010-0000-2F00-000009000000}" name="IIBB BSAS" dataDxfId="639" dataCellStyle="Normal 3"/>
    <tableColumn id="10" xr3:uid="{00000000-0010-0000-2F00-00000A000000}" name="IIBB CABA" dataDxfId="638" dataCellStyle="Normal 3"/>
  </tableColumns>
  <tableStyleInfo name="Estilo de tabla 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6000000}" name="compras_mes9" displayName="compras_mes9" ref="B8:R40" totalsRowCount="1" headerRowDxfId="637" totalsRowDxfId="636">
  <autoFilter ref="B8:R39" xr:uid="{00000000-0009-0000-0100-00003F000000}"/>
  <sortState xmlns:xlrd2="http://schemas.microsoft.com/office/spreadsheetml/2017/richdata2" ref="B9:R39">
    <sortCondition ref="Q9:Q39"/>
  </sortState>
  <tableColumns count="17">
    <tableColumn id="1" xr3:uid="{00000000-0010-0000-3600-000001000000}" name="FECHA" totalsRowLabel="Total" dataDxfId="635" totalsRowDxfId="634" dataCellStyle="Normal 3"/>
    <tableColumn id="2" xr3:uid="{00000000-0010-0000-3600-000002000000}" name="TIPO" dataDxfId="633" totalsRowDxfId="632" dataCellStyle="Normal 3"/>
    <tableColumn id="3" xr3:uid="{00000000-0010-0000-3600-000003000000}" name="PTO VTA" dataDxfId="631" totalsRowDxfId="630" dataCellStyle="Normal 3"/>
    <tableColumn id="4" xr3:uid="{00000000-0010-0000-3600-000004000000}" name="NRO. CPTE" dataDxfId="629" totalsRowDxfId="628" dataCellStyle="Normal 3"/>
    <tableColumn id="5" xr3:uid="{00000000-0010-0000-3600-000005000000}" name="CUIT" dataDxfId="627" totalsRowDxfId="626" dataCellStyle="Normal 3"/>
    <tableColumn id="6" xr3:uid="{00000000-0010-0000-3600-000006000000}" name="RAZON SOCIAL" dataDxfId="625" totalsRowDxfId="624" dataCellStyle="Normal 3">
      <calculatedColumnFormula>IFERROR(IF(compras_mes9[[#This Row],[CUIT]]="","-",VLOOKUP(compras_mes9[[#This Row],[CUIT]],Lista_CUIT[#All],2,0)),"CUIT NO CARGADO")</calculatedColumnFormula>
    </tableColumn>
    <tableColumn id="7" xr3:uid="{00000000-0010-0000-3600-000007000000}" name="NETO GRAVADO" totalsRowFunction="sum" dataDxfId="623" totalsRowDxfId="622" dataCellStyle="Normal 3"/>
    <tableColumn id="8" xr3:uid="{00000000-0010-0000-3600-000008000000}" name="IVA 21 %" totalsRowFunction="sum" dataDxfId="621" totalsRowDxfId="620" dataCellStyle="Normal 3">
      <calculatedColumnFormula>IF(compras_mes9[[#This Row],[NETO GRAVADO]]="","",compras_mes9[[#This Row],[NETO GRAVADO]]*0.21)</calculatedColumnFormula>
    </tableColumn>
    <tableColumn id="9" xr3:uid="{00000000-0010-0000-3600-000009000000}" name="IVA 27%" totalsRowFunction="sum" dataDxfId="619" totalsRowDxfId="618" dataCellStyle="Normal 3"/>
    <tableColumn id="10" xr3:uid="{00000000-0010-0000-3600-00000A000000}" name="IVA 10,5%" totalsRowFunction="sum" dataDxfId="617" totalsRowDxfId="616" dataCellStyle="Normal 3"/>
    <tableColumn id="11" xr3:uid="{00000000-0010-0000-3600-00000B000000}" name="PERC. IVA" totalsRowFunction="sum" dataDxfId="615" totalsRowDxfId="614" dataCellStyle="Normal 3"/>
    <tableColumn id="12" xr3:uid="{00000000-0010-0000-3600-00000C000000}" name="PERC IIBB _x000a_BS AS" totalsRowFunction="sum" dataDxfId="613" totalsRowDxfId="612" dataCellStyle="Normal 3"/>
    <tableColumn id="13" xr3:uid="{00000000-0010-0000-3600-00000D000000}" name="PERC. IIBB CABA" totalsRowFunction="sum" dataDxfId="611" totalsRowDxfId="610" dataCellStyle="Normal 3"/>
    <tableColumn id="14" xr3:uid="{00000000-0010-0000-3600-00000E000000}" name="Otros / No Grav." totalsRowFunction="sum" dataDxfId="609" totalsRowDxfId="608" dataCellStyle="Normal 3"/>
    <tableColumn id="15" xr3:uid="{00000000-0010-0000-3600-00000F000000}" name="TOTAL" totalsRowFunction="sum" dataDxfId="607" totalsRowDxfId="606" dataCellStyle="Normal 3">
      <calculatedColumnFormula>SUM(compras_mes9[[#This Row],[NETO GRAVADO]:[Otros / No Grav.]])</calculatedColumnFormula>
    </tableColumn>
    <tableColumn id="16" xr3:uid="{00000000-0010-0000-3600-000010000000}" name="Tipo de Gasto" dataDxfId="605" totalsRowDxfId="604" dataCellStyle="Normal 3">
      <calculatedColumnFormula>IFERROR(IF(compras_mes9[[#This Row],[CUIT]]="","-",VLOOKUP(compras_mes9[[#This Row],[CUIT]],Lista_CUIT[#All],3,0)),"CUIT NO CARGADO")</calculatedColumnFormula>
    </tableColumn>
    <tableColumn id="17" xr3:uid="{00000000-0010-0000-3600-000011000000}" name="Provincia" dataDxfId="603" totalsRowDxfId="602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7000000}" name="factura_c_mes9" displayName="factura_c_mes9" ref="D55:K72" totalsRowCount="1" headerRowDxfId="601" totalsRowDxfId="600" headerRowCellStyle="Normal 3">
  <autoFilter ref="D55:K71" xr:uid="{00000000-0009-0000-0100-000040000000}"/>
  <tableColumns count="8">
    <tableColumn id="1" xr3:uid="{00000000-0010-0000-3700-000001000000}" name="FECHA" totalsRowLabel="Total" dataDxfId="599" totalsRowDxfId="598" dataCellStyle="Normal 3"/>
    <tableColumn id="2" xr3:uid="{00000000-0010-0000-3700-000002000000}" name="PTO VTA" dataDxfId="597" totalsRowDxfId="596" dataCellStyle="Normal 3"/>
    <tableColumn id="3" xr3:uid="{00000000-0010-0000-3700-000003000000}" name="FC Nº" dataDxfId="595" totalsRowDxfId="594" dataCellStyle="Normal 3"/>
    <tableColumn id="4" xr3:uid="{00000000-0010-0000-3700-000004000000}" name="CUIT" dataDxfId="593" totalsRowDxfId="592" dataCellStyle="Normal 3"/>
    <tableColumn id="5" xr3:uid="{00000000-0010-0000-3700-000005000000}" name="RAZON SOCIAL" dataDxfId="591" totalsRowDxfId="590" dataCellStyle="Normal 3">
      <calculatedColumnFormula>IFERROR(IF(factura_c_mes9[[#This Row],[CUIT]]="","-",VLOOKUP(factura_c_mes9[[#This Row],[CUIT]],Lista_CUIT[#All],2,0)),"CUIT NO CARGADO")</calculatedColumnFormula>
    </tableColumn>
    <tableColumn id="6" xr3:uid="{00000000-0010-0000-3700-000006000000}" name="TOTAL" totalsRowFunction="sum" dataDxfId="589" totalsRowDxfId="588" dataCellStyle="Normal 3"/>
    <tableColumn id="7" xr3:uid="{00000000-0010-0000-3700-000007000000}" name="TIPO DE GASTO" dataDxfId="587" totalsRowDxfId="586" dataCellStyle="Normal 3">
      <calculatedColumnFormula>IFERROR(IF(factura_c_mes9[[#This Row],[CUIT]]="","-",VLOOKUP(factura_c_mes9[[#This Row],[CUIT]],Lista_CUIT[#All],3,0)),"CUIT NO CARGADO")</calculatedColumnFormula>
    </tableColumn>
    <tableColumn id="8" xr3:uid="{00000000-0010-0000-3700-000008000000}" name="Provincia" dataDxfId="585" totalsRowDxfId="584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8000000}" name="venta_a_mes9" displayName="venta_a_mes9" ref="B81:M91" totalsRowCount="1" headerRowDxfId="583" dataDxfId="581" headerRowBorderDxfId="582" tableBorderDxfId="580" totalsRowBorderDxfId="579" dataCellStyle="Normal 3">
  <autoFilter ref="B81:M90" xr:uid="{00000000-0009-0000-0100-000041000000}"/>
  <tableColumns count="12">
    <tableColumn id="1" xr3:uid="{00000000-0010-0000-3800-000001000000}" name="FECHA" totalsRowLabel="Total" dataDxfId="578" totalsRowDxfId="577" dataCellStyle="Normal 3"/>
    <tableColumn id="2" xr3:uid="{00000000-0010-0000-3800-000002000000}" name="TIPO" dataDxfId="576" totalsRowDxfId="575" dataCellStyle="Normal 3"/>
    <tableColumn id="3" xr3:uid="{00000000-0010-0000-3800-000003000000}" name="PTO VENTA" dataDxfId="574" totalsRowDxfId="573" dataCellStyle="Normal 3"/>
    <tableColumn id="4" xr3:uid="{00000000-0010-0000-3800-000004000000}" name="Nº FACTURA" dataDxfId="572" totalsRowDxfId="571" dataCellStyle="Normal 3"/>
    <tableColumn id="5" xr3:uid="{00000000-0010-0000-3800-000005000000}" name="CUIT" dataDxfId="570" totalsRowDxfId="569" dataCellStyle="Normal 3"/>
    <tableColumn id="6" xr3:uid="{00000000-0010-0000-3800-000006000000}" name="RAZON SOCIAL" dataDxfId="568" totalsRowDxfId="567" dataCellStyle="Normal 3">
      <calculatedColumnFormula>IFERROR(IF(venta_a_mes9[[#This Row],[CUIT]]="","-",VLOOKUP(venta_a_mes9[[#This Row],[CUIT]],Lista_CUIT[#All],2,0)),"CUIT NO CARGADO")</calculatedColumnFormula>
    </tableColumn>
    <tableColumn id="7" xr3:uid="{00000000-0010-0000-3800-000007000000}" name="IMPORTE NETO" totalsRowFunction="sum" dataDxfId="566" totalsRowDxfId="565" dataCellStyle="Normal 3"/>
    <tableColumn id="8" xr3:uid="{00000000-0010-0000-3800-000008000000}" name="IVA 21%" totalsRowFunction="sum" dataDxfId="564" totalsRowDxfId="563" dataCellStyle="Normal 3">
      <calculatedColumnFormula>venta_a_mes9[[#This Row],[IMPORTE NETO]]*0.21</calculatedColumnFormula>
    </tableColumn>
    <tableColumn id="9" xr3:uid="{00000000-0010-0000-3800-000009000000}" name="IVA 10,5%" totalsRowFunction="sum" dataDxfId="562" totalsRowDxfId="561" dataCellStyle="Normal 3"/>
    <tableColumn id="10" xr3:uid="{00000000-0010-0000-3800-00000A000000}" name="EXENTO" totalsRowFunction="sum" dataDxfId="560" totalsRowDxfId="559" dataCellStyle="Normal 3"/>
    <tableColumn id="11" xr3:uid="{00000000-0010-0000-3800-00000B000000}" name="TOTAL" totalsRowFunction="sum" dataDxfId="558" totalsRowDxfId="557" dataCellStyle="Normal 3">
      <calculatedColumnFormula>SUM(venta_a_mes9[[#This Row],[IMPORTE NETO]:[EXENTO]])</calculatedColumnFormula>
    </tableColumn>
    <tableColumn id="12" xr3:uid="{00000000-0010-0000-3800-00000C000000}" name="Provincia" totalsRowFunction="count" dataDxfId="556" totalsRowDxfId="555" dataCellStyle="Normal 3"/>
  </tableColumns>
  <tableStyleInfo name="Tabla Ventas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9000000}" name="ventas_b_mes9" displayName="ventas_b_mes9" ref="B95:M102" totalsRowCount="1" headerRowDxfId="554" dataDxfId="552" headerRowBorderDxfId="553" tableBorderDxfId="551" totalsRowBorderDxfId="550" dataCellStyle="Normal 3">
  <autoFilter ref="B95:M101" xr:uid="{00000000-0009-0000-0100-000042000000}"/>
  <tableColumns count="12">
    <tableColumn id="1" xr3:uid="{00000000-0010-0000-3900-000001000000}" name="FECHA" totalsRowLabel="Total" dataDxfId="549" totalsRowDxfId="548" dataCellStyle="Normal 3"/>
    <tableColumn id="2" xr3:uid="{00000000-0010-0000-3900-000002000000}" name="TIPO" dataDxfId="547" totalsRowDxfId="546" dataCellStyle="Normal 3"/>
    <tableColumn id="3" xr3:uid="{00000000-0010-0000-3900-000003000000}" name="PTO VENTA" dataDxfId="545" totalsRowDxfId="544" dataCellStyle="Normal 3"/>
    <tableColumn id="4" xr3:uid="{00000000-0010-0000-3900-000004000000}" name="Nº FACTURA" dataDxfId="543" totalsRowDxfId="542" dataCellStyle="Normal 3"/>
    <tableColumn id="5" xr3:uid="{00000000-0010-0000-3900-000005000000}" name="CUIT" dataDxfId="541" totalsRowDxfId="540" dataCellStyle="Normal 3"/>
    <tableColumn id="6" xr3:uid="{00000000-0010-0000-3900-000006000000}" name="RAZON SOCIAL" dataDxfId="539" totalsRowDxfId="538" dataCellStyle="Normal 3">
      <calculatedColumnFormula>IFERROR(IF(ventas_b_mes9[[#This Row],[CUIT]]="","-",VLOOKUP(ventas_b_mes9[[#This Row],[CUIT]],Lista_CUIT[#All],2,0)),"CUIT NO CARGADO")</calculatedColumnFormula>
    </tableColumn>
    <tableColumn id="7" xr3:uid="{00000000-0010-0000-3900-000007000000}" name="IMPORTE NETO" totalsRowFunction="sum" dataDxfId="537" totalsRowDxfId="536" dataCellStyle="Normal 3"/>
    <tableColumn id="8" xr3:uid="{00000000-0010-0000-3900-000008000000}" name="IVA 21%" totalsRowFunction="sum" dataDxfId="535" totalsRowDxfId="534" dataCellStyle="Normal 3"/>
    <tableColumn id="9" xr3:uid="{00000000-0010-0000-3900-000009000000}" name="IVA 10,5%" totalsRowFunction="sum" dataDxfId="533" totalsRowDxfId="532" dataCellStyle="Normal 3"/>
    <tableColumn id="10" xr3:uid="{00000000-0010-0000-3900-00000A000000}" name="EXENTO" totalsRowFunction="sum" dataDxfId="531" totalsRowDxfId="530" dataCellStyle="Normal 3"/>
    <tableColumn id="11" xr3:uid="{00000000-0010-0000-3900-00000B000000}" name="TOTAL" totalsRowFunction="sum" dataDxfId="529" totalsRowDxfId="528" dataCellStyle="Normal 3">
      <calculatedColumnFormula>SUM(ventas_b_mes9[[#This Row],[IMPORTE NETO]:[EXENTO]])</calculatedColumnFormula>
    </tableColumn>
    <tableColumn id="12" xr3:uid="{00000000-0010-0000-3900-00000C000000}" name="Provincia" totalsRowFunction="count" dataDxfId="527" totalsRowDxfId="526" dataCellStyle="Normal 3"/>
  </tableColumns>
  <tableStyleInfo name="Tabla Ventas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A000000}" name="extracto_banco_mes9" displayName="extracto_banco_mes9" ref="D46:L50" totalsRowCount="1" headerRowDxfId="525" dataDxfId="524" tableBorderDxfId="523" dataCellStyle="Normal 3">
  <autoFilter ref="D46:L49" xr:uid="{00000000-0009-0000-0100-000043000000}"/>
  <tableColumns count="9">
    <tableColumn id="1" xr3:uid="{00000000-0010-0000-3A00-000001000000}" name="FECHA" totalsRowLabel="Total" dataDxfId="522" totalsRowDxfId="521" dataCellStyle="Normal 3"/>
    <tableColumn id="2" xr3:uid="{00000000-0010-0000-3A00-000002000000}" name="NRO CPTE" dataDxfId="520" totalsRowDxfId="519"/>
    <tableColumn id="3" xr3:uid="{00000000-0010-0000-3A00-000003000000}" name="BANCO" dataDxfId="518" totalsRowDxfId="517"/>
    <tableColumn id="4" xr3:uid="{00000000-0010-0000-3A00-000004000000}" name="NETO" totalsRowFunction="sum" dataDxfId="516" totalsRowDxfId="515" dataCellStyle="Normal 3"/>
    <tableColumn id="5" xr3:uid="{00000000-0010-0000-3A00-000005000000}" name="IVA 21%" totalsRowFunction="sum" dataDxfId="514" totalsRowDxfId="513" dataCellStyle="Normal 3">
      <calculatedColumnFormula>extracto_banco_mes9[[#This Row],[NETO]]*0.21</calculatedColumnFormula>
    </tableColumn>
    <tableColumn id="6" xr3:uid="{00000000-0010-0000-3A00-000006000000}" name="IVA 10,5%" totalsRowFunction="sum" dataDxfId="512" totalsRowDxfId="511" dataCellStyle="Normal 3"/>
    <tableColumn id="7" xr3:uid="{00000000-0010-0000-3A00-000007000000}" name="RET IIBB CABA" totalsRowFunction="sum" dataDxfId="510" totalsRowDxfId="509" dataCellStyle="Normal 3"/>
    <tableColumn id="8" xr3:uid="{00000000-0010-0000-3A00-000008000000}" name="PERC IVA" totalsRowFunction="sum" dataDxfId="508" totalsRowDxfId="507" dataCellStyle="Normal 3"/>
    <tableColumn id="9" xr3:uid="{00000000-0010-0000-3A00-000009000000}" name="PERC IIBB" totalsRowFunction="sum" dataDxfId="506" totalsRowDxfId="505" dataCellStyle="Normal 3"/>
  </tableColumns>
  <tableStyleInfo name="Estilo de tabla 1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B000000}" name="Retenciones_mes9" displayName="Retenciones_mes9" ref="C117:L122" totalsRowShown="0" headerRowDxfId="504" dataDxfId="503" headerRowCellStyle="Normal 3" dataCellStyle="Normal 3">
  <autoFilter ref="C117:L122" xr:uid="{00000000-0009-0000-0100-000044000000}"/>
  <tableColumns count="10">
    <tableColumn id="1" xr3:uid="{00000000-0010-0000-3B00-000001000000}" name="FECHA " dataDxfId="502" dataCellStyle="Normal 3"/>
    <tableColumn id="2" xr3:uid="{00000000-0010-0000-3B00-000002000000}" name="COMP Nº" dataDxfId="501" dataCellStyle="Normal 3"/>
    <tableColumn id="3" xr3:uid="{00000000-0010-0000-3B00-000003000000}" name="Columna1" dataDxfId="500" dataCellStyle="Normal 3"/>
    <tableColumn id="4" xr3:uid="{00000000-0010-0000-3B00-000004000000}" name="CUIT" dataDxfId="499" dataCellStyle="Normal 3"/>
    <tableColumn id="5" xr3:uid="{00000000-0010-0000-3B00-000005000000}" name="RAZON SOCIAL" dataDxfId="498" dataCellStyle="Normal 3">
      <calculatedColumnFormula>IFERROR(IF(Retenciones_mes9[[#This Row],[CUIT]]="","-",VLOOKUP(Retenciones_mes9[[#This Row],[CUIT]],Lista_CUIT[#All],2,0)),"CUIT NO CARGADO")</calculatedColumnFormula>
    </tableColumn>
    <tableColumn id="6" xr3:uid="{00000000-0010-0000-3B00-000006000000}" name="Ganancias" dataDxfId="497" dataCellStyle="Normal 3"/>
    <tableColumn id="7" xr3:uid="{00000000-0010-0000-3B00-000007000000}" name="IVA" dataDxfId="496" dataCellStyle="Normal 3"/>
    <tableColumn id="8" xr3:uid="{00000000-0010-0000-3B00-000008000000}" name="SUSS" dataDxfId="495" dataCellStyle="Normal 3"/>
    <tableColumn id="9" xr3:uid="{00000000-0010-0000-3B00-000009000000}" name="IIBB BSAS" dataDxfId="494" dataCellStyle="Normal 3"/>
    <tableColumn id="10" xr3:uid="{00000000-0010-0000-3B00-00000A000000}" name="IIBB CABA" dataDxfId="493" dataCellStyle="Normal 3"/>
  </tableColumns>
  <tableStyleInfo name="Estilo de tabla 1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715233AF-52A2-466C-8143-FE8ADA30DD33}" name="ventas_b_mes25655" displayName="ventas_b_mes25655" ref="B105:M109" totalsRowCount="1" headerRowDxfId="492" dataDxfId="490" headerRowBorderDxfId="491" tableBorderDxfId="489" totalsRowBorderDxfId="488" dataCellStyle="Normal 3">
  <autoFilter ref="B105:M108" xr:uid="{715233AF-52A2-466C-8143-FE8ADA30DD33}"/>
  <tableColumns count="12">
    <tableColumn id="1" xr3:uid="{611B656F-90F2-4496-9922-6C452CC75EA6}" name="FECHA" totalsRowLabel="Total" dataDxfId="487" totalsRowDxfId="486" dataCellStyle="Normal 3"/>
    <tableColumn id="2" xr3:uid="{40911649-CF78-4F14-A393-4426D21E89AA}" name="TIPO" dataDxfId="485" totalsRowDxfId="484" dataCellStyle="Normal 3"/>
    <tableColumn id="3" xr3:uid="{40D5060C-4B27-470F-A421-5A7F03F6C608}" name="PTO VENTA" dataDxfId="483" totalsRowDxfId="482" dataCellStyle="Normal 3"/>
    <tableColumn id="4" xr3:uid="{ECF966EA-9685-43A8-8C83-A11E2620355A}" name="Nº FACTURA" dataDxfId="481" totalsRowDxfId="480" dataCellStyle="Normal 3"/>
    <tableColumn id="5" xr3:uid="{CACF2002-C053-43C1-BA42-2CAE1D04E8BD}" name="CUIT" dataDxfId="479" totalsRowDxfId="478" dataCellStyle="Normal 3"/>
    <tableColumn id="6" xr3:uid="{69C49EFF-1AA0-4364-A70A-D4BB308F4F4C}" name="RAZON SOCIAL" dataDxfId="477" totalsRowDxfId="476" dataCellStyle="Normal 3">
      <calculatedColumnFormula>IFERROR(IF(ventas_b_mes25655[[#This Row],[CUIT]]="","-",VLOOKUP(ventas_b_mes25655[[#This Row],[CUIT]],Lista_CUIT[#All],2,0)),"CUIT NO CARGADO")</calculatedColumnFormula>
    </tableColumn>
    <tableColumn id="7" xr3:uid="{0840113C-AD41-46D9-8A61-24C7DE7C0765}" name="USD" totalsRowFunction="sum" dataDxfId="475" totalsRowDxfId="474" dataCellStyle="Normal 3"/>
    <tableColumn id="8" xr3:uid="{9C0577D9-F702-40D0-9BDC-1282A50328F5}" name="IVA 21%" totalsRowFunction="sum" dataDxfId="473" totalsRowDxfId="472" dataCellStyle="Normal 3">
      <calculatedColumnFormula>ventas_b_mes25655[[#This Row],[USD]]*0.21</calculatedColumnFormula>
    </tableColumn>
    <tableColumn id="9" xr3:uid="{96C9AD40-AA58-4246-AE94-91AC12BC954D}" name="Columna1" totalsRowFunction="sum" dataDxfId="471" totalsRowDxfId="470" dataCellStyle="Normal 3"/>
    <tableColumn id="10" xr3:uid="{F999A49D-CEBB-4F15-AB06-018CBE6A17DF}" name="TIPO DE CAMBIO2" totalsRowFunction="sum" dataDxfId="469" totalsRowDxfId="468" dataCellStyle="Normal 3"/>
    <tableColumn id="11" xr3:uid="{97ED587B-36C8-4CC1-A5E0-E18B27163A06}" name="TOTAL" totalsRowFunction="custom" dataDxfId="467" totalsRowDxfId="466" dataCellStyle="Normal 3">
      <totalsRowFormula>SUM(L106:L107)</totalsRowFormula>
    </tableColumn>
    <tableColumn id="12" xr3:uid="{4F14A7B0-884D-4687-8740-0D7181700C2C}" name="PAIS" totalsRowFunction="count" dataDxfId="465" totalsRowDxfId="464" dataCellStyle="Normal 3"/>
  </tableColumns>
  <tableStyleInfo name="Tabla Ventas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3C000000}" name="compras_mes10" displayName="compras_mes10" ref="B8:R52" totalsRowCount="1" headerRowDxfId="463" totalsRowDxfId="462">
  <autoFilter ref="B8:R51" xr:uid="{00000000-0009-0000-0100-000021000000}"/>
  <sortState xmlns:xlrd2="http://schemas.microsoft.com/office/spreadsheetml/2017/richdata2" ref="B9:R51">
    <sortCondition ref="Q9:Q51"/>
  </sortState>
  <tableColumns count="17">
    <tableColumn id="1" xr3:uid="{00000000-0010-0000-3C00-000001000000}" name="FECHA" totalsRowLabel="Total" dataDxfId="461" totalsRowDxfId="50" dataCellStyle="Normal 3"/>
    <tableColumn id="2" xr3:uid="{00000000-0010-0000-3C00-000002000000}" name="TIPO" dataDxfId="460" totalsRowDxfId="49" dataCellStyle="Normal 3"/>
    <tableColumn id="3" xr3:uid="{00000000-0010-0000-3C00-000003000000}" name="PTO VTA" dataDxfId="459" totalsRowDxfId="48" dataCellStyle="Normal 3"/>
    <tableColumn id="4" xr3:uid="{00000000-0010-0000-3C00-000004000000}" name="NRO. CPTE" dataDxfId="458" totalsRowDxfId="47" dataCellStyle="Normal 3"/>
    <tableColumn id="5" xr3:uid="{00000000-0010-0000-3C00-000005000000}" name="CUIT" dataDxfId="457" totalsRowDxfId="46" dataCellStyle="Normal 3"/>
    <tableColumn id="6" xr3:uid="{00000000-0010-0000-3C00-000006000000}" name="RAZON SOCIAL" dataDxfId="456" totalsRowDxfId="45" dataCellStyle="Normal 3">
      <calculatedColumnFormula>IFERROR(IF(compras_mes10[[#This Row],[CUIT]]="","-",VLOOKUP(compras_mes10[[#This Row],[CUIT]],Lista_CUIT[#All],2,0)),"CUIT NO CARGADO")</calculatedColumnFormula>
    </tableColumn>
    <tableColumn id="7" xr3:uid="{00000000-0010-0000-3C00-000007000000}" name="NETO GRAVADO" totalsRowFunction="sum" dataDxfId="455" totalsRowDxfId="44" dataCellStyle="Normal 3"/>
    <tableColumn id="8" xr3:uid="{00000000-0010-0000-3C00-000008000000}" name="IVA 21 %" totalsRowFunction="sum" dataDxfId="454" totalsRowDxfId="43" dataCellStyle="Normal 3">
      <calculatedColumnFormula>IF(compras_mes10[[#This Row],[NETO GRAVADO]]="","",compras_mes10[[#This Row],[NETO GRAVADO]]*0.21)</calculatedColumnFormula>
    </tableColumn>
    <tableColumn id="9" xr3:uid="{00000000-0010-0000-3C00-000009000000}" name="IVA 27%" totalsRowFunction="sum" dataDxfId="453" totalsRowDxfId="42" dataCellStyle="Normal 3"/>
    <tableColumn id="10" xr3:uid="{00000000-0010-0000-3C00-00000A000000}" name="IVA 10,5%" totalsRowFunction="sum" dataDxfId="452" totalsRowDxfId="41" dataCellStyle="Normal 3"/>
    <tableColumn id="11" xr3:uid="{00000000-0010-0000-3C00-00000B000000}" name="PERC. IVA" totalsRowFunction="sum" dataDxfId="451" totalsRowDxfId="40" dataCellStyle="Normal 3"/>
    <tableColumn id="12" xr3:uid="{00000000-0010-0000-3C00-00000C000000}" name="PERC IIBB _x000a_BS AS" totalsRowFunction="sum" dataDxfId="450" totalsRowDxfId="39" dataCellStyle="Normal 3"/>
    <tableColumn id="13" xr3:uid="{00000000-0010-0000-3C00-00000D000000}" name="PERC. IIBB CABA" totalsRowFunction="sum" dataDxfId="449" totalsRowDxfId="38" dataCellStyle="Normal 3"/>
    <tableColumn id="14" xr3:uid="{00000000-0010-0000-3C00-00000E000000}" name="Otros / No Grav." totalsRowFunction="sum" dataDxfId="448" totalsRowDxfId="37" dataCellStyle="Normal 3"/>
    <tableColumn id="15" xr3:uid="{00000000-0010-0000-3C00-00000F000000}" name="TOTAL" totalsRowFunction="sum" dataDxfId="447" totalsRowDxfId="36" dataCellStyle="Normal 3">
      <calculatedColumnFormula>SUM(compras_mes10[[#This Row],[NETO GRAVADO]:[Otros / No Grav.]])</calculatedColumnFormula>
    </tableColumn>
    <tableColumn id="16" xr3:uid="{00000000-0010-0000-3C00-000010000000}" name="Tipo de Gasto" dataDxfId="446" totalsRowDxfId="35" dataCellStyle="Normal 3">
      <calculatedColumnFormula>IFERROR(IF(compras_mes10[[#This Row],[CUIT]]="","-",VLOOKUP(compras_mes10[[#This Row],[CUIT]],Lista_CUIT[#All],3,0)),"CUIT NO CARGADO")</calculatedColumnFormula>
    </tableColumn>
    <tableColumn id="17" xr3:uid="{00000000-0010-0000-3C00-000011000000}" name="Provincia" dataDxfId="445" totalsRowDxfId="34" dataCellStyle="Normal 3">
      <calculatedColumnFormula>IFERROR(IF(compras_mes10[[#This Row],[CUIT]]="","-",VLOOKUP(compras_mes10[[#This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3D000000}" name="factura_c_mes10" displayName="factura_c_mes10" ref="D67:K81" totalsRowCount="1" headerRowDxfId="444" totalsRowDxfId="443" headerRowCellStyle="Normal 3">
  <autoFilter ref="D67:K80" xr:uid="{00000000-0009-0000-0100-000022000000}"/>
  <sortState xmlns:xlrd2="http://schemas.microsoft.com/office/spreadsheetml/2017/richdata2" ref="D68:K80">
    <sortCondition ref="D67:D80"/>
  </sortState>
  <tableColumns count="8">
    <tableColumn id="1" xr3:uid="{00000000-0010-0000-3D00-000001000000}" name="FECHA" totalsRowLabel="Total" dataDxfId="442" totalsRowDxfId="441" dataCellStyle="Normal 3"/>
    <tableColumn id="2" xr3:uid="{00000000-0010-0000-3D00-000002000000}" name="PTO VTA" dataDxfId="440" totalsRowDxfId="439" dataCellStyle="Normal 3"/>
    <tableColumn id="3" xr3:uid="{00000000-0010-0000-3D00-000003000000}" name="FC Nº" dataDxfId="438" totalsRowDxfId="437" dataCellStyle="Normal 3"/>
    <tableColumn id="4" xr3:uid="{00000000-0010-0000-3D00-000004000000}" name="CUIT" dataDxfId="436" totalsRowDxfId="435" dataCellStyle="Normal 3"/>
    <tableColumn id="5" xr3:uid="{00000000-0010-0000-3D00-000005000000}" name="RAZON SOCIAL" dataDxfId="434" totalsRowDxfId="433" dataCellStyle="Normal 3">
      <calculatedColumnFormula>IFERROR(IF(factura_c_mes10[[#This Row],[CUIT]]="","-",VLOOKUP(factura_c_mes10[[#This Row],[CUIT]],Lista_CUIT[#All],2,0)),"CUIT NO CARGADO")</calculatedColumnFormula>
    </tableColumn>
    <tableColumn id="6" xr3:uid="{00000000-0010-0000-3D00-000006000000}" name="TOTAL" totalsRowFunction="sum" dataDxfId="432" totalsRowDxfId="431" dataCellStyle="Normal 3"/>
    <tableColumn id="7" xr3:uid="{00000000-0010-0000-3D00-000007000000}" name="TIPO DE GASTO" dataDxfId="430" totalsRowDxfId="429" dataCellStyle="Normal 3">
      <calculatedColumnFormula>IFERROR(IF(factura_c_mes10[[#This Row],[CUIT]]="","-",VLOOKUP(factura_c_mes10[[#This Row],[CUIT]],Lista_CUIT[#All],3,0)),"CUIT NO CARGADO")</calculatedColumnFormula>
    </tableColumn>
    <tableColumn id="8" xr3:uid="{00000000-0010-0000-3D00-000008000000}" name="Provincia" dataDxfId="428" totalsRowDxfId="427" dataCellStyle="Normal 3">
      <calculatedColumnFormula>IFERROR(IF(factura_c_mes10[[#This Row],[CUIT]]="","-",VLOOKUP(factura_c_mes10[[#This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3E000000}" name="venta_a_mes10" displayName="venta_a_mes10" ref="B90:M100" totalsRowCount="1" headerRowDxfId="426" dataDxfId="424" headerRowBorderDxfId="425" tableBorderDxfId="423" totalsRowBorderDxfId="422" dataCellStyle="Normal 3">
  <autoFilter ref="B90:M99" xr:uid="{00000000-0009-0000-0100-000023000000}"/>
  <tableColumns count="12">
    <tableColumn id="1" xr3:uid="{00000000-0010-0000-3E00-000001000000}" name="FECHA" totalsRowLabel="Total" dataDxfId="421" totalsRowDxfId="420" dataCellStyle="Normal 3"/>
    <tableColumn id="2" xr3:uid="{00000000-0010-0000-3E00-000002000000}" name="TIPO" dataDxfId="419" totalsRowDxfId="418" dataCellStyle="Normal 3"/>
    <tableColumn id="3" xr3:uid="{00000000-0010-0000-3E00-000003000000}" name="PTO VENTA" dataDxfId="417" totalsRowDxfId="416" dataCellStyle="Normal 3"/>
    <tableColumn id="4" xr3:uid="{00000000-0010-0000-3E00-000004000000}" name="Nº FACTURA" dataDxfId="415" totalsRowDxfId="414" dataCellStyle="Normal 3"/>
    <tableColumn id="5" xr3:uid="{00000000-0010-0000-3E00-000005000000}" name="CUIT" dataDxfId="413" totalsRowDxfId="412" dataCellStyle="Normal 3"/>
    <tableColumn id="6" xr3:uid="{00000000-0010-0000-3E00-000006000000}" name="RAZON SOCIAL" dataDxfId="411" totalsRowDxfId="410" dataCellStyle="Normal 3">
      <calculatedColumnFormula>IFERROR(IF(venta_a_mes10[[#This Row],[CUIT]]="","-",VLOOKUP(venta_a_mes10[[#This Row],[CUIT]],Lista_CUIT[#All],2,0)),"CUIT NO CARGADO")</calculatedColumnFormula>
    </tableColumn>
    <tableColumn id="7" xr3:uid="{00000000-0010-0000-3E00-000007000000}" name="IMPORTE NETO" totalsRowFunction="sum" dataDxfId="409" totalsRowDxfId="408" dataCellStyle="Normal 3"/>
    <tableColumn id="8" xr3:uid="{00000000-0010-0000-3E00-000008000000}" name="IVA 21%" totalsRowFunction="sum" dataDxfId="407" totalsRowDxfId="406" dataCellStyle="Normal 3">
      <calculatedColumnFormula>venta_a_mes10[[#This Row],[IMPORTE NETO]]*0.21</calculatedColumnFormula>
    </tableColumn>
    <tableColumn id="9" xr3:uid="{00000000-0010-0000-3E00-000009000000}" name="IVA 10,5%" totalsRowFunction="sum" dataDxfId="405" totalsRowDxfId="404" dataCellStyle="Normal 3"/>
    <tableColumn id="10" xr3:uid="{00000000-0010-0000-3E00-00000A000000}" name="EXENTO" totalsRowFunction="sum" dataDxfId="403" totalsRowDxfId="402" dataCellStyle="Normal 3"/>
    <tableColumn id="11" xr3:uid="{00000000-0010-0000-3E00-00000B000000}" name="TOTAL" totalsRowFunction="sum" dataDxfId="401" totalsRowDxfId="400" dataCellStyle="Normal 3">
      <calculatedColumnFormula>SUM(venta_a_mes10[[#This Row],[IMPORTE NETO]:[EXENTO]])</calculatedColumnFormula>
    </tableColumn>
    <tableColumn id="12" xr3:uid="{00000000-0010-0000-3E00-00000C000000}" name="Provincia" totalsRowFunction="count" dataDxfId="399" totalsRowDxfId="398" dataCellStyle="Normal 3"/>
  </tableColumns>
  <tableStyleInfo name="Tabla Ventas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3F000000}" name="ventas_b_mes10" displayName="ventas_b_mes10" ref="B104:M111" totalsRowCount="1" headerRowDxfId="397" dataDxfId="395" headerRowBorderDxfId="396" tableBorderDxfId="394" totalsRowBorderDxfId="393" dataCellStyle="Normal 3">
  <autoFilter ref="B104:M110" xr:uid="{00000000-0009-0000-0100-000024000000}"/>
  <tableColumns count="12">
    <tableColumn id="1" xr3:uid="{00000000-0010-0000-3F00-000001000000}" name="FECHA" totalsRowLabel="Total" dataDxfId="392" totalsRowDxfId="391" dataCellStyle="Normal 3"/>
    <tableColumn id="2" xr3:uid="{00000000-0010-0000-3F00-000002000000}" name="TIPO" dataDxfId="390" totalsRowDxfId="389" dataCellStyle="Normal 3"/>
    <tableColumn id="3" xr3:uid="{00000000-0010-0000-3F00-000003000000}" name="PTO VENTA" dataDxfId="388" totalsRowDxfId="387" dataCellStyle="Normal 3"/>
    <tableColumn id="4" xr3:uid="{00000000-0010-0000-3F00-000004000000}" name="Nº FACTURA" dataDxfId="386" totalsRowDxfId="385" dataCellStyle="Normal 3"/>
    <tableColumn id="5" xr3:uid="{00000000-0010-0000-3F00-000005000000}" name="CUIT" dataDxfId="384" totalsRowDxfId="383" dataCellStyle="Normal 3"/>
    <tableColumn id="6" xr3:uid="{00000000-0010-0000-3F00-000006000000}" name="RAZON SOCIAL" dataDxfId="382" totalsRowDxfId="381" dataCellStyle="Normal 3">
      <calculatedColumnFormula>IFERROR(IF(ventas_b_mes10[[#This Row],[CUIT]]="","-",VLOOKUP(ventas_b_mes10[[#This Row],[CUIT]],Lista_CUIT[#All],2,0)),"CUIT NO CARGADO")</calculatedColumnFormula>
    </tableColumn>
    <tableColumn id="7" xr3:uid="{00000000-0010-0000-3F00-000007000000}" name="IMPORTE NETO" totalsRowFunction="sum" dataDxfId="380" totalsRowDxfId="379" dataCellStyle="Normal 3"/>
    <tableColumn id="8" xr3:uid="{00000000-0010-0000-3F00-000008000000}" name="IVA 21%" totalsRowFunction="sum" dataDxfId="378" totalsRowDxfId="377" dataCellStyle="Normal 3"/>
    <tableColumn id="9" xr3:uid="{00000000-0010-0000-3F00-000009000000}" name="IVA 10,5%" totalsRowFunction="sum" dataDxfId="376" totalsRowDxfId="375" dataCellStyle="Normal 3"/>
    <tableColumn id="10" xr3:uid="{00000000-0010-0000-3F00-00000A000000}" name="EXENTO" totalsRowFunction="sum" dataDxfId="374" totalsRowDxfId="373" dataCellStyle="Normal 3"/>
    <tableColumn id="11" xr3:uid="{00000000-0010-0000-3F00-00000B000000}" name="TOTAL" totalsRowFunction="sum" dataDxfId="372" totalsRowDxfId="371" dataCellStyle="Normal 3">
      <calculatedColumnFormula>SUM(ventas_b_mes10[[#This Row],[IMPORTE NETO]:[EXENTO]])</calculatedColumnFormula>
    </tableColumn>
    <tableColumn id="12" xr3:uid="{00000000-0010-0000-3F00-00000C000000}" name="Provincia" totalsRowFunction="count" dataDxfId="370" totalsRowDxfId="369" dataCellStyle="Normal 3"/>
  </tableColumns>
  <tableStyleInfo name="Tabla Ventas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40000000}" name="extracto_banco_mes10" displayName="extracto_banco_mes10" ref="D58:L62" totalsRowCount="1" headerRowDxfId="368" dataDxfId="367" tableBorderDxfId="366" dataCellStyle="Normal 3">
  <autoFilter ref="D58:L61" xr:uid="{00000000-0009-0000-0100-000025000000}"/>
  <tableColumns count="9">
    <tableColumn id="1" xr3:uid="{00000000-0010-0000-4000-000001000000}" name="FECHA" totalsRowLabel="Total" dataDxfId="365" totalsRowDxfId="364" dataCellStyle="Normal 3"/>
    <tableColumn id="2" xr3:uid="{00000000-0010-0000-4000-000002000000}" name="NRO CPTE" dataDxfId="363" totalsRowDxfId="362"/>
    <tableColumn id="3" xr3:uid="{00000000-0010-0000-4000-000003000000}" name="BANCO" dataDxfId="361" totalsRowDxfId="360"/>
    <tableColumn id="4" xr3:uid="{00000000-0010-0000-4000-000004000000}" name="NETO" totalsRowFunction="sum" dataDxfId="359" totalsRowDxfId="358" dataCellStyle="Normal 3">
      <calculatedColumnFormula>900+150+150+150+175+19250+150+150</calculatedColumnFormula>
    </tableColumn>
    <tableColumn id="5" xr3:uid="{00000000-0010-0000-4000-000005000000}" name="IVA 21%" totalsRowFunction="sum" dataDxfId="357" totalsRowDxfId="356" dataCellStyle="Normal 3">
      <calculatedColumnFormula>extracto_banco_mes10[[#This Row],[NETO]]*0.21</calculatedColumnFormula>
    </tableColumn>
    <tableColumn id="6" xr3:uid="{00000000-0010-0000-4000-000006000000}" name="IVA 10,5%" totalsRowFunction="sum" dataDxfId="355" totalsRowDxfId="354" dataCellStyle="Normal 3"/>
    <tableColumn id="7" xr3:uid="{00000000-0010-0000-4000-000007000000}" name="RET IIBB CABA" totalsRowFunction="sum" dataDxfId="353" totalsRowDxfId="352" dataCellStyle="Normal 3"/>
    <tableColumn id="8" xr3:uid="{00000000-0010-0000-4000-000008000000}" name="PERC IVA" totalsRowFunction="sum" dataDxfId="351" totalsRowDxfId="350" dataCellStyle="Normal 3"/>
    <tableColumn id="9" xr3:uid="{00000000-0010-0000-4000-000009000000}" name="PERC IIBB" totalsRowFunction="sum" dataDxfId="349" totalsRowDxfId="348" dataCellStyle="Normal 3"/>
  </tableColumns>
  <tableStyleInfo name="Estilo de tabla 1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41000000}" name="Retenciones_mes10" displayName="Retenciones_mes10" ref="C120:L125" totalsRowShown="0" headerRowDxfId="347" dataDxfId="346" headerRowCellStyle="Normal 3" dataCellStyle="Normal 3">
  <autoFilter ref="C120:L125" xr:uid="{00000000-0009-0000-0100-000026000000}"/>
  <tableColumns count="10">
    <tableColumn id="1" xr3:uid="{00000000-0010-0000-4100-000001000000}" name="FECHA " dataDxfId="345" dataCellStyle="Normal 3"/>
    <tableColumn id="2" xr3:uid="{00000000-0010-0000-4100-000002000000}" name="COMP Nº" dataDxfId="344" dataCellStyle="Normal 3"/>
    <tableColumn id="3" xr3:uid="{00000000-0010-0000-4100-000003000000}" name="Columna1" dataDxfId="343" dataCellStyle="Normal 3"/>
    <tableColumn id="4" xr3:uid="{00000000-0010-0000-4100-000004000000}" name="CUIT" dataDxfId="342" dataCellStyle="Normal 3"/>
    <tableColumn id="5" xr3:uid="{00000000-0010-0000-4100-000005000000}" name="RAZON SOCIAL" dataDxfId="341" dataCellStyle="Normal 3">
      <calculatedColumnFormula>IFERROR(IF(Retenciones_mes10[[#This Row],[CUIT]]="","-",VLOOKUP(Retenciones_mes10[[#This Row],[CUIT]],Lista_CUIT[#All],2,0)),"CUIT NO CARGADO")</calculatedColumnFormula>
    </tableColumn>
    <tableColumn id="6" xr3:uid="{00000000-0010-0000-4100-000006000000}" name="Ganancias" dataDxfId="340" dataCellStyle="Normal 3"/>
    <tableColumn id="7" xr3:uid="{00000000-0010-0000-4100-000007000000}" name="IVA" dataDxfId="339" dataCellStyle="Normal 3"/>
    <tableColumn id="8" xr3:uid="{00000000-0010-0000-4100-000008000000}" name="SUSS" dataDxfId="338" dataCellStyle="Normal 3"/>
    <tableColumn id="9" xr3:uid="{00000000-0010-0000-4100-000009000000}" name="IIBB BSAS" dataDxfId="337" dataCellStyle="Normal 3"/>
    <tableColumn id="10" xr3:uid="{00000000-0010-0000-4100-00000A000000}" name="IIBB CABA" dataDxfId="336" dataCellStyle="Normal 3"/>
  </tableColumns>
  <tableStyleInfo name="Estilo de tabla 1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2000000}" name="compras_mes11" displayName="compras_mes11" ref="B8:R36" totalsRowCount="1" headerRowDxfId="335" totalsRowDxfId="334">
  <autoFilter ref="B8:R35" xr:uid="{00000000-0009-0000-0100-00004B000000}"/>
  <sortState xmlns:xlrd2="http://schemas.microsoft.com/office/spreadsheetml/2017/richdata2" ref="B9:R35">
    <sortCondition ref="Q9:Q35"/>
  </sortState>
  <tableColumns count="17">
    <tableColumn id="1" xr3:uid="{00000000-0010-0000-4200-000001000000}" name="FECHA" totalsRowLabel="Total" dataDxfId="333" totalsRowDxfId="33" dataCellStyle="Normal 3"/>
    <tableColumn id="2" xr3:uid="{00000000-0010-0000-4200-000002000000}" name="TIPO" dataDxfId="332" totalsRowDxfId="32" dataCellStyle="Normal 3"/>
    <tableColumn id="3" xr3:uid="{00000000-0010-0000-4200-000003000000}" name="PTO VTA" dataDxfId="331" totalsRowDxfId="31" dataCellStyle="Normal 3"/>
    <tableColumn id="4" xr3:uid="{00000000-0010-0000-4200-000004000000}" name="NRO. CPTE" dataDxfId="330" totalsRowDxfId="30" dataCellStyle="Normal 3"/>
    <tableColumn id="5" xr3:uid="{00000000-0010-0000-4200-000005000000}" name="CUIT" dataDxfId="329" totalsRowDxfId="29" dataCellStyle="Normal 3"/>
    <tableColumn id="6" xr3:uid="{00000000-0010-0000-4200-000006000000}" name="RAZON SOCIAL" dataDxfId="328" totalsRowDxfId="28" dataCellStyle="Normal 3">
      <calculatedColumnFormula>IFERROR(IF(compras_mes11[[#This Row],[CUIT]]="","-",VLOOKUP(compras_mes11[[#This Row],[CUIT]],Lista_CUIT[#All],2,0)),"CUIT NO CARGADO")</calculatedColumnFormula>
    </tableColumn>
    <tableColumn id="7" xr3:uid="{00000000-0010-0000-4200-000007000000}" name="NETO GRAVADO" totalsRowFunction="sum" dataDxfId="327" totalsRowDxfId="27" dataCellStyle="Normal 3"/>
    <tableColumn id="8" xr3:uid="{00000000-0010-0000-4200-000008000000}" name="IVA 21 %" totalsRowFunction="sum" dataDxfId="326" totalsRowDxfId="26" dataCellStyle="Normal 3">
      <calculatedColumnFormula>IF(compras_mes11[[#This Row],[NETO GRAVADO]]="","",compras_mes11[[#This Row],[NETO GRAVADO]]*0.21)</calculatedColumnFormula>
    </tableColumn>
    <tableColumn id="9" xr3:uid="{00000000-0010-0000-4200-000009000000}" name="IVA 27%" totalsRowFunction="sum" dataDxfId="325" totalsRowDxfId="25" dataCellStyle="Normal 3"/>
    <tableColumn id="10" xr3:uid="{00000000-0010-0000-4200-00000A000000}" name="IVA 10,5%" totalsRowFunction="sum" dataDxfId="324" totalsRowDxfId="24" dataCellStyle="Normal 3"/>
    <tableColumn id="11" xr3:uid="{00000000-0010-0000-4200-00000B000000}" name="PERC. IVA" totalsRowFunction="sum" dataDxfId="323" totalsRowDxfId="23" dataCellStyle="Normal 3"/>
    <tableColumn id="12" xr3:uid="{00000000-0010-0000-4200-00000C000000}" name="PERC IIBB _x000a_BS AS" totalsRowFunction="sum" dataDxfId="322" totalsRowDxfId="22" dataCellStyle="Normal 3"/>
    <tableColumn id="13" xr3:uid="{00000000-0010-0000-4200-00000D000000}" name="PERC. IIBB CABA" totalsRowFunction="sum" dataDxfId="321" totalsRowDxfId="21" dataCellStyle="Normal 3"/>
    <tableColumn id="14" xr3:uid="{00000000-0010-0000-4200-00000E000000}" name="Otros / No Grav." totalsRowFunction="sum" dataDxfId="320" totalsRowDxfId="20" dataCellStyle="Normal 3"/>
    <tableColumn id="15" xr3:uid="{00000000-0010-0000-4200-00000F000000}" name="TOTAL" totalsRowFunction="sum" dataDxfId="319" totalsRowDxfId="19" dataCellStyle="Normal 3">
      <calculatedColumnFormula>SUM(compras_mes11[[#This Row],[NETO GRAVADO]:[Otros / No Grav.]])</calculatedColumnFormula>
    </tableColumn>
    <tableColumn id="16" xr3:uid="{00000000-0010-0000-4200-000010000000}" name="Tipo de Gasto" dataDxfId="318" totalsRowDxfId="18" dataCellStyle="Normal 3">
      <calculatedColumnFormula>IFERROR(IF(compras_mes11[[#This Row],[CUIT]]="","-",VLOOKUP(compras_mes11[[#This Row],[CUIT]],Lista_CUIT[#All],3,0)),"CUIT NO CARGADO")</calculatedColumnFormula>
    </tableColumn>
    <tableColumn id="17" xr3:uid="{00000000-0010-0000-4200-000011000000}" name="Provincia" dataDxfId="317" totalsRowDxfId="17" dataCellStyle="Normal 3">
      <calculatedColumnFormula>IFERROR(IF(compras_mes11[[#This Row],[CUIT]]="","-",VLOOKUP(compras_mes11[[#This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3000000}" name="factura_c_mes11" displayName="factura_c_mes11" ref="D51:K65" totalsRowCount="1" headerRowDxfId="316" totalsRowDxfId="315" headerRowCellStyle="Normal 3">
  <autoFilter ref="D51:K64" xr:uid="{00000000-0009-0000-0100-00004C000000}"/>
  <tableColumns count="8">
    <tableColumn id="1" xr3:uid="{00000000-0010-0000-4300-000001000000}" name="FECHA" totalsRowLabel="Total" dataDxfId="314" totalsRowDxfId="313" dataCellStyle="Normal 3"/>
    <tableColumn id="2" xr3:uid="{00000000-0010-0000-4300-000002000000}" name="PTO VTA" dataDxfId="312" totalsRowDxfId="311" dataCellStyle="Normal 3"/>
    <tableColumn id="3" xr3:uid="{00000000-0010-0000-4300-000003000000}" name="FC Nº" dataDxfId="310" totalsRowDxfId="309" dataCellStyle="Normal 3"/>
    <tableColumn id="4" xr3:uid="{00000000-0010-0000-4300-000004000000}" name="CUIT" dataDxfId="308" totalsRowDxfId="307" dataCellStyle="Normal 3"/>
    <tableColumn id="5" xr3:uid="{00000000-0010-0000-4300-000005000000}" name="RAZON SOCIAL" dataDxfId="306" totalsRowDxfId="305" dataCellStyle="Normal 3">
      <calculatedColumnFormula>IFERROR(IF(factura_c_mes11[[#This Row],[CUIT]]="","-",VLOOKUP(factura_c_mes11[[#This Row],[CUIT]],Lista_CUIT[#All],2,0)),"CUIT NO CARGADO")</calculatedColumnFormula>
    </tableColumn>
    <tableColumn id="6" xr3:uid="{00000000-0010-0000-4300-000006000000}" name="TOTAL" totalsRowFunction="sum" dataDxfId="304" totalsRowDxfId="303" dataCellStyle="Normal 3"/>
    <tableColumn id="7" xr3:uid="{00000000-0010-0000-4300-000007000000}" name="TIPO DE GASTO" dataDxfId="302" totalsRowDxfId="301" dataCellStyle="Normal 3">
      <calculatedColumnFormula>IFERROR(IF(factura_c_mes11[[#This Row],[CUIT]]="","-",VLOOKUP(factura_c_mes11[[#This Row],[CUIT]],Lista_CUIT[#All],3,0)),"CUIT NO CARGADO")</calculatedColumnFormula>
    </tableColumn>
    <tableColumn id="8" xr3:uid="{00000000-0010-0000-4300-000008000000}" name="Provincia" dataDxfId="300" totalsRowDxfId="299" dataCellStyle="Normal 3">
      <calculatedColumnFormula>IFERROR(IF(factura_c_mes11[[#This Row],[CUIT]]="","-",VLOOKUP(factura_c_mes11[[#This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4000000}" name="venta_a_mes11" displayName="venta_a_mes11" ref="B74:M84" totalsRowCount="1" headerRowDxfId="298" dataDxfId="296" headerRowBorderDxfId="297" tableBorderDxfId="295" totalsRowBorderDxfId="294" dataCellStyle="Normal 3">
  <autoFilter ref="B74:M83" xr:uid="{00000000-0009-0000-0100-00004D000000}"/>
  <tableColumns count="12">
    <tableColumn id="1" xr3:uid="{00000000-0010-0000-4400-000001000000}" name="FECHA" totalsRowLabel="Total" dataDxfId="293" totalsRowDxfId="292" dataCellStyle="Normal 3"/>
    <tableColumn id="2" xr3:uid="{00000000-0010-0000-4400-000002000000}" name="TIPO" dataDxfId="291" totalsRowDxfId="290" dataCellStyle="Normal 3"/>
    <tableColumn id="3" xr3:uid="{00000000-0010-0000-4400-000003000000}" name="PTO VENTA" dataDxfId="289" totalsRowDxfId="288" dataCellStyle="Normal 3"/>
    <tableColumn id="4" xr3:uid="{00000000-0010-0000-4400-000004000000}" name="Nº FACTURA" dataDxfId="287" totalsRowDxfId="286" dataCellStyle="Normal 3"/>
    <tableColumn id="5" xr3:uid="{00000000-0010-0000-4400-000005000000}" name="CUIT" dataDxfId="285" totalsRowDxfId="284" dataCellStyle="Normal 3"/>
    <tableColumn id="6" xr3:uid="{00000000-0010-0000-4400-000006000000}" name="RAZON SOCIAL" dataDxfId="283" totalsRowDxfId="282" dataCellStyle="Normal 3">
      <calculatedColumnFormula>IFERROR(IF(venta_a_mes11[[#This Row],[CUIT]]="","-",VLOOKUP(venta_a_mes11[[#This Row],[CUIT]],Lista_CUIT[#All],2,0)),"CUIT NO CARGADO")</calculatedColumnFormula>
    </tableColumn>
    <tableColumn id="7" xr3:uid="{00000000-0010-0000-4400-000007000000}" name="IMPORTE NETO" totalsRowFunction="sum" dataDxfId="281" totalsRowDxfId="280" dataCellStyle="Normal 3"/>
    <tableColumn id="8" xr3:uid="{00000000-0010-0000-4400-000008000000}" name="IVA 21%" totalsRowFunction="sum" dataDxfId="279" totalsRowDxfId="278" dataCellStyle="Normal 3">
      <calculatedColumnFormula>venta_a_mes11[[#This Row],[IMPORTE NETO]]*0.21</calculatedColumnFormula>
    </tableColumn>
    <tableColumn id="9" xr3:uid="{00000000-0010-0000-4400-000009000000}" name="IVA 10,5%" totalsRowFunction="sum" dataDxfId="277" totalsRowDxfId="276" dataCellStyle="Normal 3"/>
    <tableColumn id="10" xr3:uid="{00000000-0010-0000-4400-00000A000000}" name="EXENTO" totalsRowFunction="sum" dataDxfId="275" totalsRowDxfId="274" dataCellStyle="Normal 3"/>
    <tableColumn id="11" xr3:uid="{00000000-0010-0000-4400-00000B000000}" name="TOTAL" totalsRowFunction="sum" dataDxfId="273" totalsRowDxfId="272" dataCellStyle="Normal 3">
      <calculatedColumnFormula>SUM(venta_a_mes11[[#This Row],[IMPORTE NETO]:[EXENTO]])</calculatedColumnFormula>
    </tableColumn>
    <tableColumn id="12" xr3:uid="{00000000-0010-0000-4400-00000C000000}" name="Provincia" totalsRowFunction="count" dataDxfId="271" totalsRowDxfId="270" dataCellStyle="Normal 3"/>
  </tableColumns>
  <tableStyleInfo name="Tabla Ventas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5000000}" name="ventas_b_mes11" displayName="ventas_b_mes11" ref="B88:M95" totalsRowCount="1" headerRowDxfId="269" dataDxfId="267" headerRowBorderDxfId="268" tableBorderDxfId="266" totalsRowBorderDxfId="265" dataCellStyle="Normal 3">
  <autoFilter ref="B88:M94" xr:uid="{00000000-0009-0000-0100-00004E000000}"/>
  <tableColumns count="12">
    <tableColumn id="1" xr3:uid="{00000000-0010-0000-4500-000001000000}" name="FECHA" totalsRowLabel="Total" dataDxfId="264" totalsRowDxfId="263" dataCellStyle="Normal 3"/>
    <tableColumn id="2" xr3:uid="{00000000-0010-0000-4500-000002000000}" name="TIPO" dataDxfId="262" totalsRowDxfId="261" dataCellStyle="Normal 3"/>
    <tableColumn id="3" xr3:uid="{00000000-0010-0000-4500-000003000000}" name="PTO VENTA" dataDxfId="260" totalsRowDxfId="259" dataCellStyle="Normal 3"/>
    <tableColumn id="4" xr3:uid="{00000000-0010-0000-4500-000004000000}" name="Nº FACTURA" dataDxfId="258" totalsRowDxfId="257" dataCellStyle="Normal 3"/>
    <tableColumn id="5" xr3:uid="{00000000-0010-0000-4500-000005000000}" name="CUIT" dataDxfId="256" totalsRowDxfId="255" dataCellStyle="Normal 3"/>
    <tableColumn id="6" xr3:uid="{00000000-0010-0000-4500-000006000000}" name="RAZON SOCIAL" dataDxfId="254" totalsRowDxfId="253" dataCellStyle="Normal 3">
      <calculatedColumnFormula>IFERROR(IF(ventas_b_mes11[[#This Row],[CUIT]]="","-",VLOOKUP(ventas_b_mes11[[#This Row],[CUIT]],Lista_CUIT[#All],2,0)),"CUIT NO CARGADO")</calculatedColumnFormula>
    </tableColumn>
    <tableColumn id="7" xr3:uid="{00000000-0010-0000-4500-000007000000}" name="IMPORTE NETO" totalsRowFunction="sum" dataDxfId="252" totalsRowDxfId="251" dataCellStyle="Normal 3"/>
    <tableColumn id="8" xr3:uid="{00000000-0010-0000-4500-000008000000}" name="IVA 21%" totalsRowFunction="sum" dataDxfId="250" totalsRowDxfId="249" dataCellStyle="Normal 3"/>
    <tableColumn id="9" xr3:uid="{00000000-0010-0000-4500-000009000000}" name="IVA 10,5%" totalsRowFunction="sum" dataDxfId="248" totalsRowDxfId="247" dataCellStyle="Normal 3"/>
    <tableColumn id="10" xr3:uid="{00000000-0010-0000-4500-00000A000000}" name="EXENTO" totalsRowFunction="sum" dataDxfId="246" totalsRowDxfId="245" dataCellStyle="Normal 3"/>
    <tableColumn id="11" xr3:uid="{00000000-0010-0000-4500-00000B000000}" name="TOTAL" totalsRowFunction="sum" dataDxfId="244" totalsRowDxfId="243" dataCellStyle="Normal 3">
      <calculatedColumnFormula>SUM(ventas_b_mes11[[#This Row],[IMPORTE NETO]:[EXENTO]])</calculatedColumnFormula>
    </tableColumn>
    <tableColumn id="12" xr3:uid="{00000000-0010-0000-4500-00000C000000}" name="Provincia" totalsRowFunction="count" dataDxfId="242" totalsRowDxfId="241" dataCellStyle="Normal 3"/>
  </tableColumns>
  <tableStyleInfo name="Tabla Ventas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6000000}" name="extracto_banco_mes11" displayName="extracto_banco_mes11" ref="D42:L46" totalsRowCount="1" headerRowDxfId="240" dataDxfId="239" tableBorderDxfId="238" dataCellStyle="Normal 3">
  <autoFilter ref="D42:L45" xr:uid="{00000000-0009-0000-0100-00004F000000}"/>
  <tableColumns count="9">
    <tableColumn id="1" xr3:uid="{00000000-0010-0000-4600-000001000000}" name="FECHA" totalsRowLabel="Total" dataDxfId="237" totalsRowDxfId="236" dataCellStyle="Normal 3"/>
    <tableColumn id="2" xr3:uid="{00000000-0010-0000-4600-000002000000}" name="NRO CPTE" dataDxfId="235" totalsRowDxfId="234"/>
    <tableColumn id="3" xr3:uid="{00000000-0010-0000-4600-000003000000}" name="BANCO" dataDxfId="233" totalsRowDxfId="232"/>
    <tableColumn id="4" xr3:uid="{00000000-0010-0000-4600-000004000000}" name="NETO" totalsRowFunction="sum" dataDxfId="231" totalsRowDxfId="230" dataCellStyle="Normal 3"/>
    <tableColumn id="5" xr3:uid="{00000000-0010-0000-4600-000005000000}" name="IVA 21%" totalsRowFunction="sum" dataDxfId="229" totalsRowDxfId="228" dataCellStyle="Normal 3"/>
    <tableColumn id="6" xr3:uid="{00000000-0010-0000-4600-000006000000}" name="IVA 10,5%" totalsRowFunction="sum" dataDxfId="227" totalsRowDxfId="226" dataCellStyle="Normal 3"/>
    <tableColumn id="7" xr3:uid="{00000000-0010-0000-4600-000007000000}" name="RET IIBB CABA" totalsRowFunction="sum" dataDxfId="225" totalsRowDxfId="224" dataCellStyle="Normal 3"/>
    <tableColumn id="8" xr3:uid="{00000000-0010-0000-4600-000008000000}" name="PERC IVA" totalsRowFunction="sum" dataDxfId="223" totalsRowDxfId="222" dataCellStyle="Normal 3"/>
    <tableColumn id="9" xr3:uid="{00000000-0010-0000-4600-000009000000}" name="PERC IIBB" totalsRowFunction="sum" dataDxfId="221" totalsRowDxfId="220" dataCellStyle="Normal 3"/>
  </tableColumns>
  <tableStyleInfo name="Estilo de tabla 1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7000000}" name="Retenciones_mes11" displayName="Retenciones_mes11" ref="C110:L115" totalsRowShown="0" headerRowDxfId="219" dataDxfId="218" headerRowCellStyle="Normal 3" dataCellStyle="Normal 3">
  <autoFilter ref="C110:L115" xr:uid="{00000000-0009-0000-0100-000050000000}"/>
  <tableColumns count="10">
    <tableColumn id="1" xr3:uid="{00000000-0010-0000-4700-000001000000}" name="FECHA " dataDxfId="217" dataCellStyle="Normal 3"/>
    <tableColumn id="2" xr3:uid="{00000000-0010-0000-4700-000002000000}" name="COMP Nº" dataDxfId="216" dataCellStyle="Normal 3"/>
    <tableColumn id="3" xr3:uid="{00000000-0010-0000-4700-000003000000}" name="Columna1" dataDxfId="215" dataCellStyle="Normal 3"/>
    <tableColumn id="4" xr3:uid="{00000000-0010-0000-4700-000004000000}" name="CUIT" dataDxfId="214" dataCellStyle="Normal 3"/>
    <tableColumn id="5" xr3:uid="{00000000-0010-0000-4700-000005000000}" name="RAZON SOCIAL" dataDxfId="213" dataCellStyle="Normal 3">
      <calculatedColumnFormula>IFERROR(IF(Retenciones_mes11[[#This Row],[CUIT]]="","-",VLOOKUP(Retenciones_mes11[[#This Row],[CUIT]],Lista_CUIT[#All],2,0)),"CUIT NO CARGADO")</calculatedColumnFormula>
    </tableColumn>
    <tableColumn id="6" xr3:uid="{00000000-0010-0000-4700-000006000000}" name="Ganancias" dataDxfId="212" dataCellStyle="Normal 3"/>
    <tableColumn id="7" xr3:uid="{00000000-0010-0000-4700-000007000000}" name="IVA" dataDxfId="211" dataCellStyle="Normal 3"/>
    <tableColumn id="8" xr3:uid="{00000000-0010-0000-4700-000008000000}" name="SUSS" dataDxfId="210" dataCellStyle="Normal 3"/>
    <tableColumn id="9" xr3:uid="{00000000-0010-0000-4700-000009000000}" name="IIBB BSAS" dataDxfId="209" dataCellStyle="Normal 3"/>
    <tableColumn id="10" xr3:uid="{00000000-0010-0000-4700-00000A000000}" name="IIBB CABA" dataDxfId="208" dataCellStyle="Normal 3"/>
  </tableColumns>
  <tableStyleInfo name="Estilo de tabla 1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F9120848-C494-432E-9BFE-F046142439C3}" name="ventas_b_mes2565557" displayName="ventas_b_mes2565557" ref="B100:M104" totalsRowCount="1" headerRowDxfId="207" dataDxfId="205" headerRowBorderDxfId="206" tableBorderDxfId="204" totalsRowBorderDxfId="203" dataCellStyle="Normal 3">
  <autoFilter ref="B100:M103" xr:uid="{F9120848-C494-432E-9BFE-F046142439C3}"/>
  <tableColumns count="12">
    <tableColumn id="1" xr3:uid="{8EC3FFB1-1EA8-432B-856C-4B168D8C239F}" name="FECHA" totalsRowLabel="Total" dataDxfId="202" totalsRowDxfId="201" dataCellStyle="Normal 3"/>
    <tableColumn id="2" xr3:uid="{05876B21-928B-4429-B856-440C7E4773B2}" name="TIPO" dataDxfId="200" totalsRowDxfId="199" dataCellStyle="Normal 3"/>
    <tableColumn id="3" xr3:uid="{08B4E8F8-73A2-4DCA-839C-AA8306A77831}" name="PTO VENTA" dataDxfId="198" totalsRowDxfId="197" dataCellStyle="Normal 3"/>
    <tableColumn id="4" xr3:uid="{F29686E7-B5C7-4246-9FE1-57D7D8F1F862}" name="Nº FACTURA" dataDxfId="196" totalsRowDxfId="195" dataCellStyle="Normal 3"/>
    <tableColumn id="5" xr3:uid="{CA658CD4-13CE-4AE6-9A61-FE8472A54AB0}" name="CUIT" dataDxfId="194" totalsRowDxfId="193" dataCellStyle="Normal 3"/>
    <tableColumn id="6" xr3:uid="{AF76D785-0678-41E4-899E-43B6001A2CEC}" name="RAZON SOCIAL" dataDxfId="192" totalsRowDxfId="191" dataCellStyle="Normal 3">
      <calculatedColumnFormula>IFERROR(IF(ventas_b_mes2565557[[#This Row],[CUIT]]="","-",VLOOKUP(ventas_b_mes2565557[[#This Row],[CUIT]],Lista_CUIT[#All],2,0)),"CUIT NO CARGADO")</calculatedColumnFormula>
    </tableColumn>
    <tableColumn id="7" xr3:uid="{EAE6676D-D2B5-42A7-A8CD-59FA8C246A4A}" name="USD" totalsRowFunction="sum" dataDxfId="190" totalsRowDxfId="189" dataCellStyle="Normal 3"/>
    <tableColumn id="8" xr3:uid="{298E90A2-53F8-4EA8-B301-A45CCAFC1B2E}" name="IVA 21%" totalsRowFunction="sum" dataDxfId="188" totalsRowDxfId="187" dataCellStyle="Normal 3">
      <calculatedColumnFormula>ventas_b_mes2565557[[#This Row],[USD]]*0.21</calculatedColumnFormula>
    </tableColumn>
    <tableColumn id="9" xr3:uid="{831DA7AD-7686-4C52-A6B4-18D42BFB3FDB}" name="Columna1" totalsRowFunction="sum" dataDxfId="186" totalsRowDxfId="185" dataCellStyle="Normal 3"/>
    <tableColumn id="10" xr3:uid="{8B6F45A4-B6F4-46EC-A292-B33B6D134574}" name="TIPO DE CAMBIO2" totalsRowFunction="sum" dataDxfId="184" totalsRowDxfId="183" dataCellStyle="Normal 3"/>
    <tableColumn id="11" xr3:uid="{34C93758-8425-4A86-B10E-F02A7BC58991}" name="TOTAL" totalsRowFunction="custom" dataDxfId="182" totalsRowDxfId="181" dataCellStyle="Normal 3">
      <totalsRowFormula>SUM(L101:L102)</totalsRowFormula>
    </tableColumn>
    <tableColumn id="12" xr3:uid="{F2048A91-63C5-41B9-99DE-F596C9C4426C}" name="PAIS" totalsRowFunction="count" dataDxfId="180" totalsRowDxfId="179" dataCellStyle="Normal 3"/>
  </tableColumns>
  <tableStyleInfo name="Tabla Ventas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8000000}" name="compras_mes12" displayName="compras_mes12" ref="B8:R36" totalsRowCount="1" headerRowDxfId="178" totalsRowDxfId="177">
  <autoFilter ref="B8:R35" xr:uid="{00000000-0009-0000-0100-000045000000}"/>
  <sortState xmlns:xlrd2="http://schemas.microsoft.com/office/spreadsheetml/2017/richdata2" ref="B9:R35">
    <sortCondition ref="Q9:Q35"/>
  </sortState>
  <tableColumns count="17">
    <tableColumn id="1" xr3:uid="{00000000-0010-0000-4800-000001000000}" name="FECHA" totalsRowLabel="Total" dataDxfId="176" totalsRowDxfId="16" dataCellStyle="Normal 3"/>
    <tableColumn id="2" xr3:uid="{00000000-0010-0000-4800-000002000000}" name="TIPO" dataDxfId="175" totalsRowDxfId="15" dataCellStyle="Normal 3"/>
    <tableColumn id="3" xr3:uid="{00000000-0010-0000-4800-000003000000}" name="PTO VTA" dataDxfId="174" totalsRowDxfId="14" dataCellStyle="Normal 3"/>
    <tableColumn id="4" xr3:uid="{00000000-0010-0000-4800-000004000000}" name="NRO. CPTE" totalsRowLabel=" " dataDxfId="173" totalsRowDxfId="13" dataCellStyle="Normal 3"/>
    <tableColumn id="5" xr3:uid="{00000000-0010-0000-4800-000005000000}" name="CUIT" dataDxfId="172" totalsRowDxfId="12" dataCellStyle="Normal 3"/>
    <tableColumn id="6" xr3:uid="{00000000-0010-0000-4800-000006000000}" name="RAZON SOCIAL" dataDxfId="171" totalsRowDxfId="11" dataCellStyle="Normal 3">
      <calculatedColumnFormula>IFERROR(IF(compras_mes12[[#This Row],[CUIT]]="","-",VLOOKUP(compras_mes12[[#This Row],[CUIT]],Lista_CUIT[#All],2,0)),"CUIT NO CARGADO")</calculatedColumnFormula>
    </tableColumn>
    <tableColumn id="7" xr3:uid="{00000000-0010-0000-4800-000007000000}" name="NETO GRAVADO" totalsRowFunction="sum" dataDxfId="170" totalsRowDxfId="10" dataCellStyle="Normal 3"/>
    <tableColumn id="8" xr3:uid="{00000000-0010-0000-4800-000008000000}" name="IVA 21 %" totalsRowFunction="sum" dataDxfId="169" totalsRowDxfId="9" dataCellStyle="Normal 3">
      <calculatedColumnFormula>IF(compras_mes12[[#This Row],[NETO GRAVADO]]="","",compras_mes12[[#This Row],[NETO GRAVADO]]*0.21)</calculatedColumnFormula>
    </tableColumn>
    <tableColumn id="9" xr3:uid="{00000000-0010-0000-4800-000009000000}" name="IVA 27%" totalsRowFunction="sum" dataDxfId="168" totalsRowDxfId="8" dataCellStyle="Normal 3"/>
    <tableColumn id="10" xr3:uid="{00000000-0010-0000-4800-00000A000000}" name="IVA 10,5%" totalsRowFunction="sum" dataDxfId="167" totalsRowDxfId="7" dataCellStyle="Normal 3"/>
    <tableColumn id="11" xr3:uid="{00000000-0010-0000-4800-00000B000000}" name="PERC. IVA" totalsRowFunction="sum" dataDxfId="166" totalsRowDxfId="6" dataCellStyle="Normal 3"/>
    <tableColumn id="12" xr3:uid="{00000000-0010-0000-4800-00000C000000}" name="PERC IIBB _x000a_BS AS" totalsRowFunction="sum" dataDxfId="165" totalsRowDxfId="5" dataCellStyle="Normal 3"/>
    <tableColumn id="13" xr3:uid="{00000000-0010-0000-4800-00000D000000}" name="PERC. IIBB CABA" totalsRowFunction="sum" dataDxfId="164" totalsRowDxfId="4" dataCellStyle="Normal 3"/>
    <tableColumn id="14" xr3:uid="{00000000-0010-0000-4800-00000E000000}" name="Otros - No Grav." totalsRowFunction="sum" dataDxfId="163" totalsRowDxfId="3" dataCellStyle="Normal 3"/>
    <tableColumn id="15" xr3:uid="{00000000-0010-0000-4800-00000F000000}" name="TOTAL" totalsRowFunction="sum" dataDxfId="162" totalsRowDxfId="2" dataCellStyle="Normal 3">
      <calculatedColumnFormula>SUM(compras_mes12[[#This Row],[NETO GRAVADO]:[Otros - No Grav.]])</calculatedColumnFormula>
    </tableColumn>
    <tableColumn id="16" xr3:uid="{00000000-0010-0000-4800-000010000000}" name="Tipo de Gasto" dataDxfId="161" totalsRowDxfId="1" dataCellStyle="Normal 3">
      <calculatedColumnFormula>IFERROR(IF(compras_mes12[[#This Row],[CUIT]]="","-",VLOOKUP(compras_mes12[[#This Row],[CUIT]],Lista_CUIT[#All],3,0)),"CUIT NO CARGADO")</calculatedColumnFormula>
    </tableColumn>
    <tableColumn id="17" xr3:uid="{00000000-0010-0000-4800-000011000000}" name="Provincia" dataDxfId="160" totalsRowDxfId="0" dataCellStyle="Normal 3">
      <calculatedColumnFormula>IFERROR(IF(compras_mes12[[#This Row],[CUIT]]="","-",VLOOKUP(compras_mes12[[#This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9000000}" name="factura_c_mes12" displayName="factura_c_mes12" ref="D56:K70" totalsRowCount="1" headerRowDxfId="159" totalsRowDxfId="158" headerRowCellStyle="Normal 3">
  <autoFilter ref="D56:K69" xr:uid="{00000000-0009-0000-0100-000046000000}"/>
  <sortState xmlns:xlrd2="http://schemas.microsoft.com/office/spreadsheetml/2017/richdata2" ref="D57:K69">
    <sortCondition ref="D56:D69"/>
  </sortState>
  <tableColumns count="8">
    <tableColumn id="1" xr3:uid="{00000000-0010-0000-4900-000001000000}" name="FECHA" totalsRowLabel="Total" dataDxfId="157" totalsRowDxfId="156" dataCellStyle="Normal 3"/>
    <tableColumn id="2" xr3:uid="{00000000-0010-0000-4900-000002000000}" name="PTO VTA" dataDxfId="155" totalsRowDxfId="154" dataCellStyle="Normal 3"/>
    <tableColumn id="3" xr3:uid="{00000000-0010-0000-4900-000003000000}" name="FC Nº" dataDxfId="153" totalsRowDxfId="152" dataCellStyle="Normal 3"/>
    <tableColumn id="4" xr3:uid="{00000000-0010-0000-4900-000004000000}" name="CUIT" dataDxfId="151" totalsRowDxfId="150" dataCellStyle="Normal 3"/>
    <tableColumn id="5" xr3:uid="{00000000-0010-0000-4900-000005000000}" name="RAZON SOCIAL" dataDxfId="149" totalsRowDxfId="148" dataCellStyle="Normal 3">
      <calculatedColumnFormula>IFERROR(IF(factura_c_mes12[[#This Row],[CUIT]]="","-",VLOOKUP(factura_c_mes12[[#This Row],[CUIT]],Lista_CUIT[#All],2,0)),"CUIT NO CARGADO")</calculatedColumnFormula>
    </tableColumn>
    <tableColumn id="6" xr3:uid="{00000000-0010-0000-4900-000006000000}" name="TOTAL" totalsRowFunction="sum" dataDxfId="147" totalsRowDxfId="146" dataCellStyle="Normal 3"/>
    <tableColumn id="7" xr3:uid="{00000000-0010-0000-4900-000007000000}" name="TIPO DE GASTO" dataDxfId="145" totalsRowDxfId="144" dataCellStyle="Normal 3">
      <calculatedColumnFormula>IFERROR(IF(factura_c_mes12[[#This Row],[CUIT]]="","-",VLOOKUP(factura_c_mes12[[#This Row],[CUIT]],Lista_CUIT[#All],3,0)),"CUIT NO CARGADO")</calculatedColumnFormula>
    </tableColumn>
    <tableColumn id="8" xr3:uid="{00000000-0010-0000-4900-000008000000}" name="Provincia" dataDxfId="143" totalsRowDxfId="142" dataCellStyle="Normal 3">
      <calculatedColumnFormula>IFERROR(IF(factura_c_mes12[[#This Row],[CUIT]]="","-",VLOOKUP(factura_c_mes12[[#This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A000000}" name="venta_a_mes12" displayName="venta_a_mes12" ref="B78:M88" totalsRowCount="1" headerRowDxfId="141" dataDxfId="139" headerRowBorderDxfId="140" tableBorderDxfId="138" totalsRowBorderDxfId="137" dataCellStyle="Normal 3">
  <autoFilter ref="B78:M87" xr:uid="{00000000-0009-0000-0100-000047000000}"/>
  <tableColumns count="12">
    <tableColumn id="1" xr3:uid="{00000000-0010-0000-4A00-000001000000}" name="FECHA" totalsRowLabel="Total" dataDxfId="136" totalsRowDxfId="135" dataCellStyle="Normal 3"/>
    <tableColumn id="2" xr3:uid="{00000000-0010-0000-4A00-000002000000}" name="TIPO" dataDxfId="134" totalsRowDxfId="133" dataCellStyle="Normal 3"/>
    <tableColumn id="3" xr3:uid="{00000000-0010-0000-4A00-000003000000}" name="PTO VENTA" dataDxfId="132" totalsRowDxfId="131" dataCellStyle="Normal 3"/>
    <tableColumn id="4" xr3:uid="{00000000-0010-0000-4A00-000004000000}" name="Nº FACTURA" dataDxfId="130" totalsRowDxfId="129" dataCellStyle="Normal 3"/>
    <tableColumn id="5" xr3:uid="{00000000-0010-0000-4A00-000005000000}" name="CUIT" dataDxfId="128" totalsRowDxfId="127" dataCellStyle="Normal 3"/>
    <tableColumn id="6" xr3:uid="{00000000-0010-0000-4A00-000006000000}" name="RAZON SOCIAL" dataDxfId="126" totalsRowDxfId="125" dataCellStyle="Normal 3">
      <calculatedColumnFormula>IFERROR(IF(venta_a_mes12[[#This Row],[CUIT]]="","-",VLOOKUP(venta_a_mes12[[#This Row],[CUIT]],Lista_CUIT[#All],2,0)),"CUIT NO CARGADO")</calculatedColumnFormula>
    </tableColumn>
    <tableColumn id="7" xr3:uid="{00000000-0010-0000-4A00-000007000000}" name="IMPORTE NETO" totalsRowFunction="sum" dataDxfId="124" totalsRowDxfId="123" dataCellStyle="Normal 3"/>
    <tableColumn id="8" xr3:uid="{00000000-0010-0000-4A00-000008000000}" name="IVA 21%" totalsRowFunction="sum" dataDxfId="122" totalsRowDxfId="121" dataCellStyle="Normal 3">
      <calculatedColumnFormula>venta_a_mes12[[#This Row],[IMPORTE NETO]]*0.21</calculatedColumnFormula>
    </tableColumn>
    <tableColumn id="9" xr3:uid="{00000000-0010-0000-4A00-000009000000}" name="IVA 10,5%" totalsRowFunction="sum" dataDxfId="120" totalsRowDxfId="119" dataCellStyle="Normal 3"/>
    <tableColumn id="10" xr3:uid="{00000000-0010-0000-4A00-00000A000000}" name="EXENTO" totalsRowFunction="sum" dataDxfId="118" totalsRowDxfId="117" dataCellStyle="Normal 3"/>
    <tableColumn id="11" xr3:uid="{00000000-0010-0000-4A00-00000B000000}" name="TOTAL" totalsRowFunction="sum" dataDxfId="116" totalsRowDxfId="115" dataCellStyle="Normal 3">
      <calculatedColumnFormula>SUM(venta_a_mes12[[#This Row],[IMPORTE NETO]:[EXENTO]])</calculatedColumnFormula>
    </tableColumn>
    <tableColumn id="12" xr3:uid="{00000000-0010-0000-4A00-00000C000000}" name="Provincia" totalsRowFunction="count" dataDxfId="114" totalsRowDxfId="113" dataCellStyle="Normal 3"/>
  </tableColumns>
  <tableStyleInfo name="Tabla Ventas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B000000}" name="ventas_b_mes12" displayName="ventas_b_mes12" ref="B92:M99" totalsRowCount="1" headerRowDxfId="112" dataDxfId="110" headerRowBorderDxfId="111" tableBorderDxfId="109" totalsRowBorderDxfId="108" dataCellStyle="Normal 3">
  <autoFilter ref="B92:M98" xr:uid="{00000000-0009-0000-0100-000048000000}"/>
  <tableColumns count="12">
    <tableColumn id="1" xr3:uid="{00000000-0010-0000-4B00-000001000000}" name="FECHA" totalsRowLabel="Total" dataDxfId="107" totalsRowDxfId="106" dataCellStyle="Normal 3"/>
    <tableColumn id="2" xr3:uid="{00000000-0010-0000-4B00-000002000000}" name="TIPO" dataDxfId="105" totalsRowDxfId="104" dataCellStyle="Normal 3"/>
    <tableColumn id="3" xr3:uid="{00000000-0010-0000-4B00-000003000000}" name="PTO VENTA" dataDxfId="103" totalsRowDxfId="102" dataCellStyle="Normal 3"/>
    <tableColumn id="4" xr3:uid="{00000000-0010-0000-4B00-000004000000}" name="Nº FACTURA" dataDxfId="101" totalsRowDxfId="100" dataCellStyle="Normal 3"/>
    <tableColumn id="5" xr3:uid="{00000000-0010-0000-4B00-000005000000}" name="CUIT" dataDxfId="99" totalsRowDxfId="98" dataCellStyle="Normal 3"/>
    <tableColumn id="6" xr3:uid="{00000000-0010-0000-4B00-000006000000}" name="RAZON SOCIAL" dataDxfId="97" totalsRowDxfId="96" dataCellStyle="Normal 3">
      <calculatedColumnFormula>IFERROR(IF(ventas_b_mes12[[#This Row],[CUIT]]="","-",VLOOKUP(ventas_b_mes12[[#This Row],[CUIT]],Lista_CUIT[#All],2,0)),"CUIT NO CARGADO")</calculatedColumnFormula>
    </tableColumn>
    <tableColumn id="7" xr3:uid="{00000000-0010-0000-4B00-000007000000}" name="IMPORTE NETO" totalsRowFunction="sum" dataDxfId="95" totalsRowDxfId="94" dataCellStyle="Normal 3"/>
    <tableColumn id="8" xr3:uid="{00000000-0010-0000-4B00-000008000000}" name="IVA 21%" totalsRowFunction="sum" dataDxfId="93" totalsRowDxfId="92" dataCellStyle="Normal 3"/>
    <tableColumn id="9" xr3:uid="{00000000-0010-0000-4B00-000009000000}" name="IVA 10,5%" totalsRowFunction="sum" dataDxfId="91" totalsRowDxfId="90" dataCellStyle="Normal 3"/>
    <tableColumn id="10" xr3:uid="{00000000-0010-0000-4B00-00000A000000}" name="EXENTO" totalsRowFunction="sum" dataDxfId="89" totalsRowDxfId="88" dataCellStyle="Normal 3"/>
    <tableColumn id="11" xr3:uid="{00000000-0010-0000-4B00-00000B000000}" name="TOTAL" totalsRowFunction="sum" dataDxfId="87" totalsRowDxfId="86" dataCellStyle="Normal 3">
      <calculatedColumnFormula>SUM(ventas_b_mes12[[#This Row],[IMPORTE NETO]:[EXENTO]])</calculatedColumnFormula>
    </tableColumn>
    <tableColumn id="12" xr3:uid="{00000000-0010-0000-4B00-00000C000000}" name="Provincia" totalsRowFunction="count" dataDxfId="85" totalsRowDxfId="84" dataCellStyle="Normal 3"/>
  </tableColumns>
  <tableStyleInfo name="Tabla Ventas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C000000}" name="extracto_banco_mes12" displayName="extracto_banco_mes12" ref="D42:L51" totalsRowCount="1" headerRowDxfId="83" dataDxfId="82" tableBorderDxfId="81" dataCellStyle="Normal 3">
  <autoFilter ref="D42:L50" xr:uid="{00000000-0009-0000-0100-000049000000}"/>
  <tableColumns count="9">
    <tableColumn id="1" xr3:uid="{00000000-0010-0000-4C00-000001000000}" name="FECHA" totalsRowLabel="Total" dataDxfId="80" totalsRowDxfId="79" dataCellStyle="Normal 3"/>
    <tableColumn id="2" xr3:uid="{00000000-0010-0000-4C00-000002000000}" name="NRO CPTE" dataDxfId="78" totalsRowDxfId="77"/>
    <tableColumn id="3" xr3:uid="{00000000-0010-0000-4C00-000003000000}" name="BANCO" dataDxfId="76" totalsRowDxfId="75"/>
    <tableColumn id="4" xr3:uid="{00000000-0010-0000-4C00-000004000000}" name="NETO" totalsRowFunction="sum" dataDxfId="74" totalsRowDxfId="73" dataCellStyle="Normal 3"/>
    <tableColumn id="5" xr3:uid="{00000000-0010-0000-4C00-000005000000}" name="IVA 21%" totalsRowFunction="sum" dataDxfId="72" totalsRowDxfId="71" dataCellStyle="Normal 3">
      <calculatedColumnFormula>extracto_banco_mes12[[#This Row],[NETO]]*0.21</calculatedColumnFormula>
    </tableColumn>
    <tableColumn id="6" xr3:uid="{00000000-0010-0000-4C00-000006000000}" name="IVA 10,5%" totalsRowFunction="sum" dataDxfId="70" totalsRowDxfId="69" dataCellStyle="Normal 3"/>
    <tableColumn id="7" xr3:uid="{00000000-0010-0000-4C00-000007000000}" name="RET IIBB CABA" totalsRowFunction="sum" dataDxfId="68" totalsRowDxfId="67" dataCellStyle="Normal 3"/>
    <tableColumn id="8" xr3:uid="{00000000-0010-0000-4C00-000008000000}" name="PERC IVA" totalsRowFunction="sum" dataDxfId="66" totalsRowDxfId="65" dataCellStyle="Normal 3"/>
    <tableColumn id="9" xr3:uid="{00000000-0010-0000-4C00-000009000000}" name="PERC IIBB" totalsRowFunction="sum" dataDxfId="64" totalsRowDxfId="63" dataCellStyle="Normal 3"/>
  </tableColumns>
  <tableStyleInfo name="Estilo de tabla 1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D000000}" name="Retenciones_mes12" displayName="Retenciones_mes12" ref="C108:L113" totalsRowShown="0" headerRowDxfId="62" dataDxfId="61" headerRowCellStyle="Normal 3" dataCellStyle="Normal 3">
  <autoFilter ref="C108:L113" xr:uid="{00000000-0009-0000-0100-00004A000000}"/>
  <tableColumns count="10">
    <tableColumn id="1" xr3:uid="{00000000-0010-0000-4D00-000001000000}" name="FECHA " dataDxfId="60" dataCellStyle="Normal 3"/>
    <tableColumn id="2" xr3:uid="{00000000-0010-0000-4D00-000002000000}" name="COMP Nº" dataDxfId="59" dataCellStyle="Normal 3"/>
    <tableColumn id="3" xr3:uid="{00000000-0010-0000-4D00-000003000000}" name="Columna1" dataDxfId="58" dataCellStyle="Normal 3"/>
    <tableColumn id="4" xr3:uid="{00000000-0010-0000-4D00-000004000000}" name="CUIT" dataDxfId="57" dataCellStyle="Normal 3"/>
    <tableColumn id="5" xr3:uid="{00000000-0010-0000-4D00-000005000000}" name="RAZON SOCIAL" dataDxfId="56" dataCellStyle="Normal 3">
      <calculatedColumnFormula>IFERROR(IF(Retenciones_mes12[[#This Row],[CUIT]]="","-",VLOOKUP(Retenciones_mes12[[#This Row],[CUIT]],Lista_CUIT[#All],2,0)),"CUIT NO CARGADO")</calculatedColumnFormula>
    </tableColumn>
    <tableColumn id="6" xr3:uid="{00000000-0010-0000-4D00-000006000000}" name="Ganancias" dataDxfId="55" dataCellStyle="Normal 3"/>
    <tableColumn id="7" xr3:uid="{00000000-0010-0000-4D00-000007000000}" name="IVA" dataDxfId="54" dataCellStyle="Normal 3"/>
    <tableColumn id="8" xr3:uid="{00000000-0010-0000-4D00-000008000000}" name="SUSS" dataDxfId="53" dataCellStyle="Normal 3"/>
    <tableColumn id="9" xr3:uid="{00000000-0010-0000-4D00-000009000000}" name="IIBB BSAS" dataDxfId="52" dataCellStyle="Normal 3"/>
    <tableColumn id="10" xr3:uid="{00000000-0010-0000-4D00-00000A000000}" name="IIBB CABA" dataDxfId="51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7.xml"/><Relationship Id="rId3" Type="http://schemas.openxmlformats.org/officeDocument/2006/relationships/table" Target="../tables/table22.xml"/><Relationship Id="rId7" Type="http://schemas.openxmlformats.org/officeDocument/2006/relationships/table" Target="../tables/table26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5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4.xml"/><Relationship Id="rId3" Type="http://schemas.openxmlformats.org/officeDocument/2006/relationships/table" Target="../tables/table29.xml"/><Relationship Id="rId7" Type="http://schemas.openxmlformats.org/officeDocument/2006/relationships/table" Target="../tables/table33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1.xml"/><Relationship Id="rId3" Type="http://schemas.openxmlformats.org/officeDocument/2006/relationships/table" Target="../tables/table36.xml"/><Relationship Id="rId7" Type="http://schemas.openxmlformats.org/officeDocument/2006/relationships/table" Target="../tables/table40.xml"/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39.xml"/><Relationship Id="rId5" Type="http://schemas.openxmlformats.org/officeDocument/2006/relationships/table" Target="../tables/table38.xml"/><Relationship Id="rId4" Type="http://schemas.openxmlformats.org/officeDocument/2006/relationships/table" Target="../tables/table3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7" Type="http://schemas.openxmlformats.org/officeDocument/2006/relationships/table" Target="../tables/table47.xml"/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46.xml"/><Relationship Id="rId5" Type="http://schemas.openxmlformats.org/officeDocument/2006/relationships/table" Target="../tables/table45.xml"/><Relationship Id="rId4" Type="http://schemas.openxmlformats.org/officeDocument/2006/relationships/table" Target="../tables/table4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4.xml"/><Relationship Id="rId3" Type="http://schemas.openxmlformats.org/officeDocument/2006/relationships/table" Target="../tables/table49.xml"/><Relationship Id="rId7" Type="http://schemas.openxmlformats.org/officeDocument/2006/relationships/table" Target="../tables/table53.xml"/><Relationship Id="rId2" Type="http://schemas.openxmlformats.org/officeDocument/2006/relationships/table" Target="../tables/table48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52.xml"/><Relationship Id="rId5" Type="http://schemas.openxmlformats.org/officeDocument/2006/relationships/table" Target="../tables/table51.xml"/><Relationship Id="rId4" Type="http://schemas.openxmlformats.org/officeDocument/2006/relationships/table" Target="../tables/table5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3.xml"/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6.xml"/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8.xml"/><Relationship Id="rId7" Type="http://schemas.openxmlformats.org/officeDocument/2006/relationships/table" Target="../tables/table92.xml"/><Relationship Id="rId2" Type="http://schemas.openxmlformats.org/officeDocument/2006/relationships/table" Target="../tables/table8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91.xml"/><Relationship Id="rId5" Type="http://schemas.openxmlformats.org/officeDocument/2006/relationships/table" Target="../tables/table90.xml"/><Relationship Id="rId4" Type="http://schemas.openxmlformats.org/officeDocument/2006/relationships/table" Target="../tables/table8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242"/>
  <sheetViews>
    <sheetView zoomScaleNormal="100" workbookViewId="0">
      <selection activeCell="C2243" sqref="C2243"/>
    </sheetView>
  </sheetViews>
  <sheetFormatPr baseColWidth="10" defaultRowHeight="14.4" x14ac:dyDescent="0.3"/>
  <cols>
    <col min="1" max="1" width="13.33203125" style="35" bestFit="1" customWidth="1"/>
    <col min="2" max="2" width="80.88671875" bestFit="1" customWidth="1"/>
    <col min="3" max="3" width="20" style="35" bestFit="1" customWidth="1"/>
    <col min="4" max="4" width="15" bestFit="1" customWidth="1"/>
    <col min="7" max="7" width="20.5546875" customWidth="1"/>
  </cols>
  <sheetData>
    <row r="1" spans="1:7" x14ac:dyDescent="0.3">
      <c r="A1" s="35" t="s">
        <v>3</v>
      </c>
      <c r="B1" s="35" t="s">
        <v>4</v>
      </c>
      <c r="C1" s="35" t="s">
        <v>11</v>
      </c>
      <c r="D1" s="35" t="s">
        <v>32</v>
      </c>
    </row>
    <row r="2" spans="1:7" hidden="1" x14ac:dyDescent="0.3">
      <c r="A2" s="36">
        <v>30575019524</v>
      </c>
      <c r="B2" t="s">
        <v>801</v>
      </c>
      <c r="G2" s="122" t="s">
        <v>84</v>
      </c>
    </row>
    <row r="3" spans="1:7" hidden="1" x14ac:dyDescent="0.3">
      <c r="A3" s="36">
        <v>30709829730</v>
      </c>
      <c r="B3" t="s">
        <v>802</v>
      </c>
      <c r="C3" s="35" t="s">
        <v>785</v>
      </c>
      <c r="G3" s="123" t="s">
        <v>80</v>
      </c>
    </row>
    <row r="4" spans="1:7" hidden="1" x14ac:dyDescent="0.3">
      <c r="A4" s="36">
        <v>30715223704</v>
      </c>
      <c r="B4" t="s">
        <v>803</v>
      </c>
      <c r="C4" s="35" t="s">
        <v>39</v>
      </c>
      <c r="G4" s="122" t="s">
        <v>113</v>
      </c>
    </row>
    <row r="5" spans="1:7" hidden="1" x14ac:dyDescent="0.3">
      <c r="A5" s="36">
        <v>30714869937</v>
      </c>
      <c r="B5" t="s">
        <v>804</v>
      </c>
      <c r="G5" s="123" t="s">
        <v>85</v>
      </c>
    </row>
    <row r="6" spans="1:7" hidden="1" x14ac:dyDescent="0.3">
      <c r="A6" s="36">
        <v>30692212130</v>
      </c>
      <c r="B6" t="s">
        <v>805</v>
      </c>
      <c r="G6" s="122" t="s">
        <v>79</v>
      </c>
    </row>
    <row r="7" spans="1:7" hidden="1" x14ac:dyDescent="0.3">
      <c r="A7" s="36">
        <v>30687722007</v>
      </c>
      <c r="B7" t="s">
        <v>806</v>
      </c>
      <c r="C7" s="35" t="s">
        <v>784</v>
      </c>
      <c r="G7" s="123" t="s">
        <v>114</v>
      </c>
    </row>
    <row r="8" spans="1:7" hidden="1" x14ac:dyDescent="0.3">
      <c r="A8" s="36">
        <v>30503874497</v>
      </c>
      <c r="B8" t="s">
        <v>807</v>
      </c>
      <c r="C8" s="35" t="s">
        <v>84</v>
      </c>
      <c r="G8" s="122" t="s">
        <v>97</v>
      </c>
    </row>
    <row r="9" spans="1:7" hidden="1" x14ac:dyDescent="0.3">
      <c r="A9" s="36">
        <v>30702017498</v>
      </c>
      <c r="B9" t="s">
        <v>808</v>
      </c>
      <c r="G9" s="123" t="s">
        <v>78</v>
      </c>
    </row>
    <row r="10" spans="1:7" hidden="1" x14ac:dyDescent="0.3">
      <c r="A10" s="36">
        <v>20182999661</v>
      </c>
      <c r="B10" t="s">
        <v>809</v>
      </c>
      <c r="C10" s="35" t="s">
        <v>84</v>
      </c>
      <c r="G10" s="122" t="s">
        <v>115</v>
      </c>
    </row>
    <row r="11" spans="1:7" hidden="1" x14ac:dyDescent="0.3">
      <c r="A11" s="36">
        <v>30652000076</v>
      </c>
      <c r="B11" t="s">
        <v>810</v>
      </c>
      <c r="C11" s="35" t="s">
        <v>84</v>
      </c>
      <c r="G11" s="123" t="s">
        <v>90</v>
      </c>
    </row>
    <row r="12" spans="1:7" hidden="1" x14ac:dyDescent="0.3">
      <c r="A12" s="36">
        <v>30690536079</v>
      </c>
      <c r="B12" t="s">
        <v>811</v>
      </c>
      <c r="C12" s="35" t="s">
        <v>79</v>
      </c>
      <c r="G12" s="122" t="s">
        <v>111</v>
      </c>
    </row>
    <row r="13" spans="1:7" hidden="1" x14ac:dyDescent="0.3">
      <c r="A13" s="36">
        <v>30515585415</v>
      </c>
      <c r="B13" t="s">
        <v>812</v>
      </c>
      <c r="C13" s="35" t="s">
        <v>84</v>
      </c>
      <c r="G13" s="123" t="s">
        <v>116</v>
      </c>
    </row>
    <row r="14" spans="1:7" hidden="1" x14ac:dyDescent="0.3">
      <c r="A14" s="36">
        <v>33711942659</v>
      </c>
      <c r="B14" t="s">
        <v>813</v>
      </c>
      <c r="C14" s="35" t="s">
        <v>84</v>
      </c>
      <c r="G14" s="122" t="s">
        <v>117</v>
      </c>
    </row>
    <row r="15" spans="1:7" hidden="1" x14ac:dyDescent="0.3">
      <c r="A15" s="36">
        <v>30715243349</v>
      </c>
      <c r="B15" t="s">
        <v>814</v>
      </c>
      <c r="G15" s="123" t="s">
        <v>86</v>
      </c>
    </row>
    <row r="16" spans="1:7" hidden="1" x14ac:dyDescent="0.3">
      <c r="A16" s="36">
        <v>20174004146</v>
      </c>
      <c r="B16" t="s">
        <v>815</v>
      </c>
      <c r="C16" s="35" t="s">
        <v>84</v>
      </c>
      <c r="G16" s="122" t="s">
        <v>82</v>
      </c>
    </row>
    <row r="17" spans="1:7" hidden="1" x14ac:dyDescent="0.3">
      <c r="A17" s="36">
        <v>30708555548</v>
      </c>
      <c r="B17" t="s">
        <v>121</v>
      </c>
      <c r="C17" s="35" t="s">
        <v>84</v>
      </c>
      <c r="G17" s="123" t="s">
        <v>118</v>
      </c>
    </row>
    <row r="18" spans="1:7" hidden="1" x14ac:dyDescent="0.3">
      <c r="A18" s="36">
        <v>30708263342</v>
      </c>
      <c r="B18" t="s">
        <v>816</v>
      </c>
      <c r="C18" s="35" t="s">
        <v>39</v>
      </c>
      <c r="G18" s="122" t="s">
        <v>81</v>
      </c>
    </row>
    <row r="19" spans="1:7" hidden="1" x14ac:dyDescent="0.3">
      <c r="A19" s="36">
        <v>30709565075</v>
      </c>
      <c r="B19" t="s">
        <v>122</v>
      </c>
      <c r="C19" s="35" t="s">
        <v>784</v>
      </c>
      <c r="G19" s="123" t="s">
        <v>119</v>
      </c>
    </row>
    <row r="20" spans="1:7" hidden="1" x14ac:dyDescent="0.3">
      <c r="A20" s="36">
        <v>30500229973</v>
      </c>
      <c r="B20" t="s">
        <v>123</v>
      </c>
      <c r="C20" s="35" t="s">
        <v>84</v>
      </c>
      <c r="G20" s="122" t="s">
        <v>87</v>
      </c>
    </row>
    <row r="21" spans="1:7" hidden="1" x14ac:dyDescent="0.3">
      <c r="A21" s="36">
        <v>30710799241</v>
      </c>
      <c r="B21" t="s">
        <v>124</v>
      </c>
      <c r="G21" s="123" t="s">
        <v>93</v>
      </c>
    </row>
    <row r="22" spans="1:7" hidden="1" x14ac:dyDescent="0.3">
      <c r="A22" s="36">
        <v>20236101127</v>
      </c>
      <c r="B22" t="s">
        <v>125</v>
      </c>
      <c r="G22" s="122" t="s">
        <v>120</v>
      </c>
    </row>
    <row r="23" spans="1:7" hidden="1" x14ac:dyDescent="0.3">
      <c r="A23" s="36">
        <v>20291929126</v>
      </c>
      <c r="B23" t="s">
        <v>126</v>
      </c>
    </row>
    <row r="24" spans="1:7" hidden="1" x14ac:dyDescent="0.3">
      <c r="A24" s="36">
        <v>30709604887</v>
      </c>
      <c r="B24" t="s">
        <v>127</v>
      </c>
      <c r="C24" s="35" t="s">
        <v>785</v>
      </c>
    </row>
    <row r="25" spans="1:7" hidden="1" x14ac:dyDescent="0.3">
      <c r="A25" s="36">
        <v>20083925680</v>
      </c>
      <c r="B25" t="s">
        <v>128</v>
      </c>
      <c r="C25" s="35" t="s">
        <v>79</v>
      </c>
    </row>
    <row r="26" spans="1:7" hidden="1" x14ac:dyDescent="0.3">
      <c r="A26" s="36">
        <v>30656038752</v>
      </c>
      <c r="B26" t="s">
        <v>129</v>
      </c>
      <c r="C26" s="35" t="s">
        <v>84</v>
      </c>
    </row>
    <row r="27" spans="1:7" hidden="1" x14ac:dyDescent="0.3">
      <c r="A27" s="36">
        <v>30504563894</v>
      </c>
      <c r="B27" t="s">
        <v>130</v>
      </c>
      <c r="C27" s="35" t="s">
        <v>84</v>
      </c>
    </row>
    <row r="28" spans="1:7" hidden="1" x14ac:dyDescent="0.3">
      <c r="A28" s="36">
        <v>30602699826</v>
      </c>
      <c r="B28" t="s">
        <v>83</v>
      </c>
    </row>
    <row r="29" spans="1:7" hidden="1" x14ac:dyDescent="0.3">
      <c r="A29" s="36">
        <v>30715190385</v>
      </c>
      <c r="B29" t="s">
        <v>131</v>
      </c>
    </row>
    <row r="30" spans="1:7" hidden="1" x14ac:dyDescent="0.3">
      <c r="A30" s="36">
        <v>23945042079</v>
      </c>
      <c r="B30" t="s">
        <v>132</v>
      </c>
      <c r="C30" s="35" t="s">
        <v>79</v>
      </c>
    </row>
    <row r="31" spans="1:7" hidden="1" x14ac:dyDescent="0.3">
      <c r="A31" s="36">
        <v>20040616498</v>
      </c>
      <c r="B31" t="s">
        <v>133</v>
      </c>
    </row>
    <row r="32" spans="1:7" hidden="1" x14ac:dyDescent="0.3">
      <c r="A32" s="36">
        <v>30710587147</v>
      </c>
      <c r="B32" t="s">
        <v>134</v>
      </c>
      <c r="C32" s="35" t="s">
        <v>784</v>
      </c>
    </row>
    <row r="33" spans="1:3" hidden="1" x14ac:dyDescent="0.3">
      <c r="A33" s="36">
        <v>30663288497</v>
      </c>
      <c r="B33" t="s">
        <v>135</v>
      </c>
    </row>
    <row r="34" spans="1:3" hidden="1" x14ac:dyDescent="0.3">
      <c r="A34" s="36">
        <v>27108310559</v>
      </c>
      <c r="B34" t="s">
        <v>136</v>
      </c>
    </row>
    <row r="35" spans="1:3" hidden="1" x14ac:dyDescent="0.3">
      <c r="A35" s="36">
        <v>30502375535</v>
      </c>
      <c r="B35" t="s">
        <v>137</v>
      </c>
    </row>
    <row r="36" spans="1:3" hidden="1" x14ac:dyDescent="0.3">
      <c r="A36" s="36">
        <v>30709251739</v>
      </c>
      <c r="B36" t="s">
        <v>138</v>
      </c>
    </row>
    <row r="37" spans="1:3" hidden="1" x14ac:dyDescent="0.3">
      <c r="A37" s="36">
        <v>30709948667</v>
      </c>
      <c r="B37" t="s">
        <v>139</v>
      </c>
      <c r="C37" s="35" t="s">
        <v>84</v>
      </c>
    </row>
    <row r="38" spans="1:3" hidden="1" x14ac:dyDescent="0.3">
      <c r="A38" s="36">
        <v>30683702060</v>
      </c>
      <c r="B38" t="s">
        <v>140</v>
      </c>
      <c r="C38" s="35" t="s">
        <v>84</v>
      </c>
    </row>
    <row r="39" spans="1:3" hidden="1" x14ac:dyDescent="0.3">
      <c r="A39" s="36">
        <v>30715985124</v>
      </c>
      <c r="B39" t="s">
        <v>141</v>
      </c>
    </row>
    <row r="40" spans="1:3" hidden="1" x14ac:dyDescent="0.3">
      <c r="A40" s="36">
        <v>30714344656</v>
      </c>
      <c r="B40" t="s">
        <v>817</v>
      </c>
      <c r="C40" s="35" t="s">
        <v>84</v>
      </c>
    </row>
    <row r="41" spans="1:3" hidden="1" x14ac:dyDescent="0.3">
      <c r="A41" s="36">
        <v>30712000372</v>
      </c>
      <c r="B41" t="s">
        <v>142</v>
      </c>
      <c r="C41" s="35" t="s">
        <v>84</v>
      </c>
    </row>
    <row r="42" spans="1:3" hidden="1" x14ac:dyDescent="0.3">
      <c r="A42" s="36">
        <v>30714741167</v>
      </c>
      <c r="B42" t="s">
        <v>143</v>
      </c>
    </row>
    <row r="43" spans="1:3" hidden="1" x14ac:dyDescent="0.3">
      <c r="A43" s="36">
        <v>20927832136</v>
      </c>
      <c r="B43" t="s">
        <v>144</v>
      </c>
      <c r="C43" s="35" t="s">
        <v>79</v>
      </c>
    </row>
    <row r="44" spans="1:3" hidden="1" x14ac:dyDescent="0.3">
      <c r="A44" s="36">
        <v>27135302835</v>
      </c>
      <c r="B44" t="s">
        <v>145</v>
      </c>
    </row>
    <row r="45" spans="1:3" hidden="1" x14ac:dyDescent="0.3">
      <c r="A45" s="36">
        <v>27276671109</v>
      </c>
      <c r="B45" t="s">
        <v>146</v>
      </c>
      <c r="C45" s="35" t="s">
        <v>84</v>
      </c>
    </row>
    <row r="46" spans="1:3" hidden="1" x14ac:dyDescent="0.3">
      <c r="A46" s="36">
        <v>30711597499</v>
      </c>
      <c r="B46" t="s">
        <v>147</v>
      </c>
    </row>
    <row r="47" spans="1:3" hidden="1" x14ac:dyDescent="0.3">
      <c r="A47" s="36">
        <v>30600907553</v>
      </c>
      <c r="B47" t="s">
        <v>148</v>
      </c>
    </row>
    <row r="48" spans="1:3" hidden="1" x14ac:dyDescent="0.3">
      <c r="A48" s="36">
        <v>30709585262</v>
      </c>
      <c r="B48" t="s">
        <v>149</v>
      </c>
      <c r="C48" s="35" t="s">
        <v>785</v>
      </c>
    </row>
    <row r="49" spans="1:3" hidden="1" x14ac:dyDescent="0.3">
      <c r="A49" s="36">
        <v>30614941509</v>
      </c>
      <c r="B49" t="s">
        <v>150</v>
      </c>
    </row>
    <row r="50" spans="1:3" hidden="1" x14ac:dyDescent="0.3">
      <c r="A50" s="36">
        <v>30560443648</v>
      </c>
      <c r="B50" t="s">
        <v>151</v>
      </c>
    </row>
    <row r="51" spans="1:3" hidden="1" x14ac:dyDescent="0.3">
      <c r="A51" s="36">
        <v>30708547790</v>
      </c>
      <c r="B51" t="s">
        <v>152</v>
      </c>
    </row>
    <row r="52" spans="1:3" hidden="1" x14ac:dyDescent="0.3">
      <c r="A52" s="36">
        <v>30711624402</v>
      </c>
      <c r="B52" t="s">
        <v>153</v>
      </c>
    </row>
    <row r="53" spans="1:3" hidden="1" x14ac:dyDescent="0.3">
      <c r="A53" s="36">
        <v>20045180620</v>
      </c>
      <c r="B53" t="s">
        <v>154</v>
      </c>
      <c r="C53" s="35" t="s">
        <v>79</v>
      </c>
    </row>
    <row r="54" spans="1:3" hidden="1" x14ac:dyDescent="0.3">
      <c r="A54" s="36">
        <v>30692175243</v>
      </c>
      <c r="B54" t="s">
        <v>155</v>
      </c>
    </row>
    <row r="55" spans="1:3" hidden="1" x14ac:dyDescent="0.3">
      <c r="A55" s="36">
        <v>30708973501</v>
      </c>
      <c r="B55" t="s">
        <v>156</v>
      </c>
      <c r="C55" s="35" t="s">
        <v>84</v>
      </c>
    </row>
    <row r="56" spans="1:3" hidden="1" x14ac:dyDescent="0.3">
      <c r="A56" s="36">
        <v>30590354798</v>
      </c>
      <c r="B56" t="s">
        <v>157</v>
      </c>
    </row>
    <row r="57" spans="1:3" hidden="1" x14ac:dyDescent="0.3">
      <c r="A57" s="36">
        <v>30709860840</v>
      </c>
      <c r="B57" t="s">
        <v>158</v>
      </c>
    </row>
    <row r="58" spans="1:3" hidden="1" x14ac:dyDescent="0.3">
      <c r="A58" s="36">
        <v>30544712833</v>
      </c>
      <c r="B58" t="s">
        <v>159</v>
      </c>
      <c r="C58" s="35" t="s">
        <v>84</v>
      </c>
    </row>
    <row r="59" spans="1:3" hidden="1" x14ac:dyDescent="0.3">
      <c r="A59" s="36">
        <v>30715031252</v>
      </c>
      <c r="B59" t="s">
        <v>160</v>
      </c>
    </row>
    <row r="60" spans="1:3" hidden="1" x14ac:dyDescent="0.3">
      <c r="A60" s="36">
        <v>30711934754</v>
      </c>
      <c r="B60" t="s">
        <v>161</v>
      </c>
    </row>
    <row r="61" spans="1:3" hidden="1" x14ac:dyDescent="0.3">
      <c r="A61" s="36">
        <v>30670528592</v>
      </c>
      <c r="B61" t="s">
        <v>162</v>
      </c>
    </row>
    <row r="62" spans="1:3" hidden="1" x14ac:dyDescent="0.3">
      <c r="A62" s="36">
        <v>30574876474</v>
      </c>
      <c r="B62" t="s">
        <v>163</v>
      </c>
    </row>
    <row r="63" spans="1:3" hidden="1" x14ac:dyDescent="0.3">
      <c r="A63" s="36">
        <v>30677237119</v>
      </c>
      <c r="B63" t="s">
        <v>164</v>
      </c>
    </row>
    <row r="64" spans="1:3" hidden="1" x14ac:dyDescent="0.3">
      <c r="A64" s="36" t="s">
        <v>787</v>
      </c>
      <c r="B64" t="s">
        <v>165</v>
      </c>
    </row>
    <row r="65" spans="1:3" hidden="1" x14ac:dyDescent="0.3">
      <c r="A65" s="36">
        <v>20278462790</v>
      </c>
      <c r="B65" t="s">
        <v>818</v>
      </c>
    </row>
    <row r="66" spans="1:3" hidden="1" x14ac:dyDescent="0.3">
      <c r="A66" s="36">
        <v>30715963872</v>
      </c>
      <c r="B66" t="s">
        <v>819</v>
      </c>
    </row>
    <row r="67" spans="1:3" hidden="1" x14ac:dyDescent="0.3">
      <c r="A67" s="36">
        <v>20083762102</v>
      </c>
      <c r="B67" t="s">
        <v>166</v>
      </c>
    </row>
    <row r="68" spans="1:3" hidden="1" x14ac:dyDescent="0.3">
      <c r="A68" s="36">
        <v>20287830980</v>
      </c>
      <c r="B68" t="s">
        <v>167</v>
      </c>
    </row>
    <row r="69" spans="1:3" hidden="1" x14ac:dyDescent="0.3">
      <c r="A69" s="36">
        <v>30506919009</v>
      </c>
      <c r="B69" t="s">
        <v>168</v>
      </c>
      <c r="C69" s="35" t="s">
        <v>44</v>
      </c>
    </row>
    <row r="70" spans="1:3" hidden="1" x14ac:dyDescent="0.3">
      <c r="A70" s="36">
        <v>30535612117</v>
      </c>
      <c r="B70" t="s">
        <v>169</v>
      </c>
    </row>
    <row r="71" spans="1:3" hidden="1" x14ac:dyDescent="0.3">
      <c r="A71" s="36">
        <v>33711430879</v>
      </c>
      <c r="B71" t="s">
        <v>170</v>
      </c>
      <c r="C71" s="35" t="s">
        <v>84</v>
      </c>
    </row>
    <row r="72" spans="1:3" hidden="1" x14ac:dyDescent="0.3">
      <c r="A72" s="36">
        <v>20179619483</v>
      </c>
      <c r="B72" t="s">
        <v>171</v>
      </c>
    </row>
    <row r="73" spans="1:3" hidden="1" x14ac:dyDescent="0.3">
      <c r="A73" s="36">
        <v>30711941718</v>
      </c>
      <c r="B73" t="s">
        <v>172</v>
      </c>
      <c r="C73" s="35" t="s">
        <v>84</v>
      </c>
    </row>
    <row r="74" spans="1:3" hidden="1" x14ac:dyDescent="0.3">
      <c r="A74" s="36">
        <v>30580189411</v>
      </c>
      <c r="B74" t="s">
        <v>173</v>
      </c>
    </row>
    <row r="75" spans="1:3" hidden="1" x14ac:dyDescent="0.3">
      <c r="A75" s="36">
        <v>30500008454</v>
      </c>
      <c r="B75" t="s">
        <v>174</v>
      </c>
      <c r="C75" s="35" t="s">
        <v>86</v>
      </c>
    </row>
    <row r="76" spans="1:3" hidden="1" x14ac:dyDescent="0.3">
      <c r="A76" s="36">
        <v>30646362675</v>
      </c>
      <c r="B76" t="s">
        <v>175</v>
      </c>
    </row>
    <row r="77" spans="1:3" hidden="1" x14ac:dyDescent="0.3">
      <c r="A77" s="36">
        <v>30712458468</v>
      </c>
      <c r="B77" t="s">
        <v>176</v>
      </c>
      <c r="C77" s="35" t="s">
        <v>79</v>
      </c>
    </row>
    <row r="78" spans="1:3" hidden="1" x14ac:dyDescent="0.3">
      <c r="A78" s="36">
        <v>30714675601</v>
      </c>
      <c r="B78" t="s">
        <v>177</v>
      </c>
    </row>
    <row r="79" spans="1:3" hidden="1" x14ac:dyDescent="0.3">
      <c r="A79" s="36">
        <v>30568222187</v>
      </c>
      <c r="B79" t="s">
        <v>178</v>
      </c>
    </row>
    <row r="80" spans="1:3" hidden="1" x14ac:dyDescent="0.3">
      <c r="A80" s="36">
        <v>27248212646</v>
      </c>
      <c r="B80" t="s">
        <v>179</v>
      </c>
    </row>
    <row r="81" spans="1:3" hidden="1" x14ac:dyDescent="0.3">
      <c r="A81" s="36">
        <v>27115740666</v>
      </c>
      <c r="B81" t="s">
        <v>180</v>
      </c>
    </row>
    <row r="82" spans="1:3" hidden="1" x14ac:dyDescent="0.3">
      <c r="A82" s="36">
        <v>27129411010</v>
      </c>
      <c r="B82" t="s">
        <v>181</v>
      </c>
    </row>
    <row r="83" spans="1:3" hidden="1" x14ac:dyDescent="0.3">
      <c r="A83" s="36">
        <v>23301961944</v>
      </c>
      <c r="B83" t="s">
        <v>182</v>
      </c>
    </row>
    <row r="84" spans="1:3" hidden="1" x14ac:dyDescent="0.3">
      <c r="A84" s="36">
        <v>30710067763</v>
      </c>
      <c r="B84" t="s">
        <v>183</v>
      </c>
    </row>
    <row r="85" spans="1:3" hidden="1" x14ac:dyDescent="0.3">
      <c r="A85" s="36">
        <v>30712387315</v>
      </c>
      <c r="B85" t="s">
        <v>184</v>
      </c>
      <c r="C85" s="35" t="s">
        <v>79</v>
      </c>
    </row>
    <row r="86" spans="1:3" hidden="1" x14ac:dyDescent="0.3">
      <c r="A86" s="36">
        <v>30715210637</v>
      </c>
      <c r="B86" t="s">
        <v>185</v>
      </c>
      <c r="C86" s="35" t="s">
        <v>84</v>
      </c>
    </row>
    <row r="87" spans="1:3" hidden="1" x14ac:dyDescent="0.3">
      <c r="A87" s="36">
        <v>30712230459</v>
      </c>
      <c r="B87" t="s">
        <v>186</v>
      </c>
      <c r="C87" s="35" t="s">
        <v>84</v>
      </c>
    </row>
    <row r="88" spans="1:3" hidden="1" x14ac:dyDescent="0.3">
      <c r="A88" s="36">
        <v>30697652694</v>
      </c>
      <c r="B88" t="s">
        <v>187</v>
      </c>
    </row>
    <row r="89" spans="1:3" hidden="1" x14ac:dyDescent="0.3">
      <c r="A89" s="36">
        <v>30712476857</v>
      </c>
      <c r="B89" t="s">
        <v>820</v>
      </c>
      <c r="C89" s="35" t="s">
        <v>39</v>
      </c>
    </row>
    <row r="90" spans="1:3" hidden="1" x14ac:dyDescent="0.3">
      <c r="A90" s="36">
        <v>30708270462</v>
      </c>
      <c r="B90" t="s">
        <v>821</v>
      </c>
    </row>
    <row r="91" spans="1:3" hidden="1" x14ac:dyDescent="0.3">
      <c r="A91" s="36">
        <v>23253931159</v>
      </c>
      <c r="B91" t="s">
        <v>188</v>
      </c>
    </row>
    <row r="92" spans="1:3" hidden="1" x14ac:dyDescent="0.3">
      <c r="A92" s="36">
        <v>30655186693</v>
      </c>
      <c r="B92" t="s">
        <v>189</v>
      </c>
    </row>
    <row r="93" spans="1:3" hidden="1" x14ac:dyDescent="0.3">
      <c r="A93" s="36">
        <v>20389908569</v>
      </c>
      <c r="B93" t="s">
        <v>190</v>
      </c>
      <c r="C93" s="35" t="s">
        <v>788</v>
      </c>
    </row>
    <row r="94" spans="1:3" hidden="1" x14ac:dyDescent="0.3">
      <c r="A94" s="36">
        <v>30515676178</v>
      </c>
      <c r="B94" t="s">
        <v>191</v>
      </c>
      <c r="C94" s="35" t="s">
        <v>84</v>
      </c>
    </row>
    <row r="95" spans="1:3" hidden="1" x14ac:dyDescent="0.3">
      <c r="A95" s="36">
        <v>33711821649</v>
      </c>
      <c r="B95" t="s">
        <v>192</v>
      </c>
    </row>
    <row r="96" spans="1:3" hidden="1" x14ac:dyDescent="0.3">
      <c r="A96" s="36">
        <v>30715122657</v>
      </c>
      <c r="B96" t="s">
        <v>193</v>
      </c>
    </row>
    <row r="97" spans="1:3" hidden="1" x14ac:dyDescent="0.3">
      <c r="A97" s="36">
        <v>30715549871</v>
      </c>
      <c r="B97" t="s">
        <v>194</v>
      </c>
    </row>
    <row r="98" spans="1:3" hidden="1" x14ac:dyDescent="0.3">
      <c r="A98" s="36">
        <v>20085280512</v>
      </c>
      <c r="B98" t="s">
        <v>195</v>
      </c>
      <c r="C98" s="35" t="s">
        <v>84</v>
      </c>
    </row>
    <row r="99" spans="1:3" hidden="1" x14ac:dyDescent="0.3">
      <c r="A99" s="36">
        <v>30595442369</v>
      </c>
      <c r="B99" t="s">
        <v>196</v>
      </c>
      <c r="C99" s="35" t="s">
        <v>84</v>
      </c>
    </row>
    <row r="100" spans="1:3" hidden="1" x14ac:dyDescent="0.3">
      <c r="A100" s="36">
        <v>27289847141</v>
      </c>
      <c r="B100" t="s">
        <v>197</v>
      </c>
      <c r="C100" s="35" t="s">
        <v>46</v>
      </c>
    </row>
    <row r="101" spans="1:3" hidden="1" x14ac:dyDescent="0.3">
      <c r="A101" s="36">
        <v>30715920502</v>
      </c>
      <c r="B101" t="s">
        <v>198</v>
      </c>
    </row>
    <row r="102" spans="1:3" hidden="1" x14ac:dyDescent="0.3">
      <c r="A102" s="36">
        <v>30573652084</v>
      </c>
      <c r="B102" t="s">
        <v>199</v>
      </c>
      <c r="C102" s="35" t="s">
        <v>784</v>
      </c>
    </row>
    <row r="103" spans="1:3" hidden="1" x14ac:dyDescent="0.3">
      <c r="A103" s="36">
        <v>30606248519</v>
      </c>
      <c r="B103" t="s">
        <v>200</v>
      </c>
      <c r="C103" s="35" t="s">
        <v>84</v>
      </c>
    </row>
    <row r="104" spans="1:3" hidden="1" x14ac:dyDescent="0.3">
      <c r="A104" s="36">
        <v>20265226664</v>
      </c>
      <c r="B104" t="s">
        <v>201</v>
      </c>
    </row>
    <row r="105" spans="1:3" hidden="1" x14ac:dyDescent="0.3">
      <c r="A105" s="36">
        <v>27178101647</v>
      </c>
      <c r="B105" t="s">
        <v>202</v>
      </c>
    </row>
    <row r="106" spans="1:3" hidden="1" x14ac:dyDescent="0.3">
      <c r="A106" s="36">
        <v>30685020633</v>
      </c>
      <c r="B106" t="s">
        <v>203</v>
      </c>
      <c r="C106" s="35" t="s">
        <v>84</v>
      </c>
    </row>
    <row r="107" spans="1:3" hidden="1" x14ac:dyDescent="0.3">
      <c r="A107" s="36">
        <v>30709876135</v>
      </c>
      <c r="B107" t="s">
        <v>204</v>
      </c>
      <c r="C107" s="35" t="s">
        <v>84</v>
      </c>
    </row>
    <row r="108" spans="1:3" hidden="1" x14ac:dyDescent="0.3">
      <c r="A108" s="36">
        <v>20182721787</v>
      </c>
      <c r="B108" t="s">
        <v>205</v>
      </c>
      <c r="C108" s="35" t="s">
        <v>84</v>
      </c>
    </row>
    <row r="109" spans="1:3" hidden="1" x14ac:dyDescent="0.3">
      <c r="A109" s="36">
        <v>20271174803</v>
      </c>
      <c r="B109" t="s">
        <v>206</v>
      </c>
    </row>
    <row r="110" spans="1:3" hidden="1" x14ac:dyDescent="0.3">
      <c r="A110" s="36">
        <v>20101384412</v>
      </c>
      <c r="B110" t="s">
        <v>207</v>
      </c>
      <c r="C110" s="35" t="s">
        <v>84</v>
      </c>
    </row>
    <row r="111" spans="1:3" hidden="1" x14ac:dyDescent="0.3">
      <c r="A111" s="36">
        <v>20129871947</v>
      </c>
      <c r="B111" t="s">
        <v>208</v>
      </c>
      <c r="C111" s="35" t="s">
        <v>84</v>
      </c>
    </row>
    <row r="112" spans="1:3" hidden="1" x14ac:dyDescent="0.3">
      <c r="A112" s="36">
        <v>33503921249</v>
      </c>
      <c r="B112" t="s">
        <v>209</v>
      </c>
      <c r="C112" s="35" t="s">
        <v>84</v>
      </c>
    </row>
    <row r="113" spans="1:3" hidden="1" x14ac:dyDescent="0.3">
      <c r="A113" s="36">
        <v>30525517094</v>
      </c>
      <c r="B113" t="s">
        <v>210</v>
      </c>
    </row>
    <row r="114" spans="1:3" hidden="1" x14ac:dyDescent="0.3">
      <c r="A114" s="36">
        <v>33712276539</v>
      </c>
      <c r="B114" t="s">
        <v>211</v>
      </c>
      <c r="C114" s="35" t="s">
        <v>84</v>
      </c>
    </row>
    <row r="115" spans="1:3" hidden="1" x14ac:dyDescent="0.3">
      <c r="A115" s="36">
        <v>30710176325</v>
      </c>
      <c r="B115" t="s">
        <v>212</v>
      </c>
    </row>
    <row r="116" spans="1:3" hidden="1" x14ac:dyDescent="0.3">
      <c r="A116" s="36">
        <v>30697574480</v>
      </c>
      <c r="B116" t="s">
        <v>213</v>
      </c>
    </row>
    <row r="117" spans="1:3" hidden="1" x14ac:dyDescent="0.3">
      <c r="A117" s="36">
        <v>30568463591</v>
      </c>
      <c r="B117" t="s">
        <v>214</v>
      </c>
    </row>
    <row r="118" spans="1:3" hidden="1" x14ac:dyDescent="0.3">
      <c r="A118" s="36">
        <v>30590360763</v>
      </c>
      <c r="B118" t="s">
        <v>88</v>
      </c>
      <c r="C118" s="35" t="s">
        <v>79</v>
      </c>
    </row>
    <row r="119" spans="1:3" hidden="1" x14ac:dyDescent="0.3">
      <c r="A119" s="36">
        <v>30707612971</v>
      </c>
      <c r="B119" t="s">
        <v>215</v>
      </c>
    </row>
    <row r="120" spans="1:3" hidden="1" x14ac:dyDescent="0.3">
      <c r="A120" s="36">
        <v>20182095215</v>
      </c>
      <c r="B120" t="s">
        <v>216</v>
      </c>
    </row>
    <row r="121" spans="1:3" hidden="1" x14ac:dyDescent="0.3">
      <c r="A121" s="36">
        <v>30708741562</v>
      </c>
      <c r="B121" t="s">
        <v>217</v>
      </c>
      <c r="C121" s="35" t="s">
        <v>84</v>
      </c>
    </row>
    <row r="122" spans="1:3" hidden="1" x14ac:dyDescent="0.3">
      <c r="A122" s="36">
        <v>30712192735</v>
      </c>
      <c r="B122" t="s">
        <v>218</v>
      </c>
    </row>
    <row r="123" spans="1:3" hidden="1" x14ac:dyDescent="0.3">
      <c r="A123" s="36">
        <v>30656459677</v>
      </c>
      <c r="B123" t="s">
        <v>219</v>
      </c>
    </row>
    <row r="124" spans="1:3" hidden="1" x14ac:dyDescent="0.3">
      <c r="A124" s="36">
        <v>27945274110</v>
      </c>
      <c r="B124" t="s">
        <v>220</v>
      </c>
      <c r="C124" s="35" t="s">
        <v>84</v>
      </c>
    </row>
    <row r="125" spans="1:3" hidden="1" x14ac:dyDescent="0.3">
      <c r="A125" s="36">
        <v>30707986189</v>
      </c>
      <c r="B125" t="s">
        <v>221</v>
      </c>
      <c r="C125" s="35" t="s">
        <v>84</v>
      </c>
    </row>
    <row r="126" spans="1:3" hidden="1" x14ac:dyDescent="0.3">
      <c r="A126" s="36">
        <v>30714500933</v>
      </c>
      <c r="B126" t="s">
        <v>222</v>
      </c>
    </row>
    <row r="127" spans="1:3" hidden="1" x14ac:dyDescent="0.3">
      <c r="A127" s="36">
        <v>30702286987</v>
      </c>
      <c r="B127" t="s">
        <v>223</v>
      </c>
      <c r="C127" s="35" t="s">
        <v>79</v>
      </c>
    </row>
    <row r="128" spans="1:3" hidden="1" x14ac:dyDescent="0.3">
      <c r="A128" s="36">
        <v>30708651644</v>
      </c>
      <c r="B128" t="s">
        <v>224</v>
      </c>
    </row>
    <row r="129" spans="1:3" hidden="1" x14ac:dyDescent="0.3">
      <c r="A129" s="36">
        <v>27172039036</v>
      </c>
      <c r="B129" t="s">
        <v>225</v>
      </c>
    </row>
    <row r="130" spans="1:3" hidden="1" x14ac:dyDescent="0.3">
      <c r="A130" s="36">
        <v>20927573483</v>
      </c>
      <c r="B130" t="s">
        <v>226</v>
      </c>
    </row>
    <row r="131" spans="1:3" hidden="1" x14ac:dyDescent="0.3">
      <c r="A131" s="36">
        <v>30628878966</v>
      </c>
      <c r="B131" t="s">
        <v>227</v>
      </c>
    </row>
    <row r="132" spans="1:3" hidden="1" x14ac:dyDescent="0.3">
      <c r="A132" s="36">
        <v>30530328348</v>
      </c>
      <c r="B132" t="s">
        <v>228</v>
      </c>
    </row>
    <row r="133" spans="1:3" hidden="1" x14ac:dyDescent="0.3">
      <c r="A133" s="36">
        <v>30525390086</v>
      </c>
      <c r="B133" t="s">
        <v>89</v>
      </c>
    </row>
    <row r="134" spans="1:3" hidden="1" x14ac:dyDescent="0.3">
      <c r="A134" s="36">
        <v>30638177826</v>
      </c>
      <c r="B134" t="s">
        <v>229</v>
      </c>
    </row>
    <row r="135" spans="1:3" hidden="1" x14ac:dyDescent="0.3">
      <c r="A135" s="36">
        <v>23117888169</v>
      </c>
      <c r="B135" t="s">
        <v>230</v>
      </c>
      <c r="C135" s="35" t="s">
        <v>84</v>
      </c>
    </row>
    <row r="136" spans="1:3" hidden="1" x14ac:dyDescent="0.3">
      <c r="A136" s="36">
        <v>30688140923</v>
      </c>
      <c r="B136" t="s">
        <v>231</v>
      </c>
      <c r="C136" s="35" t="s">
        <v>84</v>
      </c>
    </row>
    <row r="137" spans="1:3" hidden="1" x14ac:dyDescent="0.3">
      <c r="A137" s="36">
        <v>30707212698</v>
      </c>
      <c r="B137" t="s">
        <v>822</v>
      </c>
      <c r="C137" s="35" t="s">
        <v>79</v>
      </c>
    </row>
    <row r="138" spans="1:3" hidden="1" x14ac:dyDescent="0.3">
      <c r="A138" s="36">
        <v>30707212698</v>
      </c>
      <c r="B138" t="s">
        <v>232</v>
      </c>
      <c r="C138" s="35" t="s">
        <v>84</v>
      </c>
    </row>
    <row r="139" spans="1:3" hidden="1" x14ac:dyDescent="0.3">
      <c r="A139" s="36">
        <v>30519492136</v>
      </c>
      <c r="B139" t="s">
        <v>233</v>
      </c>
      <c r="C139" s="35" t="s">
        <v>84</v>
      </c>
    </row>
    <row r="140" spans="1:3" hidden="1" x14ac:dyDescent="0.3">
      <c r="A140" s="36" t="s">
        <v>823</v>
      </c>
      <c r="B140" t="s">
        <v>824</v>
      </c>
    </row>
    <row r="141" spans="1:3" hidden="1" x14ac:dyDescent="0.3">
      <c r="A141" s="36">
        <v>30518455970</v>
      </c>
      <c r="B141" t="s">
        <v>234</v>
      </c>
    </row>
    <row r="142" spans="1:3" hidden="1" x14ac:dyDescent="0.3">
      <c r="A142" s="36">
        <v>30682115722</v>
      </c>
      <c r="B142" t="s">
        <v>235</v>
      </c>
    </row>
    <row r="143" spans="1:3" hidden="1" x14ac:dyDescent="0.3">
      <c r="A143" s="36">
        <v>30649331916</v>
      </c>
      <c r="B143" t="s">
        <v>825</v>
      </c>
    </row>
    <row r="144" spans="1:3" hidden="1" x14ac:dyDescent="0.3">
      <c r="A144" s="36">
        <v>30605344352</v>
      </c>
      <c r="B144" t="s">
        <v>236</v>
      </c>
      <c r="C144" s="35" t="s">
        <v>49</v>
      </c>
    </row>
    <row r="145" spans="1:3" hidden="1" x14ac:dyDescent="0.3">
      <c r="A145" s="36">
        <v>30714510092</v>
      </c>
      <c r="B145" t="s">
        <v>237</v>
      </c>
      <c r="C145" s="35" t="s">
        <v>84</v>
      </c>
    </row>
    <row r="146" spans="1:3" hidden="1" x14ac:dyDescent="0.3">
      <c r="A146" s="36">
        <v>30715904868</v>
      </c>
      <c r="B146" t="s">
        <v>238</v>
      </c>
    </row>
    <row r="147" spans="1:3" hidden="1" x14ac:dyDescent="0.3">
      <c r="A147" s="36">
        <v>33714788219</v>
      </c>
      <c r="B147" t="s">
        <v>239</v>
      </c>
    </row>
    <row r="148" spans="1:3" hidden="1" x14ac:dyDescent="0.3">
      <c r="A148" s="36">
        <v>20134281783</v>
      </c>
      <c r="B148" t="s">
        <v>240</v>
      </c>
      <c r="C148" s="35" t="s">
        <v>84</v>
      </c>
    </row>
    <row r="149" spans="1:3" hidden="1" x14ac:dyDescent="0.3">
      <c r="A149" s="36">
        <v>30519678205</v>
      </c>
      <c r="B149" t="s">
        <v>241</v>
      </c>
    </row>
    <row r="150" spans="1:3" hidden="1" x14ac:dyDescent="0.3">
      <c r="A150" s="36">
        <v>30548345525</v>
      </c>
      <c r="B150" t="s">
        <v>242</v>
      </c>
      <c r="C150" s="35" t="s">
        <v>79</v>
      </c>
    </row>
    <row r="151" spans="1:3" hidden="1" x14ac:dyDescent="0.3">
      <c r="A151" s="36">
        <v>30549345525</v>
      </c>
      <c r="B151" t="s">
        <v>242</v>
      </c>
      <c r="C151" s="35" t="s">
        <v>784</v>
      </c>
    </row>
    <row r="152" spans="1:3" hidden="1" x14ac:dyDescent="0.3">
      <c r="A152" s="36">
        <v>30693761421</v>
      </c>
      <c r="B152" t="s">
        <v>243</v>
      </c>
    </row>
    <row r="153" spans="1:3" hidden="1" x14ac:dyDescent="0.3">
      <c r="A153" s="36">
        <v>30709479624</v>
      </c>
      <c r="B153" t="s">
        <v>244</v>
      </c>
    </row>
    <row r="154" spans="1:3" hidden="1" x14ac:dyDescent="0.3">
      <c r="A154" s="36">
        <v>23115425099</v>
      </c>
      <c r="B154" t="s">
        <v>245</v>
      </c>
    </row>
    <row r="155" spans="1:3" hidden="1" x14ac:dyDescent="0.3">
      <c r="A155" s="36">
        <v>30548083156</v>
      </c>
      <c r="B155" t="s">
        <v>91</v>
      </c>
      <c r="C155" s="35" t="s">
        <v>79</v>
      </c>
    </row>
    <row r="156" spans="1:3" hidden="1" x14ac:dyDescent="0.3">
      <c r="A156" s="36">
        <v>30714436437</v>
      </c>
      <c r="B156" t="s">
        <v>246</v>
      </c>
    </row>
    <row r="157" spans="1:3" hidden="1" x14ac:dyDescent="0.3">
      <c r="A157" s="36">
        <v>33709258619</v>
      </c>
      <c r="B157" t="s">
        <v>826</v>
      </c>
      <c r="C157" s="35" t="s">
        <v>39</v>
      </c>
    </row>
    <row r="158" spans="1:3" hidden="1" x14ac:dyDescent="0.3">
      <c r="A158" s="36">
        <v>30610255783</v>
      </c>
      <c r="B158" t="s">
        <v>247</v>
      </c>
      <c r="C158" s="35" t="s">
        <v>84</v>
      </c>
    </row>
    <row r="159" spans="1:3" hidden="1" x14ac:dyDescent="0.3">
      <c r="A159" s="36">
        <v>30715406043</v>
      </c>
      <c r="B159" t="s">
        <v>248</v>
      </c>
      <c r="C159" s="35" t="s">
        <v>79</v>
      </c>
    </row>
    <row r="160" spans="1:3" hidden="1" x14ac:dyDescent="0.3">
      <c r="A160" s="36">
        <v>20224565314</v>
      </c>
      <c r="B160" t="s">
        <v>249</v>
      </c>
    </row>
    <row r="161" spans="1:3" hidden="1" x14ac:dyDescent="0.3">
      <c r="A161" s="36">
        <v>30710986416</v>
      </c>
      <c r="B161" t="s">
        <v>250</v>
      </c>
      <c r="C161" s="35" t="s">
        <v>84</v>
      </c>
    </row>
    <row r="162" spans="1:3" hidden="1" x14ac:dyDescent="0.3">
      <c r="A162" s="36">
        <v>30648270417</v>
      </c>
      <c r="B162" t="s">
        <v>251</v>
      </c>
      <c r="C162" s="35" t="s">
        <v>84</v>
      </c>
    </row>
    <row r="163" spans="1:3" hidden="1" x14ac:dyDescent="0.3">
      <c r="A163" s="36">
        <v>30710335008</v>
      </c>
      <c r="B163" t="s">
        <v>252</v>
      </c>
    </row>
    <row r="164" spans="1:3" hidden="1" x14ac:dyDescent="0.3">
      <c r="A164" s="36">
        <v>20125815511</v>
      </c>
      <c r="B164" t="s">
        <v>253</v>
      </c>
    </row>
    <row r="165" spans="1:3" hidden="1" x14ac:dyDescent="0.3">
      <c r="A165" s="36">
        <v>30712070133</v>
      </c>
      <c r="B165" t="s">
        <v>254</v>
      </c>
    </row>
    <row r="166" spans="1:3" hidden="1" x14ac:dyDescent="0.3">
      <c r="A166" s="36">
        <v>23172107559</v>
      </c>
      <c r="B166" t="s">
        <v>255</v>
      </c>
    </row>
    <row r="167" spans="1:3" hidden="1" x14ac:dyDescent="0.3">
      <c r="A167" s="36">
        <v>30597228984</v>
      </c>
      <c r="B167" t="s">
        <v>256</v>
      </c>
    </row>
    <row r="168" spans="1:3" hidden="1" x14ac:dyDescent="0.3">
      <c r="A168" s="36">
        <v>30710984332</v>
      </c>
      <c r="B168" t="s">
        <v>257</v>
      </c>
    </row>
    <row r="169" spans="1:3" hidden="1" x14ac:dyDescent="0.3">
      <c r="A169" s="36">
        <v>27216710253</v>
      </c>
      <c r="B169" t="s">
        <v>258</v>
      </c>
      <c r="C169" s="35" t="s">
        <v>84</v>
      </c>
    </row>
    <row r="170" spans="1:3" hidden="1" x14ac:dyDescent="0.3">
      <c r="A170" s="36">
        <v>27308260440</v>
      </c>
      <c r="B170" t="s">
        <v>259</v>
      </c>
      <c r="C170" s="35" t="s">
        <v>79</v>
      </c>
    </row>
    <row r="171" spans="1:3" hidden="1" x14ac:dyDescent="0.3">
      <c r="A171" s="36">
        <v>30710513895</v>
      </c>
      <c r="B171" t="s">
        <v>260</v>
      </c>
    </row>
    <row r="172" spans="1:3" hidden="1" x14ac:dyDescent="0.3">
      <c r="A172" s="36">
        <v>30522798106</v>
      </c>
      <c r="B172" t="s">
        <v>261</v>
      </c>
    </row>
    <row r="173" spans="1:3" hidden="1" x14ac:dyDescent="0.3">
      <c r="A173" s="36">
        <v>33715370269</v>
      </c>
      <c r="B173" t="s">
        <v>262</v>
      </c>
      <c r="C173" s="35" t="s">
        <v>84</v>
      </c>
    </row>
    <row r="174" spans="1:3" hidden="1" x14ac:dyDescent="0.3">
      <c r="A174" s="36">
        <v>30710988109</v>
      </c>
      <c r="B174" t="s">
        <v>263</v>
      </c>
    </row>
    <row r="175" spans="1:3" hidden="1" x14ac:dyDescent="0.3">
      <c r="A175" s="36">
        <v>30516186670</v>
      </c>
      <c r="B175" t="s">
        <v>92</v>
      </c>
      <c r="C175" s="35" t="s">
        <v>84</v>
      </c>
    </row>
    <row r="176" spans="1:3" hidden="1" x14ac:dyDescent="0.3">
      <c r="A176" s="36">
        <v>27340766445</v>
      </c>
      <c r="B176" t="s">
        <v>264</v>
      </c>
      <c r="C176" s="35" t="s">
        <v>84</v>
      </c>
    </row>
    <row r="177" spans="1:3" hidden="1" x14ac:dyDescent="0.3">
      <c r="A177" s="36">
        <v>20222786054</v>
      </c>
      <c r="B177" t="s">
        <v>265</v>
      </c>
    </row>
    <row r="178" spans="1:3" hidden="1" x14ac:dyDescent="0.3">
      <c r="A178" s="36">
        <v>33700851279</v>
      </c>
      <c r="B178" t="s">
        <v>266</v>
      </c>
      <c r="C178" s="35" t="s">
        <v>84</v>
      </c>
    </row>
    <row r="179" spans="1:3" hidden="1" x14ac:dyDescent="0.3">
      <c r="A179" s="36">
        <v>20045615473</v>
      </c>
      <c r="B179" t="s">
        <v>267</v>
      </c>
      <c r="C179" s="35" t="s">
        <v>84</v>
      </c>
    </row>
    <row r="180" spans="1:3" hidden="1" x14ac:dyDescent="0.3">
      <c r="A180" s="36">
        <v>30685849751</v>
      </c>
      <c r="B180" t="s">
        <v>268</v>
      </c>
    </row>
    <row r="181" spans="1:3" hidden="1" x14ac:dyDescent="0.3">
      <c r="A181" s="36">
        <v>20271532483</v>
      </c>
      <c r="B181" t="s">
        <v>269</v>
      </c>
      <c r="C181" s="35" t="s">
        <v>84</v>
      </c>
    </row>
    <row r="182" spans="1:3" hidden="1" x14ac:dyDescent="0.3">
      <c r="A182" s="36">
        <v>30522536748</v>
      </c>
      <c r="B182" t="s">
        <v>270</v>
      </c>
      <c r="C182" s="35" t="s">
        <v>84</v>
      </c>
    </row>
    <row r="183" spans="1:3" hidden="1" x14ac:dyDescent="0.3">
      <c r="A183" s="36">
        <v>20273758063</v>
      </c>
      <c r="B183" t="s">
        <v>271</v>
      </c>
    </row>
    <row r="184" spans="1:3" hidden="1" x14ac:dyDescent="0.3">
      <c r="A184" s="36">
        <v>20181701820</v>
      </c>
      <c r="B184" t="s">
        <v>272</v>
      </c>
    </row>
    <row r="185" spans="1:3" hidden="1" x14ac:dyDescent="0.3">
      <c r="A185" s="36">
        <v>30505345793</v>
      </c>
      <c r="B185" t="s">
        <v>273</v>
      </c>
      <c r="C185" s="35" t="s">
        <v>84</v>
      </c>
    </row>
    <row r="186" spans="1:3" hidden="1" x14ac:dyDescent="0.3">
      <c r="A186" s="36">
        <v>30663011746</v>
      </c>
      <c r="B186" t="s">
        <v>274</v>
      </c>
      <c r="C186" s="35" t="s">
        <v>84</v>
      </c>
    </row>
    <row r="187" spans="1:3" hidden="1" x14ac:dyDescent="0.3">
      <c r="A187" s="36">
        <v>30694549817</v>
      </c>
      <c r="B187" t="s">
        <v>275</v>
      </c>
      <c r="C187" s="35" t="s">
        <v>84</v>
      </c>
    </row>
    <row r="188" spans="1:3" hidden="1" x14ac:dyDescent="0.3">
      <c r="A188" s="36">
        <v>23117702529</v>
      </c>
      <c r="B188" t="s">
        <v>276</v>
      </c>
      <c r="C188" s="35" t="s">
        <v>84</v>
      </c>
    </row>
    <row r="189" spans="1:3" hidden="1" x14ac:dyDescent="0.3">
      <c r="A189" s="36">
        <v>30709410144</v>
      </c>
      <c r="B189" t="s">
        <v>277</v>
      </c>
      <c r="C189" s="35" t="s">
        <v>84</v>
      </c>
    </row>
    <row r="190" spans="1:3" hidden="1" x14ac:dyDescent="0.3">
      <c r="A190" s="36">
        <v>30683009195</v>
      </c>
      <c r="B190" t="s">
        <v>278</v>
      </c>
    </row>
    <row r="191" spans="1:3" hidden="1" x14ac:dyDescent="0.3">
      <c r="A191" s="36">
        <v>33714212589</v>
      </c>
      <c r="B191" t="s">
        <v>279</v>
      </c>
      <c r="C191" s="35" t="s">
        <v>84</v>
      </c>
    </row>
    <row r="192" spans="1:3" hidden="1" x14ac:dyDescent="0.3">
      <c r="A192" s="36">
        <v>27206941419</v>
      </c>
      <c r="B192" t="s">
        <v>280</v>
      </c>
    </row>
    <row r="193" spans="1:3" hidden="1" x14ac:dyDescent="0.3">
      <c r="A193" s="36">
        <v>27185433736</v>
      </c>
      <c r="B193" t="s">
        <v>281</v>
      </c>
    </row>
    <row r="194" spans="1:3" hidden="1" x14ac:dyDescent="0.3">
      <c r="A194" s="36">
        <v>20291523626</v>
      </c>
      <c r="B194" t="s">
        <v>282</v>
      </c>
    </row>
    <row r="195" spans="1:3" hidden="1" x14ac:dyDescent="0.3">
      <c r="A195" s="36">
        <v>30711974268</v>
      </c>
      <c r="B195" t="s">
        <v>283</v>
      </c>
    </row>
    <row r="196" spans="1:3" hidden="1" x14ac:dyDescent="0.3">
      <c r="A196" s="36">
        <v>30702966066</v>
      </c>
      <c r="B196" t="s">
        <v>284</v>
      </c>
      <c r="C196" s="35" t="s">
        <v>84</v>
      </c>
    </row>
    <row r="197" spans="1:3" hidden="1" x14ac:dyDescent="0.3">
      <c r="A197" s="36">
        <v>27149042488</v>
      </c>
      <c r="B197" t="s">
        <v>285</v>
      </c>
      <c r="C197" s="35" t="s">
        <v>79</v>
      </c>
    </row>
    <row r="198" spans="1:3" hidden="1" x14ac:dyDescent="0.3">
      <c r="A198" s="36">
        <v>30711727236</v>
      </c>
      <c r="B198" t="s">
        <v>286</v>
      </c>
      <c r="C198" s="35" t="s">
        <v>79</v>
      </c>
    </row>
    <row r="199" spans="1:3" hidden="1" x14ac:dyDescent="0.3">
      <c r="A199" s="36">
        <v>30707791728</v>
      </c>
      <c r="B199" t="s">
        <v>287</v>
      </c>
      <c r="C199" s="35" t="s">
        <v>79</v>
      </c>
    </row>
    <row r="200" spans="1:3" hidden="1" x14ac:dyDescent="0.3">
      <c r="A200" s="36">
        <v>30655116202</v>
      </c>
      <c r="B200" t="s">
        <v>288</v>
      </c>
    </row>
    <row r="201" spans="1:3" hidden="1" x14ac:dyDescent="0.3">
      <c r="A201" s="36">
        <v>30655116512</v>
      </c>
      <c r="B201" t="s">
        <v>289</v>
      </c>
      <c r="C201" s="35" t="s">
        <v>784</v>
      </c>
    </row>
    <row r="202" spans="1:3" hidden="1" x14ac:dyDescent="0.3">
      <c r="A202" s="36">
        <v>20045397506</v>
      </c>
      <c r="B202" t="s">
        <v>290</v>
      </c>
      <c r="C202" s="35" t="s">
        <v>84</v>
      </c>
    </row>
    <row r="203" spans="1:3" hidden="1" x14ac:dyDescent="0.3">
      <c r="A203" s="36">
        <v>30555405428</v>
      </c>
      <c r="B203" t="s">
        <v>291</v>
      </c>
    </row>
    <row r="204" spans="1:3" hidden="1" x14ac:dyDescent="0.3">
      <c r="A204" s="36">
        <v>30500039430</v>
      </c>
      <c r="B204" t="s">
        <v>292</v>
      </c>
    </row>
    <row r="205" spans="1:3" hidden="1" x14ac:dyDescent="0.3">
      <c r="A205" s="36">
        <v>30709363944</v>
      </c>
      <c r="B205" t="s">
        <v>293</v>
      </c>
    </row>
    <row r="206" spans="1:3" hidden="1" x14ac:dyDescent="0.3">
      <c r="A206" s="36">
        <v>30543659734</v>
      </c>
      <c r="B206" t="s">
        <v>294</v>
      </c>
      <c r="C206" s="35" t="s">
        <v>785</v>
      </c>
    </row>
    <row r="207" spans="1:3" hidden="1" x14ac:dyDescent="0.3">
      <c r="A207" s="36">
        <v>27290073419</v>
      </c>
      <c r="B207" t="s">
        <v>295</v>
      </c>
      <c r="C207" s="35" t="s">
        <v>79</v>
      </c>
    </row>
    <row r="208" spans="1:3" hidden="1" x14ac:dyDescent="0.3">
      <c r="A208" s="36">
        <v>30709641073</v>
      </c>
      <c r="B208" t="s">
        <v>296</v>
      </c>
    </row>
    <row r="209" spans="1:3" hidden="1" x14ac:dyDescent="0.3">
      <c r="A209" s="36">
        <v>30709131865</v>
      </c>
      <c r="B209" t="s">
        <v>297</v>
      </c>
    </row>
    <row r="210" spans="1:3" hidden="1" x14ac:dyDescent="0.3">
      <c r="A210" s="36">
        <v>30707397256</v>
      </c>
      <c r="B210" t="s">
        <v>1137</v>
      </c>
      <c r="C210" s="35" t="s">
        <v>1138</v>
      </c>
    </row>
    <row r="211" spans="1:3" hidden="1" x14ac:dyDescent="0.3">
      <c r="A211" s="36">
        <v>23136548719</v>
      </c>
      <c r="B211" t="s">
        <v>298</v>
      </c>
    </row>
    <row r="212" spans="1:3" hidden="1" x14ac:dyDescent="0.3">
      <c r="A212" s="36">
        <v>30517613165</v>
      </c>
      <c r="B212" t="s">
        <v>299</v>
      </c>
      <c r="C212" s="35" t="s">
        <v>84</v>
      </c>
    </row>
    <row r="213" spans="1:3" hidden="1" x14ac:dyDescent="0.3">
      <c r="A213" s="36">
        <v>30709368067</v>
      </c>
      <c r="B213" t="s">
        <v>300</v>
      </c>
      <c r="C213" s="35" t="s">
        <v>46</v>
      </c>
    </row>
    <row r="214" spans="1:3" hidden="1" x14ac:dyDescent="0.3">
      <c r="A214" s="36">
        <v>30614104712</v>
      </c>
      <c r="B214" t="s">
        <v>301</v>
      </c>
      <c r="C214" s="35" t="s">
        <v>79</v>
      </c>
    </row>
    <row r="215" spans="1:3" hidden="1" x14ac:dyDescent="0.3">
      <c r="A215" s="36">
        <v>30711861552</v>
      </c>
      <c r="B215" t="s">
        <v>302</v>
      </c>
      <c r="C215" s="35" t="s">
        <v>84</v>
      </c>
    </row>
    <row r="216" spans="1:3" hidden="1" x14ac:dyDescent="0.3">
      <c r="A216" s="36">
        <v>33714662819</v>
      </c>
      <c r="B216" t="s">
        <v>303</v>
      </c>
      <c r="C216" s="35" t="s">
        <v>84</v>
      </c>
    </row>
    <row r="217" spans="1:3" hidden="1" x14ac:dyDescent="0.3">
      <c r="A217" s="36">
        <v>33502734259</v>
      </c>
      <c r="B217" t="s">
        <v>304</v>
      </c>
      <c r="C217" s="35" t="s">
        <v>84</v>
      </c>
    </row>
    <row r="218" spans="1:3" hidden="1" x14ac:dyDescent="0.3">
      <c r="A218" s="36">
        <v>30503255533</v>
      </c>
      <c r="B218" t="s">
        <v>305</v>
      </c>
      <c r="C218" s="35" t="s">
        <v>84</v>
      </c>
    </row>
    <row r="219" spans="1:3" hidden="1" x14ac:dyDescent="0.3">
      <c r="A219" s="36">
        <v>20140958213</v>
      </c>
      <c r="B219" t="s">
        <v>306</v>
      </c>
      <c r="C219" s="35" t="s">
        <v>84</v>
      </c>
    </row>
    <row r="220" spans="1:3" hidden="1" x14ac:dyDescent="0.3">
      <c r="A220" s="36">
        <v>30659276964</v>
      </c>
      <c r="B220" t="s">
        <v>307</v>
      </c>
    </row>
    <row r="221" spans="1:3" hidden="1" x14ac:dyDescent="0.3">
      <c r="A221" s="36">
        <v>20333309433</v>
      </c>
      <c r="B221" t="s">
        <v>308</v>
      </c>
    </row>
    <row r="222" spans="1:3" hidden="1" x14ac:dyDescent="0.3">
      <c r="A222" s="36">
        <v>27134817858</v>
      </c>
      <c r="B222" t="s">
        <v>309</v>
      </c>
      <c r="C222" s="35" t="s">
        <v>79</v>
      </c>
    </row>
    <row r="223" spans="1:3" hidden="1" x14ac:dyDescent="0.3">
      <c r="A223" s="36">
        <v>27134817856</v>
      </c>
      <c r="B223" t="s">
        <v>309</v>
      </c>
      <c r="C223" s="35" t="s">
        <v>79</v>
      </c>
    </row>
    <row r="224" spans="1:3" hidden="1" x14ac:dyDescent="0.3">
      <c r="A224" s="36">
        <v>30709440515</v>
      </c>
      <c r="B224" t="s">
        <v>310</v>
      </c>
    </row>
    <row r="225" spans="1:3" hidden="1" x14ac:dyDescent="0.3">
      <c r="A225" s="36">
        <v>33649668029</v>
      </c>
      <c r="B225" t="s">
        <v>792</v>
      </c>
    </row>
    <row r="226" spans="1:3" hidden="1" x14ac:dyDescent="0.3">
      <c r="A226" s="36">
        <v>20075959134</v>
      </c>
      <c r="B226" t="s">
        <v>311</v>
      </c>
      <c r="C226" s="35" t="s">
        <v>788</v>
      </c>
    </row>
    <row r="227" spans="1:3" hidden="1" x14ac:dyDescent="0.3">
      <c r="A227" s="36">
        <v>20086277523</v>
      </c>
      <c r="B227" t="s">
        <v>94</v>
      </c>
      <c r="C227" s="35" t="s">
        <v>788</v>
      </c>
    </row>
    <row r="228" spans="1:3" hidden="1" x14ac:dyDescent="0.3">
      <c r="A228" s="36">
        <v>30716109158</v>
      </c>
      <c r="B228" t="s">
        <v>312</v>
      </c>
    </row>
    <row r="229" spans="1:3" hidden="1" x14ac:dyDescent="0.3">
      <c r="A229" s="36">
        <v>33714956049</v>
      </c>
      <c r="B229" t="s">
        <v>313</v>
      </c>
    </row>
    <row r="230" spans="1:3" hidden="1" x14ac:dyDescent="0.3">
      <c r="A230" s="36">
        <v>30526582884</v>
      </c>
      <c r="B230" t="s">
        <v>314</v>
      </c>
    </row>
    <row r="231" spans="1:3" hidden="1" x14ac:dyDescent="0.3">
      <c r="A231" s="36">
        <v>30708007761</v>
      </c>
      <c r="B231" t="s">
        <v>315</v>
      </c>
      <c r="C231" s="35" t="s">
        <v>84</v>
      </c>
    </row>
    <row r="232" spans="1:3" hidden="1" x14ac:dyDescent="0.3">
      <c r="A232" s="36">
        <v>30709001554</v>
      </c>
      <c r="B232" t="s">
        <v>316</v>
      </c>
      <c r="C232" s="35" t="s">
        <v>84</v>
      </c>
    </row>
    <row r="233" spans="1:3" hidden="1" x14ac:dyDescent="0.3">
      <c r="A233" s="36">
        <v>30715980807</v>
      </c>
      <c r="B233" t="s">
        <v>317</v>
      </c>
    </row>
    <row r="234" spans="1:3" hidden="1" x14ac:dyDescent="0.3">
      <c r="A234" s="36">
        <v>30502443719</v>
      </c>
      <c r="B234" t="s">
        <v>318</v>
      </c>
      <c r="C234" s="35" t="s">
        <v>84</v>
      </c>
    </row>
    <row r="235" spans="1:3" hidden="1" x14ac:dyDescent="0.3">
      <c r="A235" s="36">
        <v>30655725829</v>
      </c>
      <c r="B235" t="s">
        <v>319</v>
      </c>
    </row>
    <row r="236" spans="1:3" hidden="1" x14ac:dyDescent="0.3">
      <c r="A236" s="36">
        <v>33709432279</v>
      </c>
      <c r="B236" t="s">
        <v>827</v>
      </c>
      <c r="C236" s="35" t="s">
        <v>39</v>
      </c>
    </row>
    <row r="237" spans="1:3" hidden="1" x14ac:dyDescent="0.3">
      <c r="A237" s="36">
        <v>30517914874</v>
      </c>
      <c r="B237" t="s">
        <v>320</v>
      </c>
      <c r="C237" s="35" t="s">
        <v>84</v>
      </c>
    </row>
    <row r="238" spans="1:3" hidden="1" x14ac:dyDescent="0.3">
      <c r="A238" s="36">
        <v>33707366589</v>
      </c>
      <c r="B238" t="s">
        <v>321</v>
      </c>
      <c r="C238" s="35" t="s">
        <v>322</v>
      </c>
    </row>
    <row r="239" spans="1:3" hidden="1" x14ac:dyDescent="0.3">
      <c r="A239" s="36">
        <v>20400104094</v>
      </c>
      <c r="B239" t="s">
        <v>323</v>
      </c>
      <c r="C239" s="35" t="s">
        <v>788</v>
      </c>
    </row>
    <row r="240" spans="1:3" hidden="1" x14ac:dyDescent="0.3">
      <c r="A240" s="36">
        <v>20317075430</v>
      </c>
      <c r="B240" t="s">
        <v>324</v>
      </c>
    </row>
    <row r="241" spans="1:3" hidden="1" x14ac:dyDescent="0.3">
      <c r="A241" s="36">
        <v>30712231595</v>
      </c>
      <c r="B241" t="s">
        <v>325</v>
      </c>
    </row>
    <row r="242" spans="1:3" hidden="1" x14ac:dyDescent="0.3">
      <c r="A242" s="36">
        <v>20173651172</v>
      </c>
      <c r="B242" t="s">
        <v>326</v>
      </c>
    </row>
    <row r="243" spans="1:3" hidden="1" x14ac:dyDescent="0.3">
      <c r="A243" s="36">
        <v>30661667822</v>
      </c>
      <c r="B243" t="s">
        <v>327</v>
      </c>
      <c r="C243" s="35" t="s">
        <v>84</v>
      </c>
    </row>
    <row r="244" spans="1:3" hidden="1" x14ac:dyDescent="0.3">
      <c r="A244" s="36">
        <v>30540918364</v>
      </c>
      <c r="B244" t="s">
        <v>328</v>
      </c>
      <c r="C244" s="35" t="s">
        <v>79</v>
      </c>
    </row>
    <row r="245" spans="1:3" hidden="1" x14ac:dyDescent="0.3">
      <c r="A245" s="36">
        <v>20082650424</v>
      </c>
      <c r="B245" t="s">
        <v>329</v>
      </c>
    </row>
    <row r="246" spans="1:3" hidden="1" x14ac:dyDescent="0.3">
      <c r="A246" s="36">
        <v>30716243946</v>
      </c>
      <c r="B246" t="s">
        <v>330</v>
      </c>
      <c r="C246" s="35" t="s">
        <v>828</v>
      </c>
    </row>
    <row r="247" spans="1:3" hidden="1" x14ac:dyDescent="0.3">
      <c r="A247" s="36">
        <v>30709453293</v>
      </c>
      <c r="B247" t="s">
        <v>331</v>
      </c>
    </row>
    <row r="248" spans="1:3" hidden="1" x14ac:dyDescent="0.3">
      <c r="A248" s="36">
        <v>30525341263</v>
      </c>
      <c r="B248" t="s">
        <v>332</v>
      </c>
      <c r="C248" s="35" t="s">
        <v>84</v>
      </c>
    </row>
    <row r="249" spans="1:3" hidden="1" x14ac:dyDescent="0.3">
      <c r="A249" s="36">
        <v>33707529879</v>
      </c>
      <c r="B249" t="s">
        <v>333</v>
      </c>
      <c r="C249" s="35" t="s">
        <v>84</v>
      </c>
    </row>
    <row r="250" spans="1:3" hidden="1" x14ac:dyDescent="0.3">
      <c r="A250" s="36">
        <v>20287501588</v>
      </c>
      <c r="B250" t="s">
        <v>829</v>
      </c>
      <c r="C250" s="35" t="s">
        <v>830</v>
      </c>
    </row>
    <row r="251" spans="1:3" hidden="1" x14ac:dyDescent="0.3">
      <c r="A251" s="36">
        <v>30708854456</v>
      </c>
      <c r="B251" t="s">
        <v>831</v>
      </c>
      <c r="C251" s="35" t="s">
        <v>39</v>
      </c>
    </row>
    <row r="252" spans="1:3" hidden="1" x14ac:dyDescent="0.3">
      <c r="A252" s="36">
        <v>20111225304</v>
      </c>
      <c r="B252" t="s">
        <v>334</v>
      </c>
    </row>
    <row r="253" spans="1:3" hidden="1" x14ac:dyDescent="0.3">
      <c r="A253" s="36">
        <v>30516348727</v>
      </c>
      <c r="B253" t="s">
        <v>335</v>
      </c>
      <c r="C253" s="35" t="s">
        <v>84</v>
      </c>
    </row>
    <row r="254" spans="1:3" hidden="1" x14ac:dyDescent="0.3">
      <c r="A254" s="36">
        <v>30695097596</v>
      </c>
      <c r="B254" t="s">
        <v>336</v>
      </c>
    </row>
    <row r="255" spans="1:3" hidden="1" x14ac:dyDescent="0.3">
      <c r="A255" s="36">
        <v>30708363126</v>
      </c>
      <c r="B255" t="s">
        <v>337</v>
      </c>
      <c r="C255" s="35" t="s">
        <v>785</v>
      </c>
    </row>
    <row r="256" spans="1:3" hidden="1" x14ac:dyDescent="0.3">
      <c r="A256" s="36">
        <v>30711166927</v>
      </c>
      <c r="B256" t="s">
        <v>338</v>
      </c>
    </row>
    <row r="257" spans="1:3" hidden="1" x14ac:dyDescent="0.3">
      <c r="A257" s="36">
        <v>20934275218</v>
      </c>
      <c r="B257" t="s">
        <v>339</v>
      </c>
    </row>
    <row r="258" spans="1:3" hidden="1" x14ac:dyDescent="0.3">
      <c r="A258" s="36">
        <v>33714230129</v>
      </c>
      <c r="B258" t="s">
        <v>340</v>
      </c>
    </row>
    <row r="259" spans="1:3" hidden="1" x14ac:dyDescent="0.3">
      <c r="A259" s="36">
        <v>30526874249</v>
      </c>
      <c r="B259" t="s">
        <v>341</v>
      </c>
    </row>
    <row r="260" spans="1:3" hidden="1" x14ac:dyDescent="0.3">
      <c r="A260" s="36">
        <v>30711491801</v>
      </c>
      <c r="B260" t="s">
        <v>342</v>
      </c>
    </row>
    <row r="261" spans="1:3" hidden="1" x14ac:dyDescent="0.3">
      <c r="A261" s="36">
        <v>30657418877</v>
      </c>
      <c r="B261" t="s">
        <v>343</v>
      </c>
    </row>
    <row r="262" spans="1:3" hidden="1" x14ac:dyDescent="0.3">
      <c r="A262" s="36">
        <v>30535302606</v>
      </c>
      <c r="B262" t="s">
        <v>344</v>
      </c>
      <c r="C262" s="35" t="s">
        <v>84</v>
      </c>
    </row>
    <row r="263" spans="1:3" hidden="1" x14ac:dyDescent="0.3">
      <c r="A263" s="36">
        <v>30500987878</v>
      </c>
      <c r="B263" t="s">
        <v>345</v>
      </c>
      <c r="C263" s="35" t="s">
        <v>793</v>
      </c>
    </row>
    <row r="264" spans="1:3" hidden="1" x14ac:dyDescent="0.3">
      <c r="A264" s="36">
        <v>23920485979</v>
      </c>
      <c r="B264" t="s">
        <v>95</v>
      </c>
      <c r="C264" s="35" t="s">
        <v>79</v>
      </c>
    </row>
    <row r="265" spans="1:3" hidden="1" x14ac:dyDescent="0.3">
      <c r="A265" s="36">
        <v>30699695242</v>
      </c>
      <c r="B265" t="s">
        <v>346</v>
      </c>
    </row>
    <row r="266" spans="1:3" hidden="1" x14ac:dyDescent="0.3">
      <c r="A266" s="36">
        <v>30698914277</v>
      </c>
      <c r="B266" t="s">
        <v>347</v>
      </c>
    </row>
    <row r="267" spans="1:3" hidden="1" x14ac:dyDescent="0.3">
      <c r="A267" s="36">
        <v>30522428163</v>
      </c>
      <c r="B267" t="s">
        <v>832</v>
      </c>
    </row>
    <row r="268" spans="1:3" hidden="1" x14ac:dyDescent="0.3">
      <c r="A268" s="36">
        <v>30685228501</v>
      </c>
      <c r="B268" t="s">
        <v>833</v>
      </c>
    </row>
    <row r="269" spans="1:3" hidden="1" x14ac:dyDescent="0.3">
      <c r="A269" s="36">
        <v>20214688590</v>
      </c>
      <c r="B269" t="s">
        <v>348</v>
      </c>
      <c r="C269" s="35" t="s">
        <v>79</v>
      </c>
    </row>
    <row r="270" spans="1:3" hidden="1" x14ac:dyDescent="0.3">
      <c r="A270" s="36">
        <v>30639782383</v>
      </c>
      <c r="B270" t="s">
        <v>349</v>
      </c>
      <c r="C270" s="35" t="s">
        <v>79</v>
      </c>
    </row>
    <row r="271" spans="1:3" hidden="1" x14ac:dyDescent="0.3">
      <c r="A271" s="36">
        <v>20101268897</v>
      </c>
      <c r="B271" t="s">
        <v>350</v>
      </c>
    </row>
    <row r="272" spans="1:3" hidden="1" x14ac:dyDescent="0.3">
      <c r="A272" s="36">
        <v>30544052027</v>
      </c>
      <c r="B272" t="s">
        <v>351</v>
      </c>
      <c r="C272" s="35" t="s">
        <v>84</v>
      </c>
    </row>
    <row r="273" spans="1:3" hidden="1" x14ac:dyDescent="0.3">
      <c r="A273" s="36">
        <v>30709737348</v>
      </c>
      <c r="B273" t="s">
        <v>352</v>
      </c>
      <c r="C273" s="35" t="s">
        <v>79</v>
      </c>
    </row>
    <row r="274" spans="1:3" hidden="1" x14ac:dyDescent="0.3">
      <c r="A274" s="36">
        <v>30708855975</v>
      </c>
      <c r="B274" t="s">
        <v>353</v>
      </c>
      <c r="C274" s="35" t="s">
        <v>84</v>
      </c>
    </row>
    <row r="275" spans="1:3" hidden="1" x14ac:dyDescent="0.3">
      <c r="A275" s="36">
        <v>20225327638</v>
      </c>
      <c r="B275" t="s">
        <v>354</v>
      </c>
      <c r="C275" s="35" t="s">
        <v>84</v>
      </c>
    </row>
    <row r="276" spans="1:3" hidden="1" x14ac:dyDescent="0.3">
      <c r="A276" s="36">
        <v>30546694263</v>
      </c>
      <c r="B276" t="s">
        <v>355</v>
      </c>
    </row>
    <row r="277" spans="1:3" hidden="1" x14ac:dyDescent="0.3">
      <c r="A277" s="36">
        <v>27217642464</v>
      </c>
      <c r="B277" t="s">
        <v>356</v>
      </c>
      <c r="C277" s="35" t="s">
        <v>79</v>
      </c>
    </row>
    <row r="278" spans="1:3" hidden="1" x14ac:dyDescent="0.3">
      <c r="A278" s="36">
        <v>30711950113</v>
      </c>
      <c r="B278" t="s">
        <v>357</v>
      </c>
      <c r="C278" s="35" t="s">
        <v>84</v>
      </c>
    </row>
    <row r="279" spans="1:3" hidden="1" x14ac:dyDescent="0.3">
      <c r="A279" s="36">
        <v>30626885981</v>
      </c>
      <c r="B279" t="s">
        <v>358</v>
      </c>
      <c r="C279" s="35" t="s">
        <v>84</v>
      </c>
    </row>
    <row r="280" spans="1:3" hidden="1" x14ac:dyDescent="0.3">
      <c r="A280" s="36">
        <v>30711069573</v>
      </c>
      <c r="B280" t="s">
        <v>359</v>
      </c>
      <c r="C280" s="35" t="s">
        <v>84</v>
      </c>
    </row>
    <row r="281" spans="1:3" hidden="1" x14ac:dyDescent="0.3">
      <c r="A281" s="36">
        <v>30715003666</v>
      </c>
      <c r="B281" t="s">
        <v>834</v>
      </c>
      <c r="C281" s="35" t="s">
        <v>39</v>
      </c>
    </row>
    <row r="282" spans="1:3" hidden="1" x14ac:dyDescent="0.3">
      <c r="A282" s="36">
        <v>20361501722</v>
      </c>
      <c r="B282" t="s">
        <v>360</v>
      </c>
      <c r="C282" s="35" t="s">
        <v>79</v>
      </c>
    </row>
    <row r="283" spans="1:3" hidden="1" x14ac:dyDescent="0.3">
      <c r="A283" s="36">
        <v>23258555333</v>
      </c>
      <c r="B283" t="s">
        <v>361</v>
      </c>
    </row>
    <row r="284" spans="1:3" hidden="1" x14ac:dyDescent="0.3">
      <c r="A284" s="36">
        <v>30715303791</v>
      </c>
      <c r="B284" t="s">
        <v>362</v>
      </c>
    </row>
    <row r="285" spans="1:3" hidden="1" x14ac:dyDescent="0.3">
      <c r="A285" s="36">
        <v>3368716053.9000001</v>
      </c>
      <c r="B285" t="s">
        <v>363</v>
      </c>
      <c r="C285" s="35" t="s">
        <v>84</v>
      </c>
    </row>
    <row r="286" spans="1:3" hidden="1" x14ac:dyDescent="0.3">
      <c r="A286" s="36">
        <v>33687160539</v>
      </c>
      <c r="B286" t="s">
        <v>363</v>
      </c>
      <c r="C286" s="35" t="s">
        <v>84</v>
      </c>
    </row>
    <row r="287" spans="1:3" hidden="1" x14ac:dyDescent="0.3">
      <c r="A287" s="36">
        <v>30707867325</v>
      </c>
      <c r="B287" t="s">
        <v>364</v>
      </c>
    </row>
    <row r="288" spans="1:3" hidden="1" x14ac:dyDescent="0.3">
      <c r="A288" s="36">
        <v>20050719864</v>
      </c>
      <c r="B288" t="s">
        <v>365</v>
      </c>
    </row>
    <row r="289" spans="1:3" hidden="1" x14ac:dyDescent="0.3">
      <c r="A289" s="36">
        <v>30633217803</v>
      </c>
      <c r="B289" t="s">
        <v>366</v>
      </c>
    </row>
    <row r="290" spans="1:3" hidden="1" x14ac:dyDescent="0.3">
      <c r="A290" s="36">
        <v>30712776403</v>
      </c>
      <c r="B290" t="s">
        <v>367</v>
      </c>
    </row>
    <row r="291" spans="1:3" hidden="1" x14ac:dyDescent="0.3">
      <c r="A291" s="36">
        <v>30712778403</v>
      </c>
      <c r="B291" t="s">
        <v>368</v>
      </c>
      <c r="C291" s="35" t="s">
        <v>46</v>
      </c>
    </row>
    <row r="292" spans="1:3" hidden="1" x14ac:dyDescent="0.3">
      <c r="A292" s="36">
        <v>33695089789</v>
      </c>
      <c r="B292" t="s">
        <v>369</v>
      </c>
    </row>
    <row r="293" spans="1:3" hidden="1" x14ac:dyDescent="0.3">
      <c r="A293" s="36">
        <v>30712460969</v>
      </c>
      <c r="B293" t="s">
        <v>835</v>
      </c>
      <c r="C293" s="35" t="s">
        <v>39</v>
      </c>
    </row>
    <row r="294" spans="1:3" hidden="1" x14ac:dyDescent="0.3">
      <c r="A294" s="36">
        <v>30663498513</v>
      </c>
      <c r="B294" t="s">
        <v>370</v>
      </c>
    </row>
    <row r="295" spans="1:3" hidden="1" x14ac:dyDescent="0.3">
      <c r="A295" s="36">
        <v>30715775014</v>
      </c>
      <c r="B295" t="s">
        <v>371</v>
      </c>
    </row>
    <row r="296" spans="1:3" hidden="1" x14ac:dyDescent="0.3">
      <c r="A296" s="36">
        <v>30709227161</v>
      </c>
      <c r="B296" t="s">
        <v>372</v>
      </c>
    </row>
    <row r="297" spans="1:3" hidden="1" x14ac:dyDescent="0.3">
      <c r="A297" s="36">
        <v>20940658609</v>
      </c>
      <c r="B297" t="s">
        <v>373</v>
      </c>
    </row>
    <row r="298" spans="1:3" hidden="1" x14ac:dyDescent="0.3">
      <c r="A298" s="36">
        <v>30541849307</v>
      </c>
      <c r="B298" t="s">
        <v>374</v>
      </c>
      <c r="C298" s="35" t="s">
        <v>84</v>
      </c>
    </row>
    <row r="299" spans="1:3" hidden="1" x14ac:dyDescent="0.3">
      <c r="A299" s="36">
        <v>30582876661</v>
      </c>
      <c r="B299" t="s">
        <v>375</v>
      </c>
    </row>
    <row r="300" spans="1:3" hidden="1" x14ac:dyDescent="0.3">
      <c r="A300" s="36">
        <v>20270084304</v>
      </c>
      <c r="B300" t="s">
        <v>376</v>
      </c>
      <c r="C300" s="35" t="s">
        <v>84</v>
      </c>
    </row>
    <row r="301" spans="1:3" hidden="1" x14ac:dyDescent="0.3">
      <c r="A301" s="36">
        <v>20144078188</v>
      </c>
      <c r="B301" t="s">
        <v>377</v>
      </c>
    </row>
    <row r="302" spans="1:3" hidden="1" x14ac:dyDescent="0.3">
      <c r="A302" s="36">
        <v>20108381508</v>
      </c>
      <c r="B302" t="s">
        <v>378</v>
      </c>
      <c r="C302" s="35" t="s">
        <v>84</v>
      </c>
    </row>
    <row r="303" spans="1:3" hidden="1" x14ac:dyDescent="0.3">
      <c r="A303" s="36">
        <v>20253264390</v>
      </c>
      <c r="B303" t="s">
        <v>379</v>
      </c>
      <c r="C303" s="35" t="s">
        <v>84</v>
      </c>
    </row>
    <row r="304" spans="1:3" hidden="1" x14ac:dyDescent="0.3">
      <c r="A304" s="36">
        <v>30570945285</v>
      </c>
      <c r="B304" t="s">
        <v>380</v>
      </c>
    </row>
    <row r="305" spans="1:3" hidden="1" x14ac:dyDescent="0.3">
      <c r="A305" s="36">
        <v>30593410354</v>
      </c>
      <c r="B305" t="s">
        <v>381</v>
      </c>
    </row>
    <row r="306" spans="1:3" hidden="1" x14ac:dyDescent="0.3">
      <c r="A306" s="36">
        <v>20275447057</v>
      </c>
      <c r="B306" t="s">
        <v>382</v>
      </c>
      <c r="C306" s="35" t="s">
        <v>79</v>
      </c>
    </row>
    <row r="307" spans="1:3" hidden="1" x14ac:dyDescent="0.3">
      <c r="A307" s="36">
        <v>23219640269</v>
      </c>
      <c r="B307" t="s">
        <v>383</v>
      </c>
      <c r="C307" s="35" t="s">
        <v>84</v>
      </c>
    </row>
    <row r="308" spans="1:3" hidden="1" x14ac:dyDescent="0.3">
      <c r="A308" s="36">
        <v>30699407476</v>
      </c>
      <c r="B308" t="s">
        <v>384</v>
      </c>
      <c r="C308" s="35" t="s">
        <v>84</v>
      </c>
    </row>
    <row r="309" spans="1:3" hidden="1" x14ac:dyDescent="0.3">
      <c r="A309" s="36">
        <v>30708508221</v>
      </c>
      <c r="B309" t="s">
        <v>385</v>
      </c>
    </row>
    <row r="310" spans="1:3" hidden="1" x14ac:dyDescent="0.3">
      <c r="A310" s="36">
        <v>30551450445</v>
      </c>
      <c r="B310" t="s">
        <v>386</v>
      </c>
      <c r="C310" s="35" t="s">
        <v>84</v>
      </c>
    </row>
    <row r="311" spans="1:3" hidden="1" x14ac:dyDescent="0.3">
      <c r="A311" s="36">
        <v>27171152610</v>
      </c>
      <c r="B311" t="s">
        <v>387</v>
      </c>
    </row>
    <row r="312" spans="1:3" hidden="1" x14ac:dyDescent="0.3">
      <c r="A312" s="36">
        <v>20255683595</v>
      </c>
      <c r="B312" t="s">
        <v>388</v>
      </c>
    </row>
    <row r="313" spans="1:3" hidden="1" x14ac:dyDescent="0.3">
      <c r="A313" s="36">
        <v>30631285038</v>
      </c>
      <c r="B313" t="s">
        <v>389</v>
      </c>
    </row>
    <row r="314" spans="1:3" hidden="1" x14ac:dyDescent="0.3">
      <c r="A314" s="36">
        <v>30714254533</v>
      </c>
      <c r="B314" t="s">
        <v>390</v>
      </c>
      <c r="C314" s="35" t="s">
        <v>84</v>
      </c>
    </row>
    <row r="315" spans="1:3" hidden="1" x14ac:dyDescent="0.3">
      <c r="A315" s="36">
        <v>30712354409</v>
      </c>
      <c r="B315" t="s">
        <v>391</v>
      </c>
      <c r="C315" s="35" t="s">
        <v>84</v>
      </c>
    </row>
    <row r="316" spans="1:3" hidden="1" x14ac:dyDescent="0.3">
      <c r="A316" s="36">
        <v>30576631665</v>
      </c>
      <c r="B316" t="s">
        <v>392</v>
      </c>
      <c r="C316" s="35" t="s">
        <v>84</v>
      </c>
    </row>
    <row r="317" spans="1:3" hidden="1" x14ac:dyDescent="0.3">
      <c r="A317" s="36">
        <v>30691712350</v>
      </c>
      <c r="B317" t="s">
        <v>393</v>
      </c>
    </row>
    <row r="318" spans="1:3" hidden="1" x14ac:dyDescent="0.3">
      <c r="A318" s="36">
        <v>30714696153</v>
      </c>
      <c r="B318" t="s">
        <v>394</v>
      </c>
      <c r="C318" s="35" t="s">
        <v>84</v>
      </c>
    </row>
    <row r="319" spans="1:3" hidden="1" x14ac:dyDescent="0.3">
      <c r="A319" s="36">
        <v>30711017697</v>
      </c>
      <c r="B319" t="s">
        <v>395</v>
      </c>
    </row>
    <row r="320" spans="1:3" hidden="1" x14ac:dyDescent="0.3">
      <c r="A320" s="36">
        <v>23940960509</v>
      </c>
      <c r="B320" t="s">
        <v>396</v>
      </c>
      <c r="C320" s="35" t="s">
        <v>785</v>
      </c>
    </row>
    <row r="321" spans="1:3" hidden="1" x14ac:dyDescent="0.3">
      <c r="A321" s="36">
        <v>30715578154</v>
      </c>
      <c r="B321" t="s">
        <v>397</v>
      </c>
    </row>
    <row r="322" spans="1:3" hidden="1" x14ac:dyDescent="0.3">
      <c r="A322" s="36">
        <v>30643827197</v>
      </c>
      <c r="B322" t="s">
        <v>398</v>
      </c>
      <c r="C322" s="35" t="s">
        <v>44</v>
      </c>
    </row>
    <row r="323" spans="1:3" hidden="1" x14ac:dyDescent="0.3">
      <c r="A323" s="36">
        <v>30667805283</v>
      </c>
      <c r="B323" t="s">
        <v>399</v>
      </c>
    </row>
    <row r="324" spans="1:3" hidden="1" x14ac:dyDescent="0.3">
      <c r="A324" s="36">
        <v>30709443220</v>
      </c>
      <c r="B324" t="s">
        <v>400</v>
      </c>
      <c r="C324" s="35" t="s">
        <v>84</v>
      </c>
    </row>
    <row r="325" spans="1:3" hidden="1" x14ac:dyDescent="0.3">
      <c r="A325" s="36">
        <v>30710457162</v>
      </c>
      <c r="B325" t="s">
        <v>96</v>
      </c>
    </row>
    <row r="326" spans="1:3" hidden="1" x14ac:dyDescent="0.3">
      <c r="A326" s="36">
        <v>33714935009</v>
      </c>
      <c r="B326" t="s">
        <v>401</v>
      </c>
      <c r="C326" s="35" t="s">
        <v>785</v>
      </c>
    </row>
    <row r="327" spans="1:3" hidden="1" x14ac:dyDescent="0.3">
      <c r="A327" s="36">
        <v>30715237071</v>
      </c>
      <c r="B327" t="s">
        <v>402</v>
      </c>
    </row>
    <row r="328" spans="1:3" hidden="1" x14ac:dyDescent="0.3">
      <c r="A328" s="36">
        <v>20104571507</v>
      </c>
      <c r="B328" t="s">
        <v>403</v>
      </c>
    </row>
    <row r="329" spans="1:3" hidden="1" x14ac:dyDescent="0.3">
      <c r="A329" s="36">
        <v>30651822021</v>
      </c>
      <c r="B329" t="s">
        <v>404</v>
      </c>
      <c r="C329" s="35" t="s">
        <v>84</v>
      </c>
    </row>
    <row r="330" spans="1:3" hidden="1" x14ac:dyDescent="0.3">
      <c r="A330" s="36">
        <v>30627739571</v>
      </c>
      <c r="B330" t="s">
        <v>405</v>
      </c>
    </row>
    <row r="331" spans="1:3" hidden="1" x14ac:dyDescent="0.3">
      <c r="A331" s="36">
        <v>30710149468</v>
      </c>
      <c r="B331" t="s">
        <v>406</v>
      </c>
      <c r="C331" s="35" t="s">
        <v>84</v>
      </c>
    </row>
    <row r="332" spans="1:3" hidden="1" x14ac:dyDescent="0.3">
      <c r="A332" s="36">
        <v>30688241614</v>
      </c>
      <c r="B332" t="s">
        <v>407</v>
      </c>
    </row>
    <row r="333" spans="1:3" hidden="1" x14ac:dyDescent="0.3">
      <c r="A333" s="36">
        <v>30712479945</v>
      </c>
      <c r="B333" t="s">
        <v>408</v>
      </c>
    </row>
    <row r="334" spans="1:3" hidden="1" x14ac:dyDescent="0.3">
      <c r="A334" s="36">
        <v>30711738130</v>
      </c>
      <c r="B334" t="s">
        <v>409</v>
      </c>
    </row>
    <row r="335" spans="1:3" hidden="1" x14ac:dyDescent="0.3">
      <c r="A335" s="36">
        <v>30697770069</v>
      </c>
      <c r="B335" t="s">
        <v>410</v>
      </c>
      <c r="C335" s="35" t="s">
        <v>84</v>
      </c>
    </row>
    <row r="336" spans="1:3" hidden="1" x14ac:dyDescent="0.3">
      <c r="A336" s="36">
        <v>33715678689</v>
      </c>
      <c r="B336" t="s">
        <v>411</v>
      </c>
      <c r="C336" s="35" t="s">
        <v>84</v>
      </c>
    </row>
    <row r="337" spans="1:3" hidden="1" x14ac:dyDescent="0.3">
      <c r="A337" s="36">
        <v>30699010983</v>
      </c>
      <c r="B337" t="s">
        <v>412</v>
      </c>
    </row>
    <row r="338" spans="1:3" hidden="1" x14ac:dyDescent="0.3">
      <c r="A338" s="36">
        <v>30701498875</v>
      </c>
      <c r="B338" t="s">
        <v>836</v>
      </c>
      <c r="C338" s="35" t="s">
        <v>39</v>
      </c>
    </row>
    <row r="339" spans="1:3" hidden="1" x14ac:dyDescent="0.3">
      <c r="A339" s="36">
        <v>30559807970</v>
      </c>
      <c r="B339" t="s">
        <v>413</v>
      </c>
      <c r="C339" s="35" t="s">
        <v>84</v>
      </c>
    </row>
    <row r="340" spans="1:3" hidden="1" x14ac:dyDescent="0.3">
      <c r="A340" s="36">
        <v>30708214813</v>
      </c>
      <c r="B340" t="s">
        <v>414</v>
      </c>
      <c r="C340" s="35" t="s">
        <v>84</v>
      </c>
    </row>
    <row r="341" spans="1:3" hidden="1" x14ac:dyDescent="0.3">
      <c r="A341" s="36">
        <v>30712187316</v>
      </c>
      <c r="B341" t="s">
        <v>837</v>
      </c>
    </row>
    <row r="342" spans="1:3" hidden="1" x14ac:dyDescent="0.3">
      <c r="A342" s="36">
        <v>30547076679</v>
      </c>
      <c r="B342" t="s">
        <v>415</v>
      </c>
    </row>
    <row r="343" spans="1:3" hidden="1" x14ac:dyDescent="0.3">
      <c r="A343" s="36">
        <v>30709267821</v>
      </c>
      <c r="B343" t="s">
        <v>416</v>
      </c>
      <c r="C343" s="35" t="s">
        <v>84</v>
      </c>
    </row>
    <row r="344" spans="1:3" hidden="1" x14ac:dyDescent="0.3">
      <c r="A344" s="36">
        <v>30707249001</v>
      </c>
      <c r="B344" t="s">
        <v>417</v>
      </c>
      <c r="C344" s="35" t="s">
        <v>84</v>
      </c>
    </row>
    <row r="345" spans="1:3" hidden="1" x14ac:dyDescent="0.3">
      <c r="A345" s="36">
        <v>30709273465</v>
      </c>
      <c r="B345" t="s">
        <v>795</v>
      </c>
      <c r="C345" s="35" t="s">
        <v>84</v>
      </c>
    </row>
    <row r="346" spans="1:3" hidden="1" x14ac:dyDescent="0.3">
      <c r="A346" s="36">
        <v>30550095714</v>
      </c>
      <c r="B346" t="s">
        <v>795</v>
      </c>
      <c r="C346" s="35" t="s">
        <v>84</v>
      </c>
    </row>
    <row r="347" spans="1:3" hidden="1" x14ac:dyDescent="0.3">
      <c r="A347" s="36">
        <v>30636074280</v>
      </c>
      <c r="B347" t="s">
        <v>418</v>
      </c>
    </row>
    <row r="348" spans="1:3" hidden="1" x14ac:dyDescent="0.3">
      <c r="A348" s="36">
        <v>30714306355</v>
      </c>
      <c r="B348" t="s">
        <v>419</v>
      </c>
    </row>
    <row r="349" spans="1:3" hidden="1" x14ac:dyDescent="0.3">
      <c r="A349" s="36">
        <v>30506357841</v>
      </c>
      <c r="B349" t="s">
        <v>420</v>
      </c>
    </row>
    <row r="350" spans="1:3" hidden="1" x14ac:dyDescent="0.3">
      <c r="A350" s="36">
        <v>24931553247</v>
      </c>
      <c r="B350" t="s">
        <v>421</v>
      </c>
    </row>
    <row r="351" spans="1:3" hidden="1" x14ac:dyDescent="0.3">
      <c r="A351" s="36">
        <v>33649669029</v>
      </c>
      <c r="B351" t="s">
        <v>422</v>
      </c>
    </row>
    <row r="352" spans="1:3" hidden="1" x14ac:dyDescent="0.3">
      <c r="A352" s="36">
        <v>20929018347</v>
      </c>
      <c r="B352" t="s">
        <v>423</v>
      </c>
      <c r="C352" s="35" t="s">
        <v>828</v>
      </c>
    </row>
    <row r="353" spans="1:3" hidden="1" x14ac:dyDescent="0.3">
      <c r="A353" s="36">
        <v>20183380231</v>
      </c>
      <c r="B353" t="s">
        <v>424</v>
      </c>
      <c r="C353" s="35" t="s">
        <v>79</v>
      </c>
    </row>
    <row r="354" spans="1:3" hidden="1" x14ac:dyDescent="0.3">
      <c r="A354" s="36">
        <v>20236755526</v>
      </c>
      <c r="B354" t="s">
        <v>425</v>
      </c>
      <c r="C354" s="35" t="s">
        <v>84</v>
      </c>
    </row>
    <row r="355" spans="1:3" hidden="1" x14ac:dyDescent="0.3">
      <c r="A355" s="36">
        <v>20165471491</v>
      </c>
      <c r="B355" t="s">
        <v>426</v>
      </c>
    </row>
    <row r="356" spans="1:3" hidden="1" x14ac:dyDescent="0.3">
      <c r="A356" s="36">
        <v>30678264969</v>
      </c>
      <c r="B356" t="s">
        <v>427</v>
      </c>
      <c r="C356" s="35" t="s">
        <v>84</v>
      </c>
    </row>
    <row r="357" spans="1:3" hidden="1" x14ac:dyDescent="0.3">
      <c r="A357" s="36">
        <v>30707682279</v>
      </c>
      <c r="B357" t="s">
        <v>428</v>
      </c>
      <c r="C357" s="35" t="s">
        <v>84</v>
      </c>
    </row>
    <row r="358" spans="1:3" hidden="1" x14ac:dyDescent="0.3">
      <c r="A358" s="36">
        <v>30631965284</v>
      </c>
      <c r="B358" t="s">
        <v>429</v>
      </c>
    </row>
    <row r="359" spans="1:3" hidden="1" x14ac:dyDescent="0.3">
      <c r="A359" s="36">
        <v>30500805222</v>
      </c>
      <c r="B359" t="s">
        <v>430</v>
      </c>
      <c r="C359" s="35" t="s">
        <v>84</v>
      </c>
    </row>
    <row r="360" spans="1:3" hidden="1" x14ac:dyDescent="0.3">
      <c r="A360" s="36">
        <v>33709050589</v>
      </c>
      <c r="B360" t="s">
        <v>431</v>
      </c>
      <c r="C360" s="35" t="s">
        <v>84</v>
      </c>
    </row>
    <row r="361" spans="1:3" hidden="1" x14ac:dyDescent="0.3">
      <c r="A361" s="36">
        <v>23220104389</v>
      </c>
      <c r="B361" t="s">
        <v>432</v>
      </c>
    </row>
    <row r="362" spans="1:3" hidden="1" x14ac:dyDescent="0.3">
      <c r="A362" s="36">
        <v>30714185574</v>
      </c>
      <c r="B362" t="s">
        <v>433</v>
      </c>
    </row>
    <row r="363" spans="1:3" hidden="1" x14ac:dyDescent="0.3">
      <c r="A363" s="36">
        <v>30707918914</v>
      </c>
      <c r="B363" t="s">
        <v>434</v>
      </c>
    </row>
    <row r="364" spans="1:3" hidden="1" x14ac:dyDescent="0.3">
      <c r="A364" s="36">
        <v>33708853459</v>
      </c>
      <c r="B364" t="s">
        <v>838</v>
      </c>
      <c r="C364" s="35" t="s">
        <v>39</v>
      </c>
    </row>
    <row r="365" spans="1:3" hidden="1" x14ac:dyDescent="0.3">
      <c r="A365" s="36">
        <v>33531122599</v>
      </c>
      <c r="B365" t="s">
        <v>435</v>
      </c>
      <c r="C365" s="35" t="s">
        <v>79</v>
      </c>
    </row>
    <row r="366" spans="1:3" hidden="1" x14ac:dyDescent="0.3">
      <c r="A366" s="36">
        <v>30645614735</v>
      </c>
      <c r="B366" t="s">
        <v>436</v>
      </c>
    </row>
    <row r="367" spans="1:3" hidden="1" x14ac:dyDescent="0.3">
      <c r="A367" s="36">
        <v>30500051163</v>
      </c>
      <c r="B367" t="s">
        <v>437</v>
      </c>
    </row>
    <row r="368" spans="1:3" hidden="1" x14ac:dyDescent="0.3">
      <c r="A368" s="36">
        <v>30585254297</v>
      </c>
      <c r="B368" t="s">
        <v>438</v>
      </c>
    </row>
    <row r="369" spans="1:3" hidden="1" x14ac:dyDescent="0.3">
      <c r="A369" s="36">
        <v>20043924312</v>
      </c>
      <c r="B369" t="s">
        <v>439</v>
      </c>
    </row>
    <row r="370" spans="1:3" hidden="1" x14ac:dyDescent="0.3">
      <c r="A370" s="36">
        <v>20121778042</v>
      </c>
      <c r="B370" t="s">
        <v>440</v>
      </c>
    </row>
    <row r="371" spans="1:3" hidden="1" x14ac:dyDescent="0.3">
      <c r="A371" s="36">
        <v>27249631413</v>
      </c>
      <c r="B371" t="s">
        <v>441</v>
      </c>
    </row>
    <row r="372" spans="1:3" hidden="1" x14ac:dyDescent="0.3">
      <c r="A372" s="36">
        <v>30679107220</v>
      </c>
      <c r="B372" t="s">
        <v>442</v>
      </c>
    </row>
    <row r="373" spans="1:3" hidden="1" x14ac:dyDescent="0.3">
      <c r="A373" s="36">
        <v>30709153095</v>
      </c>
      <c r="B373" t="s">
        <v>443</v>
      </c>
      <c r="C373" s="35" t="s">
        <v>84</v>
      </c>
    </row>
    <row r="374" spans="1:3" hidden="1" x14ac:dyDescent="0.3">
      <c r="A374" s="36">
        <v>30710374801</v>
      </c>
      <c r="B374" t="s">
        <v>444</v>
      </c>
      <c r="C374" s="35" t="s">
        <v>79</v>
      </c>
    </row>
    <row r="375" spans="1:3" hidden="1" x14ac:dyDescent="0.3">
      <c r="A375" s="36">
        <v>30710386559</v>
      </c>
      <c r="B375" t="s">
        <v>445</v>
      </c>
      <c r="C375" s="35" t="s">
        <v>84</v>
      </c>
    </row>
    <row r="376" spans="1:3" hidden="1" x14ac:dyDescent="0.3">
      <c r="A376" s="36">
        <v>3079881767</v>
      </c>
      <c r="B376" t="s">
        <v>446</v>
      </c>
    </row>
    <row r="377" spans="1:3" hidden="1" x14ac:dyDescent="0.3">
      <c r="A377" s="36">
        <v>20162031326</v>
      </c>
      <c r="B377" t="s">
        <v>447</v>
      </c>
      <c r="C377" s="35" t="s">
        <v>84</v>
      </c>
    </row>
    <row r="378" spans="1:3" hidden="1" x14ac:dyDescent="0.3">
      <c r="A378" s="36">
        <v>20041802082</v>
      </c>
      <c r="B378" t="s">
        <v>448</v>
      </c>
      <c r="C378" s="35" t="s">
        <v>79</v>
      </c>
    </row>
    <row r="379" spans="1:3" hidden="1" x14ac:dyDescent="0.3">
      <c r="A379" s="36">
        <v>23223377734</v>
      </c>
      <c r="B379" t="s">
        <v>449</v>
      </c>
    </row>
    <row r="380" spans="1:3" hidden="1" x14ac:dyDescent="0.3">
      <c r="A380" s="36">
        <v>30661041486</v>
      </c>
      <c r="B380" t="s">
        <v>450</v>
      </c>
    </row>
    <row r="381" spans="1:3" hidden="1" x14ac:dyDescent="0.3">
      <c r="A381" s="36">
        <v>30715723871</v>
      </c>
      <c r="B381" t="s">
        <v>451</v>
      </c>
    </row>
    <row r="382" spans="1:3" hidden="1" x14ac:dyDescent="0.3">
      <c r="A382" s="36">
        <v>20115545397</v>
      </c>
      <c r="B382" t="s">
        <v>452</v>
      </c>
      <c r="C382" s="35" t="s">
        <v>84</v>
      </c>
    </row>
    <row r="383" spans="1:3" hidden="1" x14ac:dyDescent="0.3">
      <c r="A383" s="36">
        <v>30715148958</v>
      </c>
      <c r="B383" t="s">
        <v>453</v>
      </c>
      <c r="C383" s="35" t="s">
        <v>79</v>
      </c>
    </row>
    <row r="384" spans="1:3" hidden="1" x14ac:dyDescent="0.3">
      <c r="A384" s="36">
        <v>30679067431</v>
      </c>
      <c r="B384" t="s">
        <v>454</v>
      </c>
      <c r="C384" s="35" t="s">
        <v>84</v>
      </c>
    </row>
    <row r="385" spans="1:3" hidden="1" x14ac:dyDescent="0.3">
      <c r="A385" s="36">
        <v>20942259744</v>
      </c>
      <c r="B385" t="s">
        <v>839</v>
      </c>
      <c r="C385" s="35" t="s">
        <v>79</v>
      </c>
    </row>
    <row r="386" spans="1:3" hidden="1" x14ac:dyDescent="0.3">
      <c r="A386" s="36">
        <v>20262808557</v>
      </c>
      <c r="B386" t="s">
        <v>455</v>
      </c>
      <c r="C386" s="35" t="s">
        <v>79</v>
      </c>
    </row>
    <row r="387" spans="1:3" hidden="1" x14ac:dyDescent="0.3">
      <c r="A387" s="36">
        <v>27129657710</v>
      </c>
      <c r="B387" t="s">
        <v>456</v>
      </c>
    </row>
    <row r="388" spans="1:3" hidden="1" x14ac:dyDescent="0.3">
      <c r="A388" s="36">
        <v>30708326794</v>
      </c>
      <c r="B388" t="s">
        <v>457</v>
      </c>
    </row>
    <row r="389" spans="1:3" hidden="1" x14ac:dyDescent="0.3">
      <c r="A389" s="36">
        <v>30708035633</v>
      </c>
      <c r="B389" t="s">
        <v>458</v>
      </c>
    </row>
    <row r="390" spans="1:3" hidden="1" x14ac:dyDescent="0.3">
      <c r="A390" s="36">
        <v>30714647594</v>
      </c>
      <c r="B390" t="s">
        <v>459</v>
      </c>
    </row>
    <row r="391" spans="1:3" hidden="1" x14ac:dyDescent="0.3">
      <c r="A391" s="36">
        <v>30710265425</v>
      </c>
      <c r="B391" t="s">
        <v>460</v>
      </c>
    </row>
    <row r="392" spans="1:3" hidden="1" x14ac:dyDescent="0.3">
      <c r="A392" s="36">
        <v>30500833781</v>
      </c>
      <c r="B392" t="s">
        <v>461</v>
      </c>
      <c r="C392" s="35" t="s">
        <v>84</v>
      </c>
    </row>
    <row r="393" spans="1:3" hidden="1" x14ac:dyDescent="0.3">
      <c r="A393" s="36">
        <v>27345827841</v>
      </c>
      <c r="B393" t="s">
        <v>462</v>
      </c>
      <c r="C393" s="35" t="s">
        <v>84</v>
      </c>
    </row>
    <row r="394" spans="1:3" hidden="1" x14ac:dyDescent="0.3">
      <c r="A394" s="36">
        <v>20345836404</v>
      </c>
      <c r="B394" t="s">
        <v>463</v>
      </c>
      <c r="C394" s="35" t="s">
        <v>79</v>
      </c>
    </row>
    <row r="395" spans="1:3" hidden="1" x14ac:dyDescent="0.3">
      <c r="A395" s="36">
        <v>20932821851</v>
      </c>
      <c r="B395" t="s">
        <v>464</v>
      </c>
      <c r="C395" s="35" t="s">
        <v>79</v>
      </c>
    </row>
    <row r="396" spans="1:3" hidden="1" x14ac:dyDescent="0.3">
      <c r="A396" s="36">
        <v>23084885029</v>
      </c>
      <c r="B396" t="s">
        <v>465</v>
      </c>
    </row>
    <row r="397" spans="1:3" hidden="1" x14ac:dyDescent="0.3">
      <c r="A397" s="36">
        <v>30711561494</v>
      </c>
      <c r="B397" t="s">
        <v>466</v>
      </c>
      <c r="C397" s="35" t="s">
        <v>79</v>
      </c>
    </row>
    <row r="398" spans="1:3" hidden="1" x14ac:dyDescent="0.3">
      <c r="A398" s="36">
        <v>30651861299</v>
      </c>
      <c r="B398" t="s">
        <v>467</v>
      </c>
      <c r="C398" s="35" t="s">
        <v>84</v>
      </c>
    </row>
    <row r="399" spans="1:3" hidden="1" x14ac:dyDescent="0.3">
      <c r="A399" s="36">
        <v>30589621499</v>
      </c>
      <c r="B399" t="s">
        <v>98</v>
      </c>
    </row>
    <row r="400" spans="1:3" hidden="1" x14ac:dyDescent="0.3">
      <c r="A400" s="36">
        <v>20120338529</v>
      </c>
      <c r="B400" t="s">
        <v>468</v>
      </c>
    </row>
    <row r="401" spans="1:3" hidden="1" x14ac:dyDescent="0.3">
      <c r="A401" s="36">
        <v>20182873277</v>
      </c>
      <c r="B401" t="s">
        <v>469</v>
      </c>
      <c r="C401" s="35" t="s">
        <v>84</v>
      </c>
    </row>
    <row r="402" spans="1:3" hidden="1" x14ac:dyDescent="0.3">
      <c r="A402" s="36">
        <v>20044258898</v>
      </c>
      <c r="B402" t="s">
        <v>470</v>
      </c>
    </row>
    <row r="403" spans="1:3" hidden="1" x14ac:dyDescent="0.3">
      <c r="A403" s="36">
        <v>27101420391</v>
      </c>
      <c r="B403" t="s">
        <v>471</v>
      </c>
      <c r="C403" s="35" t="s">
        <v>84</v>
      </c>
    </row>
    <row r="404" spans="1:3" hidden="1" x14ac:dyDescent="0.3">
      <c r="A404" s="36">
        <v>27228778937</v>
      </c>
      <c r="B404" t="s">
        <v>472</v>
      </c>
    </row>
    <row r="405" spans="1:3" hidden="1" x14ac:dyDescent="0.3">
      <c r="A405" s="36">
        <v>20202134700</v>
      </c>
      <c r="B405" t="s">
        <v>473</v>
      </c>
    </row>
    <row r="406" spans="1:3" hidden="1" x14ac:dyDescent="0.3">
      <c r="A406" s="36">
        <v>20044447437</v>
      </c>
      <c r="B406" t="s">
        <v>474</v>
      </c>
      <c r="C406" s="35" t="s">
        <v>84</v>
      </c>
    </row>
    <row r="407" spans="1:3" hidden="1" x14ac:dyDescent="0.3">
      <c r="A407" s="36">
        <v>30707963065</v>
      </c>
      <c r="B407" t="s">
        <v>475</v>
      </c>
    </row>
    <row r="408" spans="1:3" hidden="1" x14ac:dyDescent="0.3">
      <c r="A408" s="36">
        <v>30715009826</v>
      </c>
      <c r="B408" t="s">
        <v>476</v>
      </c>
    </row>
    <row r="409" spans="1:3" hidden="1" x14ac:dyDescent="0.3">
      <c r="A409" s="36">
        <v>30568557464</v>
      </c>
      <c r="B409" t="s">
        <v>477</v>
      </c>
    </row>
    <row r="410" spans="1:3" hidden="1" x14ac:dyDescent="0.3">
      <c r="A410" s="36">
        <v>20217165114</v>
      </c>
      <c r="B410" t="s">
        <v>478</v>
      </c>
      <c r="C410" s="35" t="s">
        <v>44</v>
      </c>
    </row>
    <row r="411" spans="1:3" hidden="1" x14ac:dyDescent="0.3">
      <c r="A411" s="36">
        <v>23233422029</v>
      </c>
      <c r="B411" t="s">
        <v>840</v>
      </c>
      <c r="C411" s="35" t="s">
        <v>84</v>
      </c>
    </row>
    <row r="412" spans="1:3" hidden="1" x14ac:dyDescent="0.3">
      <c r="A412" s="36">
        <v>30612865333</v>
      </c>
      <c r="B412" t="s">
        <v>479</v>
      </c>
    </row>
    <row r="413" spans="1:3" hidden="1" x14ac:dyDescent="0.3">
      <c r="A413" s="36">
        <v>30709982326</v>
      </c>
      <c r="B413" t="s">
        <v>480</v>
      </c>
    </row>
    <row r="414" spans="1:3" hidden="1" x14ac:dyDescent="0.3">
      <c r="A414" s="36">
        <v>30707518541</v>
      </c>
      <c r="B414" t="s">
        <v>481</v>
      </c>
    </row>
    <row r="415" spans="1:3" hidden="1" x14ac:dyDescent="0.3">
      <c r="A415" s="36">
        <v>30711731217</v>
      </c>
      <c r="B415" t="s">
        <v>482</v>
      </c>
      <c r="C415" s="35" t="s">
        <v>782</v>
      </c>
    </row>
    <row r="416" spans="1:3" hidden="1" x14ac:dyDescent="0.3">
      <c r="A416" s="36">
        <v>20131581298</v>
      </c>
      <c r="B416" t="s">
        <v>483</v>
      </c>
      <c r="C416" s="35" t="s">
        <v>79</v>
      </c>
    </row>
    <row r="417" spans="1:3" hidden="1" x14ac:dyDescent="0.3">
      <c r="A417" s="36">
        <v>30715672290</v>
      </c>
      <c r="B417" t="s">
        <v>484</v>
      </c>
      <c r="C417" s="35" t="s">
        <v>84</v>
      </c>
    </row>
    <row r="418" spans="1:3" hidden="1" x14ac:dyDescent="0.3">
      <c r="A418" s="36">
        <v>30707042679</v>
      </c>
      <c r="B418" t="s">
        <v>485</v>
      </c>
      <c r="C418" s="35" t="s">
        <v>84</v>
      </c>
    </row>
    <row r="419" spans="1:3" hidden="1" x14ac:dyDescent="0.3">
      <c r="A419" s="36">
        <v>30546771314</v>
      </c>
      <c r="B419" t="s">
        <v>486</v>
      </c>
    </row>
    <row r="420" spans="1:3" hidden="1" x14ac:dyDescent="0.3">
      <c r="A420" s="36">
        <v>20229907523</v>
      </c>
      <c r="B420" t="s">
        <v>487</v>
      </c>
    </row>
    <row r="421" spans="1:3" hidden="1" x14ac:dyDescent="0.3">
      <c r="A421" s="36">
        <v>30714352535</v>
      </c>
      <c r="B421" t="s">
        <v>488</v>
      </c>
    </row>
    <row r="422" spans="1:3" hidden="1" x14ac:dyDescent="0.3">
      <c r="A422" s="36">
        <v>30709319929</v>
      </c>
      <c r="B422" t="s">
        <v>99</v>
      </c>
    </row>
    <row r="423" spans="1:3" hidden="1" x14ac:dyDescent="0.3">
      <c r="A423" s="36">
        <v>20077901370</v>
      </c>
      <c r="B423" t="s">
        <v>489</v>
      </c>
      <c r="C423" s="35" t="s">
        <v>84</v>
      </c>
    </row>
    <row r="424" spans="1:3" hidden="1" x14ac:dyDescent="0.3">
      <c r="A424" s="36">
        <v>30712800700</v>
      </c>
      <c r="B424" t="s">
        <v>490</v>
      </c>
    </row>
    <row r="425" spans="1:3" hidden="1" x14ac:dyDescent="0.3">
      <c r="A425" s="36">
        <v>30715686054</v>
      </c>
      <c r="B425" t="s">
        <v>491</v>
      </c>
    </row>
    <row r="426" spans="1:3" hidden="1" x14ac:dyDescent="0.3">
      <c r="A426" s="36">
        <v>30710816049</v>
      </c>
      <c r="B426" t="s">
        <v>492</v>
      </c>
      <c r="C426" s="35" t="s">
        <v>84</v>
      </c>
    </row>
    <row r="427" spans="1:3" hidden="1" x14ac:dyDescent="0.3">
      <c r="A427" s="36">
        <v>27119872311</v>
      </c>
      <c r="B427" t="s">
        <v>493</v>
      </c>
    </row>
    <row r="428" spans="1:3" hidden="1" x14ac:dyDescent="0.3">
      <c r="A428" s="36">
        <v>27144787019</v>
      </c>
      <c r="B428" t="s">
        <v>494</v>
      </c>
    </row>
    <row r="429" spans="1:3" hidden="1" x14ac:dyDescent="0.3">
      <c r="A429" s="36">
        <v>20117741398</v>
      </c>
      <c r="B429" t="s">
        <v>495</v>
      </c>
    </row>
    <row r="430" spans="1:3" hidden="1" x14ac:dyDescent="0.3">
      <c r="A430" s="36">
        <v>30707661492</v>
      </c>
      <c r="B430" t="s">
        <v>496</v>
      </c>
    </row>
    <row r="431" spans="1:3" hidden="1" x14ac:dyDescent="0.3">
      <c r="A431" s="36">
        <v>30703088534</v>
      </c>
      <c r="B431" t="s">
        <v>497</v>
      </c>
      <c r="C431" s="35" t="s">
        <v>841</v>
      </c>
    </row>
    <row r="432" spans="1:3" hidden="1" x14ac:dyDescent="0.3">
      <c r="A432" s="36">
        <v>30679139122</v>
      </c>
      <c r="B432" t="s">
        <v>498</v>
      </c>
      <c r="C432" s="35" t="s">
        <v>84</v>
      </c>
    </row>
    <row r="433" spans="1:3" hidden="1" x14ac:dyDescent="0.3">
      <c r="A433" s="36">
        <v>30549180783</v>
      </c>
      <c r="B433" t="s">
        <v>499</v>
      </c>
    </row>
    <row r="434" spans="1:3" hidden="1" x14ac:dyDescent="0.3">
      <c r="A434" s="36">
        <v>30520045798</v>
      </c>
      <c r="B434" t="s">
        <v>500</v>
      </c>
    </row>
    <row r="435" spans="1:3" hidden="1" x14ac:dyDescent="0.3">
      <c r="A435" s="36">
        <v>30709016012</v>
      </c>
      <c r="B435" t="s">
        <v>501</v>
      </c>
    </row>
    <row r="436" spans="1:3" hidden="1" x14ac:dyDescent="0.3">
      <c r="A436" s="36">
        <v>30708469986</v>
      </c>
      <c r="B436" t="s">
        <v>502</v>
      </c>
      <c r="C436" s="35" t="s">
        <v>84</v>
      </c>
    </row>
    <row r="437" spans="1:3" hidden="1" x14ac:dyDescent="0.3">
      <c r="A437" s="36">
        <v>20171635285</v>
      </c>
      <c r="B437" t="s">
        <v>503</v>
      </c>
    </row>
    <row r="438" spans="1:3" hidden="1" x14ac:dyDescent="0.3">
      <c r="A438" s="36">
        <v>30517306866</v>
      </c>
      <c r="B438" t="s">
        <v>504</v>
      </c>
      <c r="C438" s="35" t="s">
        <v>785</v>
      </c>
    </row>
    <row r="439" spans="1:3" hidden="1" x14ac:dyDescent="0.3">
      <c r="A439" s="36">
        <v>27101205733</v>
      </c>
      <c r="B439" t="s">
        <v>505</v>
      </c>
      <c r="C439" s="35" t="s">
        <v>79</v>
      </c>
    </row>
    <row r="440" spans="1:3" hidden="1" x14ac:dyDescent="0.3">
      <c r="A440" s="36">
        <v>30685116657</v>
      </c>
      <c r="B440" t="s">
        <v>506</v>
      </c>
      <c r="C440" s="35" t="s">
        <v>44</v>
      </c>
    </row>
    <row r="441" spans="1:3" hidden="1" x14ac:dyDescent="0.3">
      <c r="A441" s="36">
        <v>30715772783</v>
      </c>
      <c r="B441" t="s">
        <v>507</v>
      </c>
      <c r="C441" s="35" t="s">
        <v>84</v>
      </c>
    </row>
    <row r="442" spans="1:3" hidden="1" x14ac:dyDescent="0.3">
      <c r="A442" s="36">
        <v>20120766598</v>
      </c>
      <c r="B442" t="s">
        <v>508</v>
      </c>
    </row>
    <row r="443" spans="1:3" hidden="1" x14ac:dyDescent="0.3">
      <c r="A443" s="36">
        <v>20269013746</v>
      </c>
      <c r="B443" t="s">
        <v>509</v>
      </c>
      <c r="C443" s="35" t="s">
        <v>84</v>
      </c>
    </row>
    <row r="444" spans="1:3" hidden="1" x14ac:dyDescent="0.3">
      <c r="A444" s="36">
        <v>20291935401</v>
      </c>
      <c r="B444" t="s">
        <v>510</v>
      </c>
      <c r="C444" s="35" t="s">
        <v>84</v>
      </c>
    </row>
    <row r="445" spans="1:3" hidden="1" x14ac:dyDescent="0.3">
      <c r="A445" s="36">
        <v>30500858628</v>
      </c>
      <c r="B445" t="s">
        <v>100</v>
      </c>
    </row>
    <row r="446" spans="1:3" hidden="1" x14ac:dyDescent="0.3">
      <c r="A446" s="36">
        <v>30709676926</v>
      </c>
      <c r="B446" t="s">
        <v>842</v>
      </c>
      <c r="C446" s="35" t="s">
        <v>39</v>
      </c>
    </row>
    <row r="447" spans="1:3" hidden="1" x14ac:dyDescent="0.3">
      <c r="A447" s="36">
        <v>20081262897</v>
      </c>
      <c r="B447" t="s">
        <v>511</v>
      </c>
      <c r="C447" s="35" t="s">
        <v>84</v>
      </c>
    </row>
    <row r="448" spans="1:3" hidden="1" x14ac:dyDescent="0.3">
      <c r="A448" s="36">
        <v>30708608994</v>
      </c>
      <c r="B448" t="s">
        <v>512</v>
      </c>
    </row>
    <row r="449" spans="1:3" hidden="1" x14ac:dyDescent="0.3">
      <c r="A449" s="36">
        <v>30713713909</v>
      </c>
      <c r="B449" t="s">
        <v>513</v>
      </c>
    </row>
    <row r="450" spans="1:3" hidden="1" x14ac:dyDescent="0.3">
      <c r="A450" s="36">
        <v>30632563856</v>
      </c>
      <c r="B450" t="s">
        <v>514</v>
      </c>
    </row>
    <row r="451" spans="1:3" hidden="1" x14ac:dyDescent="0.3">
      <c r="A451" s="36">
        <v>30557676798</v>
      </c>
      <c r="B451" t="s">
        <v>101</v>
      </c>
    </row>
    <row r="452" spans="1:3" hidden="1" x14ac:dyDescent="0.3">
      <c r="A452" s="36">
        <v>30573785742</v>
      </c>
      <c r="B452" t="s">
        <v>515</v>
      </c>
    </row>
    <row r="453" spans="1:3" hidden="1" x14ac:dyDescent="0.3">
      <c r="A453" s="36">
        <v>33608724279</v>
      </c>
      <c r="B453" t="s">
        <v>516</v>
      </c>
      <c r="C453" s="35" t="s">
        <v>44</v>
      </c>
    </row>
    <row r="454" spans="1:3" hidden="1" x14ac:dyDescent="0.3">
      <c r="A454" s="36">
        <v>30707983732</v>
      </c>
      <c r="B454" t="s">
        <v>517</v>
      </c>
      <c r="C454" s="35" t="s">
        <v>44</v>
      </c>
    </row>
    <row r="455" spans="1:3" hidden="1" x14ac:dyDescent="0.3">
      <c r="A455" s="36">
        <v>27209563113</v>
      </c>
      <c r="B455" t="s">
        <v>518</v>
      </c>
    </row>
    <row r="456" spans="1:3" hidden="1" x14ac:dyDescent="0.3">
      <c r="A456" s="36">
        <v>30713979704</v>
      </c>
      <c r="B456" t="s">
        <v>519</v>
      </c>
      <c r="C456" s="35" t="s">
        <v>84</v>
      </c>
    </row>
    <row r="457" spans="1:3" hidden="1" x14ac:dyDescent="0.3">
      <c r="A457" s="36">
        <v>20181837617</v>
      </c>
      <c r="B457" t="s">
        <v>520</v>
      </c>
    </row>
    <row r="458" spans="1:3" hidden="1" x14ac:dyDescent="0.3">
      <c r="A458" s="36">
        <v>30652010489</v>
      </c>
      <c r="B458" t="s">
        <v>521</v>
      </c>
      <c r="C458" s="35" t="s">
        <v>79</v>
      </c>
    </row>
    <row r="459" spans="1:3" hidden="1" x14ac:dyDescent="0.3">
      <c r="A459" s="36">
        <v>27259489976</v>
      </c>
      <c r="B459" t="s">
        <v>522</v>
      </c>
    </row>
    <row r="460" spans="1:3" hidden="1" x14ac:dyDescent="0.3">
      <c r="A460" s="36">
        <v>30598946694</v>
      </c>
      <c r="B460" t="s">
        <v>523</v>
      </c>
      <c r="C460" s="35" t="s">
        <v>84</v>
      </c>
    </row>
    <row r="461" spans="1:3" hidden="1" x14ac:dyDescent="0.3">
      <c r="A461" s="36">
        <v>30546764040</v>
      </c>
      <c r="B461" t="s">
        <v>524</v>
      </c>
    </row>
    <row r="462" spans="1:3" hidden="1" x14ac:dyDescent="0.3">
      <c r="A462" s="36">
        <v>20232991527</v>
      </c>
      <c r="B462" t="s">
        <v>525</v>
      </c>
      <c r="C462" s="35" t="s">
        <v>84</v>
      </c>
    </row>
    <row r="463" spans="1:3" hidden="1" x14ac:dyDescent="0.3">
      <c r="A463" s="36">
        <v>30709822116</v>
      </c>
      <c r="B463" t="s">
        <v>526</v>
      </c>
    </row>
    <row r="464" spans="1:3" hidden="1" x14ac:dyDescent="0.3">
      <c r="A464" s="36">
        <v>20251270202</v>
      </c>
      <c r="B464" t="s">
        <v>527</v>
      </c>
    </row>
    <row r="465" spans="1:3" hidden="1" x14ac:dyDescent="0.3">
      <c r="A465" s="36">
        <v>20298653541</v>
      </c>
      <c r="B465" t="s">
        <v>528</v>
      </c>
    </row>
    <row r="466" spans="1:3" hidden="1" x14ac:dyDescent="0.3">
      <c r="A466" s="36">
        <v>20171082464</v>
      </c>
      <c r="B466" t="s">
        <v>529</v>
      </c>
      <c r="C466" s="35" t="s">
        <v>79</v>
      </c>
    </row>
    <row r="467" spans="1:3" hidden="1" x14ac:dyDescent="0.3">
      <c r="A467" s="36">
        <v>23147243669</v>
      </c>
      <c r="B467" t="s">
        <v>530</v>
      </c>
    </row>
    <row r="468" spans="1:3" hidden="1" x14ac:dyDescent="0.3">
      <c r="A468" s="36">
        <v>30686222086</v>
      </c>
      <c r="B468" t="s">
        <v>531</v>
      </c>
    </row>
    <row r="469" spans="1:3" hidden="1" x14ac:dyDescent="0.3">
      <c r="A469" s="36">
        <v>30715564749</v>
      </c>
      <c r="B469" t="s">
        <v>532</v>
      </c>
      <c r="C469" s="35" t="s">
        <v>84</v>
      </c>
    </row>
    <row r="470" spans="1:3" hidden="1" x14ac:dyDescent="0.3">
      <c r="A470" s="36">
        <v>30625911334</v>
      </c>
      <c r="B470" t="s">
        <v>533</v>
      </c>
      <c r="C470" s="35" t="s">
        <v>84</v>
      </c>
    </row>
    <row r="471" spans="1:3" hidden="1" x14ac:dyDescent="0.3">
      <c r="A471" s="36">
        <v>30685437011</v>
      </c>
      <c r="B471" t="s">
        <v>534</v>
      </c>
    </row>
    <row r="472" spans="1:3" hidden="1" x14ac:dyDescent="0.3">
      <c r="A472" s="36">
        <v>30709318965</v>
      </c>
      <c r="B472" t="s">
        <v>535</v>
      </c>
    </row>
    <row r="473" spans="1:3" hidden="1" x14ac:dyDescent="0.3">
      <c r="A473" s="36">
        <v>30714113395</v>
      </c>
      <c r="B473" t="s">
        <v>536</v>
      </c>
    </row>
    <row r="474" spans="1:3" hidden="1" x14ac:dyDescent="0.3">
      <c r="A474" s="36">
        <v>30715263676</v>
      </c>
      <c r="B474" t="s">
        <v>537</v>
      </c>
    </row>
    <row r="475" spans="1:3" hidden="1" x14ac:dyDescent="0.3">
      <c r="A475" s="36">
        <v>30702652975</v>
      </c>
      <c r="B475" t="s">
        <v>538</v>
      </c>
      <c r="C475" s="35" t="s">
        <v>784</v>
      </c>
    </row>
    <row r="476" spans="1:3" hidden="1" x14ac:dyDescent="0.3">
      <c r="A476" s="36">
        <v>30714187658</v>
      </c>
      <c r="B476" t="s">
        <v>539</v>
      </c>
      <c r="C476" s="35" t="s">
        <v>84</v>
      </c>
    </row>
    <row r="477" spans="1:3" hidden="1" x14ac:dyDescent="0.3">
      <c r="A477" s="36">
        <v>30707215689</v>
      </c>
      <c r="B477" t="s">
        <v>540</v>
      </c>
      <c r="C477" s="35" t="s">
        <v>782</v>
      </c>
    </row>
    <row r="478" spans="1:3" hidden="1" x14ac:dyDescent="0.3">
      <c r="A478" s="36">
        <v>30504854023</v>
      </c>
      <c r="B478" t="s">
        <v>541</v>
      </c>
      <c r="C478" s="35" t="s">
        <v>84</v>
      </c>
    </row>
    <row r="479" spans="1:3" hidden="1" x14ac:dyDescent="0.3">
      <c r="A479" s="36">
        <v>30500053522</v>
      </c>
      <c r="B479" t="s">
        <v>542</v>
      </c>
    </row>
    <row r="480" spans="1:3" hidden="1" x14ac:dyDescent="0.3">
      <c r="A480" s="36">
        <v>30658137642</v>
      </c>
      <c r="B480" t="s">
        <v>543</v>
      </c>
    </row>
    <row r="481" spans="1:3" hidden="1" x14ac:dyDescent="0.3">
      <c r="A481" s="36">
        <v>33600011869</v>
      </c>
      <c r="B481" t="s">
        <v>544</v>
      </c>
    </row>
    <row r="482" spans="1:3" hidden="1" x14ac:dyDescent="0.3">
      <c r="A482" s="36">
        <v>30609521941</v>
      </c>
      <c r="B482" t="s">
        <v>545</v>
      </c>
    </row>
    <row r="483" spans="1:3" hidden="1" x14ac:dyDescent="0.3">
      <c r="A483" s="36">
        <v>30590412631</v>
      </c>
      <c r="B483" t="s">
        <v>546</v>
      </c>
    </row>
    <row r="484" spans="1:3" hidden="1" x14ac:dyDescent="0.3">
      <c r="A484" s="36">
        <v>30585412453</v>
      </c>
      <c r="B484" t="s">
        <v>547</v>
      </c>
    </row>
    <row r="485" spans="1:3" hidden="1" x14ac:dyDescent="0.3">
      <c r="A485" s="36">
        <v>30546846217</v>
      </c>
      <c r="B485" t="s">
        <v>548</v>
      </c>
    </row>
    <row r="486" spans="1:3" hidden="1" x14ac:dyDescent="0.3">
      <c r="A486" s="36">
        <v>30714911976</v>
      </c>
      <c r="B486" t="s">
        <v>549</v>
      </c>
      <c r="C486" s="35" t="s">
        <v>84</v>
      </c>
    </row>
    <row r="487" spans="1:3" hidden="1" x14ac:dyDescent="0.3">
      <c r="A487" s="36">
        <v>20177474844</v>
      </c>
      <c r="B487" t="s">
        <v>550</v>
      </c>
    </row>
    <row r="488" spans="1:3" hidden="1" x14ac:dyDescent="0.3">
      <c r="A488" s="36">
        <v>30708387114</v>
      </c>
      <c r="B488" t="s">
        <v>551</v>
      </c>
      <c r="C488" s="35" t="s">
        <v>84</v>
      </c>
    </row>
    <row r="489" spans="1:3" hidden="1" x14ac:dyDescent="0.3">
      <c r="A489" s="36">
        <v>30709059471</v>
      </c>
      <c r="B489" t="s">
        <v>552</v>
      </c>
      <c r="C489" s="35" t="s">
        <v>84</v>
      </c>
    </row>
    <row r="490" spans="1:3" hidden="1" x14ac:dyDescent="0.3">
      <c r="A490" s="36">
        <v>30702843576</v>
      </c>
      <c r="B490" t="s">
        <v>553</v>
      </c>
      <c r="C490" s="35" t="s">
        <v>84</v>
      </c>
    </row>
    <row r="491" spans="1:3" hidden="1" x14ac:dyDescent="0.3">
      <c r="A491" s="36">
        <v>30707092781</v>
      </c>
      <c r="B491" t="s">
        <v>554</v>
      </c>
      <c r="C491" s="35" t="s">
        <v>79</v>
      </c>
    </row>
    <row r="492" spans="1:3" hidden="1" x14ac:dyDescent="0.3">
      <c r="A492" s="36">
        <v>27937907473</v>
      </c>
      <c r="B492" t="s">
        <v>555</v>
      </c>
      <c r="C492" s="35" t="s">
        <v>79</v>
      </c>
    </row>
    <row r="493" spans="1:3" hidden="1" x14ac:dyDescent="0.3">
      <c r="A493" s="36">
        <v>30603810550</v>
      </c>
      <c r="B493" t="s">
        <v>556</v>
      </c>
      <c r="C493" s="35" t="s">
        <v>79</v>
      </c>
    </row>
    <row r="494" spans="1:3" hidden="1" x14ac:dyDescent="0.3">
      <c r="A494" s="36">
        <v>30712341803</v>
      </c>
      <c r="B494" t="s">
        <v>557</v>
      </c>
    </row>
    <row r="495" spans="1:3" hidden="1" x14ac:dyDescent="0.3">
      <c r="A495" s="36">
        <v>30550245309</v>
      </c>
      <c r="B495" t="s">
        <v>558</v>
      </c>
    </row>
    <row r="496" spans="1:3" hidden="1" x14ac:dyDescent="0.3">
      <c r="A496" s="36">
        <v>30655042772</v>
      </c>
      <c r="B496" t="s">
        <v>559</v>
      </c>
    </row>
    <row r="497" spans="1:3" hidden="1" x14ac:dyDescent="0.3">
      <c r="A497" s="36">
        <v>30678774495</v>
      </c>
      <c r="B497" t="s">
        <v>102</v>
      </c>
      <c r="C497" s="35" t="s">
        <v>44</v>
      </c>
    </row>
    <row r="498" spans="1:3" hidden="1" x14ac:dyDescent="0.3">
      <c r="A498" s="36">
        <v>30611371213</v>
      </c>
      <c r="B498" t="s">
        <v>560</v>
      </c>
      <c r="C498" s="35" t="s">
        <v>84</v>
      </c>
    </row>
    <row r="499" spans="1:3" hidden="1" x14ac:dyDescent="0.3">
      <c r="A499" s="36">
        <v>30500597557</v>
      </c>
      <c r="B499" t="s">
        <v>560</v>
      </c>
      <c r="C499" s="35" t="s">
        <v>84</v>
      </c>
    </row>
    <row r="500" spans="1:3" hidden="1" x14ac:dyDescent="0.3">
      <c r="A500" s="36">
        <v>30536259194</v>
      </c>
      <c r="B500" t="s">
        <v>561</v>
      </c>
    </row>
    <row r="501" spans="1:3" hidden="1" x14ac:dyDescent="0.3">
      <c r="A501" s="36">
        <v>30688264711</v>
      </c>
      <c r="B501" t="s">
        <v>562</v>
      </c>
    </row>
    <row r="502" spans="1:3" hidden="1" x14ac:dyDescent="0.3">
      <c r="A502" s="36">
        <v>30661498575</v>
      </c>
      <c r="B502" t="s">
        <v>563</v>
      </c>
      <c r="C502" s="35" t="s">
        <v>84</v>
      </c>
    </row>
    <row r="503" spans="1:3" hidden="1" x14ac:dyDescent="0.3">
      <c r="A503" s="36">
        <v>33709738459</v>
      </c>
      <c r="B503" t="s">
        <v>564</v>
      </c>
      <c r="C503" s="35" t="s">
        <v>84</v>
      </c>
    </row>
    <row r="504" spans="1:3" hidden="1" x14ac:dyDescent="0.3">
      <c r="A504" s="36">
        <v>30696246234</v>
      </c>
      <c r="B504" t="s">
        <v>565</v>
      </c>
      <c r="C504" s="35" t="s">
        <v>84</v>
      </c>
    </row>
    <row r="505" spans="1:3" hidden="1" x14ac:dyDescent="0.3">
      <c r="A505" s="36">
        <v>30518922897</v>
      </c>
      <c r="B505" t="s">
        <v>566</v>
      </c>
    </row>
    <row r="506" spans="1:3" hidden="1" x14ac:dyDescent="0.3">
      <c r="A506" s="36">
        <v>30600271004</v>
      </c>
      <c r="B506" t="s">
        <v>567</v>
      </c>
    </row>
    <row r="507" spans="1:3" hidden="1" x14ac:dyDescent="0.3">
      <c r="A507" s="36">
        <v>30707080198</v>
      </c>
      <c r="B507" t="s">
        <v>568</v>
      </c>
      <c r="C507" s="35" t="s">
        <v>84</v>
      </c>
    </row>
    <row r="508" spans="1:3" hidden="1" x14ac:dyDescent="0.3">
      <c r="A508" s="36">
        <v>30643862928</v>
      </c>
      <c r="B508" t="s">
        <v>569</v>
      </c>
      <c r="C508" s="35" t="s">
        <v>84</v>
      </c>
    </row>
    <row r="509" spans="1:3" hidden="1" x14ac:dyDescent="0.3">
      <c r="A509" s="36">
        <v>30709517976</v>
      </c>
      <c r="B509" t="s">
        <v>570</v>
      </c>
    </row>
    <row r="510" spans="1:3" hidden="1" x14ac:dyDescent="0.3">
      <c r="A510" s="36">
        <v>20266254084</v>
      </c>
      <c r="B510" t="s">
        <v>571</v>
      </c>
    </row>
    <row r="511" spans="1:3" hidden="1" x14ac:dyDescent="0.3">
      <c r="A511" s="36">
        <v>30707801987</v>
      </c>
      <c r="B511" t="s">
        <v>572</v>
      </c>
    </row>
    <row r="512" spans="1:3" hidden="1" x14ac:dyDescent="0.3">
      <c r="A512" s="36">
        <v>30695542476</v>
      </c>
      <c r="B512" t="s">
        <v>103</v>
      </c>
    </row>
    <row r="513" spans="1:3" hidden="1" x14ac:dyDescent="0.3">
      <c r="A513" s="36">
        <v>30591633984</v>
      </c>
      <c r="B513" t="s">
        <v>843</v>
      </c>
      <c r="C513" s="35" t="s">
        <v>84</v>
      </c>
    </row>
    <row r="514" spans="1:3" hidden="1" x14ac:dyDescent="0.3">
      <c r="A514" s="36">
        <v>20935729662</v>
      </c>
      <c r="B514" t="s">
        <v>573</v>
      </c>
    </row>
    <row r="515" spans="1:3" hidden="1" x14ac:dyDescent="0.3">
      <c r="A515" s="36">
        <v>30588917157</v>
      </c>
      <c r="B515" t="s">
        <v>574</v>
      </c>
      <c r="C515" s="35" t="s">
        <v>84</v>
      </c>
    </row>
    <row r="516" spans="1:3" hidden="1" x14ac:dyDescent="0.3">
      <c r="A516" s="36">
        <v>30687255492</v>
      </c>
      <c r="B516" t="s">
        <v>575</v>
      </c>
    </row>
    <row r="517" spans="1:3" hidden="1" x14ac:dyDescent="0.3">
      <c r="A517" s="36">
        <v>30605041287</v>
      </c>
      <c r="B517" t="s">
        <v>576</v>
      </c>
      <c r="C517" s="35" t="s">
        <v>79</v>
      </c>
    </row>
    <row r="518" spans="1:3" hidden="1" x14ac:dyDescent="0.3">
      <c r="A518" s="36">
        <v>30715401114</v>
      </c>
      <c r="B518" t="s">
        <v>577</v>
      </c>
      <c r="C518" s="35" t="s">
        <v>84</v>
      </c>
    </row>
    <row r="519" spans="1:3" hidden="1" x14ac:dyDescent="0.3">
      <c r="A519" s="36">
        <v>16218369</v>
      </c>
      <c r="B519" t="s">
        <v>578</v>
      </c>
    </row>
    <row r="520" spans="1:3" hidden="1" x14ac:dyDescent="0.3">
      <c r="A520" s="36">
        <v>30707515232</v>
      </c>
      <c r="B520" t="s">
        <v>579</v>
      </c>
    </row>
    <row r="521" spans="1:3" hidden="1" x14ac:dyDescent="0.3">
      <c r="A521" s="36">
        <v>27127809521</v>
      </c>
      <c r="B521" t="s">
        <v>580</v>
      </c>
    </row>
    <row r="522" spans="1:3" hidden="1" x14ac:dyDescent="0.3">
      <c r="A522" s="36">
        <v>30708084944</v>
      </c>
      <c r="B522" t="s">
        <v>581</v>
      </c>
    </row>
    <row r="523" spans="1:3" hidden="1" x14ac:dyDescent="0.3">
      <c r="A523" s="36">
        <v>26198343</v>
      </c>
      <c r="B523" t="s">
        <v>582</v>
      </c>
    </row>
    <row r="524" spans="1:3" hidden="1" x14ac:dyDescent="0.3">
      <c r="A524" s="36">
        <v>23131563779</v>
      </c>
      <c r="B524" t="s">
        <v>583</v>
      </c>
    </row>
    <row r="525" spans="1:3" hidden="1" x14ac:dyDescent="0.3">
      <c r="A525" s="36">
        <v>20277890306</v>
      </c>
      <c r="B525" t="s">
        <v>584</v>
      </c>
      <c r="C525" s="35" t="s">
        <v>84</v>
      </c>
    </row>
    <row r="526" spans="1:3" hidden="1" x14ac:dyDescent="0.3">
      <c r="A526" s="36">
        <v>30709975427</v>
      </c>
      <c r="B526" t="s">
        <v>585</v>
      </c>
    </row>
    <row r="527" spans="1:3" hidden="1" x14ac:dyDescent="0.3">
      <c r="A527" s="36">
        <v>33714646899</v>
      </c>
      <c r="B527" t="s">
        <v>586</v>
      </c>
    </row>
    <row r="528" spans="1:3" hidden="1" x14ac:dyDescent="0.3">
      <c r="A528" s="36">
        <v>30504744538</v>
      </c>
      <c r="B528" t="s">
        <v>104</v>
      </c>
    </row>
    <row r="529" spans="1:3" hidden="1" x14ac:dyDescent="0.3">
      <c r="A529" s="36">
        <v>20113613646</v>
      </c>
      <c r="B529" t="s">
        <v>587</v>
      </c>
      <c r="C529" s="35" t="s">
        <v>79</v>
      </c>
    </row>
    <row r="530" spans="1:3" hidden="1" x14ac:dyDescent="0.3">
      <c r="A530" s="36">
        <v>30502174904</v>
      </c>
      <c r="B530" t="s">
        <v>588</v>
      </c>
      <c r="C530" s="35" t="s">
        <v>84</v>
      </c>
    </row>
    <row r="531" spans="1:3" hidden="1" x14ac:dyDescent="0.3">
      <c r="A531" s="36">
        <v>30707228098</v>
      </c>
      <c r="B531" t="s">
        <v>589</v>
      </c>
    </row>
    <row r="532" spans="1:3" hidden="1" x14ac:dyDescent="0.3">
      <c r="A532" s="36">
        <v>20325657988</v>
      </c>
      <c r="B532" t="s">
        <v>590</v>
      </c>
    </row>
    <row r="533" spans="1:3" hidden="1" x14ac:dyDescent="0.3">
      <c r="A533" s="36">
        <v>30646512952</v>
      </c>
      <c r="B533" t="s">
        <v>844</v>
      </c>
      <c r="C533" s="35" t="s">
        <v>785</v>
      </c>
    </row>
    <row r="534" spans="1:3" hidden="1" x14ac:dyDescent="0.3">
      <c r="A534" s="36">
        <v>30577428618</v>
      </c>
      <c r="B534" t="s">
        <v>105</v>
      </c>
      <c r="C534" s="35" t="s">
        <v>84</v>
      </c>
    </row>
    <row r="535" spans="1:3" hidden="1" x14ac:dyDescent="0.3">
      <c r="A535" s="36">
        <v>30697754063</v>
      </c>
      <c r="B535" t="s">
        <v>591</v>
      </c>
    </row>
    <row r="536" spans="1:3" hidden="1" x14ac:dyDescent="0.3">
      <c r="A536" s="36">
        <v>30714848034</v>
      </c>
      <c r="B536" t="s">
        <v>845</v>
      </c>
      <c r="C536" s="35" t="s">
        <v>84</v>
      </c>
    </row>
    <row r="537" spans="1:3" hidden="1" x14ac:dyDescent="0.3">
      <c r="A537" s="36">
        <v>30555517757</v>
      </c>
      <c r="B537" t="s">
        <v>592</v>
      </c>
    </row>
    <row r="538" spans="1:3" hidden="1" x14ac:dyDescent="0.3">
      <c r="A538" s="36">
        <v>20304493039</v>
      </c>
      <c r="B538" t="s">
        <v>593</v>
      </c>
      <c r="C538" s="35" t="s">
        <v>84</v>
      </c>
    </row>
    <row r="539" spans="1:3" hidden="1" x14ac:dyDescent="0.3">
      <c r="A539" s="36">
        <v>30601399446</v>
      </c>
      <c r="B539" t="s">
        <v>594</v>
      </c>
    </row>
    <row r="540" spans="1:3" hidden="1" x14ac:dyDescent="0.3">
      <c r="A540" s="36">
        <v>30714249416</v>
      </c>
      <c r="B540" t="s">
        <v>595</v>
      </c>
    </row>
    <row r="541" spans="1:3" hidden="1" x14ac:dyDescent="0.3">
      <c r="A541" s="36">
        <v>33517024819</v>
      </c>
      <c r="B541" t="s">
        <v>596</v>
      </c>
      <c r="C541" s="35" t="s">
        <v>84</v>
      </c>
    </row>
    <row r="542" spans="1:3" hidden="1" x14ac:dyDescent="0.3">
      <c r="A542" s="36">
        <v>27203132722</v>
      </c>
      <c r="B542" t="s">
        <v>597</v>
      </c>
    </row>
    <row r="543" spans="1:3" hidden="1" x14ac:dyDescent="0.3">
      <c r="A543" s="36">
        <v>30583464138</v>
      </c>
      <c r="B543" t="s">
        <v>598</v>
      </c>
    </row>
    <row r="544" spans="1:3" hidden="1" x14ac:dyDescent="0.3">
      <c r="A544" s="36">
        <v>30711122911</v>
      </c>
      <c r="B544" t="s">
        <v>599</v>
      </c>
    </row>
    <row r="545" spans="1:3" hidden="1" x14ac:dyDescent="0.3">
      <c r="A545" s="36">
        <v>30550005987</v>
      </c>
      <c r="B545" t="s">
        <v>600</v>
      </c>
    </row>
    <row r="546" spans="1:3" hidden="1" x14ac:dyDescent="0.3">
      <c r="A546" s="36">
        <v>30709568260</v>
      </c>
      <c r="B546" t="s">
        <v>601</v>
      </c>
      <c r="C546" s="35" t="s">
        <v>84</v>
      </c>
    </row>
    <row r="547" spans="1:3" hidden="1" x14ac:dyDescent="0.3">
      <c r="A547" s="36">
        <v>30707970010</v>
      </c>
      <c r="B547" t="s">
        <v>602</v>
      </c>
    </row>
    <row r="548" spans="1:3" hidden="1" x14ac:dyDescent="0.3">
      <c r="A548" s="36">
        <v>33714326029</v>
      </c>
      <c r="B548" t="s">
        <v>603</v>
      </c>
    </row>
    <row r="549" spans="1:3" hidden="1" x14ac:dyDescent="0.3">
      <c r="A549" s="36">
        <v>30710207190</v>
      </c>
      <c r="B549" t="s">
        <v>604</v>
      </c>
    </row>
    <row r="550" spans="1:3" hidden="1" x14ac:dyDescent="0.3">
      <c r="A550" s="36">
        <v>30660432961</v>
      </c>
      <c r="B550" t="s">
        <v>605</v>
      </c>
    </row>
    <row r="551" spans="1:3" hidden="1" x14ac:dyDescent="0.3">
      <c r="A551" s="36">
        <v>20174240125</v>
      </c>
      <c r="B551" t="s">
        <v>846</v>
      </c>
    </row>
    <row r="552" spans="1:3" hidden="1" x14ac:dyDescent="0.3">
      <c r="A552" s="36">
        <v>30503940147</v>
      </c>
      <c r="B552" t="s">
        <v>606</v>
      </c>
    </row>
    <row r="553" spans="1:3" hidden="1" x14ac:dyDescent="0.3">
      <c r="A553" s="36">
        <v>27163348190</v>
      </c>
      <c r="B553" t="s">
        <v>607</v>
      </c>
      <c r="C553" s="35" t="s">
        <v>84</v>
      </c>
    </row>
    <row r="554" spans="1:3" hidden="1" x14ac:dyDescent="0.3">
      <c r="A554" s="36">
        <v>30568731936</v>
      </c>
      <c r="B554" t="s">
        <v>847</v>
      </c>
    </row>
    <row r="555" spans="1:3" hidden="1" x14ac:dyDescent="0.3">
      <c r="A555" s="36">
        <v>30517345039</v>
      </c>
      <c r="B555" t="s">
        <v>608</v>
      </c>
      <c r="C555" s="35" t="s">
        <v>84</v>
      </c>
    </row>
    <row r="556" spans="1:3" hidden="1" x14ac:dyDescent="0.3">
      <c r="A556" s="36">
        <v>12892105</v>
      </c>
      <c r="B556" t="s">
        <v>609</v>
      </c>
    </row>
    <row r="557" spans="1:3" hidden="1" x14ac:dyDescent="0.3">
      <c r="A557" s="36">
        <v>27233748205</v>
      </c>
      <c r="B557" t="s">
        <v>610</v>
      </c>
    </row>
    <row r="558" spans="1:3" hidden="1" x14ac:dyDescent="0.3">
      <c r="A558" s="36">
        <v>20082988786</v>
      </c>
      <c r="B558" t="s">
        <v>611</v>
      </c>
      <c r="C558" s="35" t="s">
        <v>84</v>
      </c>
    </row>
    <row r="559" spans="1:3" hidden="1" x14ac:dyDescent="0.3">
      <c r="A559" s="36">
        <v>30707370552</v>
      </c>
      <c r="B559" t="s">
        <v>612</v>
      </c>
      <c r="C559" s="35" t="s">
        <v>84</v>
      </c>
    </row>
    <row r="560" spans="1:3" hidden="1" x14ac:dyDescent="0.3">
      <c r="A560" s="36">
        <v>27179366741</v>
      </c>
      <c r="B560" t="s">
        <v>613</v>
      </c>
    </row>
    <row r="561" spans="1:3" hidden="1" x14ac:dyDescent="0.3">
      <c r="A561" s="36">
        <v>30711877386</v>
      </c>
      <c r="B561" t="s">
        <v>614</v>
      </c>
      <c r="C561" s="35" t="s">
        <v>615</v>
      </c>
    </row>
    <row r="562" spans="1:3" hidden="1" x14ac:dyDescent="0.3">
      <c r="A562" s="36">
        <v>30715645579</v>
      </c>
      <c r="B562" t="s">
        <v>616</v>
      </c>
      <c r="C562" s="35" t="s">
        <v>84</v>
      </c>
    </row>
    <row r="563" spans="1:3" hidden="1" x14ac:dyDescent="0.3">
      <c r="A563" s="36">
        <v>20043154835</v>
      </c>
      <c r="B563" t="s">
        <v>617</v>
      </c>
    </row>
    <row r="564" spans="1:3" hidden="1" x14ac:dyDescent="0.3">
      <c r="A564" s="36">
        <v>33708793219</v>
      </c>
      <c r="B564" t="s">
        <v>618</v>
      </c>
      <c r="C564" s="35" t="s">
        <v>79</v>
      </c>
    </row>
    <row r="565" spans="1:3" hidden="1" x14ac:dyDescent="0.3">
      <c r="A565" s="36">
        <v>30709836230</v>
      </c>
      <c r="B565" t="s">
        <v>619</v>
      </c>
      <c r="C565" s="35" t="s">
        <v>84</v>
      </c>
    </row>
    <row r="566" spans="1:3" hidden="1" x14ac:dyDescent="0.3">
      <c r="A566" s="36">
        <v>33711399149</v>
      </c>
      <c r="B566" t="s">
        <v>620</v>
      </c>
    </row>
    <row r="567" spans="1:3" hidden="1" x14ac:dyDescent="0.3">
      <c r="A567" s="36">
        <v>23181104589</v>
      </c>
      <c r="B567" t="s">
        <v>621</v>
      </c>
      <c r="C567" s="35" t="s">
        <v>84</v>
      </c>
    </row>
    <row r="568" spans="1:3" hidden="1" x14ac:dyDescent="0.3">
      <c r="A568" s="36">
        <v>30711713138</v>
      </c>
      <c r="B568" t="s">
        <v>622</v>
      </c>
      <c r="C568" s="35" t="s">
        <v>84</v>
      </c>
    </row>
    <row r="569" spans="1:3" hidden="1" x14ac:dyDescent="0.3">
      <c r="A569" s="36">
        <v>20085119614</v>
      </c>
      <c r="B569" t="s">
        <v>623</v>
      </c>
    </row>
    <row r="570" spans="1:3" hidden="1" x14ac:dyDescent="0.3">
      <c r="A570" s="36">
        <v>30663944939</v>
      </c>
      <c r="B570" t="s">
        <v>624</v>
      </c>
      <c r="C570" s="35" t="s">
        <v>84</v>
      </c>
    </row>
    <row r="571" spans="1:3" hidden="1" x14ac:dyDescent="0.3">
      <c r="A571" s="36">
        <v>30715141201</v>
      </c>
      <c r="B571" t="s">
        <v>625</v>
      </c>
      <c r="C571" s="35" t="s">
        <v>84</v>
      </c>
    </row>
    <row r="572" spans="1:3" hidden="1" x14ac:dyDescent="0.3">
      <c r="A572" s="36">
        <v>30709214078</v>
      </c>
      <c r="B572" t="s">
        <v>626</v>
      </c>
      <c r="C572" s="35" t="s">
        <v>84</v>
      </c>
    </row>
    <row r="573" spans="1:3" hidden="1" x14ac:dyDescent="0.3">
      <c r="A573" s="36">
        <v>30501136510</v>
      </c>
      <c r="B573" t="s">
        <v>627</v>
      </c>
    </row>
    <row r="574" spans="1:3" hidden="1" x14ac:dyDescent="0.3">
      <c r="A574" s="36">
        <v>20217488738</v>
      </c>
      <c r="B574" t="s">
        <v>628</v>
      </c>
      <c r="C574" s="35" t="s">
        <v>848</v>
      </c>
    </row>
    <row r="575" spans="1:3" hidden="1" x14ac:dyDescent="0.3">
      <c r="A575" s="36">
        <v>30708376554</v>
      </c>
      <c r="B575" t="s">
        <v>629</v>
      </c>
      <c r="C575" s="35" t="s">
        <v>84</v>
      </c>
    </row>
    <row r="576" spans="1:3" hidden="1" x14ac:dyDescent="0.3">
      <c r="A576" s="36">
        <v>30612958528</v>
      </c>
      <c r="B576" t="s">
        <v>630</v>
      </c>
      <c r="C576" s="35" t="s">
        <v>84</v>
      </c>
    </row>
    <row r="577" spans="1:3" hidden="1" x14ac:dyDescent="0.3">
      <c r="A577" s="36">
        <v>30525966859</v>
      </c>
      <c r="B577" t="s">
        <v>631</v>
      </c>
    </row>
    <row r="578" spans="1:3" hidden="1" x14ac:dyDescent="0.3">
      <c r="A578" s="36">
        <v>20210807889</v>
      </c>
      <c r="B578" t="s">
        <v>632</v>
      </c>
    </row>
    <row r="579" spans="1:3" hidden="1" x14ac:dyDescent="0.3">
      <c r="A579" s="36">
        <v>30714642762</v>
      </c>
      <c r="B579" t="s">
        <v>633</v>
      </c>
    </row>
    <row r="580" spans="1:3" hidden="1" x14ac:dyDescent="0.3">
      <c r="A580" s="36">
        <v>30608642869</v>
      </c>
      <c r="B580" t="s">
        <v>634</v>
      </c>
    </row>
    <row r="581" spans="1:3" hidden="1" x14ac:dyDescent="0.3">
      <c r="A581" s="36">
        <v>30712273158</v>
      </c>
      <c r="B581" t="s">
        <v>635</v>
      </c>
      <c r="C581" s="35" t="s">
        <v>793</v>
      </c>
    </row>
    <row r="582" spans="1:3" hidden="1" x14ac:dyDescent="0.3">
      <c r="A582" s="36">
        <v>23106878269</v>
      </c>
      <c r="B582" t="s">
        <v>636</v>
      </c>
      <c r="C582" s="35" t="s">
        <v>84</v>
      </c>
    </row>
    <row r="583" spans="1:3" hidden="1" x14ac:dyDescent="0.3">
      <c r="A583" s="36">
        <v>30709497789</v>
      </c>
      <c r="B583" t="s">
        <v>637</v>
      </c>
    </row>
    <row r="584" spans="1:3" hidden="1" x14ac:dyDescent="0.3">
      <c r="A584" s="36">
        <v>20162253310</v>
      </c>
      <c r="B584" t="s">
        <v>638</v>
      </c>
      <c r="C584" s="35" t="s">
        <v>79</v>
      </c>
    </row>
    <row r="585" spans="1:3" hidden="1" x14ac:dyDescent="0.3">
      <c r="A585" s="36">
        <v>20078690284</v>
      </c>
      <c r="B585" t="s">
        <v>639</v>
      </c>
      <c r="C585" s="35" t="s">
        <v>84</v>
      </c>
    </row>
    <row r="586" spans="1:3" hidden="1" x14ac:dyDescent="0.3">
      <c r="A586" s="36">
        <v>30714732540</v>
      </c>
      <c r="B586" t="s">
        <v>640</v>
      </c>
    </row>
    <row r="587" spans="1:3" hidden="1" x14ac:dyDescent="0.3">
      <c r="A587" s="36">
        <v>33715567089</v>
      </c>
      <c r="B587" t="s">
        <v>641</v>
      </c>
      <c r="C587" s="35" t="s">
        <v>84</v>
      </c>
    </row>
    <row r="588" spans="1:3" hidden="1" x14ac:dyDescent="0.3">
      <c r="A588" s="36">
        <v>20120875141</v>
      </c>
      <c r="B588" t="s">
        <v>642</v>
      </c>
      <c r="C588" s="35" t="s">
        <v>84</v>
      </c>
    </row>
    <row r="589" spans="1:3" hidden="1" x14ac:dyDescent="0.3">
      <c r="A589" s="36">
        <v>20049749814</v>
      </c>
      <c r="B589" t="s">
        <v>643</v>
      </c>
    </row>
    <row r="590" spans="1:3" hidden="1" x14ac:dyDescent="0.3">
      <c r="A590" s="36">
        <v>30708263849</v>
      </c>
      <c r="B590" t="s">
        <v>644</v>
      </c>
    </row>
    <row r="591" spans="1:3" hidden="1" x14ac:dyDescent="0.3">
      <c r="A591" s="36">
        <v>20110668733</v>
      </c>
      <c r="B591" t="s">
        <v>645</v>
      </c>
      <c r="C591" s="35" t="s">
        <v>84</v>
      </c>
    </row>
    <row r="592" spans="1:3" hidden="1" x14ac:dyDescent="0.3">
      <c r="A592" s="36">
        <v>30576393381</v>
      </c>
      <c r="B592" t="s">
        <v>646</v>
      </c>
      <c r="C592" s="35" t="s">
        <v>784</v>
      </c>
    </row>
    <row r="593" spans="1:3" hidden="1" x14ac:dyDescent="0.3">
      <c r="A593" s="36">
        <v>30714654701</v>
      </c>
      <c r="B593" t="s">
        <v>647</v>
      </c>
      <c r="C593" s="35" t="s">
        <v>785</v>
      </c>
    </row>
    <row r="594" spans="1:3" hidden="1" x14ac:dyDescent="0.3">
      <c r="A594" s="36">
        <v>20233320294</v>
      </c>
      <c r="B594" t="s">
        <v>648</v>
      </c>
      <c r="C594" s="35" t="s">
        <v>84</v>
      </c>
    </row>
    <row r="595" spans="1:3" hidden="1" x14ac:dyDescent="0.3">
      <c r="A595" s="36">
        <v>30715048066</v>
      </c>
      <c r="B595" t="s">
        <v>106</v>
      </c>
      <c r="C595" s="35" t="s">
        <v>849</v>
      </c>
    </row>
    <row r="596" spans="1:3" hidden="1" x14ac:dyDescent="0.3">
      <c r="A596" s="36">
        <v>20043702611</v>
      </c>
      <c r="B596" t="s">
        <v>649</v>
      </c>
      <c r="C596" s="35" t="s">
        <v>84</v>
      </c>
    </row>
    <row r="597" spans="1:3" hidden="1" x14ac:dyDescent="0.3">
      <c r="A597" s="36">
        <v>20229507525</v>
      </c>
      <c r="B597" t="s">
        <v>650</v>
      </c>
    </row>
    <row r="598" spans="1:3" hidden="1" x14ac:dyDescent="0.3">
      <c r="A598" s="36">
        <v>30521596135</v>
      </c>
      <c r="B598" t="s">
        <v>651</v>
      </c>
      <c r="C598" s="35" t="s">
        <v>84</v>
      </c>
    </row>
    <row r="599" spans="1:3" hidden="1" x14ac:dyDescent="0.3">
      <c r="A599" s="36">
        <v>4829719</v>
      </c>
      <c r="B599" t="s">
        <v>652</v>
      </c>
    </row>
    <row r="600" spans="1:3" hidden="1" x14ac:dyDescent="0.3">
      <c r="A600" s="36">
        <v>30540721722</v>
      </c>
      <c r="B600" t="s">
        <v>653</v>
      </c>
      <c r="C600" s="35" t="s">
        <v>84</v>
      </c>
    </row>
    <row r="601" spans="1:3" hidden="1" x14ac:dyDescent="0.3">
      <c r="A601" s="36">
        <v>30710444877</v>
      </c>
      <c r="B601" t="s">
        <v>654</v>
      </c>
      <c r="C601" s="35" t="s">
        <v>79</v>
      </c>
    </row>
    <row r="602" spans="1:3" hidden="1" x14ac:dyDescent="0.3">
      <c r="A602" s="36">
        <v>33709108129</v>
      </c>
      <c r="B602" t="s">
        <v>655</v>
      </c>
      <c r="C602" s="35" t="s">
        <v>79</v>
      </c>
    </row>
    <row r="603" spans="1:3" hidden="1" x14ac:dyDescent="0.3">
      <c r="A603" s="36">
        <v>30506730038</v>
      </c>
      <c r="B603" t="s">
        <v>656</v>
      </c>
    </row>
    <row r="604" spans="1:3" hidden="1" x14ac:dyDescent="0.3">
      <c r="A604" s="36">
        <v>30558706836</v>
      </c>
      <c r="B604" t="s">
        <v>657</v>
      </c>
      <c r="C604" s="35" t="s">
        <v>84</v>
      </c>
    </row>
    <row r="605" spans="1:3" hidden="1" x14ac:dyDescent="0.3">
      <c r="A605" s="36">
        <v>30610511801</v>
      </c>
      <c r="B605" t="s">
        <v>658</v>
      </c>
    </row>
    <row r="606" spans="1:3" hidden="1" x14ac:dyDescent="0.3">
      <c r="A606" s="36">
        <v>30500529071</v>
      </c>
      <c r="B606" t="s">
        <v>659</v>
      </c>
      <c r="C606" s="35" t="s">
        <v>84</v>
      </c>
    </row>
    <row r="607" spans="1:3" hidden="1" x14ac:dyDescent="0.3">
      <c r="A607" s="36">
        <v>30645922715</v>
      </c>
      <c r="B607" t="s">
        <v>850</v>
      </c>
    </row>
    <row r="608" spans="1:3" hidden="1" x14ac:dyDescent="0.3">
      <c r="A608" s="36">
        <v>6209031</v>
      </c>
      <c r="B608" t="s">
        <v>660</v>
      </c>
    </row>
    <row r="609" spans="1:3" hidden="1" x14ac:dyDescent="0.3">
      <c r="A609" s="36">
        <v>30645585654</v>
      </c>
      <c r="B609" t="s">
        <v>661</v>
      </c>
    </row>
    <row r="610" spans="1:3" hidden="1" x14ac:dyDescent="0.3">
      <c r="A610" s="36">
        <v>30711553564</v>
      </c>
      <c r="B610" t="s">
        <v>662</v>
      </c>
      <c r="C610" s="35" t="s">
        <v>84</v>
      </c>
    </row>
    <row r="611" spans="1:3" hidden="1" x14ac:dyDescent="0.3">
      <c r="A611" s="36">
        <v>94018871</v>
      </c>
      <c r="B611" t="s">
        <v>663</v>
      </c>
    </row>
    <row r="612" spans="1:3" hidden="1" x14ac:dyDescent="0.3">
      <c r="A612" s="36">
        <v>30714079405</v>
      </c>
      <c r="B612" t="s">
        <v>664</v>
      </c>
      <c r="C612" s="35" t="s">
        <v>84</v>
      </c>
    </row>
    <row r="613" spans="1:3" hidden="1" x14ac:dyDescent="0.3">
      <c r="A613" s="36">
        <v>27240421513</v>
      </c>
      <c r="B613" t="s">
        <v>665</v>
      </c>
    </row>
    <row r="614" spans="1:3" hidden="1" x14ac:dyDescent="0.3">
      <c r="A614" s="36">
        <v>30708428082</v>
      </c>
      <c r="B614" t="s">
        <v>666</v>
      </c>
    </row>
    <row r="615" spans="1:3" hidden="1" x14ac:dyDescent="0.3">
      <c r="A615" s="36">
        <v>30631047145</v>
      </c>
      <c r="B615" t="s">
        <v>667</v>
      </c>
      <c r="C615" s="35" t="s">
        <v>783</v>
      </c>
    </row>
    <row r="616" spans="1:3" hidden="1" x14ac:dyDescent="0.3">
      <c r="A616" s="36">
        <v>30711105014</v>
      </c>
      <c r="B616" t="s">
        <v>668</v>
      </c>
    </row>
    <row r="617" spans="1:3" hidden="1" x14ac:dyDescent="0.3">
      <c r="A617" s="36">
        <v>30683684143</v>
      </c>
      <c r="B617" t="s">
        <v>669</v>
      </c>
    </row>
    <row r="618" spans="1:3" hidden="1" x14ac:dyDescent="0.3">
      <c r="A618" s="36">
        <v>30645330184</v>
      </c>
      <c r="B618" t="s">
        <v>670</v>
      </c>
    </row>
    <row r="619" spans="1:3" hidden="1" x14ac:dyDescent="0.3">
      <c r="A619" s="36">
        <v>30610025915</v>
      </c>
      <c r="B619" t="s">
        <v>671</v>
      </c>
    </row>
    <row r="620" spans="1:3" hidden="1" x14ac:dyDescent="0.3">
      <c r="A620" s="36">
        <v>30616500593</v>
      </c>
      <c r="B620" t="s">
        <v>672</v>
      </c>
    </row>
    <row r="621" spans="1:3" hidden="1" x14ac:dyDescent="0.3">
      <c r="A621" s="36">
        <v>30574300858</v>
      </c>
      <c r="B621" t="s">
        <v>673</v>
      </c>
      <c r="C621" s="35" t="s">
        <v>44</v>
      </c>
    </row>
    <row r="622" spans="1:3" hidden="1" x14ac:dyDescent="0.3">
      <c r="A622" s="36">
        <v>30699419245</v>
      </c>
      <c r="B622" t="s">
        <v>674</v>
      </c>
      <c r="C622" s="35" t="s">
        <v>79</v>
      </c>
    </row>
    <row r="623" spans="1:3" hidden="1" x14ac:dyDescent="0.3">
      <c r="A623" s="36">
        <v>31335549</v>
      </c>
      <c r="B623" t="s">
        <v>675</v>
      </c>
    </row>
    <row r="624" spans="1:3" hidden="1" x14ac:dyDescent="0.3">
      <c r="A624" s="36">
        <v>20184103924</v>
      </c>
      <c r="B624" t="s">
        <v>676</v>
      </c>
    </row>
    <row r="625" spans="1:3" hidden="1" x14ac:dyDescent="0.3">
      <c r="A625" s="36">
        <v>20926929128</v>
      </c>
      <c r="B625" t="s">
        <v>677</v>
      </c>
      <c r="C625" s="35" t="s">
        <v>79</v>
      </c>
    </row>
    <row r="626" spans="1:3" hidden="1" x14ac:dyDescent="0.3">
      <c r="A626" s="36">
        <v>30663434191</v>
      </c>
      <c r="B626" t="s">
        <v>678</v>
      </c>
    </row>
    <row r="627" spans="1:3" hidden="1" x14ac:dyDescent="0.3">
      <c r="A627" s="36">
        <v>30598960093</v>
      </c>
      <c r="B627" t="s">
        <v>679</v>
      </c>
      <c r="C627" s="35" t="s">
        <v>84</v>
      </c>
    </row>
    <row r="628" spans="1:3" hidden="1" x14ac:dyDescent="0.3">
      <c r="A628" s="36">
        <v>30707833765</v>
      </c>
      <c r="B628" t="s">
        <v>680</v>
      </c>
    </row>
    <row r="629" spans="1:3" hidden="1" x14ac:dyDescent="0.3">
      <c r="A629" s="36">
        <v>30528650003</v>
      </c>
      <c r="B629" t="s">
        <v>681</v>
      </c>
    </row>
    <row r="630" spans="1:3" hidden="1" x14ac:dyDescent="0.3">
      <c r="A630" s="36">
        <v>30715504037</v>
      </c>
      <c r="B630" t="s">
        <v>682</v>
      </c>
      <c r="C630" s="35" t="s">
        <v>84</v>
      </c>
    </row>
    <row r="631" spans="1:3" hidden="1" x14ac:dyDescent="0.3">
      <c r="A631" s="36">
        <v>30665725829</v>
      </c>
      <c r="B631" t="s">
        <v>683</v>
      </c>
    </row>
    <row r="632" spans="1:3" hidden="1" x14ac:dyDescent="0.3">
      <c r="A632" s="36">
        <v>30715487876</v>
      </c>
      <c r="B632" t="s">
        <v>684</v>
      </c>
    </row>
    <row r="633" spans="1:3" hidden="1" x14ac:dyDescent="0.3">
      <c r="A633" s="36">
        <v>30654118767</v>
      </c>
      <c r="B633" t="s">
        <v>685</v>
      </c>
    </row>
    <row r="634" spans="1:3" hidden="1" x14ac:dyDescent="0.3">
      <c r="A634" s="36">
        <v>30709040908</v>
      </c>
      <c r="B634" t="s">
        <v>686</v>
      </c>
    </row>
    <row r="635" spans="1:3" hidden="1" x14ac:dyDescent="0.3">
      <c r="A635" s="36">
        <v>30688387201</v>
      </c>
      <c r="B635" t="s">
        <v>687</v>
      </c>
      <c r="C635" s="35" t="s">
        <v>84</v>
      </c>
    </row>
    <row r="636" spans="1:3" hidden="1" x14ac:dyDescent="0.3">
      <c r="A636" s="36">
        <v>27066622997</v>
      </c>
      <c r="B636" t="s">
        <v>688</v>
      </c>
      <c r="C636" s="35" t="s">
        <v>84</v>
      </c>
    </row>
    <row r="637" spans="1:3" hidden="1" x14ac:dyDescent="0.3">
      <c r="A637" s="36">
        <v>33711882729</v>
      </c>
      <c r="B637" t="s">
        <v>851</v>
      </c>
      <c r="C637" s="35" t="s">
        <v>84</v>
      </c>
    </row>
    <row r="638" spans="1:3" hidden="1" x14ac:dyDescent="0.3">
      <c r="A638" s="36">
        <v>30643416375</v>
      </c>
      <c r="B638" t="s">
        <v>689</v>
      </c>
      <c r="C638" s="35" t="s">
        <v>84</v>
      </c>
    </row>
    <row r="639" spans="1:3" hidden="1" x14ac:dyDescent="0.3">
      <c r="A639" s="36">
        <v>13740696</v>
      </c>
      <c r="B639" t="s">
        <v>690</v>
      </c>
    </row>
    <row r="640" spans="1:3" hidden="1" x14ac:dyDescent="0.3">
      <c r="A640" s="36">
        <v>30714710652</v>
      </c>
      <c r="B640" t="s">
        <v>691</v>
      </c>
      <c r="C640" s="35" t="s">
        <v>84</v>
      </c>
    </row>
    <row r="641" spans="1:3" hidden="1" x14ac:dyDescent="0.3">
      <c r="A641" s="36">
        <v>23185808963</v>
      </c>
      <c r="B641" t="s">
        <v>692</v>
      </c>
    </row>
    <row r="642" spans="1:3" hidden="1" x14ac:dyDescent="0.3">
      <c r="A642" s="36">
        <v>30577797281</v>
      </c>
      <c r="B642" t="s">
        <v>693</v>
      </c>
    </row>
    <row r="643" spans="1:3" hidden="1" x14ac:dyDescent="0.3">
      <c r="A643" s="36">
        <v>20249295869</v>
      </c>
      <c r="B643" t="s">
        <v>694</v>
      </c>
    </row>
    <row r="644" spans="1:3" hidden="1" x14ac:dyDescent="0.3">
      <c r="A644" s="36">
        <v>30500221956</v>
      </c>
      <c r="B644" t="s">
        <v>695</v>
      </c>
    </row>
    <row r="645" spans="1:3" hidden="1" x14ac:dyDescent="0.3">
      <c r="A645" s="36">
        <v>20172324240</v>
      </c>
      <c r="B645" t="s">
        <v>696</v>
      </c>
    </row>
    <row r="646" spans="1:3" hidden="1" x14ac:dyDescent="0.3">
      <c r="A646" s="36">
        <v>20325751453</v>
      </c>
      <c r="B646" t="s">
        <v>697</v>
      </c>
      <c r="C646" s="35" t="s">
        <v>84</v>
      </c>
    </row>
    <row r="647" spans="1:3" hidden="1" x14ac:dyDescent="0.3">
      <c r="A647" s="36">
        <v>20211427834</v>
      </c>
      <c r="B647" t="s">
        <v>698</v>
      </c>
    </row>
    <row r="648" spans="1:3" hidden="1" x14ac:dyDescent="0.3">
      <c r="A648" s="36">
        <v>30699425520</v>
      </c>
      <c r="B648" t="s">
        <v>699</v>
      </c>
      <c r="C648" s="35" t="s">
        <v>84</v>
      </c>
    </row>
    <row r="649" spans="1:3" hidden="1" x14ac:dyDescent="0.3">
      <c r="A649" s="36">
        <v>30715701932</v>
      </c>
      <c r="B649" t="s">
        <v>700</v>
      </c>
      <c r="C649" s="35" t="s">
        <v>84</v>
      </c>
    </row>
    <row r="650" spans="1:3" hidden="1" x14ac:dyDescent="0.3">
      <c r="A650" s="36">
        <v>20045279244</v>
      </c>
      <c r="B650" t="s">
        <v>701</v>
      </c>
    </row>
    <row r="651" spans="1:3" hidden="1" x14ac:dyDescent="0.3">
      <c r="A651" s="36">
        <v>30695303978</v>
      </c>
      <c r="B651" t="s">
        <v>702</v>
      </c>
      <c r="C651" s="35" t="s">
        <v>79</v>
      </c>
    </row>
    <row r="652" spans="1:3" hidden="1" x14ac:dyDescent="0.3">
      <c r="A652" s="36">
        <v>30709981141</v>
      </c>
      <c r="B652" t="s">
        <v>703</v>
      </c>
    </row>
    <row r="653" spans="1:3" hidden="1" x14ac:dyDescent="0.3">
      <c r="A653" s="36">
        <v>30505459179</v>
      </c>
      <c r="B653" t="s">
        <v>704</v>
      </c>
      <c r="C653" s="35" t="s">
        <v>84</v>
      </c>
    </row>
    <row r="654" spans="1:3" hidden="1" x14ac:dyDescent="0.3">
      <c r="A654" s="36">
        <v>23145783224</v>
      </c>
      <c r="B654" t="s">
        <v>107</v>
      </c>
      <c r="C654" s="35" t="s">
        <v>788</v>
      </c>
    </row>
    <row r="655" spans="1:3" hidden="1" x14ac:dyDescent="0.3">
      <c r="A655" s="36">
        <v>30654855168</v>
      </c>
      <c r="B655" t="s">
        <v>852</v>
      </c>
      <c r="C655" s="35" t="s">
        <v>79</v>
      </c>
    </row>
    <row r="656" spans="1:3" hidden="1" x14ac:dyDescent="0.3">
      <c r="A656" s="36">
        <v>30710114176</v>
      </c>
      <c r="B656" t="s">
        <v>705</v>
      </c>
      <c r="C656" s="35" t="s">
        <v>785</v>
      </c>
    </row>
    <row r="657" spans="1:3" hidden="1" x14ac:dyDescent="0.3">
      <c r="A657" s="36">
        <v>27166041673</v>
      </c>
      <c r="B657" t="s">
        <v>706</v>
      </c>
    </row>
    <row r="658" spans="1:3" hidden="1" x14ac:dyDescent="0.3">
      <c r="A658" s="36">
        <v>30707057587</v>
      </c>
      <c r="B658" t="s">
        <v>707</v>
      </c>
      <c r="C658" s="35" t="s">
        <v>84</v>
      </c>
    </row>
    <row r="659" spans="1:3" hidden="1" x14ac:dyDescent="0.3">
      <c r="A659" s="36">
        <v>30710177658</v>
      </c>
      <c r="B659" t="s">
        <v>708</v>
      </c>
      <c r="C659" s="35" t="s">
        <v>84</v>
      </c>
    </row>
    <row r="660" spans="1:3" hidden="1" x14ac:dyDescent="0.3">
      <c r="A660" s="36">
        <v>30685376349</v>
      </c>
      <c r="B660" t="s">
        <v>709</v>
      </c>
    </row>
    <row r="661" spans="1:3" hidden="1" x14ac:dyDescent="0.3">
      <c r="A661" s="36">
        <v>30711451567</v>
      </c>
      <c r="B661" t="s">
        <v>710</v>
      </c>
      <c r="C661" s="35" t="s">
        <v>84</v>
      </c>
    </row>
    <row r="662" spans="1:3" hidden="1" x14ac:dyDescent="0.3">
      <c r="A662" s="36">
        <v>30676683867</v>
      </c>
      <c r="B662" t="s">
        <v>711</v>
      </c>
      <c r="C662" s="35" t="s">
        <v>79</v>
      </c>
    </row>
    <row r="663" spans="1:3" hidden="1" x14ac:dyDescent="0.3">
      <c r="A663" s="36">
        <v>30710725116</v>
      </c>
      <c r="B663" t="s">
        <v>712</v>
      </c>
      <c r="C663" s="35" t="s">
        <v>84</v>
      </c>
    </row>
    <row r="664" spans="1:3" hidden="1" x14ac:dyDescent="0.3">
      <c r="A664" s="36">
        <v>30708960736</v>
      </c>
      <c r="B664" t="s">
        <v>853</v>
      </c>
    </row>
    <row r="665" spans="1:3" hidden="1" x14ac:dyDescent="0.3">
      <c r="A665" s="36">
        <v>30708447036</v>
      </c>
      <c r="B665" t="s">
        <v>713</v>
      </c>
      <c r="C665" s="35" t="s">
        <v>785</v>
      </c>
    </row>
    <row r="666" spans="1:3" hidden="1" x14ac:dyDescent="0.3">
      <c r="A666" s="36">
        <v>30640897267</v>
      </c>
      <c r="B666" t="s">
        <v>108</v>
      </c>
      <c r="C666" s="35" t="s">
        <v>784</v>
      </c>
    </row>
    <row r="667" spans="1:3" hidden="1" x14ac:dyDescent="0.3">
      <c r="A667" s="36">
        <v>30639453738</v>
      </c>
      <c r="B667" t="s">
        <v>854</v>
      </c>
      <c r="C667" s="35" t="s">
        <v>784</v>
      </c>
    </row>
    <row r="668" spans="1:3" hidden="1" x14ac:dyDescent="0.3">
      <c r="A668" s="36">
        <v>30639453975</v>
      </c>
      <c r="B668" t="s">
        <v>855</v>
      </c>
      <c r="C668" s="35" t="s">
        <v>784</v>
      </c>
    </row>
    <row r="669" spans="1:3" hidden="1" x14ac:dyDescent="0.3">
      <c r="A669" s="36">
        <v>30678814357</v>
      </c>
      <c r="B669" t="s">
        <v>856</v>
      </c>
      <c r="C669" s="35" t="s">
        <v>784</v>
      </c>
    </row>
    <row r="670" spans="1:3" hidden="1" x14ac:dyDescent="0.3">
      <c r="A670" s="36">
        <v>33695098419</v>
      </c>
      <c r="B670" t="s">
        <v>714</v>
      </c>
    </row>
    <row r="671" spans="1:3" hidden="1" x14ac:dyDescent="0.3">
      <c r="A671" s="36">
        <v>30710092784</v>
      </c>
      <c r="B671" t="s">
        <v>715</v>
      </c>
    </row>
    <row r="672" spans="1:3" hidden="1" x14ac:dyDescent="0.3">
      <c r="A672" s="36">
        <v>30710718438</v>
      </c>
      <c r="B672" t="s">
        <v>716</v>
      </c>
    </row>
    <row r="673" spans="1:3" hidden="1" x14ac:dyDescent="0.3">
      <c r="A673" s="36">
        <v>30716296438</v>
      </c>
      <c r="B673" t="s">
        <v>857</v>
      </c>
    </row>
    <row r="674" spans="1:3" hidden="1" x14ac:dyDescent="0.3">
      <c r="A674" s="36">
        <v>30715259784</v>
      </c>
      <c r="B674" t="s">
        <v>717</v>
      </c>
      <c r="C674" s="35" t="s">
        <v>84</v>
      </c>
    </row>
    <row r="675" spans="1:3" hidden="1" x14ac:dyDescent="0.3">
      <c r="A675" s="36">
        <v>30709305618</v>
      </c>
      <c r="B675" t="s">
        <v>718</v>
      </c>
      <c r="C675" s="35" t="s">
        <v>84</v>
      </c>
    </row>
    <row r="676" spans="1:3" hidden="1" x14ac:dyDescent="0.3">
      <c r="A676" s="36">
        <v>30694592526</v>
      </c>
      <c r="B676" t="s">
        <v>719</v>
      </c>
      <c r="C676" s="35" t="s">
        <v>79</v>
      </c>
    </row>
    <row r="677" spans="1:3" hidden="1" x14ac:dyDescent="0.3">
      <c r="A677" s="36">
        <v>30708491086</v>
      </c>
      <c r="B677" t="s">
        <v>720</v>
      </c>
    </row>
    <row r="678" spans="1:3" hidden="1" x14ac:dyDescent="0.3">
      <c r="A678" s="36">
        <v>30661685731</v>
      </c>
      <c r="B678" t="s">
        <v>721</v>
      </c>
    </row>
    <row r="679" spans="1:3" hidden="1" x14ac:dyDescent="0.3">
      <c r="A679" s="36">
        <v>20229914007</v>
      </c>
      <c r="B679" t="s">
        <v>722</v>
      </c>
    </row>
    <row r="680" spans="1:3" hidden="1" x14ac:dyDescent="0.3">
      <c r="A680" s="36">
        <v>30708847247</v>
      </c>
      <c r="B680" t="s">
        <v>723</v>
      </c>
    </row>
    <row r="681" spans="1:3" hidden="1" x14ac:dyDescent="0.3">
      <c r="A681" s="36">
        <v>30715169254</v>
      </c>
      <c r="B681" t="s">
        <v>724</v>
      </c>
    </row>
    <row r="682" spans="1:3" hidden="1" x14ac:dyDescent="0.3">
      <c r="A682" s="36">
        <v>30715168254</v>
      </c>
      <c r="B682" t="s">
        <v>725</v>
      </c>
    </row>
    <row r="683" spans="1:3" hidden="1" x14ac:dyDescent="0.3">
      <c r="A683" s="36">
        <v>30712317872</v>
      </c>
      <c r="B683" t="s">
        <v>726</v>
      </c>
      <c r="C683" s="35" t="s">
        <v>84</v>
      </c>
    </row>
    <row r="684" spans="1:3" hidden="1" x14ac:dyDescent="0.3">
      <c r="A684" s="36">
        <v>30519102826</v>
      </c>
      <c r="B684" t="s">
        <v>727</v>
      </c>
    </row>
    <row r="685" spans="1:3" hidden="1" x14ac:dyDescent="0.3">
      <c r="A685" s="36">
        <v>30709063061</v>
      </c>
      <c r="B685" t="s">
        <v>728</v>
      </c>
    </row>
    <row r="686" spans="1:3" hidden="1" x14ac:dyDescent="0.3">
      <c r="A686" s="36">
        <v>30708765356</v>
      </c>
      <c r="B686" t="s">
        <v>729</v>
      </c>
      <c r="C686" s="35" t="s">
        <v>79</v>
      </c>
    </row>
    <row r="687" spans="1:3" hidden="1" x14ac:dyDescent="0.3">
      <c r="A687" s="36">
        <v>30531602273</v>
      </c>
      <c r="B687" t="s">
        <v>730</v>
      </c>
    </row>
    <row r="688" spans="1:3" hidden="1" x14ac:dyDescent="0.3">
      <c r="A688" s="36">
        <v>30616031143</v>
      </c>
      <c r="B688" t="s">
        <v>858</v>
      </c>
      <c r="C688" s="35" t="s">
        <v>84</v>
      </c>
    </row>
    <row r="689" spans="1:3" hidden="1" x14ac:dyDescent="0.3">
      <c r="A689" s="36">
        <v>30683612916</v>
      </c>
      <c r="B689" t="s">
        <v>731</v>
      </c>
      <c r="C689" s="35" t="s">
        <v>782</v>
      </c>
    </row>
    <row r="690" spans="1:3" hidden="1" x14ac:dyDescent="0.3">
      <c r="A690" s="36">
        <v>30709361895</v>
      </c>
      <c r="B690" t="s">
        <v>732</v>
      </c>
    </row>
    <row r="691" spans="1:3" hidden="1" x14ac:dyDescent="0.3">
      <c r="A691" s="36">
        <v>30715585215</v>
      </c>
      <c r="B691" t="s">
        <v>733</v>
      </c>
      <c r="C691" s="35" t="s">
        <v>87</v>
      </c>
    </row>
    <row r="692" spans="1:3" hidden="1" x14ac:dyDescent="0.3">
      <c r="A692" s="36">
        <v>20141513177</v>
      </c>
      <c r="B692" t="s">
        <v>734</v>
      </c>
      <c r="C692" s="35" t="s">
        <v>782</v>
      </c>
    </row>
    <row r="693" spans="1:3" hidden="1" x14ac:dyDescent="0.3">
      <c r="A693" s="36">
        <v>30517264160</v>
      </c>
      <c r="B693" t="s">
        <v>735</v>
      </c>
      <c r="C693" s="35" t="s">
        <v>44</v>
      </c>
    </row>
    <row r="694" spans="1:3" hidden="1" x14ac:dyDescent="0.3">
      <c r="A694" s="36">
        <v>33682571239</v>
      </c>
      <c r="B694" t="s">
        <v>736</v>
      </c>
    </row>
    <row r="695" spans="1:3" hidden="1" x14ac:dyDescent="0.3">
      <c r="A695" s="36">
        <v>21847097</v>
      </c>
      <c r="B695" t="s">
        <v>737</v>
      </c>
    </row>
    <row r="696" spans="1:3" hidden="1" x14ac:dyDescent="0.3">
      <c r="A696" s="36">
        <v>20330855038</v>
      </c>
      <c r="B696" t="s">
        <v>738</v>
      </c>
      <c r="C696" s="35" t="s">
        <v>84</v>
      </c>
    </row>
    <row r="697" spans="1:3" hidden="1" x14ac:dyDescent="0.3">
      <c r="A697" s="36">
        <v>27249100019</v>
      </c>
      <c r="B697" t="s">
        <v>739</v>
      </c>
    </row>
    <row r="698" spans="1:3" hidden="1" x14ac:dyDescent="0.3">
      <c r="A698" s="36">
        <v>30646150406</v>
      </c>
      <c r="B698" t="s">
        <v>740</v>
      </c>
      <c r="C698" s="35" t="s">
        <v>84</v>
      </c>
    </row>
    <row r="699" spans="1:3" hidden="1" x14ac:dyDescent="0.3">
      <c r="A699" s="36">
        <v>30611156045</v>
      </c>
      <c r="B699" t="s">
        <v>741</v>
      </c>
      <c r="C699" s="35" t="s">
        <v>79</v>
      </c>
    </row>
    <row r="700" spans="1:3" hidden="1" x14ac:dyDescent="0.3">
      <c r="A700" s="36">
        <v>30699097884</v>
      </c>
      <c r="B700" t="s">
        <v>742</v>
      </c>
      <c r="C700" s="35" t="s">
        <v>84</v>
      </c>
    </row>
    <row r="701" spans="1:3" hidden="1" x14ac:dyDescent="0.3">
      <c r="A701" s="36">
        <v>30715689045</v>
      </c>
      <c r="B701" t="s">
        <v>743</v>
      </c>
      <c r="C701" s="35" t="s">
        <v>785</v>
      </c>
    </row>
    <row r="702" spans="1:3" hidden="1" x14ac:dyDescent="0.3">
      <c r="A702" s="36">
        <v>30710473168</v>
      </c>
      <c r="B702" t="s">
        <v>744</v>
      </c>
    </row>
    <row r="703" spans="1:3" hidden="1" x14ac:dyDescent="0.3">
      <c r="A703" s="36">
        <v>30689759684</v>
      </c>
      <c r="B703" t="s">
        <v>745</v>
      </c>
      <c r="C703" s="35" t="s">
        <v>79</v>
      </c>
    </row>
    <row r="704" spans="1:3" hidden="1" x14ac:dyDescent="0.3">
      <c r="A704" s="36">
        <v>30501912405</v>
      </c>
      <c r="B704" t="s">
        <v>746</v>
      </c>
    </row>
    <row r="705" spans="1:3" hidden="1" x14ac:dyDescent="0.3">
      <c r="A705" s="36">
        <v>30658325104</v>
      </c>
      <c r="B705" t="s">
        <v>747</v>
      </c>
      <c r="C705" s="35" t="s">
        <v>84</v>
      </c>
    </row>
    <row r="706" spans="1:3" hidden="1" x14ac:dyDescent="0.3">
      <c r="A706" s="36">
        <v>20259693609</v>
      </c>
      <c r="B706" t="s">
        <v>748</v>
      </c>
      <c r="C706" s="35" t="s">
        <v>84</v>
      </c>
    </row>
    <row r="707" spans="1:3" hidden="1" x14ac:dyDescent="0.3">
      <c r="A707" s="36">
        <v>93455751</v>
      </c>
      <c r="B707" t="s">
        <v>749</v>
      </c>
    </row>
    <row r="708" spans="1:3" hidden="1" x14ac:dyDescent="0.3">
      <c r="A708" s="36">
        <v>30715222112</v>
      </c>
      <c r="B708" t="s">
        <v>750</v>
      </c>
    </row>
    <row r="709" spans="1:3" hidden="1" x14ac:dyDescent="0.3">
      <c r="A709" s="36">
        <v>27208252386</v>
      </c>
      <c r="B709" t="s">
        <v>751</v>
      </c>
      <c r="C709" s="35" t="s">
        <v>79</v>
      </c>
    </row>
    <row r="710" spans="1:3" hidden="1" x14ac:dyDescent="0.3">
      <c r="A710" s="36">
        <v>23386252629</v>
      </c>
      <c r="B710" t="s">
        <v>752</v>
      </c>
    </row>
    <row r="711" spans="1:3" hidden="1" x14ac:dyDescent="0.3">
      <c r="A711" s="36">
        <v>16458001</v>
      </c>
      <c r="B711" t="s">
        <v>753</v>
      </c>
    </row>
    <row r="712" spans="1:3" hidden="1" x14ac:dyDescent="0.3">
      <c r="A712" s="36">
        <v>27036968910</v>
      </c>
      <c r="B712" t="s">
        <v>754</v>
      </c>
    </row>
    <row r="713" spans="1:3" hidden="1" x14ac:dyDescent="0.3">
      <c r="A713" s="36">
        <v>27003352000</v>
      </c>
      <c r="B713" t="s">
        <v>755</v>
      </c>
    </row>
    <row r="714" spans="1:3" hidden="1" x14ac:dyDescent="0.3">
      <c r="A714" s="36">
        <v>20247225243</v>
      </c>
      <c r="B714" t="s">
        <v>756</v>
      </c>
      <c r="C714" s="35" t="s">
        <v>84</v>
      </c>
    </row>
    <row r="715" spans="1:3" hidden="1" x14ac:dyDescent="0.3">
      <c r="A715" s="36">
        <v>14287880</v>
      </c>
      <c r="B715" t="s">
        <v>757</v>
      </c>
    </row>
    <row r="716" spans="1:3" hidden="1" x14ac:dyDescent="0.3">
      <c r="A716" s="36">
        <v>20178221974</v>
      </c>
      <c r="B716" t="s">
        <v>758</v>
      </c>
    </row>
    <row r="717" spans="1:3" hidden="1" x14ac:dyDescent="0.3">
      <c r="A717" s="36">
        <v>30681830800</v>
      </c>
      <c r="B717" t="s">
        <v>797</v>
      </c>
    </row>
    <row r="718" spans="1:3" hidden="1" x14ac:dyDescent="0.3">
      <c r="A718" s="36">
        <v>20077107186</v>
      </c>
      <c r="B718" t="s">
        <v>759</v>
      </c>
      <c r="C718" s="35" t="s">
        <v>84</v>
      </c>
    </row>
    <row r="719" spans="1:3" hidden="1" x14ac:dyDescent="0.3">
      <c r="A719" s="36">
        <v>30624872874</v>
      </c>
      <c r="B719" t="s">
        <v>760</v>
      </c>
    </row>
    <row r="720" spans="1:3" hidden="1" x14ac:dyDescent="0.3">
      <c r="A720" s="36">
        <v>30643922157</v>
      </c>
      <c r="B720" t="s">
        <v>761</v>
      </c>
      <c r="C720" s="35" t="s">
        <v>782</v>
      </c>
    </row>
    <row r="721" spans="1:3" hidden="1" x14ac:dyDescent="0.3">
      <c r="A721" s="36">
        <v>33711043069</v>
      </c>
      <c r="B721" t="s">
        <v>762</v>
      </c>
      <c r="C721" s="35" t="s">
        <v>782</v>
      </c>
    </row>
    <row r="722" spans="1:3" hidden="1" x14ac:dyDescent="0.3">
      <c r="A722" s="36">
        <v>20287832649</v>
      </c>
      <c r="B722" t="s">
        <v>763</v>
      </c>
      <c r="C722" s="35" t="s">
        <v>84</v>
      </c>
    </row>
    <row r="723" spans="1:3" hidden="1" x14ac:dyDescent="0.3">
      <c r="A723" s="36">
        <v>27211421202</v>
      </c>
      <c r="B723" t="s">
        <v>764</v>
      </c>
      <c r="C723" s="35" t="s">
        <v>84</v>
      </c>
    </row>
    <row r="724" spans="1:3" hidden="1" x14ac:dyDescent="0.3">
      <c r="A724" s="36">
        <v>20321447997</v>
      </c>
      <c r="B724" t="s">
        <v>765</v>
      </c>
    </row>
    <row r="725" spans="1:3" hidden="1" x14ac:dyDescent="0.3">
      <c r="A725" s="36">
        <v>30708648414</v>
      </c>
      <c r="B725" t="s">
        <v>766</v>
      </c>
      <c r="C725" s="35" t="s">
        <v>84</v>
      </c>
    </row>
    <row r="726" spans="1:3" hidden="1" x14ac:dyDescent="0.3">
      <c r="A726" s="36">
        <v>20137229944</v>
      </c>
      <c r="B726" t="s">
        <v>767</v>
      </c>
    </row>
    <row r="727" spans="1:3" hidden="1" x14ac:dyDescent="0.3">
      <c r="A727" s="36">
        <v>30715609807</v>
      </c>
      <c r="B727" t="s">
        <v>768</v>
      </c>
      <c r="C727" s="35" t="s">
        <v>84</v>
      </c>
    </row>
    <row r="728" spans="1:3" hidden="1" x14ac:dyDescent="0.3">
      <c r="A728" s="36">
        <v>23112144064</v>
      </c>
      <c r="B728" t="s">
        <v>769</v>
      </c>
    </row>
    <row r="729" spans="1:3" hidden="1" x14ac:dyDescent="0.3">
      <c r="A729" s="36">
        <v>30680297408</v>
      </c>
      <c r="B729" t="s">
        <v>770</v>
      </c>
    </row>
    <row r="730" spans="1:3" hidden="1" x14ac:dyDescent="0.3">
      <c r="A730" s="36">
        <v>20225501190</v>
      </c>
      <c r="B730" t="s">
        <v>771</v>
      </c>
    </row>
    <row r="731" spans="1:3" hidden="1" x14ac:dyDescent="0.3">
      <c r="A731" s="36">
        <v>20165292929</v>
      </c>
      <c r="B731" t="s">
        <v>772</v>
      </c>
      <c r="C731" s="35" t="s">
        <v>84</v>
      </c>
    </row>
    <row r="732" spans="1:3" hidden="1" x14ac:dyDescent="0.3">
      <c r="A732" s="36">
        <v>30715581562</v>
      </c>
      <c r="B732" t="s">
        <v>773</v>
      </c>
    </row>
    <row r="733" spans="1:3" hidden="1" x14ac:dyDescent="0.3">
      <c r="A733" s="36">
        <v>30714995002</v>
      </c>
      <c r="B733" t="s">
        <v>774</v>
      </c>
    </row>
    <row r="734" spans="1:3" hidden="1" x14ac:dyDescent="0.3">
      <c r="A734" s="36">
        <v>20231247239</v>
      </c>
      <c r="B734" t="s">
        <v>775</v>
      </c>
      <c r="C734" s="35" t="s">
        <v>84</v>
      </c>
    </row>
    <row r="735" spans="1:3" hidden="1" x14ac:dyDescent="0.3">
      <c r="A735" s="36">
        <v>30712383603</v>
      </c>
      <c r="B735" t="s">
        <v>776</v>
      </c>
    </row>
    <row r="736" spans="1:3" hidden="1" x14ac:dyDescent="0.3">
      <c r="A736" s="36">
        <v>30585558733</v>
      </c>
      <c r="B736" t="s">
        <v>777</v>
      </c>
      <c r="C736" s="35" t="s">
        <v>84</v>
      </c>
    </row>
    <row r="737" spans="1:3" hidden="1" x14ac:dyDescent="0.3">
      <c r="A737" s="36">
        <v>30578204713</v>
      </c>
      <c r="B737" t="s">
        <v>778</v>
      </c>
      <c r="C737" s="35" t="s">
        <v>84</v>
      </c>
    </row>
    <row r="738" spans="1:3" hidden="1" x14ac:dyDescent="0.3">
      <c r="A738" s="36">
        <v>30695243673</v>
      </c>
      <c r="B738" t="s">
        <v>779</v>
      </c>
    </row>
    <row r="739" spans="1:3" hidden="1" x14ac:dyDescent="0.3">
      <c r="A739" s="36">
        <v>30707512454</v>
      </c>
      <c r="B739" t="s">
        <v>780</v>
      </c>
      <c r="C739" s="35" t="s">
        <v>84</v>
      </c>
    </row>
    <row r="740" spans="1:3" hidden="1" x14ac:dyDescent="0.3">
      <c r="A740" s="36">
        <v>30546689979</v>
      </c>
      <c r="B740" t="s">
        <v>781</v>
      </c>
      <c r="C740" s="35" t="s">
        <v>44</v>
      </c>
    </row>
    <row r="741" spans="1:3" hidden="1" x14ac:dyDescent="0.3">
      <c r="A741" s="36">
        <v>27325577539</v>
      </c>
      <c r="B741" t="s">
        <v>859</v>
      </c>
    </row>
    <row r="742" spans="1:3" hidden="1" x14ac:dyDescent="0.3">
      <c r="A742" s="36">
        <v>30712352341</v>
      </c>
      <c r="B742" t="s">
        <v>860</v>
      </c>
    </row>
    <row r="743" spans="1:3" hidden="1" x14ac:dyDescent="0.3">
      <c r="A743" s="36">
        <v>30711811164</v>
      </c>
      <c r="B743" t="s">
        <v>861</v>
      </c>
      <c r="C743" s="35" t="s">
        <v>782</v>
      </c>
    </row>
    <row r="744" spans="1:3" hidden="1" x14ac:dyDescent="0.3">
      <c r="A744" s="36">
        <v>30715039121</v>
      </c>
      <c r="B744" t="s">
        <v>862</v>
      </c>
      <c r="C744" s="35" t="s">
        <v>863</v>
      </c>
    </row>
    <row r="745" spans="1:3" hidden="1" x14ac:dyDescent="0.3">
      <c r="A745" s="36">
        <v>30709389722</v>
      </c>
      <c r="B745" t="s">
        <v>864</v>
      </c>
      <c r="C745" s="35" t="s">
        <v>39</v>
      </c>
    </row>
    <row r="746" spans="1:3" hidden="1" x14ac:dyDescent="0.3">
      <c r="A746" s="36">
        <v>30711891214</v>
      </c>
      <c r="B746" t="s">
        <v>865</v>
      </c>
      <c r="C746" s="35" t="s">
        <v>39</v>
      </c>
    </row>
    <row r="747" spans="1:3" hidden="1" x14ac:dyDescent="0.3">
      <c r="A747" s="36">
        <v>30708507594</v>
      </c>
      <c r="B747" t="s">
        <v>866</v>
      </c>
      <c r="C747" s="35" t="s">
        <v>39</v>
      </c>
    </row>
    <row r="748" spans="1:3" hidden="1" x14ac:dyDescent="0.3">
      <c r="A748" s="36">
        <v>33534279049</v>
      </c>
      <c r="B748" t="s">
        <v>867</v>
      </c>
      <c r="C748" s="35" t="s">
        <v>782</v>
      </c>
    </row>
    <row r="749" spans="1:3" hidden="1" x14ac:dyDescent="0.3">
      <c r="A749" s="36">
        <v>30712319050</v>
      </c>
      <c r="B749" t="s">
        <v>868</v>
      </c>
      <c r="C749" s="35" t="s">
        <v>39</v>
      </c>
    </row>
    <row r="750" spans="1:3" hidden="1" x14ac:dyDescent="0.3">
      <c r="A750" s="36">
        <v>30716386917</v>
      </c>
      <c r="B750" t="s">
        <v>869</v>
      </c>
      <c r="C750" s="35" t="s">
        <v>39</v>
      </c>
    </row>
    <row r="751" spans="1:3" hidden="1" x14ac:dyDescent="0.3">
      <c r="A751" s="36">
        <v>30704957064</v>
      </c>
      <c r="B751" t="s">
        <v>870</v>
      </c>
      <c r="C751" s="35" t="s">
        <v>871</v>
      </c>
    </row>
    <row r="752" spans="1:3" hidden="1" x14ac:dyDescent="0.3">
      <c r="A752" s="36">
        <v>30708290129</v>
      </c>
      <c r="B752" t="s">
        <v>872</v>
      </c>
      <c r="C752" s="35" t="s">
        <v>873</v>
      </c>
    </row>
    <row r="753" spans="1:3" hidden="1" x14ac:dyDescent="0.3">
      <c r="A753" s="36">
        <v>20124638594</v>
      </c>
      <c r="B753" t="s">
        <v>874</v>
      </c>
    </row>
    <row r="754" spans="1:3" hidden="1" x14ac:dyDescent="0.3">
      <c r="A754" s="36">
        <v>23079299219</v>
      </c>
      <c r="B754" t="s">
        <v>875</v>
      </c>
    </row>
    <row r="755" spans="1:3" hidden="1" x14ac:dyDescent="0.3">
      <c r="A755" s="36">
        <v>30714712604</v>
      </c>
      <c r="B755" t="s">
        <v>876</v>
      </c>
    </row>
    <row r="756" spans="1:3" hidden="1" x14ac:dyDescent="0.3">
      <c r="A756" s="36">
        <v>30714436801</v>
      </c>
      <c r="B756" t="s">
        <v>877</v>
      </c>
    </row>
    <row r="757" spans="1:3" hidden="1" x14ac:dyDescent="0.3">
      <c r="A757" s="36">
        <v>20310110109</v>
      </c>
      <c r="B757" t="s">
        <v>878</v>
      </c>
    </row>
    <row r="758" spans="1:3" hidden="1" x14ac:dyDescent="0.3">
      <c r="A758" s="36">
        <v>20934859619</v>
      </c>
      <c r="B758" t="s">
        <v>879</v>
      </c>
    </row>
    <row r="759" spans="1:3" hidden="1" x14ac:dyDescent="0.3">
      <c r="A759" s="36">
        <v>30714846473</v>
      </c>
      <c r="B759" t="s">
        <v>880</v>
      </c>
    </row>
    <row r="760" spans="1:3" hidden="1" x14ac:dyDescent="0.3">
      <c r="A760" s="36">
        <v>20177449777</v>
      </c>
      <c r="B760" t="s">
        <v>881</v>
      </c>
    </row>
    <row r="761" spans="1:3" hidden="1" x14ac:dyDescent="0.3">
      <c r="A761" s="36">
        <v>27170358835</v>
      </c>
      <c r="B761" t="s">
        <v>882</v>
      </c>
    </row>
    <row r="762" spans="1:3" hidden="1" x14ac:dyDescent="0.3">
      <c r="A762" s="36">
        <v>20219573155</v>
      </c>
      <c r="B762" t="s">
        <v>883</v>
      </c>
    </row>
    <row r="763" spans="1:3" hidden="1" x14ac:dyDescent="0.3">
      <c r="A763" s="36">
        <v>20245354968</v>
      </c>
      <c r="B763" t="s">
        <v>884</v>
      </c>
    </row>
    <row r="764" spans="1:3" hidden="1" x14ac:dyDescent="0.3">
      <c r="A764" s="36">
        <v>27133302994</v>
      </c>
      <c r="B764" t="s">
        <v>885</v>
      </c>
    </row>
    <row r="765" spans="1:3" hidden="1" x14ac:dyDescent="0.3">
      <c r="A765" s="36">
        <v>30714238651</v>
      </c>
      <c r="B765" t="s">
        <v>886</v>
      </c>
      <c r="C765" s="35" t="s">
        <v>39</v>
      </c>
    </row>
    <row r="766" spans="1:3" hidden="1" x14ac:dyDescent="0.3">
      <c r="A766" s="36">
        <v>30662444150</v>
      </c>
      <c r="B766" t="s">
        <v>887</v>
      </c>
      <c r="C766" s="35" t="s">
        <v>39</v>
      </c>
    </row>
    <row r="767" spans="1:3" hidden="1" x14ac:dyDescent="0.3">
      <c r="A767" s="36">
        <v>30527196112</v>
      </c>
      <c r="B767" t="s">
        <v>888</v>
      </c>
      <c r="C767" s="35" t="s">
        <v>39</v>
      </c>
    </row>
    <row r="768" spans="1:3" hidden="1" x14ac:dyDescent="0.3">
      <c r="A768" s="36">
        <v>33712752209</v>
      </c>
      <c r="B768" t="s">
        <v>889</v>
      </c>
      <c r="C768" s="35" t="s">
        <v>39</v>
      </c>
    </row>
    <row r="769" spans="1:3" hidden="1" x14ac:dyDescent="0.3">
      <c r="A769" s="36">
        <v>30711469946</v>
      </c>
      <c r="B769" t="s">
        <v>890</v>
      </c>
      <c r="C769" s="35" t="s">
        <v>39</v>
      </c>
    </row>
    <row r="770" spans="1:3" hidden="1" x14ac:dyDescent="0.3">
      <c r="A770" s="36">
        <v>30523214817</v>
      </c>
      <c r="B770" t="s">
        <v>891</v>
      </c>
      <c r="C770" s="35" t="s">
        <v>39</v>
      </c>
    </row>
    <row r="771" spans="1:3" hidden="1" x14ac:dyDescent="0.3">
      <c r="A771" s="36">
        <v>30708436573</v>
      </c>
      <c r="B771" t="s">
        <v>892</v>
      </c>
      <c r="C771" s="35" t="s">
        <v>39</v>
      </c>
    </row>
    <row r="772" spans="1:3" hidden="1" x14ac:dyDescent="0.3">
      <c r="A772" s="36">
        <v>30710453434</v>
      </c>
      <c r="B772" t="s">
        <v>893</v>
      </c>
    </row>
    <row r="773" spans="1:3" hidden="1" x14ac:dyDescent="0.3">
      <c r="A773" s="36">
        <v>30708328169</v>
      </c>
      <c r="B773" t="s">
        <v>894</v>
      </c>
    </row>
    <row r="774" spans="1:3" hidden="1" x14ac:dyDescent="0.3">
      <c r="A774" s="36">
        <v>20940143080</v>
      </c>
      <c r="B774" t="s">
        <v>895</v>
      </c>
    </row>
    <row r="775" spans="1:3" hidden="1" x14ac:dyDescent="0.3">
      <c r="A775" s="36">
        <v>30683663642</v>
      </c>
      <c r="B775" t="s">
        <v>896</v>
      </c>
    </row>
    <row r="776" spans="1:3" hidden="1" x14ac:dyDescent="0.3">
      <c r="A776" s="36">
        <v>30715293044</v>
      </c>
      <c r="B776" t="s">
        <v>897</v>
      </c>
    </row>
    <row r="777" spans="1:3" hidden="1" x14ac:dyDescent="0.3">
      <c r="A777" s="36">
        <v>30709155861</v>
      </c>
      <c r="B777" t="s">
        <v>898</v>
      </c>
      <c r="C777" s="35" t="s">
        <v>39</v>
      </c>
    </row>
    <row r="778" spans="1:3" hidden="1" x14ac:dyDescent="0.3">
      <c r="A778" s="36">
        <v>30500001735</v>
      </c>
      <c r="B778" t="s">
        <v>899</v>
      </c>
      <c r="C778" s="35" t="s">
        <v>786</v>
      </c>
    </row>
    <row r="779" spans="1:3" hidden="1" x14ac:dyDescent="0.3">
      <c r="A779" s="36">
        <v>33500005179</v>
      </c>
      <c r="B779" t="s">
        <v>900</v>
      </c>
      <c r="C779" s="35" t="s">
        <v>786</v>
      </c>
    </row>
    <row r="780" spans="1:3" hidden="1" x14ac:dyDescent="0.3">
      <c r="A780" s="36">
        <v>27226853265</v>
      </c>
      <c r="B780" t="s">
        <v>901</v>
      </c>
    </row>
    <row r="781" spans="1:3" hidden="1" x14ac:dyDescent="0.3">
      <c r="A781" s="36">
        <v>30711143781</v>
      </c>
      <c r="B781" t="s">
        <v>902</v>
      </c>
    </row>
    <row r="782" spans="1:3" hidden="1" x14ac:dyDescent="0.3">
      <c r="A782" s="36">
        <v>30633184905</v>
      </c>
      <c r="B782" t="s">
        <v>903</v>
      </c>
    </row>
    <row r="783" spans="1:3" hidden="1" x14ac:dyDescent="0.3">
      <c r="A783" s="36">
        <v>30663069191</v>
      </c>
      <c r="B783" t="s">
        <v>904</v>
      </c>
      <c r="C783" s="35" t="s">
        <v>39</v>
      </c>
    </row>
    <row r="784" spans="1:3" hidden="1" x14ac:dyDescent="0.3">
      <c r="A784" s="36">
        <v>30699576405</v>
      </c>
      <c r="B784" t="s">
        <v>905</v>
      </c>
      <c r="C784" s="35" t="s">
        <v>39</v>
      </c>
    </row>
    <row r="785" spans="1:3" hidden="1" x14ac:dyDescent="0.3">
      <c r="A785" s="36">
        <v>30618973553</v>
      </c>
      <c r="B785" t="s">
        <v>906</v>
      </c>
      <c r="C785" s="35" t="s">
        <v>79</v>
      </c>
    </row>
    <row r="786" spans="1:3" hidden="1" x14ac:dyDescent="0.3">
      <c r="A786" s="36">
        <v>30574816870</v>
      </c>
      <c r="B786" t="s">
        <v>907</v>
      </c>
      <c r="C786" s="35" t="s">
        <v>786</v>
      </c>
    </row>
    <row r="787" spans="1:3" hidden="1" x14ac:dyDescent="0.3">
      <c r="A787" s="36">
        <v>27341012525</v>
      </c>
      <c r="B787" t="s">
        <v>908</v>
      </c>
      <c r="C787" s="35" t="s">
        <v>79</v>
      </c>
    </row>
    <row r="788" spans="1:3" hidden="1" x14ac:dyDescent="0.3">
      <c r="A788" s="36">
        <v>33661213499</v>
      </c>
      <c r="B788" t="s">
        <v>909</v>
      </c>
      <c r="C788" s="35" t="s">
        <v>46</v>
      </c>
    </row>
    <row r="789" spans="1:3" hidden="1" x14ac:dyDescent="0.3">
      <c r="A789" s="36">
        <v>23256466414</v>
      </c>
      <c r="B789" t="s">
        <v>910</v>
      </c>
      <c r="C789" s="35" t="s">
        <v>39</v>
      </c>
    </row>
    <row r="790" spans="1:3" hidden="1" x14ac:dyDescent="0.3">
      <c r="A790" s="36">
        <v>33702050249</v>
      </c>
      <c r="B790" t="s">
        <v>911</v>
      </c>
      <c r="C790" s="35" t="s">
        <v>39</v>
      </c>
    </row>
    <row r="791" spans="1:3" hidden="1" x14ac:dyDescent="0.3">
      <c r="A791" s="36" t="s">
        <v>912</v>
      </c>
      <c r="B791" t="s">
        <v>907</v>
      </c>
      <c r="C791" s="35" t="s">
        <v>786</v>
      </c>
    </row>
    <row r="792" spans="1:3" hidden="1" x14ac:dyDescent="0.3">
      <c r="A792" s="36">
        <v>30661420169</v>
      </c>
      <c r="B792" t="s">
        <v>913</v>
      </c>
    </row>
    <row r="793" spans="1:3" hidden="1" x14ac:dyDescent="0.3">
      <c r="A793" s="36">
        <v>30656319263</v>
      </c>
      <c r="B793" t="s">
        <v>914</v>
      </c>
    </row>
    <row r="794" spans="1:3" hidden="1" x14ac:dyDescent="0.3">
      <c r="A794" s="36">
        <v>20169740071</v>
      </c>
      <c r="B794" t="s">
        <v>915</v>
      </c>
    </row>
    <row r="795" spans="1:3" hidden="1" x14ac:dyDescent="0.3">
      <c r="A795" s="36">
        <v>20200099940</v>
      </c>
      <c r="B795" t="s">
        <v>916</v>
      </c>
    </row>
    <row r="796" spans="1:3" hidden="1" x14ac:dyDescent="0.3">
      <c r="A796" s="36">
        <v>30715640313</v>
      </c>
      <c r="B796" t="s">
        <v>917</v>
      </c>
    </row>
    <row r="797" spans="1:3" hidden="1" x14ac:dyDescent="0.3">
      <c r="A797" s="36">
        <v>27143266805</v>
      </c>
      <c r="B797" t="s">
        <v>918</v>
      </c>
    </row>
    <row r="798" spans="1:3" hidden="1" x14ac:dyDescent="0.3">
      <c r="A798" s="36">
        <v>20178988736</v>
      </c>
      <c r="B798" t="s">
        <v>919</v>
      </c>
    </row>
    <row r="799" spans="1:3" hidden="1" x14ac:dyDescent="0.3">
      <c r="A799" s="36">
        <v>27145293281</v>
      </c>
      <c r="B799" t="s">
        <v>920</v>
      </c>
      <c r="C799" s="35" t="s">
        <v>39</v>
      </c>
    </row>
    <row r="800" spans="1:3" hidden="1" x14ac:dyDescent="0.3">
      <c r="A800" s="36">
        <v>27174086902</v>
      </c>
      <c r="B800" t="s">
        <v>921</v>
      </c>
    </row>
    <row r="801" spans="1:3" hidden="1" x14ac:dyDescent="0.3">
      <c r="A801" s="36">
        <v>20205676474</v>
      </c>
      <c r="B801" t="s">
        <v>922</v>
      </c>
    </row>
    <row r="802" spans="1:3" hidden="1" x14ac:dyDescent="0.3">
      <c r="A802" s="36">
        <v>30716438879</v>
      </c>
      <c r="B802" t="s">
        <v>923</v>
      </c>
    </row>
    <row r="803" spans="1:3" hidden="1" x14ac:dyDescent="0.3">
      <c r="A803" s="36">
        <v>3930799</v>
      </c>
      <c r="B803" t="s">
        <v>924</v>
      </c>
    </row>
    <row r="804" spans="1:3" hidden="1" x14ac:dyDescent="0.3">
      <c r="A804" s="36">
        <v>30707836802</v>
      </c>
      <c r="B804" t="s">
        <v>925</v>
      </c>
      <c r="C804" s="35" t="s">
        <v>784</v>
      </c>
    </row>
    <row r="805" spans="1:3" hidden="1" x14ac:dyDescent="0.3">
      <c r="A805" s="36">
        <v>30714270954</v>
      </c>
      <c r="B805" t="s">
        <v>926</v>
      </c>
      <c r="C805" s="35" t="s">
        <v>79</v>
      </c>
    </row>
    <row r="806" spans="1:3" hidden="1" x14ac:dyDescent="0.3">
      <c r="A806" s="36">
        <v>27330044867</v>
      </c>
      <c r="B806" t="s">
        <v>927</v>
      </c>
    </row>
    <row r="807" spans="1:3" hidden="1" x14ac:dyDescent="0.3">
      <c r="A807" s="36">
        <v>30709033812</v>
      </c>
      <c r="B807" t="s">
        <v>928</v>
      </c>
      <c r="C807" s="35" t="s">
        <v>39</v>
      </c>
    </row>
    <row r="808" spans="1:3" hidden="1" x14ac:dyDescent="0.3">
      <c r="A808" s="36">
        <v>20219037202</v>
      </c>
      <c r="B808" t="s">
        <v>929</v>
      </c>
      <c r="C808" s="35" t="s">
        <v>39</v>
      </c>
    </row>
    <row r="809" spans="1:3" hidden="1" x14ac:dyDescent="0.3">
      <c r="A809" s="36">
        <v>33708069219</v>
      </c>
      <c r="B809" t="s">
        <v>930</v>
      </c>
      <c r="C809" s="35" t="s">
        <v>39</v>
      </c>
    </row>
    <row r="810" spans="1:3" hidden="1" x14ac:dyDescent="0.3">
      <c r="A810" s="36">
        <v>30663332720</v>
      </c>
      <c r="B810" t="s">
        <v>931</v>
      </c>
      <c r="C810" s="35" t="s">
        <v>39</v>
      </c>
    </row>
    <row r="811" spans="1:3" hidden="1" x14ac:dyDescent="0.3">
      <c r="A811" s="36">
        <v>20927474868</v>
      </c>
      <c r="B811" t="s">
        <v>932</v>
      </c>
    </row>
    <row r="812" spans="1:3" hidden="1" x14ac:dyDescent="0.3">
      <c r="A812" s="36">
        <v>30710283970</v>
      </c>
      <c r="B812" t="s">
        <v>933</v>
      </c>
    </row>
    <row r="813" spans="1:3" hidden="1" x14ac:dyDescent="0.3">
      <c r="A813" s="36">
        <v>30708340789</v>
      </c>
      <c r="B813" t="s">
        <v>934</v>
      </c>
    </row>
    <row r="814" spans="1:3" hidden="1" x14ac:dyDescent="0.3">
      <c r="A814" s="36">
        <v>30711083800</v>
      </c>
      <c r="B814" t="s">
        <v>935</v>
      </c>
    </row>
    <row r="815" spans="1:3" hidden="1" x14ac:dyDescent="0.3">
      <c r="A815" s="36">
        <v>30714200417</v>
      </c>
      <c r="B815" t="s">
        <v>936</v>
      </c>
      <c r="C815" s="35" t="s">
        <v>39</v>
      </c>
    </row>
    <row r="816" spans="1:3" hidden="1" x14ac:dyDescent="0.3">
      <c r="A816" s="36">
        <v>30502515884</v>
      </c>
      <c r="B816" t="s">
        <v>937</v>
      </c>
      <c r="C816" s="35" t="s">
        <v>39</v>
      </c>
    </row>
    <row r="817" spans="1:3" hidden="1" x14ac:dyDescent="0.3">
      <c r="A817" s="36">
        <v>30712783806</v>
      </c>
      <c r="B817" t="s">
        <v>938</v>
      </c>
      <c r="C817" s="35" t="s">
        <v>39</v>
      </c>
    </row>
    <row r="818" spans="1:3" hidden="1" x14ac:dyDescent="0.3">
      <c r="A818" s="36">
        <v>33708200749</v>
      </c>
      <c r="B818" t="s">
        <v>939</v>
      </c>
    </row>
    <row r="819" spans="1:3" hidden="1" x14ac:dyDescent="0.3">
      <c r="A819" s="36">
        <v>20182671062</v>
      </c>
      <c r="B819" t="s">
        <v>940</v>
      </c>
    </row>
    <row r="820" spans="1:3" hidden="1" x14ac:dyDescent="0.3">
      <c r="A820" s="36">
        <v>27956824317</v>
      </c>
      <c r="B820" t="s">
        <v>941</v>
      </c>
    </row>
    <row r="821" spans="1:3" hidden="1" x14ac:dyDescent="0.3">
      <c r="A821" s="36">
        <v>30715282018</v>
      </c>
      <c r="B821" t="s">
        <v>942</v>
      </c>
    </row>
    <row r="822" spans="1:3" hidden="1" x14ac:dyDescent="0.3">
      <c r="A822" s="36">
        <v>29246296</v>
      </c>
      <c r="B822" t="s">
        <v>943</v>
      </c>
    </row>
    <row r="823" spans="1:3" hidden="1" x14ac:dyDescent="0.3">
      <c r="A823" s="36">
        <v>30689906512</v>
      </c>
      <c r="B823" t="s">
        <v>944</v>
      </c>
    </row>
    <row r="824" spans="1:3" hidden="1" x14ac:dyDescent="0.3">
      <c r="A824" s="36">
        <v>30707061029</v>
      </c>
      <c r="B824" t="s">
        <v>945</v>
      </c>
    </row>
    <row r="825" spans="1:3" hidden="1" x14ac:dyDescent="0.3">
      <c r="A825" s="36">
        <v>30703000335</v>
      </c>
      <c r="B825" t="s">
        <v>946</v>
      </c>
    </row>
    <row r="826" spans="1:3" hidden="1" x14ac:dyDescent="0.3">
      <c r="A826" s="36">
        <v>30702049225</v>
      </c>
      <c r="B826" t="s">
        <v>947</v>
      </c>
    </row>
    <row r="827" spans="1:3" hidden="1" x14ac:dyDescent="0.3">
      <c r="A827" s="36">
        <v>30709370207</v>
      </c>
      <c r="B827" t="s">
        <v>948</v>
      </c>
    </row>
    <row r="828" spans="1:3" hidden="1" x14ac:dyDescent="0.3">
      <c r="A828" s="36">
        <v>30699583533</v>
      </c>
      <c r="B828" t="s">
        <v>949</v>
      </c>
    </row>
    <row r="829" spans="1:3" hidden="1" x14ac:dyDescent="0.3">
      <c r="A829" s="36">
        <v>30714825069</v>
      </c>
      <c r="B829" t="s">
        <v>950</v>
      </c>
    </row>
    <row r="830" spans="1:3" hidden="1" x14ac:dyDescent="0.3">
      <c r="A830" s="36">
        <v>30709642835</v>
      </c>
      <c r="B830" t="s">
        <v>951</v>
      </c>
      <c r="C830" s="35" t="s">
        <v>39</v>
      </c>
    </row>
    <row r="831" spans="1:3" hidden="1" x14ac:dyDescent="0.3">
      <c r="A831" s="36">
        <v>33699685459</v>
      </c>
      <c r="B831" t="s">
        <v>790</v>
      </c>
    </row>
    <row r="832" spans="1:3" hidden="1" x14ac:dyDescent="0.3">
      <c r="A832" s="36">
        <v>30699582855</v>
      </c>
      <c r="B832" t="s">
        <v>952</v>
      </c>
    </row>
    <row r="833" spans="1:3" hidden="1" x14ac:dyDescent="0.3">
      <c r="A833" s="36">
        <v>30712298355</v>
      </c>
      <c r="B833" t="s">
        <v>953</v>
      </c>
    </row>
    <row r="834" spans="1:3" hidden="1" x14ac:dyDescent="0.3">
      <c r="A834" s="36">
        <v>30652327547</v>
      </c>
      <c r="B834" t="s">
        <v>954</v>
      </c>
    </row>
    <row r="835" spans="1:3" hidden="1" x14ac:dyDescent="0.3">
      <c r="A835" s="36">
        <v>30714251127</v>
      </c>
      <c r="B835" t="s">
        <v>955</v>
      </c>
    </row>
    <row r="836" spans="1:3" hidden="1" x14ac:dyDescent="0.3">
      <c r="A836" s="36">
        <v>23942384394</v>
      </c>
      <c r="B836" t="s">
        <v>956</v>
      </c>
    </row>
    <row r="837" spans="1:3" hidden="1" x14ac:dyDescent="0.3">
      <c r="A837" s="36">
        <v>27940346067</v>
      </c>
      <c r="B837" t="s">
        <v>957</v>
      </c>
    </row>
    <row r="838" spans="1:3" hidden="1" x14ac:dyDescent="0.3">
      <c r="A838" s="36">
        <v>33714175209</v>
      </c>
      <c r="B838" t="s">
        <v>958</v>
      </c>
    </row>
    <row r="839" spans="1:3" hidden="1" x14ac:dyDescent="0.3">
      <c r="A839" s="36">
        <v>30714730548</v>
      </c>
      <c r="B839" t="s">
        <v>959</v>
      </c>
    </row>
    <row r="840" spans="1:3" hidden="1" x14ac:dyDescent="0.3">
      <c r="A840" s="36">
        <v>30712405240</v>
      </c>
      <c r="B840" t="s">
        <v>960</v>
      </c>
    </row>
    <row r="841" spans="1:3" hidden="1" x14ac:dyDescent="0.3">
      <c r="A841" s="36">
        <v>30711681880</v>
      </c>
      <c r="B841" t="s">
        <v>961</v>
      </c>
    </row>
    <row r="842" spans="1:3" hidden="1" x14ac:dyDescent="0.3">
      <c r="A842" s="36">
        <v>30714620920</v>
      </c>
      <c r="B842" t="s">
        <v>962</v>
      </c>
      <c r="C842" s="35" t="s">
        <v>39</v>
      </c>
    </row>
    <row r="843" spans="1:3" hidden="1" x14ac:dyDescent="0.3">
      <c r="A843" s="36">
        <v>30502584428</v>
      </c>
      <c r="B843" t="s">
        <v>963</v>
      </c>
      <c r="C843" s="35" t="s">
        <v>964</v>
      </c>
    </row>
    <row r="844" spans="1:3" hidden="1" x14ac:dyDescent="0.3">
      <c r="A844" s="36">
        <v>20269334097</v>
      </c>
      <c r="B844" t="s">
        <v>965</v>
      </c>
    </row>
    <row r="845" spans="1:3" hidden="1" x14ac:dyDescent="0.3">
      <c r="A845" s="36">
        <v>20266219114</v>
      </c>
      <c r="B845" t="s">
        <v>966</v>
      </c>
    </row>
    <row r="846" spans="1:3" hidden="1" x14ac:dyDescent="0.3">
      <c r="A846" s="36">
        <v>30715191039</v>
      </c>
      <c r="B846" t="s">
        <v>967</v>
      </c>
      <c r="C846" s="35" t="s">
        <v>39</v>
      </c>
    </row>
    <row r="847" spans="1:3" hidden="1" x14ac:dyDescent="0.3">
      <c r="A847" s="36">
        <v>30715158465</v>
      </c>
      <c r="B847" t="s">
        <v>968</v>
      </c>
      <c r="C847" s="35" t="s">
        <v>39</v>
      </c>
    </row>
    <row r="848" spans="1:3" hidden="1" x14ac:dyDescent="0.3">
      <c r="A848" s="36">
        <v>30716059967</v>
      </c>
      <c r="B848" t="s">
        <v>969</v>
      </c>
    </row>
    <row r="849" spans="1:3" hidden="1" x14ac:dyDescent="0.3">
      <c r="A849" s="36">
        <v>30708711566</v>
      </c>
      <c r="B849" t="s">
        <v>970</v>
      </c>
      <c r="C849" s="35" t="s">
        <v>84</v>
      </c>
    </row>
    <row r="850" spans="1:3" hidden="1" x14ac:dyDescent="0.3">
      <c r="A850" s="36">
        <v>20121630797</v>
      </c>
      <c r="B850" t="s">
        <v>971</v>
      </c>
      <c r="C850" s="35" t="s">
        <v>84</v>
      </c>
    </row>
    <row r="851" spans="1:3" hidden="1" x14ac:dyDescent="0.3">
      <c r="A851" s="36">
        <v>30632951716</v>
      </c>
      <c r="B851" t="s">
        <v>972</v>
      </c>
      <c r="C851" s="35" t="s">
        <v>84</v>
      </c>
    </row>
    <row r="852" spans="1:3" hidden="1" x14ac:dyDescent="0.3">
      <c r="A852" s="36">
        <v>30709784257</v>
      </c>
      <c r="B852" t="s">
        <v>973</v>
      </c>
    </row>
    <row r="853" spans="1:3" hidden="1" x14ac:dyDescent="0.3">
      <c r="A853" s="36">
        <v>30716582716</v>
      </c>
      <c r="B853" t="s">
        <v>974</v>
      </c>
      <c r="C853" s="35" t="s">
        <v>39</v>
      </c>
    </row>
    <row r="854" spans="1:3" hidden="1" x14ac:dyDescent="0.3">
      <c r="A854" s="36">
        <v>30632161146</v>
      </c>
      <c r="B854" t="s">
        <v>975</v>
      </c>
    </row>
    <row r="855" spans="1:3" hidden="1" x14ac:dyDescent="0.3">
      <c r="A855" s="36">
        <v>30715607529</v>
      </c>
      <c r="B855" t="s">
        <v>976</v>
      </c>
    </row>
    <row r="856" spans="1:3" hidden="1" x14ac:dyDescent="0.3">
      <c r="A856" s="36">
        <v>30715311913</v>
      </c>
      <c r="B856" t="s">
        <v>977</v>
      </c>
      <c r="C856" s="35" t="s">
        <v>84</v>
      </c>
    </row>
    <row r="857" spans="1:3" hidden="1" x14ac:dyDescent="0.3">
      <c r="A857" s="36">
        <v>30634595623</v>
      </c>
      <c r="B857" t="s">
        <v>978</v>
      </c>
      <c r="C857" s="35" t="s">
        <v>84</v>
      </c>
    </row>
    <row r="858" spans="1:3" hidden="1" x14ac:dyDescent="0.3">
      <c r="A858" s="36">
        <v>30697598711</v>
      </c>
      <c r="B858" t="s">
        <v>979</v>
      </c>
      <c r="C858" s="35" t="s">
        <v>84</v>
      </c>
    </row>
    <row r="859" spans="1:3" hidden="1" x14ac:dyDescent="0.3">
      <c r="A859" s="36">
        <v>30716211831</v>
      </c>
      <c r="B859" t="s">
        <v>980</v>
      </c>
      <c r="C859" s="35" t="s">
        <v>84</v>
      </c>
    </row>
    <row r="860" spans="1:3" hidden="1" x14ac:dyDescent="0.3">
      <c r="A860" s="36">
        <v>27054302644</v>
      </c>
      <c r="B860" t="s">
        <v>981</v>
      </c>
    </row>
    <row r="861" spans="1:3" hidden="1" x14ac:dyDescent="0.3">
      <c r="A861" s="36">
        <v>30710165250</v>
      </c>
      <c r="B861" t="s">
        <v>982</v>
      </c>
      <c r="C861" s="35" t="s">
        <v>84</v>
      </c>
    </row>
    <row r="862" spans="1:3" hidden="1" x14ac:dyDescent="0.3">
      <c r="A862" s="36">
        <v>30709717541</v>
      </c>
      <c r="B862" t="s">
        <v>983</v>
      </c>
    </row>
    <row r="863" spans="1:3" hidden="1" x14ac:dyDescent="0.3">
      <c r="A863" s="36">
        <v>20272730521</v>
      </c>
      <c r="B863" t="s">
        <v>984</v>
      </c>
      <c r="C863" s="35" t="s">
        <v>985</v>
      </c>
    </row>
    <row r="864" spans="1:3" hidden="1" x14ac:dyDescent="0.3">
      <c r="A864" s="36">
        <v>30535026692</v>
      </c>
      <c r="B864" t="s">
        <v>986</v>
      </c>
      <c r="C864" s="35" t="s">
        <v>987</v>
      </c>
    </row>
    <row r="865" spans="1:3" hidden="1" x14ac:dyDescent="0.3">
      <c r="A865" s="36">
        <v>20315835411</v>
      </c>
      <c r="B865" t="s">
        <v>988</v>
      </c>
      <c r="C865" s="35" t="s">
        <v>39</v>
      </c>
    </row>
    <row r="866" spans="1:3" hidden="1" x14ac:dyDescent="0.3">
      <c r="A866" s="36">
        <v>20283623271</v>
      </c>
      <c r="B866" t="s">
        <v>989</v>
      </c>
      <c r="C866" s="35" t="s">
        <v>39</v>
      </c>
    </row>
    <row r="867" spans="1:3" hidden="1" x14ac:dyDescent="0.3">
      <c r="A867" s="36">
        <v>30710031939</v>
      </c>
      <c r="B867" t="s">
        <v>990</v>
      </c>
      <c r="C867" s="35" t="s">
        <v>39</v>
      </c>
    </row>
    <row r="868" spans="1:3" hidden="1" x14ac:dyDescent="0.3">
      <c r="A868" s="36">
        <v>30713989904</v>
      </c>
      <c r="B868" t="s">
        <v>991</v>
      </c>
      <c r="C868" s="35" t="s">
        <v>39</v>
      </c>
    </row>
    <row r="869" spans="1:3" hidden="1" x14ac:dyDescent="0.3">
      <c r="A869" s="36">
        <v>30515658269</v>
      </c>
      <c r="B869" t="s">
        <v>992</v>
      </c>
    </row>
    <row r="870" spans="1:3" hidden="1" x14ac:dyDescent="0.3">
      <c r="A870" s="36">
        <v>20361527896</v>
      </c>
      <c r="B870" t="s">
        <v>993</v>
      </c>
    </row>
    <row r="871" spans="1:3" hidden="1" x14ac:dyDescent="0.3">
      <c r="A871" s="36">
        <v>20280337235</v>
      </c>
      <c r="B871" t="s">
        <v>994</v>
      </c>
    </row>
    <row r="872" spans="1:3" hidden="1" x14ac:dyDescent="0.3">
      <c r="A872" s="36">
        <v>30712161767</v>
      </c>
      <c r="B872" t="s">
        <v>995</v>
      </c>
    </row>
    <row r="873" spans="1:3" hidden="1" x14ac:dyDescent="0.3">
      <c r="A873" s="36">
        <v>30708161566</v>
      </c>
      <c r="B873" t="s">
        <v>996</v>
      </c>
    </row>
    <row r="874" spans="1:3" hidden="1" x14ac:dyDescent="0.3">
      <c r="A874" s="36">
        <v>30714818615</v>
      </c>
      <c r="B874" t="s">
        <v>997</v>
      </c>
    </row>
    <row r="875" spans="1:3" hidden="1" x14ac:dyDescent="0.3">
      <c r="A875" s="36">
        <v>27277044027</v>
      </c>
      <c r="B875" t="s">
        <v>998</v>
      </c>
      <c r="C875" s="35" t="s">
        <v>43</v>
      </c>
    </row>
    <row r="876" spans="1:3" hidden="1" x14ac:dyDescent="0.3">
      <c r="A876" s="36">
        <v>30712545549</v>
      </c>
      <c r="B876" t="s">
        <v>999</v>
      </c>
      <c r="C876" s="35" t="s">
        <v>39</v>
      </c>
    </row>
    <row r="877" spans="1:3" hidden="1" x14ac:dyDescent="0.3">
      <c r="A877" s="36">
        <v>30711026939</v>
      </c>
      <c r="B877" t="s">
        <v>1000</v>
      </c>
      <c r="C877" s="35" t="s">
        <v>39</v>
      </c>
    </row>
    <row r="878" spans="1:3" hidden="1" x14ac:dyDescent="0.3">
      <c r="A878" s="36">
        <v>30504540177</v>
      </c>
      <c r="B878" t="s">
        <v>1001</v>
      </c>
      <c r="C878" s="35" t="s">
        <v>39</v>
      </c>
    </row>
    <row r="879" spans="1:3" hidden="1" x14ac:dyDescent="0.3">
      <c r="A879" s="36">
        <v>20162046447</v>
      </c>
      <c r="B879" t="s">
        <v>1002</v>
      </c>
      <c r="C879" s="35" t="s">
        <v>39</v>
      </c>
    </row>
    <row r="880" spans="1:3" hidden="1" x14ac:dyDescent="0.3">
      <c r="A880" s="36">
        <v>20083308088</v>
      </c>
      <c r="B880" t="s">
        <v>1003</v>
      </c>
      <c r="C880" s="35" t="s">
        <v>39</v>
      </c>
    </row>
    <row r="881" spans="1:3" hidden="1" x14ac:dyDescent="0.3">
      <c r="A881" s="36">
        <v>30712230351</v>
      </c>
      <c r="B881" t="s">
        <v>1004</v>
      </c>
      <c r="C881" s="35" t="s">
        <v>39</v>
      </c>
    </row>
    <row r="882" spans="1:3" hidden="1" x14ac:dyDescent="0.3">
      <c r="A882" s="36">
        <v>33508358259</v>
      </c>
      <c r="B882" t="s">
        <v>1005</v>
      </c>
      <c r="C882" s="35" t="s">
        <v>39</v>
      </c>
    </row>
    <row r="883" spans="1:3" hidden="1" x14ac:dyDescent="0.3">
      <c r="A883" s="36">
        <v>20389908569</v>
      </c>
      <c r="B883" t="s">
        <v>190</v>
      </c>
    </row>
    <row r="884" spans="1:3" hidden="1" x14ac:dyDescent="0.3">
      <c r="A884" s="36">
        <v>27060319559</v>
      </c>
      <c r="B884" t="s">
        <v>1006</v>
      </c>
    </row>
    <row r="885" spans="1:3" hidden="1" x14ac:dyDescent="0.3">
      <c r="A885" s="36">
        <v>30648926231</v>
      </c>
      <c r="B885" t="s">
        <v>1007</v>
      </c>
      <c r="C885" s="35" t="s">
        <v>39</v>
      </c>
    </row>
    <row r="886" spans="1:3" hidden="1" x14ac:dyDescent="0.3">
      <c r="A886" s="36">
        <v>30716260514</v>
      </c>
      <c r="B886" t="s">
        <v>1008</v>
      </c>
      <c r="C886" s="35" t="s">
        <v>79</v>
      </c>
    </row>
    <row r="887" spans="1:3" hidden="1" x14ac:dyDescent="0.3">
      <c r="A887" s="36">
        <v>30712170421</v>
      </c>
      <c r="B887" t="s">
        <v>1009</v>
      </c>
      <c r="C887" s="35" t="s">
        <v>79</v>
      </c>
    </row>
    <row r="888" spans="1:3" hidden="1" x14ac:dyDescent="0.3">
      <c r="A888" s="36">
        <v>30715060546</v>
      </c>
      <c r="B888" t="s">
        <v>1010</v>
      </c>
      <c r="C888" s="35" t="s">
        <v>79</v>
      </c>
    </row>
    <row r="889" spans="1:3" hidden="1" x14ac:dyDescent="0.3">
      <c r="A889" s="36">
        <v>30711012849</v>
      </c>
      <c r="B889" t="s">
        <v>1011</v>
      </c>
      <c r="C889" s="35" t="s">
        <v>79</v>
      </c>
    </row>
    <row r="890" spans="1:3" hidden="1" x14ac:dyDescent="0.3">
      <c r="A890" s="36">
        <v>30505544656</v>
      </c>
      <c r="B890" t="s">
        <v>1012</v>
      </c>
      <c r="C890" s="35" t="s">
        <v>39</v>
      </c>
    </row>
    <row r="891" spans="1:3" hidden="1" x14ac:dyDescent="0.3">
      <c r="A891" s="36">
        <v>30716256584</v>
      </c>
      <c r="B891" t="s">
        <v>1013</v>
      </c>
      <c r="C891" s="35" t="s">
        <v>39</v>
      </c>
    </row>
    <row r="892" spans="1:3" hidden="1" x14ac:dyDescent="0.3">
      <c r="A892" s="36">
        <v>30613660190</v>
      </c>
      <c r="B892" t="s">
        <v>1014</v>
      </c>
      <c r="C892" s="35" t="s">
        <v>39</v>
      </c>
    </row>
    <row r="893" spans="1:3" hidden="1" x14ac:dyDescent="0.3">
      <c r="A893" s="36">
        <v>20663332720</v>
      </c>
      <c r="B893" t="s">
        <v>931</v>
      </c>
      <c r="C893" s="35" t="s">
        <v>39</v>
      </c>
    </row>
    <row r="894" spans="1:3" hidden="1" x14ac:dyDescent="0.3">
      <c r="A894" s="36">
        <v>30570007870</v>
      </c>
      <c r="B894" t="s">
        <v>1015</v>
      </c>
    </row>
    <row r="895" spans="1:3" hidden="1" x14ac:dyDescent="0.3">
      <c r="A895" s="36">
        <v>20338126922</v>
      </c>
      <c r="B895" t="s">
        <v>1016</v>
      </c>
    </row>
    <row r="896" spans="1:3" hidden="1" x14ac:dyDescent="0.3">
      <c r="A896" s="36">
        <v>30717042766</v>
      </c>
      <c r="B896" t="s">
        <v>1017</v>
      </c>
      <c r="C896" s="35" t="s">
        <v>785</v>
      </c>
    </row>
    <row r="897" spans="1:3" hidden="1" x14ac:dyDescent="0.3">
      <c r="A897" s="36">
        <v>30715204025</v>
      </c>
      <c r="B897" t="s">
        <v>1018</v>
      </c>
      <c r="C897" s="35" t="s">
        <v>39</v>
      </c>
    </row>
    <row r="898" spans="1:3" hidden="1" x14ac:dyDescent="0.3">
      <c r="A898" s="36">
        <v>20309652771</v>
      </c>
      <c r="B898" t="s">
        <v>1019</v>
      </c>
      <c r="C898" s="35" t="s">
        <v>783</v>
      </c>
    </row>
    <row r="899" spans="1:3" hidden="1" x14ac:dyDescent="0.3">
      <c r="A899" s="36">
        <v>30660153744</v>
      </c>
      <c r="B899" t="s">
        <v>1020</v>
      </c>
      <c r="C899" s="35" t="s">
        <v>43</v>
      </c>
    </row>
    <row r="900" spans="1:3" hidden="1" x14ac:dyDescent="0.3">
      <c r="A900" s="36">
        <v>30714288470</v>
      </c>
      <c r="B900" t="s">
        <v>1021</v>
      </c>
    </row>
    <row r="901" spans="1:3" hidden="1" x14ac:dyDescent="0.3">
      <c r="A901" s="36">
        <v>30551667800</v>
      </c>
      <c r="B901" t="s">
        <v>1022</v>
      </c>
      <c r="C901" s="35" t="s">
        <v>39</v>
      </c>
    </row>
    <row r="902" spans="1:3" hidden="1" x14ac:dyDescent="0.3">
      <c r="A902" s="36">
        <v>30716987708</v>
      </c>
      <c r="B902" t="s">
        <v>1023</v>
      </c>
      <c r="C902" s="35" t="s">
        <v>39</v>
      </c>
    </row>
    <row r="903" spans="1:3" hidden="1" x14ac:dyDescent="0.3">
      <c r="A903" s="36">
        <v>20221724845</v>
      </c>
      <c r="B903" t="s">
        <v>1024</v>
      </c>
      <c r="C903" s="35" t="s">
        <v>39</v>
      </c>
    </row>
    <row r="904" spans="1:3" hidden="1" x14ac:dyDescent="0.3">
      <c r="A904" s="36">
        <v>30715348906</v>
      </c>
      <c r="B904" t="s">
        <v>1025</v>
      </c>
      <c r="C904" s="35" t="s">
        <v>39</v>
      </c>
    </row>
    <row r="905" spans="1:3" hidden="1" x14ac:dyDescent="0.3">
      <c r="A905" s="36">
        <v>30715658107</v>
      </c>
      <c r="B905" t="s">
        <v>1026</v>
      </c>
      <c r="C905" s="35" t="s">
        <v>43</v>
      </c>
    </row>
    <row r="906" spans="1:3" hidden="1" x14ac:dyDescent="0.3">
      <c r="A906" s="36">
        <v>30706053812</v>
      </c>
      <c r="B906" t="s">
        <v>1027</v>
      </c>
    </row>
    <row r="907" spans="1:3" hidden="1" x14ac:dyDescent="0.3">
      <c r="A907" s="36">
        <v>30547242331</v>
      </c>
      <c r="B907" t="s">
        <v>1028</v>
      </c>
    </row>
    <row r="908" spans="1:3" hidden="1" x14ac:dyDescent="0.3">
      <c r="A908" s="36">
        <v>30500036393</v>
      </c>
      <c r="B908" t="s">
        <v>1029</v>
      </c>
    </row>
    <row r="909" spans="1:3" hidden="1" x14ac:dyDescent="0.3">
      <c r="A909" s="36">
        <v>30715143190</v>
      </c>
      <c r="B909" t="s">
        <v>1030</v>
      </c>
    </row>
    <row r="910" spans="1:3" hidden="1" x14ac:dyDescent="0.3">
      <c r="A910" s="36">
        <v>23302230439</v>
      </c>
      <c r="B910" t="s">
        <v>1031</v>
      </c>
    </row>
    <row r="911" spans="1:3" hidden="1" x14ac:dyDescent="0.3">
      <c r="A911" s="36">
        <v>30716132303</v>
      </c>
      <c r="B911" t="s">
        <v>1032</v>
      </c>
      <c r="C911" s="35" t="s">
        <v>43</v>
      </c>
    </row>
    <row r="912" spans="1:3" hidden="1" x14ac:dyDescent="0.3">
      <c r="A912" s="36">
        <v>30714295957</v>
      </c>
      <c r="B912" t="s">
        <v>794</v>
      </c>
    </row>
    <row r="913" spans="1:3" hidden="1" x14ac:dyDescent="0.3">
      <c r="A913" s="36">
        <v>20304940019</v>
      </c>
      <c r="B913" t="s">
        <v>1033</v>
      </c>
      <c r="C913" s="35" t="s">
        <v>785</v>
      </c>
    </row>
    <row r="914" spans="1:3" hidden="1" x14ac:dyDescent="0.3">
      <c r="A914" s="36">
        <v>30715267450</v>
      </c>
      <c r="B914" t="s">
        <v>1034</v>
      </c>
    </row>
    <row r="915" spans="1:3" hidden="1" x14ac:dyDescent="0.3">
      <c r="A915" s="36">
        <v>30708338156</v>
      </c>
      <c r="B915" t="s">
        <v>1035</v>
      </c>
    </row>
    <row r="916" spans="1:3" hidden="1" x14ac:dyDescent="0.3">
      <c r="A916" s="36">
        <v>24252578532</v>
      </c>
      <c r="B916" t="s">
        <v>1036</v>
      </c>
    </row>
    <row r="917" spans="1:3" hidden="1" x14ac:dyDescent="0.3">
      <c r="A917" s="36">
        <v>30708332328</v>
      </c>
      <c r="B917" t="s">
        <v>1037</v>
      </c>
    </row>
    <row r="918" spans="1:3" hidden="1" x14ac:dyDescent="0.3">
      <c r="A918" s="36">
        <v>30715153595</v>
      </c>
      <c r="B918" t="s">
        <v>1038</v>
      </c>
      <c r="C918" s="35" t="s">
        <v>39</v>
      </c>
    </row>
    <row r="919" spans="1:3" hidden="1" x14ac:dyDescent="0.3">
      <c r="A919" s="36">
        <v>27296000634</v>
      </c>
      <c r="B919" t="s">
        <v>1039</v>
      </c>
    </row>
    <row r="920" spans="1:3" hidden="1" x14ac:dyDescent="0.3">
      <c r="A920" s="36">
        <v>20122776477</v>
      </c>
      <c r="B920" t="s">
        <v>1040</v>
      </c>
    </row>
    <row r="921" spans="1:3" hidden="1" x14ac:dyDescent="0.3">
      <c r="A921" s="36">
        <v>20117730337</v>
      </c>
      <c r="B921" t="s">
        <v>1041</v>
      </c>
    </row>
    <row r="922" spans="1:3" hidden="1" x14ac:dyDescent="0.3">
      <c r="A922" s="36">
        <v>30710255373</v>
      </c>
      <c r="B922" t="s">
        <v>1042</v>
      </c>
    </row>
    <row r="923" spans="1:3" hidden="1" x14ac:dyDescent="0.3">
      <c r="A923" s="36">
        <v>30709273309</v>
      </c>
      <c r="B923" t="s">
        <v>1043</v>
      </c>
    </row>
    <row r="924" spans="1:3" hidden="1" x14ac:dyDescent="0.3">
      <c r="A924" s="36">
        <v>30709218286</v>
      </c>
      <c r="B924" t="s">
        <v>1044</v>
      </c>
    </row>
    <row r="925" spans="1:3" hidden="1" x14ac:dyDescent="0.3">
      <c r="A925" s="36">
        <v>30709793841</v>
      </c>
      <c r="B925" t="s">
        <v>1045</v>
      </c>
    </row>
    <row r="926" spans="1:3" hidden="1" x14ac:dyDescent="0.3">
      <c r="A926" s="36">
        <v>23137564289</v>
      </c>
      <c r="B926" t="s">
        <v>1046</v>
      </c>
    </row>
    <row r="927" spans="1:3" hidden="1" x14ac:dyDescent="0.3">
      <c r="A927" s="36">
        <v>30708717335</v>
      </c>
      <c r="B927" t="s">
        <v>1047</v>
      </c>
    </row>
    <row r="928" spans="1:3" hidden="1" x14ac:dyDescent="0.3">
      <c r="A928" s="36">
        <v>30714947695</v>
      </c>
      <c r="B928" t="s">
        <v>1048</v>
      </c>
    </row>
    <row r="929" spans="1:3" hidden="1" x14ac:dyDescent="0.3">
      <c r="A929" s="36">
        <v>33606956849</v>
      </c>
      <c r="B929" t="s">
        <v>1049</v>
      </c>
    </row>
    <row r="930" spans="1:3" hidden="1" x14ac:dyDescent="0.3">
      <c r="A930" s="36">
        <v>30717053377</v>
      </c>
      <c r="B930" t="s">
        <v>1050</v>
      </c>
    </row>
    <row r="931" spans="1:3" hidden="1" x14ac:dyDescent="0.3">
      <c r="A931" s="36">
        <v>20233336735</v>
      </c>
      <c r="B931" t="s">
        <v>1051</v>
      </c>
    </row>
    <row r="932" spans="1:3" hidden="1" x14ac:dyDescent="0.3">
      <c r="A932" s="36">
        <v>30712019359</v>
      </c>
      <c r="B932" t="s">
        <v>1052</v>
      </c>
      <c r="C932" s="35" t="s">
        <v>79</v>
      </c>
    </row>
    <row r="933" spans="1:3" hidden="1" x14ac:dyDescent="0.3">
      <c r="A933" s="36">
        <v>30547751252</v>
      </c>
      <c r="B933" t="s">
        <v>1053</v>
      </c>
    </row>
    <row r="934" spans="1:3" hidden="1" x14ac:dyDescent="0.3">
      <c r="A934" s="36">
        <v>30518878324</v>
      </c>
      <c r="B934" t="s">
        <v>1054</v>
      </c>
    </row>
    <row r="935" spans="1:3" hidden="1" x14ac:dyDescent="0.3">
      <c r="A935" s="36">
        <v>27048204762</v>
      </c>
      <c r="B935" t="s">
        <v>1055</v>
      </c>
    </row>
    <row r="936" spans="1:3" hidden="1" x14ac:dyDescent="0.3">
      <c r="A936" s="36">
        <v>20268252585</v>
      </c>
      <c r="B936" t="s">
        <v>1056</v>
      </c>
    </row>
    <row r="937" spans="1:3" hidden="1" x14ac:dyDescent="0.3">
      <c r="A937" s="36">
        <v>30715413678</v>
      </c>
      <c r="B937" t="s">
        <v>796</v>
      </c>
    </row>
    <row r="938" spans="1:3" hidden="1" x14ac:dyDescent="0.3">
      <c r="A938" s="36">
        <v>33710384229</v>
      </c>
      <c r="B938" t="s">
        <v>1057</v>
      </c>
    </row>
    <row r="939" spans="1:3" hidden="1" x14ac:dyDescent="0.3">
      <c r="A939" s="36">
        <v>23218331939</v>
      </c>
      <c r="B939" t="s">
        <v>1058</v>
      </c>
    </row>
    <row r="940" spans="1:3" hidden="1" x14ac:dyDescent="0.3">
      <c r="A940" s="36">
        <v>30629246076</v>
      </c>
      <c r="B940" t="s">
        <v>1059</v>
      </c>
    </row>
    <row r="941" spans="1:3" hidden="1" x14ac:dyDescent="0.3">
      <c r="A941" s="36">
        <v>33715657479</v>
      </c>
      <c r="B941" t="s">
        <v>1060</v>
      </c>
    </row>
    <row r="942" spans="1:3" hidden="1" x14ac:dyDescent="0.3">
      <c r="A942" s="36">
        <v>20268893777</v>
      </c>
      <c r="B942" t="s">
        <v>1061</v>
      </c>
    </row>
    <row r="943" spans="1:3" hidden="1" x14ac:dyDescent="0.3">
      <c r="A943" s="36">
        <v>30715891154</v>
      </c>
      <c r="B943" t="s">
        <v>1062</v>
      </c>
    </row>
    <row r="944" spans="1:3" hidden="1" x14ac:dyDescent="0.3">
      <c r="A944" s="36">
        <v>30686489325</v>
      </c>
      <c r="B944" t="s">
        <v>791</v>
      </c>
    </row>
    <row r="945" spans="1:4" hidden="1" x14ac:dyDescent="0.3">
      <c r="A945" s="36">
        <v>30716995883</v>
      </c>
      <c r="B945" t="s">
        <v>1063</v>
      </c>
    </row>
    <row r="946" spans="1:4" hidden="1" x14ac:dyDescent="0.3">
      <c r="A946" s="36">
        <v>30717544834</v>
      </c>
      <c r="B946" t="s">
        <v>1064</v>
      </c>
    </row>
    <row r="947" spans="1:4" hidden="1" x14ac:dyDescent="0.3">
      <c r="A947" s="36">
        <v>30619020134</v>
      </c>
      <c r="B947" t="s">
        <v>1065</v>
      </c>
    </row>
    <row r="948" spans="1:4" hidden="1" x14ac:dyDescent="0.3">
      <c r="A948" s="36">
        <v>30711421323</v>
      </c>
      <c r="B948" t="s">
        <v>1066</v>
      </c>
    </row>
    <row r="949" spans="1:4" hidden="1" x14ac:dyDescent="0.3">
      <c r="A949" s="36">
        <v>30715523880</v>
      </c>
      <c r="B949" t="s">
        <v>1067</v>
      </c>
    </row>
    <row r="950" spans="1:4" hidden="1" x14ac:dyDescent="0.3">
      <c r="A950" s="36">
        <v>30715111604</v>
      </c>
      <c r="B950" t="s">
        <v>1068</v>
      </c>
    </row>
    <row r="951" spans="1:4" hidden="1" x14ac:dyDescent="0.3">
      <c r="A951" s="36">
        <v>20280218848</v>
      </c>
      <c r="B951" t="s">
        <v>1069</v>
      </c>
    </row>
    <row r="952" spans="1:4" hidden="1" x14ac:dyDescent="0.3">
      <c r="A952" s="36">
        <v>20116347742</v>
      </c>
      <c r="B952" t="s">
        <v>1070</v>
      </c>
    </row>
    <row r="953" spans="1:4" hidden="1" x14ac:dyDescent="0.3">
      <c r="A953" s="36">
        <v>30711541140</v>
      </c>
      <c r="B953" t="s">
        <v>1071</v>
      </c>
    </row>
    <row r="954" spans="1:4" hidden="1" x14ac:dyDescent="0.3">
      <c r="A954" s="36">
        <v>30716885050</v>
      </c>
      <c r="B954" t="s">
        <v>1072</v>
      </c>
    </row>
    <row r="955" spans="1:4" hidden="1" x14ac:dyDescent="0.3">
      <c r="A955" s="36">
        <v>30544711608</v>
      </c>
      <c r="B955" t="s">
        <v>1073</v>
      </c>
    </row>
    <row r="956" spans="1:4" hidden="1" x14ac:dyDescent="0.3">
      <c r="A956" s="36">
        <v>30708218185</v>
      </c>
      <c r="B956" t="s">
        <v>1074</v>
      </c>
    </row>
    <row r="957" spans="1:4" hidden="1" x14ac:dyDescent="0.3">
      <c r="A957" s="36">
        <v>30577207190</v>
      </c>
      <c r="B957" t="s">
        <v>789</v>
      </c>
    </row>
    <row r="958" spans="1:4" hidden="1" x14ac:dyDescent="0.3">
      <c r="A958" s="36">
        <v>20341465134</v>
      </c>
      <c r="B958" t="s">
        <v>1076</v>
      </c>
      <c r="C958" s="35" t="s">
        <v>785</v>
      </c>
      <c r="D958" t="s">
        <v>1183</v>
      </c>
    </row>
    <row r="959" spans="1:4" hidden="1" x14ac:dyDescent="0.3">
      <c r="A959" s="36">
        <v>20341462933</v>
      </c>
      <c r="B959" t="s">
        <v>1077</v>
      </c>
      <c r="C959" s="35" t="s">
        <v>1193</v>
      </c>
      <c r="D959" t="s">
        <v>1179</v>
      </c>
    </row>
    <row r="960" spans="1:4" hidden="1" x14ac:dyDescent="0.3">
      <c r="A960" s="36">
        <v>27173820866</v>
      </c>
      <c r="B960" t="s">
        <v>1078</v>
      </c>
      <c r="C960" s="35" t="s">
        <v>788</v>
      </c>
    </row>
    <row r="961" spans="1:3" hidden="1" x14ac:dyDescent="0.3">
      <c r="A961" s="36">
        <v>20244271740</v>
      </c>
      <c r="B961" t="s">
        <v>1079</v>
      </c>
      <c r="C961" s="35" t="s">
        <v>1379</v>
      </c>
    </row>
    <row r="962" spans="1:3" hidden="1" x14ac:dyDescent="0.3">
      <c r="A962" s="36">
        <v>20403931420</v>
      </c>
      <c r="B962" t="s">
        <v>1080</v>
      </c>
      <c r="C962" s="35" t="s">
        <v>1380</v>
      </c>
    </row>
    <row r="963" spans="1:3" hidden="1" x14ac:dyDescent="0.3">
      <c r="A963" s="36">
        <v>23326777269</v>
      </c>
      <c r="B963" t="s">
        <v>1081</v>
      </c>
      <c r="C963" s="35" t="s">
        <v>785</v>
      </c>
    </row>
    <row r="964" spans="1:3" hidden="1" x14ac:dyDescent="0.3">
      <c r="A964" s="36">
        <v>20417805878</v>
      </c>
      <c r="B964" t="s">
        <v>1082</v>
      </c>
      <c r="C964" s="35" t="s">
        <v>785</v>
      </c>
    </row>
    <row r="965" spans="1:3" hidden="1" x14ac:dyDescent="0.3">
      <c r="A965" s="36">
        <v>30709953482</v>
      </c>
      <c r="B965" t="s">
        <v>1083</v>
      </c>
      <c r="C965" s="35" t="s">
        <v>79</v>
      </c>
    </row>
    <row r="966" spans="1:3" hidden="1" x14ac:dyDescent="0.3">
      <c r="A966" s="36">
        <v>30716998718</v>
      </c>
      <c r="B966" t="s">
        <v>1084</v>
      </c>
      <c r="C966" s="35" t="s">
        <v>79</v>
      </c>
    </row>
    <row r="967" spans="1:3" hidden="1" x14ac:dyDescent="0.3">
      <c r="A967" s="36">
        <v>30707135596</v>
      </c>
      <c r="B967" t="s">
        <v>1085</v>
      </c>
      <c r="C967" s="35" t="s">
        <v>1375</v>
      </c>
    </row>
    <row r="968" spans="1:3" hidden="1" x14ac:dyDescent="0.3">
      <c r="A968" s="36">
        <v>30715402765</v>
      </c>
      <c r="B968" t="s">
        <v>1086</v>
      </c>
      <c r="C968" s="35" t="s">
        <v>79</v>
      </c>
    </row>
    <row r="969" spans="1:3" hidden="1" x14ac:dyDescent="0.3">
      <c r="A969" s="36">
        <v>30594494187</v>
      </c>
      <c r="B969" t="s">
        <v>1087</v>
      </c>
      <c r="C969" s="35" t="s">
        <v>1376</v>
      </c>
    </row>
    <row r="970" spans="1:3" hidden="1" x14ac:dyDescent="0.3">
      <c r="A970" s="36">
        <v>20309151489</v>
      </c>
      <c r="B970" t="s">
        <v>1088</v>
      </c>
      <c r="C970" s="35" t="s">
        <v>79</v>
      </c>
    </row>
    <row r="971" spans="1:3" hidden="1" x14ac:dyDescent="0.3">
      <c r="A971" s="36">
        <v>20299039367</v>
      </c>
      <c r="B971" t="s">
        <v>1089</v>
      </c>
      <c r="C971" s="35" t="s">
        <v>79</v>
      </c>
    </row>
    <row r="972" spans="1:3" hidden="1" x14ac:dyDescent="0.3">
      <c r="A972" s="36">
        <v>20284880049</v>
      </c>
      <c r="B972" t="s">
        <v>1090</v>
      </c>
      <c r="C972" s="35" t="s">
        <v>1378</v>
      </c>
    </row>
    <row r="973" spans="1:3" hidden="1" x14ac:dyDescent="0.3">
      <c r="A973" s="36">
        <v>30582605021</v>
      </c>
      <c r="B973" t="s">
        <v>1091</v>
      </c>
      <c r="C973" s="35" t="s">
        <v>1377</v>
      </c>
    </row>
    <row r="974" spans="1:3" hidden="1" x14ac:dyDescent="0.3">
      <c r="A974" s="36">
        <v>27217954369</v>
      </c>
      <c r="B974" t="s">
        <v>1092</v>
      </c>
      <c r="C974" s="35" t="s">
        <v>79</v>
      </c>
    </row>
    <row r="975" spans="1:3" hidden="1" x14ac:dyDescent="0.3">
      <c r="A975" s="36">
        <v>20319700081</v>
      </c>
      <c r="B975" t="s">
        <v>1093</v>
      </c>
      <c r="C975" s="35" t="s">
        <v>79</v>
      </c>
    </row>
    <row r="976" spans="1:3" hidden="1" x14ac:dyDescent="0.3">
      <c r="A976" s="36">
        <v>30710730845</v>
      </c>
      <c r="B976" t="s">
        <v>1094</v>
      </c>
      <c r="C976" s="35" t="s">
        <v>1378</v>
      </c>
    </row>
    <row r="977" spans="1:3" hidden="1" x14ac:dyDescent="0.3">
      <c r="A977" s="36">
        <v>30709511846</v>
      </c>
      <c r="B977" t="s">
        <v>1095</v>
      </c>
      <c r="C977" s="35" t="s">
        <v>79</v>
      </c>
    </row>
    <row r="978" spans="1:3" hidden="1" x14ac:dyDescent="0.3">
      <c r="A978" s="36">
        <v>30709788635</v>
      </c>
      <c r="B978" t="s">
        <v>1096</v>
      </c>
      <c r="C978" s="35" t="s">
        <v>1378</v>
      </c>
    </row>
    <row r="979" spans="1:3" hidden="1" x14ac:dyDescent="0.3">
      <c r="A979" s="36">
        <v>30714971782</v>
      </c>
      <c r="B979" t="s">
        <v>1097</v>
      </c>
      <c r="C979" s="35" t="s">
        <v>783</v>
      </c>
    </row>
    <row r="980" spans="1:3" hidden="1" x14ac:dyDescent="0.3">
      <c r="A980" s="36">
        <v>20278028810</v>
      </c>
      <c r="B980" t="s">
        <v>1098</v>
      </c>
      <c r="C980" s="35" t="s">
        <v>79</v>
      </c>
    </row>
    <row r="981" spans="1:3" hidden="1" x14ac:dyDescent="0.3">
      <c r="A981" s="36">
        <v>30580111315</v>
      </c>
      <c r="B981" t="s">
        <v>1099</v>
      </c>
      <c r="C981" s="35" t="s">
        <v>1376</v>
      </c>
    </row>
    <row r="982" spans="1:3" hidden="1" x14ac:dyDescent="0.3">
      <c r="A982" s="36">
        <v>30709665967</v>
      </c>
      <c r="B982" t="s">
        <v>1100</v>
      </c>
      <c r="C982" s="35" t="s">
        <v>1377</v>
      </c>
    </row>
    <row r="983" spans="1:3" hidden="1" x14ac:dyDescent="0.3">
      <c r="A983" s="36">
        <v>30631047145</v>
      </c>
      <c r="B983" t="s">
        <v>1101</v>
      </c>
      <c r="C983" s="35" t="s">
        <v>783</v>
      </c>
    </row>
    <row r="984" spans="1:3" hidden="1" x14ac:dyDescent="0.3">
      <c r="A984" s="36">
        <v>30709131733</v>
      </c>
      <c r="B984" t="s">
        <v>1102</v>
      </c>
      <c r="C984" s="35" t="s">
        <v>783</v>
      </c>
    </row>
    <row r="985" spans="1:3" hidden="1" x14ac:dyDescent="0.3">
      <c r="A985" s="36">
        <v>30678814357</v>
      </c>
      <c r="B985" t="s">
        <v>1103</v>
      </c>
    </row>
    <row r="986" spans="1:3" hidden="1" x14ac:dyDescent="0.3">
      <c r="A986" s="36">
        <v>20247551337</v>
      </c>
      <c r="B986" t="s">
        <v>1104</v>
      </c>
      <c r="C986" s="35" t="s">
        <v>79</v>
      </c>
    </row>
    <row r="987" spans="1:3" hidden="1" x14ac:dyDescent="0.3">
      <c r="A987" s="36">
        <v>20125142851</v>
      </c>
      <c r="B987" t="s">
        <v>1105</v>
      </c>
      <c r="C987" s="35" t="s">
        <v>783</v>
      </c>
    </row>
    <row r="988" spans="1:3" hidden="1" x14ac:dyDescent="0.3">
      <c r="A988" s="36">
        <v>30717334384</v>
      </c>
      <c r="B988" t="s">
        <v>1106</v>
      </c>
      <c r="C988" s="35" t="s">
        <v>783</v>
      </c>
    </row>
    <row r="989" spans="1:3" hidden="1" x14ac:dyDescent="0.3">
      <c r="A989" s="36">
        <v>33715571639</v>
      </c>
      <c r="B989" t="s">
        <v>1107</v>
      </c>
      <c r="C989" s="35" t="s">
        <v>79</v>
      </c>
    </row>
    <row r="990" spans="1:3" hidden="1" x14ac:dyDescent="0.3">
      <c r="A990" s="36">
        <v>20296550184</v>
      </c>
      <c r="B990" t="s">
        <v>1108</v>
      </c>
      <c r="C990" s="35" t="s">
        <v>1377</v>
      </c>
    </row>
    <row r="991" spans="1:3" hidden="1" x14ac:dyDescent="0.3">
      <c r="A991" s="36">
        <v>27148854764</v>
      </c>
      <c r="B991" t="s">
        <v>1109</v>
      </c>
      <c r="C991" s="35" t="s">
        <v>39</v>
      </c>
    </row>
    <row r="992" spans="1:3" hidden="1" x14ac:dyDescent="0.3">
      <c r="A992" s="36">
        <v>30707756434</v>
      </c>
      <c r="B992" t="s">
        <v>1110</v>
      </c>
      <c r="C992" s="35" t="s">
        <v>785</v>
      </c>
    </row>
    <row r="993" spans="1:3" hidden="1" x14ac:dyDescent="0.3">
      <c r="A993" s="36">
        <v>30715060759</v>
      </c>
      <c r="B993" t="s">
        <v>1111</v>
      </c>
      <c r="C993" s="35" t="s">
        <v>1378</v>
      </c>
    </row>
    <row r="994" spans="1:3" hidden="1" x14ac:dyDescent="0.3">
      <c r="A994" s="36">
        <v>30708622423</v>
      </c>
      <c r="B994" t="s">
        <v>1112</v>
      </c>
      <c r="C994" s="35" t="s">
        <v>44</v>
      </c>
    </row>
    <row r="995" spans="1:3" hidden="1" x14ac:dyDescent="0.3">
      <c r="A995" s="36">
        <v>30535770294</v>
      </c>
      <c r="B995" t="s">
        <v>1113</v>
      </c>
      <c r="C995" s="35" t="s">
        <v>39</v>
      </c>
    </row>
    <row r="996" spans="1:3" hidden="1" x14ac:dyDescent="0.3">
      <c r="A996" s="36">
        <v>30710212127</v>
      </c>
      <c r="B996" t="s">
        <v>1114</v>
      </c>
      <c r="C996" s="35" t="s">
        <v>783</v>
      </c>
    </row>
    <row r="997" spans="1:3" hidden="1" x14ac:dyDescent="0.3">
      <c r="A997" s="36">
        <v>30628274327</v>
      </c>
      <c r="B997" t="s">
        <v>1123</v>
      </c>
    </row>
    <row r="998" spans="1:3" hidden="1" x14ac:dyDescent="0.3">
      <c r="A998" s="36">
        <v>33717088269</v>
      </c>
      <c r="B998" t="s">
        <v>1124</v>
      </c>
    </row>
    <row r="999" spans="1:3" hidden="1" x14ac:dyDescent="0.3">
      <c r="A999" s="36">
        <v>33708467699</v>
      </c>
      <c r="B999" t="s">
        <v>1125</v>
      </c>
    </row>
    <row r="1000" spans="1:3" hidden="1" x14ac:dyDescent="0.3">
      <c r="A1000" s="36">
        <v>30628274327</v>
      </c>
      <c r="B1000" t="s">
        <v>1123</v>
      </c>
    </row>
    <row r="1001" spans="1:3" hidden="1" x14ac:dyDescent="0.3">
      <c r="A1001" s="36">
        <v>27134325327</v>
      </c>
      <c r="B1001" t="s">
        <v>1126</v>
      </c>
    </row>
    <row r="1002" spans="1:3" hidden="1" x14ac:dyDescent="0.3">
      <c r="A1002" s="36">
        <v>30708844248</v>
      </c>
      <c r="B1002" t="s">
        <v>1127</v>
      </c>
    </row>
    <row r="1003" spans="1:3" hidden="1" x14ac:dyDescent="0.3">
      <c r="A1003" s="36">
        <v>30638318470</v>
      </c>
      <c r="B1003" t="s">
        <v>1128</v>
      </c>
    </row>
    <row r="1004" spans="1:3" hidden="1" x14ac:dyDescent="0.3">
      <c r="A1004" s="36">
        <v>30628274327</v>
      </c>
      <c r="B1004" t="s">
        <v>1123</v>
      </c>
    </row>
    <row r="1005" spans="1:3" hidden="1" x14ac:dyDescent="0.3">
      <c r="A1005" s="36">
        <v>30712179909</v>
      </c>
      <c r="B1005" t="s">
        <v>1139</v>
      </c>
      <c r="C1005" s="35" t="s">
        <v>987</v>
      </c>
    </row>
    <row r="1006" spans="1:3" hidden="1" x14ac:dyDescent="0.3">
      <c r="A1006" s="36">
        <v>30707835563</v>
      </c>
      <c r="B1006" t="s">
        <v>1140</v>
      </c>
    </row>
    <row r="1007" spans="1:3" hidden="1" x14ac:dyDescent="0.3">
      <c r="A1007" s="36">
        <v>27271779289</v>
      </c>
      <c r="B1007" t="s">
        <v>1141</v>
      </c>
    </row>
    <row r="1008" spans="1:3" hidden="1" x14ac:dyDescent="0.3">
      <c r="A1008" s="36">
        <v>20921575743</v>
      </c>
      <c r="B1008" t="s">
        <v>1142</v>
      </c>
      <c r="C1008" s="35" t="s">
        <v>1382</v>
      </c>
    </row>
    <row r="1009" spans="1:3" hidden="1" x14ac:dyDescent="0.3">
      <c r="A1009" s="36">
        <v>30717014754</v>
      </c>
      <c r="B1009" t="s">
        <v>1143</v>
      </c>
    </row>
    <row r="1010" spans="1:3" hidden="1" x14ac:dyDescent="0.3">
      <c r="A1010" s="36">
        <v>30708166673</v>
      </c>
      <c r="B1010" t="s">
        <v>1144</v>
      </c>
      <c r="C1010" s="35" t="s">
        <v>79</v>
      </c>
    </row>
    <row r="1011" spans="1:3" hidden="1" x14ac:dyDescent="0.3">
      <c r="A1011" s="36">
        <v>30715864262</v>
      </c>
      <c r="B1011" t="s">
        <v>1145</v>
      </c>
      <c r="C1011" s="35" t="s">
        <v>1377</v>
      </c>
    </row>
    <row r="1012" spans="1:3" hidden="1" x14ac:dyDescent="0.3">
      <c r="A1012" s="36">
        <v>30711726019</v>
      </c>
      <c r="B1012" t="s">
        <v>1146</v>
      </c>
    </row>
    <row r="1013" spans="1:3" hidden="1" x14ac:dyDescent="0.3">
      <c r="A1013" s="36">
        <v>30711782997</v>
      </c>
      <c r="B1013" t="s">
        <v>1147</v>
      </c>
    </row>
    <row r="1014" spans="1:3" hidden="1" x14ac:dyDescent="0.3">
      <c r="A1014" s="36">
        <v>30716036711</v>
      </c>
      <c r="B1014" t="s">
        <v>1148</v>
      </c>
    </row>
    <row r="1015" spans="1:3" hidden="1" x14ac:dyDescent="0.3">
      <c r="A1015" s="36">
        <v>23287538839</v>
      </c>
      <c r="B1015" t="s">
        <v>1149</v>
      </c>
    </row>
    <row r="1016" spans="1:3" hidden="1" x14ac:dyDescent="0.3">
      <c r="A1016" s="36">
        <v>30716401525</v>
      </c>
      <c r="B1016" t="s">
        <v>1150</v>
      </c>
    </row>
    <row r="1017" spans="1:3" hidden="1" x14ac:dyDescent="0.3">
      <c r="A1017" s="36">
        <v>30559932236</v>
      </c>
      <c r="B1017" t="s">
        <v>1151</v>
      </c>
      <c r="C1017" s="35" t="s">
        <v>1377</v>
      </c>
    </row>
    <row r="1018" spans="1:3" hidden="1" x14ac:dyDescent="0.3">
      <c r="A1018" s="36">
        <v>20125142851</v>
      </c>
      <c r="B1018" t="s">
        <v>1105</v>
      </c>
      <c r="C1018" s="35" t="s">
        <v>783</v>
      </c>
    </row>
    <row r="1019" spans="1:3" hidden="1" x14ac:dyDescent="0.3">
      <c r="A1019" s="36">
        <v>30604942051</v>
      </c>
      <c r="B1019" t="s">
        <v>1152</v>
      </c>
      <c r="C1019" s="35" t="s">
        <v>1381</v>
      </c>
    </row>
    <row r="1020" spans="1:3" hidden="1" x14ac:dyDescent="0.3">
      <c r="A1020" s="36">
        <v>20297899830</v>
      </c>
      <c r="B1020" t="s">
        <v>1153</v>
      </c>
      <c r="C1020" s="35" t="s">
        <v>830</v>
      </c>
    </row>
    <row r="1021" spans="1:3" hidden="1" x14ac:dyDescent="0.3">
      <c r="A1021" s="36">
        <v>33606484599</v>
      </c>
      <c r="B1021" t="s">
        <v>1154</v>
      </c>
      <c r="C1021" s="35" t="s">
        <v>1377</v>
      </c>
    </row>
    <row r="1022" spans="1:3" hidden="1" x14ac:dyDescent="0.3">
      <c r="A1022" s="36">
        <v>30716809893</v>
      </c>
      <c r="B1022" t="s">
        <v>1155</v>
      </c>
    </row>
    <row r="1023" spans="1:3" hidden="1" x14ac:dyDescent="0.3">
      <c r="A1023" s="36">
        <v>30717405680</v>
      </c>
      <c r="B1023" t="s">
        <v>1156</v>
      </c>
    </row>
    <row r="1024" spans="1:3" hidden="1" x14ac:dyDescent="0.3">
      <c r="A1024" s="36">
        <v>30525558246</v>
      </c>
      <c r="B1024" t="s">
        <v>1157</v>
      </c>
      <c r="C1024" s="35" t="s">
        <v>785</v>
      </c>
    </row>
    <row r="1025" spans="1:4" hidden="1" x14ac:dyDescent="0.3">
      <c r="A1025" s="36">
        <v>30714867322</v>
      </c>
      <c r="B1025" t="s">
        <v>1158</v>
      </c>
    </row>
    <row r="1026" spans="1:4" x14ac:dyDescent="0.3">
      <c r="A1026" s="36">
        <v>20259150249</v>
      </c>
      <c r="B1026" t="s">
        <v>1159</v>
      </c>
      <c r="C1026" s="35" t="s">
        <v>79</v>
      </c>
    </row>
    <row r="1027" spans="1:4" hidden="1" x14ac:dyDescent="0.3">
      <c r="A1027" s="36">
        <v>20365938688</v>
      </c>
      <c r="B1027" t="s">
        <v>1160</v>
      </c>
      <c r="C1027" s="35" t="s">
        <v>1181</v>
      </c>
    </row>
    <row r="1028" spans="1:4" hidden="1" x14ac:dyDescent="0.3">
      <c r="A1028" s="36">
        <v>30554466806</v>
      </c>
      <c r="B1028" t="s">
        <v>1161</v>
      </c>
      <c r="C1028" s="35" t="s">
        <v>987</v>
      </c>
    </row>
    <row r="1029" spans="1:4" hidden="1" x14ac:dyDescent="0.3">
      <c r="A1029" s="36">
        <v>20338344695</v>
      </c>
      <c r="B1029" t="s">
        <v>1162</v>
      </c>
      <c r="C1029" s="35" t="s">
        <v>783</v>
      </c>
    </row>
    <row r="1030" spans="1:4" hidden="1" x14ac:dyDescent="0.3">
      <c r="A1030" s="36">
        <v>20136544625</v>
      </c>
      <c r="B1030" t="s">
        <v>1163</v>
      </c>
      <c r="C1030" s="35" t="s">
        <v>1380</v>
      </c>
    </row>
    <row r="1031" spans="1:4" hidden="1" x14ac:dyDescent="0.3">
      <c r="A1031" s="36">
        <v>27387896150</v>
      </c>
      <c r="B1031" t="s">
        <v>1164</v>
      </c>
      <c r="C1031" s="35" t="s">
        <v>1177</v>
      </c>
    </row>
    <row r="1032" spans="1:4" hidden="1" x14ac:dyDescent="0.3">
      <c r="A1032" s="36">
        <v>27925308868</v>
      </c>
      <c r="B1032" t="s">
        <v>1165</v>
      </c>
    </row>
    <row r="1033" spans="1:4" hidden="1" x14ac:dyDescent="0.3">
      <c r="A1033" s="36">
        <v>33715179119</v>
      </c>
      <c r="B1033" t="s">
        <v>1166</v>
      </c>
    </row>
    <row r="1034" spans="1:4" hidden="1" x14ac:dyDescent="0.3">
      <c r="A1034" s="36">
        <v>27125997835</v>
      </c>
      <c r="B1034" t="s">
        <v>1167</v>
      </c>
    </row>
    <row r="1035" spans="1:4" hidden="1" x14ac:dyDescent="0.3">
      <c r="A1035" s="36">
        <v>55000002223</v>
      </c>
      <c r="B1035" t="s">
        <v>1170</v>
      </c>
    </row>
    <row r="1036" spans="1:4" hidden="1" x14ac:dyDescent="0.3">
      <c r="A1036" s="36">
        <v>30707462228</v>
      </c>
      <c r="B1036" t="s">
        <v>1171</v>
      </c>
    </row>
    <row r="1037" spans="1:4" hidden="1" x14ac:dyDescent="0.3">
      <c r="A1037" s="36">
        <v>30673387027</v>
      </c>
      <c r="B1037" t="s">
        <v>1172</v>
      </c>
    </row>
    <row r="1038" spans="1:4" hidden="1" x14ac:dyDescent="0.3">
      <c r="A1038" s="36">
        <v>30716244330</v>
      </c>
      <c r="B1038" t="s">
        <v>1173</v>
      </c>
    </row>
    <row r="1039" spans="1:4" hidden="1" x14ac:dyDescent="0.3">
      <c r="A1039" s="36">
        <v>30716041596</v>
      </c>
      <c r="B1039" t="s">
        <v>1174</v>
      </c>
    </row>
    <row r="1040" spans="1:4" hidden="1" x14ac:dyDescent="0.3">
      <c r="A1040" s="36">
        <v>30709917567</v>
      </c>
      <c r="B1040" t="s">
        <v>1178</v>
      </c>
      <c r="C1040" s="35" t="s">
        <v>49</v>
      </c>
      <c r="D1040" t="s">
        <v>1179</v>
      </c>
    </row>
    <row r="1041" spans="1:4" hidden="1" x14ac:dyDescent="0.3">
      <c r="A1041" s="36">
        <v>30709045632</v>
      </c>
      <c r="B1041" t="s">
        <v>1182</v>
      </c>
      <c r="C1041" s="35" t="s">
        <v>848</v>
      </c>
      <c r="D1041" t="s">
        <v>1183</v>
      </c>
    </row>
    <row r="1042" spans="1:4" hidden="1" x14ac:dyDescent="0.3">
      <c r="A1042" s="36">
        <v>20348111478</v>
      </c>
      <c r="B1042" t="s">
        <v>1184</v>
      </c>
      <c r="C1042" s="35" t="s">
        <v>783</v>
      </c>
      <c r="D1042" t="s">
        <v>1179</v>
      </c>
    </row>
    <row r="1043" spans="1:4" hidden="1" x14ac:dyDescent="0.3">
      <c r="A1043" s="36">
        <v>20261680298</v>
      </c>
      <c r="B1043" t="s">
        <v>1185</v>
      </c>
    </row>
    <row r="1044" spans="1:4" hidden="1" x14ac:dyDescent="0.3">
      <c r="A1044" s="36">
        <v>30709362875</v>
      </c>
      <c r="B1044" t="s">
        <v>1186</v>
      </c>
      <c r="C1044" s="35" t="s">
        <v>848</v>
      </c>
      <c r="D1044" t="s">
        <v>1179</v>
      </c>
    </row>
    <row r="1045" spans="1:4" hidden="1" x14ac:dyDescent="0.3">
      <c r="A1045" s="36">
        <v>30715002848</v>
      </c>
      <c r="B1045" t="s">
        <v>1187</v>
      </c>
      <c r="C1045" s="35" t="s">
        <v>783</v>
      </c>
      <c r="D1045" t="s">
        <v>1179</v>
      </c>
    </row>
    <row r="1046" spans="1:4" hidden="1" x14ac:dyDescent="0.3">
      <c r="A1046" s="36">
        <v>33708907869</v>
      </c>
      <c r="B1046" t="s">
        <v>1188</v>
      </c>
      <c r="C1046" s="35" t="s">
        <v>783</v>
      </c>
      <c r="D1046" t="s">
        <v>1189</v>
      </c>
    </row>
    <row r="1047" spans="1:4" hidden="1" x14ac:dyDescent="0.3">
      <c r="A1047" s="36">
        <v>30709459399</v>
      </c>
      <c r="B1047" t="s">
        <v>1190</v>
      </c>
      <c r="C1047" s="35" t="s">
        <v>783</v>
      </c>
      <c r="D1047" t="s">
        <v>1183</v>
      </c>
    </row>
    <row r="1048" spans="1:4" hidden="1" x14ac:dyDescent="0.3">
      <c r="A1048" s="36">
        <v>30707153142</v>
      </c>
      <c r="B1048" t="s">
        <v>1191</v>
      </c>
      <c r="C1048" s="35" t="s">
        <v>783</v>
      </c>
      <c r="D1048" t="s">
        <v>1179</v>
      </c>
    </row>
    <row r="1049" spans="1:4" hidden="1" x14ac:dyDescent="0.3">
      <c r="A1049" s="36">
        <v>30662533072</v>
      </c>
      <c r="B1049" t="s">
        <v>1192</v>
      </c>
      <c r="C1049" s="35" t="s">
        <v>783</v>
      </c>
      <c r="D1049" t="s">
        <v>1183</v>
      </c>
    </row>
    <row r="1050" spans="1:4" hidden="1" x14ac:dyDescent="0.3">
      <c r="A1050" s="36">
        <v>33711557119</v>
      </c>
      <c r="B1050" t="s">
        <v>1194</v>
      </c>
      <c r="C1050" s="35" t="s">
        <v>783</v>
      </c>
      <c r="D1050" t="s">
        <v>1179</v>
      </c>
    </row>
    <row r="1051" spans="1:4" hidden="1" x14ac:dyDescent="0.3">
      <c r="A1051" s="36">
        <v>30604413482</v>
      </c>
      <c r="B1051" t="s">
        <v>1195</v>
      </c>
    </row>
    <row r="1052" spans="1:4" hidden="1" x14ac:dyDescent="0.3">
      <c r="A1052" s="36">
        <v>20324025430</v>
      </c>
      <c r="B1052" t="s">
        <v>1196</v>
      </c>
    </row>
    <row r="1053" spans="1:4" hidden="1" x14ac:dyDescent="0.3">
      <c r="A1053" s="36">
        <v>20388544539</v>
      </c>
      <c r="B1053" t="s">
        <v>1197</v>
      </c>
    </row>
    <row r="1054" spans="1:4" hidden="1" x14ac:dyDescent="0.3">
      <c r="A1054" s="36">
        <v>30717153142</v>
      </c>
      <c r="B1054" t="s">
        <v>1198</v>
      </c>
    </row>
    <row r="1055" spans="1:4" hidden="1" x14ac:dyDescent="0.3">
      <c r="A1055" s="36">
        <v>33644262249</v>
      </c>
      <c r="B1055" t="s">
        <v>1199</v>
      </c>
    </row>
    <row r="1056" spans="1:4" hidden="1" x14ac:dyDescent="0.3">
      <c r="A1056" s="36">
        <v>23214737914</v>
      </c>
      <c r="B1056" t="s">
        <v>1200</v>
      </c>
    </row>
    <row r="1057" spans="1:2" hidden="1" x14ac:dyDescent="0.3">
      <c r="A1057" s="36">
        <v>20347495027</v>
      </c>
      <c r="B1057" t="s">
        <v>1201</v>
      </c>
    </row>
    <row r="1058" spans="1:2" hidden="1" x14ac:dyDescent="0.3">
      <c r="A1058" s="36">
        <v>30711744653</v>
      </c>
      <c r="B1058" t="s">
        <v>1204</v>
      </c>
    </row>
    <row r="1059" spans="1:2" hidden="1" x14ac:dyDescent="0.3">
      <c r="A1059" s="36">
        <v>30709173401</v>
      </c>
      <c r="B1059" t="s">
        <v>1205</v>
      </c>
    </row>
    <row r="1060" spans="1:2" hidden="1" x14ac:dyDescent="0.3">
      <c r="A1060" s="36">
        <v>20352108635</v>
      </c>
      <c r="B1060" t="s">
        <v>1206</v>
      </c>
    </row>
    <row r="1061" spans="1:2" hidden="1" x14ac:dyDescent="0.3">
      <c r="A1061" s="36">
        <v>20294907174</v>
      </c>
      <c r="B1061" t="s">
        <v>1207</v>
      </c>
    </row>
    <row r="1062" spans="1:2" hidden="1" x14ac:dyDescent="0.3">
      <c r="A1062" s="36">
        <v>30516336885</v>
      </c>
      <c r="B1062" t="s">
        <v>1208</v>
      </c>
    </row>
    <row r="1063" spans="1:2" hidden="1" x14ac:dyDescent="0.3">
      <c r="A1063" s="36">
        <v>20265834958</v>
      </c>
      <c r="B1063" t="s">
        <v>1209</v>
      </c>
    </row>
    <row r="1064" spans="1:2" hidden="1" x14ac:dyDescent="0.3">
      <c r="A1064" s="36">
        <v>20233272222</v>
      </c>
      <c r="B1064" t="s">
        <v>1210</v>
      </c>
    </row>
    <row r="1065" spans="1:2" hidden="1" x14ac:dyDescent="0.3">
      <c r="A1065" s="36">
        <v>30560477836</v>
      </c>
      <c r="B1065" t="s">
        <v>1211</v>
      </c>
    </row>
    <row r="1066" spans="1:2" hidden="1" x14ac:dyDescent="0.3">
      <c r="A1066" s="36">
        <v>30715544837</v>
      </c>
      <c r="B1066" t="s">
        <v>1212</v>
      </c>
    </row>
    <row r="1067" spans="1:2" hidden="1" x14ac:dyDescent="0.3">
      <c r="A1067" s="36">
        <v>30708992301</v>
      </c>
      <c r="B1067" t="s">
        <v>1213</v>
      </c>
    </row>
    <row r="1068" spans="1:2" hidden="1" x14ac:dyDescent="0.3">
      <c r="A1068" s="36">
        <v>20239395822</v>
      </c>
      <c r="B1068" t="s">
        <v>1214</v>
      </c>
    </row>
    <row r="1069" spans="1:2" hidden="1" x14ac:dyDescent="0.3">
      <c r="A1069" s="36">
        <v>23059002414</v>
      </c>
      <c r="B1069" t="s">
        <v>1215</v>
      </c>
    </row>
    <row r="1070" spans="1:2" hidden="1" x14ac:dyDescent="0.3">
      <c r="A1070" s="36">
        <v>30625482522</v>
      </c>
      <c r="B1070" t="s">
        <v>1216</v>
      </c>
    </row>
    <row r="1071" spans="1:2" hidden="1" x14ac:dyDescent="0.3">
      <c r="A1071" s="36">
        <v>30710964277</v>
      </c>
      <c r="B1071" t="s">
        <v>1217</v>
      </c>
    </row>
    <row r="1072" spans="1:2" hidden="1" x14ac:dyDescent="0.3">
      <c r="A1072" s="36">
        <v>55000000050</v>
      </c>
      <c r="B1072" t="s">
        <v>1218</v>
      </c>
    </row>
    <row r="1073" spans="1:2" hidden="1" x14ac:dyDescent="0.3">
      <c r="A1073" s="36">
        <v>30717260968</v>
      </c>
      <c r="B1073" t="s">
        <v>1219</v>
      </c>
    </row>
    <row r="1074" spans="1:2" hidden="1" x14ac:dyDescent="0.3">
      <c r="A1074" s="36">
        <v>30716006391</v>
      </c>
      <c r="B1074" t="s">
        <v>1225</v>
      </c>
    </row>
    <row r="1075" spans="1:2" hidden="1" x14ac:dyDescent="0.3">
      <c r="A1075" s="36">
        <v>30633765827</v>
      </c>
      <c r="B1075" t="s">
        <v>1226</v>
      </c>
    </row>
    <row r="1076" spans="1:2" hidden="1" x14ac:dyDescent="0.3">
      <c r="A1076" s="36">
        <v>30556911890</v>
      </c>
      <c r="B1076" t="s">
        <v>1227</v>
      </c>
    </row>
    <row r="1077" spans="1:2" hidden="1" x14ac:dyDescent="0.3">
      <c r="A1077" s="36">
        <v>30714928577</v>
      </c>
      <c r="B1077" t="s">
        <v>1228</v>
      </c>
    </row>
    <row r="1078" spans="1:2" hidden="1" x14ac:dyDescent="0.3">
      <c r="A1078" s="36">
        <v>30709256420</v>
      </c>
      <c r="B1078" t="s">
        <v>1229</v>
      </c>
    </row>
    <row r="1079" spans="1:2" hidden="1" x14ac:dyDescent="0.3">
      <c r="A1079" s="36">
        <v>23174046379</v>
      </c>
      <c r="B1079" t="s">
        <v>1230</v>
      </c>
    </row>
    <row r="1080" spans="1:2" hidden="1" x14ac:dyDescent="0.3">
      <c r="A1080" s="36">
        <v>30708003316</v>
      </c>
      <c r="B1080" t="s">
        <v>1231</v>
      </c>
    </row>
    <row r="1081" spans="1:2" hidden="1" x14ac:dyDescent="0.3">
      <c r="A1081" s="36">
        <v>20357275882</v>
      </c>
      <c r="B1081" t="s">
        <v>1232</v>
      </c>
    </row>
    <row r="1082" spans="1:2" hidden="1" x14ac:dyDescent="0.3">
      <c r="A1082" s="36">
        <v>27349373225</v>
      </c>
      <c r="B1082" t="s">
        <v>1233</v>
      </c>
    </row>
    <row r="1083" spans="1:2" hidden="1" x14ac:dyDescent="0.3">
      <c r="A1083" s="36">
        <v>30715209833</v>
      </c>
      <c r="B1083" t="s">
        <v>1234</v>
      </c>
    </row>
    <row r="1084" spans="1:2" hidden="1" x14ac:dyDescent="0.3">
      <c r="A1084" s="36">
        <v>23957768849</v>
      </c>
      <c r="B1084" t="s">
        <v>1235</v>
      </c>
    </row>
    <row r="1085" spans="1:2" hidden="1" x14ac:dyDescent="0.3">
      <c r="A1085" s="36">
        <v>30716831198</v>
      </c>
      <c r="B1085" t="s">
        <v>1236</v>
      </c>
    </row>
    <row r="1086" spans="1:2" hidden="1" x14ac:dyDescent="0.3">
      <c r="A1086" s="36">
        <v>20382910681</v>
      </c>
      <c r="B1086" t="s">
        <v>1237</v>
      </c>
    </row>
    <row r="1087" spans="1:2" hidden="1" x14ac:dyDescent="0.3">
      <c r="A1087" s="36">
        <v>30711713278</v>
      </c>
      <c r="B1087" t="s">
        <v>1238</v>
      </c>
    </row>
    <row r="1088" spans="1:2" hidden="1" x14ac:dyDescent="0.3">
      <c r="A1088" s="36">
        <v>30715216368</v>
      </c>
      <c r="B1088" t="s">
        <v>1239</v>
      </c>
    </row>
    <row r="1089" spans="1:2" hidden="1" x14ac:dyDescent="0.3">
      <c r="A1089" s="36">
        <v>23221796209</v>
      </c>
      <c r="B1089" t="s">
        <v>1240</v>
      </c>
    </row>
    <row r="1090" spans="1:2" hidden="1" x14ac:dyDescent="0.3">
      <c r="A1090" s="36">
        <v>30708693010</v>
      </c>
      <c r="B1090" t="s">
        <v>1241</v>
      </c>
    </row>
    <row r="1091" spans="1:2" hidden="1" x14ac:dyDescent="0.3">
      <c r="A1091" s="36">
        <v>30538068841</v>
      </c>
      <c r="B1091" t="s">
        <v>1244</v>
      </c>
    </row>
    <row r="1092" spans="1:2" hidden="1" x14ac:dyDescent="0.3">
      <c r="A1092" s="36">
        <v>30711816212</v>
      </c>
      <c r="B1092" t="s">
        <v>1245</v>
      </c>
    </row>
    <row r="1093" spans="1:2" hidden="1" x14ac:dyDescent="0.3">
      <c r="A1093" s="36">
        <v>30620415606</v>
      </c>
      <c r="B1093" t="s">
        <v>1250</v>
      </c>
    </row>
    <row r="1094" spans="1:2" hidden="1" x14ac:dyDescent="0.3">
      <c r="A1094" s="36">
        <v>20103565309</v>
      </c>
      <c r="B1094" t="s">
        <v>1251</v>
      </c>
    </row>
    <row r="1095" spans="1:2" hidden="1" x14ac:dyDescent="0.3">
      <c r="A1095" s="36">
        <v>30711569843</v>
      </c>
      <c r="B1095" t="s">
        <v>1252</v>
      </c>
    </row>
    <row r="1096" spans="1:2" hidden="1" x14ac:dyDescent="0.3">
      <c r="A1096" s="36">
        <v>33709302839</v>
      </c>
      <c r="B1096" t="s">
        <v>1253</v>
      </c>
    </row>
    <row r="1097" spans="1:2" hidden="1" x14ac:dyDescent="0.3">
      <c r="A1097" s="36">
        <v>30717406512</v>
      </c>
      <c r="B1097" t="s">
        <v>1254</v>
      </c>
    </row>
    <row r="1098" spans="1:2" hidden="1" x14ac:dyDescent="0.3">
      <c r="A1098" s="36">
        <v>30717393445</v>
      </c>
      <c r="B1098" t="s">
        <v>1255</v>
      </c>
    </row>
    <row r="1099" spans="1:2" hidden="1" x14ac:dyDescent="0.3">
      <c r="A1099" s="36">
        <v>30714977152</v>
      </c>
      <c r="B1099" t="s">
        <v>1256</v>
      </c>
    </row>
    <row r="1100" spans="1:2" hidden="1" x14ac:dyDescent="0.3">
      <c r="A1100" s="36">
        <v>30699144327</v>
      </c>
      <c r="B1100" t="s">
        <v>1257</v>
      </c>
    </row>
    <row r="1101" spans="1:2" hidden="1" x14ac:dyDescent="0.3">
      <c r="A1101" s="36">
        <v>30710571801</v>
      </c>
      <c r="B1101" t="s">
        <v>1258</v>
      </c>
    </row>
    <row r="1102" spans="1:2" hidden="1" x14ac:dyDescent="0.3">
      <c r="A1102" s="36">
        <v>23236786609</v>
      </c>
      <c r="B1102" t="s">
        <v>1259</v>
      </c>
    </row>
    <row r="1103" spans="1:2" hidden="1" x14ac:dyDescent="0.3">
      <c r="A1103" s="36">
        <v>30709581011</v>
      </c>
      <c r="B1103" t="s">
        <v>1260</v>
      </c>
    </row>
    <row r="1104" spans="1:2" hidden="1" x14ac:dyDescent="0.3">
      <c r="A1104" s="36">
        <v>20124583463</v>
      </c>
      <c r="B1104" t="s">
        <v>1261</v>
      </c>
    </row>
    <row r="1105" spans="1:3" hidden="1" x14ac:dyDescent="0.3">
      <c r="A1105" s="36">
        <v>30710548680</v>
      </c>
      <c r="B1105" t="s">
        <v>1263</v>
      </c>
    </row>
    <row r="1106" spans="1:3" hidden="1" x14ac:dyDescent="0.3">
      <c r="A1106" s="36">
        <v>30710878974</v>
      </c>
      <c r="B1106" t="s">
        <v>1264</v>
      </c>
    </row>
    <row r="1107" spans="1:3" hidden="1" x14ac:dyDescent="0.3">
      <c r="A1107" s="36">
        <v>30528214483</v>
      </c>
      <c r="B1107" t="s">
        <v>1265</v>
      </c>
    </row>
    <row r="1108" spans="1:3" hidden="1" x14ac:dyDescent="0.3">
      <c r="A1108" s="36">
        <v>30690966790</v>
      </c>
      <c r="B1108" t="s">
        <v>1266</v>
      </c>
    </row>
    <row r="1109" spans="1:3" hidden="1" x14ac:dyDescent="0.3">
      <c r="A1109" s="36">
        <v>30717261042</v>
      </c>
      <c r="B1109" t="s">
        <v>1267</v>
      </c>
    </row>
    <row r="1110" spans="1:3" hidden="1" x14ac:dyDescent="0.3">
      <c r="A1110" s="36">
        <v>20316849823</v>
      </c>
      <c r="B1110" t="s">
        <v>1268</v>
      </c>
    </row>
    <row r="1111" spans="1:3" hidden="1" x14ac:dyDescent="0.3">
      <c r="A1111" s="36">
        <v>27424730608</v>
      </c>
      <c r="B1111" t="s">
        <v>1269</v>
      </c>
    </row>
    <row r="1112" spans="1:3" hidden="1" x14ac:dyDescent="0.3">
      <c r="A1112" s="36">
        <v>30702073657</v>
      </c>
      <c r="B1112" t="s">
        <v>1270</v>
      </c>
    </row>
    <row r="1113" spans="1:3" hidden="1" x14ac:dyDescent="0.3">
      <c r="A1113" s="36">
        <v>30646938755</v>
      </c>
      <c r="B1113" t="s">
        <v>1271</v>
      </c>
    </row>
    <row r="1114" spans="1:3" hidden="1" x14ac:dyDescent="0.3">
      <c r="A1114" s="36">
        <v>33715793909</v>
      </c>
      <c r="B1114" t="s">
        <v>1272</v>
      </c>
    </row>
    <row r="1115" spans="1:3" hidden="1" x14ac:dyDescent="0.3">
      <c r="A1115" s="36">
        <v>30712325468</v>
      </c>
      <c r="B1115" t="s">
        <v>1273</v>
      </c>
    </row>
    <row r="1116" spans="1:3" hidden="1" x14ac:dyDescent="0.3">
      <c r="A1116" s="36">
        <v>30714481513</v>
      </c>
      <c r="B1116" t="s">
        <v>1274</v>
      </c>
    </row>
    <row r="1117" spans="1:3" hidden="1" x14ac:dyDescent="0.3">
      <c r="A1117" s="36">
        <v>20330173387</v>
      </c>
      <c r="B1117" t="s">
        <v>1275</v>
      </c>
      <c r="C1117" s="35" t="s">
        <v>788</v>
      </c>
    </row>
    <row r="1118" spans="1:3" hidden="1" x14ac:dyDescent="0.3">
      <c r="A1118" s="36">
        <v>27066610018</v>
      </c>
      <c r="B1118" t="s">
        <v>1278</v>
      </c>
    </row>
    <row r="1119" spans="1:3" hidden="1" x14ac:dyDescent="0.3">
      <c r="A1119" s="36">
        <v>30714356360</v>
      </c>
      <c r="B1119" t="s">
        <v>1279</v>
      </c>
    </row>
    <row r="1120" spans="1:3" hidden="1" x14ac:dyDescent="0.3">
      <c r="A1120" s="36">
        <v>20282837472</v>
      </c>
      <c r="B1120" t="s">
        <v>1280</v>
      </c>
    </row>
    <row r="1121" spans="1:2" hidden="1" x14ac:dyDescent="0.3">
      <c r="A1121" s="36">
        <v>30684105597</v>
      </c>
      <c r="B1121" t="s">
        <v>1281</v>
      </c>
    </row>
    <row r="1122" spans="1:2" hidden="1" x14ac:dyDescent="0.3">
      <c r="A1122" s="36">
        <v>27948597298</v>
      </c>
      <c r="B1122" t="s">
        <v>1282</v>
      </c>
    </row>
    <row r="1123" spans="1:2" hidden="1" x14ac:dyDescent="0.3">
      <c r="A1123" s="36">
        <v>30696170580</v>
      </c>
      <c r="B1123" t="s">
        <v>1283</v>
      </c>
    </row>
    <row r="1124" spans="1:2" hidden="1" x14ac:dyDescent="0.3">
      <c r="A1124" s="36">
        <v>30715357255</v>
      </c>
      <c r="B1124" t="s">
        <v>1284</v>
      </c>
    </row>
    <row r="1125" spans="1:2" hidden="1" x14ac:dyDescent="0.3">
      <c r="A1125" s="36">
        <v>55000002053</v>
      </c>
      <c r="B1125" t="s">
        <v>1285</v>
      </c>
    </row>
    <row r="1126" spans="1:2" hidden="1" x14ac:dyDescent="0.3">
      <c r="A1126" s="36">
        <v>55000002053</v>
      </c>
      <c r="B1126" t="s">
        <v>1286</v>
      </c>
    </row>
    <row r="1127" spans="1:2" hidden="1" x14ac:dyDescent="0.3">
      <c r="A1127" s="36">
        <v>30520201048</v>
      </c>
      <c r="B1127" t="s">
        <v>1291</v>
      </c>
    </row>
    <row r="1128" spans="1:2" hidden="1" x14ac:dyDescent="0.3">
      <c r="A1128" s="36">
        <v>30712222499</v>
      </c>
      <c r="B1128" t="s">
        <v>1294</v>
      </c>
    </row>
    <row r="1129" spans="1:2" hidden="1" x14ac:dyDescent="0.3">
      <c r="A1129" s="36">
        <v>30683088907</v>
      </c>
      <c r="B1129" t="s">
        <v>1295</v>
      </c>
    </row>
    <row r="1130" spans="1:2" hidden="1" x14ac:dyDescent="0.3">
      <c r="A1130" s="36">
        <v>27332519633</v>
      </c>
      <c r="B1130" t="s">
        <v>1296</v>
      </c>
    </row>
    <row r="1131" spans="1:2" hidden="1" x14ac:dyDescent="0.3">
      <c r="A1131" s="36">
        <v>27924079008</v>
      </c>
      <c r="B1131" t="s">
        <v>1297</v>
      </c>
    </row>
    <row r="1132" spans="1:2" hidden="1" x14ac:dyDescent="0.3">
      <c r="A1132" s="36">
        <v>33715587969</v>
      </c>
      <c r="B1132" t="s">
        <v>1298</v>
      </c>
    </row>
    <row r="1133" spans="1:2" hidden="1" x14ac:dyDescent="0.3">
      <c r="A1133" s="36">
        <v>30609968792</v>
      </c>
      <c r="B1133" t="s">
        <v>1299</v>
      </c>
    </row>
    <row r="1134" spans="1:2" hidden="1" x14ac:dyDescent="0.3">
      <c r="A1134" s="36">
        <v>20254823105</v>
      </c>
      <c r="B1134" t="s">
        <v>1313</v>
      </c>
    </row>
    <row r="1135" spans="1:2" hidden="1" x14ac:dyDescent="0.3">
      <c r="A1135" s="36">
        <v>27925308884</v>
      </c>
      <c r="B1135" t="s">
        <v>1314</v>
      </c>
    </row>
    <row r="1136" spans="1:2" hidden="1" x14ac:dyDescent="0.3">
      <c r="A1136" s="36">
        <v>30716872463</v>
      </c>
      <c r="B1136" t="s">
        <v>1324</v>
      </c>
    </row>
    <row r="1137" spans="1:2" hidden="1" x14ac:dyDescent="0.3">
      <c r="A1137" s="36">
        <v>30586172308</v>
      </c>
      <c r="B1137" t="s">
        <v>1325</v>
      </c>
    </row>
    <row r="1138" spans="1:2" hidden="1" x14ac:dyDescent="0.3">
      <c r="A1138" s="36">
        <v>20214656575</v>
      </c>
      <c r="B1138" t="s">
        <v>1326</v>
      </c>
    </row>
    <row r="1139" spans="1:2" hidden="1" x14ac:dyDescent="0.3">
      <c r="A1139" s="36">
        <v>30615304944</v>
      </c>
      <c r="B1139" t="s">
        <v>1327</v>
      </c>
    </row>
    <row r="1140" spans="1:2" hidden="1" x14ac:dyDescent="0.3">
      <c r="A1140" s="36">
        <v>30717518566</v>
      </c>
      <c r="B1140" t="s">
        <v>1328</v>
      </c>
    </row>
    <row r="1141" spans="1:2" hidden="1" x14ac:dyDescent="0.3">
      <c r="A1141" s="36">
        <v>33718184989</v>
      </c>
      <c r="B1141" t="s">
        <v>1329</v>
      </c>
    </row>
    <row r="1142" spans="1:2" hidden="1" x14ac:dyDescent="0.3">
      <c r="A1142" s="36">
        <v>30715368346</v>
      </c>
      <c r="B1142" t="s">
        <v>1330</v>
      </c>
    </row>
    <row r="1143" spans="1:2" hidden="1" x14ac:dyDescent="0.3">
      <c r="A1143" s="36">
        <v>24273099685</v>
      </c>
      <c r="B1143" t="s">
        <v>1333</v>
      </c>
    </row>
    <row r="1144" spans="1:2" hidden="1" x14ac:dyDescent="0.3">
      <c r="A1144" s="36">
        <v>27329924713</v>
      </c>
      <c r="B1144" t="s">
        <v>1334</v>
      </c>
    </row>
    <row r="1145" spans="1:2" hidden="1" x14ac:dyDescent="0.3">
      <c r="A1145" s="36">
        <v>30711379246</v>
      </c>
      <c r="B1145" t="s">
        <v>1335</v>
      </c>
    </row>
    <row r="1146" spans="1:2" hidden="1" x14ac:dyDescent="0.3">
      <c r="A1146" s="36">
        <v>20161299937</v>
      </c>
      <c r="B1146" t="s">
        <v>1336</v>
      </c>
    </row>
    <row r="1147" spans="1:2" hidden="1" x14ac:dyDescent="0.3">
      <c r="A1147" s="36">
        <v>20181426846</v>
      </c>
      <c r="B1147" t="s">
        <v>1337</v>
      </c>
    </row>
    <row r="1148" spans="1:2" hidden="1" x14ac:dyDescent="0.3">
      <c r="A1148" s="36">
        <v>30716091216</v>
      </c>
      <c r="B1148" t="s">
        <v>1338</v>
      </c>
    </row>
    <row r="1149" spans="1:2" hidden="1" x14ac:dyDescent="0.3">
      <c r="A1149" s="36">
        <v>23136956159</v>
      </c>
      <c r="B1149" t="s">
        <v>1339</v>
      </c>
    </row>
    <row r="1150" spans="1:2" hidden="1" x14ac:dyDescent="0.3">
      <c r="A1150" s="36">
        <v>33716493119</v>
      </c>
      <c r="B1150" t="s">
        <v>1340</v>
      </c>
    </row>
    <row r="1151" spans="1:2" hidden="1" x14ac:dyDescent="0.3">
      <c r="A1151" s="36">
        <v>20357254435</v>
      </c>
      <c r="B1151" t="s">
        <v>1341</v>
      </c>
    </row>
    <row r="1152" spans="1:2" hidden="1" x14ac:dyDescent="0.3">
      <c r="A1152" s="36">
        <v>30715162497</v>
      </c>
      <c r="B1152" t="s">
        <v>1342</v>
      </c>
    </row>
    <row r="1153" spans="1:2" hidden="1" x14ac:dyDescent="0.3">
      <c r="A1153" s="36">
        <v>30707591168</v>
      </c>
      <c r="B1153" t="s">
        <v>1343</v>
      </c>
    </row>
    <row r="1154" spans="1:2" hidden="1" x14ac:dyDescent="0.3">
      <c r="A1154" s="36">
        <v>30710585411</v>
      </c>
      <c r="B1154" t="s">
        <v>1344</v>
      </c>
    </row>
    <row r="1155" spans="1:2" hidden="1" x14ac:dyDescent="0.3">
      <c r="A1155" s="36">
        <v>20279429347</v>
      </c>
      <c r="B1155" t="s">
        <v>1345</v>
      </c>
    </row>
    <row r="1156" spans="1:2" hidden="1" x14ac:dyDescent="0.3">
      <c r="A1156" s="36">
        <v>20341013691</v>
      </c>
      <c r="B1156" t="s">
        <v>1347</v>
      </c>
    </row>
    <row r="1157" spans="1:2" hidden="1" x14ac:dyDescent="0.3">
      <c r="A1157" s="36">
        <v>23205683399</v>
      </c>
      <c r="B1157" t="s">
        <v>1348</v>
      </c>
    </row>
    <row r="1158" spans="1:2" hidden="1" x14ac:dyDescent="0.3">
      <c r="A1158" s="36">
        <v>30624684628</v>
      </c>
      <c r="B1158" t="s">
        <v>1349</v>
      </c>
    </row>
    <row r="1159" spans="1:2" hidden="1" x14ac:dyDescent="0.3">
      <c r="A1159" s="36">
        <v>27325155804</v>
      </c>
      <c r="B1159" t="s">
        <v>1350</v>
      </c>
    </row>
    <row r="1160" spans="1:2" hidden="1" x14ac:dyDescent="0.3">
      <c r="A1160" s="36">
        <v>30711379521</v>
      </c>
      <c r="B1160" t="s">
        <v>1351</v>
      </c>
    </row>
    <row r="1161" spans="1:2" hidden="1" x14ac:dyDescent="0.3">
      <c r="A1161" s="36">
        <v>30707468161</v>
      </c>
      <c r="B1161" t="s">
        <v>1352</v>
      </c>
    </row>
    <row r="1162" spans="1:2" hidden="1" x14ac:dyDescent="0.3">
      <c r="A1162" s="36">
        <v>30717193926</v>
      </c>
      <c r="B1162" t="s">
        <v>1353</v>
      </c>
    </row>
    <row r="1163" spans="1:2" hidden="1" x14ac:dyDescent="0.3">
      <c r="A1163" s="36">
        <v>30710184816</v>
      </c>
      <c r="B1163" t="s">
        <v>1354</v>
      </c>
    </row>
    <row r="1164" spans="1:2" hidden="1" x14ac:dyDescent="0.3">
      <c r="A1164" s="36">
        <v>33711308429</v>
      </c>
      <c r="B1164" t="s">
        <v>1355</v>
      </c>
    </row>
    <row r="1165" spans="1:2" hidden="1" x14ac:dyDescent="0.3">
      <c r="A1165" s="36">
        <v>30692857611</v>
      </c>
      <c r="B1165" t="s">
        <v>1356</v>
      </c>
    </row>
    <row r="1166" spans="1:2" hidden="1" x14ac:dyDescent="0.3">
      <c r="A1166" s="36">
        <v>20413948968</v>
      </c>
      <c r="B1166" t="s">
        <v>1357</v>
      </c>
    </row>
    <row r="1167" spans="1:2" hidden="1" x14ac:dyDescent="0.3">
      <c r="A1167" s="36">
        <v>30559088923</v>
      </c>
      <c r="B1167" t="s">
        <v>1358</v>
      </c>
    </row>
    <row r="1168" spans="1:2" hidden="1" x14ac:dyDescent="0.3">
      <c r="A1168" s="36">
        <v>20228469492</v>
      </c>
      <c r="B1168" t="s">
        <v>1359</v>
      </c>
    </row>
    <row r="1169" spans="1:2" hidden="1" x14ac:dyDescent="0.3">
      <c r="A1169" s="36">
        <v>27330645356</v>
      </c>
      <c r="B1169" t="s">
        <v>1361</v>
      </c>
    </row>
    <row r="1170" spans="1:2" hidden="1" x14ac:dyDescent="0.3">
      <c r="A1170" s="36">
        <v>23118167279</v>
      </c>
      <c r="B1170" t="s">
        <v>1362</v>
      </c>
    </row>
    <row r="1171" spans="1:2" hidden="1" x14ac:dyDescent="0.3">
      <c r="A1171" s="36">
        <v>30646811062</v>
      </c>
      <c r="B1171" t="s">
        <v>1363</v>
      </c>
    </row>
    <row r="1172" spans="1:2" hidden="1" x14ac:dyDescent="0.3">
      <c r="A1172" s="36">
        <v>30715819461</v>
      </c>
      <c r="B1172" t="s">
        <v>1364</v>
      </c>
    </row>
    <row r="1173" spans="1:2" hidden="1" x14ac:dyDescent="0.3">
      <c r="A1173" s="36">
        <v>27366871336</v>
      </c>
      <c r="B1173" t="s">
        <v>1365</v>
      </c>
    </row>
    <row r="1174" spans="1:2" hidden="1" x14ac:dyDescent="0.3">
      <c r="A1174" s="36">
        <v>30716067889</v>
      </c>
      <c r="B1174" t="s">
        <v>1366</v>
      </c>
    </row>
    <row r="1175" spans="1:2" hidden="1" x14ac:dyDescent="0.3">
      <c r="A1175" s="36">
        <v>20162261259</v>
      </c>
      <c r="B1175" t="s">
        <v>1367</v>
      </c>
    </row>
    <row r="1176" spans="1:2" hidden="1" x14ac:dyDescent="0.3">
      <c r="A1176" s="36">
        <v>30717763692</v>
      </c>
      <c r="B1176" t="s">
        <v>1368</v>
      </c>
    </row>
    <row r="1177" spans="1:2" hidden="1" x14ac:dyDescent="0.3">
      <c r="A1177" s="36">
        <v>30695056342</v>
      </c>
      <c r="B1177" t="s">
        <v>1369</v>
      </c>
    </row>
    <row r="1178" spans="1:2" hidden="1" x14ac:dyDescent="0.3">
      <c r="A1178" s="36">
        <v>30716553112</v>
      </c>
      <c r="B1178" t="s">
        <v>1372</v>
      </c>
    </row>
    <row r="1179" spans="1:2" hidden="1" x14ac:dyDescent="0.3">
      <c r="A1179" s="36"/>
    </row>
    <row r="1180" spans="1:2" hidden="1" x14ac:dyDescent="0.3">
      <c r="A1180" s="36"/>
    </row>
    <row r="1181" spans="1:2" hidden="1" x14ac:dyDescent="0.3">
      <c r="A1181" s="36"/>
    </row>
    <row r="1182" spans="1:2" hidden="1" x14ac:dyDescent="0.3">
      <c r="A1182" s="36"/>
    </row>
    <row r="1183" spans="1:2" hidden="1" x14ac:dyDescent="0.3">
      <c r="A1183" s="36"/>
    </row>
    <row r="1184" spans="1:2" hidden="1" x14ac:dyDescent="0.3">
      <c r="A1184" s="36"/>
    </row>
    <row r="1185" spans="1:1" hidden="1" x14ac:dyDescent="0.3">
      <c r="A1185" s="36"/>
    </row>
    <row r="1186" spans="1:1" hidden="1" x14ac:dyDescent="0.3">
      <c r="A1186" s="36"/>
    </row>
    <row r="1187" spans="1:1" hidden="1" x14ac:dyDescent="0.3">
      <c r="A1187" s="36"/>
    </row>
    <row r="1188" spans="1:1" hidden="1" x14ac:dyDescent="0.3">
      <c r="A1188" s="36"/>
    </row>
    <row r="1189" spans="1:1" hidden="1" x14ac:dyDescent="0.3">
      <c r="A1189" s="36"/>
    </row>
    <row r="1190" spans="1:1" hidden="1" x14ac:dyDescent="0.3">
      <c r="A1190" s="36"/>
    </row>
    <row r="1191" spans="1:1" hidden="1" x14ac:dyDescent="0.3">
      <c r="A1191" s="36"/>
    </row>
    <row r="1192" spans="1:1" hidden="1" x14ac:dyDescent="0.3">
      <c r="A1192" s="36"/>
    </row>
    <row r="1193" spans="1:1" hidden="1" x14ac:dyDescent="0.3">
      <c r="A1193" s="36"/>
    </row>
    <row r="1194" spans="1:1" hidden="1" x14ac:dyDescent="0.3">
      <c r="A1194" s="36"/>
    </row>
    <row r="1195" spans="1:1" hidden="1" x14ac:dyDescent="0.3">
      <c r="A1195" s="36"/>
    </row>
    <row r="1196" spans="1:1" hidden="1" x14ac:dyDescent="0.3">
      <c r="A1196" s="36"/>
    </row>
    <row r="1197" spans="1:1" hidden="1" x14ac:dyDescent="0.3">
      <c r="A1197" s="36"/>
    </row>
    <row r="1198" spans="1:1" hidden="1" x14ac:dyDescent="0.3">
      <c r="A1198" s="36"/>
    </row>
    <row r="1199" spans="1:1" hidden="1" x14ac:dyDescent="0.3">
      <c r="A1199" s="36"/>
    </row>
    <row r="1200" spans="1:1" hidden="1" x14ac:dyDescent="0.3">
      <c r="A1200" s="36"/>
    </row>
    <row r="1201" spans="1:1" hidden="1" x14ac:dyDescent="0.3">
      <c r="A1201" s="36"/>
    </row>
    <row r="1202" spans="1:1" hidden="1" x14ac:dyDescent="0.3">
      <c r="A1202" s="36"/>
    </row>
    <row r="1203" spans="1:1" hidden="1" x14ac:dyDescent="0.3">
      <c r="A1203" s="36"/>
    </row>
    <row r="1204" spans="1:1" hidden="1" x14ac:dyDescent="0.3">
      <c r="A1204" s="36"/>
    </row>
    <row r="1205" spans="1:1" hidden="1" x14ac:dyDescent="0.3">
      <c r="A1205" s="36"/>
    </row>
    <row r="1206" spans="1:1" hidden="1" x14ac:dyDescent="0.3">
      <c r="A1206" s="36"/>
    </row>
    <row r="1207" spans="1:1" hidden="1" x14ac:dyDescent="0.3">
      <c r="A1207" s="36"/>
    </row>
    <row r="1208" spans="1:1" hidden="1" x14ac:dyDescent="0.3">
      <c r="A1208" s="36"/>
    </row>
    <row r="1209" spans="1:1" hidden="1" x14ac:dyDescent="0.3">
      <c r="A1209" s="36"/>
    </row>
    <row r="1210" spans="1:1" hidden="1" x14ac:dyDescent="0.3">
      <c r="A1210" s="36"/>
    </row>
    <row r="1211" spans="1:1" hidden="1" x14ac:dyDescent="0.3">
      <c r="A1211" s="36"/>
    </row>
    <row r="1212" spans="1:1" hidden="1" x14ac:dyDescent="0.3">
      <c r="A1212" s="36"/>
    </row>
    <row r="1213" spans="1:1" hidden="1" x14ac:dyDescent="0.3">
      <c r="A1213" s="36"/>
    </row>
    <row r="1214" spans="1:1" hidden="1" x14ac:dyDescent="0.3">
      <c r="A1214" s="36"/>
    </row>
    <row r="1215" spans="1:1" hidden="1" x14ac:dyDescent="0.3">
      <c r="A1215" s="36"/>
    </row>
    <row r="1216" spans="1:1" hidden="1" x14ac:dyDescent="0.3">
      <c r="A1216" s="36"/>
    </row>
    <row r="1217" spans="1:1" hidden="1" x14ac:dyDescent="0.3">
      <c r="A1217" s="36"/>
    </row>
    <row r="1218" spans="1:1" hidden="1" x14ac:dyDescent="0.3">
      <c r="A1218" s="36"/>
    </row>
    <row r="1219" spans="1:1" hidden="1" x14ac:dyDescent="0.3">
      <c r="A1219" s="36"/>
    </row>
    <row r="1220" spans="1:1" hidden="1" x14ac:dyDescent="0.3">
      <c r="A1220" s="36"/>
    </row>
    <row r="1221" spans="1:1" hidden="1" x14ac:dyDescent="0.3">
      <c r="A1221" s="36"/>
    </row>
    <row r="1222" spans="1:1" hidden="1" x14ac:dyDescent="0.3">
      <c r="A1222" s="36"/>
    </row>
    <row r="1223" spans="1:1" hidden="1" x14ac:dyDescent="0.3">
      <c r="A1223" s="36"/>
    </row>
    <row r="1224" spans="1:1" hidden="1" x14ac:dyDescent="0.3">
      <c r="A1224" s="36"/>
    </row>
    <row r="1225" spans="1:1" hidden="1" x14ac:dyDescent="0.3">
      <c r="A1225" s="36"/>
    </row>
    <row r="1226" spans="1:1" hidden="1" x14ac:dyDescent="0.3">
      <c r="A1226" s="36"/>
    </row>
    <row r="1227" spans="1:1" hidden="1" x14ac:dyDescent="0.3">
      <c r="A1227" s="36"/>
    </row>
    <row r="1228" spans="1:1" hidden="1" x14ac:dyDescent="0.3">
      <c r="A1228" s="36"/>
    </row>
    <row r="1229" spans="1:1" hidden="1" x14ac:dyDescent="0.3">
      <c r="A1229" s="36"/>
    </row>
    <row r="1230" spans="1:1" hidden="1" x14ac:dyDescent="0.3">
      <c r="A1230" s="36"/>
    </row>
    <row r="1231" spans="1:1" hidden="1" x14ac:dyDescent="0.3">
      <c r="A1231" s="36"/>
    </row>
    <row r="1232" spans="1:1" hidden="1" x14ac:dyDescent="0.3">
      <c r="A1232" s="36"/>
    </row>
    <row r="1233" spans="1:1" hidden="1" x14ac:dyDescent="0.3">
      <c r="A1233" s="36"/>
    </row>
    <row r="1234" spans="1:1" hidden="1" x14ac:dyDescent="0.3">
      <c r="A1234" s="36"/>
    </row>
    <row r="1235" spans="1:1" hidden="1" x14ac:dyDescent="0.3">
      <c r="A1235" s="36"/>
    </row>
    <row r="1236" spans="1:1" hidden="1" x14ac:dyDescent="0.3">
      <c r="A1236" s="36"/>
    </row>
    <row r="1237" spans="1:1" hidden="1" x14ac:dyDescent="0.3">
      <c r="A1237" s="36"/>
    </row>
    <row r="1238" spans="1:1" hidden="1" x14ac:dyDescent="0.3">
      <c r="A1238" s="36"/>
    </row>
    <row r="1239" spans="1:1" hidden="1" x14ac:dyDescent="0.3">
      <c r="A1239" s="36"/>
    </row>
    <row r="1240" spans="1:1" hidden="1" x14ac:dyDescent="0.3">
      <c r="A1240" s="36"/>
    </row>
    <row r="1241" spans="1:1" hidden="1" x14ac:dyDescent="0.3">
      <c r="A1241" s="36"/>
    </row>
    <row r="1242" spans="1:1" hidden="1" x14ac:dyDescent="0.3">
      <c r="A1242" s="36"/>
    </row>
    <row r="1243" spans="1:1" hidden="1" x14ac:dyDescent="0.3">
      <c r="A1243" s="36"/>
    </row>
    <row r="1244" spans="1:1" hidden="1" x14ac:dyDescent="0.3">
      <c r="A1244" s="36"/>
    </row>
    <row r="1245" spans="1:1" hidden="1" x14ac:dyDescent="0.3">
      <c r="A1245" s="36"/>
    </row>
    <row r="1246" spans="1:1" hidden="1" x14ac:dyDescent="0.3">
      <c r="A1246" s="36"/>
    </row>
    <row r="1247" spans="1:1" hidden="1" x14ac:dyDescent="0.3">
      <c r="A1247" s="36"/>
    </row>
    <row r="1248" spans="1:1" hidden="1" x14ac:dyDescent="0.3">
      <c r="A1248" s="36"/>
    </row>
    <row r="1249" spans="1:1" hidden="1" x14ac:dyDescent="0.3">
      <c r="A1249" s="36"/>
    </row>
    <row r="1250" spans="1:1" hidden="1" x14ac:dyDescent="0.3">
      <c r="A1250" s="36"/>
    </row>
    <row r="1251" spans="1:1" hidden="1" x14ac:dyDescent="0.3">
      <c r="A1251" s="36"/>
    </row>
    <row r="1252" spans="1:1" hidden="1" x14ac:dyDescent="0.3">
      <c r="A1252" s="36"/>
    </row>
    <row r="1253" spans="1:1" hidden="1" x14ac:dyDescent="0.3">
      <c r="A1253" s="36"/>
    </row>
    <row r="1254" spans="1:1" hidden="1" x14ac:dyDescent="0.3">
      <c r="A1254" s="36"/>
    </row>
    <row r="1255" spans="1:1" hidden="1" x14ac:dyDescent="0.3">
      <c r="A1255" s="36"/>
    </row>
    <row r="1256" spans="1:1" hidden="1" x14ac:dyDescent="0.3">
      <c r="A1256" s="36"/>
    </row>
    <row r="1257" spans="1:1" hidden="1" x14ac:dyDescent="0.3">
      <c r="A1257" s="36"/>
    </row>
    <row r="1258" spans="1:1" hidden="1" x14ac:dyDescent="0.3">
      <c r="A1258" s="36"/>
    </row>
    <row r="1259" spans="1:1" hidden="1" x14ac:dyDescent="0.3">
      <c r="A1259" s="36"/>
    </row>
    <row r="1260" spans="1:1" hidden="1" x14ac:dyDescent="0.3">
      <c r="A1260" s="36"/>
    </row>
    <row r="1261" spans="1:1" hidden="1" x14ac:dyDescent="0.3">
      <c r="A1261" s="36"/>
    </row>
    <row r="1262" spans="1:1" hidden="1" x14ac:dyDescent="0.3">
      <c r="A1262" s="36"/>
    </row>
    <row r="1263" spans="1:1" hidden="1" x14ac:dyDescent="0.3">
      <c r="A1263" s="36"/>
    </row>
    <row r="1264" spans="1:1" hidden="1" x14ac:dyDescent="0.3">
      <c r="A1264" s="36"/>
    </row>
    <row r="1265" spans="1:1" hidden="1" x14ac:dyDescent="0.3">
      <c r="A1265" s="36"/>
    </row>
    <row r="1266" spans="1:1" hidden="1" x14ac:dyDescent="0.3">
      <c r="A1266" s="36"/>
    </row>
    <row r="1267" spans="1:1" hidden="1" x14ac:dyDescent="0.3">
      <c r="A1267" s="36"/>
    </row>
    <row r="1268" spans="1:1" hidden="1" x14ac:dyDescent="0.3">
      <c r="A1268" s="36"/>
    </row>
    <row r="1269" spans="1:1" hidden="1" x14ac:dyDescent="0.3">
      <c r="A1269" s="36"/>
    </row>
    <row r="1270" spans="1:1" hidden="1" x14ac:dyDescent="0.3">
      <c r="A1270" s="36"/>
    </row>
    <row r="1271" spans="1:1" hidden="1" x14ac:dyDescent="0.3">
      <c r="A1271" s="36"/>
    </row>
    <row r="1272" spans="1:1" hidden="1" x14ac:dyDescent="0.3">
      <c r="A1272" s="36"/>
    </row>
    <row r="1273" spans="1:1" hidden="1" x14ac:dyDescent="0.3">
      <c r="A1273" s="36"/>
    </row>
    <row r="1274" spans="1:1" hidden="1" x14ac:dyDescent="0.3">
      <c r="A1274" s="36"/>
    </row>
    <row r="1275" spans="1:1" hidden="1" x14ac:dyDescent="0.3">
      <c r="A1275" s="36"/>
    </row>
    <row r="1276" spans="1:1" hidden="1" x14ac:dyDescent="0.3">
      <c r="A1276" s="36"/>
    </row>
    <row r="1277" spans="1:1" hidden="1" x14ac:dyDescent="0.3">
      <c r="A1277" s="36"/>
    </row>
    <row r="1278" spans="1:1" hidden="1" x14ac:dyDescent="0.3">
      <c r="A1278" s="36"/>
    </row>
    <row r="1279" spans="1:1" hidden="1" x14ac:dyDescent="0.3">
      <c r="A1279" s="36"/>
    </row>
    <row r="1280" spans="1:1" hidden="1" x14ac:dyDescent="0.3">
      <c r="A1280" s="36"/>
    </row>
    <row r="1281" spans="1:1" hidden="1" x14ac:dyDescent="0.3">
      <c r="A1281" s="36"/>
    </row>
    <row r="1282" spans="1:1" hidden="1" x14ac:dyDescent="0.3">
      <c r="A1282" s="36"/>
    </row>
    <row r="1283" spans="1:1" hidden="1" x14ac:dyDescent="0.3">
      <c r="A1283" s="36"/>
    </row>
    <row r="1284" spans="1:1" hidden="1" x14ac:dyDescent="0.3">
      <c r="A1284" s="36"/>
    </row>
    <row r="1285" spans="1:1" hidden="1" x14ac:dyDescent="0.3">
      <c r="A1285" s="36"/>
    </row>
    <row r="1286" spans="1:1" hidden="1" x14ac:dyDescent="0.3">
      <c r="A1286" s="36"/>
    </row>
    <row r="1287" spans="1:1" hidden="1" x14ac:dyDescent="0.3">
      <c r="A1287" s="36"/>
    </row>
    <row r="1288" spans="1:1" hidden="1" x14ac:dyDescent="0.3">
      <c r="A1288" s="36"/>
    </row>
    <row r="1289" spans="1:1" hidden="1" x14ac:dyDescent="0.3">
      <c r="A1289" s="36"/>
    </row>
    <row r="1290" spans="1:1" hidden="1" x14ac:dyDescent="0.3">
      <c r="A1290" s="36"/>
    </row>
    <row r="1291" spans="1:1" hidden="1" x14ac:dyDescent="0.3">
      <c r="A1291" s="36"/>
    </row>
    <row r="1292" spans="1:1" hidden="1" x14ac:dyDescent="0.3">
      <c r="A1292" s="36"/>
    </row>
    <row r="1293" spans="1:1" hidden="1" x14ac:dyDescent="0.3">
      <c r="A1293" s="36"/>
    </row>
    <row r="1294" spans="1:1" hidden="1" x14ac:dyDescent="0.3">
      <c r="A1294" s="36"/>
    </row>
    <row r="1295" spans="1:1" hidden="1" x14ac:dyDescent="0.3">
      <c r="A1295" s="36"/>
    </row>
    <row r="1296" spans="1:1" hidden="1" x14ac:dyDescent="0.3">
      <c r="A1296" s="36"/>
    </row>
    <row r="1297" spans="1:1" hidden="1" x14ac:dyDescent="0.3">
      <c r="A1297" s="36"/>
    </row>
    <row r="1298" spans="1:1" hidden="1" x14ac:dyDescent="0.3">
      <c r="A1298" s="36"/>
    </row>
    <row r="1299" spans="1:1" hidden="1" x14ac:dyDescent="0.3">
      <c r="A1299" s="36"/>
    </row>
    <row r="1300" spans="1:1" hidden="1" x14ac:dyDescent="0.3">
      <c r="A1300" s="36"/>
    </row>
    <row r="1301" spans="1:1" hidden="1" x14ac:dyDescent="0.3">
      <c r="A1301" s="36"/>
    </row>
    <row r="1302" spans="1:1" hidden="1" x14ac:dyDescent="0.3">
      <c r="A1302" s="36"/>
    </row>
    <row r="1303" spans="1:1" hidden="1" x14ac:dyDescent="0.3">
      <c r="A1303" s="36"/>
    </row>
    <row r="1304" spans="1:1" hidden="1" x14ac:dyDescent="0.3">
      <c r="A1304" s="36"/>
    </row>
    <row r="1305" spans="1:1" hidden="1" x14ac:dyDescent="0.3">
      <c r="A1305" s="36"/>
    </row>
    <row r="1306" spans="1:1" hidden="1" x14ac:dyDescent="0.3">
      <c r="A1306" s="36"/>
    </row>
    <row r="1307" spans="1:1" hidden="1" x14ac:dyDescent="0.3">
      <c r="A1307" s="36"/>
    </row>
    <row r="1308" spans="1:1" hidden="1" x14ac:dyDescent="0.3">
      <c r="A1308" s="36"/>
    </row>
    <row r="1309" spans="1:1" hidden="1" x14ac:dyDescent="0.3">
      <c r="A1309" s="36"/>
    </row>
    <row r="1310" spans="1:1" hidden="1" x14ac:dyDescent="0.3">
      <c r="A1310" s="36"/>
    </row>
    <row r="1311" spans="1:1" hidden="1" x14ac:dyDescent="0.3">
      <c r="A1311" s="36"/>
    </row>
    <row r="1312" spans="1:1" hidden="1" x14ac:dyDescent="0.3">
      <c r="A1312" s="36"/>
    </row>
    <row r="1313" spans="1:1" hidden="1" x14ac:dyDescent="0.3">
      <c r="A1313" s="36"/>
    </row>
    <row r="1314" spans="1:1" hidden="1" x14ac:dyDescent="0.3">
      <c r="A1314" s="36"/>
    </row>
    <row r="1315" spans="1:1" hidden="1" x14ac:dyDescent="0.3">
      <c r="A1315" s="36"/>
    </row>
    <row r="1316" spans="1:1" hidden="1" x14ac:dyDescent="0.3">
      <c r="A1316" s="36"/>
    </row>
    <row r="1317" spans="1:1" hidden="1" x14ac:dyDescent="0.3">
      <c r="A1317" s="36"/>
    </row>
    <row r="1318" spans="1:1" hidden="1" x14ac:dyDescent="0.3">
      <c r="A1318" s="36"/>
    </row>
    <row r="1319" spans="1:1" hidden="1" x14ac:dyDescent="0.3">
      <c r="A1319" s="36"/>
    </row>
    <row r="1320" spans="1:1" hidden="1" x14ac:dyDescent="0.3">
      <c r="A1320" s="36"/>
    </row>
    <row r="1321" spans="1:1" hidden="1" x14ac:dyDescent="0.3">
      <c r="A1321" s="36"/>
    </row>
    <row r="1322" spans="1:1" hidden="1" x14ac:dyDescent="0.3">
      <c r="A1322" s="36"/>
    </row>
    <row r="1323" spans="1:1" hidden="1" x14ac:dyDescent="0.3">
      <c r="A1323" s="36"/>
    </row>
    <row r="1324" spans="1:1" hidden="1" x14ac:dyDescent="0.3">
      <c r="A1324" s="36"/>
    </row>
    <row r="1325" spans="1:1" hidden="1" x14ac:dyDescent="0.3">
      <c r="A1325" s="36"/>
    </row>
    <row r="1326" spans="1:1" hidden="1" x14ac:dyDescent="0.3">
      <c r="A1326" s="36"/>
    </row>
    <row r="1327" spans="1:1" hidden="1" x14ac:dyDescent="0.3">
      <c r="A1327" s="36"/>
    </row>
    <row r="1328" spans="1:1" hidden="1" x14ac:dyDescent="0.3">
      <c r="A1328" s="36"/>
    </row>
    <row r="1329" spans="1:1" hidden="1" x14ac:dyDescent="0.3">
      <c r="A1329" s="36"/>
    </row>
    <row r="1330" spans="1:1" hidden="1" x14ac:dyDescent="0.3">
      <c r="A1330" s="36"/>
    </row>
    <row r="1331" spans="1:1" hidden="1" x14ac:dyDescent="0.3">
      <c r="A1331" s="36"/>
    </row>
    <row r="1332" spans="1:1" hidden="1" x14ac:dyDescent="0.3">
      <c r="A1332" s="36"/>
    </row>
    <row r="1333" spans="1:1" hidden="1" x14ac:dyDescent="0.3">
      <c r="A1333" s="36"/>
    </row>
    <row r="1334" spans="1:1" hidden="1" x14ac:dyDescent="0.3">
      <c r="A1334" s="36"/>
    </row>
    <row r="1335" spans="1:1" hidden="1" x14ac:dyDescent="0.3">
      <c r="A1335" s="36"/>
    </row>
    <row r="1336" spans="1:1" hidden="1" x14ac:dyDescent="0.3">
      <c r="A1336" s="36"/>
    </row>
    <row r="1337" spans="1:1" hidden="1" x14ac:dyDescent="0.3">
      <c r="A1337" s="36"/>
    </row>
    <row r="1338" spans="1:1" hidden="1" x14ac:dyDescent="0.3">
      <c r="A1338" s="36"/>
    </row>
    <row r="1339" spans="1:1" hidden="1" x14ac:dyDescent="0.3">
      <c r="A1339" s="36"/>
    </row>
    <row r="1340" spans="1:1" hidden="1" x14ac:dyDescent="0.3">
      <c r="A1340" s="36"/>
    </row>
    <row r="1341" spans="1:1" hidden="1" x14ac:dyDescent="0.3">
      <c r="A1341" s="36"/>
    </row>
    <row r="1342" spans="1:1" hidden="1" x14ac:dyDescent="0.3">
      <c r="A1342" s="36"/>
    </row>
    <row r="1343" spans="1:1" hidden="1" x14ac:dyDescent="0.3">
      <c r="A1343" s="36"/>
    </row>
    <row r="1344" spans="1:1" hidden="1" x14ac:dyDescent="0.3">
      <c r="A1344" s="36"/>
    </row>
    <row r="1345" spans="1:1" hidden="1" x14ac:dyDescent="0.3">
      <c r="A1345" s="36"/>
    </row>
    <row r="1346" spans="1:1" hidden="1" x14ac:dyDescent="0.3">
      <c r="A1346" s="36"/>
    </row>
    <row r="1347" spans="1:1" hidden="1" x14ac:dyDescent="0.3">
      <c r="A1347" s="36"/>
    </row>
    <row r="1348" spans="1:1" hidden="1" x14ac:dyDescent="0.3">
      <c r="A1348" s="36"/>
    </row>
    <row r="1349" spans="1:1" hidden="1" x14ac:dyDescent="0.3">
      <c r="A1349" s="36"/>
    </row>
    <row r="1350" spans="1:1" hidden="1" x14ac:dyDescent="0.3">
      <c r="A1350" s="36"/>
    </row>
    <row r="1351" spans="1:1" hidden="1" x14ac:dyDescent="0.3">
      <c r="A1351" s="36"/>
    </row>
    <row r="1352" spans="1:1" hidden="1" x14ac:dyDescent="0.3">
      <c r="A1352" s="36"/>
    </row>
    <row r="1353" spans="1:1" hidden="1" x14ac:dyDescent="0.3">
      <c r="A1353" s="36"/>
    </row>
    <row r="1354" spans="1:1" hidden="1" x14ac:dyDescent="0.3">
      <c r="A1354" s="36"/>
    </row>
    <row r="1355" spans="1:1" hidden="1" x14ac:dyDescent="0.3">
      <c r="A1355" s="36"/>
    </row>
    <row r="1356" spans="1:1" hidden="1" x14ac:dyDescent="0.3">
      <c r="A1356" s="36"/>
    </row>
    <row r="1357" spans="1:1" hidden="1" x14ac:dyDescent="0.3">
      <c r="A1357" s="36"/>
    </row>
    <row r="1358" spans="1:1" hidden="1" x14ac:dyDescent="0.3">
      <c r="A1358" s="36"/>
    </row>
    <row r="1359" spans="1:1" hidden="1" x14ac:dyDescent="0.3">
      <c r="A1359" s="36"/>
    </row>
    <row r="1360" spans="1:1" hidden="1" x14ac:dyDescent="0.3">
      <c r="A1360" s="36"/>
    </row>
    <row r="1361" spans="1:1" hidden="1" x14ac:dyDescent="0.3">
      <c r="A1361" s="36"/>
    </row>
    <row r="1362" spans="1:1" hidden="1" x14ac:dyDescent="0.3">
      <c r="A1362" s="36"/>
    </row>
    <row r="1363" spans="1:1" hidden="1" x14ac:dyDescent="0.3">
      <c r="A1363" s="36"/>
    </row>
    <row r="1364" spans="1:1" hidden="1" x14ac:dyDescent="0.3">
      <c r="A1364" s="36"/>
    </row>
    <row r="1365" spans="1:1" hidden="1" x14ac:dyDescent="0.3">
      <c r="A1365" s="36"/>
    </row>
    <row r="1366" spans="1:1" hidden="1" x14ac:dyDescent="0.3">
      <c r="A1366" s="36"/>
    </row>
    <row r="1367" spans="1:1" hidden="1" x14ac:dyDescent="0.3">
      <c r="A1367" s="36"/>
    </row>
    <row r="1368" spans="1:1" hidden="1" x14ac:dyDescent="0.3">
      <c r="A1368" s="36"/>
    </row>
    <row r="1369" spans="1:1" hidden="1" x14ac:dyDescent="0.3">
      <c r="A1369" s="36"/>
    </row>
    <row r="1370" spans="1:1" hidden="1" x14ac:dyDescent="0.3">
      <c r="A1370" s="36"/>
    </row>
    <row r="1371" spans="1:1" hidden="1" x14ac:dyDescent="0.3">
      <c r="A1371" s="36"/>
    </row>
    <row r="1372" spans="1:1" hidden="1" x14ac:dyDescent="0.3">
      <c r="A1372" s="36"/>
    </row>
    <row r="1373" spans="1:1" hidden="1" x14ac:dyDescent="0.3">
      <c r="A1373" s="36"/>
    </row>
    <row r="1374" spans="1:1" hidden="1" x14ac:dyDescent="0.3">
      <c r="A1374" s="36"/>
    </row>
    <row r="1375" spans="1:1" hidden="1" x14ac:dyDescent="0.3">
      <c r="A1375" s="36"/>
    </row>
    <row r="1376" spans="1:1" hidden="1" x14ac:dyDescent="0.3">
      <c r="A1376" s="36"/>
    </row>
    <row r="1377" spans="1:1" hidden="1" x14ac:dyDescent="0.3">
      <c r="A1377" s="36"/>
    </row>
    <row r="1378" spans="1:1" hidden="1" x14ac:dyDescent="0.3">
      <c r="A1378" s="36"/>
    </row>
    <row r="1379" spans="1:1" hidden="1" x14ac:dyDescent="0.3">
      <c r="A1379" s="36"/>
    </row>
    <row r="1380" spans="1:1" hidden="1" x14ac:dyDescent="0.3">
      <c r="A1380" s="36"/>
    </row>
    <row r="1381" spans="1:1" hidden="1" x14ac:dyDescent="0.3">
      <c r="A1381" s="36"/>
    </row>
    <row r="1382" spans="1:1" hidden="1" x14ac:dyDescent="0.3">
      <c r="A1382" s="36"/>
    </row>
    <row r="1383" spans="1:1" hidden="1" x14ac:dyDescent="0.3">
      <c r="A1383" s="36"/>
    </row>
    <row r="1384" spans="1:1" hidden="1" x14ac:dyDescent="0.3">
      <c r="A1384" s="36"/>
    </row>
    <row r="1385" spans="1:1" hidden="1" x14ac:dyDescent="0.3">
      <c r="A1385" s="36"/>
    </row>
    <row r="1386" spans="1:1" hidden="1" x14ac:dyDescent="0.3">
      <c r="A1386" s="36"/>
    </row>
    <row r="1387" spans="1:1" hidden="1" x14ac:dyDescent="0.3">
      <c r="A1387" s="36"/>
    </row>
    <row r="1388" spans="1:1" hidden="1" x14ac:dyDescent="0.3">
      <c r="A1388" s="36"/>
    </row>
    <row r="1389" spans="1:1" hidden="1" x14ac:dyDescent="0.3">
      <c r="A1389" s="36"/>
    </row>
    <row r="1390" spans="1:1" hidden="1" x14ac:dyDescent="0.3">
      <c r="A1390" s="36"/>
    </row>
    <row r="1391" spans="1:1" hidden="1" x14ac:dyDescent="0.3">
      <c r="A1391" s="36"/>
    </row>
    <row r="1392" spans="1:1" hidden="1" x14ac:dyDescent="0.3">
      <c r="A1392" s="36"/>
    </row>
    <row r="1393" spans="1:1" hidden="1" x14ac:dyDescent="0.3">
      <c r="A1393" s="36"/>
    </row>
    <row r="1394" spans="1:1" hidden="1" x14ac:dyDescent="0.3">
      <c r="A1394" s="36"/>
    </row>
    <row r="1395" spans="1:1" hidden="1" x14ac:dyDescent="0.3">
      <c r="A1395" s="36"/>
    </row>
    <row r="1396" spans="1:1" hidden="1" x14ac:dyDescent="0.3">
      <c r="A1396" s="36"/>
    </row>
    <row r="1397" spans="1:1" hidden="1" x14ac:dyDescent="0.3">
      <c r="A1397" s="36"/>
    </row>
    <row r="1398" spans="1:1" hidden="1" x14ac:dyDescent="0.3">
      <c r="A1398" s="36"/>
    </row>
    <row r="1399" spans="1:1" hidden="1" x14ac:dyDescent="0.3">
      <c r="A1399" s="36"/>
    </row>
    <row r="1400" spans="1:1" hidden="1" x14ac:dyDescent="0.3">
      <c r="A1400" s="36"/>
    </row>
    <row r="1401" spans="1:1" hidden="1" x14ac:dyDescent="0.3">
      <c r="A1401" s="36"/>
    </row>
    <row r="1402" spans="1:1" hidden="1" x14ac:dyDescent="0.3">
      <c r="A1402" s="36"/>
    </row>
    <row r="1403" spans="1:1" hidden="1" x14ac:dyDescent="0.3">
      <c r="A1403" s="36"/>
    </row>
    <row r="1404" spans="1:1" hidden="1" x14ac:dyDescent="0.3">
      <c r="A1404" s="36"/>
    </row>
    <row r="1405" spans="1:1" hidden="1" x14ac:dyDescent="0.3">
      <c r="A1405" s="36"/>
    </row>
    <row r="1406" spans="1:1" hidden="1" x14ac:dyDescent="0.3">
      <c r="A1406" s="36"/>
    </row>
    <row r="1407" spans="1:1" hidden="1" x14ac:dyDescent="0.3">
      <c r="A1407" s="36"/>
    </row>
    <row r="1408" spans="1:1" hidden="1" x14ac:dyDescent="0.3">
      <c r="A1408" s="36"/>
    </row>
    <row r="1409" spans="1:1" hidden="1" x14ac:dyDescent="0.3">
      <c r="A1409" s="36"/>
    </row>
    <row r="1410" spans="1:1" hidden="1" x14ac:dyDescent="0.3">
      <c r="A1410" s="36"/>
    </row>
    <row r="1411" spans="1:1" hidden="1" x14ac:dyDescent="0.3">
      <c r="A1411" s="36"/>
    </row>
    <row r="1412" spans="1:1" hidden="1" x14ac:dyDescent="0.3">
      <c r="A1412" s="36"/>
    </row>
    <row r="1413" spans="1:1" hidden="1" x14ac:dyDescent="0.3">
      <c r="A1413" s="36"/>
    </row>
    <row r="1414" spans="1:1" hidden="1" x14ac:dyDescent="0.3">
      <c r="A1414" s="36"/>
    </row>
    <row r="1415" spans="1:1" hidden="1" x14ac:dyDescent="0.3">
      <c r="A1415" s="36"/>
    </row>
    <row r="1416" spans="1:1" hidden="1" x14ac:dyDescent="0.3">
      <c r="A1416" s="36"/>
    </row>
    <row r="1417" spans="1:1" hidden="1" x14ac:dyDescent="0.3">
      <c r="A1417" s="36"/>
    </row>
    <row r="1418" spans="1:1" hidden="1" x14ac:dyDescent="0.3">
      <c r="A1418" s="36"/>
    </row>
    <row r="1419" spans="1:1" hidden="1" x14ac:dyDescent="0.3">
      <c r="A1419" s="36"/>
    </row>
    <row r="1420" spans="1:1" hidden="1" x14ac:dyDescent="0.3">
      <c r="A1420" s="36"/>
    </row>
    <row r="1421" spans="1:1" hidden="1" x14ac:dyDescent="0.3">
      <c r="A1421" s="36"/>
    </row>
    <row r="1422" spans="1:1" hidden="1" x14ac:dyDescent="0.3">
      <c r="A1422" s="36"/>
    </row>
    <row r="1423" spans="1:1" hidden="1" x14ac:dyDescent="0.3">
      <c r="A1423" s="36"/>
    </row>
    <row r="1424" spans="1:1" hidden="1" x14ac:dyDescent="0.3">
      <c r="A1424" s="36"/>
    </row>
    <row r="1425" spans="1:1" hidden="1" x14ac:dyDescent="0.3">
      <c r="A1425" s="36"/>
    </row>
    <row r="1426" spans="1:1" hidden="1" x14ac:dyDescent="0.3">
      <c r="A1426" s="36"/>
    </row>
    <row r="1427" spans="1:1" hidden="1" x14ac:dyDescent="0.3">
      <c r="A1427" s="36"/>
    </row>
    <row r="1428" spans="1:1" hidden="1" x14ac:dyDescent="0.3">
      <c r="A1428" s="36"/>
    </row>
    <row r="1429" spans="1:1" hidden="1" x14ac:dyDescent="0.3">
      <c r="A1429" s="36"/>
    </row>
    <row r="1430" spans="1:1" hidden="1" x14ac:dyDescent="0.3">
      <c r="A1430" s="36"/>
    </row>
    <row r="1431" spans="1:1" hidden="1" x14ac:dyDescent="0.3">
      <c r="A1431" s="36"/>
    </row>
    <row r="1432" spans="1:1" hidden="1" x14ac:dyDescent="0.3">
      <c r="A1432" s="36"/>
    </row>
    <row r="1433" spans="1:1" hidden="1" x14ac:dyDescent="0.3">
      <c r="A1433" s="36"/>
    </row>
    <row r="1434" spans="1:1" hidden="1" x14ac:dyDescent="0.3">
      <c r="A1434" s="36"/>
    </row>
    <row r="1435" spans="1:1" hidden="1" x14ac:dyDescent="0.3">
      <c r="A1435" s="36"/>
    </row>
    <row r="1436" spans="1:1" hidden="1" x14ac:dyDescent="0.3">
      <c r="A1436" s="36"/>
    </row>
    <row r="1437" spans="1:1" hidden="1" x14ac:dyDescent="0.3">
      <c r="A1437" s="36"/>
    </row>
    <row r="1438" spans="1:1" hidden="1" x14ac:dyDescent="0.3">
      <c r="A1438" s="36"/>
    </row>
    <row r="1439" spans="1:1" hidden="1" x14ac:dyDescent="0.3">
      <c r="A1439" s="36"/>
    </row>
    <row r="1440" spans="1:1" hidden="1" x14ac:dyDescent="0.3">
      <c r="A1440" s="36"/>
    </row>
    <row r="1441" spans="1:1" hidden="1" x14ac:dyDescent="0.3">
      <c r="A1441" s="36"/>
    </row>
    <row r="1442" spans="1:1" hidden="1" x14ac:dyDescent="0.3">
      <c r="A1442" s="36"/>
    </row>
    <row r="1443" spans="1:1" hidden="1" x14ac:dyDescent="0.3">
      <c r="A1443" s="36"/>
    </row>
    <row r="1444" spans="1:1" hidden="1" x14ac:dyDescent="0.3">
      <c r="A1444" s="36"/>
    </row>
    <row r="1445" spans="1:1" hidden="1" x14ac:dyDescent="0.3">
      <c r="A1445" s="36"/>
    </row>
    <row r="1446" spans="1:1" hidden="1" x14ac:dyDescent="0.3">
      <c r="A1446" s="36"/>
    </row>
    <row r="1447" spans="1:1" hidden="1" x14ac:dyDescent="0.3">
      <c r="A1447" s="36"/>
    </row>
    <row r="1448" spans="1:1" hidden="1" x14ac:dyDescent="0.3">
      <c r="A1448" s="36"/>
    </row>
    <row r="1449" spans="1:1" hidden="1" x14ac:dyDescent="0.3">
      <c r="A1449" s="36"/>
    </row>
    <row r="1450" spans="1:1" hidden="1" x14ac:dyDescent="0.3">
      <c r="A1450" s="36"/>
    </row>
    <row r="1451" spans="1:1" hidden="1" x14ac:dyDescent="0.3">
      <c r="A1451" s="36"/>
    </row>
    <row r="1452" spans="1:1" hidden="1" x14ac:dyDescent="0.3">
      <c r="A1452" s="36"/>
    </row>
    <row r="1453" spans="1:1" hidden="1" x14ac:dyDescent="0.3">
      <c r="A1453" s="36"/>
    </row>
    <row r="1454" spans="1:1" hidden="1" x14ac:dyDescent="0.3">
      <c r="A1454" s="36"/>
    </row>
    <row r="1455" spans="1:1" hidden="1" x14ac:dyDescent="0.3">
      <c r="A1455" s="36"/>
    </row>
    <row r="1456" spans="1:1" hidden="1" x14ac:dyDescent="0.3">
      <c r="A1456" s="36"/>
    </row>
    <row r="1457" spans="1:1" hidden="1" x14ac:dyDescent="0.3">
      <c r="A1457" s="36"/>
    </row>
    <row r="1458" spans="1:1" hidden="1" x14ac:dyDescent="0.3">
      <c r="A1458" s="36"/>
    </row>
    <row r="1459" spans="1:1" hidden="1" x14ac:dyDescent="0.3">
      <c r="A1459" s="36"/>
    </row>
    <row r="1460" spans="1:1" hidden="1" x14ac:dyDescent="0.3">
      <c r="A1460" s="36"/>
    </row>
    <row r="1461" spans="1:1" hidden="1" x14ac:dyDescent="0.3">
      <c r="A1461" s="36"/>
    </row>
    <row r="1462" spans="1:1" hidden="1" x14ac:dyDescent="0.3">
      <c r="A1462" s="36"/>
    </row>
    <row r="1463" spans="1:1" hidden="1" x14ac:dyDescent="0.3">
      <c r="A1463" s="36"/>
    </row>
    <row r="1464" spans="1:1" hidden="1" x14ac:dyDescent="0.3">
      <c r="A1464" s="36"/>
    </row>
    <row r="1465" spans="1:1" hidden="1" x14ac:dyDescent="0.3">
      <c r="A1465" s="36"/>
    </row>
    <row r="1466" spans="1:1" hidden="1" x14ac:dyDescent="0.3">
      <c r="A1466" s="36"/>
    </row>
    <row r="1467" spans="1:1" hidden="1" x14ac:dyDescent="0.3">
      <c r="A1467" s="36"/>
    </row>
    <row r="1468" spans="1:1" hidden="1" x14ac:dyDescent="0.3">
      <c r="A1468" s="36"/>
    </row>
    <row r="1469" spans="1:1" hidden="1" x14ac:dyDescent="0.3">
      <c r="A1469" s="36"/>
    </row>
    <row r="1470" spans="1:1" hidden="1" x14ac:dyDescent="0.3">
      <c r="A1470" s="36"/>
    </row>
    <row r="1471" spans="1:1" hidden="1" x14ac:dyDescent="0.3">
      <c r="A1471" s="36"/>
    </row>
    <row r="1472" spans="1:1" hidden="1" x14ac:dyDescent="0.3">
      <c r="A1472" s="36"/>
    </row>
    <row r="1473" spans="1:1" hidden="1" x14ac:dyDescent="0.3">
      <c r="A1473" s="36"/>
    </row>
    <row r="1474" spans="1:1" hidden="1" x14ac:dyDescent="0.3">
      <c r="A1474" s="36"/>
    </row>
    <row r="1475" spans="1:1" hidden="1" x14ac:dyDescent="0.3">
      <c r="A1475" s="36"/>
    </row>
    <row r="1476" spans="1:1" hidden="1" x14ac:dyDescent="0.3">
      <c r="A1476" s="36"/>
    </row>
    <row r="1477" spans="1:1" hidden="1" x14ac:dyDescent="0.3">
      <c r="A1477" s="36"/>
    </row>
    <row r="1478" spans="1:1" hidden="1" x14ac:dyDescent="0.3">
      <c r="A1478" s="36"/>
    </row>
    <row r="1479" spans="1:1" hidden="1" x14ac:dyDescent="0.3">
      <c r="A1479" s="36"/>
    </row>
    <row r="1480" spans="1:1" hidden="1" x14ac:dyDescent="0.3">
      <c r="A1480" s="36"/>
    </row>
    <row r="1481" spans="1:1" hidden="1" x14ac:dyDescent="0.3">
      <c r="A1481" s="36"/>
    </row>
    <row r="1482" spans="1:1" hidden="1" x14ac:dyDescent="0.3">
      <c r="A1482" s="36"/>
    </row>
    <row r="1483" spans="1:1" hidden="1" x14ac:dyDescent="0.3">
      <c r="A1483" s="36"/>
    </row>
    <row r="1484" spans="1:1" hidden="1" x14ac:dyDescent="0.3">
      <c r="A1484" s="36"/>
    </row>
    <row r="1485" spans="1:1" hidden="1" x14ac:dyDescent="0.3">
      <c r="A1485" s="36"/>
    </row>
    <row r="1486" spans="1:1" hidden="1" x14ac:dyDescent="0.3">
      <c r="A1486" s="36"/>
    </row>
    <row r="1487" spans="1:1" hidden="1" x14ac:dyDescent="0.3">
      <c r="A1487" s="36"/>
    </row>
    <row r="1488" spans="1:1" hidden="1" x14ac:dyDescent="0.3">
      <c r="A1488" s="36"/>
    </row>
    <row r="1489" spans="1:1" hidden="1" x14ac:dyDescent="0.3">
      <c r="A1489" s="36"/>
    </row>
    <row r="1490" spans="1:1" hidden="1" x14ac:dyDescent="0.3">
      <c r="A1490" s="36"/>
    </row>
    <row r="1491" spans="1:1" hidden="1" x14ac:dyDescent="0.3">
      <c r="A1491" s="36"/>
    </row>
    <row r="1492" spans="1:1" hidden="1" x14ac:dyDescent="0.3">
      <c r="A1492" s="36"/>
    </row>
    <row r="1493" spans="1:1" hidden="1" x14ac:dyDescent="0.3">
      <c r="A1493" s="36"/>
    </row>
    <row r="1494" spans="1:1" hidden="1" x14ac:dyDescent="0.3">
      <c r="A1494" s="36"/>
    </row>
    <row r="1495" spans="1:1" hidden="1" x14ac:dyDescent="0.3">
      <c r="A1495" s="36"/>
    </row>
    <row r="1496" spans="1:1" hidden="1" x14ac:dyDescent="0.3">
      <c r="A1496" s="36"/>
    </row>
    <row r="1497" spans="1:1" hidden="1" x14ac:dyDescent="0.3">
      <c r="A1497" s="36"/>
    </row>
    <row r="1498" spans="1:1" hidden="1" x14ac:dyDescent="0.3">
      <c r="A1498" s="36"/>
    </row>
    <row r="1499" spans="1:1" hidden="1" x14ac:dyDescent="0.3">
      <c r="A1499" s="36"/>
    </row>
    <row r="1500" spans="1:1" hidden="1" x14ac:dyDescent="0.3">
      <c r="A1500" s="36"/>
    </row>
    <row r="1501" spans="1:1" hidden="1" x14ac:dyDescent="0.3">
      <c r="A1501" s="36"/>
    </row>
    <row r="1502" spans="1:1" hidden="1" x14ac:dyDescent="0.3">
      <c r="A1502" s="36"/>
    </row>
    <row r="1503" spans="1:1" hidden="1" x14ac:dyDescent="0.3">
      <c r="A1503" s="36"/>
    </row>
    <row r="1504" spans="1:1" hidden="1" x14ac:dyDescent="0.3">
      <c r="A1504" s="36"/>
    </row>
    <row r="1505" spans="1:1" hidden="1" x14ac:dyDescent="0.3">
      <c r="A1505" s="36"/>
    </row>
    <row r="1506" spans="1:1" hidden="1" x14ac:dyDescent="0.3">
      <c r="A1506" s="36"/>
    </row>
    <row r="1507" spans="1:1" hidden="1" x14ac:dyDescent="0.3">
      <c r="A1507" s="36"/>
    </row>
    <row r="1508" spans="1:1" hidden="1" x14ac:dyDescent="0.3">
      <c r="A1508" s="36"/>
    </row>
    <row r="1509" spans="1:1" hidden="1" x14ac:dyDescent="0.3">
      <c r="A1509" s="36"/>
    </row>
    <row r="1510" spans="1:1" hidden="1" x14ac:dyDescent="0.3">
      <c r="A1510" s="36"/>
    </row>
    <row r="1511" spans="1:1" hidden="1" x14ac:dyDescent="0.3">
      <c r="A1511" s="36"/>
    </row>
    <row r="1512" spans="1:1" hidden="1" x14ac:dyDescent="0.3">
      <c r="A1512" s="36"/>
    </row>
    <row r="1513" spans="1:1" hidden="1" x14ac:dyDescent="0.3">
      <c r="A1513" s="36"/>
    </row>
    <row r="1514" spans="1:1" hidden="1" x14ac:dyDescent="0.3">
      <c r="A1514" s="36"/>
    </row>
    <row r="1515" spans="1:1" hidden="1" x14ac:dyDescent="0.3">
      <c r="A1515" s="36"/>
    </row>
    <row r="1516" spans="1:1" hidden="1" x14ac:dyDescent="0.3">
      <c r="A1516" s="36"/>
    </row>
    <row r="1517" spans="1:1" hidden="1" x14ac:dyDescent="0.3">
      <c r="A1517" s="36"/>
    </row>
    <row r="1518" spans="1:1" hidden="1" x14ac:dyDescent="0.3">
      <c r="A1518" s="36"/>
    </row>
    <row r="1519" spans="1:1" hidden="1" x14ac:dyDescent="0.3">
      <c r="A1519" s="36"/>
    </row>
    <row r="1520" spans="1:1" hidden="1" x14ac:dyDescent="0.3">
      <c r="A1520" s="36"/>
    </row>
    <row r="1521" spans="1:1" hidden="1" x14ac:dyDescent="0.3">
      <c r="A1521" s="36"/>
    </row>
    <row r="1522" spans="1:1" hidden="1" x14ac:dyDescent="0.3">
      <c r="A1522" s="36"/>
    </row>
    <row r="1523" spans="1:1" hidden="1" x14ac:dyDescent="0.3">
      <c r="A1523" s="36"/>
    </row>
    <row r="1524" spans="1:1" hidden="1" x14ac:dyDescent="0.3">
      <c r="A1524" s="36"/>
    </row>
    <row r="1525" spans="1:1" hidden="1" x14ac:dyDescent="0.3">
      <c r="A1525" s="36"/>
    </row>
    <row r="1526" spans="1:1" hidden="1" x14ac:dyDescent="0.3">
      <c r="A1526" s="36"/>
    </row>
    <row r="1527" spans="1:1" hidden="1" x14ac:dyDescent="0.3">
      <c r="A1527" s="36"/>
    </row>
    <row r="1528" spans="1:1" hidden="1" x14ac:dyDescent="0.3">
      <c r="A1528" s="36"/>
    </row>
    <row r="1529" spans="1:1" hidden="1" x14ac:dyDescent="0.3">
      <c r="A1529" s="36"/>
    </row>
    <row r="1530" spans="1:1" hidden="1" x14ac:dyDescent="0.3">
      <c r="A1530" s="36"/>
    </row>
    <row r="1531" spans="1:1" hidden="1" x14ac:dyDescent="0.3">
      <c r="A1531" s="36"/>
    </row>
    <row r="1532" spans="1:1" hidden="1" x14ac:dyDescent="0.3">
      <c r="A1532" s="36"/>
    </row>
    <row r="1533" spans="1:1" hidden="1" x14ac:dyDescent="0.3">
      <c r="A1533" s="36"/>
    </row>
    <row r="1534" spans="1:1" hidden="1" x14ac:dyDescent="0.3">
      <c r="A1534" s="36"/>
    </row>
    <row r="1535" spans="1:1" hidden="1" x14ac:dyDescent="0.3">
      <c r="A1535" s="36"/>
    </row>
    <row r="1536" spans="1:1" hidden="1" x14ac:dyDescent="0.3">
      <c r="A1536" s="36"/>
    </row>
    <row r="1537" spans="1:1" hidden="1" x14ac:dyDescent="0.3">
      <c r="A1537" s="36"/>
    </row>
    <row r="1538" spans="1:1" hidden="1" x14ac:dyDescent="0.3">
      <c r="A1538" s="36"/>
    </row>
    <row r="1539" spans="1:1" hidden="1" x14ac:dyDescent="0.3">
      <c r="A1539" s="36"/>
    </row>
    <row r="1540" spans="1:1" hidden="1" x14ac:dyDescent="0.3">
      <c r="A1540" s="36"/>
    </row>
    <row r="1541" spans="1:1" hidden="1" x14ac:dyDescent="0.3">
      <c r="A1541" s="36"/>
    </row>
    <row r="1542" spans="1:1" hidden="1" x14ac:dyDescent="0.3">
      <c r="A1542" s="36"/>
    </row>
    <row r="1543" spans="1:1" hidden="1" x14ac:dyDescent="0.3">
      <c r="A1543" s="36"/>
    </row>
    <row r="1544" spans="1:1" hidden="1" x14ac:dyDescent="0.3">
      <c r="A1544" s="36"/>
    </row>
    <row r="1545" spans="1:1" hidden="1" x14ac:dyDescent="0.3">
      <c r="A1545" s="36"/>
    </row>
    <row r="1546" spans="1:1" hidden="1" x14ac:dyDescent="0.3">
      <c r="A1546" s="36"/>
    </row>
    <row r="1547" spans="1:1" hidden="1" x14ac:dyDescent="0.3">
      <c r="A1547" s="36"/>
    </row>
    <row r="1548" spans="1:1" hidden="1" x14ac:dyDescent="0.3">
      <c r="A1548" s="36"/>
    </row>
    <row r="1549" spans="1:1" hidden="1" x14ac:dyDescent="0.3">
      <c r="A1549" s="36"/>
    </row>
    <row r="1550" spans="1:1" hidden="1" x14ac:dyDescent="0.3">
      <c r="A1550" s="36"/>
    </row>
    <row r="1551" spans="1:1" hidden="1" x14ac:dyDescent="0.3">
      <c r="A1551" s="36"/>
    </row>
    <row r="1552" spans="1:1" hidden="1" x14ac:dyDescent="0.3">
      <c r="A1552" s="36"/>
    </row>
    <row r="1553" spans="1:1" hidden="1" x14ac:dyDescent="0.3">
      <c r="A1553" s="36"/>
    </row>
    <row r="1554" spans="1:1" hidden="1" x14ac:dyDescent="0.3">
      <c r="A1554" s="36"/>
    </row>
    <row r="1555" spans="1:1" hidden="1" x14ac:dyDescent="0.3">
      <c r="A1555" s="36"/>
    </row>
    <row r="1556" spans="1:1" hidden="1" x14ac:dyDescent="0.3">
      <c r="A1556" s="36"/>
    </row>
    <row r="1557" spans="1:1" hidden="1" x14ac:dyDescent="0.3">
      <c r="A1557" s="36"/>
    </row>
    <row r="1558" spans="1:1" hidden="1" x14ac:dyDescent="0.3">
      <c r="A1558" s="36"/>
    </row>
    <row r="1559" spans="1:1" hidden="1" x14ac:dyDescent="0.3">
      <c r="A1559" s="36"/>
    </row>
    <row r="1560" spans="1:1" hidden="1" x14ac:dyDescent="0.3">
      <c r="A1560" s="36"/>
    </row>
    <row r="1561" spans="1:1" hidden="1" x14ac:dyDescent="0.3">
      <c r="A1561" s="36"/>
    </row>
    <row r="1562" spans="1:1" hidden="1" x14ac:dyDescent="0.3">
      <c r="A1562" s="36"/>
    </row>
    <row r="1563" spans="1:1" hidden="1" x14ac:dyDescent="0.3">
      <c r="A1563" s="36"/>
    </row>
    <row r="1564" spans="1:1" hidden="1" x14ac:dyDescent="0.3">
      <c r="A1564" s="36"/>
    </row>
    <row r="1565" spans="1:1" hidden="1" x14ac:dyDescent="0.3">
      <c r="A1565" s="36"/>
    </row>
    <row r="1566" spans="1:1" hidden="1" x14ac:dyDescent="0.3">
      <c r="A1566" s="36"/>
    </row>
    <row r="1567" spans="1:1" hidden="1" x14ac:dyDescent="0.3">
      <c r="A1567" s="36"/>
    </row>
    <row r="1568" spans="1:1" hidden="1" x14ac:dyDescent="0.3">
      <c r="A1568" s="36"/>
    </row>
    <row r="1569" spans="1:1" hidden="1" x14ac:dyDescent="0.3">
      <c r="A1569" s="36"/>
    </row>
    <row r="1570" spans="1:1" hidden="1" x14ac:dyDescent="0.3">
      <c r="A1570" s="36"/>
    </row>
    <row r="1571" spans="1:1" hidden="1" x14ac:dyDescent="0.3">
      <c r="A1571" s="36"/>
    </row>
    <row r="1572" spans="1:1" hidden="1" x14ac:dyDescent="0.3">
      <c r="A1572" s="36"/>
    </row>
    <row r="1573" spans="1:1" hidden="1" x14ac:dyDescent="0.3">
      <c r="A1573" s="36"/>
    </row>
    <row r="1574" spans="1:1" hidden="1" x14ac:dyDescent="0.3">
      <c r="A1574" s="36"/>
    </row>
    <row r="1575" spans="1:1" hidden="1" x14ac:dyDescent="0.3">
      <c r="A1575" s="36"/>
    </row>
    <row r="1576" spans="1:1" hidden="1" x14ac:dyDescent="0.3">
      <c r="A1576" s="36"/>
    </row>
    <row r="1577" spans="1:1" hidden="1" x14ac:dyDescent="0.3">
      <c r="A1577" s="36"/>
    </row>
    <row r="1578" spans="1:1" hidden="1" x14ac:dyDescent="0.3">
      <c r="A1578" s="36"/>
    </row>
    <row r="1579" spans="1:1" hidden="1" x14ac:dyDescent="0.3">
      <c r="A1579" s="36"/>
    </row>
    <row r="1580" spans="1:1" hidden="1" x14ac:dyDescent="0.3">
      <c r="A1580" s="36"/>
    </row>
    <row r="1581" spans="1:1" hidden="1" x14ac:dyDescent="0.3">
      <c r="A1581" s="36"/>
    </row>
    <row r="1582" spans="1:1" hidden="1" x14ac:dyDescent="0.3">
      <c r="A1582" s="36"/>
    </row>
    <row r="1583" spans="1:1" hidden="1" x14ac:dyDescent="0.3">
      <c r="A1583" s="36"/>
    </row>
    <row r="1584" spans="1:1" hidden="1" x14ac:dyDescent="0.3">
      <c r="A1584" s="36"/>
    </row>
    <row r="1585" spans="1:1" hidden="1" x14ac:dyDescent="0.3">
      <c r="A1585" s="36"/>
    </row>
    <row r="1586" spans="1:1" hidden="1" x14ac:dyDescent="0.3">
      <c r="A1586" s="36"/>
    </row>
    <row r="1587" spans="1:1" hidden="1" x14ac:dyDescent="0.3">
      <c r="A1587" s="36"/>
    </row>
    <row r="1588" spans="1:1" hidden="1" x14ac:dyDescent="0.3">
      <c r="A1588" s="36"/>
    </row>
    <row r="1589" spans="1:1" hidden="1" x14ac:dyDescent="0.3">
      <c r="A1589" s="36"/>
    </row>
    <row r="1590" spans="1:1" hidden="1" x14ac:dyDescent="0.3">
      <c r="A1590" s="36"/>
    </row>
    <row r="1591" spans="1:1" hidden="1" x14ac:dyDescent="0.3">
      <c r="A1591" s="36"/>
    </row>
    <row r="1592" spans="1:1" hidden="1" x14ac:dyDescent="0.3">
      <c r="A1592" s="36"/>
    </row>
    <row r="1593" spans="1:1" hidden="1" x14ac:dyDescent="0.3">
      <c r="A1593" s="36"/>
    </row>
    <row r="1594" spans="1:1" hidden="1" x14ac:dyDescent="0.3">
      <c r="A1594" s="36"/>
    </row>
    <row r="1595" spans="1:1" hidden="1" x14ac:dyDescent="0.3">
      <c r="A1595" s="36"/>
    </row>
    <row r="1596" spans="1:1" hidden="1" x14ac:dyDescent="0.3">
      <c r="A1596" s="36"/>
    </row>
    <row r="1597" spans="1:1" hidden="1" x14ac:dyDescent="0.3">
      <c r="A1597" s="36"/>
    </row>
    <row r="1598" spans="1:1" hidden="1" x14ac:dyDescent="0.3">
      <c r="A1598" s="36"/>
    </row>
    <row r="1599" spans="1:1" hidden="1" x14ac:dyDescent="0.3">
      <c r="A1599" s="36"/>
    </row>
    <row r="1600" spans="1:1" hidden="1" x14ac:dyDescent="0.3">
      <c r="A1600" s="36"/>
    </row>
    <row r="1601" spans="1:1" hidden="1" x14ac:dyDescent="0.3">
      <c r="A1601" s="36"/>
    </row>
    <row r="1602" spans="1:1" hidden="1" x14ac:dyDescent="0.3">
      <c r="A1602" s="36"/>
    </row>
    <row r="1603" spans="1:1" hidden="1" x14ac:dyDescent="0.3">
      <c r="A1603" s="36"/>
    </row>
    <row r="1604" spans="1:1" hidden="1" x14ac:dyDescent="0.3">
      <c r="A1604" s="36"/>
    </row>
    <row r="1605" spans="1:1" hidden="1" x14ac:dyDescent="0.3">
      <c r="A1605" s="36"/>
    </row>
    <row r="1606" spans="1:1" hidden="1" x14ac:dyDescent="0.3">
      <c r="A1606" s="36"/>
    </row>
    <row r="1607" spans="1:1" hidden="1" x14ac:dyDescent="0.3">
      <c r="A1607" s="36"/>
    </row>
    <row r="1608" spans="1:1" hidden="1" x14ac:dyDescent="0.3">
      <c r="A1608" s="36"/>
    </row>
    <row r="1609" spans="1:1" hidden="1" x14ac:dyDescent="0.3">
      <c r="A1609" s="36"/>
    </row>
    <row r="1610" spans="1:1" hidden="1" x14ac:dyDescent="0.3">
      <c r="A1610" s="36"/>
    </row>
    <row r="1611" spans="1:1" hidden="1" x14ac:dyDescent="0.3">
      <c r="A1611" s="36"/>
    </row>
    <row r="1612" spans="1:1" hidden="1" x14ac:dyDescent="0.3">
      <c r="A1612" s="36"/>
    </row>
    <row r="1613" spans="1:1" hidden="1" x14ac:dyDescent="0.3">
      <c r="A1613" s="36"/>
    </row>
    <row r="1614" spans="1:1" hidden="1" x14ac:dyDescent="0.3">
      <c r="A1614" s="36"/>
    </row>
    <row r="1615" spans="1:1" hidden="1" x14ac:dyDescent="0.3">
      <c r="A1615" s="36"/>
    </row>
    <row r="1616" spans="1:1" hidden="1" x14ac:dyDescent="0.3">
      <c r="A1616" s="36"/>
    </row>
    <row r="1617" spans="1:1" hidden="1" x14ac:dyDescent="0.3">
      <c r="A1617" s="36"/>
    </row>
    <row r="1618" spans="1:1" hidden="1" x14ac:dyDescent="0.3">
      <c r="A1618" s="36"/>
    </row>
    <row r="1619" spans="1:1" hidden="1" x14ac:dyDescent="0.3">
      <c r="A1619" s="36"/>
    </row>
    <row r="1620" spans="1:1" hidden="1" x14ac:dyDescent="0.3">
      <c r="A1620" s="36"/>
    </row>
    <row r="1621" spans="1:1" hidden="1" x14ac:dyDescent="0.3">
      <c r="A1621" s="36"/>
    </row>
    <row r="1622" spans="1:1" hidden="1" x14ac:dyDescent="0.3">
      <c r="A1622" s="36"/>
    </row>
    <row r="1623" spans="1:1" hidden="1" x14ac:dyDescent="0.3">
      <c r="A1623" s="36"/>
    </row>
    <row r="1624" spans="1:1" hidden="1" x14ac:dyDescent="0.3">
      <c r="A1624" s="36"/>
    </row>
    <row r="1625" spans="1:1" hidden="1" x14ac:dyDescent="0.3">
      <c r="A1625" s="36"/>
    </row>
    <row r="1626" spans="1:1" hidden="1" x14ac:dyDescent="0.3">
      <c r="A1626" s="36"/>
    </row>
    <row r="1627" spans="1:1" hidden="1" x14ac:dyDescent="0.3">
      <c r="A1627" s="36"/>
    </row>
    <row r="1628" spans="1:1" hidden="1" x14ac:dyDescent="0.3">
      <c r="A1628" s="36"/>
    </row>
    <row r="1629" spans="1:1" hidden="1" x14ac:dyDescent="0.3">
      <c r="A1629" s="36"/>
    </row>
    <row r="1630" spans="1:1" hidden="1" x14ac:dyDescent="0.3">
      <c r="A1630" s="36"/>
    </row>
    <row r="1631" spans="1:1" hidden="1" x14ac:dyDescent="0.3">
      <c r="A1631" s="36"/>
    </row>
    <row r="1632" spans="1:1" hidden="1" x14ac:dyDescent="0.3">
      <c r="A1632" s="36"/>
    </row>
    <row r="1633" spans="1:1" hidden="1" x14ac:dyDescent="0.3">
      <c r="A1633" s="36"/>
    </row>
    <row r="1634" spans="1:1" hidden="1" x14ac:dyDescent="0.3">
      <c r="A1634" s="36"/>
    </row>
    <row r="1635" spans="1:1" hidden="1" x14ac:dyDescent="0.3">
      <c r="A1635" s="36"/>
    </row>
    <row r="1636" spans="1:1" hidden="1" x14ac:dyDescent="0.3">
      <c r="A1636" s="36"/>
    </row>
    <row r="1637" spans="1:1" hidden="1" x14ac:dyDescent="0.3">
      <c r="A1637" s="36"/>
    </row>
    <row r="1638" spans="1:1" hidden="1" x14ac:dyDescent="0.3">
      <c r="A1638" s="36"/>
    </row>
    <row r="1639" spans="1:1" hidden="1" x14ac:dyDescent="0.3">
      <c r="A1639" s="36"/>
    </row>
    <row r="1640" spans="1:1" hidden="1" x14ac:dyDescent="0.3">
      <c r="A1640" s="36"/>
    </row>
    <row r="1641" spans="1:1" hidden="1" x14ac:dyDescent="0.3">
      <c r="A1641" s="36"/>
    </row>
    <row r="1642" spans="1:1" hidden="1" x14ac:dyDescent="0.3">
      <c r="A1642" s="36"/>
    </row>
    <row r="1643" spans="1:1" hidden="1" x14ac:dyDescent="0.3">
      <c r="A1643" s="36"/>
    </row>
    <row r="1644" spans="1:1" hidden="1" x14ac:dyDescent="0.3">
      <c r="A1644" s="36"/>
    </row>
    <row r="1645" spans="1:1" hidden="1" x14ac:dyDescent="0.3">
      <c r="A1645" s="36"/>
    </row>
    <row r="1646" spans="1:1" hidden="1" x14ac:dyDescent="0.3">
      <c r="A1646" s="36"/>
    </row>
    <row r="1647" spans="1:1" hidden="1" x14ac:dyDescent="0.3">
      <c r="A1647" s="36"/>
    </row>
    <row r="1648" spans="1:1" hidden="1" x14ac:dyDescent="0.3">
      <c r="A1648" s="36"/>
    </row>
    <row r="1649" spans="1:1" hidden="1" x14ac:dyDescent="0.3">
      <c r="A1649" s="36"/>
    </row>
    <row r="1650" spans="1:1" hidden="1" x14ac:dyDescent="0.3">
      <c r="A1650" s="36"/>
    </row>
    <row r="1651" spans="1:1" hidden="1" x14ac:dyDescent="0.3">
      <c r="A1651" s="36"/>
    </row>
    <row r="1652" spans="1:1" hidden="1" x14ac:dyDescent="0.3">
      <c r="A1652" s="36"/>
    </row>
    <row r="1653" spans="1:1" hidden="1" x14ac:dyDescent="0.3">
      <c r="A1653" s="36"/>
    </row>
    <row r="1654" spans="1:1" hidden="1" x14ac:dyDescent="0.3">
      <c r="A1654" s="36"/>
    </row>
    <row r="1655" spans="1:1" hidden="1" x14ac:dyDescent="0.3">
      <c r="A1655" s="36"/>
    </row>
    <row r="1656" spans="1:1" hidden="1" x14ac:dyDescent="0.3">
      <c r="A1656" s="36"/>
    </row>
    <row r="1657" spans="1:1" hidden="1" x14ac:dyDescent="0.3">
      <c r="A1657" s="36"/>
    </row>
    <row r="1658" spans="1:1" hidden="1" x14ac:dyDescent="0.3">
      <c r="A1658" s="36"/>
    </row>
    <row r="1659" spans="1:1" hidden="1" x14ac:dyDescent="0.3">
      <c r="A1659" s="36"/>
    </row>
    <row r="1660" spans="1:1" hidden="1" x14ac:dyDescent="0.3">
      <c r="A1660" s="36"/>
    </row>
    <row r="1661" spans="1:1" hidden="1" x14ac:dyDescent="0.3">
      <c r="A1661" s="36"/>
    </row>
    <row r="1662" spans="1:1" hidden="1" x14ac:dyDescent="0.3">
      <c r="A1662" s="36"/>
    </row>
    <row r="1663" spans="1:1" hidden="1" x14ac:dyDescent="0.3">
      <c r="A1663" s="36"/>
    </row>
    <row r="1664" spans="1:1" hidden="1" x14ac:dyDescent="0.3">
      <c r="A1664" s="36"/>
    </row>
    <row r="1665" spans="1:1" hidden="1" x14ac:dyDescent="0.3">
      <c r="A1665" s="36"/>
    </row>
    <row r="1666" spans="1:1" hidden="1" x14ac:dyDescent="0.3">
      <c r="A1666" s="36"/>
    </row>
    <row r="1667" spans="1:1" hidden="1" x14ac:dyDescent="0.3">
      <c r="A1667" s="36"/>
    </row>
    <row r="1668" spans="1:1" hidden="1" x14ac:dyDescent="0.3">
      <c r="A1668" s="36"/>
    </row>
    <row r="1669" spans="1:1" hidden="1" x14ac:dyDescent="0.3">
      <c r="A1669" s="36"/>
    </row>
    <row r="1670" spans="1:1" hidden="1" x14ac:dyDescent="0.3">
      <c r="A1670" s="36"/>
    </row>
    <row r="1671" spans="1:1" hidden="1" x14ac:dyDescent="0.3">
      <c r="A1671" s="36"/>
    </row>
    <row r="1672" spans="1:1" hidden="1" x14ac:dyDescent="0.3">
      <c r="A1672" s="36"/>
    </row>
    <row r="1673" spans="1:1" hidden="1" x14ac:dyDescent="0.3">
      <c r="A1673" s="36"/>
    </row>
    <row r="1674" spans="1:1" hidden="1" x14ac:dyDescent="0.3">
      <c r="A1674" s="36"/>
    </row>
    <row r="1675" spans="1:1" hidden="1" x14ac:dyDescent="0.3">
      <c r="A1675" s="36"/>
    </row>
    <row r="1676" spans="1:1" hidden="1" x14ac:dyDescent="0.3">
      <c r="A1676" s="36"/>
    </row>
    <row r="1677" spans="1:1" hidden="1" x14ac:dyDescent="0.3">
      <c r="A1677" s="36"/>
    </row>
    <row r="1678" spans="1:1" hidden="1" x14ac:dyDescent="0.3">
      <c r="A1678" s="36"/>
    </row>
    <row r="1679" spans="1:1" hidden="1" x14ac:dyDescent="0.3">
      <c r="A1679" s="36"/>
    </row>
    <row r="1680" spans="1:1" hidden="1" x14ac:dyDescent="0.3">
      <c r="A1680" s="36"/>
    </row>
    <row r="1681" spans="1:1" hidden="1" x14ac:dyDescent="0.3">
      <c r="A1681" s="36"/>
    </row>
    <row r="1682" spans="1:1" hidden="1" x14ac:dyDescent="0.3">
      <c r="A1682" s="36"/>
    </row>
    <row r="1683" spans="1:1" hidden="1" x14ac:dyDescent="0.3">
      <c r="A1683" s="36"/>
    </row>
    <row r="1684" spans="1:1" hidden="1" x14ac:dyDescent="0.3">
      <c r="A1684" s="36"/>
    </row>
    <row r="1685" spans="1:1" hidden="1" x14ac:dyDescent="0.3">
      <c r="A1685" s="36"/>
    </row>
    <row r="1686" spans="1:1" hidden="1" x14ac:dyDescent="0.3">
      <c r="A1686" s="36"/>
    </row>
    <row r="1687" spans="1:1" hidden="1" x14ac:dyDescent="0.3">
      <c r="A1687" s="36"/>
    </row>
    <row r="1688" spans="1:1" hidden="1" x14ac:dyDescent="0.3">
      <c r="A1688" s="36"/>
    </row>
    <row r="1689" spans="1:1" hidden="1" x14ac:dyDescent="0.3">
      <c r="A1689" s="36"/>
    </row>
    <row r="1690" spans="1:1" hidden="1" x14ac:dyDescent="0.3">
      <c r="A1690" s="36"/>
    </row>
    <row r="1691" spans="1:1" hidden="1" x14ac:dyDescent="0.3">
      <c r="A1691" s="36"/>
    </row>
    <row r="1692" spans="1:1" hidden="1" x14ac:dyDescent="0.3">
      <c r="A1692" s="36"/>
    </row>
    <row r="1693" spans="1:1" hidden="1" x14ac:dyDescent="0.3">
      <c r="A1693" s="36"/>
    </row>
    <row r="1694" spans="1:1" hidden="1" x14ac:dyDescent="0.3">
      <c r="A1694" s="36"/>
    </row>
    <row r="1695" spans="1:1" hidden="1" x14ac:dyDescent="0.3">
      <c r="A1695" s="36"/>
    </row>
    <row r="1696" spans="1:1" hidden="1" x14ac:dyDescent="0.3">
      <c r="A1696" s="36"/>
    </row>
    <row r="1697" spans="1:1" hidden="1" x14ac:dyDescent="0.3">
      <c r="A1697" s="36"/>
    </row>
    <row r="1698" spans="1:1" hidden="1" x14ac:dyDescent="0.3">
      <c r="A1698" s="36"/>
    </row>
    <row r="1699" spans="1:1" hidden="1" x14ac:dyDescent="0.3">
      <c r="A1699" s="36"/>
    </row>
    <row r="1700" spans="1:1" hidden="1" x14ac:dyDescent="0.3">
      <c r="A1700" s="36"/>
    </row>
    <row r="1701" spans="1:1" hidden="1" x14ac:dyDescent="0.3">
      <c r="A1701" s="36"/>
    </row>
    <row r="1702" spans="1:1" hidden="1" x14ac:dyDescent="0.3">
      <c r="A1702" s="36"/>
    </row>
    <row r="1703" spans="1:1" hidden="1" x14ac:dyDescent="0.3">
      <c r="A1703" s="36"/>
    </row>
    <row r="1704" spans="1:1" hidden="1" x14ac:dyDescent="0.3">
      <c r="A1704" s="36"/>
    </row>
    <row r="1705" spans="1:1" hidden="1" x14ac:dyDescent="0.3">
      <c r="A1705" s="36"/>
    </row>
    <row r="1706" spans="1:1" hidden="1" x14ac:dyDescent="0.3">
      <c r="A1706" s="36"/>
    </row>
    <row r="1707" spans="1:1" hidden="1" x14ac:dyDescent="0.3">
      <c r="A1707" s="36"/>
    </row>
    <row r="1708" spans="1:1" hidden="1" x14ac:dyDescent="0.3">
      <c r="A1708" s="36"/>
    </row>
    <row r="1709" spans="1:1" hidden="1" x14ac:dyDescent="0.3">
      <c r="A1709" s="36"/>
    </row>
    <row r="1710" spans="1:1" hidden="1" x14ac:dyDescent="0.3">
      <c r="A1710" s="36"/>
    </row>
    <row r="1711" spans="1:1" hidden="1" x14ac:dyDescent="0.3">
      <c r="A1711" s="36"/>
    </row>
    <row r="1712" spans="1:1" hidden="1" x14ac:dyDescent="0.3">
      <c r="A1712" s="36"/>
    </row>
    <row r="1713" spans="1:1" hidden="1" x14ac:dyDescent="0.3">
      <c r="A1713" s="36"/>
    </row>
    <row r="1714" spans="1:1" hidden="1" x14ac:dyDescent="0.3">
      <c r="A1714" s="36"/>
    </row>
    <row r="1715" spans="1:1" hidden="1" x14ac:dyDescent="0.3">
      <c r="A1715" s="36"/>
    </row>
    <row r="1716" spans="1:1" hidden="1" x14ac:dyDescent="0.3">
      <c r="A1716" s="36"/>
    </row>
    <row r="1717" spans="1:1" hidden="1" x14ac:dyDescent="0.3">
      <c r="A1717" s="36"/>
    </row>
    <row r="1718" spans="1:1" hidden="1" x14ac:dyDescent="0.3">
      <c r="A1718" s="36"/>
    </row>
    <row r="1719" spans="1:1" hidden="1" x14ac:dyDescent="0.3">
      <c r="A1719" s="36"/>
    </row>
    <row r="1720" spans="1:1" hidden="1" x14ac:dyDescent="0.3">
      <c r="A1720" s="36"/>
    </row>
    <row r="1721" spans="1:1" hidden="1" x14ac:dyDescent="0.3">
      <c r="A1721" s="36"/>
    </row>
    <row r="1722" spans="1:1" hidden="1" x14ac:dyDescent="0.3">
      <c r="A1722" s="36"/>
    </row>
    <row r="1723" spans="1:1" hidden="1" x14ac:dyDescent="0.3">
      <c r="A1723" s="36"/>
    </row>
    <row r="1724" spans="1:1" hidden="1" x14ac:dyDescent="0.3">
      <c r="A1724" s="36"/>
    </row>
    <row r="1725" spans="1:1" hidden="1" x14ac:dyDescent="0.3">
      <c r="A1725" s="36"/>
    </row>
    <row r="1726" spans="1:1" hidden="1" x14ac:dyDescent="0.3">
      <c r="A1726" s="36"/>
    </row>
    <row r="1727" spans="1:1" hidden="1" x14ac:dyDescent="0.3">
      <c r="A1727" s="36"/>
    </row>
    <row r="1728" spans="1:1" hidden="1" x14ac:dyDescent="0.3">
      <c r="A1728" s="36"/>
    </row>
    <row r="1729" spans="1:1" hidden="1" x14ac:dyDescent="0.3">
      <c r="A1729" s="36"/>
    </row>
    <row r="1730" spans="1:1" hidden="1" x14ac:dyDescent="0.3">
      <c r="A1730" s="36"/>
    </row>
    <row r="1731" spans="1:1" hidden="1" x14ac:dyDescent="0.3">
      <c r="A1731" s="36"/>
    </row>
    <row r="1732" spans="1:1" hidden="1" x14ac:dyDescent="0.3">
      <c r="A1732" s="36"/>
    </row>
    <row r="1733" spans="1:1" hidden="1" x14ac:dyDescent="0.3">
      <c r="A1733" s="36"/>
    </row>
    <row r="1734" spans="1:1" hidden="1" x14ac:dyDescent="0.3">
      <c r="A1734" s="36"/>
    </row>
    <row r="1735" spans="1:1" hidden="1" x14ac:dyDescent="0.3">
      <c r="A1735" s="36"/>
    </row>
    <row r="1736" spans="1:1" hidden="1" x14ac:dyDescent="0.3">
      <c r="A1736" s="36"/>
    </row>
    <row r="1737" spans="1:1" hidden="1" x14ac:dyDescent="0.3">
      <c r="A1737" s="36"/>
    </row>
    <row r="1738" spans="1:1" hidden="1" x14ac:dyDescent="0.3">
      <c r="A1738" s="36"/>
    </row>
    <row r="1739" spans="1:1" hidden="1" x14ac:dyDescent="0.3">
      <c r="A1739" s="36"/>
    </row>
    <row r="1740" spans="1:1" hidden="1" x14ac:dyDescent="0.3">
      <c r="A1740" s="36"/>
    </row>
    <row r="1741" spans="1:1" hidden="1" x14ac:dyDescent="0.3">
      <c r="A1741" s="36"/>
    </row>
    <row r="1742" spans="1:1" hidden="1" x14ac:dyDescent="0.3">
      <c r="A1742" s="36"/>
    </row>
    <row r="1743" spans="1:1" hidden="1" x14ac:dyDescent="0.3">
      <c r="A1743" s="36"/>
    </row>
    <row r="1744" spans="1:1" hidden="1" x14ac:dyDescent="0.3">
      <c r="A1744" s="36"/>
    </row>
    <row r="1745" spans="1:1" hidden="1" x14ac:dyDescent="0.3">
      <c r="A1745" s="36"/>
    </row>
    <row r="1746" spans="1:1" hidden="1" x14ac:dyDescent="0.3">
      <c r="A1746" s="36"/>
    </row>
    <row r="1747" spans="1:1" hidden="1" x14ac:dyDescent="0.3">
      <c r="A1747" s="36"/>
    </row>
    <row r="1748" spans="1:1" hidden="1" x14ac:dyDescent="0.3">
      <c r="A1748" s="36"/>
    </row>
    <row r="1749" spans="1:1" hidden="1" x14ac:dyDescent="0.3">
      <c r="A1749" s="36"/>
    </row>
    <row r="1750" spans="1:1" hidden="1" x14ac:dyDescent="0.3">
      <c r="A1750" s="36"/>
    </row>
    <row r="1751" spans="1:1" hidden="1" x14ac:dyDescent="0.3">
      <c r="A1751" s="36"/>
    </row>
    <row r="1752" spans="1:1" hidden="1" x14ac:dyDescent="0.3">
      <c r="A1752" s="36"/>
    </row>
    <row r="1753" spans="1:1" hidden="1" x14ac:dyDescent="0.3">
      <c r="A1753" s="36"/>
    </row>
    <row r="1754" spans="1:1" hidden="1" x14ac:dyDescent="0.3">
      <c r="A1754" s="36"/>
    </row>
    <row r="1755" spans="1:1" hidden="1" x14ac:dyDescent="0.3">
      <c r="A1755" s="36"/>
    </row>
    <row r="1756" spans="1:1" hidden="1" x14ac:dyDescent="0.3">
      <c r="A1756" s="36"/>
    </row>
    <row r="1757" spans="1:1" hidden="1" x14ac:dyDescent="0.3">
      <c r="A1757" s="36"/>
    </row>
    <row r="1758" spans="1:1" hidden="1" x14ac:dyDescent="0.3">
      <c r="A1758" s="36"/>
    </row>
    <row r="1759" spans="1:1" hidden="1" x14ac:dyDescent="0.3">
      <c r="A1759" s="36"/>
    </row>
    <row r="1760" spans="1:1" hidden="1" x14ac:dyDescent="0.3">
      <c r="A1760" s="36"/>
    </row>
    <row r="1761" spans="1:1" hidden="1" x14ac:dyDescent="0.3">
      <c r="A1761" s="36"/>
    </row>
    <row r="1762" spans="1:1" hidden="1" x14ac:dyDescent="0.3">
      <c r="A1762" s="36"/>
    </row>
    <row r="1763" spans="1:1" hidden="1" x14ac:dyDescent="0.3">
      <c r="A1763" s="36"/>
    </row>
    <row r="1764" spans="1:1" hidden="1" x14ac:dyDescent="0.3">
      <c r="A1764" s="36"/>
    </row>
    <row r="1765" spans="1:1" hidden="1" x14ac:dyDescent="0.3">
      <c r="A1765" s="36"/>
    </row>
    <row r="1766" spans="1:1" hidden="1" x14ac:dyDescent="0.3">
      <c r="A1766" s="36"/>
    </row>
    <row r="1767" spans="1:1" hidden="1" x14ac:dyDescent="0.3">
      <c r="A1767" s="36"/>
    </row>
    <row r="1768" spans="1:1" hidden="1" x14ac:dyDescent="0.3">
      <c r="A1768" s="36"/>
    </row>
    <row r="1769" spans="1:1" hidden="1" x14ac:dyDescent="0.3">
      <c r="A1769" s="36"/>
    </row>
    <row r="1770" spans="1:1" hidden="1" x14ac:dyDescent="0.3">
      <c r="A1770" s="36"/>
    </row>
    <row r="1771" spans="1:1" hidden="1" x14ac:dyDescent="0.3">
      <c r="A1771" s="36"/>
    </row>
    <row r="1772" spans="1:1" hidden="1" x14ac:dyDescent="0.3">
      <c r="A1772" s="36"/>
    </row>
    <row r="1773" spans="1:1" hidden="1" x14ac:dyDescent="0.3">
      <c r="A1773" s="36"/>
    </row>
    <row r="1774" spans="1:1" hidden="1" x14ac:dyDescent="0.3">
      <c r="A1774" s="36"/>
    </row>
    <row r="1775" spans="1:1" hidden="1" x14ac:dyDescent="0.3">
      <c r="A1775" s="36"/>
    </row>
    <row r="1776" spans="1:1" hidden="1" x14ac:dyDescent="0.3">
      <c r="A1776" s="36"/>
    </row>
    <row r="1777" spans="1:1" hidden="1" x14ac:dyDescent="0.3">
      <c r="A1777" s="36"/>
    </row>
    <row r="1778" spans="1:1" hidden="1" x14ac:dyDescent="0.3">
      <c r="A1778" s="36"/>
    </row>
    <row r="1779" spans="1:1" hidden="1" x14ac:dyDescent="0.3">
      <c r="A1779" s="36"/>
    </row>
    <row r="1780" spans="1:1" hidden="1" x14ac:dyDescent="0.3">
      <c r="A1780" s="36"/>
    </row>
    <row r="1781" spans="1:1" hidden="1" x14ac:dyDescent="0.3">
      <c r="A1781" s="36"/>
    </row>
    <row r="1782" spans="1:1" hidden="1" x14ac:dyDescent="0.3">
      <c r="A1782" s="36"/>
    </row>
    <row r="1783" spans="1:1" hidden="1" x14ac:dyDescent="0.3">
      <c r="A1783" s="36"/>
    </row>
    <row r="1784" spans="1:1" hidden="1" x14ac:dyDescent="0.3">
      <c r="A1784" s="36"/>
    </row>
    <row r="1785" spans="1:1" hidden="1" x14ac:dyDescent="0.3">
      <c r="A1785" s="36"/>
    </row>
    <row r="1786" spans="1:1" hidden="1" x14ac:dyDescent="0.3">
      <c r="A1786" s="36"/>
    </row>
    <row r="1787" spans="1:1" hidden="1" x14ac:dyDescent="0.3">
      <c r="A1787" s="36"/>
    </row>
    <row r="1788" spans="1:1" hidden="1" x14ac:dyDescent="0.3">
      <c r="A1788" s="36"/>
    </row>
    <row r="1789" spans="1:1" hidden="1" x14ac:dyDescent="0.3">
      <c r="A1789" s="36"/>
    </row>
    <row r="1790" spans="1:1" hidden="1" x14ac:dyDescent="0.3">
      <c r="A1790" s="36"/>
    </row>
    <row r="1791" spans="1:1" hidden="1" x14ac:dyDescent="0.3">
      <c r="A1791" s="36"/>
    </row>
    <row r="1792" spans="1:1" hidden="1" x14ac:dyDescent="0.3">
      <c r="A1792" s="36"/>
    </row>
    <row r="1793" spans="1:1" hidden="1" x14ac:dyDescent="0.3">
      <c r="A1793" s="36"/>
    </row>
    <row r="1794" spans="1:1" hidden="1" x14ac:dyDescent="0.3">
      <c r="A1794" s="36"/>
    </row>
    <row r="1795" spans="1:1" hidden="1" x14ac:dyDescent="0.3">
      <c r="A1795" s="36"/>
    </row>
    <row r="1796" spans="1:1" hidden="1" x14ac:dyDescent="0.3">
      <c r="A1796" s="36"/>
    </row>
    <row r="1797" spans="1:1" hidden="1" x14ac:dyDescent="0.3">
      <c r="A1797" s="36"/>
    </row>
    <row r="1798" spans="1:1" hidden="1" x14ac:dyDescent="0.3">
      <c r="A1798" s="36"/>
    </row>
    <row r="1799" spans="1:1" hidden="1" x14ac:dyDescent="0.3">
      <c r="A1799" s="36"/>
    </row>
    <row r="1800" spans="1:1" hidden="1" x14ac:dyDescent="0.3">
      <c r="A1800" s="36"/>
    </row>
    <row r="1801" spans="1:1" hidden="1" x14ac:dyDescent="0.3">
      <c r="A1801" s="36"/>
    </row>
    <row r="1802" spans="1:1" hidden="1" x14ac:dyDescent="0.3">
      <c r="A1802" s="36"/>
    </row>
    <row r="1803" spans="1:1" hidden="1" x14ac:dyDescent="0.3">
      <c r="A1803" s="36"/>
    </row>
    <row r="1804" spans="1:1" hidden="1" x14ac:dyDescent="0.3">
      <c r="A1804" s="36"/>
    </row>
    <row r="1805" spans="1:1" hidden="1" x14ac:dyDescent="0.3">
      <c r="A1805" s="36"/>
    </row>
    <row r="1806" spans="1:1" hidden="1" x14ac:dyDescent="0.3">
      <c r="A1806" s="36"/>
    </row>
    <row r="1807" spans="1:1" hidden="1" x14ac:dyDescent="0.3">
      <c r="A1807" s="36"/>
    </row>
    <row r="1808" spans="1:1" hidden="1" x14ac:dyDescent="0.3">
      <c r="A1808" s="36"/>
    </row>
    <row r="1809" spans="1:1" hidden="1" x14ac:dyDescent="0.3">
      <c r="A1809" s="36"/>
    </row>
    <row r="1810" spans="1:1" hidden="1" x14ac:dyDescent="0.3">
      <c r="A1810" s="36"/>
    </row>
    <row r="1811" spans="1:1" hidden="1" x14ac:dyDescent="0.3">
      <c r="A1811" s="36"/>
    </row>
    <row r="1812" spans="1:1" hidden="1" x14ac:dyDescent="0.3">
      <c r="A1812" s="36"/>
    </row>
    <row r="1813" spans="1:1" hidden="1" x14ac:dyDescent="0.3">
      <c r="A1813" s="36"/>
    </row>
    <row r="1814" spans="1:1" hidden="1" x14ac:dyDescent="0.3">
      <c r="A1814" s="36"/>
    </row>
    <row r="1815" spans="1:1" hidden="1" x14ac:dyDescent="0.3">
      <c r="A1815" s="36"/>
    </row>
    <row r="1816" spans="1:1" hidden="1" x14ac:dyDescent="0.3">
      <c r="A1816" s="36"/>
    </row>
    <row r="1817" spans="1:1" hidden="1" x14ac:dyDescent="0.3">
      <c r="A1817" s="36"/>
    </row>
    <row r="1818" spans="1:1" hidden="1" x14ac:dyDescent="0.3">
      <c r="A1818" s="36"/>
    </row>
    <row r="1819" spans="1:1" hidden="1" x14ac:dyDescent="0.3">
      <c r="A1819" s="36"/>
    </row>
    <row r="1820" spans="1:1" hidden="1" x14ac:dyDescent="0.3">
      <c r="A1820" s="36"/>
    </row>
    <row r="1821" spans="1:1" hidden="1" x14ac:dyDescent="0.3">
      <c r="A1821" s="36"/>
    </row>
    <row r="1822" spans="1:1" hidden="1" x14ac:dyDescent="0.3">
      <c r="A1822" s="36"/>
    </row>
    <row r="1823" spans="1:1" hidden="1" x14ac:dyDescent="0.3">
      <c r="A1823" s="36"/>
    </row>
    <row r="1824" spans="1:1" hidden="1" x14ac:dyDescent="0.3">
      <c r="A1824" s="36"/>
    </row>
    <row r="1825" spans="1:1" hidden="1" x14ac:dyDescent="0.3">
      <c r="A1825" s="36"/>
    </row>
    <row r="1826" spans="1:1" hidden="1" x14ac:dyDescent="0.3">
      <c r="A1826" s="36"/>
    </row>
    <row r="1827" spans="1:1" hidden="1" x14ac:dyDescent="0.3">
      <c r="A1827" s="36"/>
    </row>
    <row r="1828" spans="1:1" hidden="1" x14ac:dyDescent="0.3">
      <c r="A1828" s="36"/>
    </row>
    <row r="1829" spans="1:1" hidden="1" x14ac:dyDescent="0.3">
      <c r="A1829" s="36"/>
    </row>
    <row r="1830" spans="1:1" hidden="1" x14ac:dyDescent="0.3">
      <c r="A1830" s="36"/>
    </row>
    <row r="1831" spans="1:1" hidden="1" x14ac:dyDescent="0.3">
      <c r="A1831" s="36"/>
    </row>
    <row r="1832" spans="1:1" hidden="1" x14ac:dyDescent="0.3">
      <c r="A1832" s="36"/>
    </row>
    <row r="1833" spans="1:1" hidden="1" x14ac:dyDescent="0.3">
      <c r="A1833" s="36"/>
    </row>
    <row r="1834" spans="1:1" hidden="1" x14ac:dyDescent="0.3">
      <c r="A1834" s="36"/>
    </row>
    <row r="1835" spans="1:1" hidden="1" x14ac:dyDescent="0.3">
      <c r="A1835" s="36"/>
    </row>
    <row r="1836" spans="1:1" hidden="1" x14ac:dyDescent="0.3">
      <c r="A1836" s="36"/>
    </row>
    <row r="1837" spans="1:1" hidden="1" x14ac:dyDescent="0.3">
      <c r="A1837" s="36"/>
    </row>
    <row r="1838" spans="1:1" hidden="1" x14ac:dyDescent="0.3">
      <c r="A1838" s="36"/>
    </row>
    <row r="1839" spans="1:1" hidden="1" x14ac:dyDescent="0.3">
      <c r="A1839" s="36"/>
    </row>
    <row r="1840" spans="1:1" hidden="1" x14ac:dyDescent="0.3">
      <c r="A1840" s="36"/>
    </row>
    <row r="1841" spans="1:1" hidden="1" x14ac:dyDescent="0.3">
      <c r="A1841" s="36"/>
    </row>
    <row r="1842" spans="1:1" hidden="1" x14ac:dyDescent="0.3">
      <c r="A1842" s="36"/>
    </row>
    <row r="1843" spans="1:1" hidden="1" x14ac:dyDescent="0.3">
      <c r="A1843" s="36"/>
    </row>
    <row r="1844" spans="1:1" hidden="1" x14ac:dyDescent="0.3">
      <c r="A1844" s="36"/>
    </row>
    <row r="1845" spans="1:1" hidden="1" x14ac:dyDescent="0.3">
      <c r="A1845" s="36"/>
    </row>
    <row r="1846" spans="1:1" hidden="1" x14ac:dyDescent="0.3">
      <c r="A1846" s="36"/>
    </row>
    <row r="1847" spans="1:1" hidden="1" x14ac:dyDescent="0.3">
      <c r="A1847" s="36"/>
    </row>
    <row r="1848" spans="1:1" hidden="1" x14ac:dyDescent="0.3">
      <c r="A1848" s="36"/>
    </row>
    <row r="1849" spans="1:1" hidden="1" x14ac:dyDescent="0.3">
      <c r="A1849" s="36"/>
    </row>
    <row r="1850" spans="1:1" hidden="1" x14ac:dyDescent="0.3">
      <c r="A1850" s="36"/>
    </row>
    <row r="1851" spans="1:1" hidden="1" x14ac:dyDescent="0.3">
      <c r="A1851" s="36"/>
    </row>
    <row r="1852" spans="1:1" hidden="1" x14ac:dyDescent="0.3">
      <c r="A1852" s="36"/>
    </row>
    <row r="1853" spans="1:1" hidden="1" x14ac:dyDescent="0.3">
      <c r="A1853" s="36"/>
    </row>
    <row r="1854" spans="1:1" hidden="1" x14ac:dyDescent="0.3">
      <c r="A1854" s="36"/>
    </row>
    <row r="1855" spans="1:1" hidden="1" x14ac:dyDescent="0.3">
      <c r="A1855" s="36"/>
    </row>
    <row r="1856" spans="1:1" hidden="1" x14ac:dyDescent="0.3">
      <c r="A1856" s="36"/>
    </row>
    <row r="1857" spans="1:1" hidden="1" x14ac:dyDescent="0.3">
      <c r="A1857" s="36"/>
    </row>
    <row r="1858" spans="1:1" hidden="1" x14ac:dyDescent="0.3">
      <c r="A1858" s="36"/>
    </row>
    <row r="1859" spans="1:1" hidden="1" x14ac:dyDescent="0.3">
      <c r="A1859" s="36"/>
    </row>
    <row r="1860" spans="1:1" hidden="1" x14ac:dyDescent="0.3">
      <c r="A1860" s="36"/>
    </row>
    <row r="1861" spans="1:1" hidden="1" x14ac:dyDescent="0.3">
      <c r="A1861" s="36"/>
    </row>
    <row r="1862" spans="1:1" hidden="1" x14ac:dyDescent="0.3">
      <c r="A1862" s="36"/>
    </row>
    <row r="1863" spans="1:1" hidden="1" x14ac:dyDescent="0.3">
      <c r="A1863" s="36"/>
    </row>
    <row r="1864" spans="1:1" hidden="1" x14ac:dyDescent="0.3">
      <c r="A1864" s="36"/>
    </row>
    <row r="1865" spans="1:1" hidden="1" x14ac:dyDescent="0.3">
      <c r="A1865" s="36"/>
    </row>
    <row r="1866" spans="1:1" hidden="1" x14ac:dyDescent="0.3">
      <c r="A1866" s="36"/>
    </row>
    <row r="1867" spans="1:1" hidden="1" x14ac:dyDescent="0.3">
      <c r="A1867" s="36"/>
    </row>
    <row r="1868" spans="1:1" hidden="1" x14ac:dyDescent="0.3">
      <c r="A1868" s="36"/>
    </row>
    <row r="1869" spans="1:1" hidden="1" x14ac:dyDescent="0.3">
      <c r="A1869" s="36"/>
    </row>
    <row r="1870" spans="1:1" hidden="1" x14ac:dyDescent="0.3">
      <c r="A1870" s="36"/>
    </row>
    <row r="1871" spans="1:1" hidden="1" x14ac:dyDescent="0.3">
      <c r="A1871" s="36"/>
    </row>
    <row r="1872" spans="1:1" hidden="1" x14ac:dyDescent="0.3">
      <c r="A1872" s="36"/>
    </row>
    <row r="1873" spans="1:1" hidden="1" x14ac:dyDescent="0.3">
      <c r="A1873" s="36"/>
    </row>
    <row r="1874" spans="1:1" hidden="1" x14ac:dyDescent="0.3">
      <c r="A1874" s="36"/>
    </row>
    <row r="1875" spans="1:1" hidden="1" x14ac:dyDescent="0.3">
      <c r="A1875" s="36"/>
    </row>
    <row r="1876" spans="1:1" hidden="1" x14ac:dyDescent="0.3">
      <c r="A1876" s="36"/>
    </row>
    <row r="1877" spans="1:1" hidden="1" x14ac:dyDescent="0.3">
      <c r="A1877" s="36"/>
    </row>
    <row r="1878" spans="1:1" hidden="1" x14ac:dyDescent="0.3">
      <c r="A1878" s="36"/>
    </row>
    <row r="1879" spans="1:1" hidden="1" x14ac:dyDescent="0.3">
      <c r="A1879" s="36"/>
    </row>
    <row r="1880" spans="1:1" hidden="1" x14ac:dyDescent="0.3">
      <c r="A1880" s="36"/>
    </row>
    <row r="1881" spans="1:1" hidden="1" x14ac:dyDescent="0.3">
      <c r="A1881" s="36"/>
    </row>
    <row r="1882" spans="1:1" hidden="1" x14ac:dyDescent="0.3">
      <c r="A1882" s="36"/>
    </row>
    <row r="1883" spans="1:1" hidden="1" x14ac:dyDescent="0.3">
      <c r="A1883" s="36"/>
    </row>
    <row r="1884" spans="1:1" hidden="1" x14ac:dyDescent="0.3">
      <c r="A1884" s="36"/>
    </row>
    <row r="1885" spans="1:1" hidden="1" x14ac:dyDescent="0.3">
      <c r="A1885" s="36"/>
    </row>
    <row r="1886" spans="1:1" hidden="1" x14ac:dyDescent="0.3">
      <c r="A1886" s="36"/>
    </row>
    <row r="1887" spans="1:1" hidden="1" x14ac:dyDescent="0.3">
      <c r="A1887" s="36"/>
    </row>
    <row r="1888" spans="1:1" hidden="1" x14ac:dyDescent="0.3">
      <c r="A1888" s="36"/>
    </row>
    <row r="1889" spans="1:1" hidden="1" x14ac:dyDescent="0.3">
      <c r="A1889" s="36"/>
    </row>
    <row r="1890" spans="1:1" hidden="1" x14ac:dyDescent="0.3">
      <c r="A1890" s="36"/>
    </row>
    <row r="1891" spans="1:1" hidden="1" x14ac:dyDescent="0.3">
      <c r="A1891" s="36"/>
    </row>
    <row r="1892" spans="1:1" hidden="1" x14ac:dyDescent="0.3">
      <c r="A1892" s="36"/>
    </row>
    <row r="1893" spans="1:1" hidden="1" x14ac:dyDescent="0.3">
      <c r="A1893" s="36"/>
    </row>
    <row r="1894" spans="1:1" hidden="1" x14ac:dyDescent="0.3">
      <c r="A1894" s="36"/>
    </row>
    <row r="1895" spans="1:1" hidden="1" x14ac:dyDescent="0.3">
      <c r="A1895" s="36"/>
    </row>
    <row r="1896" spans="1:1" hidden="1" x14ac:dyDescent="0.3">
      <c r="A1896" s="36"/>
    </row>
    <row r="1897" spans="1:1" hidden="1" x14ac:dyDescent="0.3">
      <c r="A1897" s="36"/>
    </row>
    <row r="1898" spans="1:1" hidden="1" x14ac:dyDescent="0.3">
      <c r="A1898" s="36"/>
    </row>
    <row r="1899" spans="1:1" hidden="1" x14ac:dyDescent="0.3">
      <c r="A1899" s="36"/>
    </row>
    <row r="1900" spans="1:1" hidden="1" x14ac:dyDescent="0.3">
      <c r="A1900" s="36"/>
    </row>
    <row r="1901" spans="1:1" hidden="1" x14ac:dyDescent="0.3">
      <c r="A1901" s="36"/>
    </row>
    <row r="1902" spans="1:1" hidden="1" x14ac:dyDescent="0.3">
      <c r="A1902" s="36"/>
    </row>
    <row r="1903" spans="1:1" hidden="1" x14ac:dyDescent="0.3">
      <c r="A1903" s="36"/>
    </row>
    <row r="1904" spans="1:1" hidden="1" x14ac:dyDescent="0.3">
      <c r="A1904" s="36"/>
    </row>
    <row r="1905" spans="1:1" hidden="1" x14ac:dyDescent="0.3">
      <c r="A1905" s="36"/>
    </row>
    <row r="1906" spans="1:1" hidden="1" x14ac:dyDescent="0.3">
      <c r="A1906" s="36"/>
    </row>
    <row r="1907" spans="1:1" hidden="1" x14ac:dyDescent="0.3">
      <c r="A1907" s="36"/>
    </row>
    <row r="1908" spans="1:1" hidden="1" x14ac:dyDescent="0.3">
      <c r="A1908" s="36"/>
    </row>
    <row r="1909" spans="1:1" hidden="1" x14ac:dyDescent="0.3">
      <c r="A1909" s="36"/>
    </row>
    <row r="1910" spans="1:1" hidden="1" x14ac:dyDescent="0.3">
      <c r="A1910" s="36"/>
    </row>
    <row r="1911" spans="1:1" hidden="1" x14ac:dyDescent="0.3">
      <c r="A1911" s="36"/>
    </row>
    <row r="1912" spans="1:1" hidden="1" x14ac:dyDescent="0.3">
      <c r="A1912" s="36"/>
    </row>
    <row r="1913" spans="1:1" hidden="1" x14ac:dyDescent="0.3">
      <c r="A1913" s="36"/>
    </row>
    <row r="1914" spans="1:1" hidden="1" x14ac:dyDescent="0.3">
      <c r="A1914" s="36"/>
    </row>
    <row r="1915" spans="1:1" hidden="1" x14ac:dyDescent="0.3">
      <c r="A1915" s="36"/>
    </row>
    <row r="1916" spans="1:1" hidden="1" x14ac:dyDescent="0.3">
      <c r="A1916" s="36"/>
    </row>
    <row r="1917" spans="1:1" hidden="1" x14ac:dyDescent="0.3">
      <c r="A1917" s="36"/>
    </row>
    <row r="1918" spans="1:1" hidden="1" x14ac:dyDescent="0.3">
      <c r="A1918" s="36"/>
    </row>
    <row r="1919" spans="1:1" hidden="1" x14ac:dyDescent="0.3">
      <c r="A1919" s="36"/>
    </row>
    <row r="1920" spans="1:1" hidden="1" x14ac:dyDescent="0.3">
      <c r="A1920" s="36"/>
    </row>
    <row r="1921" spans="1:1" hidden="1" x14ac:dyDescent="0.3">
      <c r="A1921" s="36"/>
    </row>
    <row r="1922" spans="1:1" hidden="1" x14ac:dyDescent="0.3">
      <c r="A1922" s="36"/>
    </row>
    <row r="1923" spans="1:1" hidden="1" x14ac:dyDescent="0.3">
      <c r="A1923" s="36"/>
    </row>
    <row r="1924" spans="1:1" hidden="1" x14ac:dyDescent="0.3">
      <c r="A1924" s="36"/>
    </row>
    <row r="1925" spans="1:1" hidden="1" x14ac:dyDescent="0.3">
      <c r="A1925" s="36"/>
    </row>
    <row r="1926" spans="1:1" hidden="1" x14ac:dyDescent="0.3">
      <c r="A1926" s="36"/>
    </row>
    <row r="1927" spans="1:1" hidden="1" x14ac:dyDescent="0.3">
      <c r="A1927" s="36"/>
    </row>
    <row r="1928" spans="1:1" hidden="1" x14ac:dyDescent="0.3">
      <c r="A1928" s="36"/>
    </row>
    <row r="1929" spans="1:1" hidden="1" x14ac:dyDescent="0.3">
      <c r="A1929" s="36"/>
    </row>
    <row r="1930" spans="1:1" hidden="1" x14ac:dyDescent="0.3">
      <c r="A1930" s="36"/>
    </row>
    <row r="1931" spans="1:1" hidden="1" x14ac:dyDescent="0.3">
      <c r="A1931" s="36"/>
    </row>
    <row r="1932" spans="1:1" hidden="1" x14ac:dyDescent="0.3">
      <c r="A1932" s="36"/>
    </row>
    <row r="1933" spans="1:1" hidden="1" x14ac:dyDescent="0.3">
      <c r="A1933" s="36"/>
    </row>
    <row r="1934" spans="1:1" hidden="1" x14ac:dyDescent="0.3">
      <c r="A1934" s="36"/>
    </row>
    <row r="1935" spans="1:1" hidden="1" x14ac:dyDescent="0.3">
      <c r="A1935" s="36"/>
    </row>
    <row r="1936" spans="1:1" hidden="1" x14ac:dyDescent="0.3">
      <c r="A1936" s="36"/>
    </row>
    <row r="1937" spans="1:1" hidden="1" x14ac:dyDescent="0.3">
      <c r="A1937" s="36"/>
    </row>
    <row r="1938" spans="1:1" hidden="1" x14ac:dyDescent="0.3">
      <c r="A1938" s="36"/>
    </row>
    <row r="1939" spans="1:1" hidden="1" x14ac:dyDescent="0.3">
      <c r="A1939" s="36"/>
    </row>
    <row r="1940" spans="1:1" hidden="1" x14ac:dyDescent="0.3">
      <c r="A1940" s="36"/>
    </row>
    <row r="1941" spans="1:1" hidden="1" x14ac:dyDescent="0.3">
      <c r="A1941" s="36"/>
    </row>
    <row r="1942" spans="1:1" hidden="1" x14ac:dyDescent="0.3">
      <c r="A1942" s="36"/>
    </row>
    <row r="1943" spans="1:1" hidden="1" x14ac:dyDescent="0.3">
      <c r="A1943" s="36"/>
    </row>
    <row r="1944" spans="1:1" hidden="1" x14ac:dyDescent="0.3">
      <c r="A1944" s="36"/>
    </row>
    <row r="1945" spans="1:1" hidden="1" x14ac:dyDescent="0.3">
      <c r="A1945" s="36"/>
    </row>
    <row r="1946" spans="1:1" hidden="1" x14ac:dyDescent="0.3">
      <c r="A1946" s="36"/>
    </row>
    <row r="1947" spans="1:1" hidden="1" x14ac:dyDescent="0.3">
      <c r="A1947" s="36"/>
    </row>
    <row r="1948" spans="1:1" hidden="1" x14ac:dyDescent="0.3">
      <c r="A1948" s="36"/>
    </row>
    <row r="1949" spans="1:1" hidden="1" x14ac:dyDescent="0.3">
      <c r="A1949" s="36"/>
    </row>
    <row r="1950" spans="1:1" hidden="1" x14ac:dyDescent="0.3">
      <c r="A1950" s="36"/>
    </row>
    <row r="1951" spans="1:1" hidden="1" x14ac:dyDescent="0.3">
      <c r="A1951" s="36"/>
    </row>
    <row r="1952" spans="1:1" hidden="1" x14ac:dyDescent="0.3">
      <c r="A1952" s="36"/>
    </row>
    <row r="1953" spans="1:1" hidden="1" x14ac:dyDescent="0.3">
      <c r="A1953" s="36"/>
    </row>
    <row r="1954" spans="1:1" hidden="1" x14ac:dyDescent="0.3">
      <c r="A1954" s="36"/>
    </row>
    <row r="1955" spans="1:1" hidden="1" x14ac:dyDescent="0.3">
      <c r="A1955" s="36"/>
    </row>
    <row r="1956" spans="1:1" hidden="1" x14ac:dyDescent="0.3">
      <c r="A1956" s="36"/>
    </row>
    <row r="1957" spans="1:1" hidden="1" x14ac:dyDescent="0.3">
      <c r="A1957" s="36"/>
    </row>
    <row r="1958" spans="1:1" hidden="1" x14ac:dyDescent="0.3">
      <c r="A1958" s="36"/>
    </row>
    <row r="1959" spans="1:1" hidden="1" x14ac:dyDescent="0.3">
      <c r="A1959" s="36"/>
    </row>
    <row r="1960" spans="1:1" hidden="1" x14ac:dyDescent="0.3">
      <c r="A1960" s="36"/>
    </row>
    <row r="1961" spans="1:1" hidden="1" x14ac:dyDescent="0.3">
      <c r="A1961" s="36"/>
    </row>
    <row r="1962" spans="1:1" hidden="1" x14ac:dyDescent="0.3">
      <c r="A1962" s="36"/>
    </row>
    <row r="1963" spans="1:1" hidden="1" x14ac:dyDescent="0.3">
      <c r="A1963" s="36"/>
    </row>
    <row r="1964" spans="1:1" hidden="1" x14ac:dyDescent="0.3">
      <c r="A1964" s="36"/>
    </row>
    <row r="1965" spans="1:1" hidden="1" x14ac:dyDescent="0.3">
      <c r="A1965" s="36"/>
    </row>
    <row r="1966" spans="1:1" hidden="1" x14ac:dyDescent="0.3">
      <c r="A1966" s="36"/>
    </row>
    <row r="1967" spans="1:1" hidden="1" x14ac:dyDescent="0.3">
      <c r="A1967" s="36"/>
    </row>
    <row r="1968" spans="1:1" hidden="1" x14ac:dyDescent="0.3">
      <c r="A1968" s="36"/>
    </row>
    <row r="1969" spans="1:1" hidden="1" x14ac:dyDescent="0.3">
      <c r="A1969" s="36"/>
    </row>
    <row r="1970" spans="1:1" hidden="1" x14ac:dyDescent="0.3">
      <c r="A1970" s="36"/>
    </row>
    <row r="1971" spans="1:1" hidden="1" x14ac:dyDescent="0.3">
      <c r="A1971" s="36"/>
    </row>
    <row r="1972" spans="1:1" hidden="1" x14ac:dyDescent="0.3">
      <c r="A1972" s="36"/>
    </row>
    <row r="1973" spans="1:1" hidden="1" x14ac:dyDescent="0.3">
      <c r="A1973" s="36"/>
    </row>
    <row r="1974" spans="1:1" hidden="1" x14ac:dyDescent="0.3">
      <c r="A1974" s="36"/>
    </row>
    <row r="1975" spans="1:1" hidden="1" x14ac:dyDescent="0.3">
      <c r="A1975" s="36"/>
    </row>
    <row r="1976" spans="1:1" hidden="1" x14ac:dyDescent="0.3">
      <c r="A1976" s="36"/>
    </row>
    <row r="1977" spans="1:1" hidden="1" x14ac:dyDescent="0.3">
      <c r="A1977" s="36"/>
    </row>
    <row r="1978" spans="1:1" hidden="1" x14ac:dyDescent="0.3">
      <c r="A1978" s="36"/>
    </row>
    <row r="1979" spans="1:1" hidden="1" x14ac:dyDescent="0.3">
      <c r="A1979" s="36"/>
    </row>
    <row r="1980" spans="1:1" hidden="1" x14ac:dyDescent="0.3">
      <c r="A1980" s="36"/>
    </row>
    <row r="1981" spans="1:1" hidden="1" x14ac:dyDescent="0.3">
      <c r="A1981" s="36"/>
    </row>
    <row r="1982" spans="1:1" hidden="1" x14ac:dyDescent="0.3">
      <c r="A1982" s="36"/>
    </row>
    <row r="1983" spans="1:1" hidden="1" x14ac:dyDescent="0.3">
      <c r="A1983" s="36"/>
    </row>
    <row r="1984" spans="1:1" hidden="1" x14ac:dyDescent="0.3">
      <c r="A1984" s="36"/>
    </row>
    <row r="1985" spans="1:1" hidden="1" x14ac:dyDescent="0.3">
      <c r="A1985" s="36"/>
    </row>
    <row r="1986" spans="1:1" hidden="1" x14ac:dyDescent="0.3">
      <c r="A1986" s="36"/>
    </row>
    <row r="1987" spans="1:1" hidden="1" x14ac:dyDescent="0.3">
      <c r="A1987" s="36"/>
    </row>
    <row r="1988" spans="1:1" hidden="1" x14ac:dyDescent="0.3">
      <c r="A1988" s="36"/>
    </row>
    <row r="1989" spans="1:1" hidden="1" x14ac:dyDescent="0.3">
      <c r="A1989" s="36"/>
    </row>
    <row r="1990" spans="1:1" hidden="1" x14ac:dyDescent="0.3">
      <c r="A1990" s="36"/>
    </row>
    <row r="1991" spans="1:1" hidden="1" x14ac:dyDescent="0.3">
      <c r="A1991" s="36"/>
    </row>
    <row r="1992" spans="1:1" hidden="1" x14ac:dyDescent="0.3">
      <c r="A1992" s="36"/>
    </row>
    <row r="1993" spans="1:1" hidden="1" x14ac:dyDescent="0.3">
      <c r="A1993" s="36"/>
    </row>
    <row r="1994" spans="1:1" hidden="1" x14ac:dyDescent="0.3">
      <c r="A1994" s="36"/>
    </row>
    <row r="1995" spans="1:1" hidden="1" x14ac:dyDescent="0.3">
      <c r="A1995" s="36"/>
    </row>
    <row r="1996" spans="1:1" hidden="1" x14ac:dyDescent="0.3">
      <c r="A1996" s="36"/>
    </row>
    <row r="1997" spans="1:1" hidden="1" x14ac:dyDescent="0.3">
      <c r="A1997" s="36"/>
    </row>
    <row r="1998" spans="1:1" hidden="1" x14ac:dyDescent="0.3">
      <c r="A1998" s="36"/>
    </row>
    <row r="1999" spans="1:1" hidden="1" x14ac:dyDescent="0.3">
      <c r="A1999" s="36"/>
    </row>
    <row r="2000" spans="1:1" hidden="1" x14ac:dyDescent="0.3">
      <c r="A2000" s="36"/>
    </row>
    <row r="2001" spans="1:1" hidden="1" x14ac:dyDescent="0.3">
      <c r="A2001" s="36"/>
    </row>
    <row r="2002" spans="1:1" hidden="1" x14ac:dyDescent="0.3">
      <c r="A2002" s="36"/>
    </row>
    <row r="2003" spans="1:1" hidden="1" x14ac:dyDescent="0.3">
      <c r="A2003" s="36"/>
    </row>
    <row r="2004" spans="1:1" hidden="1" x14ac:dyDescent="0.3">
      <c r="A2004" s="36"/>
    </row>
    <row r="2005" spans="1:1" hidden="1" x14ac:dyDescent="0.3">
      <c r="A2005" s="36"/>
    </row>
    <row r="2006" spans="1:1" hidden="1" x14ac:dyDescent="0.3">
      <c r="A2006" s="36"/>
    </row>
    <row r="2007" spans="1:1" hidden="1" x14ac:dyDescent="0.3">
      <c r="A2007" s="36"/>
    </row>
    <row r="2008" spans="1:1" hidden="1" x14ac:dyDescent="0.3">
      <c r="A2008" s="36"/>
    </row>
    <row r="2009" spans="1:1" hidden="1" x14ac:dyDescent="0.3">
      <c r="A2009" s="36"/>
    </row>
    <row r="2010" spans="1:1" hidden="1" x14ac:dyDescent="0.3">
      <c r="A2010" s="36"/>
    </row>
    <row r="2011" spans="1:1" hidden="1" x14ac:dyDescent="0.3">
      <c r="A2011" s="36"/>
    </row>
    <row r="2012" spans="1:1" hidden="1" x14ac:dyDescent="0.3">
      <c r="A2012" s="36"/>
    </row>
    <row r="2013" spans="1:1" hidden="1" x14ac:dyDescent="0.3">
      <c r="A2013" s="36"/>
    </row>
    <row r="2014" spans="1:1" hidden="1" x14ac:dyDescent="0.3">
      <c r="A2014" s="36"/>
    </row>
    <row r="2015" spans="1:1" hidden="1" x14ac:dyDescent="0.3">
      <c r="A2015" s="36"/>
    </row>
    <row r="2016" spans="1:1" hidden="1" x14ac:dyDescent="0.3">
      <c r="A2016" s="36"/>
    </row>
    <row r="2017" spans="1:1" hidden="1" x14ac:dyDescent="0.3">
      <c r="A2017" s="36"/>
    </row>
    <row r="2018" spans="1:1" hidden="1" x14ac:dyDescent="0.3">
      <c r="A2018" s="36"/>
    </row>
    <row r="2019" spans="1:1" hidden="1" x14ac:dyDescent="0.3">
      <c r="A2019" s="36"/>
    </row>
    <row r="2020" spans="1:1" hidden="1" x14ac:dyDescent="0.3">
      <c r="A2020" s="36"/>
    </row>
    <row r="2021" spans="1:1" hidden="1" x14ac:dyDescent="0.3">
      <c r="A2021" s="36"/>
    </row>
    <row r="2022" spans="1:1" hidden="1" x14ac:dyDescent="0.3">
      <c r="A2022" s="36"/>
    </row>
    <row r="2023" spans="1:1" hidden="1" x14ac:dyDescent="0.3">
      <c r="A2023" s="36"/>
    </row>
    <row r="2024" spans="1:1" hidden="1" x14ac:dyDescent="0.3">
      <c r="A2024" s="36"/>
    </row>
    <row r="2025" spans="1:1" hidden="1" x14ac:dyDescent="0.3">
      <c r="A2025" s="36"/>
    </row>
    <row r="2026" spans="1:1" hidden="1" x14ac:dyDescent="0.3">
      <c r="A2026" s="36"/>
    </row>
    <row r="2027" spans="1:1" hidden="1" x14ac:dyDescent="0.3">
      <c r="A2027" s="36"/>
    </row>
    <row r="2028" spans="1:1" hidden="1" x14ac:dyDescent="0.3">
      <c r="A2028" s="36"/>
    </row>
    <row r="2029" spans="1:1" hidden="1" x14ac:dyDescent="0.3">
      <c r="A2029" s="36"/>
    </row>
    <row r="2030" spans="1:1" hidden="1" x14ac:dyDescent="0.3">
      <c r="A2030" s="36"/>
    </row>
    <row r="2031" spans="1:1" hidden="1" x14ac:dyDescent="0.3">
      <c r="A2031" s="36"/>
    </row>
    <row r="2032" spans="1:1" hidden="1" x14ac:dyDescent="0.3">
      <c r="A2032" s="36"/>
    </row>
    <row r="2033" spans="1:1" hidden="1" x14ac:dyDescent="0.3">
      <c r="A2033" s="36"/>
    </row>
    <row r="2034" spans="1:1" hidden="1" x14ac:dyDescent="0.3">
      <c r="A2034" s="36"/>
    </row>
    <row r="2035" spans="1:1" hidden="1" x14ac:dyDescent="0.3">
      <c r="A2035" s="36"/>
    </row>
    <row r="2036" spans="1:1" hidden="1" x14ac:dyDescent="0.3">
      <c r="A2036" s="36"/>
    </row>
    <row r="2037" spans="1:1" hidden="1" x14ac:dyDescent="0.3">
      <c r="A2037" s="36"/>
    </row>
    <row r="2038" spans="1:1" hidden="1" x14ac:dyDescent="0.3">
      <c r="A2038" s="36"/>
    </row>
    <row r="2039" spans="1:1" hidden="1" x14ac:dyDescent="0.3">
      <c r="A2039" s="36"/>
    </row>
    <row r="2040" spans="1:1" hidden="1" x14ac:dyDescent="0.3">
      <c r="A2040" s="36"/>
    </row>
    <row r="2041" spans="1:1" hidden="1" x14ac:dyDescent="0.3">
      <c r="A2041" s="36"/>
    </row>
    <row r="2042" spans="1:1" hidden="1" x14ac:dyDescent="0.3">
      <c r="A2042" s="36"/>
    </row>
    <row r="2043" spans="1:1" hidden="1" x14ac:dyDescent="0.3">
      <c r="A2043" s="36"/>
    </row>
    <row r="2044" spans="1:1" hidden="1" x14ac:dyDescent="0.3">
      <c r="A2044" s="36"/>
    </row>
    <row r="2045" spans="1:1" hidden="1" x14ac:dyDescent="0.3">
      <c r="A2045" s="36"/>
    </row>
    <row r="2046" spans="1:1" hidden="1" x14ac:dyDescent="0.3">
      <c r="A2046" s="36"/>
    </row>
    <row r="2047" spans="1:1" hidden="1" x14ac:dyDescent="0.3">
      <c r="A2047" s="36"/>
    </row>
    <row r="2048" spans="1:1" hidden="1" x14ac:dyDescent="0.3">
      <c r="A2048" s="36"/>
    </row>
    <row r="2049" spans="1:1" hidden="1" x14ac:dyDescent="0.3">
      <c r="A2049" s="36"/>
    </row>
    <row r="2050" spans="1:1" hidden="1" x14ac:dyDescent="0.3">
      <c r="A2050" s="36"/>
    </row>
    <row r="2051" spans="1:1" hidden="1" x14ac:dyDescent="0.3">
      <c r="A2051" s="36"/>
    </row>
    <row r="2052" spans="1:1" hidden="1" x14ac:dyDescent="0.3">
      <c r="A2052" s="36"/>
    </row>
    <row r="2053" spans="1:1" hidden="1" x14ac:dyDescent="0.3">
      <c r="A2053" s="36"/>
    </row>
    <row r="2054" spans="1:1" hidden="1" x14ac:dyDescent="0.3">
      <c r="A2054" s="36"/>
    </row>
    <row r="2055" spans="1:1" hidden="1" x14ac:dyDescent="0.3">
      <c r="A2055" s="36"/>
    </row>
    <row r="2056" spans="1:1" hidden="1" x14ac:dyDescent="0.3">
      <c r="A2056" s="36"/>
    </row>
    <row r="2057" spans="1:1" hidden="1" x14ac:dyDescent="0.3">
      <c r="A2057" s="36"/>
    </row>
    <row r="2058" spans="1:1" hidden="1" x14ac:dyDescent="0.3">
      <c r="A2058" s="36"/>
    </row>
    <row r="2059" spans="1:1" hidden="1" x14ac:dyDescent="0.3">
      <c r="A2059" s="36"/>
    </row>
    <row r="2060" spans="1:1" hidden="1" x14ac:dyDescent="0.3">
      <c r="A2060" s="36"/>
    </row>
    <row r="2061" spans="1:1" hidden="1" x14ac:dyDescent="0.3">
      <c r="A2061" s="36"/>
    </row>
    <row r="2062" spans="1:1" hidden="1" x14ac:dyDescent="0.3">
      <c r="A2062" s="36"/>
    </row>
    <row r="2063" spans="1:1" hidden="1" x14ac:dyDescent="0.3">
      <c r="A2063" s="36"/>
    </row>
    <row r="2064" spans="1:1" hidden="1" x14ac:dyDescent="0.3">
      <c r="A2064" s="36"/>
    </row>
    <row r="2065" spans="1:1" hidden="1" x14ac:dyDescent="0.3">
      <c r="A2065" s="36"/>
    </row>
    <row r="2066" spans="1:1" hidden="1" x14ac:dyDescent="0.3">
      <c r="A2066" s="36"/>
    </row>
    <row r="2067" spans="1:1" hidden="1" x14ac:dyDescent="0.3">
      <c r="A2067" s="36"/>
    </row>
    <row r="2068" spans="1:1" hidden="1" x14ac:dyDescent="0.3">
      <c r="A2068" s="36"/>
    </row>
    <row r="2069" spans="1:1" hidden="1" x14ac:dyDescent="0.3">
      <c r="A2069" s="36"/>
    </row>
    <row r="2070" spans="1:1" hidden="1" x14ac:dyDescent="0.3">
      <c r="A2070" s="36"/>
    </row>
    <row r="2071" spans="1:1" hidden="1" x14ac:dyDescent="0.3">
      <c r="A2071" s="36"/>
    </row>
    <row r="2072" spans="1:1" hidden="1" x14ac:dyDescent="0.3">
      <c r="A2072" s="36"/>
    </row>
    <row r="2073" spans="1:1" hidden="1" x14ac:dyDescent="0.3">
      <c r="A2073" s="36"/>
    </row>
    <row r="2074" spans="1:1" hidden="1" x14ac:dyDescent="0.3">
      <c r="A2074" s="36"/>
    </row>
    <row r="2075" spans="1:1" hidden="1" x14ac:dyDescent="0.3">
      <c r="A2075" s="36"/>
    </row>
    <row r="2076" spans="1:1" hidden="1" x14ac:dyDescent="0.3">
      <c r="A2076" s="36"/>
    </row>
    <row r="2077" spans="1:1" hidden="1" x14ac:dyDescent="0.3">
      <c r="A2077" s="36"/>
    </row>
    <row r="2078" spans="1:1" hidden="1" x14ac:dyDescent="0.3">
      <c r="A2078" s="36"/>
    </row>
    <row r="2079" spans="1:1" hidden="1" x14ac:dyDescent="0.3">
      <c r="A2079" s="36"/>
    </row>
    <row r="2080" spans="1:1" hidden="1" x14ac:dyDescent="0.3">
      <c r="A2080" s="36"/>
    </row>
    <row r="2081" spans="1:1" hidden="1" x14ac:dyDescent="0.3">
      <c r="A2081" s="36"/>
    </row>
    <row r="2082" spans="1:1" hidden="1" x14ac:dyDescent="0.3">
      <c r="A2082" s="36"/>
    </row>
    <row r="2083" spans="1:1" hidden="1" x14ac:dyDescent="0.3">
      <c r="A2083" s="36"/>
    </row>
    <row r="2084" spans="1:1" hidden="1" x14ac:dyDescent="0.3">
      <c r="A2084" s="36"/>
    </row>
    <row r="2085" spans="1:1" hidden="1" x14ac:dyDescent="0.3">
      <c r="A2085" s="36"/>
    </row>
    <row r="2086" spans="1:1" hidden="1" x14ac:dyDescent="0.3">
      <c r="A2086" s="36"/>
    </row>
    <row r="2087" spans="1:1" hidden="1" x14ac:dyDescent="0.3">
      <c r="A2087" s="36"/>
    </row>
    <row r="2088" spans="1:1" hidden="1" x14ac:dyDescent="0.3">
      <c r="A2088" s="36"/>
    </row>
    <row r="2089" spans="1:1" hidden="1" x14ac:dyDescent="0.3">
      <c r="A2089" s="36"/>
    </row>
    <row r="2090" spans="1:1" hidden="1" x14ac:dyDescent="0.3">
      <c r="A2090" s="36"/>
    </row>
    <row r="2091" spans="1:1" hidden="1" x14ac:dyDescent="0.3">
      <c r="A2091" s="36"/>
    </row>
    <row r="2092" spans="1:1" hidden="1" x14ac:dyDescent="0.3">
      <c r="A2092" s="36"/>
    </row>
    <row r="2093" spans="1:1" hidden="1" x14ac:dyDescent="0.3">
      <c r="A2093" s="36"/>
    </row>
    <row r="2094" spans="1:1" hidden="1" x14ac:dyDescent="0.3">
      <c r="A2094" s="36"/>
    </row>
    <row r="2095" spans="1:1" hidden="1" x14ac:dyDescent="0.3">
      <c r="A2095" s="36"/>
    </row>
    <row r="2096" spans="1:1" hidden="1" x14ac:dyDescent="0.3">
      <c r="A2096" s="36"/>
    </row>
    <row r="2097" spans="1:1" hidden="1" x14ac:dyDescent="0.3">
      <c r="A2097" s="36"/>
    </row>
    <row r="2098" spans="1:1" hidden="1" x14ac:dyDescent="0.3">
      <c r="A2098" s="36"/>
    </row>
    <row r="2099" spans="1:1" hidden="1" x14ac:dyDescent="0.3">
      <c r="A2099" s="36"/>
    </row>
    <row r="2100" spans="1:1" hidden="1" x14ac:dyDescent="0.3">
      <c r="A2100" s="36"/>
    </row>
    <row r="2101" spans="1:1" hidden="1" x14ac:dyDescent="0.3">
      <c r="A2101" s="36"/>
    </row>
    <row r="2102" spans="1:1" hidden="1" x14ac:dyDescent="0.3">
      <c r="A2102" s="36"/>
    </row>
    <row r="2103" spans="1:1" hidden="1" x14ac:dyDescent="0.3">
      <c r="A2103" s="36"/>
    </row>
    <row r="2104" spans="1:1" hidden="1" x14ac:dyDescent="0.3">
      <c r="A2104" s="36"/>
    </row>
    <row r="2105" spans="1:1" hidden="1" x14ac:dyDescent="0.3">
      <c r="A2105" s="36"/>
    </row>
    <row r="2106" spans="1:1" hidden="1" x14ac:dyDescent="0.3">
      <c r="A2106" s="36"/>
    </row>
    <row r="2107" spans="1:1" hidden="1" x14ac:dyDescent="0.3">
      <c r="A2107" s="36"/>
    </row>
    <row r="2108" spans="1:1" hidden="1" x14ac:dyDescent="0.3">
      <c r="A2108" s="36"/>
    </row>
    <row r="2109" spans="1:1" hidden="1" x14ac:dyDescent="0.3">
      <c r="A2109" s="36"/>
    </row>
    <row r="2110" spans="1:1" hidden="1" x14ac:dyDescent="0.3">
      <c r="A2110" s="36"/>
    </row>
    <row r="2111" spans="1:1" hidden="1" x14ac:dyDescent="0.3">
      <c r="A2111" s="36"/>
    </row>
    <row r="2112" spans="1:1" hidden="1" x14ac:dyDescent="0.3">
      <c r="A2112" s="36"/>
    </row>
    <row r="2113" spans="1:1" hidden="1" x14ac:dyDescent="0.3">
      <c r="A2113" s="36"/>
    </row>
    <row r="2114" spans="1:1" hidden="1" x14ac:dyDescent="0.3">
      <c r="A2114" s="36"/>
    </row>
    <row r="2115" spans="1:1" hidden="1" x14ac:dyDescent="0.3">
      <c r="A2115" s="36"/>
    </row>
    <row r="2116" spans="1:1" hidden="1" x14ac:dyDescent="0.3">
      <c r="A2116" s="36"/>
    </row>
    <row r="2117" spans="1:1" hidden="1" x14ac:dyDescent="0.3">
      <c r="A2117" s="36"/>
    </row>
    <row r="2118" spans="1:1" hidden="1" x14ac:dyDescent="0.3">
      <c r="A2118" s="36"/>
    </row>
    <row r="2119" spans="1:1" hidden="1" x14ac:dyDescent="0.3">
      <c r="A2119" s="36"/>
    </row>
    <row r="2120" spans="1:1" hidden="1" x14ac:dyDescent="0.3">
      <c r="A2120" s="36"/>
    </row>
    <row r="2121" spans="1:1" hidden="1" x14ac:dyDescent="0.3">
      <c r="A2121" s="36"/>
    </row>
    <row r="2122" spans="1:1" hidden="1" x14ac:dyDescent="0.3">
      <c r="A2122" s="36"/>
    </row>
    <row r="2123" spans="1:1" hidden="1" x14ac:dyDescent="0.3">
      <c r="A2123" s="36"/>
    </row>
    <row r="2124" spans="1:1" hidden="1" x14ac:dyDescent="0.3">
      <c r="A2124" s="36"/>
    </row>
    <row r="2125" spans="1:1" hidden="1" x14ac:dyDescent="0.3">
      <c r="A2125" s="36"/>
    </row>
    <row r="2126" spans="1:1" hidden="1" x14ac:dyDescent="0.3">
      <c r="A2126" s="36"/>
    </row>
    <row r="2127" spans="1:1" hidden="1" x14ac:dyDescent="0.3">
      <c r="A2127" s="36"/>
    </row>
    <row r="2128" spans="1:1" hidden="1" x14ac:dyDescent="0.3">
      <c r="A2128" s="36"/>
    </row>
    <row r="2129" spans="1:1" hidden="1" x14ac:dyDescent="0.3">
      <c r="A2129" s="36"/>
    </row>
    <row r="2130" spans="1:1" hidden="1" x14ac:dyDescent="0.3">
      <c r="A2130" s="36"/>
    </row>
    <row r="2131" spans="1:1" hidden="1" x14ac:dyDescent="0.3">
      <c r="A2131" s="36"/>
    </row>
    <row r="2132" spans="1:1" hidden="1" x14ac:dyDescent="0.3">
      <c r="A2132" s="36"/>
    </row>
    <row r="2133" spans="1:1" hidden="1" x14ac:dyDescent="0.3">
      <c r="A2133" s="36"/>
    </row>
    <row r="2134" spans="1:1" hidden="1" x14ac:dyDescent="0.3">
      <c r="A2134" s="36"/>
    </row>
    <row r="2135" spans="1:1" hidden="1" x14ac:dyDescent="0.3">
      <c r="A2135" s="36"/>
    </row>
    <row r="2136" spans="1:1" hidden="1" x14ac:dyDescent="0.3">
      <c r="A2136" s="36"/>
    </row>
    <row r="2137" spans="1:1" hidden="1" x14ac:dyDescent="0.3">
      <c r="A2137" s="36"/>
    </row>
    <row r="2138" spans="1:1" hidden="1" x14ac:dyDescent="0.3">
      <c r="A2138" s="36"/>
    </row>
    <row r="2139" spans="1:1" hidden="1" x14ac:dyDescent="0.3">
      <c r="A2139" s="36"/>
    </row>
    <row r="2140" spans="1:1" hidden="1" x14ac:dyDescent="0.3">
      <c r="A2140" s="36"/>
    </row>
    <row r="2141" spans="1:1" hidden="1" x14ac:dyDescent="0.3">
      <c r="A2141" s="36"/>
    </row>
    <row r="2142" spans="1:1" hidden="1" x14ac:dyDescent="0.3">
      <c r="A2142" s="36"/>
    </row>
    <row r="2143" spans="1:1" hidden="1" x14ac:dyDescent="0.3">
      <c r="A2143" s="36"/>
    </row>
    <row r="2144" spans="1:1" hidden="1" x14ac:dyDescent="0.3">
      <c r="A2144" s="36"/>
    </row>
    <row r="2145" spans="1:1" hidden="1" x14ac:dyDescent="0.3">
      <c r="A2145" s="36"/>
    </row>
    <row r="2146" spans="1:1" hidden="1" x14ac:dyDescent="0.3">
      <c r="A2146" s="36"/>
    </row>
    <row r="2147" spans="1:1" hidden="1" x14ac:dyDescent="0.3">
      <c r="A2147" s="36"/>
    </row>
    <row r="2148" spans="1:1" hidden="1" x14ac:dyDescent="0.3">
      <c r="A2148" s="36"/>
    </row>
    <row r="2149" spans="1:1" hidden="1" x14ac:dyDescent="0.3">
      <c r="A2149" s="36"/>
    </row>
    <row r="2150" spans="1:1" hidden="1" x14ac:dyDescent="0.3">
      <c r="A2150" s="36"/>
    </row>
    <row r="2151" spans="1:1" hidden="1" x14ac:dyDescent="0.3">
      <c r="A2151" s="36"/>
    </row>
    <row r="2152" spans="1:1" hidden="1" x14ac:dyDescent="0.3">
      <c r="A2152" s="36"/>
    </row>
    <row r="2153" spans="1:1" hidden="1" x14ac:dyDescent="0.3">
      <c r="A2153" s="36"/>
    </row>
    <row r="2154" spans="1:1" hidden="1" x14ac:dyDescent="0.3">
      <c r="A2154" s="36"/>
    </row>
    <row r="2155" spans="1:1" hidden="1" x14ac:dyDescent="0.3">
      <c r="A2155" s="36"/>
    </row>
    <row r="2156" spans="1:1" hidden="1" x14ac:dyDescent="0.3">
      <c r="A2156" s="36"/>
    </row>
    <row r="2157" spans="1:1" hidden="1" x14ac:dyDescent="0.3">
      <c r="A2157" s="36"/>
    </row>
    <row r="2158" spans="1:1" hidden="1" x14ac:dyDescent="0.3">
      <c r="A2158" s="36"/>
    </row>
    <row r="2159" spans="1:1" hidden="1" x14ac:dyDescent="0.3">
      <c r="A2159" s="36"/>
    </row>
    <row r="2160" spans="1:1" hidden="1" x14ac:dyDescent="0.3">
      <c r="A2160" s="36"/>
    </row>
    <row r="2161" spans="1:1" hidden="1" x14ac:dyDescent="0.3">
      <c r="A2161" s="36"/>
    </row>
    <row r="2162" spans="1:1" hidden="1" x14ac:dyDescent="0.3">
      <c r="A2162" s="36"/>
    </row>
    <row r="2163" spans="1:1" hidden="1" x14ac:dyDescent="0.3">
      <c r="A2163" s="36"/>
    </row>
    <row r="2164" spans="1:1" hidden="1" x14ac:dyDescent="0.3">
      <c r="A2164" s="36"/>
    </row>
    <row r="2165" spans="1:1" hidden="1" x14ac:dyDescent="0.3">
      <c r="A2165" s="36"/>
    </row>
    <row r="2166" spans="1:1" hidden="1" x14ac:dyDescent="0.3">
      <c r="A2166" s="36"/>
    </row>
    <row r="2167" spans="1:1" hidden="1" x14ac:dyDescent="0.3">
      <c r="A2167" s="36"/>
    </row>
    <row r="2168" spans="1:1" hidden="1" x14ac:dyDescent="0.3">
      <c r="A2168" s="36"/>
    </row>
    <row r="2169" spans="1:1" hidden="1" x14ac:dyDescent="0.3">
      <c r="A2169" s="36"/>
    </row>
    <row r="2170" spans="1:1" hidden="1" x14ac:dyDescent="0.3">
      <c r="A2170" s="36"/>
    </row>
    <row r="2171" spans="1:1" hidden="1" x14ac:dyDescent="0.3">
      <c r="A2171" s="36"/>
    </row>
    <row r="2172" spans="1:1" hidden="1" x14ac:dyDescent="0.3">
      <c r="A2172" s="36"/>
    </row>
    <row r="2173" spans="1:1" hidden="1" x14ac:dyDescent="0.3">
      <c r="A2173" s="36"/>
    </row>
    <row r="2174" spans="1:1" hidden="1" x14ac:dyDescent="0.3">
      <c r="A2174" s="36"/>
    </row>
    <row r="2175" spans="1:1" hidden="1" x14ac:dyDescent="0.3">
      <c r="A2175" s="36"/>
    </row>
    <row r="2176" spans="1:1" hidden="1" x14ac:dyDescent="0.3">
      <c r="A2176" s="36"/>
    </row>
    <row r="2177" spans="1:1" hidden="1" x14ac:dyDescent="0.3">
      <c r="A2177" s="36"/>
    </row>
    <row r="2178" spans="1:1" hidden="1" x14ac:dyDescent="0.3">
      <c r="A2178" s="36"/>
    </row>
    <row r="2179" spans="1:1" hidden="1" x14ac:dyDescent="0.3">
      <c r="A2179" s="36"/>
    </row>
    <row r="2180" spans="1:1" hidden="1" x14ac:dyDescent="0.3">
      <c r="A2180" s="36"/>
    </row>
    <row r="2181" spans="1:1" hidden="1" x14ac:dyDescent="0.3">
      <c r="A2181" s="36"/>
    </row>
    <row r="2182" spans="1:1" hidden="1" x14ac:dyDescent="0.3">
      <c r="A2182" s="36"/>
    </row>
    <row r="2183" spans="1:1" hidden="1" x14ac:dyDescent="0.3">
      <c r="A2183" s="36"/>
    </row>
    <row r="2184" spans="1:1" hidden="1" x14ac:dyDescent="0.3">
      <c r="A2184" s="36"/>
    </row>
    <row r="2185" spans="1:1" hidden="1" x14ac:dyDescent="0.3">
      <c r="A2185" s="36"/>
    </row>
    <row r="2186" spans="1:1" hidden="1" x14ac:dyDescent="0.3">
      <c r="A2186" s="36"/>
    </row>
    <row r="2187" spans="1:1" hidden="1" x14ac:dyDescent="0.3">
      <c r="A2187" s="36"/>
    </row>
    <row r="2188" spans="1:1" hidden="1" x14ac:dyDescent="0.3">
      <c r="A2188" s="36"/>
    </row>
    <row r="2189" spans="1:1" hidden="1" x14ac:dyDescent="0.3">
      <c r="A2189" s="36"/>
    </row>
    <row r="2190" spans="1:1" hidden="1" x14ac:dyDescent="0.3">
      <c r="A2190" s="36"/>
    </row>
    <row r="2191" spans="1:1" hidden="1" x14ac:dyDescent="0.3">
      <c r="A2191" s="36"/>
    </row>
    <row r="2192" spans="1:1" hidden="1" x14ac:dyDescent="0.3">
      <c r="A2192" s="36"/>
    </row>
    <row r="2193" spans="1:1" hidden="1" x14ac:dyDescent="0.3">
      <c r="A2193" s="36"/>
    </row>
    <row r="2194" spans="1:1" hidden="1" x14ac:dyDescent="0.3">
      <c r="A2194" s="36"/>
    </row>
    <row r="2195" spans="1:1" hidden="1" x14ac:dyDescent="0.3">
      <c r="A2195" s="36"/>
    </row>
    <row r="2196" spans="1:1" hidden="1" x14ac:dyDescent="0.3">
      <c r="A2196" s="36"/>
    </row>
    <row r="2197" spans="1:1" hidden="1" x14ac:dyDescent="0.3">
      <c r="A2197" s="36"/>
    </row>
    <row r="2198" spans="1:1" hidden="1" x14ac:dyDescent="0.3">
      <c r="A2198" s="36"/>
    </row>
    <row r="2199" spans="1:1" hidden="1" x14ac:dyDescent="0.3">
      <c r="A2199" s="36"/>
    </row>
    <row r="2200" spans="1:1" hidden="1" x14ac:dyDescent="0.3">
      <c r="A2200" s="36"/>
    </row>
    <row r="2201" spans="1:1" hidden="1" x14ac:dyDescent="0.3">
      <c r="A2201" s="36"/>
    </row>
    <row r="2202" spans="1:1" hidden="1" x14ac:dyDescent="0.3">
      <c r="A2202" s="36"/>
    </row>
    <row r="2203" spans="1:1" hidden="1" x14ac:dyDescent="0.3">
      <c r="A2203" s="36"/>
    </row>
    <row r="2204" spans="1:1" hidden="1" x14ac:dyDescent="0.3">
      <c r="A2204" s="36"/>
    </row>
    <row r="2205" spans="1:1" hidden="1" x14ac:dyDescent="0.3">
      <c r="A2205" s="36"/>
    </row>
    <row r="2206" spans="1:1" hidden="1" x14ac:dyDescent="0.3">
      <c r="A2206" s="36"/>
    </row>
    <row r="2207" spans="1:1" hidden="1" x14ac:dyDescent="0.3">
      <c r="A2207" s="36"/>
    </row>
    <row r="2208" spans="1:1" hidden="1" x14ac:dyDescent="0.3">
      <c r="A2208" s="36"/>
    </row>
    <row r="2209" spans="1:1" hidden="1" x14ac:dyDescent="0.3">
      <c r="A2209" s="36"/>
    </row>
    <row r="2210" spans="1:1" hidden="1" x14ac:dyDescent="0.3">
      <c r="A2210" s="36"/>
    </row>
    <row r="2211" spans="1:1" hidden="1" x14ac:dyDescent="0.3">
      <c r="A2211" s="36"/>
    </row>
    <row r="2212" spans="1:1" hidden="1" x14ac:dyDescent="0.3">
      <c r="A2212" s="36"/>
    </row>
    <row r="2213" spans="1:1" hidden="1" x14ac:dyDescent="0.3">
      <c r="A2213" s="36"/>
    </row>
    <row r="2214" spans="1:1" hidden="1" x14ac:dyDescent="0.3">
      <c r="A2214" s="36"/>
    </row>
    <row r="2215" spans="1:1" hidden="1" x14ac:dyDescent="0.3">
      <c r="A2215" s="36"/>
    </row>
    <row r="2216" spans="1:1" hidden="1" x14ac:dyDescent="0.3">
      <c r="A2216" s="36"/>
    </row>
    <row r="2217" spans="1:1" hidden="1" x14ac:dyDescent="0.3">
      <c r="A2217" s="36"/>
    </row>
    <row r="2218" spans="1:1" hidden="1" x14ac:dyDescent="0.3">
      <c r="A2218" s="36"/>
    </row>
    <row r="2219" spans="1:1" hidden="1" x14ac:dyDescent="0.3">
      <c r="A2219" s="36"/>
    </row>
    <row r="2220" spans="1:1" hidden="1" x14ac:dyDescent="0.3">
      <c r="A2220" s="36"/>
    </row>
    <row r="2221" spans="1:1" hidden="1" x14ac:dyDescent="0.3">
      <c r="A2221" s="36"/>
    </row>
    <row r="2222" spans="1:1" hidden="1" x14ac:dyDescent="0.3">
      <c r="A2222" s="36"/>
    </row>
    <row r="2223" spans="1:1" hidden="1" x14ac:dyDescent="0.3">
      <c r="A2223" s="36"/>
    </row>
    <row r="2224" spans="1:1" hidden="1" x14ac:dyDescent="0.3">
      <c r="A2224" s="36"/>
    </row>
    <row r="2225" spans="1:1" hidden="1" x14ac:dyDescent="0.3">
      <c r="A2225" s="36"/>
    </row>
    <row r="2226" spans="1:1" hidden="1" x14ac:dyDescent="0.3">
      <c r="A2226" s="36"/>
    </row>
    <row r="2227" spans="1:1" hidden="1" x14ac:dyDescent="0.3">
      <c r="A2227" s="36"/>
    </row>
    <row r="2228" spans="1:1" hidden="1" x14ac:dyDescent="0.3">
      <c r="A2228" s="36"/>
    </row>
    <row r="2229" spans="1:1" hidden="1" x14ac:dyDescent="0.3">
      <c r="A2229" s="36"/>
    </row>
    <row r="2230" spans="1:1" hidden="1" x14ac:dyDescent="0.3">
      <c r="A2230" s="36"/>
    </row>
    <row r="2231" spans="1:1" hidden="1" x14ac:dyDescent="0.3">
      <c r="A2231" s="36"/>
    </row>
    <row r="2232" spans="1:1" hidden="1" x14ac:dyDescent="0.3">
      <c r="A2232" s="36"/>
    </row>
    <row r="2233" spans="1:1" hidden="1" x14ac:dyDescent="0.3">
      <c r="A2233" s="155"/>
    </row>
    <row r="2234" spans="1:1" hidden="1" x14ac:dyDescent="0.3">
      <c r="A2234" s="36"/>
    </row>
    <row r="2235" spans="1:1" hidden="1" x14ac:dyDescent="0.3">
      <c r="A2235" s="36"/>
    </row>
    <row r="2236" spans="1:1" hidden="1" x14ac:dyDescent="0.3">
      <c r="A2236" s="36"/>
    </row>
    <row r="2237" spans="1:1" hidden="1" x14ac:dyDescent="0.3">
      <c r="A2237" s="36"/>
    </row>
    <row r="2238" spans="1:1" hidden="1" x14ac:dyDescent="0.3">
      <c r="A2238" s="36"/>
    </row>
    <row r="2239" spans="1:1" hidden="1" x14ac:dyDescent="0.3">
      <c r="A2239" s="36"/>
    </row>
    <row r="2240" spans="1:1" hidden="1" x14ac:dyDescent="0.3">
      <c r="A2240" s="36"/>
    </row>
    <row r="2241" spans="1:1" hidden="1" x14ac:dyDescent="0.3">
      <c r="A2241" s="36"/>
    </row>
    <row r="2242" spans="1:1" hidden="1" x14ac:dyDescent="0.3">
      <c r="A2242" s="36"/>
    </row>
  </sheetData>
  <dataValidations count="1">
    <dataValidation type="whole" allowBlank="1" showInputMessage="1" showErrorMessage="1" sqref="A2233 A1157:A1159 A1162:A1164 A1167" xr:uid="{00000000-0002-0000-0000-000000000000}">
      <formula1>20000000000</formula1>
      <formula2>33999999999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91C5-A067-449D-BC3E-0044AED477BE}">
  <dimension ref="B3:M247"/>
  <sheetViews>
    <sheetView topLeftCell="A202" workbookViewId="0">
      <selection activeCell="N196" sqref="N196"/>
    </sheetView>
  </sheetViews>
  <sheetFormatPr baseColWidth="10" defaultRowHeight="14.4" x14ac:dyDescent="0.3"/>
  <cols>
    <col min="2" max="2" width="9.21875" customWidth="1"/>
    <col min="3" max="3" width="8.77734375" customWidth="1"/>
    <col min="5" max="5" width="13.109375" bestFit="1" customWidth="1"/>
    <col min="6" max="6" width="26.21875" bestFit="1" customWidth="1"/>
    <col min="7" max="7" width="13.77734375" customWidth="1"/>
    <col min="8" max="8" width="20.88671875" bestFit="1" customWidth="1"/>
    <col min="12" max="12" width="24.77734375" customWidth="1"/>
  </cols>
  <sheetData>
    <row r="3" spans="2:13" ht="21" x14ac:dyDescent="0.3">
      <c r="B3" s="414" t="s">
        <v>25</v>
      </c>
      <c r="C3" s="414"/>
      <c r="D3" s="414"/>
      <c r="E3" s="414"/>
      <c r="F3" s="414"/>
      <c r="G3" s="414"/>
      <c r="H3" s="414"/>
      <c r="I3" s="414"/>
    </row>
    <row r="4" spans="2:13" x14ac:dyDescent="0.3">
      <c r="B4" s="51" t="s">
        <v>0</v>
      </c>
      <c r="C4" s="51" t="s">
        <v>2</v>
      </c>
      <c r="D4" s="51" t="s">
        <v>74</v>
      </c>
      <c r="E4" s="51" t="s">
        <v>3</v>
      </c>
      <c r="F4" s="51" t="s">
        <v>4</v>
      </c>
      <c r="G4" s="52" t="s">
        <v>10</v>
      </c>
      <c r="H4" s="51" t="s">
        <v>13</v>
      </c>
      <c r="I4" s="51" t="s">
        <v>38</v>
      </c>
    </row>
    <row r="5" spans="2:13" x14ac:dyDescent="0.3">
      <c r="B5" s="187"/>
      <c r="C5" s="161"/>
      <c r="D5" s="161"/>
      <c r="E5" s="141"/>
      <c r="F5" s="142" t="str">
        <f>IFERROR(IF(factura_c_mes182[[#This Row],[CUIT]]="","-",VLOOKUP(factura_c_mes182[[#This Row],[CUIT]],Lista_CUIT[#All],2,0)),"CUIT NO CARGADO")</f>
        <v>-</v>
      </c>
      <c r="G5" s="162"/>
      <c r="H5" s="163" t="str">
        <f>IFERROR(IF(factura_c_mes182[[#This Row],[CUIT]]="","-",VLOOKUP(factura_c_mes182[[#This Row],[CUIT]],Lista_CUIT[#All],3,0)),"CUIT NO CARGADO")</f>
        <v>-</v>
      </c>
      <c r="I5" s="163" t="str">
        <f>IFERROR(IF(factura_c_mes182[[#This Row],[CUIT]]="","-",VLOOKUP(factura_c_mes182[[#This Row],[CUIT]],Lista_CUIT[#All],4,0)),"CUIT NO CARGADO")</f>
        <v>-</v>
      </c>
    </row>
    <row r="6" spans="2:13" x14ac:dyDescent="0.3">
      <c r="B6" s="181">
        <v>45026</v>
      </c>
      <c r="C6" s="182">
        <v>4</v>
      </c>
      <c r="D6" s="182">
        <v>12</v>
      </c>
      <c r="E6" s="183">
        <v>20341462933</v>
      </c>
      <c r="F6" s="184" t="str">
        <f>IFERROR(IF(factura_c_mes182[[#This Row],[CUIT]]="","-",VLOOKUP(factura_c_mes182[[#This Row],[CUIT]],Lista_CUIT[#All],2,0)),"CUIT NO CARGADO")</f>
        <v>CASTIGLIONI MATIAS EZEQUIEL</v>
      </c>
      <c r="G6" s="185">
        <v>590500</v>
      </c>
      <c r="H6" s="54" t="s">
        <v>1391</v>
      </c>
      <c r="I6" s="186" t="str">
        <f>IFERROR(IF(factura_c_mes182[[#This Row],[CUIT]]="","-",VLOOKUP(factura_c_mes182[[#This Row],[CUIT]],Lista_CUIT[#All],4,0)),"CUIT NO CARGADO")</f>
        <v>BUENOS AIRES</v>
      </c>
      <c r="K6" s="406">
        <v>510.12</v>
      </c>
      <c r="L6" s="385" t="s">
        <v>1390</v>
      </c>
      <c r="M6" s="367">
        <v>590500</v>
      </c>
    </row>
    <row r="7" spans="2:13" x14ac:dyDescent="0.3">
      <c r="B7" s="233">
        <v>45026</v>
      </c>
      <c r="C7" s="234">
        <v>8</v>
      </c>
      <c r="D7" s="234">
        <v>157469</v>
      </c>
      <c r="E7" s="235">
        <v>30709953482</v>
      </c>
      <c r="F7" s="236" t="str">
        <f>IFERROR(IF(factura_c_mes182[[#This Row],[CUIT]]="","-",VLOOKUP(factura_c_mes182[[#This Row],[CUIT]],Lista_CUIT[#All],2,0)),"CUIT NO CARGADO")</f>
        <v>HONRE S.A</v>
      </c>
      <c r="G7" s="237">
        <v>1221.95</v>
      </c>
      <c r="H7" s="238" t="str">
        <f>IFERROR(IF(factura_c_mes182[[#This Row],[CUIT]]="","-",VLOOKUP(factura_c_mes182[[#This Row],[CUIT]],Lista_CUIT[#All],3,0)),"CUIT NO CARGADO")</f>
        <v>Gastos Varios</v>
      </c>
      <c r="I7" s="238">
        <f>IFERROR(IF(factura_c_mes182[[#This Row],[CUIT]]="","-",VLOOKUP(factura_c_mes182[[#This Row],[CUIT]],Lista_CUIT[#All],4,0)),"CUIT NO CARGADO")</f>
        <v>0</v>
      </c>
      <c r="K7" s="406">
        <v>500.05</v>
      </c>
      <c r="L7" s="385" t="s">
        <v>1383</v>
      </c>
      <c r="M7" s="367">
        <v>19561.95</v>
      </c>
    </row>
    <row r="8" spans="2:13" x14ac:dyDescent="0.3">
      <c r="B8" s="233">
        <v>45028</v>
      </c>
      <c r="C8" s="234">
        <v>4</v>
      </c>
      <c r="D8" s="234">
        <v>35528</v>
      </c>
      <c r="E8" s="235">
        <v>30716998718</v>
      </c>
      <c r="F8" s="236" t="str">
        <f>IFERROR(IF(factura_c_mes182[[#This Row],[CUIT]]="","-",VLOOKUP(factura_c_mes182[[#This Row],[CUIT]],Lista_CUIT[#All],2,0)),"CUIT NO CARGADO")</f>
        <v>FIDO ARGENTINA SRL</v>
      </c>
      <c r="G8" s="237">
        <v>18340</v>
      </c>
      <c r="H8" s="238" t="str">
        <f>IFERROR(IF(factura_c_mes182[[#This Row],[CUIT]]="","-",VLOOKUP(factura_c_mes182[[#This Row],[CUIT]],Lista_CUIT[#All],3,0)),"CUIT NO CARGADO")</f>
        <v>Gastos Varios</v>
      </c>
      <c r="I8" s="238">
        <f>IFERROR(IF(factura_c_mes182[[#This Row],[CUIT]]="","-",VLOOKUP(factura_c_mes182[[#This Row],[CUIT]],Lista_CUIT[#All],4,0)),"CUIT NO CARGADO")</f>
        <v>0</v>
      </c>
      <c r="K8" s="406">
        <v>500.01600000000002</v>
      </c>
      <c r="L8" s="385" t="s">
        <v>1384</v>
      </c>
      <c r="M8" s="367">
        <v>148480</v>
      </c>
    </row>
    <row r="9" spans="2:13" x14ac:dyDescent="0.3">
      <c r="B9" s="227">
        <v>45041</v>
      </c>
      <c r="C9" s="228">
        <v>3</v>
      </c>
      <c r="D9" s="228">
        <v>50</v>
      </c>
      <c r="E9" s="229">
        <v>20403931420</v>
      </c>
      <c r="F9" s="230" t="str">
        <f>IFERROR(IF(factura_c_mes182[[#This Row],[CUIT]]="","-",VLOOKUP(factura_c_mes182[[#This Row],[CUIT]],Lista_CUIT[#All],2,0)),"CUIT NO CARGADO")</f>
        <v>FIORENTINO JORGE IGNACIO</v>
      </c>
      <c r="G9" s="231">
        <v>148480</v>
      </c>
      <c r="H9" s="356" t="s">
        <v>1393</v>
      </c>
      <c r="I9" s="232">
        <f>IFERROR(IF(factura_c_mes182[[#This Row],[CUIT]]="","-",VLOOKUP(factura_c_mes182[[#This Row],[CUIT]],Lista_CUIT[#All],4,0)),"CUIT NO CARGADO")</f>
        <v>0</v>
      </c>
      <c r="K9" s="406">
        <v>510.1</v>
      </c>
      <c r="L9" s="385" t="s">
        <v>1385</v>
      </c>
      <c r="M9" s="367">
        <v>79860</v>
      </c>
    </row>
    <row r="10" spans="2:13" x14ac:dyDescent="0.3">
      <c r="B10" s="181">
        <v>45019</v>
      </c>
      <c r="C10" s="182">
        <v>3</v>
      </c>
      <c r="D10" s="182">
        <v>717</v>
      </c>
      <c r="E10" s="183">
        <v>20086277523</v>
      </c>
      <c r="F10" s="184" t="str">
        <f>IFERROR(IF(factura_c_mes182[[#This Row],[CUIT]]="","-",VLOOKUP(factura_c_mes182[[#This Row],[CUIT]],Lista_CUIT[#All],2,0)),"CUIT NO CARGADO")</f>
        <v>ESTUDIO BOTINDARI</v>
      </c>
      <c r="G10" s="185">
        <v>67000</v>
      </c>
      <c r="H10" s="356" t="s">
        <v>1392</v>
      </c>
      <c r="I10" s="186">
        <f>IFERROR(IF(factura_c_mes182[[#This Row],[CUIT]]="","-",VLOOKUP(factura_c_mes182[[#This Row],[CUIT]],Lista_CUIT[#All],4,0)),"CUIT NO CARGADO")</f>
        <v>0</v>
      </c>
      <c r="K10" s="406">
        <v>500.03500000000003</v>
      </c>
      <c r="L10" s="375" t="s">
        <v>1389</v>
      </c>
      <c r="M10" s="367">
        <v>90000</v>
      </c>
    </row>
    <row r="11" spans="2:13" x14ac:dyDescent="0.3">
      <c r="B11" s="181">
        <v>45028</v>
      </c>
      <c r="C11" s="182">
        <v>2</v>
      </c>
      <c r="D11" s="182">
        <v>200</v>
      </c>
      <c r="E11" s="183">
        <v>27173820866</v>
      </c>
      <c r="F11" s="184" t="str">
        <f>IFERROR(IF(factura_c_mes182[[#This Row],[CUIT]]="","-",VLOOKUP(factura_c_mes182[[#This Row],[CUIT]],Lista_CUIT[#All],2,0)),"CUIT NO CARGADO")</f>
        <v>FREIER SANDRA DANIELA</v>
      </c>
      <c r="G11" s="185">
        <v>90000</v>
      </c>
      <c r="H11" s="364" t="s">
        <v>1389</v>
      </c>
      <c r="I11" s="186">
        <f>IFERROR(IF(factura_c_mes182[[#This Row],[CUIT]]="","-",VLOOKUP(factura_c_mes182[[#This Row],[CUIT]],Lista_CUIT[#All],4,0)),"CUIT NO CARGADO")</f>
        <v>0</v>
      </c>
      <c r="K11" s="406">
        <v>500.03</v>
      </c>
      <c r="L11" s="385" t="s">
        <v>1413</v>
      </c>
      <c r="M11" s="367">
        <v>373750</v>
      </c>
    </row>
    <row r="12" spans="2:13" x14ac:dyDescent="0.3">
      <c r="B12" s="227">
        <v>45029</v>
      </c>
      <c r="C12" s="228">
        <v>3</v>
      </c>
      <c r="D12" s="228">
        <v>723</v>
      </c>
      <c r="E12" s="229">
        <v>20086277523</v>
      </c>
      <c r="F12" s="230" t="str">
        <f>IFERROR(IF(factura_c_mes182[[#This Row],[CUIT]]="","-",VLOOKUP(factura_c_mes182[[#This Row],[CUIT]],Lista_CUIT[#All],2,0)),"CUIT NO CARGADO")</f>
        <v>ESTUDIO BOTINDARI</v>
      </c>
      <c r="G12" s="231">
        <v>12860</v>
      </c>
      <c r="H12" s="356" t="s">
        <v>1392</v>
      </c>
      <c r="I12" s="232">
        <f>IFERROR(IF(factura_c_mes182[[#This Row],[CUIT]]="","-",VLOOKUP(factura_c_mes182[[#This Row],[CUIT]],Lista_CUIT[#All],4,0)),"CUIT NO CARGADO")</f>
        <v>0</v>
      </c>
      <c r="K12" s="406">
        <v>500.02699999999999</v>
      </c>
      <c r="L12" s="386" t="s">
        <v>1414</v>
      </c>
      <c r="M12" s="369">
        <v>148935</v>
      </c>
    </row>
    <row r="13" spans="2:13" x14ac:dyDescent="0.3">
      <c r="B13" s="181">
        <v>45021</v>
      </c>
      <c r="C13" s="182">
        <v>1</v>
      </c>
      <c r="D13" s="182">
        <v>98</v>
      </c>
      <c r="E13" s="183">
        <v>20341465134</v>
      </c>
      <c r="F13" s="184" t="str">
        <f>IFERROR(IF(factura_c_mes182[[#This Row],[CUIT]]="","-",VLOOKUP(factura_c_mes182[[#This Row],[CUIT]],Lista_CUIT[#All],2,0)),"CUIT NO CARGADO")</f>
        <v>ABELEDO AGUSTIN ENRIQUE</v>
      </c>
      <c r="G13" s="185">
        <v>373750</v>
      </c>
      <c r="H13" t="s">
        <v>1386</v>
      </c>
      <c r="I13" s="186" t="str">
        <f>IFERROR(IF(factura_c_mes182[[#This Row],[CUIT]]="","-",VLOOKUP(factura_c_mes182[[#This Row],[CUIT]],Lista_CUIT[#All],4,0)),"CUIT NO CARGADO")</f>
        <v>CABA</v>
      </c>
      <c r="K13" s="407">
        <v>500.03399999999999</v>
      </c>
      <c r="L13" t="s">
        <v>1416</v>
      </c>
      <c r="M13" s="367">
        <v>128690</v>
      </c>
    </row>
    <row r="14" spans="2:13" x14ac:dyDescent="0.3">
      <c r="B14" s="233">
        <v>45041</v>
      </c>
      <c r="C14" s="234">
        <v>2</v>
      </c>
      <c r="D14" s="234">
        <v>21</v>
      </c>
      <c r="E14" s="235">
        <v>23326777269</v>
      </c>
      <c r="F14" s="236" t="str">
        <f>IFERROR(IF(factura_c_mes182[[#This Row],[CUIT]]="","-",VLOOKUP(factura_c_mes182[[#This Row],[CUIT]],Lista_CUIT[#All],2,0)),"CUIT NO CARGADO")</f>
        <v>DE BONIS IGNACIO LUIS</v>
      </c>
      <c r="G14" s="237">
        <v>148935</v>
      </c>
      <c r="H14" s="56" t="s">
        <v>1387</v>
      </c>
      <c r="I14" s="238">
        <f>IFERROR(IF(factura_c_mes182[[#This Row],[CUIT]]="","-",VLOOKUP(factura_c_mes182[[#This Row],[CUIT]],Lista_CUIT[#All],4,0)),"CUIT NO CARGADO")</f>
        <v>0</v>
      </c>
      <c r="K14" s="406">
        <v>500.03</v>
      </c>
      <c r="L14" s="385" t="s">
        <v>1413</v>
      </c>
      <c r="M14" s="367">
        <v>371000</v>
      </c>
    </row>
    <row r="15" spans="2:13" x14ac:dyDescent="0.3">
      <c r="B15" s="233">
        <v>45043</v>
      </c>
      <c r="C15" s="234">
        <v>1</v>
      </c>
      <c r="D15" s="234">
        <v>17</v>
      </c>
      <c r="E15" s="235">
        <v>20417805878</v>
      </c>
      <c r="F15" s="236" t="str">
        <f>IFERROR(IF(factura_c_mes182[[#This Row],[CUIT]]="","-",VLOOKUP(factura_c_mes182[[#This Row],[CUIT]],Lista_CUIT[#All],2,0)),"CUIT NO CARGADO")</f>
        <v>FERABOLI OSPAL SANTIAGO HERNAN</v>
      </c>
      <c r="G15" s="237">
        <v>128690</v>
      </c>
      <c r="H15" s="356" t="s">
        <v>1394</v>
      </c>
      <c r="I15" s="238">
        <f>IFERROR(IF(factura_c_mes182[[#This Row],[CUIT]]="","-",VLOOKUP(factura_c_mes182[[#This Row],[CUIT]],Lista_CUIT[#All],4,0)),"CUIT NO CARGADO")</f>
        <v>0</v>
      </c>
      <c r="K15" s="408"/>
      <c r="L15" s="408"/>
      <c r="M15" s="409">
        <f>SUM(M6:M14)</f>
        <v>1950776.95</v>
      </c>
    </row>
    <row r="16" spans="2:13" x14ac:dyDescent="0.3">
      <c r="B16" s="227">
        <v>45040</v>
      </c>
      <c r="C16" s="228">
        <v>2</v>
      </c>
      <c r="D16" s="228">
        <v>82</v>
      </c>
      <c r="E16" s="229">
        <v>20244271740</v>
      </c>
      <c r="F16" s="230" t="str">
        <f>IFERROR(IF(factura_c_mes182[[#This Row],[CUIT]]="","-",VLOOKUP(factura_c_mes182[[#This Row],[CUIT]],Lista_CUIT[#All],2,0)),"CUIT NO CARGADO")</f>
        <v>KENNEL SEBASTIAN</v>
      </c>
      <c r="G16" s="231">
        <v>371000</v>
      </c>
      <c r="H16" s="232" t="str">
        <f>IFERROR(IF(factura_c_mes182[[#This Row],[CUIT]]="","-",VLOOKUP(factura_c_mes182[[#This Row],[CUIT]],Lista_CUIT[#All],3,0)),"CUIT NO CARGADO")</f>
        <v>Software Mantenimiento</v>
      </c>
      <c r="I16" s="232">
        <f>IFERROR(IF(factura_c_mes182[[#This Row],[CUIT]]="","-",VLOOKUP(factura_c_mes182[[#This Row],[CUIT]],Lista_CUIT[#All],4,0)),"CUIT NO CARGADO")</f>
        <v>0</v>
      </c>
    </row>
    <row r="17" spans="2:13" x14ac:dyDescent="0.3">
      <c r="B17" s="55" t="s">
        <v>110</v>
      </c>
      <c r="C17" s="55"/>
      <c r="D17" s="55"/>
      <c r="E17" s="55"/>
      <c r="F17" s="57"/>
      <c r="G17" s="58">
        <f>SUBTOTAL(109,factura_c_mes182[TOTAL])</f>
        <v>1950776.95</v>
      </c>
      <c r="H17" s="55"/>
      <c r="I17" s="55"/>
    </row>
    <row r="19" spans="2:13" ht="21" x14ac:dyDescent="0.3">
      <c r="B19" s="414" t="s">
        <v>25</v>
      </c>
      <c r="C19" s="414"/>
      <c r="D19" s="414"/>
      <c r="E19" s="414"/>
      <c r="F19" s="414"/>
      <c r="G19" s="414"/>
      <c r="H19" s="414"/>
      <c r="I19" s="414"/>
    </row>
    <row r="20" spans="2:13" x14ac:dyDescent="0.3">
      <c r="B20" s="51" t="s">
        <v>0</v>
      </c>
      <c r="C20" s="51" t="s">
        <v>2</v>
      </c>
      <c r="D20" s="51" t="s">
        <v>74</v>
      </c>
      <c r="E20" s="51" t="s">
        <v>3</v>
      </c>
      <c r="F20" s="51" t="s">
        <v>4</v>
      </c>
      <c r="G20" s="52" t="s">
        <v>10</v>
      </c>
      <c r="H20" s="51" t="s">
        <v>13</v>
      </c>
      <c r="I20" s="51" t="s">
        <v>38</v>
      </c>
    </row>
    <row r="21" spans="2:13" x14ac:dyDescent="0.3">
      <c r="B21" s="50">
        <v>45047</v>
      </c>
      <c r="C21" s="128">
        <v>1</v>
      </c>
      <c r="D21" s="128">
        <v>7</v>
      </c>
      <c r="E21" s="129">
        <v>27387896150</v>
      </c>
      <c r="F21" s="130" t="str">
        <f>IFERROR(IF(factura_c_mes283[[#This Row],[CUIT]]="","-",VLOOKUP(factura_c_mes283[[#This Row],[CUIT]],Lista_CUIT[#All],2,0)),"CUIT NO CARGADO")</f>
        <v>LIPANOVICH MARIA SOL</v>
      </c>
      <c r="G21" s="132">
        <v>400000</v>
      </c>
      <c r="H21" s="375" t="s">
        <v>1389</v>
      </c>
      <c r="I21" s="131">
        <f>IFERROR(IF(factura_c_mes283[[#This Row],[CUIT]]="","-",VLOOKUP(factura_c_mes283[[#This Row],[CUIT]],Lista_CUIT[#All],4,0)),"CUIT NO CARGADO")</f>
        <v>0</v>
      </c>
      <c r="K21" s="406">
        <v>510.12</v>
      </c>
      <c r="L21" s="385" t="s">
        <v>1390</v>
      </c>
      <c r="M21" s="367">
        <v>510000</v>
      </c>
    </row>
    <row r="22" spans="2:13" x14ac:dyDescent="0.3">
      <c r="B22" s="50">
        <v>45077</v>
      </c>
      <c r="C22" s="128">
        <v>1</v>
      </c>
      <c r="D22" s="128">
        <v>8</v>
      </c>
      <c r="E22" s="129">
        <v>27387896150</v>
      </c>
      <c r="F22" s="130" t="str">
        <f>IFERROR(IF(factura_c_mes283[[#This Row],[CUIT]]="","-",VLOOKUP(factura_c_mes283[[#This Row],[CUIT]],Lista_CUIT[#All],2,0)),"CUIT NO CARGADO")</f>
        <v>LIPANOVICH MARIA SOL</v>
      </c>
      <c r="G22" s="132">
        <v>400000</v>
      </c>
      <c r="H22" s="375" t="s">
        <v>1389</v>
      </c>
      <c r="I22" s="131">
        <f>IFERROR(IF(factura_c_mes283[[#This Row],[CUIT]]="","-",VLOOKUP(factura_c_mes283[[#This Row],[CUIT]],Lista_CUIT[#All],4,0)),"CUIT NO CARGADO")</f>
        <v>0</v>
      </c>
      <c r="K22" s="406">
        <v>500.05</v>
      </c>
      <c r="L22" s="385" t="s">
        <v>1383</v>
      </c>
      <c r="M22" s="367">
        <v>108932.98</v>
      </c>
    </row>
    <row r="23" spans="2:13" x14ac:dyDescent="0.3">
      <c r="B23" s="50">
        <v>45062</v>
      </c>
      <c r="C23" s="128">
        <v>2</v>
      </c>
      <c r="D23" s="128">
        <v>203</v>
      </c>
      <c r="E23" s="129">
        <v>27173820866</v>
      </c>
      <c r="F23" s="130" t="str">
        <f>IFERROR(IF(factura_c_mes283[[#This Row],[CUIT]]="","-",VLOOKUP(factura_c_mes283[[#This Row],[CUIT]],Lista_CUIT[#All],2,0)),"CUIT NO CARGADO")</f>
        <v>FREIER SANDRA DANIELA</v>
      </c>
      <c r="G23" s="132">
        <v>400000</v>
      </c>
      <c r="H23" s="364" t="s">
        <v>1389</v>
      </c>
      <c r="I23" s="131">
        <f>IFERROR(IF(factura_c_mes283[[#This Row],[CUIT]]="","-",VLOOKUP(factura_c_mes283[[#This Row],[CUIT]],Lista_CUIT[#All],4,0)),"CUIT NO CARGADO")</f>
        <v>0</v>
      </c>
      <c r="K23" s="406">
        <v>500.01600000000002</v>
      </c>
      <c r="L23" s="385" t="s">
        <v>1384</v>
      </c>
      <c r="M23" s="367">
        <v>848510</v>
      </c>
    </row>
    <row r="24" spans="2:13" x14ac:dyDescent="0.3">
      <c r="B24" s="50">
        <v>45047</v>
      </c>
      <c r="C24" s="128">
        <v>1</v>
      </c>
      <c r="D24" s="128">
        <v>23</v>
      </c>
      <c r="E24" s="129">
        <v>20365938688</v>
      </c>
      <c r="F24" s="130" t="str">
        <f>IFERROR(IF(factura_c_mes283[[#This Row],[CUIT]]="","-",VLOOKUP(factura_c_mes283[[#This Row],[CUIT]],Lista_CUIT[#All],2,0)),"CUIT NO CARGADO")</f>
        <v>LIPANOVICH JUAN CRUZ</v>
      </c>
      <c r="G24" s="132">
        <v>450000</v>
      </c>
      <c r="H24" s="364" t="s">
        <v>1389</v>
      </c>
      <c r="I24" s="131">
        <f>IFERROR(IF(factura_c_mes283[[#This Row],[CUIT]]="","-",VLOOKUP(factura_c_mes283[[#This Row],[CUIT]],Lista_CUIT[#All],4,0)),"CUIT NO CARGADO")</f>
        <v>0</v>
      </c>
      <c r="K24" s="406">
        <v>510.1</v>
      </c>
      <c r="L24" s="385" t="s">
        <v>1385</v>
      </c>
      <c r="M24" s="367">
        <v>93860</v>
      </c>
    </row>
    <row r="25" spans="2:13" x14ac:dyDescent="0.3">
      <c r="B25" s="50">
        <v>45049</v>
      </c>
      <c r="C25" s="128">
        <v>2</v>
      </c>
      <c r="D25" s="128">
        <v>81043</v>
      </c>
      <c r="E25" s="129">
        <v>30554466806</v>
      </c>
      <c r="F25" s="130" t="str">
        <f>IFERROR(IF(factura_c_mes283[[#This Row],[CUIT]]="","-",VLOOKUP(factura_c_mes283[[#This Row],[CUIT]],Lista_CUIT[#All],2,0)),"CUIT NO CARGADO")</f>
        <v>ASOCIACION DE IMPORTADORES Y EXPORTADORES DE LA REPUBLICA ARGENTINA</v>
      </c>
      <c r="G25" s="132">
        <v>3200</v>
      </c>
      <c r="H25" s="370" t="str">
        <f>IFERROR(IF(factura_c_mes283[[#This Row],[CUIT]]="","-",VLOOKUP(factura_c_mes283[[#This Row],[CUIT]],Lista_CUIT[#All],3,0)),"CUIT NO CARGADO")</f>
        <v>FLETE-LOGISTICA</v>
      </c>
      <c r="I25" s="131">
        <f>IFERROR(IF(factura_c_mes283[[#This Row],[CUIT]]="","-",VLOOKUP(factura_c_mes283[[#This Row],[CUIT]],Lista_CUIT[#All],4,0)),"CUIT NO CARGADO")</f>
        <v>0</v>
      </c>
      <c r="K25" s="406">
        <v>500.03500000000003</v>
      </c>
      <c r="L25" s="375" t="s">
        <v>1389</v>
      </c>
      <c r="M25" s="367">
        <v>850000</v>
      </c>
    </row>
    <row r="26" spans="2:13" x14ac:dyDescent="0.3">
      <c r="B26" s="50">
        <v>45054</v>
      </c>
      <c r="C26" s="128">
        <v>11</v>
      </c>
      <c r="D26" s="128">
        <v>37129</v>
      </c>
      <c r="E26" s="129">
        <v>30714867322</v>
      </c>
      <c r="F26" s="130" t="str">
        <f>IFERROR(IF(factura_c_mes283[[#This Row],[CUIT]]="","-",VLOOKUP(factura_c_mes283[[#This Row],[CUIT]],Lista_CUIT[#All],2,0)),"CUIT NO CARGADO")</f>
        <v>INITIUM SRL</v>
      </c>
      <c r="G26" s="371">
        <v>3488.98</v>
      </c>
      <c r="H26" t="s">
        <v>1383</v>
      </c>
      <c r="I26" s="131">
        <f>IFERROR(IF(factura_c_mes283[[#This Row],[CUIT]]="","-",VLOOKUP(factura_c_mes283[[#This Row],[CUIT]],Lista_CUIT[#All],4,0)),"CUIT NO CARGADO")</f>
        <v>0</v>
      </c>
      <c r="K26" s="406">
        <v>500.02699999999999</v>
      </c>
      <c r="L26" s="386" t="s">
        <v>1414</v>
      </c>
      <c r="M26" s="369">
        <v>-148935</v>
      </c>
    </row>
    <row r="27" spans="2:13" x14ac:dyDescent="0.3">
      <c r="B27" s="50">
        <v>45055</v>
      </c>
      <c r="C27" s="128">
        <v>1</v>
      </c>
      <c r="D27" s="128">
        <v>36</v>
      </c>
      <c r="E27" s="129">
        <v>27925308868</v>
      </c>
      <c r="F27" s="130" t="str">
        <f>IFERROR(IF(factura_c_mes283[[#This Row],[CUIT]]="","-",VLOOKUP(factura_c_mes283[[#This Row],[CUIT]],Lista_CUIT[#All],2,0)),"CUIT NO CARGADO")</f>
        <v>LOPEZ MOLINA MARIA</v>
      </c>
      <c r="G27" s="371">
        <v>19200</v>
      </c>
      <c r="H27" t="s">
        <v>1383</v>
      </c>
      <c r="I27" s="131">
        <f>IFERROR(IF(factura_c_mes283[[#This Row],[CUIT]]="","-",VLOOKUP(factura_c_mes283[[#This Row],[CUIT]],Lista_CUIT[#All],4,0)),"CUIT NO CARGADO")</f>
        <v>0</v>
      </c>
      <c r="K27" s="407">
        <v>500.03399999999999</v>
      </c>
      <c r="L27" t="s">
        <v>1416</v>
      </c>
      <c r="M27" s="367">
        <v>128970</v>
      </c>
    </row>
    <row r="28" spans="2:13" x14ac:dyDescent="0.3">
      <c r="B28" s="50">
        <v>45061</v>
      </c>
      <c r="C28" s="128">
        <v>9</v>
      </c>
      <c r="D28" s="128">
        <v>3739576</v>
      </c>
      <c r="E28" s="129">
        <v>33715179119</v>
      </c>
      <c r="F28" s="130" t="str">
        <f>IFERROR(IF(factura_c_mes283[[#This Row],[CUIT]]="","-",VLOOKUP(factura_c_mes283[[#This Row],[CUIT]],Lista_CUIT[#All],2,0)),"CUIT NO CARGADO")</f>
        <v>FONDO DE COOPERACION TECNICA Y FINANCIERA - CECBA - SL Y T - LEY 23.412</v>
      </c>
      <c r="G28" s="371">
        <v>855</v>
      </c>
      <c r="H28" t="s">
        <v>1383</v>
      </c>
      <c r="I28" s="131">
        <f>IFERROR(IF(factura_c_mes283[[#This Row],[CUIT]]="","-",VLOOKUP(factura_c_mes283[[#This Row],[CUIT]],Lista_CUIT[#All],4,0)),"CUIT NO CARGADO")</f>
        <v>0</v>
      </c>
      <c r="K28" s="406">
        <v>500.03</v>
      </c>
      <c r="L28" s="385" t="s">
        <v>1413</v>
      </c>
      <c r="M28" s="367">
        <v>718570</v>
      </c>
    </row>
    <row r="29" spans="2:13" x14ac:dyDescent="0.3">
      <c r="B29" s="50">
        <v>45062</v>
      </c>
      <c r="C29" s="128">
        <v>2</v>
      </c>
      <c r="D29" s="128">
        <v>103</v>
      </c>
      <c r="E29" s="129">
        <v>27125997835</v>
      </c>
      <c r="F29" s="130" t="str">
        <f>IFERROR(IF(factura_c_mes283[[#This Row],[CUIT]]="","-",VLOOKUP(factura_c_mes283[[#This Row],[CUIT]],Lista_CUIT[#All],2,0)),"CUIT NO CARGADO")</f>
        <v>DANSKY ULLMANN VIVIANA EVA YOLANDA</v>
      </c>
      <c r="G29" s="371">
        <v>50000</v>
      </c>
      <c r="H29" t="s">
        <v>1383</v>
      </c>
      <c r="I29" s="131">
        <f>IFERROR(IF(factura_c_mes283[[#This Row],[CUIT]]="","-",VLOOKUP(factura_c_mes283[[#This Row],[CUIT]],Lista_CUIT[#All],4,0)),"CUIT NO CARGADO")</f>
        <v>0</v>
      </c>
      <c r="K29" s="406">
        <v>500.03500000000003</v>
      </c>
      <c r="L29" s="375" t="s">
        <v>1389</v>
      </c>
      <c r="M29" s="367">
        <v>800000</v>
      </c>
    </row>
    <row r="30" spans="2:13" x14ac:dyDescent="0.3">
      <c r="B30" s="50">
        <v>45057</v>
      </c>
      <c r="C30" s="128">
        <v>7</v>
      </c>
      <c r="D30" s="128">
        <v>313886</v>
      </c>
      <c r="E30" s="129">
        <v>20259150249</v>
      </c>
      <c r="F30" s="130" t="str">
        <f>IFERROR(IF(factura_c_mes283[[#This Row],[CUIT]]="","-",VLOOKUP(factura_c_mes283[[#This Row],[CUIT]],Lista_CUIT[#All],2,0)),"CUIT NO CARGADO")</f>
        <v>BIANCHI CRISTIAN MAXIMILIANO</v>
      </c>
      <c r="G30" s="371">
        <v>18590</v>
      </c>
      <c r="H30" s="131" t="str">
        <f>IFERROR(IF(factura_c_mes283[[#This Row],[CUIT]]="","-",VLOOKUP(factura_c_mes283[[#This Row],[CUIT]],Lista_CUIT[#All],3,0)),"CUIT NO CARGADO")</f>
        <v>Gastos Varios</v>
      </c>
      <c r="I30" s="131">
        <f>IFERROR(IF(factura_c_mes283[[#This Row],[CUIT]]="","-",VLOOKUP(factura_c_mes283[[#This Row],[CUIT]],Lista_CUIT[#All],4,0)),"CUIT NO CARGADO")</f>
        <v>0</v>
      </c>
      <c r="K30" s="406">
        <v>507.13</v>
      </c>
      <c r="L30" s="366" t="s">
        <v>1395</v>
      </c>
      <c r="M30" s="367">
        <v>3200</v>
      </c>
    </row>
    <row r="31" spans="2:13" x14ac:dyDescent="0.3">
      <c r="B31" s="50">
        <v>45061</v>
      </c>
      <c r="C31" s="128">
        <v>7</v>
      </c>
      <c r="D31" s="128">
        <v>314857</v>
      </c>
      <c r="E31" s="129">
        <v>20259150249</v>
      </c>
      <c r="F31" s="130" t="str">
        <f>IFERROR(IF(factura_c_mes283[[#This Row],[CUIT]]="","-",VLOOKUP(factura_c_mes283[[#This Row],[CUIT]],Lista_CUIT[#All],2,0)),"CUIT NO CARGADO")</f>
        <v>BIANCHI CRISTIAN MAXIMILIANO</v>
      </c>
      <c r="G31" s="371">
        <v>16799</v>
      </c>
      <c r="H31" s="131" t="str">
        <f>IFERROR(IF(factura_c_mes283[[#This Row],[CUIT]]="","-",VLOOKUP(factura_c_mes283[[#This Row],[CUIT]],Lista_CUIT[#All],3,0)),"CUIT NO CARGADO")</f>
        <v>Gastos Varios</v>
      </c>
      <c r="I31" s="131">
        <f>IFERROR(IF(factura_c_mes283[[#This Row],[CUIT]]="","-",VLOOKUP(factura_c_mes283[[#This Row],[CUIT]],Lista_CUIT[#All],4,0)),"CUIT NO CARGADO")</f>
        <v>0</v>
      </c>
      <c r="K31" s="406">
        <v>121.122</v>
      </c>
      <c r="L31" s="385" t="s">
        <v>1415</v>
      </c>
      <c r="M31" s="367">
        <v>37400</v>
      </c>
    </row>
    <row r="32" spans="2:13" x14ac:dyDescent="0.3">
      <c r="B32" s="50">
        <v>45054</v>
      </c>
      <c r="C32" s="128">
        <v>2</v>
      </c>
      <c r="D32" s="128">
        <v>140</v>
      </c>
      <c r="E32" s="129">
        <v>20136544625</v>
      </c>
      <c r="F32" s="130" t="str">
        <f>IFERROR(IF(factura_c_mes283[[#This Row],[CUIT]]="","-",VLOOKUP(factura_c_mes283[[#This Row],[CUIT]],Lista_CUIT[#All],2,0)),"CUIT NO CARGADO")</f>
        <v>RODRIGUEZ DE LA FUEN HECTOR MARCELO</v>
      </c>
      <c r="G32" s="132">
        <v>160000</v>
      </c>
      <c r="H32" s="131" t="str">
        <f>IFERROR(IF(factura_c_mes283[[#This Row],[CUIT]]="","-",VLOOKUP(factura_c_mes283[[#This Row],[CUIT]],Lista_CUIT[#All],3,0)),"CUIT NO CARGADO")</f>
        <v>Hon. Admin.</v>
      </c>
      <c r="I32" s="131">
        <f>IFERROR(IF(factura_c_mes283[[#This Row],[CUIT]]="","-",VLOOKUP(factura_c_mes283[[#This Row],[CUIT]],Lista_CUIT[#All],4,0)),"CUIT NO CARGADO")</f>
        <v>0</v>
      </c>
      <c r="K32" s="407">
        <v>500.03399999999999</v>
      </c>
      <c r="L32" t="s">
        <v>1416</v>
      </c>
      <c r="M32" s="367">
        <v>84196</v>
      </c>
    </row>
    <row r="33" spans="2:13" x14ac:dyDescent="0.3">
      <c r="B33" s="50">
        <v>45054</v>
      </c>
      <c r="C33" s="128">
        <v>2</v>
      </c>
      <c r="D33" s="128">
        <v>141</v>
      </c>
      <c r="E33" s="129">
        <v>20136544625</v>
      </c>
      <c r="F33" s="130" t="str">
        <f>IFERROR(IF(factura_c_mes283[[#This Row],[CUIT]]="","-",VLOOKUP(factura_c_mes283[[#This Row],[CUIT]],Lista_CUIT[#All],2,0)),"CUIT NO CARGADO")</f>
        <v>RODRIGUEZ DE LA FUEN HECTOR MARCELO</v>
      </c>
      <c r="G33" s="132">
        <v>140000</v>
      </c>
      <c r="H33" s="131" t="str">
        <f>IFERROR(IF(factura_c_mes283[[#This Row],[CUIT]]="","-",VLOOKUP(factura_c_mes283[[#This Row],[CUIT]],Lista_CUIT[#All],3,0)),"CUIT NO CARGADO")</f>
        <v>Hon. Admin.</v>
      </c>
      <c r="I33" s="131">
        <f>IFERROR(IF(factura_c_mes283[[#This Row],[CUIT]]="","-",VLOOKUP(factura_c_mes283[[#This Row],[CUIT]],Lista_CUIT[#All],4,0)),"CUIT NO CARGADO")</f>
        <v>0</v>
      </c>
      <c r="K33" s="366"/>
      <c r="L33" s="366"/>
      <c r="M33" s="367"/>
    </row>
    <row r="34" spans="2:13" x14ac:dyDescent="0.3">
      <c r="B34" s="50">
        <v>45061</v>
      </c>
      <c r="C34" s="128">
        <v>2</v>
      </c>
      <c r="D34" s="128">
        <v>142</v>
      </c>
      <c r="E34" s="129">
        <v>20136544625</v>
      </c>
      <c r="F34" s="130" t="str">
        <f>IFERROR(IF(factura_c_mes283[[#This Row],[CUIT]]="","-",VLOOKUP(factura_c_mes283[[#This Row],[CUIT]],Lista_CUIT[#All],2,0)),"CUIT NO CARGADO")</f>
        <v>RODRIGUEZ DE LA FUEN HECTOR MARCELO</v>
      </c>
      <c r="G34" s="132">
        <v>400000</v>
      </c>
      <c r="H34" s="131" t="str">
        <f>IFERROR(IF(factura_c_mes283[[#This Row],[CUIT]]="","-",VLOOKUP(factura_c_mes283[[#This Row],[CUIT]],Lista_CUIT[#All],3,0)),"CUIT NO CARGADO")</f>
        <v>Hon. Admin.</v>
      </c>
      <c r="I34" s="131">
        <f>IFERROR(IF(factura_c_mes283[[#This Row],[CUIT]]="","-",VLOOKUP(factura_c_mes283[[#This Row],[CUIT]],Lista_CUIT[#All],4,0)),"CUIT NO CARGADO")</f>
        <v>0</v>
      </c>
      <c r="M34" s="125">
        <f>SUM(M21:M32)</f>
        <v>4034703.98</v>
      </c>
    </row>
    <row r="35" spans="2:13" x14ac:dyDescent="0.3">
      <c r="B35" s="50">
        <v>45069</v>
      </c>
      <c r="C35" s="128">
        <v>3</v>
      </c>
      <c r="D35" s="128">
        <v>52</v>
      </c>
      <c r="E35" s="129">
        <v>20403931420</v>
      </c>
      <c r="F35" s="130" t="str">
        <f>IFERROR(IF(factura_c_mes283[[#This Row],[CUIT]]="","-",VLOOKUP(factura_c_mes283[[#This Row],[CUIT]],Lista_CUIT[#All],2,0)),"CUIT NO CARGADO")</f>
        <v>FIORENTINO JORGE IGNACIO</v>
      </c>
      <c r="G35" s="132">
        <v>148510</v>
      </c>
      <c r="H35" s="365" t="s">
        <v>1393</v>
      </c>
      <c r="I35" s="131">
        <f>IFERROR(IF(factura_c_mes283[[#This Row],[CUIT]]="","-",VLOOKUP(factura_c_mes283[[#This Row],[CUIT]],Lista_CUIT[#All],4,0)),"CUIT NO CARGADO")</f>
        <v>0</v>
      </c>
    </row>
    <row r="36" spans="2:13" x14ac:dyDescent="0.3">
      <c r="B36" s="50">
        <v>45048</v>
      </c>
      <c r="C36" s="128">
        <v>3</v>
      </c>
      <c r="D36" s="128">
        <v>732</v>
      </c>
      <c r="E36" s="129">
        <v>20086277523</v>
      </c>
      <c r="F36" s="130" t="str">
        <f>IFERROR(IF(factura_c_mes283[[#This Row],[CUIT]]="","-",VLOOKUP(factura_c_mes283[[#This Row],[CUIT]],Lista_CUIT[#All],2,0)),"CUIT NO CARGADO")</f>
        <v>ESTUDIO BOTINDARI</v>
      </c>
      <c r="G36" s="132">
        <v>81000</v>
      </c>
      <c r="H36" s="366" t="s">
        <v>1385</v>
      </c>
      <c r="I36" s="131">
        <f>IFERROR(IF(factura_c_mes283[[#This Row],[CUIT]]="","-",VLOOKUP(factura_c_mes283[[#This Row],[CUIT]],Lista_CUIT[#All],4,0)),"CUIT NO CARGADO")</f>
        <v>0</v>
      </c>
    </row>
    <row r="37" spans="2:13" x14ac:dyDescent="0.3">
      <c r="B37" s="50">
        <v>45061</v>
      </c>
      <c r="C37" s="128">
        <v>3</v>
      </c>
      <c r="D37" s="128">
        <v>737</v>
      </c>
      <c r="E37" s="129">
        <v>20086277523</v>
      </c>
      <c r="F37" s="130" t="str">
        <f>IFERROR(IF(factura_c_mes283[[#This Row],[CUIT]]="","-",VLOOKUP(factura_c_mes283[[#This Row],[CUIT]],Lista_CUIT[#All],2,0)),"CUIT NO CARGADO")</f>
        <v>ESTUDIO BOTINDARI</v>
      </c>
      <c r="G37" s="132">
        <v>12860</v>
      </c>
      <c r="H37" s="366" t="s">
        <v>1385</v>
      </c>
      <c r="I37" s="131">
        <f>IFERROR(IF(factura_c_mes283[[#This Row],[CUIT]]="","-",VLOOKUP(factura_c_mes283[[#This Row],[CUIT]],Lista_CUIT[#All],4,0)),"CUIT NO CARGADO")</f>
        <v>0</v>
      </c>
    </row>
    <row r="38" spans="2:13" x14ac:dyDescent="0.3">
      <c r="B38" s="50">
        <v>45057</v>
      </c>
      <c r="C38" s="128">
        <v>4</v>
      </c>
      <c r="D38" s="128">
        <v>13</v>
      </c>
      <c r="E38" s="129">
        <v>20341462933</v>
      </c>
      <c r="F38" s="130" t="str">
        <f>IFERROR(IF(factura_c_mes283[[#This Row],[CUIT]]="","-",VLOOKUP(factura_c_mes283[[#This Row],[CUIT]],Lista_CUIT[#All],2,0)),"CUIT NO CARGADO")</f>
        <v>CASTIGLIONI MATIAS EZEQUIEL</v>
      </c>
      <c r="G38" s="132">
        <v>510000</v>
      </c>
      <c r="H38" t="s">
        <v>1391</v>
      </c>
      <c r="I38" s="131" t="str">
        <f>IFERROR(IF(factura_c_mes283[[#This Row],[CUIT]]="","-",VLOOKUP(factura_c_mes283[[#This Row],[CUIT]],Lista_CUIT[#All],4,0)),"CUIT NO CARGADO")</f>
        <v>BUENOS AIRES</v>
      </c>
    </row>
    <row r="39" spans="2:13" x14ac:dyDescent="0.3">
      <c r="B39" s="50">
        <v>45049</v>
      </c>
      <c r="C39" s="128">
        <v>1</v>
      </c>
      <c r="D39" s="128">
        <v>12</v>
      </c>
      <c r="E39" s="129">
        <v>20338344695</v>
      </c>
      <c r="F39" s="130" t="str">
        <f>IFERROR(IF(factura_c_mes283[[#This Row],[CUIT]]="","-",VLOOKUP(factura_c_mes283[[#This Row],[CUIT]],Lista_CUIT[#All],2,0)),"CUIT NO CARGADO")</f>
        <v>FUERTES DAMIAN MATIAS</v>
      </c>
      <c r="G39" s="132">
        <v>37400</v>
      </c>
      <c r="H39" s="131" t="str">
        <f>IFERROR(IF(factura_c_mes283[[#This Row],[CUIT]]="","-",VLOOKUP(factura_c_mes283[[#This Row],[CUIT]],Lista_CUIT[#All],3,0)),"CUIT NO CARGADO")</f>
        <v>INSUMO</v>
      </c>
      <c r="I39" s="131">
        <f>IFERROR(IF(factura_c_mes283[[#This Row],[CUIT]]="","-",VLOOKUP(factura_c_mes283[[#This Row],[CUIT]],Lista_CUIT[#All],4,0)),"CUIT NO CARGADO")</f>
        <v>0</v>
      </c>
    </row>
    <row r="40" spans="2:13" x14ac:dyDescent="0.3">
      <c r="B40" s="50">
        <v>45049</v>
      </c>
      <c r="C40" s="128">
        <v>350</v>
      </c>
      <c r="D40" s="128">
        <v>186905</v>
      </c>
      <c r="E40" s="129">
        <v>30525558246</v>
      </c>
      <c r="F40" s="130" t="str">
        <f>IFERROR(IF(factura_c_mes283[[#This Row],[CUIT]]="","-",VLOOKUP(factura_c_mes283[[#This Row],[CUIT]],Lista_CUIT[#All],2,0)),"CUIT NO CARGADO")</f>
        <v>ANTONIO LUQUIN S A C I F E I</v>
      </c>
      <c r="G40" s="132">
        <v>21399</v>
      </c>
      <c r="H40" t="s">
        <v>1397</v>
      </c>
      <c r="I40" s="131">
        <f>IFERROR(IF(factura_c_mes283[[#This Row],[CUIT]]="","-",VLOOKUP(factura_c_mes283[[#This Row],[CUIT]],Lista_CUIT[#All],4,0)),"CUIT NO CARGADO")</f>
        <v>0</v>
      </c>
    </row>
    <row r="41" spans="2:13" x14ac:dyDescent="0.3">
      <c r="B41" s="50">
        <v>45049</v>
      </c>
      <c r="C41" s="128">
        <v>350</v>
      </c>
      <c r="D41" s="128">
        <v>186906</v>
      </c>
      <c r="E41" s="129">
        <v>30525558246</v>
      </c>
      <c r="F41" s="130" t="str">
        <f>IFERROR(IF(factura_c_mes283[[#This Row],[CUIT]]="","-",VLOOKUP(factura_c_mes283[[#This Row],[CUIT]],Lista_CUIT[#All],2,0)),"CUIT NO CARGADO")</f>
        <v>ANTONIO LUQUIN S A C I F E I</v>
      </c>
      <c r="G41" s="132">
        <v>21399</v>
      </c>
      <c r="H41" t="s">
        <v>1397</v>
      </c>
      <c r="I41" s="131">
        <f>IFERROR(IF(factura_c_mes283[[#This Row],[CUIT]]="","-",VLOOKUP(factura_c_mes283[[#This Row],[CUIT]],Lista_CUIT[#All],4,0)),"CUIT NO CARGADO")</f>
        <v>0</v>
      </c>
    </row>
    <row r="42" spans="2:13" x14ac:dyDescent="0.3">
      <c r="B42" s="50">
        <v>45049</v>
      </c>
      <c r="C42" s="128">
        <v>345</v>
      </c>
      <c r="D42" s="128">
        <v>332222</v>
      </c>
      <c r="E42" s="129">
        <v>30525558246</v>
      </c>
      <c r="F42" s="130" t="str">
        <f>IFERROR(IF(factura_c_mes283[[#This Row],[CUIT]]="","-",VLOOKUP(factura_c_mes283[[#This Row],[CUIT]],Lista_CUIT[#All],2,0)),"CUIT NO CARGADO")</f>
        <v>ANTONIO LUQUIN S A C I F E I</v>
      </c>
      <c r="G42" s="132">
        <v>20699</v>
      </c>
      <c r="H42" t="s">
        <v>1397</v>
      </c>
      <c r="I42" s="131">
        <f>IFERROR(IF(factura_c_mes283[[#This Row],[CUIT]]="","-",VLOOKUP(factura_c_mes283[[#This Row],[CUIT]],Lista_CUIT[#All],4,0)),"CUIT NO CARGADO")</f>
        <v>0</v>
      </c>
    </row>
    <row r="43" spans="2:13" x14ac:dyDescent="0.3">
      <c r="B43" s="50">
        <v>45049</v>
      </c>
      <c r="C43" s="128">
        <v>345</v>
      </c>
      <c r="D43" s="128">
        <v>332224</v>
      </c>
      <c r="E43" s="129">
        <v>30525558246</v>
      </c>
      <c r="F43" s="130" t="str">
        <f>IFERROR(IF(factura_c_mes283[[#This Row],[CUIT]]="","-",VLOOKUP(factura_c_mes283[[#This Row],[CUIT]],Lista_CUIT[#All],2,0)),"CUIT NO CARGADO")</f>
        <v>ANTONIO LUQUIN S A C I F E I</v>
      </c>
      <c r="G43" s="132">
        <v>20699</v>
      </c>
      <c r="H43" t="s">
        <v>1397</v>
      </c>
      <c r="I43" s="131">
        <f>IFERROR(IF(factura_c_mes283[[#This Row],[CUIT]]="","-",VLOOKUP(factura_c_mes283[[#This Row],[CUIT]],Lista_CUIT[#All],4,0)),"CUIT NO CARGADO")</f>
        <v>0</v>
      </c>
    </row>
    <row r="44" spans="2:13" x14ac:dyDescent="0.3">
      <c r="B44" s="50">
        <v>45068</v>
      </c>
      <c r="C44" s="128">
        <v>1</v>
      </c>
      <c r="D44" s="128">
        <v>18</v>
      </c>
      <c r="E44" s="129">
        <v>20417805878</v>
      </c>
      <c r="F44" s="130" t="str">
        <f>IFERROR(IF(factura_c_mes283[[#This Row],[CUIT]]="","-",VLOOKUP(factura_c_mes283[[#This Row],[CUIT]],Lista_CUIT[#All],2,0)),"CUIT NO CARGADO")</f>
        <v>FERABOLI OSPAL SANTIAGO HERNAN</v>
      </c>
      <c r="G44" s="132">
        <v>128970</v>
      </c>
      <c r="H44" s="365" t="s">
        <v>1394</v>
      </c>
      <c r="I44" s="131">
        <f>IFERROR(IF(factura_c_mes283[[#This Row],[CUIT]]="","-",VLOOKUP(factura_c_mes283[[#This Row],[CUIT]],Lista_CUIT[#All],4,0)),"CUIT NO CARGADO")</f>
        <v>0</v>
      </c>
    </row>
    <row r="45" spans="2:13" x14ac:dyDescent="0.3">
      <c r="B45" s="50">
        <v>45062</v>
      </c>
      <c r="C45" s="128">
        <v>2</v>
      </c>
      <c r="D45" s="128">
        <v>2</v>
      </c>
      <c r="E45" s="129">
        <v>23326777269</v>
      </c>
      <c r="F45" s="130" t="str">
        <f>IFERROR(IF(factura_c_mes283[[#This Row],[CUIT]]="","-",VLOOKUP(factura_c_mes283[[#This Row],[CUIT]],Lista_CUIT[#All],2,0)),"CUIT NO CARGADO")</f>
        <v>DE BONIS IGNACIO LUIS</v>
      </c>
      <c r="G45" s="132">
        <v>-148935</v>
      </c>
      <c r="H45" s="368" t="s">
        <v>1387</v>
      </c>
      <c r="I45" s="131">
        <f>IFERROR(IF(factura_c_mes283[[#This Row],[CUIT]]="","-",VLOOKUP(factura_c_mes283[[#This Row],[CUIT]],Lista_CUIT[#All],4,0)),"CUIT NO CARGADO")</f>
        <v>0</v>
      </c>
    </row>
    <row r="46" spans="2:13" x14ac:dyDescent="0.3">
      <c r="B46" s="50">
        <v>45068</v>
      </c>
      <c r="C46" s="128">
        <v>1</v>
      </c>
      <c r="D46" s="128">
        <v>99</v>
      </c>
      <c r="E46" s="129">
        <v>20341465134</v>
      </c>
      <c r="F46" s="130" t="str">
        <f>IFERROR(IF(factura_c_mes283[[#This Row],[CUIT]]="","-",VLOOKUP(factura_c_mes283[[#This Row],[CUIT]],Lista_CUIT[#All],2,0)),"CUIT NO CARGADO")</f>
        <v>ABELEDO AGUSTIN ENRIQUE</v>
      </c>
      <c r="G46" s="132">
        <v>340570</v>
      </c>
      <c r="H46" s="366" t="s">
        <v>1386</v>
      </c>
      <c r="I46" s="131" t="str">
        <f>IFERROR(IF(factura_c_mes283[[#This Row],[CUIT]]="","-",VLOOKUP(factura_c_mes283[[#This Row],[CUIT]],Lista_CUIT[#All],4,0)),"CUIT NO CARGADO")</f>
        <v>CABA</v>
      </c>
    </row>
    <row r="47" spans="2:13" x14ac:dyDescent="0.3">
      <c r="B47" s="50">
        <v>45065</v>
      </c>
      <c r="C47" s="128">
        <v>2</v>
      </c>
      <c r="D47" s="128">
        <v>83</v>
      </c>
      <c r="E47" s="129">
        <v>20244271740</v>
      </c>
      <c r="F47" s="130" t="str">
        <f>IFERROR(IF(factura_c_mes283[[#This Row],[CUIT]]="","-",VLOOKUP(factura_c_mes283[[#This Row],[CUIT]],Lista_CUIT[#All],2,0)),"CUIT NO CARGADO")</f>
        <v>KENNEL SEBASTIAN</v>
      </c>
      <c r="G47" s="132">
        <v>378000</v>
      </c>
      <c r="H47" s="131" t="str">
        <f>IFERROR(IF(factura_c_mes283[[#This Row],[CUIT]]="","-",VLOOKUP(factura_c_mes283[[#This Row],[CUIT]],Lista_CUIT[#All],3,0)),"CUIT NO CARGADO")</f>
        <v>Software Mantenimiento</v>
      </c>
      <c r="I47" s="131">
        <f>IFERROR(IF(factura_c_mes283[[#This Row],[CUIT]]="","-",VLOOKUP(factura_c_mes283[[#This Row],[CUIT]],Lista_CUIT[#All],4,0)),"CUIT NO CARGADO")</f>
        <v>0</v>
      </c>
    </row>
    <row r="48" spans="2:13" x14ac:dyDescent="0.3">
      <c r="B48" s="55" t="s">
        <v>110</v>
      </c>
      <c r="C48" s="55"/>
      <c r="D48" s="55"/>
      <c r="E48" s="55"/>
      <c r="F48" s="57"/>
      <c r="G48" s="58">
        <f>SUBTOTAL(109,factura_c_mes283[TOTAL])</f>
        <v>4034703.98</v>
      </c>
      <c r="H48" s="55"/>
      <c r="I48" s="55"/>
    </row>
    <row r="51" spans="2:13" ht="21" x14ac:dyDescent="0.3">
      <c r="B51" s="414" t="s">
        <v>25</v>
      </c>
      <c r="C51" s="414"/>
      <c r="D51" s="414"/>
      <c r="E51" s="414"/>
      <c r="F51" s="414"/>
      <c r="G51" s="414"/>
      <c r="H51" s="414"/>
      <c r="I51" s="414"/>
    </row>
    <row r="52" spans="2:13" x14ac:dyDescent="0.3">
      <c r="B52" s="51" t="s">
        <v>0</v>
      </c>
      <c r="C52" s="51" t="s">
        <v>2</v>
      </c>
      <c r="D52" s="51" t="s">
        <v>74</v>
      </c>
      <c r="E52" s="51" t="s">
        <v>3</v>
      </c>
      <c r="F52" s="51" t="s">
        <v>4</v>
      </c>
      <c r="G52" s="52" t="s">
        <v>10</v>
      </c>
      <c r="H52" s="51" t="s">
        <v>13</v>
      </c>
      <c r="I52" s="51" t="s">
        <v>38</v>
      </c>
    </row>
    <row r="53" spans="2:13" x14ac:dyDescent="0.3">
      <c r="B53" s="40">
        <v>45078</v>
      </c>
      <c r="C53" s="161">
        <v>4</v>
      </c>
      <c r="D53" s="161">
        <v>47</v>
      </c>
      <c r="E53" s="141">
        <v>23214737914</v>
      </c>
      <c r="F53" s="142" t="str">
        <f>IFERROR(IF(factura_c_mes384[[#This Row],[CUIT]]="","-",VLOOKUP(factura_c_mes384[[#This Row],[CUIT]],Lista_CUIT[#All],2,0)),"CUIT NO CARGADO")</f>
        <v>SBARRA GABRIELA BEATRIZ</v>
      </c>
      <c r="G53" s="162">
        <v>301780</v>
      </c>
      <c r="H53" s="366" t="s">
        <v>1398</v>
      </c>
      <c r="I53" s="163">
        <f>IFERROR(IF(factura_c_mes384[[#This Row],[CUIT]]="","-",VLOOKUP(factura_c_mes384[[#This Row],[CUIT]],Lista_CUIT[#All],4,0)),"CUIT NO CARGADO")</f>
        <v>0</v>
      </c>
      <c r="K53" s="406">
        <v>510.12</v>
      </c>
      <c r="L53" s="385" t="s">
        <v>1390</v>
      </c>
      <c r="M53" s="367">
        <v>488500</v>
      </c>
    </row>
    <row r="54" spans="2:13" x14ac:dyDescent="0.3">
      <c r="B54" s="40">
        <v>45089</v>
      </c>
      <c r="C54" s="161">
        <v>4</v>
      </c>
      <c r="D54" s="161">
        <v>48</v>
      </c>
      <c r="E54" s="141">
        <v>23214737914</v>
      </c>
      <c r="F54" s="142" t="str">
        <f>IFERROR(IF(factura_c_mes384[[#This Row],[CUIT]]="","-",VLOOKUP(factura_c_mes384[[#This Row],[CUIT]],Lista_CUIT[#All],2,0)),"CUIT NO CARGADO")</f>
        <v>SBARRA GABRIELA BEATRIZ</v>
      </c>
      <c r="G54" s="162">
        <v>266770</v>
      </c>
      <c r="H54" s="366" t="s">
        <v>1398</v>
      </c>
      <c r="I54" s="163">
        <f>IFERROR(IF(factura_c_mes384[[#This Row],[CUIT]]="","-",VLOOKUP(factura_c_mes384[[#This Row],[CUIT]],Lista_CUIT[#All],4,0)),"CUIT NO CARGADO")</f>
        <v>0</v>
      </c>
      <c r="K54" s="406">
        <v>500.05</v>
      </c>
      <c r="L54" s="385" t="s">
        <v>1383</v>
      </c>
      <c r="M54" s="367">
        <v>42654.080000000002</v>
      </c>
    </row>
    <row r="55" spans="2:13" x14ac:dyDescent="0.3">
      <c r="B55" s="40">
        <v>45078</v>
      </c>
      <c r="C55" s="161">
        <v>1</v>
      </c>
      <c r="D55" s="161">
        <v>24</v>
      </c>
      <c r="E55" s="141">
        <v>20365938688</v>
      </c>
      <c r="F55" s="142" t="str">
        <f>IFERROR(IF(factura_c_mes384[[#This Row],[CUIT]]="","-",VLOOKUP(factura_c_mes384[[#This Row],[CUIT]],Lista_CUIT[#All],2,0)),"CUIT NO CARGADO")</f>
        <v>LIPANOVICH JUAN CRUZ</v>
      </c>
      <c r="G55" s="162">
        <v>450000</v>
      </c>
      <c r="H55" s="373" t="s">
        <v>1389</v>
      </c>
      <c r="I55" s="163">
        <f>IFERROR(IF(factura_c_mes384[[#This Row],[CUIT]]="","-",VLOOKUP(factura_c_mes384[[#This Row],[CUIT]],Lista_CUIT[#All],4,0)),"CUIT NO CARGADO")</f>
        <v>0</v>
      </c>
      <c r="K55" s="406">
        <v>500.01600000000002</v>
      </c>
      <c r="L55" s="385" t="s">
        <v>1384</v>
      </c>
      <c r="M55" s="367">
        <v>449120</v>
      </c>
    </row>
    <row r="56" spans="2:13" x14ac:dyDescent="0.3">
      <c r="B56" s="40">
        <v>45078</v>
      </c>
      <c r="C56" s="161">
        <v>7</v>
      </c>
      <c r="D56" s="161">
        <v>316588</v>
      </c>
      <c r="E56" s="141">
        <v>20259150249</v>
      </c>
      <c r="F56" s="142" t="str">
        <f>IFERROR(IF(factura_c_mes384[[#This Row],[CUIT]]="","-",VLOOKUP(factura_c_mes384[[#This Row],[CUIT]],Lista_CUIT[#All],2,0)),"CUIT NO CARGADO")</f>
        <v>BIANCHI CRISTIAN MAXIMILIANO</v>
      </c>
      <c r="G56" s="162">
        <v>15455.08</v>
      </c>
      <c r="H56" s="372" t="str">
        <f>IFERROR(IF(factura_c_mes384[[#This Row],[CUIT]]="","-",VLOOKUP(factura_c_mes384[[#This Row],[CUIT]],Lista_CUIT[#All],3,0)),"CUIT NO CARGADO")</f>
        <v>Gastos Varios</v>
      </c>
      <c r="I56" s="163">
        <f>IFERROR(IF(factura_c_mes384[[#This Row],[CUIT]]="","-",VLOOKUP(factura_c_mes384[[#This Row],[CUIT]],Lista_CUIT[#All],4,0)),"CUIT NO CARGADO")</f>
        <v>0</v>
      </c>
      <c r="K56" s="406">
        <v>510.1</v>
      </c>
      <c r="L56" s="385" t="s">
        <v>1385</v>
      </c>
      <c r="M56" s="367">
        <v>96432</v>
      </c>
    </row>
    <row r="57" spans="2:13" x14ac:dyDescent="0.3">
      <c r="B57" s="40">
        <v>45078</v>
      </c>
      <c r="C57" s="161">
        <v>4</v>
      </c>
      <c r="D57" s="161">
        <v>46218</v>
      </c>
      <c r="E57" s="141">
        <v>30716998718</v>
      </c>
      <c r="F57" s="142" t="str">
        <f>IFERROR(IF(factura_c_mes384[[#This Row],[CUIT]]="","-",VLOOKUP(factura_c_mes384[[#This Row],[CUIT]],Lista_CUIT[#All],2,0)),"CUIT NO CARGADO")</f>
        <v>FIDO ARGENTINA SRL</v>
      </c>
      <c r="G57" s="162">
        <v>21628</v>
      </c>
      <c r="H57" s="372" t="str">
        <f>IFERROR(IF(factura_c_mes384[[#This Row],[CUIT]]="","-",VLOOKUP(factura_c_mes384[[#This Row],[CUIT]],Lista_CUIT[#All],3,0)),"CUIT NO CARGADO")</f>
        <v>Gastos Varios</v>
      </c>
      <c r="I57" s="163">
        <f>IFERROR(IF(factura_c_mes384[[#This Row],[CUIT]]="","-",VLOOKUP(factura_c_mes384[[#This Row],[CUIT]],Lista_CUIT[#All],4,0)),"CUIT NO CARGADO")</f>
        <v>0</v>
      </c>
      <c r="K57" s="406">
        <v>500.03500000000003</v>
      </c>
      <c r="L57" s="375" t="s">
        <v>1389</v>
      </c>
      <c r="M57" s="367">
        <v>450000</v>
      </c>
    </row>
    <row r="58" spans="2:13" x14ac:dyDescent="0.3">
      <c r="B58" s="50">
        <v>45100</v>
      </c>
      <c r="C58" s="42">
        <v>4</v>
      </c>
      <c r="D58" s="43">
        <v>94073</v>
      </c>
      <c r="E58" s="44">
        <v>20347495027</v>
      </c>
      <c r="F58" s="53" t="str">
        <f>IFERROR(IF(factura_c_mes384[[#This Row],[CUIT]]="","-",VLOOKUP(factura_c_mes384[[#This Row],[CUIT]],Lista_CUIT[#All],2,0)),"CUIT NO CARGADO")</f>
        <v>BARRAGAN FEDERICO ANDRES</v>
      </c>
      <c r="G58" s="81">
        <v>5571</v>
      </c>
      <c r="H58" s="366" t="s">
        <v>1383</v>
      </c>
      <c r="I58" s="54">
        <f>IFERROR(IF(factura_c_mes384[[#This Row],[CUIT]]="","-",VLOOKUP(factura_c_mes384[[#This Row],[CUIT]],Lista_CUIT[#All],4,0)),"CUIT NO CARGADO")</f>
        <v>0</v>
      </c>
      <c r="K58" s="406">
        <v>500.03</v>
      </c>
      <c r="L58" s="385" t="s">
        <v>1413</v>
      </c>
      <c r="M58" s="367">
        <v>668060</v>
      </c>
    </row>
    <row r="59" spans="2:13" x14ac:dyDescent="0.3">
      <c r="B59" s="40">
        <v>45078</v>
      </c>
      <c r="C59" s="161">
        <v>2</v>
      </c>
      <c r="D59" s="161">
        <v>145</v>
      </c>
      <c r="E59" s="141">
        <v>20136544625</v>
      </c>
      <c r="F59" s="142" t="str">
        <f>IFERROR(IF(factura_c_mes384[[#This Row],[CUIT]]="","-",VLOOKUP(factura_c_mes384[[#This Row],[CUIT]],Lista_CUIT[#All],2,0)),"CUIT NO CARGADO")</f>
        <v>RODRIGUEZ DE LA FUEN HECTOR MARCELO</v>
      </c>
      <c r="G59" s="162">
        <v>300000</v>
      </c>
      <c r="H59" s="163" t="str">
        <f>IFERROR(IF(factura_c_mes384[[#This Row],[CUIT]]="","-",VLOOKUP(factura_c_mes384[[#This Row],[CUIT]],Lista_CUIT[#All],3,0)),"CUIT NO CARGADO")</f>
        <v>Hon. Admin.</v>
      </c>
      <c r="I59" s="163">
        <f>IFERROR(IF(factura_c_mes384[[#This Row],[CUIT]]="","-",VLOOKUP(factura_c_mes384[[#This Row],[CUIT]],Lista_CUIT[#All],4,0)),"CUIT NO CARGADO")</f>
        <v>0</v>
      </c>
      <c r="K59" s="406"/>
      <c r="L59" s="386"/>
      <c r="M59" s="369"/>
    </row>
    <row r="60" spans="2:13" x14ac:dyDescent="0.3">
      <c r="B60" s="40">
        <v>45084</v>
      </c>
      <c r="C60" s="161">
        <v>3</v>
      </c>
      <c r="D60" s="161">
        <v>53</v>
      </c>
      <c r="E60" s="141">
        <v>20403931420</v>
      </c>
      <c r="F60" s="142" t="str">
        <f>IFERROR(IF(factura_c_mes384[[#This Row],[CUIT]]="","-",VLOOKUP(factura_c_mes384[[#This Row],[CUIT]],Lista_CUIT[#All],2,0)),"CUIT NO CARGADO")</f>
        <v>FIORENTINO JORGE IGNACIO</v>
      </c>
      <c r="G60" s="162">
        <v>149120</v>
      </c>
      <c r="H60" s="163" t="str">
        <f>IFERROR(IF(factura_c_mes384[[#This Row],[CUIT]]="","-",VLOOKUP(factura_c_mes384[[#This Row],[CUIT]],Lista_CUIT[#All],3,0)),"CUIT NO CARGADO")</f>
        <v>Hon. Admin.</v>
      </c>
      <c r="I60" s="163">
        <f>IFERROR(IF(factura_c_mes384[[#This Row],[CUIT]]="","-",VLOOKUP(factura_c_mes384[[#This Row],[CUIT]],Lista_CUIT[#All],4,0)),"CUIT NO CARGADO")</f>
        <v>0</v>
      </c>
      <c r="K60" s="407">
        <v>500.03399999999999</v>
      </c>
      <c r="L60" t="s">
        <v>1416</v>
      </c>
      <c r="M60" s="367">
        <v>128720</v>
      </c>
    </row>
    <row r="61" spans="2:13" x14ac:dyDescent="0.3">
      <c r="B61" s="40">
        <v>45078</v>
      </c>
      <c r="C61" s="161">
        <v>3</v>
      </c>
      <c r="D61" s="161">
        <v>742</v>
      </c>
      <c r="E61" s="141">
        <v>20086277523</v>
      </c>
      <c r="F61" s="142" t="str">
        <f>IFERROR(IF(factura_c_mes384[[#This Row],[CUIT]]="","-",VLOOKUP(factura_c_mes384[[#This Row],[CUIT]],Lista_CUIT[#All],2,0)),"CUIT NO CARGADO")</f>
        <v>ESTUDIO BOTINDARI</v>
      </c>
      <c r="G61" s="162">
        <v>81000</v>
      </c>
      <c r="H61" s="366" t="s">
        <v>1385</v>
      </c>
      <c r="I61" s="163">
        <f>IFERROR(IF(factura_c_mes384[[#This Row],[CUIT]]="","-",VLOOKUP(factura_c_mes384[[#This Row],[CUIT]],Lista_CUIT[#All],4,0)),"CUIT NO CARGADO")</f>
        <v>0</v>
      </c>
      <c r="K61" s="406">
        <v>500.03199999999998</v>
      </c>
      <c r="L61" s="385" t="s">
        <v>1412</v>
      </c>
      <c r="M61" s="367">
        <v>568550</v>
      </c>
    </row>
    <row r="62" spans="2:13" x14ac:dyDescent="0.3">
      <c r="B62" s="40">
        <v>45089</v>
      </c>
      <c r="C62" s="161">
        <v>2</v>
      </c>
      <c r="D62" s="161">
        <v>572</v>
      </c>
      <c r="E62" s="141">
        <v>20400104094</v>
      </c>
      <c r="F62" s="142" t="str">
        <f>IFERROR(IF(factura_c_mes384[[#This Row],[CUIT]]="","-",VLOOKUP(factura_c_mes384[[#This Row],[CUIT]],Lista_CUIT[#All],2,0)),"CUIT NO CARGADO")</f>
        <v>FEDERICO BOTINDARI</v>
      </c>
      <c r="G62" s="162">
        <v>15432</v>
      </c>
      <c r="H62" s="366" t="s">
        <v>1385</v>
      </c>
      <c r="I62" s="163">
        <f>IFERROR(IF(factura_c_mes384[[#This Row],[CUIT]]="","-",VLOOKUP(factura_c_mes384[[#This Row],[CUIT]],Lista_CUIT[#All],4,0)),"CUIT NO CARGADO")</f>
        <v>0</v>
      </c>
      <c r="K62" s="408"/>
      <c r="L62" s="408"/>
      <c r="M62" s="410">
        <f ca="1">SUM(M53:M68)</f>
        <v>2892036.08</v>
      </c>
    </row>
    <row r="63" spans="2:13" x14ac:dyDescent="0.3">
      <c r="B63" s="40">
        <v>45098</v>
      </c>
      <c r="C63" s="161">
        <v>4</v>
      </c>
      <c r="D63" s="161">
        <v>14</v>
      </c>
      <c r="E63" s="141">
        <v>20341462933</v>
      </c>
      <c r="F63" s="142" t="str">
        <f>IFERROR(IF(factura_c_mes384[[#This Row],[CUIT]]="","-",VLOOKUP(factura_c_mes384[[#This Row],[CUIT]],Lista_CUIT[#All],2,0)),"CUIT NO CARGADO")</f>
        <v>CASTIGLIONI MATIAS EZEQUIEL</v>
      </c>
      <c r="G63" s="162">
        <v>488500</v>
      </c>
      <c r="H63" s="54" t="s">
        <v>1391</v>
      </c>
      <c r="I63" s="163" t="str">
        <f>IFERROR(IF(factura_c_mes384[[#This Row],[CUIT]]="","-",VLOOKUP(factura_c_mes384[[#This Row],[CUIT]],Lista_CUIT[#All],4,0)),"CUIT NO CARGADO")</f>
        <v>BUENOS AIRES</v>
      </c>
      <c r="K63" s="407"/>
      <c r="M63" s="125"/>
    </row>
    <row r="64" spans="2:13" x14ac:dyDescent="0.3">
      <c r="B64" s="40">
        <v>45086</v>
      </c>
      <c r="C64" s="161">
        <v>1</v>
      </c>
      <c r="D64" s="161">
        <v>19</v>
      </c>
      <c r="E64" s="141">
        <v>20417805878</v>
      </c>
      <c r="F64" s="142" t="str">
        <f>IFERROR(IF(factura_c_mes384[[#This Row],[CUIT]]="","-",VLOOKUP(factura_c_mes384[[#This Row],[CUIT]],Lista_CUIT[#All],2,0)),"CUIT NO CARGADO")</f>
        <v>FERABOLI OSPAL SANTIAGO HERNAN</v>
      </c>
      <c r="G64" s="162">
        <v>128720</v>
      </c>
      <c r="H64" s="365" t="s">
        <v>1394</v>
      </c>
      <c r="I64" s="163">
        <f>IFERROR(IF(factura_c_mes384[[#This Row],[CUIT]]="","-",VLOOKUP(factura_c_mes384[[#This Row],[CUIT]],Lista_CUIT[#All],4,0)),"CUIT NO CARGADO")</f>
        <v>0</v>
      </c>
      <c r="K64" s="407"/>
      <c r="L64" s="388"/>
      <c r="M64" s="125"/>
    </row>
    <row r="65" spans="2:13" x14ac:dyDescent="0.3">
      <c r="B65" s="40">
        <v>45082</v>
      </c>
      <c r="C65" s="161">
        <v>1</v>
      </c>
      <c r="D65" s="161">
        <v>100</v>
      </c>
      <c r="E65" s="141">
        <v>20341465134</v>
      </c>
      <c r="F65" s="142" t="str">
        <f>IFERROR(IF(factura_c_mes384[[#This Row],[CUIT]]="","-",VLOOKUP(factura_c_mes384[[#This Row],[CUIT]],Lista_CUIT[#All],2,0)),"CUIT NO CARGADO")</f>
        <v>ABELEDO AGUSTIN ENRIQUE</v>
      </c>
      <c r="G65" s="162">
        <v>281660</v>
      </c>
      <c r="H65" t="s">
        <v>1386</v>
      </c>
      <c r="I65" s="163" t="str">
        <f>IFERROR(IF(factura_c_mes384[[#This Row],[CUIT]]="","-",VLOOKUP(factura_c_mes384[[#This Row],[CUIT]],Lista_CUIT[#All],4,0)),"CUIT NO CARGADO")</f>
        <v>CABA</v>
      </c>
      <c r="M65" s="125"/>
    </row>
    <row r="66" spans="2:13" x14ac:dyDescent="0.3">
      <c r="B66" s="40">
        <v>45081</v>
      </c>
      <c r="C66" s="161">
        <v>2</v>
      </c>
      <c r="D66" s="161">
        <v>84</v>
      </c>
      <c r="E66" s="141">
        <v>20244271740</v>
      </c>
      <c r="F66" s="142" t="str">
        <f>IFERROR(IF(factura_c_mes384[[#This Row],[CUIT]]="","-",VLOOKUP(factura_c_mes384[[#This Row],[CUIT]],Lista_CUIT[#All],2,0)),"CUIT NO CARGADO")</f>
        <v>KENNEL SEBASTIAN</v>
      </c>
      <c r="G66" s="162">
        <v>386400</v>
      </c>
      <c r="H66" s="366" t="s">
        <v>1386</v>
      </c>
      <c r="I66" s="163">
        <f>IFERROR(IF(factura_c_mes384[[#This Row],[CUIT]]="","-",VLOOKUP(factura_c_mes384[[#This Row],[CUIT]],Lista_CUIT[#All],4,0)),"CUIT NO CARGADO")</f>
        <v>0</v>
      </c>
    </row>
    <row r="67" spans="2:13" x14ac:dyDescent="0.3">
      <c r="B67" s="55" t="s">
        <v>110</v>
      </c>
      <c r="C67" s="55"/>
      <c r="D67" s="55"/>
      <c r="E67" s="55"/>
      <c r="F67" s="57"/>
      <c r="G67" s="58">
        <f>SUBTOTAL(109,factura_c_mes384[TOTAL])</f>
        <v>2892036.08</v>
      </c>
      <c r="H67" s="55"/>
      <c r="I67" s="55"/>
      <c r="M67" s="125"/>
    </row>
    <row r="70" spans="2:13" ht="21" x14ac:dyDescent="0.3">
      <c r="B70" s="414" t="s">
        <v>25</v>
      </c>
      <c r="C70" s="414"/>
      <c r="D70" s="414"/>
      <c r="E70" s="414"/>
      <c r="F70" s="414"/>
      <c r="G70" s="414"/>
      <c r="H70" s="414"/>
      <c r="I70" s="414"/>
    </row>
    <row r="71" spans="2:13" x14ac:dyDescent="0.3">
      <c r="B71" s="51" t="s">
        <v>0</v>
      </c>
      <c r="C71" s="51" t="s">
        <v>2</v>
      </c>
      <c r="D71" s="51" t="s">
        <v>74</v>
      </c>
      <c r="E71" s="51" t="s">
        <v>3</v>
      </c>
      <c r="F71" s="51" t="s">
        <v>4</v>
      </c>
      <c r="G71" s="52" t="s">
        <v>10</v>
      </c>
      <c r="H71" s="51" t="s">
        <v>13</v>
      </c>
      <c r="I71" s="51" t="s">
        <v>38</v>
      </c>
      <c r="K71" s="406">
        <v>510.12</v>
      </c>
      <c r="L71" s="385" t="s">
        <v>1390</v>
      </c>
      <c r="M71" s="367">
        <v>412000</v>
      </c>
    </row>
    <row r="72" spans="2:13" x14ac:dyDescent="0.3">
      <c r="B72" s="50">
        <v>45132</v>
      </c>
      <c r="C72" s="42">
        <v>4</v>
      </c>
      <c r="D72" s="43">
        <v>50</v>
      </c>
      <c r="E72" s="44">
        <v>23214737914</v>
      </c>
      <c r="F72" s="142" t="str">
        <f>IFERROR(IF(factura_c_mes485[[#This Row],[CUIT]]="","-",VLOOKUP(factura_c_mes485[[#This Row],[CUIT]],Lista_CUIT[#All],2,0)),"CUIT NO CARGADO")</f>
        <v>SBARRA GABRIELA BEATRIZ</v>
      </c>
      <c r="G72" s="81">
        <v>360940</v>
      </c>
      <c r="H72" t="s">
        <v>1398</v>
      </c>
      <c r="I72" s="163">
        <f>IFERROR(IF(factura_c_mes485[[#This Row],[CUIT]]="","-",VLOOKUP(factura_c_mes485[[#This Row],[CUIT]],Lista_CUIT[#All],4,0)),"CUIT NO CARGADO")</f>
        <v>0</v>
      </c>
      <c r="K72" s="406">
        <v>500.05</v>
      </c>
      <c r="L72" s="385" t="s">
        <v>1383</v>
      </c>
      <c r="M72" s="367">
        <v>91875</v>
      </c>
    </row>
    <row r="73" spans="2:13" x14ac:dyDescent="0.3">
      <c r="B73" s="50">
        <v>45110</v>
      </c>
      <c r="C73" s="42">
        <v>1</v>
      </c>
      <c r="D73" s="43">
        <v>9</v>
      </c>
      <c r="E73" s="44">
        <v>27387896150</v>
      </c>
      <c r="F73" s="142" t="str">
        <f>IFERROR(IF(factura_c_mes485[[#This Row],[CUIT]]="","-",VLOOKUP(factura_c_mes485[[#This Row],[CUIT]],Lista_CUIT[#All],2,0)),"CUIT NO CARGADO")</f>
        <v>LIPANOVICH MARIA SOL</v>
      </c>
      <c r="G73" s="81">
        <v>400000</v>
      </c>
      <c r="H73" s="373" t="s">
        <v>1389</v>
      </c>
      <c r="I73" s="163">
        <f>IFERROR(IF(factura_c_mes485[[#This Row],[CUIT]]="","-",VLOOKUP(factura_c_mes485[[#This Row],[CUIT]],Lista_CUIT[#All],4,0)),"CUIT NO CARGADO")</f>
        <v>0</v>
      </c>
      <c r="K73" s="406">
        <v>500.01600000000002</v>
      </c>
      <c r="L73" s="385" t="s">
        <v>1384</v>
      </c>
      <c r="M73" s="367">
        <v>461275</v>
      </c>
    </row>
    <row r="74" spans="2:13" x14ac:dyDescent="0.3">
      <c r="B74" s="50">
        <v>45110</v>
      </c>
      <c r="C74" s="42">
        <v>1</v>
      </c>
      <c r="D74" s="43">
        <v>25</v>
      </c>
      <c r="E74" s="44">
        <v>20365938688</v>
      </c>
      <c r="F74" s="142" t="str">
        <f>IFERROR(IF(factura_c_mes485[[#This Row],[CUIT]]="","-",VLOOKUP(factura_c_mes485[[#This Row],[CUIT]],Lista_CUIT[#All],2,0)),"CUIT NO CARGADO")</f>
        <v>LIPANOVICH JUAN CRUZ</v>
      </c>
      <c r="G74" s="81">
        <v>450000</v>
      </c>
      <c r="H74" s="373" t="s">
        <v>1389</v>
      </c>
      <c r="I74" s="163">
        <f>IFERROR(IF(factura_c_mes485[[#This Row],[CUIT]]="","-",VLOOKUP(factura_c_mes485[[#This Row],[CUIT]],Lista_CUIT[#All],4,0)),"CUIT NO CARGADO")</f>
        <v>0</v>
      </c>
      <c r="K74" s="406">
        <v>510.1</v>
      </c>
      <c r="L74" s="385" t="s">
        <v>1385</v>
      </c>
      <c r="M74" s="367">
        <v>96432</v>
      </c>
    </row>
    <row r="75" spans="2:13" x14ac:dyDescent="0.3">
      <c r="B75" s="50">
        <v>45133</v>
      </c>
      <c r="C75" s="42">
        <v>1</v>
      </c>
      <c r="D75" s="43">
        <v>26</v>
      </c>
      <c r="E75" s="44">
        <v>20365938688</v>
      </c>
      <c r="F75" s="53" t="str">
        <f>IFERROR(IF(factura_c_mes485[[#This Row],[CUIT]]="","-",VLOOKUP(factura_c_mes485[[#This Row],[CUIT]],Lista_CUIT[#All],2,0)),"CUIT NO CARGADO")</f>
        <v>LIPANOVICH JUAN CRUZ</v>
      </c>
      <c r="G75" s="81">
        <v>450000</v>
      </c>
      <c r="H75" s="373" t="s">
        <v>1389</v>
      </c>
      <c r="I75" s="54">
        <f>IFERROR(IF(factura_c_mes485[[#This Row],[CUIT]]="","-",VLOOKUP(factura_c_mes485[[#This Row],[CUIT]],Lista_CUIT[#All],4,0)),"CUIT NO CARGADO")</f>
        <v>0</v>
      </c>
      <c r="K75" s="406">
        <v>500.03500000000003</v>
      </c>
      <c r="L75" s="375" t="s">
        <v>1389</v>
      </c>
      <c r="M75" s="367">
        <v>1300000</v>
      </c>
    </row>
    <row r="76" spans="2:13" x14ac:dyDescent="0.3">
      <c r="B76" s="50">
        <v>45108</v>
      </c>
      <c r="C76" s="42">
        <v>1</v>
      </c>
      <c r="D76" s="43">
        <v>11034</v>
      </c>
      <c r="E76" s="44">
        <v>30709917567</v>
      </c>
      <c r="F76" s="142" t="str">
        <f>IFERROR(IF(factura_c_mes485[[#This Row],[CUIT]]="","-",VLOOKUP(factura_c_mes485[[#This Row],[CUIT]],Lista_CUIT[#All],2,0)),"CUIT NO CARGADO")</f>
        <v>CONSORCIO DE PROPIETARIOS YATAY 138</v>
      </c>
      <c r="G76" s="81">
        <v>75000</v>
      </c>
      <c r="H76" s="374" t="s">
        <v>1383</v>
      </c>
      <c r="I76" s="163" t="str">
        <f>IFERROR(IF(factura_c_mes485[[#This Row],[CUIT]]="","-",VLOOKUP(factura_c_mes485[[#This Row],[CUIT]],Lista_CUIT[#All],4,0)),"CUIT NO CARGADO")</f>
        <v>BUENOS AIRES</v>
      </c>
      <c r="K76" s="406">
        <v>500.03</v>
      </c>
      <c r="L76" s="385" t="s">
        <v>1413</v>
      </c>
      <c r="M76" s="367">
        <v>469000</v>
      </c>
    </row>
    <row r="77" spans="2:13" x14ac:dyDescent="0.3">
      <c r="B77" s="50">
        <v>45120</v>
      </c>
      <c r="C77" s="42">
        <v>7</v>
      </c>
      <c r="D77" s="43">
        <v>61521</v>
      </c>
      <c r="E77" s="44">
        <v>30711744653</v>
      </c>
      <c r="F77" s="53" t="str">
        <f>IFERROR(IF(factura_c_mes485[[#This Row],[CUIT]]="","-",VLOOKUP(factura_c_mes485[[#This Row],[CUIT]],Lista_CUIT[#All],2,0)),"CUIT NO CARGADO")</f>
        <v>NITRO BIKES S.R.L.</v>
      </c>
      <c r="G77" s="81">
        <v>16875</v>
      </c>
      <c r="H77" s="377" t="s">
        <v>1383</v>
      </c>
      <c r="I77" s="54">
        <f>IFERROR(IF(factura_c_mes485[[#This Row],[CUIT]]="","-",VLOOKUP(factura_c_mes485[[#This Row],[CUIT]],Lista_CUIT[#All],4,0)),"CUIT NO CARGADO")</f>
        <v>0</v>
      </c>
      <c r="K77" s="406">
        <v>500.03199999999998</v>
      </c>
      <c r="L77" s="385" t="s">
        <v>1412</v>
      </c>
      <c r="M77" s="367">
        <v>360940</v>
      </c>
    </row>
    <row r="78" spans="2:13" x14ac:dyDescent="0.3">
      <c r="B78" s="50">
        <v>45133</v>
      </c>
      <c r="C78" s="42">
        <v>3</v>
      </c>
      <c r="D78" s="43">
        <v>56</v>
      </c>
      <c r="E78" s="44">
        <v>20403931420</v>
      </c>
      <c r="F78" s="53" t="str">
        <f>IFERROR(IF(factura_c_mes485[[#This Row],[CUIT]]="","-",VLOOKUP(factura_c_mes485[[#This Row],[CUIT]],Lista_CUIT[#All],2,0)),"CUIT NO CARGADO")</f>
        <v>FIORENTINO JORGE IGNACIO</v>
      </c>
      <c r="G78" s="81">
        <v>161275</v>
      </c>
      <c r="H78" s="54" t="str">
        <f>IFERROR(IF(factura_c_mes485[[#This Row],[CUIT]]="","-",VLOOKUP(factura_c_mes485[[#This Row],[CUIT]],Lista_CUIT[#All],3,0)),"CUIT NO CARGADO")</f>
        <v>Hon. Admin.</v>
      </c>
      <c r="I78" s="54">
        <f>IFERROR(IF(factura_c_mes485[[#This Row],[CUIT]]="","-",VLOOKUP(factura_c_mes485[[#This Row],[CUIT]],Lista_CUIT[#All],4,0)),"CUIT NO CARGADO")</f>
        <v>0</v>
      </c>
      <c r="K78" s="408"/>
      <c r="L78" s="411"/>
      <c r="M78" s="410">
        <f ca="1">SUM(M71:M83)</f>
        <v>3191522</v>
      </c>
    </row>
    <row r="79" spans="2:13" x14ac:dyDescent="0.3">
      <c r="B79" s="50">
        <v>45110</v>
      </c>
      <c r="C79" s="42">
        <v>2</v>
      </c>
      <c r="D79" s="43">
        <v>148</v>
      </c>
      <c r="E79" s="44">
        <v>20136544625</v>
      </c>
      <c r="F79" s="142" t="str">
        <f>IFERROR(IF(factura_c_mes485[[#This Row],[CUIT]]="","-",VLOOKUP(factura_c_mes485[[#This Row],[CUIT]],Lista_CUIT[#All],2,0)),"CUIT NO CARGADO")</f>
        <v>RODRIGUEZ DE LA FUEN HECTOR MARCELO</v>
      </c>
      <c r="G79" s="81">
        <v>300000</v>
      </c>
      <c r="H79" s="163" t="str">
        <f>IFERROR(IF(factura_c_mes485[[#This Row],[CUIT]]="","-",VLOOKUP(factura_c_mes485[[#This Row],[CUIT]],Lista_CUIT[#All],3,0)),"CUIT NO CARGADO")</f>
        <v>Hon. Admin.</v>
      </c>
      <c r="I79" s="163">
        <f>IFERROR(IF(factura_c_mes485[[#This Row],[CUIT]]="","-",VLOOKUP(factura_c_mes485[[#This Row],[CUIT]],Lista_CUIT[#All],4,0)),"CUIT NO CARGADO")</f>
        <v>0</v>
      </c>
      <c r="K79" s="407"/>
      <c r="L79" s="388"/>
      <c r="M79" s="125"/>
    </row>
    <row r="80" spans="2:13" x14ac:dyDescent="0.3">
      <c r="B80" s="50">
        <v>45121</v>
      </c>
      <c r="C80" s="42">
        <v>2</v>
      </c>
      <c r="D80" s="43">
        <v>593</v>
      </c>
      <c r="E80" s="44">
        <v>20400104094</v>
      </c>
      <c r="F80" s="142" t="str">
        <f>IFERROR(IF(factura_c_mes485[[#This Row],[CUIT]]="","-",VLOOKUP(factura_c_mes485[[#This Row],[CUIT]],Lista_CUIT[#All],2,0)),"CUIT NO CARGADO")</f>
        <v>FEDERICO BOTINDARI</v>
      </c>
      <c r="G80" s="81">
        <v>15432</v>
      </c>
      <c r="H80" s="377" t="s">
        <v>1385</v>
      </c>
      <c r="I80" s="163">
        <f>IFERROR(IF(factura_c_mes485[[#This Row],[CUIT]]="","-",VLOOKUP(factura_c_mes485[[#This Row],[CUIT]],Lista_CUIT[#All],4,0)),"CUIT NO CARGADO")</f>
        <v>0</v>
      </c>
      <c r="L80" s="377"/>
      <c r="M80" s="125"/>
    </row>
    <row r="81" spans="2:13" x14ac:dyDescent="0.3">
      <c r="B81" s="50">
        <v>45110</v>
      </c>
      <c r="C81" s="42">
        <v>3</v>
      </c>
      <c r="D81" s="43">
        <v>756</v>
      </c>
      <c r="E81" s="44">
        <v>20086277523</v>
      </c>
      <c r="F81" s="142" t="str">
        <f>IFERROR(IF(factura_c_mes485[[#This Row],[CUIT]]="","-",VLOOKUP(factura_c_mes485[[#This Row],[CUIT]],Lista_CUIT[#All],2,0)),"CUIT NO CARGADO")</f>
        <v>ESTUDIO BOTINDARI</v>
      </c>
      <c r="G81" s="81">
        <v>81000</v>
      </c>
      <c r="H81" s="374" t="s">
        <v>1385</v>
      </c>
      <c r="I81" s="163">
        <f>IFERROR(IF(factura_c_mes485[[#This Row],[CUIT]]="","-",VLOOKUP(factura_c_mes485[[#This Row],[CUIT]],Lista_CUIT[#All],4,0)),"CUIT NO CARGADO")</f>
        <v>0</v>
      </c>
      <c r="K81" s="407"/>
      <c r="L81" s="377"/>
      <c r="M81" s="125"/>
    </row>
    <row r="82" spans="2:13" x14ac:dyDescent="0.3">
      <c r="B82" s="50">
        <v>45118</v>
      </c>
      <c r="C82" s="42">
        <v>4</v>
      </c>
      <c r="D82" s="43">
        <v>15</v>
      </c>
      <c r="E82" s="44">
        <v>20341462933</v>
      </c>
      <c r="F82" s="142" t="str">
        <f>IFERROR(IF(factura_c_mes485[[#This Row],[CUIT]]="","-",VLOOKUP(factura_c_mes485[[#This Row],[CUIT]],Lista_CUIT[#All],2,0)),"CUIT NO CARGADO")</f>
        <v>CASTIGLIONI MATIAS EZEQUIEL</v>
      </c>
      <c r="G82" s="81">
        <v>412000</v>
      </c>
      <c r="H82" s="378" t="s">
        <v>1391</v>
      </c>
      <c r="I82" s="163" t="str">
        <f>IFERROR(IF(factura_c_mes485[[#This Row],[CUIT]]="","-",VLOOKUP(factura_c_mes485[[#This Row],[CUIT]],Lista_CUIT[#All],4,0)),"CUIT NO CARGADO")</f>
        <v>BUENOS AIRES</v>
      </c>
      <c r="K82" s="407"/>
      <c r="L82" s="388"/>
      <c r="M82" s="125"/>
    </row>
    <row r="83" spans="2:13" x14ac:dyDescent="0.3">
      <c r="B83" s="50">
        <v>45131</v>
      </c>
      <c r="C83" s="42">
        <v>2</v>
      </c>
      <c r="D83" s="43">
        <v>86</v>
      </c>
      <c r="E83" s="44">
        <v>20244271740</v>
      </c>
      <c r="F83" s="142" t="str">
        <f>IFERROR(IF(factura_c_mes485[[#This Row],[CUIT]]="","-",VLOOKUP(factura_c_mes485[[#This Row],[CUIT]],Lista_CUIT[#All],2,0)),"CUIT NO CARGADO")</f>
        <v>KENNEL SEBASTIAN</v>
      </c>
      <c r="G83" s="81">
        <v>313500</v>
      </c>
      <c r="H83" s="366" t="s">
        <v>1386</v>
      </c>
      <c r="I83" s="163">
        <f>IFERROR(IF(factura_c_mes485[[#This Row],[CUIT]]="","-",VLOOKUP(factura_c_mes485[[#This Row],[CUIT]],Lista_CUIT[#All],4,0)),"CUIT NO CARGADO")</f>
        <v>0</v>
      </c>
      <c r="L83" s="377"/>
      <c r="M83" s="125"/>
    </row>
    <row r="84" spans="2:13" x14ac:dyDescent="0.3">
      <c r="B84" s="50">
        <v>45112</v>
      </c>
      <c r="C84" s="42">
        <v>1</v>
      </c>
      <c r="D84" s="43">
        <v>101</v>
      </c>
      <c r="E84" s="44">
        <v>20341465134</v>
      </c>
      <c r="F84" s="142" t="str">
        <f>IFERROR(IF(factura_c_mes485[[#This Row],[CUIT]]="","-",VLOOKUP(factura_c_mes485[[#This Row],[CUIT]],Lista_CUIT[#All],2,0)),"CUIT NO CARGADO")</f>
        <v>ABELEDO AGUSTIN ENRIQUE</v>
      </c>
      <c r="G84" s="81">
        <v>155500</v>
      </c>
      <c r="H84" s="366" t="s">
        <v>1386</v>
      </c>
      <c r="I84" s="163" t="str">
        <f>IFERROR(IF(factura_c_mes485[[#This Row],[CUIT]]="","-",VLOOKUP(factura_c_mes485[[#This Row],[CUIT]],Lista_CUIT[#All],4,0)),"CUIT NO CARGADO")</f>
        <v>CABA</v>
      </c>
    </row>
    <row r="85" spans="2:13" x14ac:dyDescent="0.3">
      <c r="B85" s="55" t="s">
        <v>110</v>
      </c>
      <c r="C85" s="55"/>
      <c r="D85" s="55"/>
      <c r="E85" s="55"/>
      <c r="F85" s="57"/>
      <c r="G85" s="58">
        <f>SUBTOTAL(109,factura_c_mes485[TOTAL])</f>
        <v>3191522</v>
      </c>
      <c r="H85" s="55"/>
      <c r="I85" s="55"/>
      <c r="L85" s="377"/>
      <c r="M85" s="125"/>
    </row>
    <row r="86" spans="2:13" x14ac:dyDescent="0.3">
      <c r="L86" s="377"/>
    </row>
    <row r="88" spans="2:13" ht="21" x14ac:dyDescent="0.3">
      <c r="B88" s="414" t="s">
        <v>25</v>
      </c>
      <c r="C88" s="414"/>
      <c r="D88" s="414"/>
      <c r="E88" s="414"/>
      <c r="F88" s="414"/>
      <c r="G88" s="414"/>
      <c r="H88" s="414" t="s">
        <v>1399</v>
      </c>
      <c r="I88" s="414"/>
    </row>
    <row r="89" spans="2:13" x14ac:dyDescent="0.3">
      <c r="B89" s="51" t="s">
        <v>0</v>
      </c>
      <c r="C89" s="51" t="s">
        <v>2</v>
      </c>
      <c r="D89" s="51" t="s">
        <v>74</v>
      </c>
      <c r="E89" s="51" t="s">
        <v>3</v>
      </c>
      <c r="F89" s="51" t="s">
        <v>4</v>
      </c>
      <c r="G89" s="52" t="s">
        <v>10</v>
      </c>
      <c r="H89" s="51" t="s">
        <v>13</v>
      </c>
      <c r="I89" s="51" t="s">
        <v>38</v>
      </c>
      <c r="K89" s="406">
        <v>510.12</v>
      </c>
      <c r="L89" s="385" t="s">
        <v>1390</v>
      </c>
      <c r="M89" s="367">
        <v>418000</v>
      </c>
    </row>
    <row r="90" spans="2:13" x14ac:dyDescent="0.3">
      <c r="B90" s="50">
        <v>45161</v>
      </c>
      <c r="C90" s="42">
        <v>1</v>
      </c>
      <c r="D90" s="43">
        <v>33</v>
      </c>
      <c r="E90" s="44">
        <v>20382910681</v>
      </c>
      <c r="F90" s="53" t="str">
        <f>IFERROR(IF(factura_c_mes586[[#This Row],[CUIT]]="","-",VLOOKUP(factura_c_mes586[[#This Row],[CUIT]],Lista_CUIT[#All],2,0)),"CUIT NO CARGADO")</f>
        <v>JULIAN FELIPE</v>
      </c>
      <c r="G90" s="81">
        <v>349999</v>
      </c>
      <c r="H90" s="376" t="s">
        <v>1410</v>
      </c>
      <c r="I90" s="54">
        <f>IFERROR(IF(factura_c_mes586[[#This Row],[CUIT]]="","-",VLOOKUP(factura_c_mes586[[#This Row],[CUIT]],Lista_CUIT[#All],4,0)),"CUIT NO CARGADO")</f>
        <v>0</v>
      </c>
      <c r="K90" s="406">
        <v>500.05</v>
      </c>
      <c r="L90" s="385" t="s">
        <v>1383</v>
      </c>
      <c r="M90" s="367">
        <v>31450</v>
      </c>
    </row>
    <row r="91" spans="2:13" x14ac:dyDescent="0.3">
      <c r="B91" s="161"/>
      <c r="C91" s="161"/>
      <c r="D91" s="161"/>
      <c r="E91" s="141"/>
      <c r="F91" s="142" t="str">
        <f>IFERROR(IF(factura_c_mes586[[#This Row],[CUIT]]="","-",VLOOKUP(factura_c_mes586[[#This Row],[CUIT]],Lista_CUIT[#All],2,0)),"CUIT NO CARGADO")</f>
        <v>-</v>
      </c>
      <c r="G91" s="81"/>
      <c r="H91" s="163" t="str">
        <f>IFERROR(IF(factura_c_mes586[[#This Row],[CUIT]]="","-",VLOOKUP(factura_c_mes586[[#This Row],[CUIT]],Lista_CUIT[#All],3,0)),"CUIT NO CARGADO")</f>
        <v>-</v>
      </c>
      <c r="I91" s="163" t="str">
        <f>IFERROR(IF(factura_c_mes586[[#This Row],[CUIT]]="","-",VLOOKUP(factura_c_mes586[[#This Row],[CUIT]],Lista_CUIT[#All],4,0)),"CUIT NO CARGADO")</f>
        <v>-</v>
      </c>
      <c r="K91" s="406">
        <v>500.01600000000002</v>
      </c>
      <c r="L91" s="385" t="s">
        <v>1384</v>
      </c>
      <c r="M91" s="367">
        <v>361520</v>
      </c>
    </row>
    <row r="92" spans="2:13" x14ac:dyDescent="0.3">
      <c r="B92" s="161"/>
      <c r="C92" s="161"/>
      <c r="D92" s="161"/>
      <c r="E92" s="141"/>
      <c r="F92" s="142" t="str">
        <f>IFERROR(IF(factura_c_mes586[[#This Row],[CUIT]]="","-",VLOOKUP(factura_c_mes586[[#This Row],[CUIT]],Lista_CUIT[#All],2,0)),"CUIT NO CARGADO")</f>
        <v>-</v>
      </c>
      <c r="G92" s="81"/>
      <c r="H92" s="372" t="str">
        <f>IFERROR(IF(factura_c_mes586[[#This Row],[CUIT]]="","-",VLOOKUP(factura_c_mes586[[#This Row],[CUIT]],Lista_CUIT[#All],3,0)),"CUIT NO CARGADO")</f>
        <v>-</v>
      </c>
      <c r="I92" s="163" t="str">
        <f>IFERROR(IF(factura_c_mes586[[#This Row],[CUIT]]="","-",VLOOKUP(factura_c_mes586[[#This Row],[CUIT]],Lista_CUIT[#All],4,0)),"CUIT NO CARGADO")</f>
        <v>-</v>
      </c>
      <c r="K92" s="406">
        <v>510.1</v>
      </c>
      <c r="L92" s="385" t="s">
        <v>1385</v>
      </c>
      <c r="M92" s="367">
        <v>110932</v>
      </c>
    </row>
    <row r="93" spans="2:13" x14ac:dyDescent="0.3">
      <c r="B93" s="305">
        <v>45160</v>
      </c>
      <c r="C93" s="234">
        <v>4</v>
      </c>
      <c r="D93" s="234">
        <v>52</v>
      </c>
      <c r="E93" s="235">
        <v>23214737914</v>
      </c>
      <c r="F93" s="236" t="str">
        <f>IFERROR(IF(factura_c_mes586[[#This Row],[CUIT]]="","-",VLOOKUP(factura_c_mes586[[#This Row],[CUIT]],Lista_CUIT[#All],2,0)),"CUIT NO CARGADO")</f>
        <v>SBARRA GABRIELA BEATRIZ</v>
      </c>
      <c r="G93" s="355">
        <v>400270</v>
      </c>
      <c r="H93" s="382" t="s">
        <v>1398</v>
      </c>
      <c r="I93" s="238">
        <f>IFERROR(IF(factura_c_mes586[[#This Row],[CUIT]]="","-",VLOOKUP(factura_c_mes586[[#This Row],[CUIT]],Lista_CUIT[#All],4,0)),"CUIT NO CARGADO")</f>
        <v>0</v>
      </c>
      <c r="K93" s="406">
        <v>500.03500000000003</v>
      </c>
      <c r="L93" s="375" t="s">
        <v>1389</v>
      </c>
      <c r="M93" s="367">
        <v>1250000</v>
      </c>
    </row>
    <row r="94" spans="2:13" x14ac:dyDescent="0.3">
      <c r="B94" s="50">
        <v>45139</v>
      </c>
      <c r="C94" s="42">
        <v>1</v>
      </c>
      <c r="D94" s="43">
        <v>11</v>
      </c>
      <c r="E94" s="44">
        <v>27387896150</v>
      </c>
      <c r="F94" s="53" t="str">
        <f>IFERROR(IF(factura_c_mes586[[#This Row],[CUIT]]="","-",VLOOKUP(factura_c_mes586[[#This Row],[CUIT]],Lista_CUIT[#All],2,0)),"CUIT NO CARGADO")</f>
        <v>LIPANOVICH MARIA SOL</v>
      </c>
      <c r="G94" s="81">
        <v>400000</v>
      </c>
      <c r="H94" s="383" t="s">
        <v>1389</v>
      </c>
      <c r="I94" s="54">
        <f>IFERROR(IF(factura_c_mes586[[#This Row],[CUIT]]="","-",VLOOKUP(factura_c_mes586[[#This Row],[CUIT]],Lista_CUIT[#All],4,0)),"CUIT NO CARGADO")</f>
        <v>0</v>
      </c>
      <c r="K94" s="407">
        <v>507.1</v>
      </c>
      <c r="L94" t="s">
        <v>1410</v>
      </c>
      <c r="M94" s="367">
        <v>349999</v>
      </c>
    </row>
    <row r="95" spans="2:13" x14ac:dyDescent="0.3">
      <c r="B95" s="305">
        <v>45166</v>
      </c>
      <c r="C95" s="234">
        <v>1</v>
      </c>
      <c r="D95" s="234">
        <v>27</v>
      </c>
      <c r="E95" s="235">
        <v>20365938688</v>
      </c>
      <c r="F95" s="236" t="str">
        <f>IFERROR(IF(factura_c_mes586[[#This Row],[CUIT]]="","-",VLOOKUP(factura_c_mes586[[#This Row],[CUIT]],Lista_CUIT[#All],2,0)),"CUIT NO CARGADO")</f>
        <v>LIPANOVICH JUAN CRUZ</v>
      </c>
      <c r="G95" s="355">
        <v>450000</v>
      </c>
      <c r="H95" s="383" t="s">
        <v>1389</v>
      </c>
      <c r="I95" s="238">
        <f>IFERROR(IF(factura_c_mes586[[#This Row],[CUIT]]="","-",VLOOKUP(factura_c_mes586[[#This Row],[CUIT]],Lista_CUIT[#All],4,0)),"CUIT NO CARGADO")</f>
        <v>0</v>
      </c>
      <c r="K95" s="406">
        <v>500.03</v>
      </c>
      <c r="L95" s="385" t="s">
        <v>1413</v>
      </c>
      <c r="M95" s="367">
        <v>199500</v>
      </c>
    </row>
    <row r="96" spans="2:13" x14ac:dyDescent="0.3">
      <c r="B96" s="50">
        <v>45169</v>
      </c>
      <c r="C96" s="42">
        <v>1</v>
      </c>
      <c r="D96" s="43">
        <v>13</v>
      </c>
      <c r="E96" s="44">
        <v>27387896150</v>
      </c>
      <c r="F96" s="53" t="str">
        <f>IFERROR(IF(factura_c_mes586[[#This Row],[CUIT]]="","-",VLOOKUP(factura_c_mes586[[#This Row],[CUIT]],Lista_CUIT[#All],2,0)),"CUIT NO CARGADO")</f>
        <v>LIPANOVICH MARIA SOL</v>
      </c>
      <c r="G96" s="81">
        <v>400000</v>
      </c>
      <c r="H96" s="383" t="s">
        <v>1389</v>
      </c>
      <c r="I96" s="54">
        <f>IFERROR(IF(factura_c_mes586[[#This Row],[CUIT]]="","-",VLOOKUP(factura_c_mes586[[#This Row],[CUIT]],Lista_CUIT[#All],4,0)),"CUIT NO CARGADO")</f>
        <v>0</v>
      </c>
      <c r="K96" s="406">
        <v>507.13</v>
      </c>
      <c r="L96" s="385" t="s">
        <v>1395</v>
      </c>
      <c r="M96" s="367">
        <v>3200</v>
      </c>
    </row>
    <row r="97" spans="2:13" x14ac:dyDescent="0.3">
      <c r="B97" s="305">
        <v>45142</v>
      </c>
      <c r="C97" s="234">
        <v>2</v>
      </c>
      <c r="D97" s="234">
        <v>85533</v>
      </c>
      <c r="E97" s="235">
        <v>30554466806</v>
      </c>
      <c r="F97" s="236" t="str">
        <f>IFERROR(IF(factura_c_mes586[[#This Row],[CUIT]]="","-",VLOOKUP(factura_c_mes586[[#This Row],[CUIT]],Lista_CUIT[#All],2,0)),"CUIT NO CARGADO")</f>
        <v>ASOCIACION DE IMPORTADORES Y EXPORTADORES DE LA REPUBLICA ARGENTINA</v>
      </c>
      <c r="G97" s="355">
        <v>3200</v>
      </c>
      <c r="H97" s="384" t="str">
        <f>IFERROR(IF(factura_c_mes586[[#This Row],[CUIT]]="","-",VLOOKUP(factura_c_mes586[[#This Row],[CUIT]],Lista_CUIT[#All],3,0)),"CUIT NO CARGADO")</f>
        <v>FLETE-LOGISTICA</v>
      </c>
      <c r="I97" s="238">
        <f>IFERROR(IF(factura_c_mes586[[#This Row],[CUIT]]="","-",VLOOKUP(factura_c_mes586[[#This Row],[CUIT]],Lista_CUIT[#All],4,0)),"CUIT NO CARGADO")</f>
        <v>0</v>
      </c>
      <c r="K97" s="406">
        <v>500.03199999999998</v>
      </c>
      <c r="L97" s="385" t="s">
        <v>1412</v>
      </c>
      <c r="M97" s="367">
        <v>400270</v>
      </c>
    </row>
    <row r="98" spans="2:13" x14ac:dyDescent="0.3">
      <c r="B98" s="50">
        <v>45152</v>
      </c>
      <c r="C98" s="42">
        <v>1</v>
      </c>
      <c r="D98" s="43">
        <v>162</v>
      </c>
      <c r="E98" s="44">
        <v>27925308868</v>
      </c>
      <c r="F98" s="53" t="str">
        <f>IFERROR(IF(factura_c_mes586[[#This Row],[CUIT]]="","-",VLOOKUP(factura_c_mes586[[#This Row],[CUIT]],Lista_CUIT[#All],2,0)),"CUIT NO CARGADO")</f>
        <v>LOPEZ MOLINA MARIA</v>
      </c>
      <c r="G98" s="81">
        <v>14000</v>
      </c>
      <c r="H98" s="379" t="s">
        <v>1383</v>
      </c>
      <c r="I98" s="54">
        <f>IFERROR(IF(factura_c_mes586[[#This Row],[CUIT]]="","-",VLOOKUP(factura_c_mes586[[#This Row],[CUIT]],Lista_CUIT[#All],4,0)),"CUIT NO CARGADO")</f>
        <v>0</v>
      </c>
      <c r="K98" s="366"/>
      <c r="L98" s="385"/>
      <c r="M98" s="367"/>
    </row>
    <row r="99" spans="2:13" x14ac:dyDescent="0.3">
      <c r="B99" s="50">
        <v>45154</v>
      </c>
      <c r="C99" s="42">
        <v>1</v>
      </c>
      <c r="D99" s="43">
        <v>174</v>
      </c>
      <c r="E99" s="44">
        <v>27925308868</v>
      </c>
      <c r="F99" s="53" t="str">
        <f>IFERROR(IF(factura_c_mes586[[#This Row],[CUIT]]="","-",VLOOKUP(factura_c_mes586[[#This Row],[CUIT]],Lista_CUIT[#All],2,0)),"CUIT NO CARGADO")</f>
        <v>LOPEZ MOLINA MARIA</v>
      </c>
      <c r="G99" s="81">
        <v>2000</v>
      </c>
      <c r="H99" s="379" t="s">
        <v>1383</v>
      </c>
      <c r="I99" s="54">
        <f>IFERROR(IF(factura_c_mes586[[#This Row],[CUIT]]="","-",VLOOKUP(factura_c_mes586[[#This Row],[CUIT]],Lista_CUIT[#All],4,0)),"CUIT NO CARGADO")</f>
        <v>0</v>
      </c>
      <c r="M99" s="125">
        <f ca="1">SUM(M89:M101)</f>
        <v>3124871</v>
      </c>
    </row>
    <row r="100" spans="2:13" x14ac:dyDescent="0.3">
      <c r="B100" s="50">
        <v>45161</v>
      </c>
      <c r="C100" s="42">
        <v>1</v>
      </c>
      <c r="D100" s="43">
        <v>633</v>
      </c>
      <c r="E100" s="44">
        <v>27349373225</v>
      </c>
      <c r="F100" s="53" t="str">
        <f>IFERROR(IF(factura_c_mes586[[#This Row],[CUIT]]="","-",VLOOKUP(factura_c_mes586[[#This Row],[CUIT]],Lista_CUIT[#All],2,0)),"CUIT NO CARGADO")</f>
        <v>LOPEZ DAIANA BELEN</v>
      </c>
      <c r="G100" s="81">
        <v>8450</v>
      </c>
      <c r="H100" s="379" t="s">
        <v>1383</v>
      </c>
      <c r="I100" s="54">
        <f>IFERROR(IF(factura_c_mes586[[#This Row],[CUIT]]="","-",VLOOKUP(factura_c_mes586[[#This Row],[CUIT]],Lista_CUIT[#All],4,0)),"CUIT NO CARGADO")</f>
        <v>0</v>
      </c>
      <c r="K100" s="407"/>
      <c r="L100" s="388"/>
      <c r="M100" s="125"/>
    </row>
    <row r="101" spans="2:13" x14ac:dyDescent="0.3">
      <c r="B101" s="50">
        <v>45167</v>
      </c>
      <c r="C101" s="42">
        <v>1</v>
      </c>
      <c r="D101" s="43">
        <v>197</v>
      </c>
      <c r="E101" s="44">
        <v>27925308868</v>
      </c>
      <c r="F101" s="53" t="str">
        <f>IFERROR(IF(factura_c_mes586[[#This Row],[CUIT]]="","-",VLOOKUP(factura_c_mes586[[#This Row],[CUIT]],Lista_CUIT[#All],2,0)),"CUIT NO CARGADO")</f>
        <v>LOPEZ MOLINA MARIA</v>
      </c>
      <c r="G101" s="81">
        <v>7000</v>
      </c>
      <c r="H101" s="382" t="s">
        <v>1383</v>
      </c>
      <c r="I101" s="54">
        <f>IFERROR(IF(factura_c_mes586[[#This Row],[CUIT]]="","-",VLOOKUP(factura_c_mes586[[#This Row],[CUIT]],Lista_CUIT[#All],4,0)),"CUIT NO CARGADO")</f>
        <v>0</v>
      </c>
      <c r="L101" s="388"/>
      <c r="M101" s="125"/>
    </row>
    <row r="102" spans="2:13" x14ac:dyDescent="0.3">
      <c r="B102" s="50">
        <v>45139</v>
      </c>
      <c r="C102" s="42">
        <v>2</v>
      </c>
      <c r="D102" s="43">
        <v>149</v>
      </c>
      <c r="E102" s="44">
        <v>20136544625</v>
      </c>
      <c r="F102" s="53" t="str">
        <f>IFERROR(IF(factura_c_mes586[[#This Row],[CUIT]]="","-",VLOOKUP(factura_c_mes586[[#This Row],[CUIT]],Lista_CUIT[#All],2,0)),"CUIT NO CARGADO")</f>
        <v>RODRIGUEZ DE LA FUEN HECTOR MARCELO</v>
      </c>
      <c r="G102" s="81">
        <v>200000</v>
      </c>
      <c r="H102" s="380" t="str">
        <f>IFERROR(IF(factura_c_mes586[[#This Row],[CUIT]]="","-",VLOOKUP(factura_c_mes586[[#This Row],[CUIT]],Lista_CUIT[#All],3,0)),"CUIT NO CARGADO")</f>
        <v>Hon. Admin.</v>
      </c>
      <c r="I102" s="54">
        <f>IFERROR(IF(factura_c_mes586[[#This Row],[CUIT]]="","-",VLOOKUP(factura_c_mes586[[#This Row],[CUIT]],Lista_CUIT[#All],4,0)),"CUIT NO CARGADO")</f>
        <v>0</v>
      </c>
    </row>
    <row r="103" spans="2:13" x14ac:dyDescent="0.3">
      <c r="B103" s="305">
        <v>45161</v>
      </c>
      <c r="C103" s="234">
        <v>3</v>
      </c>
      <c r="D103" s="234">
        <v>59</v>
      </c>
      <c r="E103" s="235">
        <v>20403931420</v>
      </c>
      <c r="F103" s="236" t="str">
        <f>IFERROR(IF(factura_c_mes586[[#This Row],[CUIT]]="","-",VLOOKUP(factura_c_mes586[[#This Row],[CUIT]],Lista_CUIT[#All],2,0)),"CUIT NO CARGADO")</f>
        <v>FIORENTINO JORGE IGNACIO</v>
      </c>
      <c r="G103" s="355">
        <v>161520</v>
      </c>
      <c r="H103" s="381" t="str">
        <f>IFERROR(IF(factura_c_mes586[[#This Row],[CUIT]]="","-",VLOOKUP(factura_c_mes586[[#This Row],[CUIT]],Lista_CUIT[#All],3,0)),"CUIT NO CARGADO")</f>
        <v>Hon. Admin.</v>
      </c>
      <c r="I103" s="238">
        <f>IFERROR(IF(factura_c_mes586[[#This Row],[CUIT]]="","-",VLOOKUP(factura_c_mes586[[#This Row],[CUIT]],Lista_CUIT[#All],4,0)),"CUIT NO CARGADO")</f>
        <v>0</v>
      </c>
      <c r="L103" s="377"/>
      <c r="M103" s="125"/>
    </row>
    <row r="104" spans="2:13" x14ac:dyDescent="0.3">
      <c r="B104" s="50">
        <v>45140</v>
      </c>
      <c r="C104" s="42">
        <v>3</v>
      </c>
      <c r="D104" s="43">
        <v>765</v>
      </c>
      <c r="E104" s="44">
        <v>20086277523</v>
      </c>
      <c r="F104" s="53" t="str">
        <f>IFERROR(IF(factura_c_mes586[[#This Row],[CUIT]]="","-",VLOOKUP(factura_c_mes586[[#This Row],[CUIT]],Lista_CUIT[#All],2,0)),"CUIT NO CARGADO")</f>
        <v>ESTUDIO BOTINDARI</v>
      </c>
      <c r="G104" s="81">
        <v>95500</v>
      </c>
      <c r="H104" s="379" t="s">
        <v>1385</v>
      </c>
      <c r="I104" s="54">
        <f>IFERROR(IF(factura_c_mes586[[#This Row],[CUIT]]="","-",VLOOKUP(factura_c_mes586[[#This Row],[CUIT]],Lista_CUIT[#All],4,0)),"CUIT NO CARGADO")</f>
        <v>0</v>
      </c>
      <c r="L104" s="377"/>
    </row>
    <row r="105" spans="2:13" x14ac:dyDescent="0.3">
      <c r="B105" s="305">
        <v>45153</v>
      </c>
      <c r="C105" s="234">
        <v>2</v>
      </c>
      <c r="D105" s="234">
        <v>614</v>
      </c>
      <c r="E105" s="235">
        <v>20400104094</v>
      </c>
      <c r="F105" s="236" t="str">
        <f>IFERROR(IF(factura_c_mes586[[#This Row],[CUIT]]="","-",VLOOKUP(factura_c_mes586[[#This Row],[CUIT]],Lista_CUIT[#All],2,0)),"CUIT NO CARGADO")</f>
        <v>FEDERICO BOTINDARI</v>
      </c>
      <c r="G105" s="355">
        <v>15432</v>
      </c>
      <c r="H105" s="382" t="s">
        <v>1385</v>
      </c>
      <c r="I105" s="238">
        <f>IFERROR(IF(factura_c_mes586[[#This Row],[CUIT]]="","-",VLOOKUP(factura_c_mes586[[#This Row],[CUIT]],Lista_CUIT[#All],4,0)),"CUIT NO CARGADO")</f>
        <v>0</v>
      </c>
    </row>
    <row r="106" spans="2:13" x14ac:dyDescent="0.3">
      <c r="B106" s="50">
        <v>45146</v>
      </c>
      <c r="C106" s="42">
        <v>4</v>
      </c>
      <c r="D106" s="43">
        <v>16</v>
      </c>
      <c r="E106" s="44">
        <v>20341462933</v>
      </c>
      <c r="F106" s="53" t="str">
        <f>IFERROR(IF(factura_c_mes586[[#This Row],[CUIT]]="","-",VLOOKUP(factura_c_mes586[[#This Row],[CUIT]],Lista_CUIT[#All],2,0)),"CUIT NO CARGADO")</f>
        <v>CASTIGLIONI MATIAS EZEQUIEL</v>
      </c>
      <c r="G106" s="81">
        <v>418000</v>
      </c>
      <c r="H106" s="380" t="s">
        <v>1391</v>
      </c>
      <c r="I106" s="54" t="str">
        <f>IFERROR(IF(factura_c_mes586[[#This Row],[CUIT]]="","-",VLOOKUP(factura_c_mes586[[#This Row],[CUIT]],Lista_CUIT[#All],4,0)),"CUIT NO CARGADO")</f>
        <v>BUENOS AIRES</v>
      </c>
    </row>
    <row r="107" spans="2:13" x14ac:dyDescent="0.3">
      <c r="B107" s="305">
        <v>45159</v>
      </c>
      <c r="C107" s="234">
        <v>2</v>
      </c>
      <c r="D107" s="234">
        <v>88</v>
      </c>
      <c r="E107" s="235">
        <v>20244271740</v>
      </c>
      <c r="F107" s="236" t="str">
        <f>IFERROR(IF(factura_c_mes586[[#This Row],[CUIT]]="","-",VLOOKUP(factura_c_mes586[[#This Row],[CUIT]],Lista_CUIT[#All],2,0)),"CUIT NO CARGADO")</f>
        <v>KENNEL SEBASTIAN</v>
      </c>
      <c r="G107" s="355">
        <v>199500</v>
      </c>
      <c r="H107" s="382" t="s">
        <v>1386</v>
      </c>
      <c r="I107" s="238">
        <f>IFERROR(IF(factura_c_mes586[[#This Row],[CUIT]]="","-",VLOOKUP(factura_c_mes586[[#This Row],[CUIT]],Lista_CUIT[#All],4,0)),"CUIT NO CARGADO")</f>
        <v>0</v>
      </c>
    </row>
    <row r="108" spans="2:13" x14ac:dyDescent="0.3">
      <c r="B108" s="55" t="s">
        <v>110</v>
      </c>
      <c r="C108" s="55"/>
      <c r="D108" s="55"/>
      <c r="E108" s="55"/>
      <c r="F108" s="57"/>
      <c r="G108" s="58">
        <f>SUBTOTAL(109,factura_c_mes586[TOTAL])</f>
        <v>3124871</v>
      </c>
      <c r="H108" s="55"/>
      <c r="I108" s="55"/>
    </row>
    <row r="111" spans="2:13" ht="21" x14ac:dyDescent="0.3">
      <c r="B111" s="414" t="s">
        <v>25</v>
      </c>
      <c r="C111" s="414"/>
      <c r="D111" s="414"/>
      <c r="E111" s="414"/>
      <c r="F111" s="414"/>
      <c r="G111" s="414"/>
      <c r="H111" s="414"/>
      <c r="I111" s="414"/>
    </row>
    <row r="112" spans="2:13" x14ac:dyDescent="0.3">
      <c r="B112" s="51" t="s">
        <v>0</v>
      </c>
      <c r="C112" s="51" t="s">
        <v>2</v>
      </c>
      <c r="D112" s="51" t="s">
        <v>74</v>
      </c>
      <c r="E112" s="51" t="s">
        <v>3</v>
      </c>
      <c r="F112" s="51" t="s">
        <v>4</v>
      </c>
      <c r="G112" s="52" t="s">
        <v>10</v>
      </c>
      <c r="H112" s="51" t="s">
        <v>13</v>
      </c>
      <c r="I112" s="51" t="s">
        <v>38</v>
      </c>
      <c r="K112" s="406">
        <v>510.12</v>
      </c>
      <c r="L112" s="385" t="s">
        <v>1390</v>
      </c>
      <c r="M112" s="367">
        <v>195000</v>
      </c>
    </row>
    <row r="113" spans="2:13" x14ac:dyDescent="0.3">
      <c r="B113" s="50">
        <v>45189</v>
      </c>
      <c r="C113" s="161">
        <v>4</v>
      </c>
      <c r="D113" s="161">
        <v>53</v>
      </c>
      <c r="E113" s="141">
        <v>23214737914</v>
      </c>
      <c r="F113" s="142" t="str">
        <f>IFERROR(IF(factura_c_mes687[[#This Row],[CUIT]]="","-",VLOOKUP(factura_c_mes687[[#This Row],[CUIT]],Lista_CUIT[#All],2,0)),"CUIT NO CARGADO")</f>
        <v>SBARRA GABRIELA BEATRIZ</v>
      </c>
      <c r="G113" s="162">
        <v>449440</v>
      </c>
      <c r="H113" s="390" t="s">
        <v>1398</v>
      </c>
      <c r="I113" s="163">
        <f>IFERROR(IF(factura_c_mes687[[#This Row],[CUIT]]="","-",VLOOKUP(factura_c_mes687[[#This Row],[CUIT]],Lista_CUIT[#All],4,0)),"CUIT NO CARGADO")</f>
        <v>0</v>
      </c>
      <c r="K113" s="406">
        <v>500.05</v>
      </c>
      <c r="L113" s="385" t="s">
        <v>1383</v>
      </c>
      <c r="M113" s="367">
        <v>8390</v>
      </c>
    </row>
    <row r="114" spans="2:13" x14ac:dyDescent="0.3">
      <c r="B114" s="50">
        <v>45196</v>
      </c>
      <c r="C114" s="161">
        <v>1</v>
      </c>
      <c r="D114" s="161">
        <v>28</v>
      </c>
      <c r="E114" s="141">
        <v>20365938688</v>
      </c>
      <c r="F114" s="142" t="str">
        <f>IFERROR(IF(factura_c_mes687[[#This Row],[CUIT]]="","-",VLOOKUP(factura_c_mes687[[#This Row],[CUIT]],Lista_CUIT[#All],2,0)),"CUIT NO CARGADO")</f>
        <v>LIPANOVICH JUAN CRUZ</v>
      </c>
      <c r="G114" s="162">
        <v>600000</v>
      </c>
      <c r="H114" s="391" t="s">
        <v>1389</v>
      </c>
      <c r="I114" s="163">
        <f>IFERROR(IF(factura_c_mes687[[#This Row],[CUIT]]="","-",VLOOKUP(factura_c_mes687[[#This Row],[CUIT]],Lista_CUIT[#All],4,0)),"CUIT NO CARGADO")</f>
        <v>0</v>
      </c>
      <c r="K114" s="406">
        <v>500.01600000000002</v>
      </c>
      <c r="L114" s="385" t="s">
        <v>1384</v>
      </c>
      <c r="M114" s="367">
        <v>177010</v>
      </c>
    </row>
    <row r="115" spans="2:13" x14ac:dyDescent="0.3">
      <c r="B115" s="50">
        <v>45177</v>
      </c>
      <c r="C115" s="161">
        <v>1</v>
      </c>
      <c r="D115" s="161">
        <v>213</v>
      </c>
      <c r="E115" s="141">
        <v>27925308868</v>
      </c>
      <c r="F115" s="142" t="str">
        <f>IFERROR(IF(factura_c_mes687[[#This Row],[CUIT]]="","-",VLOOKUP(factura_c_mes687[[#This Row],[CUIT]],Lista_CUIT[#All],2,0)),"CUIT NO CARGADO")</f>
        <v>LOPEZ MOLINA MARIA</v>
      </c>
      <c r="G115" s="162">
        <v>2000</v>
      </c>
      <c r="H115" s="392" t="s">
        <v>1383</v>
      </c>
      <c r="I115" s="163">
        <f>IFERROR(IF(factura_c_mes687[[#This Row],[CUIT]]="","-",VLOOKUP(factura_c_mes687[[#This Row],[CUIT]],Lista_CUIT[#All],4,0)),"CUIT NO CARGADO")</f>
        <v>0</v>
      </c>
      <c r="K115" s="406">
        <v>510.1</v>
      </c>
      <c r="L115" s="385" t="s">
        <v>1385</v>
      </c>
      <c r="M115" s="367">
        <v>116330</v>
      </c>
    </row>
    <row r="116" spans="2:13" x14ac:dyDescent="0.3">
      <c r="B116" s="305">
        <v>45183</v>
      </c>
      <c r="C116" s="234">
        <v>1</v>
      </c>
      <c r="D116" s="234">
        <v>224</v>
      </c>
      <c r="E116" s="235">
        <v>27925308868</v>
      </c>
      <c r="F116" s="236" t="str">
        <f>IFERROR(IF(factura_c_mes687[[#This Row],[CUIT]]="","-",VLOOKUP(factura_c_mes687[[#This Row],[CUIT]],Lista_CUIT[#All],2,0)),"CUIT NO CARGADO")</f>
        <v>LOPEZ MOLINA MARIA</v>
      </c>
      <c r="G116" s="237">
        <v>2000</v>
      </c>
      <c r="H116" s="392" t="s">
        <v>1383</v>
      </c>
      <c r="I116" s="238">
        <f>IFERROR(IF(factura_c_mes687[[#This Row],[CUIT]]="","-",VLOOKUP(factura_c_mes687[[#This Row],[CUIT]],Lista_CUIT[#All],4,0)),"CUIT NO CARGADO")</f>
        <v>0</v>
      </c>
      <c r="K116" s="406">
        <v>500.03500000000003</v>
      </c>
      <c r="L116" s="375" t="s">
        <v>1389</v>
      </c>
      <c r="M116" s="367">
        <v>600000</v>
      </c>
    </row>
    <row r="117" spans="2:13" x14ac:dyDescent="0.3">
      <c r="B117" s="50">
        <v>45197</v>
      </c>
      <c r="C117" s="161">
        <v>1</v>
      </c>
      <c r="D117" s="161">
        <v>250</v>
      </c>
      <c r="E117" s="141">
        <v>27925308868</v>
      </c>
      <c r="F117" s="142" t="str">
        <f>IFERROR(IF(factura_c_mes687[[#This Row],[CUIT]]="","-",VLOOKUP(factura_c_mes687[[#This Row],[CUIT]],Lista_CUIT[#All],2,0)),"CUIT NO CARGADO")</f>
        <v>LOPEZ MOLINA MARIA</v>
      </c>
      <c r="G117" s="162">
        <v>2500</v>
      </c>
      <c r="H117" s="392" t="s">
        <v>1383</v>
      </c>
      <c r="I117" s="163">
        <f>IFERROR(IF(factura_c_mes687[[#This Row],[CUIT]]="","-",VLOOKUP(factura_c_mes687[[#This Row],[CUIT]],Lista_CUIT[#All],4,0)),"CUIT NO CARGADO")</f>
        <v>0</v>
      </c>
      <c r="K117" s="406">
        <v>500.03</v>
      </c>
      <c r="L117" s="385" t="s">
        <v>1413</v>
      </c>
      <c r="M117" s="367">
        <v>345500</v>
      </c>
    </row>
    <row r="118" spans="2:13" x14ac:dyDescent="0.3">
      <c r="B118" s="50">
        <v>45178</v>
      </c>
      <c r="C118" s="42">
        <v>2</v>
      </c>
      <c r="D118" s="43">
        <v>22262</v>
      </c>
      <c r="E118" s="44">
        <v>30710548680</v>
      </c>
      <c r="F118" s="53" t="str">
        <f>IFERROR(IF(factura_c_mes687[[#This Row],[CUIT]]="","-",VLOOKUP(factura_c_mes687[[#This Row],[CUIT]],Lista_CUIT[#All],2,0)),"CUIT NO CARGADO")</f>
        <v>BULONERA MITRE SA</v>
      </c>
      <c r="G118" s="81">
        <v>1890</v>
      </c>
      <c r="H118" s="392" t="s">
        <v>1383</v>
      </c>
      <c r="I118" s="54">
        <f>IFERROR(IF(factura_c_mes687[[#This Row],[CUIT]]="","-",VLOOKUP(factura_c_mes687[[#This Row],[CUIT]],Lista_CUIT[#All],4,0)),"CUIT NO CARGADO")</f>
        <v>0</v>
      </c>
      <c r="K118" s="406">
        <v>121.122</v>
      </c>
      <c r="L118" s="385" t="s">
        <v>1415</v>
      </c>
      <c r="M118" s="367">
        <v>32500</v>
      </c>
    </row>
    <row r="119" spans="2:13" x14ac:dyDescent="0.3">
      <c r="B119" s="305">
        <v>45187</v>
      </c>
      <c r="C119" s="234">
        <v>3</v>
      </c>
      <c r="D119" s="234">
        <v>61</v>
      </c>
      <c r="E119" s="235">
        <v>20403931420</v>
      </c>
      <c r="F119" s="236" t="str">
        <f>IFERROR(IF(factura_c_mes687[[#This Row],[CUIT]]="","-",VLOOKUP(factura_c_mes687[[#This Row],[CUIT]],Lista_CUIT[#All],2,0)),"CUIT NO CARGADO")</f>
        <v>FIORENTINO JORGE IGNACIO</v>
      </c>
      <c r="G119" s="237">
        <v>177010</v>
      </c>
      <c r="H119" s="393" t="str">
        <f>IFERROR(IF(factura_c_mes687[[#This Row],[CUIT]]="","-",VLOOKUP(factura_c_mes687[[#This Row],[CUIT]],Lista_CUIT[#All],3,0)),"CUIT NO CARGADO")</f>
        <v>Hon. Admin.</v>
      </c>
      <c r="I119" s="238">
        <f>IFERROR(IF(factura_c_mes687[[#This Row],[CUIT]]="","-",VLOOKUP(factura_c_mes687[[#This Row],[CUIT]],Lista_CUIT[#All],4,0)),"CUIT NO CARGADO")</f>
        <v>0</v>
      </c>
      <c r="K119" s="406">
        <v>500.03199999999998</v>
      </c>
      <c r="L119" s="385" t="s">
        <v>1412</v>
      </c>
      <c r="M119" s="367">
        <v>449440</v>
      </c>
    </row>
    <row r="120" spans="2:13" x14ac:dyDescent="0.3">
      <c r="B120" s="305">
        <v>45173</v>
      </c>
      <c r="C120" s="234">
        <v>3</v>
      </c>
      <c r="D120" s="234">
        <v>774</v>
      </c>
      <c r="E120" s="235">
        <v>20086277523</v>
      </c>
      <c r="F120" s="236" t="str">
        <f>IFERROR(IF(factura_c_mes687[[#This Row],[CUIT]]="","-",VLOOKUP(factura_c_mes687[[#This Row],[CUIT]],Lista_CUIT[#All],2,0)),"CUIT NO CARGADO")</f>
        <v>ESTUDIO BOTINDARI</v>
      </c>
      <c r="G120" s="237">
        <v>95500</v>
      </c>
      <c r="H120" s="394" t="s">
        <v>1385</v>
      </c>
      <c r="I120" s="238">
        <f>IFERROR(IF(factura_c_mes687[[#This Row],[CUIT]]="","-",VLOOKUP(factura_c_mes687[[#This Row],[CUIT]],Lista_CUIT[#All],4,0)),"CUIT NO CARGADO")</f>
        <v>0</v>
      </c>
      <c r="K120" s="407">
        <v>500.03399999999999</v>
      </c>
      <c r="L120" t="s">
        <v>1416</v>
      </c>
      <c r="M120" s="367">
        <v>122500</v>
      </c>
    </row>
    <row r="121" spans="2:13" x14ac:dyDescent="0.3">
      <c r="B121" s="305">
        <v>45180</v>
      </c>
      <c r="C121" s="234">
        <v>2</v>
      </c>
      <c r="D121" s="234">
        <v>633</v>
      </c>
      <c r="E121" s="235">
        <v>20400104094</v>
      </c>
      <c r="F121" s="236" t="str">
        <f>IFERROR(IF(factura_c_mes687[[#This Row],[CUIT]]="","-",VLOOKUP(factura_c_mes687[[#This Row],[CUIT]],Lista_CUIT[#All],2,0)),"CUIT NO CARGADO")</f>
        <v>FEDERICO BOTINDARI</v>
      </c>
      <c r="G121" s="237">
        <v>20830</v>
      </c>
      <c r="H121" s="394" t="s">
        <v>1385</v>
      </c>
      <c r="I121" s="238">
        <f>IFERROR(IF(factura_c_mes687[[#This Row],[CUIT]]="","-",VLOOKUP(factura_c_mes687[[#This Row],[CUIT]],Lista_CUIT[#All],4,0)),"CUIT NO CARGADO")</f>
        <v>0</v>
      </c>
      <c r="K121" s="366"/>
      <c r="L121" s="374"/>
      <c r="M121" s="366"/>
    </row>
    <row r="122" spans="2:13" x14ac:dyDescent="0.3">
      <c r="B122" s="50">
        <v>45176</v>
      </c>
      <c r="C122" s="161">
        <v>4</v>
      </c>
      <c r="D122" s="161">
        <v>17</v>
      </c>
      <c r="E122" s="141">
        <v>20341462933</v>
      </c>
      <c r="F122" s="142" t="str">
        <f>IFERROR(IF(factura_c_mes687[[#This Row],[CUIT]]="","-",VLOOKUP(factura_c_mes687[[#This Row],[CUIT]],Lista_CUIT[#All],2,0)),"CUIT NO CARGADO")</f>
        <v>CASTIGLIONI MATIAS EZEQUIEL</v>
      </c>
      <c r="G122" s="162">
        <v>195000</v>
      </c>
      <c r="H122" s="394" t="s">
        <v>1391</v>
      </c>
      <c r="I122" s="163" t="str">
        <f>IFERROR(IF(factura_c_mes687[[#This Row],[CUIT]]="","-",VLOOKUP(factura_c_mes687[[#This Row],[CUIT]],Lista_CUIT[#All],4,0)),"CUIT NO CARGADO")</f>
        <v>BUENOS AIRES</v>
      </c>
      <c r="M122" s="125">
        <f>SUM(M112:M120)</f>
        <v>2046670</v>
      </c>
    </row>
    <row r="123" spans="2:13" x14ac:dyDescent="0.3">
      <c r="B123" s="50">
        <v>45196</v>
      </c>
      <c r="C123" s="161">
        <v>1</v>
      </c>
      <c r="D123" s="161">
        <v>14</v>
      </c>
      <c r="E123" s="141">
        <v>20338344695</v>
      </c>
      <c r="F123" s="142" t="str">
        <f>IFERROR(IF(factura_c_mes687[[#This Row],[CUIT]]="","-",VLOOKUP(factura_c_mes687[[#This Row],[CUIT]],Lista_CUIT[#All],2,0)),"CUIT NO CARGADO")</f>
        <v>FUERTES DAMIAN MATIAS</v>
      </c>
      <c r="G123" s="162">
        <v>32500</v>
      </c>
      <c r="H123" s="395" t="str">
        <f>IFERROR(IF(factura_c_mes687[[#This Row],[CUIT]]="","-",VLOOKUP(factura_c_mes687[[#This Row],[CUIT]],Lista_CUIT[#All],3,0)),"CUIT NO CARGADO")</f>
        <v>INSUMO</v>
      </c>
      <c r="I123" s="163">
        <f>IFERROR(IF(factura_c_mes687[[#This Row],[CUIT]]="","-",VLOOKUP(factura_c_mes687[[#This Row],[CUIT]],Lista_CUIT[#All],4,0)),"CUIT NO CARGADO")</f>
        <v>0</v>
      </c>
    </row>
    <row r="124" spans="2:13" x14ac:dyDescent="0.3">
      <c r="B124" s="50">
        <v>45174</v>
      </c>
      <c r="C124" s="161">
        <v>1</v>
      </c>
      <c r="D124" s="161">
        <v>102</v>
      </c>
      <c r="E124" s="141">
        <v>20341465134</v>
      </c>
      <c r="F124" s="142" t="str">
        <f>IFERROR(IF(factura_c_mes687[[#This Row],[CUIT]]="","-",VLOOKUP(factura_c_mes687[[#This Row],[CUIT]],Lista_CUIT[#All],2,0)),"CUIT NO CARGADO")</f>
        <v>ABELEDO AGUSTIN ENRIQUE</v>
      </c>
      <c r="G124" s="162">
        <v>155500</v>
      </c>
      <c r="H124" s="390" t="s">
        <v>1386</v>
      </c>
      <c r="I124" s="163" t="str">
        <f>IFERROR(IF(factura_c_mes687[[#This Row],[CUIT]]="","-",VLOOKUP(factura_c_mes687[[#This Row],[CUIT]],Lista_CUIT[#All],4,0)),"CUIT NO CARGADO")</f>
        <v>CABA</v>
      </c>
    </row>
    <row r="125" spans="2:13" x14ac:dyDescent="0.3">
      <c r="B125" s="305">
        <v>45188</v>
      </c>
      <c r="C125" s="234">
        <v>2</v>
      </c>
      <c r="D125" s="234">
        <v>90</v>
      </c>
      <c r="E125" s="235">
        <v>20244271740</v>
      </c>
      <c r="F125" s="236" t="str">
        <f>IFERROR(IF(factura_c_mes687[[#This Row],[CUIT]]="","-",VLOOKUP(factura_c_mes687[[#This Row],[CUIT]],Lista_CUIT[#All],2,0)),"CUIT NO CARGADO")</f>
        <v>KENNEL SEBASTIAN</v>
      </c>
      <c r="G125" s="237">
        <v>190000</v>
      </c>
      <c r="H125" s="396" t="s">
        <v>1386</v>
      </c>
      <c r="I125" s="238">
        <f>IFERROR(IF(factura_c_mes687[[#This Row],[CUIT]]="","-",VLOOKUP(factura_c_mes687[[#This Row],[CUIT]],Lista_CUIT[#All],4,0)),"CUIT NO CARGADO")</f>
        <v>0</v>
      </c>
    </row>
    <row r="126" spans="2:13" x14ac:dyDescent="0.3">
      <c r="B126" s="50">
        <v>45174</v>
      </c>
      <c r="C126" s="161">
        <v>1</v>
      </c>
      <c r="D126" s="161">
        <v>248</v>
      </c>
      <c r="E126" s="141">
        <v>20330173387</v>
      </c>
      <c r="F126" s="142" t="str">
        <f>IFERROR(IF(factura_c_mes687[[#This Row],[CUIT]]="","-",VLOOKUP(factura_c_mes687[[#This Row],[CUIT]],Lista_CUIT[#All],2,0)),"CUIT NO CARGADO")</f>
        <v>CHERRO NICOLAS</v>
      </c>
      <c r="G126" s="162">
        <v>122500</v>
      </c>
      <c r="H126" s="397" t="s">
        <v>1402</v>
      </c>
      <c r="I126" s="163">
        <f>IFERROR(IF(factura_c_mes687[[#This Row],[CUIT]]="","-",VLOOKUP(factura_c_mes687[[#This Row],[CUIT]],Lista_CUIT[#All],4,0)),"CUIT NO CARGADO")</f>
        <v>0</v>
      </c>
    </row>
    <row r="127" spans="2:13" x14ac:dyDescent="0.3">
      <c r="B127" s="55" t="s">
        <v>110</v>
      </c>
      <c r="C127" s="55"/>
      <c r="D127" s="55"/>
      <c r="E127" s="55"/>
      <c r="F127" s="57"/>
      <c r="G127" s="58">
        <f>SUBTOTAL(109,factura_c_mes687[TOTAL])</f>
        <v>2046670</v>
      </c>
      <c r="H127" s="55"/>
      <c r="I127" s="55"/>
    </row>
    <row r="130" spans="2:13" ht="21" x14ac:dyDescent="0.3">
      <c r="B130" s="414" t="s">
        <v>25</v>
      </c>
      <c r="C130" s="414"/>
      <c r="D130" s="414"/>
      <c r="E130" s="414"/>
      <c r="F130" s="414"/>
      <c r="G130" s="414"/>
      <c r="H130" s="415" t="s">
        <v>1400</v>
      </c>
      <c r="I130" s="415"/>
    </row>
    <row r="131" spans="2:13" x14ac:dyDescent="0.3">
      <c r="B131" s="51" t="s">
        <v>0</v>
      </c>
      <c r="C131" s="51" t="s">
        <v>2</v>
      </c>
      <c r="D131" s="51" t="s">
        <v>74</v>
      </c>
      <c r="E131" s="51" t="s">
        <v>3</v>
      </c>
      <c r="F131" s="51" t="s">
        <v>4</v>
      </c>
      <c r="G131" s="52" t="s">
        <v>10</v>
      </c>
      <c r="H131" s="51" t="s">
        <v>13</v>
      </c>
      <c r="I131" s="51" t="s">
        <v>38</v>
      </c>
      <c r="K131" s="406">
        <v>510.12</v>
      </c>
      <c r="L131" s="385" t="s">
        <v>1390</v>
      </c>
      <c r="M131" s="367">
        <v>195000</v>
      </c>
    </row>
    <row r="132" spans="2:13" x14ac:dyDescent="0.3">
      <c r="B132" s="50"/>
      <c r="C132" s="42"/>
      <c r="D132" s="43"/>
      <c r="E132" s="44"/>
      <c r="F132" s="53" t="str">
        <f>IFERROR(IF(factura_c_mes788[[#This Row],[CUIT]]="","-",VLOOKUP(factura_c_mes788[[#This Row],[CUIT]],Lista_CUIT[#All],2,0)),"CUIT NO CARGADO")</f>
        <v>-</v>
      </c>
      <c r="G132" s="81"/>
      <c r="H132" s="54" t="str">
        <f>IFERROR(IF(factura_c_mes788[[#This Row],[CUIT]]="","-",VLOOKUP(factura_c_mes788[[#This Row],[CUIT]],Lista_CUIT[#All],3,0)),"CUIT NO CARGADO")</f>
        <v>-</v>
      </c>
      <c r="I132" s="54" t="str">
        <f>IFERROR(IF(factura_c_mes788[[#This Row],[CUIT]]="","-",VLOOKUP(factura_c_mes788[[#This Row],[CUIT]],Lista_CUIT[#All],4,0)),"CUIT NO CARGADO")</f>
        <v>-</v>
      </c>
      <c r="K132" s="406">
        <v>500.05</v>
      </c>
      <c r="L132" s="385" t="s">
        <v>1383</v>
      </c>
      <c r="M132" s="367">
        <v>49855</v>
      </c>
    </row>
    <row r="133" spans="2:13" x14ac:dyDescent="0.3">
      <c r="B133" s="50"/>
      <c r="C133" s="42"/>
      <c r="D133" s="43"/>
      <c r="E133" s="44"/>
      <c r="F133" s="53" t="str">
        <f>IFERROR(IF(factura_c_mes788[[#This Row],[CUIT]]="","-",VLOOKUP(factura_c_mes788[[#This Row],[CUIT]],Lista_CUIT[#All],2,0)),"CUIT NO CARGADO")</f>
        <v>-</v>
      </c>
      <c r="G133" s="81"/>
      <c r="H133" s="378" t="str">
        <f>IFERROR(IF(factura_c_mes788[[#This Row],[CUIT]]="","-",VLOOKUP(factura_c_mes788[[#This Row],[CUIT]],Lista_CUIT[#All],3,0)),"CUIT NO CARGADO")</f>
        <v>-</v>
      </c>
      <c r="I133" s="54" t="str">
        <f>IFERROR(IF(factura_c_mes788[[#This Row],[CUIT]]="","-",VLOOKUP(factura_c_mes788[[#This Row],[CUIT]],Lista_CUIT[#All],4,0)),"CUIT NO CARGADO")</f>
        <v>-</v>
      </c>
      <c r="K133" s="406">
        <v>500.01600000000002</v>
      </c>
      <c r="L133" s="385" t="s">
        <v>1384</v>
      </c>
      <c r="M133" s="367">
        <v>277130</v>
      </c>
    </row>
    <row r="134" spans="2:13" x14ac:dyDescent="0.3">
      <c r="B134" s="50">
        <v>45208</v>
      </c>
      <c r="C134" s="42">
        <v>4</v>
      </c>
      <c r="D134" s="343">
        <v>18</v>
      </c>
      <c r="E134" s="44">
        <v>20341462933</v>
      </c>
      <c r="F134" s="321" t="str">
        <f>IFERROR(IF(factura_c_mes788[[#This Row],[CUIT]]="","-",VLOOKUP(factura_c_mes788[[#This Row],[CUIT]],Lista_CUIT[#All],2,0)),"CUIT NO CARGADO")</f>
        <v>CASTIGLIONI MATIAS EZEQUIEL</v>
      </c>
      <c r="G134" s="323">
        <v>195000</v>
      </c>
      <c r="H134" s="399" t="str">
        <f>IFERROR(IF(factura_c_mes788[[#This Row],[CUIT]]="","-",VLOOKUP(factura_c_mes788[[#This Row],[CUIT]],Lista_CUIT[#All],3,0)),"CUIT NO CARGADO")</f>
        <v>ASESORAMIENTO</v>
      </c>
      <c r="I134" s="322" t="str">
        <f>IFERROR(IF(factura_c_mes788[[#This Row],[CUIT]]="","-",VLOOKUP(factura_c_mes788[[#This Row],[CUIT]],Lista_CUIT[#All],4,0)),"CUIT NO CARGADO")</f>
        <v>BUENOS AIRES</v>
      </c>
      <c r="K134" s="406">
        <v>510.1</v>
      </c>
      <c r="L134" s="385" t="s">
        <v>1385</v>
      </c>
      <c r="M134" s="367">
        <v>116330</v>
      </c>
    </row>
    <row r="135" spans="2:13" x14ac:dyDescent="0.3">
      <c r="B135" s="50">
        <v>45200</v>
      </c>
      <c r="C135" s="42">
        <v>1</v>
      </c>
      <c r="D135" s="343">
        <v>15</v>
      </c>
      <c r="E135" s="44">
        <v>27387896150</v>
      </c>
      <c r="F135" s="321" t="str">
        <f>IFERROR(IF(factura_c_mes788[[#This Row],[CUIT]]="","-",VLOOKUP(factura_c_mes788[[#This Row],[CUIT]],Lista_CUIT[#All],2,0)),"CUIT NO CARGADO")</f>
        <v>LIPANOVICH MARIA SOL</v>
      </c>
      <c r="G135" s="323">
        <v>400000</v>
      </c>
      <c r="H135" s="389" t="s">
        <v>1389</v>
      </c>
      <c r="I135" s="322">
        <f>IFERROR(IF(factura_c_mes788[[#This Row],[CUIT]]="","-",VLOOKUP(factura_c_mes788[[#This Row],[CUIT]],Lista_CUIT[#All],4,0)),"CUIT NO CARGADO")</f>
        <v>0</v>
      </c>
      <c r="K135" s="406">
        <v>500.03500000000003</v>
      </c>
      <c r="L135" s="375" t="s">
        <v>1389</v>
      </c>
      <c r="M135" s="367">
        <v>1200000</v>
      </c>
    </row>
    <row r="136" spans="2:13" x14ac:dyDescent="0.3">
      <c r="B136" s="50">
        <v>45230</v>
      </c>
      <c r="C136" s="42">
        <v>4</v>
      </c>
      <c r="D136" s="43">
        <v>54</v>
      </c>
      <c r="E136" s="44">
        <v>23214737914</v>
      </c>
      <c r="F136" s="321" t="str">
        <f>IFERROR(IF(factura_c_mes788[[#This Row],[CUIT]]="","-",VLOOKUP(factura_c_mes788[[#This Row],[CUIT]],Lista_CUIT[#All],2,0)),"CUIT NO CARGADO")</f>
        <v>SBARRA GABRIELA BEATRIZ</v>
      </c>
      <c r="G136" s="323">
        <v>404770</v>
      </c>
      <c r="H136" s="382" t="s">
        <v>1398</v>
      </c>
      <c r="I136" s="322">
        <f>IFERROR(IF(factura_c_mes788[[#This Row],[CUIT]]="","-",VLOOKUP(factura_c_mes788[[#This Row],[CUIT]],Lista_CUIT[#All],4,0)),"CUIT NO CARGADO")</f>
        <v>0</v>
      </c>
      <c r="K136" s="406">
        <v>500.03</v>
      </c>
      <c r="L136" s="385" t="s">
        <v>1413</v>
      </c>
      <c r="M136" s="367">
        <v>171000</v>
      </c>
    </row>
    <row r="137" spans="2:13" x14ac:dyDescent="0.3">
      <c r="B137" s="50">
        <v>45223</v>
      </c>
      <c r="C137" s="42">
        <v>1</v>
      </c>
      <c r="D137" s="43">
        <v>30</v>
      </c>
      <c r="E137" s="44">
        <v>20365938688</v>
      </c>
      <c r="F137" s="321" t="str">
        <f>IFERROR(IF(factura_c_mes788[[#This Row],[CUIT]]="","-",VLOOKUP(factura_c_mes788[[#This Row],[CUIT]],Lista_CUIT[#All],2,0)),"CUIT NO CARGADO")</f>
        <v>LIPANOVICH JUAN CRUZ</v>
      </c>
      <c r="G137" s="323">
        <v>600000</v>
      </c>
      <c r="H137" s="389" t="s">
        <v>1389</v>
      </c>
      <c r="I137" s="322">
        <f>IFERROR(IF(factura_c_mes788[[#This Row],[CUIT]]="","-",VLOOKUP(factura_c_mes788[[#This Row],[CUIT]],Lista_CUIT[#All],4,0)),"CUIT NO CARGADO")</f>
        <v>0</v>
      </c>
      <c r="K137" s="406">
        <v>121.122</v>
      </c>
      <c r="L137" s="385" t="s">
        <v>1415</v>
      </c>
      <c r="M137" s="367">
        <v>90900</v>
      </c>
    </row>
    <row r="138" spans="2:13" x14ac:dyDescent="0.3">
      <c r="B138" s="50">
        <v>45230</v>
      </c>
      <c r="C138" s="42">
        <v>1</v>
      </c>
      <c r="D138" s="343">
        <v>17</v>
      </c>
      <c r="E138" s="44">
        <v>27387896150</v>
      </c>
      <c r="F138" s="53" t="str">
        <f>IFERROR(IF(factura_c_mes788[[#This Row],[CUIT]]="","-",VLOOKUP(factura_c_mes788[[#This Row],[CUIT]],Lista_CUIT[#All],2,0)),"CUIT NO CARGADO")</f>
        <v>LIPANOVICH MARIA SOL</v>
      </c>
      <c r="G138" s="324">
        <v>400000</v>
      </c>
      <c r="H138" s="383" t="s">
        <v>1389</v>
      </c>
      <c r="I138" s="54">
        <f>IFERROR(IF(factura_c_mes788[[#This Row],[CUIT]]="","-",VLOOKUP(factura_c_mes788[[#This Row],[CUIT]],Lista_CUIT[#All],4,0)),"CUIT NO CARGADO")</f>
        <v>0</v>
      </c>
      <c r="K138" s="406">
        <v>500.03199999999998</v>
      </c>
      <c r="L138" s="385" t="s">
        <v>1412</v>
      </c>
      <c r="M138" s="367">
        <v>404770</v>
      </c>
    </row>
    <row r="139" spans="2:13" x14ac:dyDescent="0.3">
      <c r="B139" s="50">
        <v>45223</v>
      </c>
      <c r="C139" s="42">
        <v>2</v>
      </c>
      <c r="D139" s="43">
        <v>108</v>
      </c>
      <c r="E139" s="44">
        <v>27125997835</v>
      </c>
      <c r="F139" s="321" t="str">
        <f>IFERROR(IF(factura_c_mes788[[#This Row],[CUIT]]="","-",VLOOKUP(factura_c_mes788[[#This Row],[CUIT]],Lista_CUIT[#All],2,0)),"CUIT NO CARGADO")</f>
        <v>DANSKY ULLMANN VIVIANA EVA YOLANDA</v>
      </c>
      <c r="G139" s="323">
        <v>44000</v>
      </c>
      <c r="H139" s="385" t="s">
        <v>1383</v>
      </c>
      <c r="I139" s="322">
        <f>IFERROR(IF(factura_c_mes788[[#This Row],[CUIT]]="","-",VLOOKUP(factura_c_mes788[[#This Row],[CUIT]],Lista_CUIT[#All],4,0)),"CUIT NO CARGADO")</f>
        <v>0</v>
      </c>
      <c r="K139" s="366"/>
      <c r="L139" s="387"/>
      <c r="M139" s="367"/>
    </row>
    <row r="140" spans="2:13" x14ac:dyDescent="0.3">
      <c r="B140" s="50">
        <v>45211</v>
      </c>
      <c r="C140" s="42">
        <v>9</v>
      </c>
      <c r="D140" s="43">
        <v>3994367</v>
      </c>
      <c r="E140" s="44">
        <v>33715179119</v>
      </c>
      <c r="F140" s="321" t="str">
        <f>IFERROR(IF(factura_c_mes788[[#This Row],[CUIT]]="","-",VLOOKUP(factura_c_mes788[[#This Row],[CUIT]],Lista_CUIT[#All],2,0)),"CUIT NO CARGADO")</f>
        <v>FONDO DE COOPERACION TECNICA Y FINANCIERA - CECBA - SL Y T - LEY 23.412</v>
      </c>
      <c r="G140" s="323">
        <v>855</v>
      </c>
      <c r="H140" s="385" t="s">
        <v>1383</v>
      </c>
      <c r="I140" s="322">
        <f>IFERROR(IF(factura_c_mes788[[#This Row],[CUIT]]="","-",VLOOKUP(factura_c_mes788[[#This Row],[CUIT]],Lista_CUIT[#All],4,0)),"CUIT NO CARGADO")</f>
        <v>0</v>
      </c>
      <c r="K140" s="408"/>
      <c r="L140" s="412"/>
      <c r="M140" s="410">
        <f ca="1">SUM(M131:M145)</f>
        <v>2504985</v>
      </c>
    </row>
    <row r="141" spans="2:13" x14ac:dyDescent="0.3">
      <c r="B141" s="50">
        <v>45228</v>
      </c>
      <c r="C141" s="42">
        <v>1</v>
      </c>
      <c r="D141" s="343">
        <v>296</v>
      </c>
      <c r="E141" s="44">
        <v>27925308868</v>
      </c>
      <c r="F141" s="321" t="str">
        <f>IFERROR(IF(factura_c_mes788[[#This Row],[CUIT]]="","-",VLOOKUP(factura_c_mes788[[#This Row],[CUIT]],Lista_CUIT[#All],2,0)),"CUIT NO CARGADO")</f>
        <v>LOPEZ MOLINA MARIA</v>
      </c>
      <c r="G141" s="323">
        <v>5000</v>
      </c>
      <c r="H141" s="388" t="s">
        <v>1383</v>
      </c>
      <c r="I141" s="322">
        <f>IFERROR(IF(factura_c_mes788[[#This Row],[CUIT]]="","-",VLOOKUP(factura_c_mes788[[#This Row],[CUIT]],Lista_CUIT[#All],4,0)),"CUIT NO CARGADO")</f>
        <v>0</v>
      </c>
      <c r="K141" s="407"/>
      <c r="L141" s="388"/>
      <c r="M141" s="125"/>
    </row>
    <row r="142" spans="2:13" x14ac:dyDescent="0.3">
      <c r="B142" s="50">
        <v>45226</v>
      </c>
      <c r="C142" s="42">
        <v>3</v>
      </c>
      <c r="D142" s="43">
        <v>63</v>
      </c>
      <c r="E142" s="44">
        <v>20403931420</v>
      </c>
      <c r="F142" s="321" t="str">
        <f>IFERROR(IF(factura_c_mes788[[#This Row],[CUIT]]="","-",VLOOKUP(factura_c_mes788[[#This Row],[CUIT]],Lista_CUIT[#All],2,0)),"CUIT NO CARGADO")</f>
        <v>FIORENTINO JORGE IGNACIO</v>
      </c>
      <c r="G142" s="323">
        <v>177130</v>
      </c>
      <c r="H142" s="398" t="str">
        <f>IFERROR(IF(factura_c_mes788[[#This Row],[CUIT]]="","-",VLOOKUP(factura_c_mes788[[#This Row],[CUIT]],Lista_CUIT[#All],3,0)),"CUIT NO CARGADO")</f>
        <v>Hon. Admin.</v>
      </c>
      <c r="I142" s="322">
        <f>IFERROR(IF(factura_c_mes788[[#This Row],[CUIT]]="","-",VLOOKUP(factura_c_mes788[[#This Row],[CUIT]],Lista_CUIT[#All],4,0)),"CUIT NO CARGADO")</f>
        <v>0</v>
      </c>
    </row>
    <row r="143" spans="2:13" x14ac:dyDescent="0.3">
      <c r="B143" s="50">
        <v>45229</v>
      </c>
      <c r="C143" s="42">
        <v>2</v>
      </c>
      <c r="D143" s="343">
        <v>157</v>
      </c>
      <c r="E143" s="44">
        <v>20136544625</v>
      </c>
      <c r="F143" s="53" t="str">
        <f>IFERROR(IF(factura_c_mes788[[#This Row],[CUIT]]="","-",VLOOKUP(factura_c_mes788[[#This Row],[CUIT]],Lista_CUIT[#All],2,0)),"CUIT NO CARGADO")</f>
        <v>RODRIGUEZ DE LA FUEN HECTOR MARCELO</v>
      </c>
      <c r="G143" s="324">
        <v>100000</v>
      </c>
      <c r="H143" s="399" t="str">
        <f>IFERROR(IF(factura_c_mes788[[#This Row],[CUIT]]="","-",VLOOKUP(factura_c_mes788[[#This Row],[CUIT]],Lista_CUIT[#All],3,0)),"CUIT NO CARGADO")</f>
        <v>Hon. Admin.</v>
      </c>
      <c r="I143" s="54">
        <f>IFERROR(IF(factura_c_mes788[[#This Row],[CUIT]]="","-",VLOOKUP(factura_c_mes788[[#This Row],[CUIT]],Lista_CUIT[#All],4,0)),"CUIT NO CARGADO")</f>
        <v>0</v>
      </c>
      <c r="L143" s="388"/>
      <c r="M143" s="125"/>
    </row>
    <row r="144" spans="2:13" x14ac:dyDescent="0.3">
      <c r="B144" s="50">
        <v>45201</v>
      </c>
      <c r="C144" s="42">
        <v>3</v>
      </c>
      <c r="D144" s="343">
        <v>784</v>
      </c>
      <c r="E144" s="44">
        <v>20086277523</v>
      </c>
      <c r="F144" s="321" t="str">
        <f>IFERROR(IF(factura_c_mes788[[#This Row],[CUIT]]="","-",VLOOKUP(factura_c_mes788[[#This Row],[CUIT]],Lista_CUIT[#All],2,0)),"CUIT NO CARGADO")</f>
        <v>ESTUDIO BOTINDARI</v>
      </c>
      <c r="G144" s="323">
        <v>95500</v>
      </c>
      <c r="H144" s="388" t="s">
        <v>1385</v>
      </c>
      <c r="I144" s="322">
        <f>IFERROR(IF(factura_c_mes788[[#This Row],[CUIT]]="","-",VLOOKUP(factura_c_mes788[[#This Row],[CUIT]],Lista_CUIT[#All],4,0)),"CUIT NO CARGADO")</f>
        <v>0</v>
      </c>
    </row>
    <row r="145" spans="2:13" x14ac:dyDescent="0.3">
      <c r="B145" s="50">
        <v>45218</v>
      </c>
      <c r="C145" s="42">
        <v>2</v>
      </c>
      <c r="D145" s="343">
        <v>652</v>
      </c>
      <c r="E145" s="44">
        <v>20400104094</v>
      </c>
      <c r="F145" s="321" t="str">
        <f>IFERROR(IF(factura_c_mes788[[#This Row],[CUIT]]="","-",VLOOKUP(factura_c_mes788[[#This Row],[CUIT]],Lista_CUIT[#All],2,0)),"CUIT NO CARGADO")</f>
        <v>FEDERICO BOTINDARI</v>
      </c>
      <c r="G145" s="323">
        <v>20830</v>
      </c>
      <c r="H145" s="388" t="s">
        <v>1385</v>
      </c>
      <c r="I145" s="322">
        <f>IFERROR(IF(factura_c_mes788[[#This Row],[CUIT]]="","-",VLOOKUP(factura_c_mes788[[#This Row],[CUIT]],Lista_CUIT[#All],4,0)),"CUIT NO CARGADO")</f>
        <v>0</v>
      </c>
      <c r="L145" s="388"/>
      <c r="M145" s="125"/>
    </row>
    <row r="146" spans="2:13" x14ac:dyDescent="0.3">
      <c r="B146" s="50">
        <v>45202</v>
      </c>
      <c r="C146" s="42">
        <v>1</v>
      </c>
      <c r="D146" s="343">
        <v>15</v>
      </c>
      <c r="E146" s="44">
        <v>20338344695</v>
      </c>
      <c r="F146" s="321" t="str">
        <f>IFERROR(IF(factura_c_mes788[[#This Row],[CUIT]]="","-",VLOOKUP(factura_c_mes788[[#This Row],[CUIT]],Lista_CUIT[#All],2,0)),"CUIT NO CARGADO")</f>
        <v>FUERTES DAMIAN MATIAS</v>
      </c>
      <c r="G146" s="323">
        <v>90900</v>
      </c>
      <c r="H146" s="398" t="str">
        <f>IFERROR(IF(factura_c_mes788[[#This Row],[CUIT]]="","-",VLOOKUP(factura_c_mes788[[#This Row],[CUIT]],Lista_CUIT[#All],3,0)),"CUIT NO CARGADO")</f>
        <v>INSUMO</v>
      </c>
      <c r="I146" s="322">
        <f>IFERROR(IF(factura_c_mes788[[#This Row],[CUIT]]="","-",VLOOKUP(factura_c_mes788[[#This Row],[CUIT]],Lista_CUIT[#All],4,0)),"CUIT NO CARGADO")</f>
        <v>0</v>
      </c>
      <c r="L146" s="377"/>
    </row>
    <row r="147" spans="2:13" x14ac:dyDescent="0.3">
      <c r="B147" s="50">
        <v>45222</v>
      </c>
      <c r="C147" s="42">
        <v>2</v>
      </c>
      <c r="D147" s="43">
        <v>92</v>
      </c>
      <c r="E147" s="44">
        <v>20244271740</v>
      </c>
      <c r="F147" s="321" t="str">
        <f>IFERROR(IF(factura_c_mes788[[#This Row],[CUIT]]="","-",VLOOKUP(factura_c_mes788[[#This Row],[CUIT]],Lista_CUIT[#All],2,0)),"CUIT NO CARGADO")</f>
        <v>KENNEL SEBASTIAN</v>
      </c>
      <c r="G147" s="323">
        <v>171000</v>
      </c>
      <c r="H147" s="388" t="s">
        <v>1386</v>
      </c>
      <c r="I147" s="322">
        <f>IFERROR(IF(factura_c_mes788[[#This Row],[CUIT]]="","-",VLOOKUP(factura_c_mes788[[#This Row],[CUIT]],Lista_CUIT[#All],4,0)),"CUIT NO CARGADO")</f>
        <v>0</v>
      </c>
    </row>
    <row r="148" spans="2:13" x14ac:dyDescent="0.3">
      <c r="B148" s="55" t="s">
        <v>110</v>
      </c>
      <c r="C148" s="55"/>
      <c r="D148" s="55"/>
      <c r="E148" s="55"/>
      <c r="F148" s="57"/>
      <c r="G148" s="58">
        <f>SUBTOTAL(109,factura_c_mes788[TOTAL])</f>
        <v>2704985</v>
      </c>
      <c r="H148" s="55"/>
      <c r="I148" s="55"/>
    </row>
    <row r="151" spans="2:13" ht="21" x14ac:dyDescent="0.3">
      <c r="B151" s="414" t="s">
        <v>25</v>
      </c>
      <c r="C151" s="414"/>
      <c r="D151" s="414"/>
      <c r="E151" s="414"/>
      <c r="F151" s="414"/>
      <c r="G151" s="414"/>
      <c r="H151" s="414" t="s">
        <v>1403</v>
      </c>
      <c r="I151" s="414"/>
      <c r="K151" s="406">
        <v>510.12</v>
      </c>
      <c r="L151" s="385" t="s">
        <v>1390</v>
      </c>
      <c r="M151" s="367">
        <v>195000</v>
      </c>
    </row>
    <row r="152" spans="2:13" x14ac:dyDescent="0.3">
      <c r="B152" s="51" t="s">
        <v>0</v>
      </c>
      <c r="C152" s="51" t="s">
        <v>2</v>
      </c>
      <c r="D152" s="51" t="s">
        <v>74</v>
      </c>
      <c r="E152" s="51" t="s">
        <v>3</v>
      </c>
      <c r="F152" s="51" t="s">
        <v>4</v>
      </c>
      <c r="G152" s="52" t="s">
        <v>10</v>
      </c>
      <c r="H152" s="51" t="s">
        <v>13</v>
      </c>
      <c r="I152" s="51" t="s">
        <v>38</v>
      </c>
      <c r="K152" s="406">
        <v>500.05</v>
      </c>
      <c r="L152" s="385" t="s">
        <v>1383</v>
      </c>
      <c r="M152" s="367">
        <v>66000</v>
      </c>
    </row>
    <row r="153" spans="2:13" x14ac:dyDescent="0.3">
      <c r="B153" s="50">
        <v>45251</v>
      </c>
      <c r="C153" s="42">
        <v>4</v>
      </c>
      <c r="D153" s="43">
        <v>55</v>
      </c>
      <c r="E153" s="44">
        <v>23214737914</v>
      </c>
      <c r="F153" s="321" t="str">
        <f>IFERROR(IF(factura_c_mes889[[#This Row],[CUIT]]="","-",VLOOKUP(factura_c_mes889[[#This Row],[CUIT]],Lista_CUIT[#All],2,0)),"CUIT NO CARGADO")</f>
        <v>SBARRA GABRIELA BEATRIZ</v>
      </c>
      <c r="G153" s="347">
        <v>321820</v>
      </c>
      <c r="H153" s="390" t="s">
        <v>1398</v>
      </c>
      <c r="I153" s="322">
        <f>IFERROR(IF(factura_c_mes889[[#This Row],[CUIT]]="","-",VLOOKUP(factura_c_mes889[[#This Row],[CUIT]],Lista_CUIT[#All],4,0)),"CUIT NO CARGADO")</f>
        <v>0</v>
      </c>
      <c r="K153" s="406">
        <v>500.01600000000002</v>
      </c>
      <c r="L153" s="385" t="s">
        <v>1384</v>
      </c>
      <c r="M153" s="367">
        <v>177690</v>
      </c>
    </row>
    <row r="154" spans="2:13" x14ac:dyDescent="0.3">
      <c r="B154" s="50">
        <v>45257</v>
      </c>
      <c r="C154" s="42">
        <v>1</v>
      </c>
      <c r="D154" s="43">
        <v>31</v>
      </c>
      <c r="E154" s="44">
        <v>20365938688</v>
      </c>
      <c r="F154" s="321" t="str">
        <f>IFERROR(IF(factura_c_mes889[[#This Row],[CUIT]]="","-",VLOOKUP(factura_c_mes889[[#This Row],[CUIT]],Lista_CUIT[#All],2,0)),"CUIT NO CARGADO")</f>
        <v>LIPANOVICH JUAN CRUZ</v>
      </c>
      <c r="G154" s="347">
        <v>600000</v>
      </c>
      <c r="H154" s="401" t="s">
        <v>1389</v>
      </c>
      <c r="I154" s="322">
        <f>IFERROR(IF(factura_c_mes889[[#This Row],[CUIT]]="","-",VLOOKUP(factura_c_mes889[[#This Row],[CUIT]],Lista_CUIT[#All],4,0)),"CUIT NO CARGADO")</f>
        <v>0</v>
      </c>
      <c r="K154" s="406">
        <v>510.1</v>
      </c>
      <c r="L154" s="385" t="s">
        <v>1385</v>
      </c>
      <c r="M154" s="367">
        <v>139330</v>
      </c>
    </row>
    <row r="155" spans="2:13" x14ac:dyDescent="0.3">
      <c r="B155" s="50">
        <v>45244</v>
      </c>
      <c r="C155" s="42">
        <v>2</v>
      </c>
      <c r="D155" s="43">
        <v>113</v>
      </c>
      <c r="E155" s="44">
        <v>27125997835</v>
      </c>
      <c r="F155" s="53" t="str">
        <f>IFERROR(IF(factura_c_mes889[[#This Row],[CUIT]]="","-",VLOOKUP(factura_c_mes889[[#This Row],[CUIT]],Lista_CUIT[#All],2,0)),"CUIT NO CARGADO")</f>
        <v>DANSKY ULLMANN VIVIANA EVA YOLANDA</v>
      </c>
      <c r="G155" s="81">
        <v>66000</v>
      </c>
      <c r="H155" s="392" t="s">
        <v>1383</v>
      </c>
      <c r="I155" s="54">
        <f>IFERROR(IF(factura_c_mes889[[#This Row],[CUIT]]="","-",VLOOKUP(factura_c_mes889[[#This Row],[CUIT]],Lista_CUIT[#All],4,0)),"CUIT NO CARGADO")</f>
        <v>0</v>
      </c>
      <c r="K155" s="406">
        <v>500.03500000000003</v>
      </c>
      <c r="L155" s="375" t="s">
        <v>1389</v>
      </c>
      <c r="M155" s="367">
        <v>600000</v>
      </c>
    </row>
    <row r="156" spans="2:13" x14ac:dyDescent="0.3">
      <c r="B156" s="50">
        <v>45247</v>
      </c>
      <c r="C156" s="42">
        <v>3</v>
      </c>
      <c r="D156" s="43">
        <v>65</v>
      </c>
      <c r="E156" s="44">
        <v>20403931420</v>
      </c>
      <c r="F156" s="53" t="str">
        <f>IFERROR(IF(factura_c_mes889[[#This Row],[CUIT]]="","-",VLOOKUP(factura_c_mes889[[#This Row],[CUIT]],Lista_CUIT[#All],2,0)),"CUIT NO CARGADO")</f>
        <v>FIORENTINO JORGE IGNACIO</v>
      </c>
      <c r="G156" s="81">
        <v>177690</v>
      </c>
      <c r="H156" s="400" t="str">
        <f>IFERROR(IF(factura_c_mes889[[#This Row],[CUIT]]="","-",VLOOKUP(factura_c_mes889[[#This Row],[CUIT]],Lista_CUIT[#All],3,0)),"CUIT NO CARGADO")</f>
        <v>Hon. Admin.</v>
      </c>
      <c r="I156" s="54">
        <f>IFERROR(IF(factura_c_mes889[[#This Row],[CUIT]]="","-",VLOOKUP(factura_c_mes889[[#This Row],[CUIT]],Lista_CUIT[#All],4,0)),"CUIT NO CARGADO")</f>
        <v>0</v>
      </c>
      <c r="K156" s="406">
        <v>500.03199999999998</v>
      </c>
      <c r="L156" s="385" t="s">
        <v>1412</v>
      </c>
      <c r="M156" s="367">
        <v>321820</v>
      </c>
    </row>
    <row r="157" spans="2:13" x14ac:dyDescent="0.3">
      <c r="B157" s="50">
        <v>45232</v>
      </c>
      <c r="C157" s="42">
        <v>3</v>
      </c>
      <c r="D157" s="43">
        <v>793</v>
      </c>
      <c r="E157" s="44">
        <v>20086277523</v>
      </c>
      <c r="F157" s="53" t="str">
        <f>IFERROR(IF(factura_c_mes889[[#This Row],[CUIT]]="","-",VLOOKUP(factura_c_mes889[[#This Row],[CUIT]],Lista_CUIT[#All],2,0)),"CUIT NO CARGADO")</f>
        <v>ESTUDIO BOTINDARI</v>
      </c>
      <c r="G157" s="81">
        <v>118500</v>
      </c>
      <c r="H157" s="392" t="s">
        <v>1385</v>
      </c>
      <c r="I157" s="54">
        <f>IFERROR(IF(factura_c_mes889[[#This Row],[CUIT]]="","-",VLOOKUP(factura_c_mes889[[#This Row],[CUIT]],Lista_CUIT[#All],4,0)),"CUIT NO CARGADO")</f>
        <v>0</v>
      </c>
      <c r="K157" s="366"/>
      <c r="L157" s="386"/>
      <c r="M157" s="369"/>
    </row>
    <row r="158" spans="2:13" x14ac:dyDescent="0.3">
      <c r="B158" s="50">
        <v>45251</v>
      </c>
      <c r="C158" s="42">
        <v>2</v>
      </c>
      <c r="D158" s="43">
        <v>670</v>
      </c>
      <c r="E158" s="44">
        <v>20400104094</v>
      </c>
      <c r="F158" s="321" t="str">
        <f>IFERROR(IF(factura_c_mes889[[#This Row],[CUIT]]="","-",VLOOKUP(factura_c_mes889[[#This Row],[CUIT]],Lista_CUIT[#All],2,0)),"CUIT NO CARGADO")</f>
        <v>FEDERICO BOTINDARI</v>
      </c>
      <c r="G158" s="347">
        <v>20830</v>
      </c>
      <c r="H158" s="394" t="s">
        <v>1385</v>
      </c>
      <c r="I158" s="322">
        <f>IFERROR(IF(factura_c_mes889[[#This Row],[CUIT]]="","-",VLOOKUP(factura_c_mes889[[#This Row],[CUIT]],Lista_CUIT[#All],4,0)),"CUIT NO CARGADO")</f>
        <v>0</v>
      </c>
      <c r="K158" s="402"/>
      <c r="L158" s="403"/>
      <c r="M158" s="402"/>
    </row>
    <row r="159" spans="2:13" x14ac:dyDescent="0.3">
      <c r="B159" s="50">
        <v>45245</v>
      </c>
      <c r="C159" s="42">
        <v>4</v>
      </c>
      <c r="D159" s="43">
        <v>19</v>
      </c>
      <c r="E159" s="44">
        <v>20341462933</v>
      </c>
      <c r="F159" s="53" t="str">
        <f>IFERROR(IF(factura_c_mes889[[#This Row],[CUIT]]="","-",VLOOKUP(factura_c_mes889[[#This Row],[CUIT]],Lista_CUIT[#All],2,0)),"CUIT NO CARGADO")</f>
        <v>CASTIGLIONI MATIAS EZEQUIEL</v>
      </c>
      <c r="G159" s="81">
        <v>195000</v>
      </c>
      <c r="H159" s="385" t="s">
        <v>1391</v>
      </c>
      <c r="I159" s="54" t="str">
        <f>IFERROR(IF(factura_c_mes889[[#This Row],[CUIT]]="","-",VLOOKUP(factura_c_mes889[[#This Row],[CUIT]],Lista_CUIT[#All],4,0)),"CUIT NO CARGADO")</f>
        <v>BUENOS AIRES</v>
      </c>
      <c r="M159" s="125">
        <f ca="1">SUM(M151:M165)</f>
        <v>1499840</v>
      </c>
    </row>
    <row r="160" spans="2:13" x14ac:dyDescent="0.3">
      <c r="B160" s="55" t="s">
        <v>110</v>
      </c>
      <c r="C160" s="55"/>
      <c r="D160" s="55"/>
      <c r="E160" s="55"/>
      <c r="F160" s="57"/>
      <c r="G160" s="58">
        <f>SUBTOTAL(109,factura_c_mes889[TOTAL])</f>
        <v>1499840</v>
      </c>
      <c r="H160" s="55"/>
      <c r="I160" s="55"/>
      <c r="L160" s="388"/>
      <c r="M160" s="125"/>
    </row>
    <row r="161" spans="2:13" x14ac:dyDescent="0.3">
      <c r="L161" s="388"/>
      <c r="M161" s="125"/>
    </row>
    <row r="162" spans="2:13" x14ac:dyDescent="0.3">
      <c r="L162" s="388"/>
      <c r="M162" s="125"/>
    </row>
    <row r="163" spans="2:13" ht="21" x14ac:dyDescent="0.3">
      <c r="B163" s="414" t="s">
        <v>25</v>
      </c>
      <c r="C163" s="414"/>
      <c r="D163" s="414"/>
      <c r="E163" s="414"/>
      <c r="F163" s="414"/>
      <c r="G163" s="414"/>
      <c r="H163" s="414" t="s">
        <v>1401</v>
      </c>
      <c r="I163" s="414"/>
      <c r="K163" s="406">
        <v>510.12</v>
      </c>
      <c r="L163" s="385" t="s">
        <v>1390</v>
      </c>
      <c r="M163" s="367">
        <v>200000</v>
      </c>
    </row>
    <row r="164" spans="2:13" x14ac:dyDescent="0.3">
      <c r="B164" s="51" t="s">
        <v>0</v>
      </c>
      <c r="C164" s="51" t="s">
        <v>2</v>
      </c>
      <c r="D164" s="51" t="s">
        <v>74</v>
      </c>
      <c r="E164" s="51" t="s">
        <v>3</v>
      </c>
      <c r="F164" s="51" t="s">
        <v>4</v>
      </c>
      <c r="G164" s="52" t="s">
        <v>10</v>
      </c>
      <c r="H164" s="51" t="s">
        <v>13</v>
      </c>
      <c r="I164" s="51" t="s">
        <v>38</v>
      </c>
      <c r="K164" s="406">
        <v>500.05</v>
      </c>
      <c r="L164" s="385" t="s">
        <v>1383</v>
      </c>
      <c r="M164" s="367">
        <v>58999</v>
      </c>
    </row>
    <row r="165" spans="2:13" x14ac:dyDescent="0.3">
      <c r="B165" s="50"/>
      <c r="C165" s="42"/>
      <c r="D165" s="43"/>
      <c r="E165" s="44"/>
      <c r="F165" s="53" t="str">
        <f>IFERROR(IF(factura_c_mes990[[#This Row],[CUIT]]="","-",VLOOKUP(factura_c_mes990[[#This Row],[CUIT]],Lista_CUIT[#All],2,0)),"CUIT NO CARGADO")</f>
        <v>-</v>
      </c>
      <c r="G165" s="81"/>
      <c r="H165" s="378" t="str">
        <f>IFERROR(IF(factura_c_mes990[[#This Row],[CUIT]]="","-",VLOOKUP(factura_c_mes990[[#This Row],[CUIT]],Lista_CUIT[#All],3,0)),"CUIT NO CARGADO")</f>
        <v>-</v>
      </c>
      <c r="I165" s="54" t="str">
        <f>IFERROR(IF(factura_c_mes990[[#This Row],[CUIT]]="","-",VLOOKUP(factura_c_mes990[[#This Row],[CUIT]],Lista_CUIT[#All],4,0)),"CUIT NO CARGADO")</f>
        <v>-</v>
      </c>
      <c r="K165" s="406">
        <v>500.01600000000002</v>
      </c>
      <c r="L165" s="385" t="s">
        <v>1384</v>
      </c>
      <c r="M165" s="367">
        <v>177560</v>
      </c>
    </row>
    <row r="166" spans="2:13" x14ac:dyDescent="0.3">
      <c r="B166" s="50"/>
      <c r="C166" s="42"/>
      <c r="D166" s="43"/>
      <c r="E166" s="44"/>
      <c r="F166" s="53" t="str">
        <f>IFERROR(IF(factura_c_mes990[[#This Row],[CUIT]]="","-",VLOOKUP(factura_c_mes990[[#This Row],[CUIT]],Lista_CUIT[#All],2,0)),"CUIT NO CARGADO")</f>
        <v>-</v>
      </c>
      <c r="G166" s="81"/>
      <c r="H166" s="378" t="str">
        <f>IFERROR(IF(factura_c_mes990[[#This Row],[CUIT]]="","-",VLOOKUP(factura_c_mes990[[#This Row],[CUIT]],Lista_CUIT[#All],3,0)),"CUIT NO CARGADO")</f>
        <v>-</v>
      </c>
      <c r="I166" s="54" t="str">
        <f>IFERROR(IF(factura_c_mes990[[#This Row],[CUIT]]="","-",VLOOKUP(factura_c_mes990[[#This Row],[CUIT]],Lista_CUIT[#All],4,0)),"CUIT NO CARGADO")</f>
        <v>-</v>
      </c>
      <c r="K166" s="406">
        <v>510.1</v>
      </c>
      <c r="L166" s="385" t="s">
        <v>1385</v>
      </c>
      <c r="M166" s="367">
        <v>569700</v>
      </c>
    </row>
    <row r="167" spans="2:13" x14ac:dyDescent="0.3">
      <c r="B167" s="357" t="s">
        <v>1310</v>
      </c>
      <c r="C167" s="357">
        <v>4</v>
      </c>
      <c r="D167" s="357">
        <v>57</v>
      </c>
      <c r="E167" s="358">
        <v>23214737914</v>
      </c>
      <c r="F167" s="359" t="str">
        <f>IFERROR(IF(factura_c_mes990[[#This Row],[CUIT]]="","-",VLOOKUP(factura_c_mes990[[#This Row],[CUIT]],Lista_CUIT[#All],2,0)),"CUIT NO CARGADO")</f>
        <v>SBARRA GABRIELA BEATRIZ</v>
      </c>
      <c r="G167" s="360">
        <v>404710</v>
      </c>
      <c r="H167" s="390" t="s">
        <v>1398</v>
      </c>
      <c r="I167" s="361">
        <f>IFERROR(IF(factura_c_mes990[[#This Row],[CUIT]]="","-",VLOOKUP(factura_c_mes990[[#This Row],[CUIT]],Lista_CUIT[#All],4,0)),"CUIT NO CARGADO")</f>
        <v>0</v>
      </c>
      <c r="K167" s="406">
        <v>500.03500000000003</v>
      </c>
      <c r="L167" s="375" t="s">
        <v>1389</v>
      </c>
      <c r="M167" s="367">
        <v>1000000</v>
      </c>
    </row>
    <row r="168" spans="2:13" x14ac:dyDescent="0.3">
      <c r="B168" s="352" t="s">
        <v>1303</v>
      </c>
      <c r="C168" s="352">
        <v>1</v>
      </c>
      <c r="D168" s="352">
        <v>19</v>
      </c>
      <c r="E168" s="353">
        <v>27387896150</v>
      </c>
      <c r="F168" s="321" t="str">
        <f>IFERROR(IF(factura_c_mes990[[#This Row],[CUIT]]="","-",VLOOKUP(factura_c_mes990[[#This Row],[CUIT]],Lista_CUIT[#All],2,0)),"CUIT NO CARGADO")</f>
        <v>LIPANOVICH MARIA SOL</v>
      </c>
      <c r="G168" s="347">
        <v>400000</v>
      </c>
      <c r="H168" s="405" t="s">
        <v>1389</v>
      </c>
      <c r="I168" s="322">
        <f>IFERROR(IF(factura_c_mes990[[#This Row],[CUIT]]="","-",VLOOKUP(factura_c_mes990[[#This Row],[CUIT]],Lista_CUIT[#All],4,0)),"CUIT NO CARGADO")</f>
        <v>0</v>
      </c>
      <c r="K168" s="406">
        <v>507.13</v>
      </c>
      <c r="L168" s="385" t="s">
        <v>1395</v>
      </c>
      <c r="M168" s="367">
        <v>5200</v>
      </c>
    </row>
    <row r="169" spans="2:13" x14ac:dyDescent="0.3">
      <c r="B169" s="352" t="s">
        <v>1312</v>
      </c>
      <c r="C169" s="352">
        <v>1</v>
      </c>
      <c r="D169" s="352">
        <v>32</v>
      </c>
      <c r="E169" s="353">
        <v>20365938688</v>
      </c>
      <c r="F169" s="321" t="str">
        <f>IFERROR(IF(factura_c_mes990[[#This Row],[CUIT]]="","-",VLOOKUP(factura_c_mes990[[#This Row],[CUIT]],Lista_CUIT[#All],2,0)),"CUIT NO CARGADO")</f>
        <v>LIPANOVICH JUAN CRUZ</v>
      </c>
      <c r="G169" s="347">
        <v>600000</v>
      </c>
      <c r="H169" s="375" t="s">
        <v>1389</v>
      </c>
      <c r="I169" s="322">
        <f>IFERROR(IF(factura_c_mes990[[#This Row],[CUIT]]="","-",VLOOKUP(factura_c_mes990[[#This Row],[CUIT]],Lista_CUIT[#All],4,0)),"CUIT NO CARGADO")</f>
        <v>0</v>
      </c>
      <c r="K169" s="406">
        <v>121.122</v>
      </c>
      <c r="L169" s="385" t="s">
        <v>1415</v>
      </c>
      <c r="M169" s="367">
        <v>91000</v>
      </c>
    </row>
    <row r="170" spans="2:13" x14ac:dyDescent="0.3">
      <c r="B170" s="357" t="s">
        <v>1307</v>
      </c>
      <c r="C170" s="357">
        <v>2</v>
      </c>
      <c r="D170" s="357">
        <v>91459</v>
      </c>
      <c r="E170" s="358">
        <v>30554466806</v>
      </c>
      <c r="F170" s="359" t="str">
        <f>IFERROR(IF(factura_c_mes990[[#This Row],[CUIT]]="","-",VLOOKUP(factura_c_mes990[[#This Row],[CUIT]],Lista_CUIT[#All],2,0)),"CUIT NO CARGADO")</f>
        <v>ASOCIACION DE IMPORTADORES Y EXPORTADORES DE LA REPUBLICA ARGENTINA</v>
      </c>
      <c r="G170" s="360">
        <v>5200</v>
      </c>
      <c r="H170" s="404" t="str">
        <f>IFERROR(IF(factura_c_mes990[[#This Row],[CUIT]]="","-",VLOOKUP(factura_c_mes990[[#This Row],[CUIT]],Lista_CUIT[#All],3,0)),"CUIT NO CARGADO")</f>
        <v>FLETE-LOGISTICA</v>
      </c>
      <c r="I170" s="361">
        <f>IFERROR(IF(factura_c_mes990[[#This Row],[CUIT]]="","-",VLOOKUP(factura_c_mes990[[#This Row],[CUIT]],Lista_CUIT[#All],4,0)),"CUIT NO CARGADO")</f>
        <v>0</v>
      </c>
      <c r="K170" s="366"/>
      <c r="L170" s="385"/>
      <c r="M170" s="367"/>
    </row>
    <row r="171" spans="2:13" x14ac:dyDescent="0.3">
      <c r="B171" s="305" t="s">
        <v>1306</v>
      </c>
      <c r="C171" s="276">
        <v>1</v>
      </c>
      <c r="D171" s="277">
        <v>1207</v>
      </c>
      <c r="E171" s="278">
        <v>20254823105</v>
      </c>
      <c r="F171" s="354" t="str">
        <f>IFERROR(IF(factura_c_mes990[[#This Row],[CUIT]]="","-",VLOOKUP(factura_c_mes990[[#This Row],[CUIT]],Lista_CUIT[#All],2,0)),"CUIT NO CARGADO")</f>
        <v>DELFINO LUIS ADOLFO</v>
      </c>
      <c r="G171" s="355">
        <v>9999</v>
      </c>
      <c r="H171" s="385" t="s">
        <v>1383</v>
      </c>
      <c r="I171" s="356">
        <f>IFERROR(IF(factura_c_mes990[[#This Row],[CUIT]]="","-",VLOOKUP(factura_c_mes990[[#This Row],[CUIT]],Lista_CUIT[#All],4,0)),"CUIT NO CARGADO")</f>
        <v>0</v>
      </c>
      <c r="K171" s="406">
        <v>500.03199999999998</v>
      </c>
      <c r="L171" s="385" t="s">
        <v>1412</v>
      </c>
      <c r="M171" s="367">
        <v>404710</v>
      </c>
    </row>
    <row r="172" spans="2:13" x14ac:dyDescent="0.3">
      <c r="B172" s="357" t="s">
        <v>1307</v>
      </c>
      <c r="C172" s="357">
        <v>2</v>
      </c>
      <c r="D172" s="357">
        <v>117</v>
      </c>
      <c r="E172" s="358">
        <v>27125997835</v>
      </c>
      <c r="F172" s="359" t="str">
        <f>IFERROR(IF(factura_c_mes990[[#This Row],[CUIT]]="","-",VLOOKUP(factura_c_mes990[[#This Row],[CUIT]],Lista_CUIT[#All],2,0)),"CUIT NO CARGADO")</f>
        <v>DANSKY ULLMANN VIVIANA EVA YOLANDA</v>
      </c>
      <c r="G172" s="360">
        <v>43000</v>
      </c>
      <c r="H172" s="385" t="s">
        <v>1383</v>
      </c>
      <c r="I172" s="361">
        <f>IFERROR(IF(factura_c_mes990[[#This Row],[CUIT]]="","-",VLOOKUP(factura_c_mes990[[#This Row],[CUIT]],Lista_CUIT[#All],4,0)),"CUIT NO CARGADO")</f>
        <v>0</v>
      </c>
      <c r="K172" s="366"/>
      <c r="L172" s="385"/>
      <c r="M172" s="367"/>
    </row>
    <row r="173" spans="2:13" x14ac:dyDescent="0.3">
      <c r="B173" s="352" t="s">
        <v>1311</v>
      </c>
      <c r="C173" s="352">
        <v>1</v>
      </c>
      <c r="D173" s="352">
        <v>217</v>
      </c>
      <c r="E173" s="353">
        <v>27925308884</v>
      </c>
      <c r="F173" s="321" t="str">
        <f>IFERROR(IF(factura_c_mes990[[#This Row],[CUIT]]="","-",VLOOKUP(factura_c_mes990[[#This Row],[CUIT]],Lista_CUIT[#All],2,0)),"CUIT NO CARGADO")</f>
        <v>LOPEZ LOPEZ FLAVIA</v>
      </c>
      <c r="G173" s="347">
        <v>6000</v>
      </c>
      <c r="H173" s="388" t="s">
        <v>1383</v>
      </c>
      <c r="I173" s="322">
        <f>IFERROR(IF(factura_c_mes990[[#This Row],[CUIT]]="","-",VLOOKUP(factura_c_mes990[[#This Row],[CUIT]],Lista_CUIT[#All],4,0)),"CUIT NO CARGADO")</f>
        <v>0</v>
      </c>
      <c r="M173" s="410">
        <f ca="1">SUM(M163:M177)</f>
        <v>2507169</v>
      </c>
    </row>
    <row r="174" spans="2:13" x14ac:dyDescent="0.3">
      <c r="B174" s="357" t="s">
        <v>1310</v>
      </c>
      <c r="C174" s="357">
        <v>3</v>
      </c>
      <c r="D174" s="357">
        <v>70</v>
      </c>
      <c r="E174" s="358">
        <v>20403931420</v>
      </c>
      <c r="F174" s="359" t="str">
        <f>IFERROR(IF(factura_c_mes990[[#This Row],[CUIT]]="","-",VLOOKUP(factura_c_mes990[[#This Row],[CUIT]],Lista_CUIT[#All],2,0)),"CUIT NO CARGADO")</f>
        <v>FIORENTINO JORGE IGNACIO</v>
      </c>
      <c r="G174" s="360">
        <v>177560</v>
      </c>
      <c r="H174" s="404" t="str">
        <f>IFERROR(IF(factura_c_mes990[[#This Row],[CUIT]]="","-",VLOOKUP(factura_c_mes990[[#This Row],[CUIT]],Lista_CUIT[#All],3,0)),"CUIT NO CARGADO")</f>
        <v>Hon. Admin.</v>
      </c>
      <c r="I174" s="361">
        <f>IFERROR(IF(factura_c_mes990[[#This Row],[CUIT]]="","-",VLOOKUP(factura_c_mes990[[#This Row],[CUIT]],Lista_CUIT[#All],4,0)),"CUIT NO CARGADO")</f>
        <v>0</v>
      </c>
    </row>
    <row r="175" spans="2:13" x14ac:dyDescent="0.3">
      <c r="B175" s="357" t="s">
        <v>1303</v>
      </c>
      <c r="C175" s="357">
        <v>3</v>
      </c>
      <c r="D175" s="357">
        <v>802</v>
      </c>
      <c r="E175" s="358">
        <v>20086277523</v>
      </c>
      <c r="F175" s="359" t="str">
        <f>IFERROR(IF(factura_c_mes990[[#This Row],[CUIT]]="","-",VLOOKUP(factura_c_mes990[[#This Row],[CUIT]],Lista_CUIT[#All],2,0)),"CUIT NO CARGADO")</f>
        <v>ESTUDIO BOTINDARI</v>
      </c>
      <c r="G175" s="360">
        <v>118500</v>
      </c>
      <c r="H175" s="385" t="s">
        <v>1385</v>
      </c>
      <c r="I175" s="361">
        <f>IFERROR(IF(factura_c_mes990[[#This Row],[CUIT]]="","-",VLOOKUP(factura_c_mes990[[#This Row],[CUIT]],Lista_CUIT[#All],4,0)),"CUIT NO CARGADO")</f>
        <v>0</v>
      </c>
    </row>
    <row r="176" spans="2:13" x14ac:dyDescent="0.3">
      <c r="B176" s="352" t="s">
        <v>1308</v>
      </c>
      <c r="C176" s="352">
        <v>3</v>
      </c>
      <c r="D176" s="352">
        <v>803</v>
      </c>
      <c r="E176" s="353">
        <v>20086277523</v>
      </c>
      <c r="F176" s="321" t="str">
        <f>IFERROR(IF(factura_c_mes990[[#This Row],[CUIT]]="","-",VLOOKUP(factura_c_mes990[[#This Row],[CUIT]],Lista_CUIT[#All],2,0)),"CUIT NO CARGADO")</f>
        <v>ESTUDIO BOTINDARI</v>
      </c>
      <c r="G176" s="347">
        <v>380000</v>
      </c>
      <c r="H176" s="388" t="s">
        <v>1385</v>
      </c>
      <c r="I176" s="322">
        <f>IFERROR(IF(factura_c_mes990[[#This Row],[CUIT]]="","-",VLOOKUP(factura_c_mes990[[#This Row],[CUIT]],Lista_CUIT[#All],4,0)),"CUIT NO CARGADO")</f>
        <v>0</v>
      </c>
    </row>
    <row r="177" spans="2:13" x14ac:dyDescent="0.3">
      <c r="B177" s="357" t="s">
        <v>1309</v>
      </c>
      <c r="C177" s="357">
        <v>2</v>
      </c>
      <c r="D177" s="357">
        <v>691</v>
      </c>
      <c r="E177" s="358">
        <v>20400104094</v>
      </c>
      <c r="F177" s="359" t="str">
        <f>IFERROR(IF(factura_c_mes990[[#This Row],[CUIT]]="","-",VLOOKUP(factura_c_mes990[[#This Row],[CUIT]],Lista_CUIT[#All],2,0)),"CUIT NO CARGADO")</f>
        <v>FEDERICO BOTINDARI</v>
      </c>
      <c r="G177" s="360">
        <v>28700</v>
      </c>
      <c r="H177" s="385" t="s">
        <v>1385</v>
      </c>
      <c r="I177" s="361">
        <f>IFERROR(IF(factura_c_mes990[[#This Row],[CUIT]]="","-",VLOOKUP(factura_c_mes990[[#This Row],[CUIT]],Lista_CUIT[#All],4,0)),"CUIT NO CARGADO")</f>
        <v>0</v>
      </c>
      <c r="L177" s="388"/>
      <c r="M177" s="125"/>
    </row>
    <row r="178" spans="2:13" x14ac:dyDescent="0.3">
      <c r="B178" s="50">
        <v>45264</v>
      </c>
      <c r="C178" s="42">
        <v>3</v>
      </c>
      <c r="D178" s="43">
        <v>801</v>
      </c>
      <c r="E178" s="44">
        <v>20086277523</v>
      </c>
      <c r="F178" s="53" t="str">
        <f>IFERROR(IF(factura_c_mes990[[#This Row],[CUIT]]="","-",VLOOKUP(factura_c_mes990[[#This Row],[CUIT]],Lista_CUIT[#All],2,0)),"CUIT NO CARGADO")</f>
        <v>ESTUDIO BOTINDARI</v>
      </c>
      <c r="G178" s="81">
        <v>42500</v>
      </c>
      <c r="H178" s="385" t="s">
        <v>1385</v>
      </c>
      <c r="I178" s="54">
        <f>IFERROR(IF(factura_c_mes990[[#This Row],[CUIT]]="","-",VLOOKUP(factura_c_mes990[[#This Row],[CUIT]],Lista_CUIT[#All],4,0)),"CUIT NO CARGADO")</f>
        <v>0</v>
      </c>
      <c r="L178" s="377"/>
    </row>
    <row r="179" spans="2:13" x14ac:dyDescent="0.3">
      <c r="B179" s="352" t="s">
        <v>1308</v>
      </c>
      <c r="C179" s="352">
        <v>4</v>
      </c>
      <c r="D179" s="352">
        <v>20</v>
      </c>
      <c r="E179" s="353">
        <v>20341462933</v>
      </c>
      <c r="F179" s="321" t="str">
        <f>IFERROR(IF(factura_c_mes990[[#This Row],[CUIT]]="","-",VLOOKUP(factura_c_mes990[[#This Row],[CUIT]],Lista_CUIT[#All],2,0)),"CUIT NO CARGADO")</f>
        <v>CASTIGLIONI MATIAS EZEQUIEL</v>
      </c>
      <c r="G179" s="347">
        <v>200000</v>
      </c>
      <c r="H179" s="388" t="s">
        <v>1391</v>
      </c>
      <c r="I179" s="322" t="str">
        <f>IFERROR(IF(factura_c_mes990[[#This Row],[CUIT]]="","-",VLOOKUP(factura_c_mes990[[#This Row],[CUIT]],Lista_CUIT[#All],4,0)),"CUIT NO CARGADO")</f>
        <v>BUENOS AIRES</v>
      </c>
    </row>
    <row r="180" spans="2:13" x14ac:dyDescent="0.3">
      <c r="B180" s="352" t="s">
        <v>1311</v>
      </c>
      <c r="C180" s="352">
        <v>1</v>
      </c>
      <c r="D180" s="352">
        <v>16</v>
      </c>
      <c r="E180" s="353">
        <v>20338344695</v>
      </c>
      <c r="F180" s="321" t="str">
        <f>IFERROR(IF(factura_c_mes990[[#This Row],[CUIT]]="","-",VLOOKUP(factura_c_mes990[[#This Row],[CUIT]],Lista_CUIT[#All],2,0)),"CUIT NO CARGADO")</f>
        <v>FUERTES DAMIAN MATIAS</v>
      </c>
      <c r="G180" s="347">
        <v>91000</v>
      </c>
      <c r="H180" s="322" t="str">
        <f>IFERROR(IF(factura_c_mes990[[#This Row],[CUIT]]="","-",VLOOKUP(factura_c_mes990[[#This Row],[CUIT]],Lista_CUIT[#All],3,0)),"CUIT NO CARGADO")</f>
        <v>INSUMO</v>
      </c>
      <c r="I180" s="322">
        <f>IFERROR(IF(factura_c_mes990[[#This Row],[CUIT]]="","-",VLOOKUP(factura_c_mes990[[#This Row],[CUIT]],Lista_CUIT[#All],4,0)),"CUIT NO CARGADO")</f>
        <v>0</v>
      </c>
    </row>
    <row r="181" spans="2:13" x14ac:dyDescent="0.3">
      <c r="B181" s="55" t="s">
        <v>110</v>
      </c>
      <c r="C181" s="55"/>
      <c r="D181" s="55"/>
      <c r="E181" s="55"/>
      <c r="F181" s="57"/>
      <c r="G181" s="58">
        <f>SUBTOTAL(109,factura_c_mes990[TOTAL])</f>
        <v>2507169</v>
      </c>
      <c r="H181" s="55"/>
      <c r="I181" s="55"/>
    </row>
    <row r="184" spans="2:13" ht="21" x14ac:dyDescent="0.3">
      <c r="B184" s="414" t="s">
        <v>25</v>
      </c>
      <c r="C184" s="414"/>
      <c r="D184" s="414"/>
      <c r="E184" s="414"/>
      <c r="F184" s="414"/>
      <c r="G184" s="414"/>
      <c r="H184" s="414"/>
      <c r="I184" s="414"/>
      <c r="K184" s="406">
        <v>510.12</v>
      </c>
      <c r="L184" s="385" t="s">
        <v>1390</v>
      </c>
      <c r="M184" s="367">
        <v>345000</v>
      </c>
    </row>
    <row r="185" spans="2:13" x14ac:dyDescent="0.3">
      <c r="B185" s="51" t="s">
        <v>0</v>
      </c>
      <c r="C185" s="51" t="s">
        <v>2</v>
      </c>
      <c r="D185" s="51" t="s">
        <v>74</v>
      </c>
      <c r="E185" s="51" t="s">
        <v>3</v>
      </c>
      <c r="F185" s="51" t="s">
        <v>4</v>
      </c>
      <c r="G185" s="52" t="s">
        <v>10</v>
      </c>
      <c r="H185" s="51" t="s">
        <v>13</v>
      </c>
      <c r="I185" s="51" t="s">
        <v>38</v>
      </c>
      <c r="K185" s="406">
        <v>500.05</v>
      </c>
      <c r="L185" s="385" t="s">
        <v>1383</v>
      </c>
      <c r="M185" s="367">
        <v>126899</v>
      </c>
    </row>
    <row r="186" spans="2:13" x14ac:dyDescent="0.3">
      <c r="B186" s="50"/>
      <c r="C186" s="42"/>
      <c r="D186" s="43"/>
      <c r="E186" s="44"/>
      <c r="F186" s="53" t="str">
        <f>IFERROR(IF(factura_c_mes1091[[#This Row],[CUIT]]="","-",VLOOKUP(factura_c_mes1091[[#This Row],[CUIT]],Lista_CUIT[#All],2,0)),"CUIT NO CARGADO")</f>
        <v>-</v>
      </c>
      <c r="G186" s="81"/>
      <c r="H186" s="378" t="str">
        <f>IFERROR(IF(factura_c_mes1091[[#This Row],[CUIT]]="","-",VLOOKUP(factura_c_mes1091[[#This Row],[CUIT]],Lista_CUIT[#All],3,0)),"CUIT NO CARGADO")</f>
        <v>-</v>
      </c>
      <c r="I186" s="54" t="str">
        <f>IFERROR(IF(factura_c_mes1091[[#This Row],[CUIT]]="","-",VLOOKUP(factura_c_mes1091[[#This Row],[CUIT]],Lista_CUIT[#All],4,0)),"CUIT NO CARGADO")</f>
        <v>-</v>
      </c>
      <c r="K186" s="406">
        <v>500.01600000000002</v>
      </c>
      <c r="L186" s="385" t="s">
        <v>1384</v>
      </c>
      <c r="M186" s="367"/>
    </row>
    <row r="187" spans="2:13" x14ac:dyDescent="0.3">
      <c r="B187" s="50">
        <v>45315</v>
      </c>
      <c r="C187" s="42">
        <v>4</v>
      </c>
      <c r="D187" s="43">
        <v>58</v>
      </c>
      <c r="E187" s="44">
        <v>23214737914</v>
      </c>
      <c r="F187" s="53" t="str">
        <f>IFERROR(IF(factura_c_mes1091[[#This Row],[CUIT]]="","-",VLOOKUP(factura_c_mes1091[[#This Row],[CUIT]],Lista_CUIT[#All],2,0)),"CUIT NO CARGADO")</f>
        <v>SBARRA GABRIELA BEATRIZ</v>
      </c>
      <c r="G187" s="81">
        <v>747820</v>
      </c>
      <c r="H187" s="390" t="s">
        <v>1398</v>
      </c>
      <c r="I187" s="54">
        <f>IFERROR(IF(factura_c_mes1091[[#This Row],[CUIT]]="","-",VLOOKUP(factura_c_mes1091[[#This Row],[CUIT]],Lista_CUIT[#All],4,0)),"CUIT NO CARGADO")</f>
        <v>0</v>
      </c>
      <c r="K187" s="406">
        <v>510.1</v>
      </c>
      <c r="L187" s="385" t="s">
        <v>1385</v>
      </c>
      <c r="M187" s="367">
        <v>147200</v>
      </c>
    </row>
    <row r="188" spans="2:13" x14ac:dyDescent="0.3">
      <c r="B188" s="50">
        <v>45293</v>
      </c>
      <c r="C188" s="42">
        <v>1</v>
      </c>
      <c r="D188" s="43">
        <v>20</v>
      </c>
      <c r="E188" s="44">
        <v>27387896150</v>
      </c>
      <c r="F188" s="53" t="str">
        <f>IFERROR(IF(factura_c_mes1091[[#This Row],[CUIT]]="","-",VLOOKUP(factura_c_mes1091[[#This Row],[CUIT]],Lista_CUIT[#All],2,0)),"CUIT NO CARGADO")</f>
        <v>LIPANOVICH MARIA SOL</v>
      </c>
      <c r="G188" s="81">
        <v>650000</v>
      </c>
      <c r="H188" s="375" t="s">
        <v>1389</v>
      </c>
      <c r="I188" s="54">
        <f>IFERROR(IF(factura_c_mes1091[[#This Row],[CUIT]]="","-",VLOOKUP(factura_c_mes1091[[#This Row],[CUIT]],Lista_CUIT[#All],4,0)),"CUIT NO CARGADO")</f>
        <v>0</v>
      </c>
      <c r="K188" s="406">
        <v>500.03500000000003</v>
      </c>
      <c r="L188" s="375" t="s">
        <v>1389</v>
      </c>
      <c r="M188" s="367">
        <v>2150000</v>
      </c>
    </row>
    <row r="189" spans="2:13" x14ac:dyDescent="0.3">
      <c r="B189" s="50">
        <v>45322</v>
      </c>
      <c r="C189" s="42">
        <v>1</v>
      </c>
      <c r="D189" s="43">
        <v>33</v>
      </c>
      <c r="E189" s="44">
        <v>20365938688</v>
      </c>
      <c r="F189" s="53" t="str">
        <f>IFERROR(IF(factura_c_mes1091[[#This Row],[CUIT]]="","-",VLOOKUP(factura_c_mes1091[[#This Row],[CUIT]],Lista_CUIT[#All],2,0)),"CUIT NO CARGADO")</f>
        <v>LIPANOVICH JUAN CRUZ</v>
      </c>
      <c r="G189" s="81">
        <v>750000</v>
      </c>
      <c r="H189" s="375" t="s">
        <v>1389</v>
      </c>
      <c r="I189" s="54">
        <f>IFERROR(IF(factura_c_mes1091[[#This Row],[CUIT]]="","-",VLOOKUP(factura_c_mes1091[[#This Row],[CUIT]],Lista_CUIT[#All],4,0)),"CUIT NO CARGADO")</f>
        <v>0</v>
      </c>
      <c r="K189" s="406"/>
      <c r="L189" s="385"/>
      <c r="M189" s="367"/>
    </row>
    <row r="190" spans="2:13" x14ac:dyDescent="0.3">
      <c r="B190" s="50">
        <v>45322</v>
      </c>
      <c r="C190" s="42">
        <v>1</v>
      </c>
      <c r="D190" s="43">
        <v>21</v>
      </c>
      <c r="E190" s="44">
        <v>27387896150</v>
      </c>
      <c r="F190" s="53" t="str">
        <f>IFERROR(IF(factura_c_mes1091[[#This Row],[CUIT]]="","-",VLOOKUP(factura_c_mes1091[[#This Row],[CUIT]],Lista_CUIT[#All],2,0)),"CUIT NO CARGADO")</f>
        <v>LIPANOVICH MARIA SOL</v>
      </c>
      <c r="G190" s="81">
        <v>750000</v>
      </c>
      <c r="H190" s="375" t="s">
        <v>1389</v>
      </c>
      <c r="I190" s="54">
        <f>IFERROR(IF(factura_c_mes1091[[#This Row],[CUIT]]="","-",VLOOKUP(factura_c_mes1091[[#This Row],[CUIT]],Lista_CUIT[#All],4,0)),"CUIT NO CARGADO")</f>
        <v>0</v>
      </c>
      <c r="K190" s="406"/>
      <c r="L190" s="386"/>
      <c r="M190" s="369"/>
    </row>
    <row r="191" spans="2:13" x14ac:dyDescent="0.3">
      <c r="B191" s="50">
        <v>45313</v>
      </c>
      <c r="C191" s="42">
        <v>2</v>
      </c>
      <c r="D191" s="43">
        <v>165</v>
      </c>
      <c r="E191" s="44">
        <v>20136544625</v>
      </c>
      <c r="F191" s="53" t="str">
        <f>IFERROR(IF(factura_c_mes1091[[#This Row],[CUIT]]="","-",VLOOKUP(factura_c_mes1091[[#This Row],[CUIT]],Lista_CUIT[#All],2,0)),"CUIT NO CARGADO")</f>
        <v>RODRIGUEZ DE LA FUEN HECTOR MARCELO</v>
      </c>
      <c r="G191" s="81">
        <v>650000</v>
      </c>
      <c r="H191" s="387" t="s">
        <v>1404</v>
      </c>
      <c r="I191" s="54">
        <f>IFERROR(IF(factura_c_mes1091[[#This Row],[CUIT]]="","-",VLOOKUP(factura_c_mes1091[[#This Row],[CUIT]],Lista_CUIT[#All],4,0)),"CUIT NO CARGADO")</f>
        <v>0</v>
      </c>
      <c r="K191" s="407"/>
      <c r="M191" s="367"/>
    </row>
    <row r="192" spans="2:13" x14ac:dyDescent="0.3">
      <c r="B192" s="305">
        <v>45314</v>
      </c>
      <c r="C192" s="276">
        <v>11</v>
      </c>
      <c r="D192" s="277">
        <v>73969</v>
      </c>
      <c r="E192" s="278">
        <v>30714867322</v>
      </c>
      <c r="F192" s="354" t="str">
        <f>IFERROR(IF(factura_c_mes1091[[#This Row],[CUIT]]="","-",VLOOKUP(factura_c_mes1091[[#This Row],[CUIT]],Lista_CUIT[#All],2,0)),"CUIT NO CARGADO")</f>
        <v>INITIUM SRL</v>
      </c>
      <c r="G192" s="355">
        <v>34999</v>
      </c>
      <c r="H192" s="385" t="s">
        <v>1383</v>
      </c>
      <c r="I192" s="356">
        <f>IFERROR(IF(factura_c_mes1091[[#This Row],[CUIT]]="","-",VLOOKUP(factura_c_mes1091[[#This Row],[CUIT]],Lista_CUIT[#All],4,0)),"CUIT NO CARGADO")</f>
        <v>0</v>
      </c>
      <c r="K192" s="406">
        <v>508.12</v>
      </c>
      <c r="L192" s="387" t="s">
        <v>1411</v>
      </c>
      <c r="M192" s="367">
        <v>650000</v>
      </c>
    </row>
    <row r="193" spans="2:13" x14ac:dyDescent="0.3">
      <c r="B193" s="305">
        <v>45315</v>
      </c>
      <c r="C193" s="276">
        <v>1</v>
      </c>
      <c r="D193" s="277">
        <v>909</v>
      </c>
      <c r="E193" s="278">
        <v>20279429347</v>
      </c>
      <c r="F193" s="354" t="str">
        <f>IFERROR(IF(factura_c_mes1091[[#This Row],[CUIT]]="","-",VLOOKUP(factura_c_mes1091[[#This Row],[CUIT]],Lista_CUIT[#All],2,0)),"CUIT NO CARGADO")</f>
        <v>GIMENEZ DAMIAN ANGEL</v>
      </c>
      <c r="G193" s="355">
        <v>22900</v>
      </c>
      <c r="H193" s="385" t="s">
        <v>1383</v>
      </c>
      <c r="I193" s="356">
        <f>IFERROR(IF(factura_c_mes1091[[#This Row],[CUIT]]="","-",VLOOKUP(factura_c_mes1091[[#This Row],[CUIT]],Lista_CUIT[#All],4,0)),"CUIT NO CARGADO")</f>
        <v>0</v>
      </c>
      <c r="K193" s="366"/>
      <c r="L193" s="385"/>
      <c r="M193" s="367"/>
    </row>
    <row r="194" spans="2:13" x14ac:dyDescent="0.3">
      <c r="B194" s="50">
        <v>45316</v>
      </c>
      <c r="C194" s="42">
        <v>1</v>
      </c>
      <c r="D194" s="43">
        <v>266</v>
      </c>
      <c r="E194" s="44">
        <v>27925308884</v>
      </c>
      <c r="F194" s="53" t="str">
        <f>IFERROR(IF(factura_c_mes1091[[#This Row],[CUIT]]="","-",VLOOKUP(factura_c_mes1091[[#This Row],[CUIT]],Lista_CUIT[#All],2,0)),"CUIT NO CARGADO")</f>
        <v>LOPEZ LOPEZ FLAVIA</v>
      </c>
      <c r="G194" s="81">
        <v>19000</v>
      </c>
      <c r="H194" s="385" t="s">
        <v>1383</v>
      </c>
      <c r="I194" s="54">
        <f>IFERROR(IF(factura_c_mes1091[[#This Row],[CUIT]]="","-",VLOOKUP(factura_c_mes1091[[#This Row],[CUIT]],Lista_CUIT[#All],4,0)),"CUIT NO CARGADO")</f>
        <v>0</v>
      </c>
      <c r="K194" s="406"/>
      <c r="L194" s="385"/>
      <c r="M194" s="367"/>
    </row>
    <row r="195" spans="2:13" x14ac:dyDescent="0.3">
      <c r="B195" s="305">
        <v>45316</v>
      </c>
      <c r="C195" s="276">
        <v>2</v>
      </c>
      <c r="D195" s="277">
        <v>121</v>
      </c>
      <c r="E195" s="278">
        <v>27125997835</v>
      </c>
      <c r="F195" s="354" t="str">
        <f>IFERROR(IF(factura_c_mes1091[[#This Row],[CUIT]]="","-",VLOOKUP(factura_c_mes1091[[#This Row],[CUIT]],Lista_CUIT[#All],2,0)),"CUIT NO CARGADO")</f>
        <v>DANSKY ULLMANN VIVIANA EVA YOLANDA</v>
      </c>
      <c r="G195" s="355">
        <v>50000</v>
      </c>
      <c r="H195" s="385" t="s">
        <v>1383</v>
      </c>
      <c r="I195" s="356">
        <f>IFERROR(IF(factura_c_mes1091[[#This Row],[CUIT]]="","-",VLOOKUP(factura_c_mes1091[[#This Row],[CUIT]],Lista_CUIT[#All],4,0)),"CUIT NO CARGADO")</f>
        <v>0</v>
      </c>
      <c r="K195" s="406"/>
      <c r="L195" s="385"/>
      <c r="M195" s="367"/>
    </row>
    <row r="196" spans="2:13" x14ac:dyDescent="0.3">
      <c r="B196" s="50">
        <v>45293</v>
      </c>
      <c r="C196" s="42">
        <v>3</v>
      </c>
      <c r="D196" s="43">
        <v>812</v>
      </c>
      <c r="E196" s="44">
        <v>20086277523</v>
      </c>
      <c r="F196" s="53" t="str">
        <f>IFERROR(IF(factura_c_mes1091[[#This Row],[CUIT]]="","-",VLOOKUP(factura_c_mes1091[[#This Row],[CUIT]],Lista_CUIT[#All],2,0)),"CUIT NO CARGADO")</f>
        <v>ESTUDIO BOTINDARI</v>
      </c>
      <c r="G196" s="81">
        <v>118500</v>
      </c>
      <c r="H196" s="385" t="s">
        <v>1385</v>
      </c>
      <c r="I196" s="54">
        <f>IFERROR(IF(factura_c_mes1091[[#This Row],[CUIT]]="","-",VLOOKUP(factura_c_mes1091[[#This Row],[CUIT]],Lista_CUIT[#All],4,0)),"CUIT NO CARGADO")</f>
        <v>0</v>
      </c>
      <c r="K196" s="366"/>
      <c r="L196" s="385"/>
      <c r="M196" s="367"/>
    </row>
    <row r="197" spans="2:13" x14ac:dyDescent="0.3">
      <c r="B197" s="50">
        <v>45302</v>
      </c>
      <c r="C197" s="42">
        <v>2</v>
      </c>
      <c r="D197" s="43">
        <v>709</v>
      </c>
      <c r="E197" s="44">
        <v>20400104094</v>
      </c>
      <c r="F197" s="53" t="str">
        <f>IFERROR(IF(factura_c_mes1091[[#This Row],[CUIT]]="","-",VLOOKUP(factura_c_mes1091[[#This Row],[CUIT]],Lista_CUIT[#All],2,0)),"CUIT NO CARGADO")</f>
        <v>FEDERICO BOTINDARI</v>
      </c>
      <c r="G197" s="81">
        <v>28700</v>
      </c>
      <c r="H197" s="385" t="s">
        <v>1385</v>
      </c>
      <c r="I197" s="54">
        <f>IFERROR(IF(factura_c_mes1091[[#This Row],[CUIT]]="","-",VLOOKUP(factura_c_mes1091[[#This Row],[CUIT]],Lista_CUIT[#All],4,0)),"CUIT NO CARGADO")</f>
        <v>0</v>
      </c>
      <c r="K197" s="406">
        <v>500.03199999999998</v>
      </c>
      <c r="L197" s="385" t="s">
        <v>1412</v>
      </c>
      <c r="M197" s="367">
        <v>747820</v>
      </c>
    </row>
    <row r="198" spans="2:13" x14ac:dyDescent="0.3">
      <c r="B198" s="50">
        <v>45300</v>
      </c>
      <c r="C198" s="42">
        <v>4</v>
      </c>
      <c r="D198" s="43">
        <v>21</v>
      </c>
      <c r="E198" s="44">
        <v>20341462933</v>
      </c>
      <c r="F198" s="53" t="str">
        <f>IFERROR(IF(factura_c_mes1091[[#This Row],[CUIT]]="","-",VLOOKUP(factura_c_mes1091[[#This Row],[CUIT]],Lista_CUIT[#All],2,0)),"CUIT NO CARGADO")</f>
        <v>CASTIGLIONI MATIAS EZEQUIEL</v>
      </c>
      <c r="G198" s="81">
        <v>345000</v>
      </c>
      <c r="H198" s="388" t="s">
        <v>1391</v>
      </c>
      <c r="I198" s="54" t="str">
        <f>IFERROR(IF(factura_c_mes1091[[#This Row],[CUIT]]="","-",VLOOKUP(factura_c_mes1091[[#This Row],[CUIT]],Lista_CUIT[#All],4,0)),"CUIT NO CARGADO")</f>
        <v>BUENOS AIRES</v>
      </c>
      <c r="K198" s="366"/>
      <c r="L198" s="385"/>
      <c r="M198" s="367"/>
    </row>
    <row r="199" spans="2:13" x14ac:dyDescent="0.3">
      <c r="B199" s="55" t="s">
        <v>110</v>
      </c>
      <c r="C199" s="55"/>
      <c r="D199" s="55"/>
      <c r="E199" s="55"/>
      <c r="F199" s="57"/>
      <c r="G199" s="58">
        <f>SUBTOTAL(109,factura_c_mes1091[TOTAL])</f>
        <v>4166919</v>
      </c>
      <c r="H199" s="55"/>
      <c r="I199" s="55"/>
      <c r="K199" s="366"/>
      <c r="L199" s="374"/>
      <c r="M199" s="366"/>
    </row>
    <row r="200" spans="2:13" x14ac:dyDescent="0.3">
      <c r="M200" s="125">
        <f>SUM(M184:M198)</f>
        <v>4166919</v>
      </c>
    </row>
    <row r="203" spans="2:13" ht="21" x14ac:dyDescent="0.3">
      <c r="B203" s="414" t="s">
        <v>25</v>
      </c>
      <c r="C203" s="414"/>
      <c r="D203" s="414"/>
      <c r="E203" s="414"/>
      <c r="F203" s="414"/>
      <c r="G203" s="414"/>
      <c r="H203" s="414"/>
      <c r="I203" s="414"/>
      <c r="K203" s="406">
        <v>510.12</v>
      </c>
      <c r="L203" s="385" t="s">
        <v>1390</v>
      </c>
      <c r="M203" s="367">
        <v>1200000</v>
      </c>
    </row>
    <row r="204" spans="2:13" x14ac:dyDescent="0.3">
      <c r="B204" s="51" t="s">
        <v>0</v>
      </c>
      <c r="C204" s="51" t="s">
        <v>2</v>
      </c>
      <c r="D204" s="51" t="s">
        <v>74</v>
      </c>
      <c r="E204" s="51" t="s">
        <v>3</v>
      </c>
      <c r="F204" s="51" t="s">
        <v>4</v>
      </c>
      <c r="G204" s="52" t="s">
        <v>10</v>
      </c>
      <c r="H204" s="51" t="s">
        <v>13</v>
      </c>
      <c r="I204" s="51" t="s">
        <v>38</v>
      </c>
      <c r="K204" s="406">
        <v>500.05</v>
      </c>
      <c r="L204" s="385" t="s">
        <v>1383</v>
      </c>
      <c r="M204" s="367">
        <v>120000</v>
      </c>
    </row>
    <row r="205" spans="2:13" x14ac:dyDescent="0.3">
      <c r="B205" s="50"/>
      <c r="C205" s="42"/>
      <c r="D205" s="43"/>
      <c r="E205" s="44"/>
      <c r="F205" s="53" t="str">
        <f>IFERROR(IF(factura_c_mes1192[[#This Row],[CUIT]]="","-",VLOOKUP(factura_c_mes1192[[#This Row],[CUIT]],Lista_CUIT[#All],2,0)),"CUIT NO CARGADO")</f>
        <v>-</v>
      </c>
      <c r="G205" s="81"/>
      <c r="H205" s="378" t="str">
        <f>IFERROR(IF(factura_c_mes1192[[#This Row],[CUIT]]="","-",VLOOKUP(factura_c_mes1192[[#This Row],[CUIT]],Lista_CUIT[#All],3,0)),"CUIT NO CARGADO")</f>
        <v>-</v>
      </c>
      <c r="I205" s="54" t="str">
        <f>IFERROR(IF(factura_c_mes1192[[#This Row],[CUIT]]="","-",VLOOKUP(factura_c_mes1192[[#This Row],[CUIT]],Lista_CUIT[#All],4,0)),"CUIT NO CARGADO")</f>
        <v>-</v>
      </c>
      <c r="K205" s="406">
        <v>500.01600000000002</v>
      </c>
      <c r="L205" s="385" t="s">
        <v>1384</v>
      </c>
      <c r="M205" s="367"/>
    </row>
    <row r="206" spans="2:13" x14ac:dyDescent="0.3">
      <c r="B206" s="50">
        <v>45336</v>
      </c>
      <c r="C206" s="42">
        <v>2</v>
      </c>
      <c r="D206" s="43">
        <v>232</v>
      </c>
      <c r="E206" s="44">
        <v>27173820866</v>
      </c>
      <c r="F206" s="53" t="str">
        <f>IFERROR(IF(factura_c_mes1192[[#This Row],[CUIT]]="","-",VLOOKUP(factura_c_mes1192[[#This Row],[CUIT]],Lista_CUIT[#All],2,0)),"CUIT NO CARGADO")</f>
        <v>FREIER SANDRA DANIELA</v>
      </c>
      <c r="G206" s="81">
        <v>500000</v>
      </c>
      <c r="H206" s="378" t="s">
        <v>1405</v>
      </c>
      <c r="I206" s="54">
        <f>IFERROR(IF(factura_c_mes1192[[#This Row],[CUIT]]="","-",VLOOKUP(factura_c_mes1192[[#This Row],[CUIT]],Lista_CUIT[#All],4,0)),"CUIT NO CARGADO")</f>
        <v>0</v>
      </c>
      <c r="K206" s="406">
        <v>510.1</v>
      </c>
      <c r="L206" s="385" t="s">
        <v>1385</v>
      </c>
      <c r="M206" s="367">
        <v>198745</v>
      </c>
    </row>
    <row r="207" spans="2:13" x14ac:dyDescent="0.3">
      <c r="B207" s="50">
        <v>45344</v>
      </c>
      <c r="C207" s="42">
        <v>4</v>
      </c>
      <c r="D207" s="43">
        <v>59</v>
      </c>
      <c r="E207" s="44">
        <v>23214737914</v>
      </c>
      <c r="F207" s="53" t="str">
        <f>IFERROR(IF(factura_c_mes1192[[#This Row],[CUIT]]="","-",VLOOKUP(factura_c_mes1192[[#This Row],[CUIT]],Lista_CUIT[#All],2,0)),"CUIT NO CARGADO")</f>
        <v>SBARRA GABRIELA BEATRIZ</v>
      </c>
      <c r="G207" s="81">
        <v>815740</v>
      </c>
      <c r="H207" s="390" t="s">
        <v>1398</v>
      </c>
      <c r="I207" s="54">
        <f>IFERROR(IF(factura_c_mes1192[[#This Row],[CUIT]]="","-",VLOOKUP(factura_c_mes1192[[#This Row],[CUIT]],Lista_CUIT[#All],4,0)),"CUIT NO CARGADO")</f>
        <v>0</v>
      </c>
      <c r="K207" s="406">
        <v>508.12</v>
      </c>
      <c r="L207" s="387" t="s">
        <v>1411</v>
      </c>
      <c r="M207" s="367">
        <v>500000</v>
      </c>
    </row>
    <row r="208" spans="2:13" x14ac:dyDescent="0.3">
      <c r="B208" s="50">
        <v>45342</v>
      </c>
      <c r="C208" s="42">
        <v>2</v>
      </c>
      <c r="D208" s="43">
        <v>167</v>
      </c>
      <c r="E208" s="44">
        <v>20136544625</v>
      </c>
      <c r="F208" s="53" t="str">
        <f>IFERROR(IF(factura_c_mes1192[[#This Row],[CUIT]]="","-",VLOOKUP(factura_c_mes1192[[#This Row],[CUIT]],Lista_CUIT[#All],2,0)),"CUIT NO CARGADO")</f>
        <v>RODRIGUEZ DE LA FUEN HECTOR MARCELO</v>
      </c>
      <c r="G208" s="81">
        <v>500000</v>
      </c>
      <c r="H208" s="387" t="s">
        <v>1404</v>
      </c>
      <c r="I208" s="54">
        <f>IFERROR(IF(factura_c_mes1192[[#This Row],[CUIT]]="","-",VLOOKUP(factura_c_mes1192[[#This Row],[CUIT]],Lista_CUIT[#All],4,0)),"CUIT NO CARGADO")</f>
        <v>0</v>
      </c>
      <c r="K208" s="406">
        <v>121.122</v>
      </c>
      <c r="L208" s="385" t="s">
        <v>1415</v>
      </c>
      <c r="M208" s="367">
        <v>118400</v>
      </c>
    </row>
    <row r="209" spans="2:13" x14ac:dyDescent="0.3">
      <c r="B209" s="50">
        <v>45328</v>
      </c>
      <c r="C209" s="42">
        <v>1</v>
      </c>
      <c r="D209" s="43">
        <v>278</v>
      </c>
      <c r="E209" s="44">
        <v>27925308884</v>
      </c>
      <c r="F209" s="53" t="str">
        <f>IFERROR(IF(factura_c_mes1192[[#This Row],[CUIT]]="","-",VLOOKUP(factura_c_mes1192[[#This Row],[CUIT]],Lista_CUIT[#All],2,0)),"CUIT NO CARGADO")</f>
        <v>LOPEZ LOPEZ FLAVIA</v>
      </c>
      <c r="G209" s="81">
        <v>12000</v>
      </c>
      <c r="H209" s="385" t="s">
        <v>1383</v>
      </c>
      <c r="I209" s="54">
        <f>IFERROR(IF(factura_c_mes1192[[#This Row],[CUIT]]="","-",VLOOKUP(factura_c_mes1192[[#This Row],[CUIT]],Lista_CUIT[#All],4,0)),"CUIT NO CARGADO")</f>
        <v>0</v>
      </c>
      <c r="K209" s="406">
        <v>500.03199999999998</v>
      </c>
      <c r="L209" s="385" t="s">
        <v>1412</v>
      </c>
      <c r="M209" s="367">
        <v>815740</v>
      </c>
    </row>
    <row r="210" spans="2:13" x14ac:dyDescent="0.3">
      <c r="B210" s="305">
        <v>45329</v>
      </c>
      <c r="C210" s="276">
        <v>2</v>
      </c>
      <c r="D210" s="277">
        <v>126</v>
      </c>
      <c r="E210" s="278">
        <v>27125997835</v>
      </c>
      <c r="F210" s="354" t="str">
        <f>IFERROR(IF(factura_c_mes1192[[#This Row],[CUIT]]="","-",VLOOKUP(factura_c_mes1192[[#This Row],[CUIT]],Lista_CUIT[#All],2,0)),"CUIT NO CARGADO")</f>
        <v>DANSKY ULLMANN VIVIANA EVA YOLANDA</v>
      </c>
      <c r="G210" s="355">
        <v>76000</v>
      </c>
      <c r="H210" s="388" t="s">
        <v>1383</v>
      </c>
      <c r="I210" s="356">
        <f>IFERROR(IF(factura_c_mes1192[[#This Row],[CUIT]]="","-",VLOOKUP(factura_c_mes1192[[#This Row],[CUIT]],Lista_CUIT[#All],4,0)),"CUIT NO CARGADO")</f>
        <v>0</v>
      </c>
      <c r="K210" s="407">
        <v>500.03399999999999</v>
      </c>
      <c r="L210" t="s">
        <v>1416</v>
      </c>
      <c r="M210" s="366">
        <v>500000</v>
      </c>
    </row>
    <row r="211" spans="2:13" x14ac:dyDescent="0.3">
      <c r="B211" s="50">
        <v>45349</v>
      </c>
      <c r="C211" s="42">
        <v>1</v>
      </c>
      <c r="D211" s="43">
        <v>322</v>
      </c>
      <c r="E211" s="44">
        <v>27925308868</v>
      </c>
      <c r="F211" s="53" t="str">
        <f>IFERROR(IF(factura_c_mes1192[[#This Row],[CUIT]]="","-",VLOOKUP(factura_c_mes1192[[#This Row],[CUIT]],Lista_CUIT[#All],2,0)),"CUIT NO CARGADO")</f>
        <v>LOPEZ MOLINA MARIA</v>
      </c>
      <c r="G211" s="81">
        <v>4000</v>
      </c>
      <c r="H211" s="385" t="s">
        <v>1383</v>
      </c>
      <c r="I211" s="54">
        <f>IFERROR(IF(factura_c_mes1192[[#This Row],[CUIT]]="","-",VLOOKUP(factura_c_mes1192[[#This Row],[CUIT]],Lista_CUIT[#All],4,0)),"CUIT NO CARGADO")</f>
        <v>0</v>
      </c>
    </row>
    <row r="212" spans="2:13" x14ac:dyDescent="0.3">
      <c r="B212" s="305">
        <v>45350</v>
      </c>
      <c r="C212" s="276">
        <v>2</v>
      </c>
      <c r="D212" s="277">
        <v>141</v>
      </c>
      <c r="E212" s="278">
        <v>20413948968</v>
      </c>
      <c r="F212" s="354" t="str">
        <f>IFERROR(IF(factura_c_mes1192[[#This Row],[CUIT]]="","-",VLOOKUP(factura_c_mes1192[[#This Row],[CUIT]],Lista_CUIT[#All],2,0)),"CUIT NO CARGADO")</f>
        <v>MOSCOSO SANTIAGO JULIAN</v>
      </c>
      <c r="G212" s="355">
        <v>28000</v>
      </c>
      <c r="H212" s="385" t="s">
        <v>1383</v>
      </c>
      <c r="I212" s="356">
        <f>IFERROR(IF(factura_c_mes1192[[#This Row],[CUIT]]="","-",VLOOKUP(factura_c_mes1192[[#This Row],[CUIT]],Lista_CUIT[#All],4,0)),"CUIT NO CARGADO")</f>
        <v>0</v>
      </c>
      <c r="K212" s="408"/>
      <c r="L212" s="412"/>
      <c r="M212" s="410">
        <f ca="1">SUM(M203:M217)</f>
        <v>3452885</v>
      </c>
    </row>
    <row r="213" spans="2:13" x14ac:dyDescent="0.3">
      <c r="B213" s="50">
        <v>45327</v>
      </c>
      <c r="C213" s="42">
        <v>3</v>
      </c>
      <c r="D213" s="43">
        <v>822</v>
      </c>
      <c r="E213" s="44">
        <v>20086277523</v>
      </c>
      <c r="F213" s="53" t="str">
        <f>IFERROR(IF(factura_c_mes1192[[#This Row],[CUIT]]="","-",VLOOKUP(factura_c_mes1192[[#This Row],[CUIT]],Lista_CUIT[#All],2,0)),"CUIT NO CARGADO")</f>
        <v>ESTUDIO BOTINDARI</v>
      </c>
      <c r="G213" s="81">
        <v>160000</v>
      </c>
      <c r="H213" s="385" t="s">
        <v>1385</v>
      </c>
      <c r="I213" s="54">
        <f>IFERROR(IF(factura_c_mes1192[[#This Row],[CUIT]]="","-",VLOOKUP(factura_c_mes1192[[#This Row],[CUIT]],Lista_CUIT[#All],4,0)),"CUIT NO CARGADO")</f>
        <v>0</v>
      </c>
      <c r="K213" s="407"/>
      <c r="L213" s="388"/>
      <c r="M213" s="125"/>
    </row>
    <row r="214" spans="2:13" x14ac:dyDescent="0.3">
      <c r="B214" s="305">
        <v>45342</v>
      </c>
      <c r="C214" s="276">
        <v>2</v>
      </c>
      <c r="D214" s="277">
        <v>726</v>
      </c>
      <c r="E214" s="278">
        <v>20400104094</v>
      </c>
      <c r="F214" s="354" t="str">
        <f>IFERROR(IF(factura_c_mes1192[[#This Row],[CUIT]]="","-",VLOOKUP(factura_c_mes1192[[#This Row],[CUIT]],Lista_CUIT[#All],2,0)),"CUIT NO CARGADO")</f>
        <v>FEDERICO BOTINDARI</v>
      </c>
      <c r="G214" s="355">
        <v>38745</v>
      </c>
      <c r="H214" s="385" t="s">
        <v>1385</v>
      </c>
      <c r="I214" s="356">
        <f>IFERROR(IF(factura_c_mes1192[[#This Row],[CUIT]]="","-",VLOOKUP(factura_c_mes1192[[#This Row],[CUIT]],Lista_CUIT[#All],4,0)),"CUIT NO CARGADO")</f>
        <v>0</v>
      </c>
    </row>
    <row r="215" spans="2:13" x14ac:dyDescent="0.3">
      <c r="B215" s="50">
        <v>45328</v>
      </c>
      <c r="C215" s="42">
        <v>4</v>
      </c>
      <c r="D215" s="43">
        <v>22</v>
      </c>
      <c r="E215" s="44">
        <v>20341462933</v>
      </c>
      <c r="F215" s="53" t="str">
        <f>IFERROR(IF(factura_c_mes1192[[#This Row],[CUIT]]="","-",VLOOKUP(factura_c_mes1192[[#This Row],[CUIT]],Lista_CUIT[#All],2,0)),"CUIT NO CARGADO")</f>
        <v>CASTIGLIONI MATIAS EZEQUIEL</v>
      </c>
      <c r="G215" s="81">
        <v>630000</v>
      </c>
      <c r="H215" s="388" t="s">
        <v>1391</v>
      </c>
      <c r="I215" s="54" t="str">
        <f>IFERROR(IF(factura_c_mes1192[[#This Row],[CUIT]]="","-",VLOOKUP(factura_c_mes1192[[#This Row],[CUIT]],Lista_CUIT[#All],4,0)),"CUIT NO CARGADO")</f>
        <v>BUENOS AIRES</v>
      </c>
      <c r="L215" s="388"/>
      <c r="M215" s="125"/>
    </row>
    <row r="216" spans="2:13" x14ac:dyDescent="0.3">
      <c r="B216" s="50">
        <v>45330</v>
      </c>
      <c r="C216" s="42">
        <v>4</v>
      </c>
      <c r="D216" s="43">
        <v>23</v>
      </c>
      <c r="E216" s="44">
        <v>20341462933</v>
      </c>
      <c r="F216" s="53" t="str">
        <f>IFERROR(IF(factura_c_mes1192[[#This Row],[CUIT]]="","-",VLOOKUP(factura_c_mes1192[[#This Row],[CUIT]],Lista_CUIT[#All],2,0)),"CUIT NO CARGADO")</f>
        <v>CASTIGLIONI MATIAS EZEQUIEL</v>
      </c>
      <c r="G216" s="81">
        <v>570000</v>
      </c>
      <c r="H216" s="385" t="s">
        <v>1391</v>
      </c>
      <c r="I216" s="54" t="str">
        <f>IFERROR(IF(factura_c_mes1192[[#This Row],[CUIT]]="","-",VLOOKUP(factura_c_mes1192[[#This Row],[CUIT]],Lista_CUIT[#All],4,0)),"CUIT NO CARGADO")</f>
        <v>BUENOS AIRES</v>
      </c>
    </row>
    <row r="217" spans="2:13" x14ac:dyDescent="0.3">
      <c r="B217" s="50">
        <v>45349</v>
      </c>
      <c r="C217" s="42">
        <v>1</v>
      </c>
      <c r="D217" s="43">
        <v>19</v>
      </c>
      <c r="E217" s="44">
        <v>20338344695</v>
      </c>
      <c r="F217" s="53" t="str">
        <f>IFERROR(IF(factura_c_mes1192[[#This Row],[CUIT]]="","-",VLOOKUP(factura_c_mes1192[[#This Row],[CUIT]],Lista_CUIT[#All],2,0)),"CUIT NO CARGADO")</f>
        <v>FUERTES DAMIAN MATIAS</v>
      </c>
      <c r="G217" s="81">
        <v>118400</v>
      </c>
      <c r="H217" s="54" t="str">
        <f>IFERROR(IF(factura_c_mes1192[[#This Row],[CUIT]]="","-",VLOOKUP(factura_c_mes1192[[#This Row],[CUIT]],Lista_CUIT[#All],3,0)),"CUIT NO CARGADO")</f>
        <v>INSUMO</v>
      </c>
      <c r="I217" s="54">
        <f>IFERROR(IF(factura_c_mes1192[[#This Row],[CUIT]]="","-",VLOOKUP(factura_c_mes1192[[#This Row],[CUIT]],Lista_CUIT[#All],4,0)),"CUIT NO CARGADO")</f>
        <v>0</v>
      </c>
      <c r="L217" s="388"/>
      <c r="M217" s="125"/>
    </row>
    <row r="218" spans="2:13" x14ac:dyDescent="0.3">
      <c r="B218" s="55" t="s">
        <v>110</v>
      </c>
      <c r="C218" s="55"/>
      <c r="D218" s="55"/>
      <c r="E218" s="55"/>
      <c r="F218" s="57"/>
      <c r="G218" s="58">
        <f>SUBTOTAL(109,factura_c_mes1192[TOTAL])</f>
        <v>3452885</v>
      </c>
      <c r="H218" s="55"/>
      <c r="I218" s="55"/>
    </row>
    <row r="221" spans="2:13" ht="21" x14ac:dyDescent="0.3">
      <c r="B221" s="414" t="s">
        <v>25</v>
      </c>
      <c r="C221" s="414"/>
      <c r="D221" s="414"/>
      <c r="E221" s="414"/>
      <c r="F221" s="414"/>
      <c r="G221" s="414"/>
      <c r="H221" s="414"/>
      <c r="I221" s="414"/>
      <c r="K221" s="406">
        <v>510.12</v>
      </c>
      <c r="L221" s="385" t="s">
        <v>1390</v>
      </c>
      <c r="M221" s="367">
        <v>1205000</v>
      </c>
    </row>
    <row r="222" spans="2:13" x14ac:dyDescent="0.3">
      <c r="B222" s="51" t="s">
        <v>0</v>
      </c>
      <c r="C222" s="51" t="s">
        <v>2</v>
      </c>
      <c r="D222" s="51" t="s">
        <v>74</v>
      </c>
      <c r="E222" s="51" t="s">
        <v>3</v>
      </c>
      <c r="F222" s="51" t="s">
        <v>4</v>
      </c>
      <c r="G222" s="52" t="s">
        <v>10</v>
      </c>
      <c r="H222" s="51" t="s">
        <v>13</v>
      </c>
      <c r="I222" s="51" t="s">
        <v>38</v>
      </c>
      <c r="K222" s="406">
        <v>500.05</v>
      </c>
      <c r="L222" s="385" t="s">
        <v>1383</v>
      </c>
      <c r="M222" s="367">
        <v>160403.22</v>
      </c>
    </row>
    <row r="223" spans="2:13" x14ac:dyDescent="0.3">
      <c r="B223" s="50">
        <v>45376</v>
      </c>
      <c r="C223" s="42">
        <v>4</v>
      </c>
      <c r="D223" s="43">
        <v>60</v>
      </c>
      <c r="E223" s="44">
        <v>23214737914</v>
      </c>
      <c r="F223" s="53" t="str">
        <f>IFERROR(IF(factura_c_mes1293[[#This Row],[CUIT]]="","-",VLOOKUP(factura_c_mes1293[[#This Row],[CUIT]],Lista_CUIT[#All],2,0)),"CUIT NO CARGADO")</f>
        <v>SBARRA GABRIELA BEATRIZ</v>
      </c>
      <c r="G223" s="81">
        <v>817630</v>
      </c>
      <c r="H223" s="390" t="s">
        <v>1398</v>
      </c>
      <c r="I223" s="54">
        <f>IFERROR(IF(factura_c_mes1293[[#This Row],[CUIT]]="","-",VLOOKUP(factura_c_mes1293[[#This Row],[CUIT]],Lista_CUIT[#All],4,0)),"CUIT NO CARGADO")</f>
        <v>0</v>
      </c>
      <c r="K223" s="406">
        <v>510.1</v>
      </c>
      <c r="L223" s="385" t="s">
        <v>1385</v>
      </c>
      <c r="M223" s="367">
        <v>198745</v>
      </c>
    </row>
    <row r="224" spans="2:13" x14ac:dyDescent="0.3">
      <c r="B224" s="50">
        <v>45352</v>
      </c>
      <c r="C224" s="352">
        <v>1</v>
      </c>
      <c r="D224" s="352">
        <v>34</v>
      </c>
      <c r="E224" s="353">
        <v>20365938688</v>
      </c>
      <c r="F224" s="321" t="str">
        <f>IFERROR(IF(factura_c_mes1293[[#This Row],[CUIT]]="","-",VLOOKUP(factura_c_mes1293[[#This Row],[CUIT]],Lista_CUIT[#All],2,0)),"CUIT NO CARGADO")</f>
        <v>LIPANOVICH JUAN CRUZ</v>
      </c>
      <c r="G224" s="347">
        <v>750000</v>
      </c>
      <c r="H224" s="375" t="s">
        <v>1389</v>
      </c>
      <c r="I224" s="322">
        <f>IFERROR(IF(factura_c_mes1293[[#This Row],[CUIT]]="","-",VLOOKUP(factura_c_mes1293[[#This Row],[CUIT]],Lista_CUIT[#All],4,0)),"CUIT NO CARGADO")</f>
        <v>0</v>
      </c>
      <c r="K224" s="406">
        <v>500.03500000000003</v>
      </c>
      <c r="L224" s="375" t="s">
        <v>1389</v>
      </c>
      <c r="M224" s="367">
        <v>1500000</v>
      </c>
    </row>
    <row r="225" spans="2:13" x14ac:dyDescent="0.3">
      <c r="B225" s="50">
        <v>45352</v>
      </c>
      <c r="C225" s="352">
        <v>1</v>
      </c>
      <c r="D225" s="352">
        <v>22</v>
      </c>
      <c r="E225" s="353">
        <v>27387896150</v>
      </c>
      <c r="F225" s="321" t="str">
        <f>IFERROR(IF(factura_c_mes1293[[#This Row],[CUIT]]="","-",VLOOKUP(factura_c_mes1293[[#This Row],[CUIT]],Lista_CUIT[#All],2,0)),"CUIT NO CARGADO")</f>
        <v>LIPANOVICH MARIA SOL</v>
      </c>
      <c r="G225" s="347">
        <v>750000</v>
      </c>
      <c r="H225" s="375" t="s">
        <v>1389</v>
      </c>
      <c r="I225" s="322">
        <f>IFERROR(IF(factura_c_mes1293[[#This Row],[CUIT]]="","-",VLOOKUP(factura_c_mes1293[[#This Row],[CUIT]],Lista_CUIT[#All],4,0)),"CUIT NO CARGADO")</f>
        <v>0</v>
      </c>
      <c r="K225" s="406">
        <v>500.03</v>
      </c>
      <c r="L225" s="385" t="s">
        <v>1413</v>
      </c>
      <c r="M225" s="367">
        <v>600000</v>
      </c>
    </row>
    <row r="226" spans="2:13" x14ac:dyDescent="0.3">
      <c r="B226" s="305">
        <v>45353</v>
      </c>
      <c r="C226" s="357">
        <v>2</v>
      </c>
      <c r="D226" s="357">
        <v>168</v>
      </c>
      <c r="E226" s="358">
        <v>20136544625</v>
      </c>
      <c r="F226" s="359" t="str">
        <f>IFERROR(IF(factura_c_mes1293[[#This Row],[CUIT]]="","-",VLOOKUP(factura_c_mes1293[[#This Row],[CUIT]],Lista_CUIT[#All],2,0)),"CUIT NO CARGADO")</f>
        <v>RODRIGUEZ DE LA FUEN HECTOR MARCELO</v>
      </c>
      <c r="G226" s="360">
        <v>350000</v>
      </c>
      <c r="H226" s="387" t="s">
        <v>1404</v>
      </c>
      <c r="I226" s="361">
        <f>IFERROR(IF(factura_c_mes1293[[#This Row],[CUIT]]="","-",VLOOKUP(factura_c_mes1293[[#This Row],[CUIT]],Lista_CUIT[#All],4,0)),"CUIT NO CARGADO")</f>
        <v>0</v>
      </c>
      <c r="K226" s="406">
        <v>508.12</v>
      </c>
      <c r="L226" s="387" t="s">
        <v>1411</v>
      </c>
      <c r="M226" s="367">
        <v>2250000</v>
      </c>
    </row>
    <row r="227" spans="2:13" x14ac:dyDescent="0.3">
      <c r="B227" s="50">
        <v>45381</v>
      </c>
      <c r="C227" s="42">
        <v>2</v>
      </c>
      <c r="D227" s="43">
        <v>169</v>
      </c>
      <c r="E227" s="44">
        <v>20136544625</v>
      </c>
      <c r="F227" s="53" t="str">
        <f>IFERROR(IF(factura_c_mes1293[[#This Row],[CUIT]]="","-",VLOOKUP(factura_c_mes1293[[#This Row],[CUIT]],Lista_CUIT[#All],2,0)),"CUIT NO CARGADO")</f>
        <v>RODRIGUEZ DE LA FUEN HECTOR MARCELO</v>
      </c>
      <c r="G227" s="81">
        <v>1780000</v>
      </c>
      <c r="H227" s="387" t="s">
        <v>1404</v>
      </c>
      <c r="I227" s="54">
        <f>IFERROR(IF(factura_c_mes1293[[#This Row],[CUIT]]="","-",VLOOKUP(factura_c_mes1293[[#This Row],[CUIT]],Lista_CUIT[#All],4,0)),"CUIT NO CARGADO")</f>
        <v>0</v>
      </c>
      <c r="K227" s="406">
        <v>500.03199999999998</v>
      </c>
      <c r="L227" s="385" t="s">
        <v>1412</v>
      </c>
      <c r="M227" s="367">
        <v>817630</v>
      </c>
    </row>
    <row r="228" spans="2:13" x14ac:dyDescent="0.3">
      <c r="B228" s="50">
        <v>45382</v>
      </c>
      <c r="C228" s="42">
        <v>2</v>
      </c>
      <c r="D228" s="43">
        <v>170</v>
      </c>
      <c r="E228" s="44">
        <v>20136544625</v>
      </c>
      <c r="F228" s="53" t="str">
        <f>IFERROR(IF(factura_c_mes1293[[#This Row],[CUIT]]="","-",VLOOKUP(factura_c_mes1293[[#This Row],[CUIT]],Lista_CUIT[#All],2,0)),"CUIT NO CARGADO")</f>
        <v>RODRIGUEZ DE LA FUEN HECTOR MARCELO</v>
      </c>
      <c r="G228" s="81">
        <v>120000</v>
      </c>
      <c r="H228" s="387" t="s">
        <v>1404</v>
      </c>
      <c r="I228" s="54">
        <f>IFERROR(IF(factura_c_mes1293[[#This Row],[CUIT]]="","-",VLOOKUP(factura_c_mes1293[[#This Row],[CUIT]],Lista_CUIT[#All],4,0)),"CUIT NO CARGADO")</f>
        <v>0</v>
      </c>
      <c r="K228" s="407"/>
      <c r="M228" s="125">
        <f ca="1">SUM(M221:M236)</f>
        <v>6731778.2199999997</v>
      </c>
    </row>
    <row r="229" spans="2:13" x14ac:dyDescent="0.3">
      <c r="B229" s="50">
        <v>45359</v>
      </c>
      <c r="C229" s="352">
        <v>2</v>
      </c>
      <c r="D229" s="352">
        <v>749</v>
      </c>
      <c r="E229" s="353">
        <v>27330645356</v>
      </c>
      <c r="F229" s="321" t="str">
        <f>IFERROR(IF(factura_c_mes1293[[#This Row],[CUIT]]="","-",VLOOKUP(factura_c_mes1293[[#This Row],[CUIT]],Lista_CUIT[#All],2,0)),"CUIT NO CARGADO")</f>
        <v>FLORES CECILIA NOEMI</v>
      </c>
      <c r="G229" s="347">
        <v>31499</v>
      </c>
      <c r="H229" s="388" t="s">
        <v>1383</v>
      </c>
      <c r="I229" s="322">
        <f>IFERROR(IF(factura_c_mes1293[[#This Row],[CUIT]]="","-",VLOOKUP(factura_c_mes1293[[#This Row],[CUIT]],Lista_CUIT[#All],4,0)),"CUIT NO CARGADO")</f>
        <v>0</v>
      </c>
    </row>
    <row r="230" spans="2:13" x14ac:dyDescent="0.3">
      <c r="B230" s="305">
        <v>45360</v>
      </c>
      <c r="C230" s="357">
        <v>7</v>
      </c>
      <c r="D230" s="357">
        <v>366034</v>
      </c>
      <c r="E230" s="358">
        <v>20259150249</v>
      </c>
      <c r="F230" s="359" t="str">
        <f>IFERROR(IF(factura_c_mes1293[[#This Row],[CUIT]]="","-",VLOOKUP(factura_c_mes1293[[#This Row],[CUIT]],Lista_CUIT[#All],2,0)),"CUIT NO CARGADO")</f>
        <v>BIANCHI CRISTIAN MAXIMILIANO</v>
      </c>
      <c r="G230" s="360">
        <v>62904.22</v>
      </c>
      <c r="H230" s="404" t="str">
        <f>IFERROR(IF(factura_c_mes1293[[#This Row],[CUIT]]="","-",VLOOKUP(factura_c_mes1293[[#This Row],[CUIT]],Lista_CUIT[#All],3,0)),"CUIT NO CARGADO")</f>
        <v>Gastos Varios</v>
      </c>
      <c r="I230" s="361">
        <f>IFERROR(IF(factura_c_mes1293[[#This Row],[CUIT]]="","-",VLOOKUP(factura_c_mes1293[[#This Row],[CUIT]],Lista_CUIT[#All],4,0)),"CUIT NO CARGADO")</f>
        <v>0</v>
      </c>
      <c r="K230" s="407"/>
      <c r="L230" s="388"/>
      <c r="M230" s="125"/>
    </row>
    <row r="231" spans="2:13" x14ac:dyDescent="0.3">
      <c r="B231" s="305">
        <v>45363</v>
      </c>
      <c r="C231" s="357">
        <v>2</v>
      </c>
      <c r="D231" s="357">
        <v>130</v>
      </c>
      <c r="E231" s="358">
        <v>27125997835</v>
      </c>
      <c r="F231" s="359" t="str">
        <f>IFERROR(IF(factura_c_mes1293[[#This Row],[CUIT]]="","-",VLOOKUP(factura_c_mes1293[[#This Row],[CUIT]],Lista_CUIT[#All],2,0)),"CUIT NO CARGADO")</f>
        <v>DANSKY ULLMANN VIVIANA EVA YOLANDA</v>
      </c>
      <c r="G231" s="360">
        <v>66000</v>
      </c>
      <c r="H231" s="385" t="s">
        <v>1383</v>
      </c>
      <c r="I231" s="361">
        <f>IFERROR(IF(factura_c_mes1293[[#This Row],[CUIT]]="","-",VLOOKUP(factura_c_mes1293[[#This Row],[CUIT]],Lista_CUIT[#All],4,0)),"CUIT NO CARGADO")</f>
        <v>0</v>
      </c>
      <c r="K231" s="407"/>
      <c r="L231" s="388"/>
      <c r="M231" s="125"/>
    </row>
    <row r="232" spans="2:13" x14ac:dyDescent="0.3">
      <c r="B232" s="50">
        <v>45355</v>
      </c>
      <c r="C232" s="352">
        <v>3</v>
      </c>
      <c r="D232" s="352">
        <v>831</v>
      </c>
      <c r="E232" s="353">
        <v>20086277523</v>
      </c>
      <c r="F232" s="321" t="str">
        <f>IFERROR(IF(factura_c_mes1293[[#This Row],[CUIT]]="","-",VLOOKUP(factura_c_mes1293[[#This Row],[CUIT]],Lista_CUIT[#All],2,0)),"CUIT NO CARGADO")</f>
        <v>ESTUDIO BOTINDARI</v>
      </c>
      <c r="G232" s="347">
        <v>160000</v>
      </c>
      <c r="H232" s="385" t="s">
        <v>1385</v>
      </c>
      <c r="I232" s="322">
        <f>IFERROR(IF(factura_c_mes1293[[#This Row],[CUIT]]="","-",VLOOKUP(factura_c_mes1293[[#This Row],[CUIT]],Lista_CUIT[#All],4,0)),"CUIT NO CARGADO")</f>
        <v>0</v>
      </c>
      <c r="K232" s="407"/>
      <c r="L232" s="388"/>
      <c r="M232" s="125"/>
    </row>
    <row r="233" spans="2:13" x14ac:dyDescent="0.3">
      <c r="B233" s="305">
        <v>45372</v>
      </c>
      <c r="C233" s="276">
        <v>2</v>
      </c>
      <c r="D233" s="277">
        <v>743</v>
      </c>
      <c r="E233" s="278">
        <v>20400104094</v>
      </c>
      <c r="F233" s="354" t="str">
        <f>IFERROR(IF(factura_c_mes1293[[#This Row],[CUIT]]="","-",VLOOKUP(factura_c_mes1293[[#This Row],[CUIT]],Lista_CUIT[#All],2,0)),"CUIT NO CARGADO")</f>
        <v>FEDERICO BOTINDARI</v>
      </c>
      <c r="G233" s="355">
        <v>38745</v>
      </c>
      <c r="H233" s="385" t="s">
        <v>1385</v>
      </c>
      <c r="I233" s="356">
        <f>IFERROR(IF(factura_c_mes1293[[#This Row],[CUIT]]="","-",VLOOKUP(factura_c_mes1293[[#This Row],[CUIT]],Lista_CUIT[#All],4,0)),"CUIT NO CARGADO")</f>
        <v>0</v>
      </c>
      <c r="K233" s="407"/>
      <c r="L233" s="388"/>
      <c r="M233" s="125"/>
    </row>
    <row r="234" spans="2:13" x14ac:dyDescent="0.3">
      <c r="B234" s="50">
        <v>45352</v>
      </c>
      <c r="C234" s="352">
        <v>4</v>
      </c>
      <c r="D234" s="352">
        <v>24</v>
      </c>
      <c r="E234" s="353">
        <v>20341462933</v>
      </c>
      <c r="F234" s="321" t="str">
        <f>IFERROR(IF(factura_c_mes1293[[#This Row],[CUIT]]="","-",VLOOKUP(factura_c_mes1293[[#This Row],[CUIT]],Lista_CUIT[#All],2,0)),"CUIT NO CARGADO")</f>
        <v>CASTIGLIONI MATIAS EZEQUIEL</v>
      </c>
      <c r="G234" s="347">
        <v>1205000</v>
      </c>
      <c r="H234" s="385" t="s">
        <v>1391</v>
      </c>
      <c r="I234" s="322" t="str">
        <f>IFERROR(IF(factura_c_mes1293[[#This Row],[CUIT]]="","-",VLOOKUP(factura_c_mes1293[[#This Row],[CUIT]],Lista_CUIT[#All],4,0)),"CUIT NO CARGADO")</f>
        <v>BUENOS AIRES</v>
      </c>
    </row>
    <row r="235" spans="2:13" x14ac:dyDescent="0.3">
      <c r="B235" s="50">
        <v>45371</v>
      </c>
      <c r="C235" s="352">
        <v>2</v>
      </c>
      <c r="D235" s="352">
        <v>1</v>
      </c>
      <c r="E235" s="353">
        <v>23118167279</v>
      </c>
      <c r="F235" s="321" t="str">
        <f>IFERROR(IF(factura_c_mes1293[[#This Row],[CUIT]]="","-",VLOOKUP(factura_c_mes1293[[#This Row],[CUIT]],Lista_CUIT[#All],2,0)),"CUIT NO CARGADO")</f>
        <v>ABELEDO ENRIQUE JUAN</v>
      </c>
      <c r="G235" s="347">
        <v>600000</v>
      </c>
      <c r="H235" s="390" t="s">
        <v>1386</v>
      </c>
      <c r="I235" s="322">
        <f>IFERROR(IF(factura_c_mes1293[[#This Row],[CUIT]]="","-",VLOOKUP(factura_c_mes1293[[#This Row],[CUIT]],Lista_CUIT[#All],4,0)),"CUIT NO CARGADO")</f>
        <v>0</v>
      </c>
      <c r="K235" s="407"/>
      <c r="L235" s="388"/>
      <c r="M235" s="125"/>
    </row>
    <row r="236" spans="2:13" x14ac:dyDescent="0.3">
      <c r="B236" s="55" t="s">
        <v>110</v>
      </c>
      <c r="C236" s="55"/>
      <c r="D236" s="55"/>
      <c r="E236" s="55"/>
      <c r="F236" s="57"/>
      <c r="G236" s="58">
        <f>SUBTOTAL(109,factura_c_mes1293[TOTAL])</f>
        <v>6731778.2199999997</v>
      </c>
      <c r="H236" s="55"/>
      <c r="I236" s="55"/>
      <c r="K236" s="407"/>
      <c r="L236" s="377"/>
    </row>
    <row r="239" spans="2:13" x14ac:dyDescent="0.3">
      <c r="K239" s="407">
        <v>500.03100000000001</v>
      </c>
      <c r="L239" t="s">
        <v>1406</v>
      </c>
    </row>
    <row r="240" spans="2:13" x14ac:dyDescent="0.3">
      <c r="K240" s="407">
        <v>500.03300000000002</v>
      </c>
      <c r="L240" t="s">
        <v>1407</v>
      </c>
    </row>
    <row r="241" spans="11:12" x14ac:dyDescent="0.3">
      <c r="K241" s="407">
        <v>500.03399999999999</v>
      </c>
      <c r="L241" t="s">
        <v>1416</v>
      </c>
    </row>
    <row r="242" spans="11:12" x14ac:dyDescent="0.3">
      <c r="K242" s="407">
        <v>500.03500000000003</v>
      </c>
      <c r="L242" t="s">
        <v>1408</v>
      </c>
    </row>
    <row r="243" spans="11:12" x14ac:dyDescent="0.3">
      <c r="K243" s="407">
        <v>500.03699999999998</v>
      </c>
      <c r="L243" t="s">
        <v>1409</v>
      </c>
    </row>
    <row r="244" spans="11:12" x14ac:dyDescent="0.3">
      <c r="K244" s="407">
        <v>507.1</v>
      </c>
      <c r="L244" t="s">
        <v>1410</v>
      </c>
    </row>
    <row r="245" spans="11:12" x14ac:dyDescent="0.3">
      <c r="K245" s="407">
        <v>510.12</v>
      </c>
      <c r="L245" t="s">
        <v>1390</v>
      </c>
    </row>
    <row r="246" spans="11:12" x14ac:dyDescent="0.3">
      <c r="K246" s="407"/>
    </row>
    <row r="247" spans="11:12" x14ac:dyDescent="0.3">
      <c r="K247" s="407"/>
    </row>
  </sheetData>
  <mergeCells count="16">
    <mergeCell ref="B3:I3"/>
    <mergeCell ref="B19:I19"/>
    <mergeCell ref="B51:I51"/>
    <mergeCell ref="B70:I70"/>
    <mergeCell ref="H88:I88"/>
    <mergeCell ref="B88:G88"/>
    <mergeCell ref="B184:I184"/>
    <mergeCell ref="B203:I203"/>
    <mergeCell ref="B221:I221"/>
    <mergeCell ref="B111:I111"/>
    <mergeCell ref="H130:I130"/>
    <mergeCell ref="B130:G130"/>
    <mergeCell ref="B163:G163"/>
    <mergeCell ref="H163:I163"/>
    <mergeCell ref="B151:G151"/>
    <mergeCell ref="H151:I151"/>
  </mergeCells>
  <dataValidations count="4">
    <dataValidation type="date" allowBlank="1" showInputMessage="1" showErrorMessage="1" sqref="B5:B16 B21:B47 B53:B66 B72:B84 B90:B107 B113:B126 B132:B147 B153:B159 B165:B180 B186:B198 B205:B217 B223:B235" xr:uid="{B94CCF42-F525-4209-9544-EBAD161E67BE}">
      <formula1>40179</formula1>
      <formula2>TODAY()</formula2>
    </dataValidation>
    <dataValidation type="whole" allowBlank="1" showInputMessage="1" showErrorMessage="1" sqref="E5:E16 E21:E47 E53:E66 E72:E84 E90:E107 E113:E126 E132:E147 E153:E159 E165:E180 E186:E198 E205:E217 E223:E235" xr:uid="{886786F3-CD01-47CD-B087-FA034CA39FAC}">
      <formula1>20000000000</formula1>
      <formula2>33999999999</formula2>
    </dataValidation>
    <dataValidation type="whole" allowBlank="1" showInputMessage="1" showErrorMessage="1" sqref="D5:D16 D21:D47 D53:D66 D72:D84 D90:D107 D113:D126 D132:D147 D153:D159 D165:D180 D186:D198 D205:D217 D223:D235" xr:uid="{01FF9E67-7B44-4D40-ACDC-9DE2C67D15CB}">
      <formula1>1</formula1>
      <formula2>99999999</formula2>
    </dataValidation>
    <dataValidation type="whole" allowBlank="1" showInputMessage="1" showErrorMessage="1" sqref="C5:C16 C21:C47 C53:C66 C72:C84 C90:C107 C113:C126 C132:C147 C153:C159 C165:C180 C186:C198 C205:C217 C223:C235" xr:uid="{EE1CC290-C096-4061-B240-307FFFFD3EF1}">
      <formula1>1</formula1>
      <formula2>9999</formula2>
    </dataValidation>
  </dataValidations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theme="9" tint="-0.249977111117893"/>
  </sheetPr>
  <dimension ref="A1:Z134"/>
  <sheetViews>
    <sheetView showGridLines="0" topLeftCell="G4" zoomScale="83" zoomScaleNormal="83" workbookViewId="0">
      <pane xSplit="2" topLeftCell="K1" activePane="topRight" state="frozen"/>
      <selection activeCell="G3" sqref="G3"/>
      <selection pane="topRight" activeCell="H56" sqref="H56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8.6640625" customWidth="1"/>
    <col min="6" max="6" width="31.88671875" bestFit="1" customWidth="1"/>
    <col min="7" max="7" width="29.44140625" customWidth="1"/>
    <col min="8" max="8" width="35.44140625" customWidth="1"/>
    <col min="9" max="9" width="17.5546875" customWidth="1"/>
    <col min="10" max="10" width="21.88671875" customWidth="1"/>
    <col min="11" max="11" width="20.33203125" customWidth="1"/>
    <col min="12" max="12" width="18.33203125" bestFit="1" customWidth="1"/>
    <col min="13" max="13" width="18.4414062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424" t="s">
        <v>28</v>
      </c>
      <c r="C1" s="424"/>
      <c r="D1" s="424"/>
      <c r="E1" s="424"/>
      <c r="F1" s="424"/>
      <c r="G1" s="425" t="s">
        <v>1075</v>
      </c>
      <c r="H1" s="425"/>
      <c r="I1" s="425"/>
      <c r="J1" s="425"/>
      <c r="K1" s="425"/>
      <c r="L1" s="425"/>
      <c r="M1" s="425"/>
      <c r="N1" s="423">
        <v>45017</v>
      </c>
      <c r="O1" s="423"/>
      <c r="P1" s="423"/>
      <c r="Q1" s="423"/>
      <c r="R1" s="423"/>
    </row>
    <row r="2" spans="1:26" ht="15" customHeight="1" x14ac:dyDescent="0.3"/>
    <row r="3" spans="1:26" ht="26.4" customHeight="1" x14ac:dyDescent="0.3">
      <c r="B3" s="427" t="s">
        <v>798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2" customHeight="1" x14ac:dyDescent="0.4">
      <c r="B4" s="428">
        <f>SUM(compras_mes1[[#Totals],[NETO GRAVADO]])+extracto_banco_mes1[[#Totals],[NETO]]</f>
        <v>4605652.9030999998</v>
      </c>
      <c r="C4" s="428"/>
      <c r="D4" s="428"/>
      <c r="E4" s="428"/>
      <c r="F4" s="39"/>
      <c r="G4" s="429">
        <f>compras_mes1[[#Totals],[IVA 21 %]]+compras_mes1[[#Totals],[IVA 27%]]+compras_mes1[[#Totals],[IVA 10,5%]]+I76</f>
        <v>951044.47075099999</v>
      </c>
      <c r="H4" s="429"/>
      <c r="I4" s="39"/>
      <c r="J4" s="416">
        <f>venta_a_mes1[[#Totals],[IMPORTE NETO]]+ventas_b_mes1[[#Totals],[IMPORTE NETO]]</f>
        <v>9011565.4186999984</v>
      </c>
      <c r="K4" s="416"/>
      <c r="L4" s="39"/>
      <c r="M4" s="416">
        <f>venta_a_mes1[[#Totals],[IVA 21%]]+venta_a_mes1[[#Totals],[IVA 10,5%]]+ventas_b_mes1[[#Totals],[IVA 21%]]+ventas_b_mes1[[#Totals],[IVA 10,5%]]+ventas_b_mes13[[#Totals],[IVA 21%]]+ventas_b_mes13[[#Totals],[Columna1]]</f>
        <v>1894738.7379269996</v>
      </c>
      <c r="N4" s="416"/>
      <c r="O4" s="39"/>
      <c r="P4" s="431">
        <f>G4-M4</f>
        <v>-943694.26717599959</v>
      </c>
      <c r="Q4" s="432"/>
      <c r="R4" s="432"/>
    </row>
    <row r="6" spans="1:26" x14ac:dyDescent="0.3">
      <c r="H6" s="125"/>
      <c r="I6" s="204"/>
    </row>
    <row r="7" spans="1:26" s="2" customForma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152"/>
      <c r="C9" s="164"/>
      <c r="D9" s="153"/>
      <c r="E9" s="154"/>
      <c r="F9" s="155"/>
      <c r="G9" s="156" t="str">
        <f>IFERROR(IF(compras_mes1[[#This Row],[CUIT]]="","-",VLOOKUP(compras_mes1[[#This Row],[CUIT]],Lista_CUIT[#All],2,0)),"CUIT NO CARGADO")</f>
        <v>-</v>
      </c>
      <c r="H9" s="157"/>
      <c r="I9" s="158">
        <f>compras_mes1[[#This Row],[NETO GRAVADO]]*0.21</f>
        <v>0</v>
      </c>
      <c r="J9" s="158"/>
      <c r="K9" s="158"/>
      <c r="L9" s="158"/>
      <c r="M9" s="158"/>
      <c r="N9" s="158"/>
      <c r="O9" s="158"/>
      <c r="P9" s="159">
        <f>SUM(compras_mes1[[#This Row],[NETO GRAVADO]:[Otros / No Grav.]])</f>
        <v>0</v>
      </c>
      <c r="Q9" s="160" t="str">
        <f>IFERROR(IF(compras_mes1[[#This Row],[CUIT]]="","-",VLOOKUP(compras_mes1[[#This Row],[CUIT]],Lista_CUIT[#All],3,0)),"CUIT NO CARGADO")</f>
        <v>-</v>
      </c>
      <c r="R9" s="160" t="str">
        <f>IFERROR(IF(compras_mes1[[#This Row],[CUIT]]="","-",VLOOKUP(compras_mes1[[#This Row],[CUIT]],Lista_CUIT[#All],4,0)),"CUIT NO CARGADO")</f>
        <v>-</v>
      </c>
    </row>
    <row r="10" spans="1:26" x14ac:dyDescent="0.3">
      <c r="B10" s="152"/>
      <c r="C10" s="164"/>
      <c r="D10" s="153"/>
      <c r="E10" s="154"/>
      <c r="F10" s="155"/>
      <c r="G10" s="156" t="str">
        <f>IFERROR(IF(compras_mes1[[#This Row],[CUIT]]="","-",VLOOKUP(compras_mes1[[#This Row],[CUIT]],Lista_CUIT[#All],2,0)),"CUIT NO CARGADO")</f>
        <v>-</v>
      </c>
      <c r="H10" s="157"/>
      <c r="I10" s="158">
        <f>compras_mes1[[#This Row],[NETO GRAVADO]]*0.21</f>
        <v>0</v>
      </c>
      <c r="J10" s="158"/>
      <c r="K10" s="158"/>
      <c r="L10" s="158"/>
      <c r="M10" s="158"/>
      <c r="N10" s="158"/>
      <c r="O10" s="158"/>
      <c r="P10" s="159">
        <f>SUM(compras_mes1[[#This Row],[NETO GRAVADO]:[Otros / No Grav.]])</f>
        <v>0</v>
      </c>
      <c r="Q10" s="160" t="str">
        <f>IFERROR(IF(compras_mes1[[#This Row],[CUIT]]="","-",VLOOKUP(compras_mes1[[#This Row],[CUIT]],Lista_CUIT[#All],3,0)),"CUIT NO CARGADO")</f>
        <v>-</v>
      </c>
      <c r="R10" s="160" t="str">
        <f>IFERROR(IF(compras_mes1[[#This Row],[CUIT]]="","-",VLOOKUP(compras_mes1[[#This Row],[CUIT]],Lista_CUIT[#All],4,0)),"CUIT NO CARGADO")</f>
        <v>-</v>
      </c>
    </row>
    <row r="11" spans="1:26" x14ac:dyDescent="0.3">
      <c r="B11" s="218">
        <v>45044</v>
      </c>
      <c r="C11" s="208">
        <v>1</v>
      </c>
      <c r="D11" s="219">
        <v>1</v>
      </c>
      <c r="E11" s="220">
        <v>593</v>
      </c>
      <c r="F11" s="221">
        <v>30715048066</v>
      </c>
      <c r="G11" s="222" t="str">
        <f>IFERROR(IF(compras_mes1[[#This Row],[CUIT]]="","-",VLOOKUP(compras_mes1[[#This Row],[CUIT]],Lista_CUIT[#All],2,0)),"CUIT NO CARGADO")</f>
        <v>ROLLS Y EMPANADAS SA</v>
      </c>
      <c r="H11" s="223">
        <v>105615</v>
      </c>
      <c r="I11" s="215">
        <f>compras_mes1[[#This Row],[NETO GRAVADO]]*0.21</f>
        <v>22179.149999999998</v>
      </c>
      <c r="J11" s="215"/>
      <c r="K11" s="215"/>
      <c r="L11" s="215"/>
      <c r="M11" s="215"/>
      <c r="N11" s="215"/>
      <c r="O11" s="215"/>
      <c r="P11" s="224">
        <f>SUM(compras_mes1[[#This Row],[NETO GRAVADO]:[Otros / No Grav.]])</f>
        <v>127794.15</v>
      </c>
      <c r="Q11" s="225" t="str">
        <f>IFERROR(IF(compras_mes1[[#This Row],[CUIT]]="","-",VLOOKUP(compras_mes1[[#This Row],[CUIT]],Lista_CUIT[#All],3,0)),"CUIT NO CARGADO")</f>
        <v>CATERING</v>
      </c>
      <c r="R11" s="225">
        <f>IFERROR(IF(compras_mes1[[#This Row],[CUIT]]="","-",VLOOKUP(compras_mes1[[#This Row],[CUIT]],Lista_CUIT[#All],4,0)),"CUIT NO CARGADO")</f>
        <v>0</v>
      </c>
    </row>
    <row r="12" spans="1:26" x14ac:dyDescent="0.3">
      <c r="B12" s="152">
        <v>45017</v>
      </c>
      <c r="C12" s="41">
        <v>1</v>
      </c>
      <c r="D12" s="153">
        <v>11</v>
      </c>
      <c r="E12" s="154">
        <v>10726</v>
      </c>
      <c r="F12" s="155">
        <v>30708622423</v>
      </c>
      <c r="G12" s="156" t="str">
        <f>IFERROR(IF(compras_mes1[[#This Row],[CUIT]]="","-",VLOOKUP(compras_mes1[[#This Row],[CUIT]],Lista_CUIT[#All],2,0)),"CUIT NO CARGADO")</f>
        <v>TERGEN SRL</v>
      </c>
      <c r="H12" s="157">
        <v>7921.33</v>
      </c>
      <c r="I12" s="158">
        <f>compras_mes1[[#This Row],[NETO GRAVADO]]*0.21</f>
        <v>1663.4793</v>
      </c>
      <c r="J12" s="158"/>
      <c r="K12" s="158"/>
      <c r="L12" s="158"/>
      <c r="M12" s="158"/>
      <c r="N12" s="158"/>
      <c r="O12" s="158">
        <v>1816.21</v>
      </c>
      <c r="P12" s="159">
        <f>SUM(compras_mes1[[#This Row],[NETO GRAVADO]:[Otros / No Grav.]])</f>
        <v>11401.0193</v>
      </c>
      <c r="Q12" s="160" t="str">
        <f>IFERROR(IF(compras_mes1[[#This Row],[CUIT]]="","-",VLOOKUP(compras_mes1[[#This Row],[CUIT]],Lista_CUIT[#All],3,0)),"CUIT NO CARGADO")</f>
        <v>COMBUSTIBLE</v>
      </c>
      <c r="R12" s="160">
        <f>IFERROR(IF(compras_mes1[[#This Row],[CUIT]]="","-",VLOOKUP(compras_mes1[[#This Row],[CUIT]],Lista_CUIT[#All],4,0)),"CUIT NO CARGADO")</f>
        <v>0</v>
      </c>
    </row>
    <row r="13" spans="1:26" x14ac:dyDescent="0.3">
      <c r="B13" s="218">
        <v>45032</v>
      </c>
      <c r="C13" s="226">
        <v>1</v>
      </c>
      <c r="D13" s="219">
        <v>12</v>
      </c>
      <c r="E13" s="220">
        <v>7602</v>
      </c>
      <c r="F13" s="221">
        <v>30708622423</v>
      </c>
      <c r="G13" s="222" t="str">
        <f>IFERROR(IF(compras_mes1[[#This Row],[CUIT]]="","-",VLOOKUP(compras_mes1[[#This Row],[CUIT]],Lista_CUIT[#All],2,0)),"CUIT NO CARGADO")</f>
        <v>TERGEN SRL</v>
      </c>
      <c r="H13" s="223">
        <v>7954.67</v>
      </c>
      <c r="I13" s="215">
        <f>compras_mes1[[#This Row],[NETO GRAVADO]]*0.21</f>
        <v>1670.4806999999998</v>
      </c>
      <c r="J13" s="215"/>
      <c r="K13" s="215"/>
      <c r="L13" s="215"/>
      <c r="M13" s="215"/>
      <c r="N13" s="215"/>
      <c r="O13" s="215">
        <v>1675.53</v>
      </c>
      <c r="P13" s="224">
        <f>SUM(compras_mes1[[#This Row],[NETO GRAVADO]:[Otros / No Grav.]])</f>
        <v>11300.680700000001</v>
      </c>
      <c r="Q13" s="225" t="str">
        <f>IFERROR(IF(compras_mes1[[#This Row],[CUIT]]="","-",VLOOKUP(compras_mes1[[#This Row],[CUIT]],Lista_CUIT[#All],3,0)),"CUIT NO CARGADO")</f>
        <v>COMBUSTIBLE</v>
      </c>
      <c r="R13" s="225">
        <f>IFERROR(IF(compras_mes1[[#This Row],[CUIT]]="","-",VLOOKUP(compras_mes1[[#This Row],[CUIT]],Lista_CUIT[#All],4,0)),"CUIT NO CARGADO")</f>
        <v>0</v>
      </c>
    </row>
    <row r="14" spans="1:26" x14ac:dyDescent="0.3">
      <c r="B14" s="173">
        <v>45019</v>
      </c>
      <c r="C14" s="41">
        <v>1</v>
      </c>
      <c r="D14" s="174">
        <v>2</v>
      </c>
      <c r="E14" s="124">
        <v>261</v>
      </c>
      <c r="F14" s="175">
        <v>20284880049</v>
      </c>
      <c r="G14" s="176" t="str">
        <f>IFERROR(IF(compras_mes1[[#This Row],[CUIT]]="","-",VLOOKUP(compras_mes1[[#This Row],[CUIT]],Lista_CUIT[#All],2,0)),"CUIT NO CARGADO")</f>
        <v>MOROLDO EMILIANO DANIEL</v>
      </c>
      <c r="H14" s="177">
        <v>2361.4</v>
      </c>
      <c r="I14" s="178">
        <v>77.790000000000006</v>
      </c>
      <c r="J14" s="178"/>
      <c r="K14" s="178">
        <v>209.05</v>
      </c>
      <c r="L14" s="178"/>
      <c r="M14" s="158"/>
      <c r="N14" s="178"/>
      <c r="O14" s="178"/>
      <c r="P14" s="179">
        <f>SUM(compras_mes1[[#This Row],[NETO GRAVADO]:[Otros / No Grav.]])</f>
        <v>2648.2400000000002</v>
      </c>
      <c r="Q14" s="180" t="str">
        <f>IFERROR(IF(compras_mes1[[#This Row],[CUIT]]="","-",VLOOKUP(compras_mes1[[#This Row],[CUIT]],Lista_CUIT[#All],3,0)),"CUIT NO CARGADO")</f>
        <v>Electronica</v>
      </c>
      <c r="R14" s="180">
        <f>IFERROR(IF(compras_mes1[[#This Row],[CUIT]]="","-",VLOOKUP(compras_mes1[[#This Row],[CUIT]],Lista_CUIT[#All],4,0)),"CUIT NO CARGADO")</f>
        <v>0</v>
      </c>
    </row>
    <row r="15" spans="1:26" x14ac:dyDescent="0.3">
      <c r="B15" s="173">
        <v>45020</v>
      </c>
      <c r="C15" s="41">
        <v>1</v>
      </c>
      <c r="D15" s="174">
        <v>50</v>
      </c>
      <c r="E15" s="124">
        <v>27861</v>
      </c>
      <c r="F15" s="175">
        <v>30710730845</v>
      </c>
      <c r="G15" s="176" t="str">
        <f>IFERROR(IF(compras_mes1[[#This Row],[CUIT]]="","-",VLOOKUP(compras_mes1[[#This Row],[CUIT]],Lista_CUIT[#All],2,0)),"CUIT NO CARGADO")</f>
        <v>D LED SOCIEDAD DE HECHO DE DIEGO NICOLAS BARSKY Y DAMIAN DANEL SPIVAK</v>
      </c>
      <c r="H15" s="177">
        <v>3059.55</v>
      </c>
      <c r="I15" s="178">
        <f>compras_mes1[[#This Row],[NETO GRAVADO]]*0.21</f>
        <v>642.50549999999998</v>
      </c>
      <c r="J15" s="178"/>
      <c r="K15" s="178"/>
      <c r="L15" s="178"/>
      <c r="M15" s="158"/>
      <c r="N15" s="178"/>
      <c r="O15" s="178"/>
      <c r="P15" s="179">
        <f>SUM(compras_mes1[[#This Row],[NETO GRAVADO]:[Otros / No Grav.]])</f>
        <v>3702.0555000000004</v>
      </c>
      <c r="Q15" s="180" t="str">
        <f>IFERROR(IF(compras_mes1[[#This Row],[CUIT]]="","-",VLOOKUP(compras_mes1[[#This Row],[CUIT]],Lista_CUIT[#All],3,0)),"CUIT NO CARGADO")</f>
        <v>Electronica</v>
      </c>
      <c r="R15" s="180">
        <f>IFERROR(IF(compras_mes1[[#This Row],[CUIT]]="","-",VLOOKUP(compras_mes1[[#This Row],[CUIT]],Lista_CUIT[#All],4,0)),"CUIT NO CARGADO")</f>
        <v>0</v>
      </c>
    </row>
    <row r="16" spans="1:26" s="56" customFormat="1" x14ac:dyDescent="0.3">
      <c r="B16" s="173">
        <v>45021</v>
      </c>
      <c r="C16" s="41">
        <v>1</v>
      </c>
      <c r="D16" s="174">
        <v>7</v>
      </c>
      <c r="E16" s="124">
        <v>3972</v>
      </c>
      <c r="F16" s="175">
        <v>30709788635</v>
      </c>
      <c r="G16" s="176" t="str">
        <f>IFERROR(IF(compras_mes1[[#This Row],[CUIT]]="","-",VLOOKUP(compras_mes1[[#This Row],[CUIT]],Lista_CUIT[#All],2,0)),"CUIT NO CARGADO")</f>
        <v>EMELINT S.R.L.</v>
      </c>
      <c r="H16" s="177">
        <v>7230.05</v>
      </c>
      <c r="I16" s="178"/>
      <c r="J16" s="178"/>
      <c r="K16" s="178">
        <v>759.16</v>
      </c>
      <c r="L16" s="178"/>
      <c r="M16" s="158"/>
      <c r="N16" s="178"/>
      <c r="O16" s="178"/>
      <c r="P16" s="179">
        <f>SUM(compras_mes1[[#This Row],[NETO GRAVADO]:[Otros / No Grav.]])</f>
        <v>7989.21</v>
      </c>
      <c r="Q16" s="180" t="str">
        <f>IFERROR(IF(compras_mes1[[#This Row],[CUIT]]="","-",VLOOKUP(compras_mes1[[#This Row],[CUIT]],Lista_CUIT[#All],3,0)),"CUIT NO CARGADO")</f>
        <v>Electronica</v>
      </c>
      <c r="R16" s="180">
        <f>IFERROR(IF(compras_mes1[[#This Row],[CUIT]]="","-",VLOOKUP(compras_mes1[[#This Row],[CUIT]],Lista_CUIT[#All],4,0)),"CUIT NO CARGADO")</f>
        <v>0</v>
      </c>
    </row>
    <row r="17" spans="2:18" x14ac:dyDescent="0.3">
      <c r="B17" s="218">
        <v>45046</v>
      </c>
      <c r="C17" s="208">
        <v>1</v>
      </c>
      <c r="D17" s="219">
        <v>1</v>
      </c>
      <c r="E17" s="220">
        <v>308</v>
      </c>
      <c r="F17" s="221">
        <v>30715060759</v>
      </c>
      <c r="G17" s="222" t="str">
        <f>IFERROR(IF(compras_mes1[[#This Row],[CUIT]]="","-",VLOOKUP(compras_mes1[[#This Row],[CUIT]],Lista_CUIT[#All],2,0)),"CUIT NO CARGADO")</f>
        <v>BIRD COMERCIALIZACION IMPORTACION Y SERVICIOS S.R.L.</v>
      </c>
      <c r="H17" s="223">
        <v>5650.43</v>
      </c>
      <c r="I17" s="215">
        <f>compras_mes1[[#This Row],[NETO GRAVADO]]*0.21</f>
        <v>1186.5903000000001</v>
      </c>
      <c r="J17" s="215"/>
      <c r="K17" s="215"/>
      <c r="L17" s="215"/>
      <c r="M17" s="215"/>
      <c r="N17" s="215"/>
      <c r="O17" s="215"/>
      <c r="P17" s="224">
        <f>SUM(compras_mes1[[#This Row],[NETO GRAVADO]:[Otros / No Grav.]])</f>
        <v>6837.0203000000001</v>
      </c>
      <c r="Q17" s="225" t="str">
        <f>IFERROR(IF(compras_mes1[[#This Row],[CUIT]]="","-",VLOOKUP(compras_mes1[[#This Row],[CUIT]],Lista_CUIT[#All],3,0)),"CUIT NO CARGADO")</f>
        <v>Electronica</v>
      </c>
      <c r="R17" s="225">
        <f>IFERROR(IF(compras_mes1[[#This Row],[CUIT]]="","-",VLOOKUP(compras_mes1[[#This Row],[CUIT]],Lista_CUIT[#All],4,0)),"CUIT NO CARGADO")</f>
        <v>0</v>
      </c>
    </row>
    <row r="18" spans="2:18" x14ac:dyDescent="0.3">
      <c r="B18" s="89">
        <v>45017</v>
      </c>
      <c r="C18" s="41">
        <v>1</v>
      </c>
      <c r="D18" s="91">
        <v>3</v>
      </c>
      <c r="E18" s="92">
        <v>635</v>
      </c>
      <c r="F18" s="93">
        <v>30715402765</v>
      </c>
      <c r="G18" s="94" t="str">
        <f>IFERROR(IF(compras_mes1[[#This Row],[CUIT]]="","-",VLOOKUP(compras_mes1[[#This Row],[CUIT]],Lista_CUIT[#All],2,0)),"CUIT NO CARGADO")</f>
        <v>RIO 265 S.R.L.</v>
      </c>
      <c r="H18" s="95">
        <v>12809.9</v>
      </c>
      <c r="I18" s="178">
        <f>compras_mes1[[#This Row],[NETO GRAVADO]]*0.21</f>
        <v>2690.0789999999997</v>
      </c>
      <c r="J18" s="86"/>
      <c r="K18" s="86"/>
      <c r="L18" s="86"/>
      <c r="M18" s="86"/>
      <c r="N18" s="86"/>
      <c r="O18" s="86"/>
      <c r="P18" s="87">
        <f>SUM(compras_mes1[[#This Row],[NETO GRAVADO]:[Otros / No Grav.]])</f>
        <v>15499.978999999999</v>
      </c>
      <c r="Q18" s="88" t="str">
        <f>IFERROR(IF(compras_mes1[[#This Row],[CUIT]]="","-",VLOOKUP(compras_mes1[[#This Row],[CUIT]],Lista_CUIT[#All],3,0)),"CUIT NO CARGADO")</f>
        <v>Gastos Varios</v>
      </c>
      <c r="R18" s="88">
        <f>IFERROR(IF(compras_mes1[[#This Row],[CUIT]]="","-",VLOOKUP(compras_mes1[[#This Row],[CUIT]],Lista_CUIT[#All],4,0)),"CUIT NO CARGADO")</f>
        <v>0</v>
      </c>
    </row>
    <row r="19" spans="2:18" x14ac:dyDescent="0.3">
      <c r="B19" s="173">
        <v>45019</v>
      </c>
      <c r="C19" s="41">
        <v>1</v>
      </c>
      <c r="D19" s="174">
        <v>5</v>
      </c>
      <c r="E19" s="124">
        <v>1990</v>
      </c>
      <c r="F19" s="175">
        <v>20309151489</v>
      </c>
      <c r="G19" s="176" t="str">
        <f>IFERROR(IF(compras_mes1[[#This Row],[CUIT]]="","-",VLOOKUP(compras_mes1[[#This Row],[CUIT]],Lista_CUIT[#All],2,0)),"CUIT NO CARGADO")</f>
        <v>GOMEZ FERNANDO ALBERTO</v>
      </c>
      <c r="H19" s="177">
        <v>1206.6099999999999</v>
      </c>
      <c r="I19" s="178">
        <f>compras_mes1[[#This Row],[NETO GRAVADO]]*0.21</f>
        <v>253.38809999999998</v>
      </c>
      <c r="J19" s="178"/>
      <c r="K19" s="178"/>
      <c r="L19" s="178"/>
      <c r="M19" s="158"/>
      <c r="N19" s="178"/>
      <c r="O19" s="178"/>
      <c r="P19" s="179">
        <f>SUM(compras_mes1[[#This Row],[NETO GRAVADO]:[Otros / No Grav.]])</f>
        <v>1459.9980999999998</v>
      </c>
      <c r="Q19" s="180" t="str">
        <f>IFERROR(IF(compras_mes1[[#This Row],[CUIT]]="","-",VLOOKUP(compras_mes1[[#This Row],[CUIT]],Lista_CUIT[#All],3,0)),"CUIT NO CARGADO")</f>
        <v>Gastos Varios</v>
      </c>
      <c r="R19" s="180">
        <f>IFERROR(IF(compras_mes1[[#This Row],[CUIT]]="","-",VLOOKUP(compras_mes1[[#This Row],[CUIT]],Lista_CUIT[#All],4,0)),"CUIT NO CARGADO")</f>
        <v>0</v>
      </c>
    </row>
    <row r="20" spans="2:18" ht="14.4" customHeight="1" x14ac:dyDescent="0.3">
      <c r="B20" s="173">
        <v>45019</v>
      </c>
      <c r="C20" s="41">
        <v>1</v>
      </c>
      <c r="D20" s="174">
        <v>1</v>
      </c>
      <c r="E20" s="124">
        <v>2045</v>
      </c>
      <c r="F20" s="175">
        <v>20299039367</v>
      </c>
      <c r="G20" s="176" t="str">
        <f>IFERROR(IF(compras_mes1[[#This Row],[CUIT]]="","-",VLOOKUP(compras_mes1[[#This Row],[CUIT]],Lista_CUIT[#All],2,0)),"CUIT NO CARGADO")</f>
        <v>SIRTAUTAS ALBERTO IVAN</v>
      </c>
      <c r="H20" s="177">
        <v>11860.53</v>
      </c>
      <c r="I20" s="178">
        <v>2263.02</v>
      </c>
      <c r="J20" s="178"/>
      <c r="K20" s="178">
        <v>113.85</v>
      </c>
      <c r="L20" s="178"/>
      <c r="M20" s="158"/>
      <c r="N20" s="178"/>
      <c r="O20" s="178"/>
      <c r="P20" s="179">
        <f>SUM(compras_mes1[[#This Row],[NETO GRAVADO]:[Otros / No Grav.]])</f>
        <v>14237.400000000001</v>
      </c>
      <c r="Q20" s="180" t="str">
        <f>IFERROR(IF(compras_mes1[[#This Row],[CUIT]]="","-",VLOOKUP(compras_mes1[[#This Row],[CUIT]],Lista_CUIT[#All],3,0)),"CUIT NO CARGADO")</f>
        <v>Gastos Varios</v>
      </c>
      <c r="R20" s="180">
        <f>IFERROR(IF(compras_mes1[[#This Row],[CUIT]]="","-",VLOOKUP(compras_mes1[[#This Row],[CUIT]],Lista_CUIT[#All],4,0)),"CUIT NO CARGADO")</f>
        <v>0</v>
      </c>
    </row>
    <row r="21" spans="2:18" x14ac:dyDescent="0.3">
      <c r="B21" s="173">
        <v>45020</v>
      </c>
      <c r="C21" s="41">
        <v>1</v>
      </c>
      <c r="D21" s="174">
        <v>5</v>
      </c>
      <c r="E21" s="124">
        <v>4539</v>
      </c>
      <c r="F21" s="175">
        <v>27217954369</v>
      </c>
      <c r="G21" s="176" t="str">
        <f>IFERROR(IF(compras_mes1[[#This Row],[CUIT]]="","-",VLOOKUP(compras_mes1[[#This Row],[CUIT]],Lista_CUIT[#All],2,0)),"CUIT NO CARGADO")</f>
        <v>FIGUEIRAS KARINA BEATRIZ</v>
      </c>
      <c r="H21" s="177">
        <v>1287.5999999999999</v>
      </c>
      <c r="I21" s="178">
        <f>compras_mes1[[#This Row],[NETO GRAVADO]]*0.21</f>
        <v>270.39599999999996</v>
      </c>
      <c r="J21" s="178"/>
      <c r="K21" s="178"/>
      <c r="L21" s="178"/>
      <c r="M21" s="158"/>
      <c r="N21" s="178"/>
      <c r="O21" s="178"/>
      <c r="P21" s="179">
        <f>SUM(compras_mes1[[#This Row],[NETO GRAVADO]:[Otros / No Grav.]])</f>
        <v>1557.9959999999999</v>
      </c>
      <c r="Q21" s="180" t="str">
        <f>IFERROR(IF(compras_mes1[[#This Row],[CUIT]]="","-",VLOOKUP(compras_mes1[[#This Row],[CUIT]],Lista_CUIT[#All],3,0)),"CUIT NO CARGADO")</f>
        <v>Gastos Varios</v>
      </c>
      <c r="R21" s="180">
        <f>IFERROR(IF(compras_mes1[[#This Row],[CUIT]]="","-",VLOOKUP(compras_mes1[[#This Row],[CUIT]],Lista_CUIT[#All],4,0)),"CUIT NO CARGADO")</f>
        <v>0</v>
      </c>
    </row>
    <row r="22" spans="2:18" x14ac:dyDescent="0.3">
      <c r="B22" s="173">
        <v>45020</v>
      </c>
      <c r="C22" s="41">
        <v>1</v>
      </c>
      <c r="D22" s="174">
        <v>3</v>
      </c>
      <c r="E22" s="124">
        <v>22637</v>
      </c>
      <c r="F22" s="175">
        <v>30709511846</v>
      </c>
      <c r="G22" s="176" t="str">
        <f>IFERROR(IF(compras_mes1[[#This Row],[CUIT]]="","-",VLOOKUP(compras_mes1[[#This Row],[CUIT]],Lista_CUIT[#All],2,0)),"CUIT NO CARGADO")</f>
        <v>KURIABE S. A.</v>
      </c>
      <c r="H22" s="177">
        <v>8196.39</v>
      </c>
      <c r="I22" s="178"/>
      <c r="J22" s="178"/>
      <c r="K22" s="178">
        <v>860.62</v>
      </c>
      <c r="L22" s="178"/>
      <c r="M22" s="158"/>
      <c r="N22" s="178"/>
      <c r="O22" s="178"/>
      <c r="P22" s="179">
        <f>SUM(compras_mes1[[#This Row],[NETO GRAVADO]:[Otros / No Grav.]])</f>
        <v>9057.01</v>
      </c>
      <c r="Q22" s="180" t="str">
        <f>IFERROR(IF(compras_mes1[[#This Row],[CUIT]]="","-",VLOOKUP(compras_mes1[[#This Row],[CUIT]],Lista_CUIT[#All],3,0)),"CUIT NO CARGADO")</f>
        <v>Gastos Varios</v>
      </c>
      <c r="R22" s="180">
        <f>IFERROR(IF(compras_mes1[[#This Row],[CUIT]]="","-",VLOOKUP(compras_mes1[[#This Row],[CUIT]],Lista_CUIT[#All],4,0)),"CUIT NO CARGADO")</f>
        <v>0</v>
      </c>
    </row>
    <row r="23" spans="2:18" ht="14.4" customHeight="1" x14ac:dyDescent="0.3">
      <c r="B23" s="173">
        <v>45020</v>
      </c>
      <c r="C23" s="41">
        <v>1</v>
      </c>
      <c r="D23" s="174">
        <v>3</v>
      </c>
      <c r="E23" s="124">
        <v>2360</v>
      </c>
      <c r="F23" s="175">
        <v>20319700081</v>
      </c>
      <c r="G23" s="176" t="str">
        <f>IFERROR(IF(compras_mes1[[#This Row],[CUIT]]="","-",VLOOKUP(compras_mes1[[#This Row],[CUIT]],Lista_CUIT[#All],2,0)),"CUIT NO CARGADO")</f>
        <v>REA PABLO</v>
      </c>
      <c r="H23" s="177">
        <v>10037.19</v>
      </c>
      <c r="I23" s="178"/>
      <c r="J23" s="178"/>
      <c r="K23" s="178">
        <v>1053.9100000000001</v>
      </c>
      <c r="L23" s="178"/>
      <c r="M23" s="158"/>
      <c r="N23" s="178"/>
      <c r="O23" s="178"/>
      <c r="P23" s="179">
        <f>SUM(compras_mes1[[#This Row],[NETO GRAVADO]:[Otros / No Grav.]])</f>
        <v>11091.1</v>
      </c>
      <c r="Q23" s="180" t="str">
        <f>IFERROR(IF(compras_mes1[[#This Row],[CUIT]]="","-",VLOOKUP(compras_mes1[[#This Row],[CUIT]],Lista_CUIT[#All],3,0)),"CUIT NO CARGADO")</f>
        <v>Gastos Varios</v>
      </c>
      <c r="R23" s="180">
        <f>IFERROR(IF(compras_mes1[[#This Row],[CUIT]]="","-",VLOOKUP(compras_mes1[[#This Row],[CUIT]],Lista_CUIT[#All],4,0)),"CUIT NO CARGADO")</f>
        <v>0</v>
      </c>
    </row>
    <row r="24" spans="2:18" ht="14.4" customHeight="1" x14ac:dyDescent="0.3">
      <c r="B24" s="173">
        <v>45023</v>
      </c>
      <c r="C24" s="41">
        <v>1</v>
      </c>
      <c r="D24" s="174">
        <v>7</v>
      </c>
      <c r="E24" s="124">
        <v>1727</v>
      </c>
      <c r="F24" s="175">
        <v>20278028810</v>
      </c>
      <c r="G24" s="176" t="str">
        <f>IFERROR(IF(compras_mes1[[#This Row],[CUIT]]="","-",VLOOKUP(compras_mes1[[#This Row],[CUIT]],Lista_CUIT[#All],2,0)),"CUIT NO CARGADO")</f>
        <v>PONCE JUAN MANUEL</v>
      </c>
      <c r="H24" s="177">
        <v>1454.55</v>
      </c>
      <c r="I24" s="178">
        <f>compras_mes1[[#This Row],[NETO GRAVADO]]*0.21</f>
        <v>305.45549999999997</v>
      </c>
      <c r="J24" s="178"/>
      <c r="K24" s="178"/>
      <c r="L24" s="178"/>
      <c r="M24" s="158"/>
      <c r="N24" s="178"/>
      <c r="O24" s="178"/>
      <c r="P24" s="179">
        <f>SUM(compras_mes1[[#This Row],[NETO GRAVADO]:[Otros / No Grav.]])</f>
        <v>1760.0055</v>
      </c>
      <c r="Q24" s="180" t="str">
        <f>IFERROR(IF(compras_mes1[[#This Row],[CUIT]]="","-",VLOOKUP(compras_mes1[[#This Row],[CUIT]],Lista_CUIT[#All],3,0)),"CUIT NO CARGADO")</f>
        <v>Gastos Varios</v>
      </c>
      <c r="R24" s="180">
        <f>IFERROR(IF(compras_mes1[[#This Row],[CUIT]]="","-",VLOOKUP(compras_mes1[[#This Row],[CUIT]],Lista_CUIT[#All],4,0)),"CUIT NO CARGADO")</f>
        <v>0</v>
      </c>
    </row>
    <row r="25" spans="2:18" ht="15" customHeight="1" x14ac:dyDescent="0.3">
      <c r="B25" s="207">
        <v>45028</v>
      </c>
      <c r="C25" s="208">
        <v>1</v>
      </c>
      <c r="D25" s="209">
        <v>5</v>
      </c>
      <c r="E25" s="210">
        <v>312</v>
      </c>
      <c r="F25" s="211">
        <v>20247551337</v>
      </c>
      <c r="G25" s="212" t="str">
        <f>IFERROR(IF(compras_mes1[[#This Row],[CUIT]]="","-",VLOOKUP(compras_mes1[[#This Row],[CUIT]],Lista_CUIT[#All],2,0)),"CUIT NO CARGADO")</f>
        <v>HERRERO ANZORENA MATIAS</v>
      </c>
      <c r="H25" s="213">
        <v>705.65</v>
      </c>
      <c r="I25" s="214">
        <f>compras_mes1[[#This Row],[NETO GRAVADO]]*0.21</f>
        <v>148.1865</v>
      </c>
      <c r="J25" s="214"/>
      <c r="K25" s="214"/>
      <c r="L25" s="214"/>
      <c r="M25" s="215"/>
      <c r="N25" s="214"/>
      <c r="O25" s="214"/>
      <c r="P25" s="216">
        <f>SUM(compras_mes1[[#This Row],[NETO GRAVADO]:[Otros / No Grav.]])</f>
        <v>853.8365</v>
      </c>
      <c r="Q25" s="217" t="str">
        <f>IFERROR(IF(compras_mes1[[#This Row],[CUIT]]="","-",VLOOKUP(compras_mes1[[#This Row],[CUIT]],Lista_CUIT[#All],3,0)),"CUIT NO CARGADO")</f>
        <v>Gastos Varios</v>
      </c>
      <c r="R25" s="217">
        <f>IFERROR(IF(compras_mes1[[#This Row],[CUIT]]="","-",VLOOKUP(compras_mes1[[#This Row],[CUIT]],Lista_CUIT[#All],4,0)),"CUIT NO CARGADO")</f>
        <v>0</v>
      </c>
    </row>
    <row r="26" spans="2:18" ht="15" customHeight="1" x14ac:dyDescent="0.3">
      <c r="B26" s="207">
        <v>45029</v>
      </c>
      <c r="C26" s="208">
        <v>1</v>
      </c>
      <c r="D26" s="209">
        <v>9</v>
      </c>
      <c r="E26" s="210">
        <v>73503</v>
      </c>
      <c r="F26" s="211">
        <v>33715571639</v>
      </c>
      <c r="G26" s="212" t="str">
        <f>IFERROR(IF(compras_mes1[[#This Row],[CUIT]]="","-",VLOOKUP(compras_mes1[[#This Row],[CUIT]],Lista_CUIT[#All],2,0)),"CUIT NO CARGADO")</f>
        <v>DUAITEK SRL</v>
      </c>
      <c r="H26" s="213">
        <v>4463.62</v>
      </c>
      <c r="I26" s="214">
        <v>94.13</v>
      </c>
      <c r="J26" s="214"/>
      <c r="K26" s="214">
        <v>421.61</v>
      </c>
      <c r="L26" s="214"/>
      <c r="M26" s="215"/>
      <c r="N26" s="214"/>
      <c r="O26" s="214"/>
      <c r="P26" s="216">
        <f>SUM(compras_mes1[[#This Row],[NETO GRAVADO]:[Otros / No Grav.]])</f>
        <v>4979.3599999999997</v>
      </c>
      <c r="Q26" s="217" t="str">
        <f>IFERROR(IF(compras_mes1[[#This Row],[CUIT]]="","-",VLOOKUP(compras_mes1[[#This Row],[CUIT]],Lista_CUIT[#All],3,0)),"CUIT NO CARGADO")</f>
        <v>Gastos Varios</v>
      </c>
      <c r="R26" s="217">
        <f>IFERROR(IF(compras_mes1[[#This Row],[CUIT]]="","-",VLOOKUP(compras_mes1[[#This Row],[CUIT]],Lista_CUIT[#All],4,0)),"CUIT NO CARGADO")</f>
        <v>0</v>
      </c>
    </row>
    <row r="27" spans="2:18" ht="15" customHeight="1" x14ac:dyDescent="0.3">
      <c r="B27" s="218">
        <v>45038</v>
      </c>
      <c r="C27" s="208">
        <v>1</v>
      </c>
      <c r="D27" s="219">
        <v>3</v>
      </c>
      <c r="E27" s="220">
        <v>1394130</v>
      </c>
      <c r="F27" s="221">
        <v>30712019359</v>
      </c>
      <c r="G27" s="222" t="str">
        <f>IFERROR(IF(compras_mes1[[#This Row],[CUIT]]="","-",VLOOKUP(compras_mes1[[#This Row],[CUIT]],Lista_CUIT[#All],2,0)),"CUIT NO CARGADO")</f>
        <v>LINKEDSTORE ARGENTINA S.R.L.</v>
      </c>
      <c r="H27" s="223">
        <v>6032.23</v>
      </c>
      <c r="I27" s="215">
        <f>compras_mes1[[#This Row],[NETO GRAVADO]]*0.21</f>
        <v>1266.7683</v>
      </c>
      <c r="J27" s="215"/>
      <c r="K27" s="215"/>
      <c r="L27" s="215"/>
      <c r="M27" s="215"/>
      <c r="N27" s="215"/>
      <c r="O27" s="215"/>
      <c r="P27" s="224">
        <f>SUM(compras_mes1[[#This Row],[NETO GRAVADO]:[Otros / No Grav.]])</f>
        <v>7298.9982999999993</v>
      </c>
      <c r="Q27" s="225" t="str">
        <f>IFERROR(IF(compras_mes1[[#This Row],[CUIT]]="","-",VLOOKUP(compras_mes1[[#This Row],[CUIT]],Lista_CUIT[#All],3,0)),"CUIT NO CARGADO")</f>
        <v>Gastos Varios</v>
      </c>
      <c r="R27" s="225">
        <f>IFERROR(IF(compras_mes1[[#This Row],[CUIT]]="","-",VLOOKUP(compras_mes1[[#This Row],[CUIT]],Lista_CUIT[#All],4,0)),"CUIT NO CARGADO")</f>
        <v>0</v>
      </c>
    </row>
    <row r="28" spans="2:18" ht="15" customHeight="1" x14ac:dyDescent="0.3">
      <c r="B28" s="173">
        <v>45019</v>
      </c>
      <c r="C28" s="41">
        <v>1</v>
      </c>
      <c r="D28" s="174">
        <v>106</v>
      </c>
      <c r="E28" s="124">
        <v>620759</v>
      </c>
      <c r="F28" s="175">
        <v>30594494187</v>
      </c>
      <c r="G28" s="176" t="str">
        <f>IFERROR(IF(compras_mes1[[#This Row],[CUIT]]="","-",VLOOKUP(compras_mes1[[#This Row],[CUIT]],Lista_CUIT[#All],2,0)),"CUIT NO CARGADO")</f>
        <v>FEDERAL EXPRESS CORPORATION</v>
      </c>
      <c r="H28" s="177">
        <v>12441</v>
      </c>
      <c r="I28" s="178">
        <f>compras_mes1[[#This Row],[NETO GRAVADO]]*0.21</f>
        <v>2612.61</v>
      </c>
      <c r="J28" s="178"/>
      <c r="K28" s="178"/>
      <c r="L28" s="178"/>
      <c r="M28" s="158"/>
      <c r="N28" s="178"/>
      <c r="O28" s="178">
        <v>4648.57</v>
      </c>
      <c r="P28" s="179">
        <f>SUM(compras_mes1[[#This Row],[NETO GRAVADO]:[Otros / No Grav.]])</f>
        <v>19702.18</v>
      </c>
      <c r="Q28" s="180" t="str">
        <f>IFERROR(IF(compras_mes1[[#This Row],[CUIT]]="","-",VLOOKUP(compras_mes1[[#This Row],[CUIT]],Lista_CUIT[#All],3,0)),"CUIT NO CARGADO")</f>
        <v>Gtos. Imp.</v>
      </c>
      <c r="R28" s="180">
        <f>IFERROR(IF(compras_mes1[[#This Row],[CUIT]]="","-",VLOOKUP(compras_mes1[[#This Row],[CUIT]],Lista_CUIT[#All],4,0)),"CUIT NO CARGADO")</f>
        <v>0</v>
      </c>
    </row>
    <row r="29" spans="2:18" ht="15" customHeight="1" x14ac:dyDescent="0.3">
      <c r="B29" s="152">
        <v>45025</v>
      </c>
      <c r="C29" s="164">
        <v>1</v>
      </c>
      <c r="D29" s="153">
        <v>280</v>
      </c>
      <c r="E29" s="154">
        <v>1424766</v>
      </c>
      <c r="F29" s="155">
        <v>30580111315</v>
      </c>
      <c r="G29" s="156" t="str">
        <f>IFERROR(IF(compras_mes1[[#This Row],[CUIT]]="","-",VLOOKUP(compras_mes1[[#This Row],[CUIT]],Lista_CUIT[#All],2,0)),"CUIT NO CARGADO")</f>
        <v>DHL EXPRESS (ARGENTINA) S.A.</v>
      </c>
      <c r="H29" s="157">
        <v>228954.0312</v>
      </c>
      <c r="I29" s="158">
        <f>compras_mes1[[#This Row],[NETO GRAVADO]]*0.21</f>
        <v>48080.346551999995</v>
      </c>
      <c r="J29" s="158"/>
      <c r="K29" s="158"/>
      <c r="L29" s="158"/>
      <c r="M29" s="158"/>
      <c r="N29" s="158"/>
      <c r="O29" s="158">
        <v>-187073.32</v>
      </c>
      <c r="P29" s="159">
        <f>SUM(compras_mes1[[#This Row],[NETO GRAVADO]:[Otros / No Grav.]])</f>
        <v>89961.057751999993</v>
      </c>
      <c r="Q29" s="160" t="str">
        <f>IFERROR(IF(compras_mes1[[#This Row],[CUIT]]="","-",VLOOKUP(compras_mes1[[#This Row],[CUIT]],Lista_CUIT[#All],3,0)),"CUIT NO CARGADO")</f>
        <v>Gtos. Imp.</v>
      </c>
      <c r="R29" s="160">
        <f>IFERROR(IF(compras_mes1[[#This Row],[CUIT]]="","-",VLOOKUP(compras_mes1[[#This Row],[CUIT]],Lista_CUIT[#All],4,0)),"CUIT NO CARGADO")</f>
        <v>0</v>
      </c>
    </row>
    <row r="30" spans="2:18" x14ac:dyDescent="0.3">
      <c r="B30" s="173">
        <v>45026</v>
      </c>
      <c r="C30" s="41">
        <v>1</v>
      </c>
      <c r="D30" s="174">
        <v>700</v>
      </c>
      <c r="E30" s="124">
        <v>508046</v>
      </c>
      <c r="F30" s="175">
        <v>30580111315</v>
      </c>
      <c r="G30" s="176" t="str">
        <f>IFERROR(IF(compras_mes1[[#This Row],[CUIT]]="","-",VLOOKUP(compras_mes1[[#This Row],[CUIT]],Lista_CUIT[#All],2,0)),"CUIT NO CARGADO")</f>
        <v>DHL EXPRESS (ARGENTINA) S.A.</v>
      </c>
      <c r="H30" s="177">
        <v>0</v>
      </c>
      <c r="I30" s="178">
        <f>compras_mes1[[#This Row],[NETO GRAVADO]]*0.21</f>
        <v>0</v>
      </c>
      <c r="J30" s="178"/>
      <c r="K30" s="178"/>
      <c r="L30" s="178"/>
      <c r="M30" s="158"/>
      <c r="N30" s="178"/>
      <c r="O30" s="178">
        <v>41814.345000000001</v>
      </c>
      <c r="P30" s="179">
        <f>SUM(compras_mes1[[#This Row],[NETO GRAVADO]:[Otros / No Grav.]])</f>
        <v>41814.345000000001</v>
      </c>
      <c r="Q30" s="180" t="str">
        <f>IFERROR(IF(compras_mes1[[#This Row],[CUIT]]="","-",VLOOKUP(compras_mes1[[#This Row],[CUIT]],Lista_CUIT[#All],3,0)),"CUIT NO CARGADO")</f>
        <v>Gtos. Imp.</v>
      </c>
      <c r="R30" s="180">
        <f>IFERROR(IF(compras_mes1[[#This Row],[CUIT]]="","-",VLOOKUP(compras_mes1[[#This Row],[CUIT]],Lista_CUIT[#All],4,0)),"CUIT NO CARGADO")</f>
        <v>0</v>
      </c>
    </row>
    <row r="31" spans="2:18" x14ac:dyDescent="0.3">
      <c r="B31" s="173">
        <v>45033</v>
      </c>
      <c r="C31" s="41">
        <v>1</v>
      </c>
      <c r="D31" s="174">
        <v>700</v>
      </c>
      <c r="E31" s="124">
        <v>510209</v>
      </c>
      <c r="F31" s="175">
        <v>30580111315</v>
      </c>
      <c r="G31" s="176" t="str">
        <f>IFERROR(IF(compras_mes1[[#This Row],[CUIT]]="","-",VLOOKUP(compras_mes1[[#This Row],[CUIT]],Lista_CUIT[#All],2,0)),"CUIT NO CARGADO")</f>
        <v>DHL EXPRESS (ARGENTINA) S.A.</v>
      </c>
      <c r="H31" s="177">
        <v>3094</v>
      </c>
      <c r="I31" s="178">
        <f>compras_mes1[[#This Row],[NETO GRAVADO]]*0.21</f>
        <v>649.74</v>
      </c>
      <c r="J31" s="178"/>
      <c r="K31" s="178"/>
      <c r="L31" s="178"/>
      <c r="M31" s="158"/>
      <c r="N31" s="178"/>
      <c r="O31" s="178">
        <v>92435.459999999992</v>
      </c>
      <c r="P31" s="179">
        <f>SUM(compras_mes1[[#This Row],[NETO GRAVADO]:[Otros / No Grav.]])</f>
        <v>96179.199999999997</v>
      </c>
      <c r="Q31" s="180" t="str">
        <f>IFERROR(IF(compras_mes1[[#This Row],[CUIT]]="","-",VLOOKUP(compras_mes1[[#This Row],[CUIT]],Lista_CUIT[#All],3,0)),"CUIT NO CARGADO")</f>
        <v>Gtos. Imp.</v>
      </c>
      <c r="R31" s="180">
        <f>IFERROR(IF(compras_mes1[[#This Row],[CUIT]]="","-",VLOOKUP(compras_mes1[[#This Row],[CUIT]],Lista_CUIT[#All],4,0)),"CUIT NO CARGADO")</f>
        <v>0</v>
      </c>
    </row>
    <row r="32" spans="2:18" x14ac:dyDescent="0.3">
      <c r="B32" s="152">
        <v>45033</v>
      </c>
      <c r="C32" s="164">
        <v>1</v>
      </c>
      <c r="D32" s="153">
        <v>280</v>
      </c>
      <c r="E32" s="154">
        <v>1425945</v>
      </c>
      <c r="F32" s="155">
        <v>30580111315</v>
      </c>
      <c r="G32" s="156" t="str">
        <f>IFERROR(IF(compras_mes1[[#This Row],[CUIT]]="","-",VLOOKUP(compras_mes1[[#This Row],[CUIT]],Lista_CUIT[#All],2,0)),"CUIT NO CARGADO")</f>
        <v>DHL EXPRESS (ARGENTINA) S.A.</v>
      </c>
      <c r="H32" s="157">
        <v>229044.93299999999</v>
      </c>
      <c r="I32" s="158">
        <f>compras_mes1[[#This Row],[NETO GRAVADO]]*0.21</f>
        <v>48099.43593</v>
      </c>
      <c r="J32" s="158"/>
      <c r="K32" s="158"/>
      <c r="L32" s="158"/>
      <c r="M32" s="158"/>
      <c r="N32" s="158"/>
      <c r="O32" s="158">
        <v>-187050.96</v>
      </c>
      <c r="P32" s="159">
        <f>SUM(compras_mes1[[#This Row],[NETO GRAVADO]:[Otros / No Grav.]])</f>
        <v>90093.408930000005</v>
      </c>
      <c r="Q32" s="160" t="str">
        <f>IFERROR(IF(compras_mes1[[#This Row],[CUIT]]="","-",VLOOKUP(compras_mes1[[#This Row],[CUIT]],Lista_CUIT[#All],3,0)),"CUIT NO CARGADO")</f>
        <v>Gtos. Imp.</v>
      </c>
      <c r="R32" s="160">
        <f>IFERROR(IF(compras_mes1[[#This Row],[CUIT]]="","-",VLOOKUP(compras_mes1[[#This Row],[CUIT]],Lista_CUIT[#All],4,0)),"CUIT NO CARGADO")</f>
        <v>0</v>
      </c>
    </row>
    <row r="33" spans="2:18" x14ac:dyDescent="0.3">
      <c r="B33" s="218">
        <v>45037</v>
      </c>
      <c r="C33" s="208">
        <v>1</v>
      </c>
      <c r="D33" s="219">
        <v>106</v>
      </c>
      <c r="E33" s="220">
        <v>625357</v>
      </c>
      <c r="F33" s="221">
        <v>30594494187</v>
      </c>
      <c r="G33" s="222" t="str">
        <f>IFERROR(IF(compras_mes1[[#This Row],[CUIT]]="","-",VLOOKUP(compras_mes1[[#This Row],[CUIT]],Lista_CUIT[#All],2,0)),"CUIT NO CARGADO")</f>
        <v>FEDERAL EXPRESS CORPORATION</v>
      </c>
      <c r="H33" s="223">
        <v>16092</v>
      </c>
      <c r="I33" s="215">
        <f>compras_mes1[[#This Row],[NETO GRAVADO]]*0.21</f>
        <v>3379.3199999999997</v>
      </c>
      <c r="J33" s="215"/>
      <c r="K33" s="215"/>
      <c r="L33" s="215"/>
      <c r="M33" s="215"/>
      <c r="N33" s="215"/>
      <c r="O33" s="215">
        <v>81504.98</v>
      </c>
      <c r="P33" s="224">
        <f>SUM(compras_mes1[[#This Row],[NETO GRAVADO]:[Otros / No Grav.]])</f>
        <v>100976.29999999999</v>
      </c>
      <c r="Q33" s="225" t="str">
        <f>IFERROR(IF(compras_mes1[[#This Row],[CUIT]]="","-",VLOOKUP(compras_mes1[[#This Row],[CUIT]],Lista_CUIT[#All],3,0)),"CUIT NO CARGADO")</f>
        <v>Gtos. Imp.</v>
      </c>
      <c r="R33" s="225">
        <f>IFERROR(IF(compras_mes1[[#This Row],[CUIT]]="","-",VLOOKUP(compras_mes1[[#This Row],[CUIT]],Lista_CUIT[#All],4,0)),"CUIT NO CARGADO")</f>
        <v>0</v>
      </c>
    </row>
    <row r="34" spans="2:18" x14ac:dyDescent="0.3">
      <c r="B34" s="152">
        <v>45040</v>
      </c>
      <c r="C34" s="41">
        <v>1</v>
      </c>
      <c r="D34" s="153">
        <v>700</v>
      </c>
      <c r="E34" s="154">
        <v>512833</v>
      </c>
      <c r="F34" s="155">
        <v>30580111315</v>
      </c>
      <c r="G34" s="156" t="str">
        <f>IFERROR(IF(compras_mes1[[#This Row],[CUIT]]="","-",VLOOKUP(compras_mes1[[#This Row],[CUIT]],Lista_CUIT[#All],2,0)),"CUIT NO CARGADO")</f>
        <v>DHL EXPRESS (ARGENTINA) S.A.</v>
      </c>
      <c r="H34" s="157">
        <v>3150</v>
      </c>
      <c r="I34" s="158">
        <f>compras_mes1[[#This Row],[NETO GRAVADO]]*0.21</f>
        <v>661.5</v>
      </c>
      <c r="J34" s="158"/>
      <c r="K34" s="158"/>
      <c r="L34" s="158"/>
      <c r="M34" s="158"/>
      <c r="N34" s="158"/>
      <c r="O34" s="158">
        <v>155160</v>
      </c>
      <c r="P34" s="159">
        <f>SUM(compras_mes1[[#This Row],[NETO GRAVADO]:[Otros / No Grav.]])</f>
        <v>158971.5</v>
      </c>
      <c r="Q34" s="160" t="str">
        <f>IFERROR(IF(compras_mes1[[#This Row],[CUIT]]="","-",VLOOKUP(compras_mes1[[#This Row],[CUIT]],Lista_CUIT[#All],3,0)),"CUIT NO CARGADO")</f>
        <v>Gtos. Imp.</v>
      </c>
      <c r="R34" s="160">
        <f>IFERROR(IF(compras_mes1[[#This Row],[CUIT]]="","-",VLOOKUP(compras_mes1[[#This Row],[CUIT]],Lista_CUIT[#All],4,0)),"CUIT NO CARGADO")</f>
        <v>0</v>
      </c>
    </row>
    <row r="35" spans="2:18" x14ac:dyDescent="0.3">
      <c r="B35" s="152">
        <v>45040</v>
      </c>
      <c r="C35" s="164">
        <v>1</v>
      </c>
      <c r="D35" s="153">
        <v>280</v>
      </c>
      <c r="E35" s="154">
        <v>1427245</v>
      </c>
      <c r="F35" s="155">
        <v>30580111315</v>
      </c>
      <c r="G35" s="156" t="str">
        <f>IFERROR(IF(compras_mes1[[#This Row],[CUIT]]="","-",VLOOKUP(compras_mes1[[#This Row],[CUIT]],Lista_CUIT[#All],2,0)),"CUIT NO CARGADO")</f>
        <v>DHL EXPRESS (ARGENTINA) S.A.</v>
      </c>
      <c r="H35" s="157">
        <v>241504.0589</v>
      </c>
      <c r="I35" s="158">
        <f>compras_mes1[[#This Row],[NETO GRAVADO]]*0.21</f>
        <v>50715.852369</v>
      </c>
      <c r="J35" s="158"/>
      <c r="K35" s="158"/>
      <c r="L35" s="158"/>
      <c r="M35" s="158"/>
      <c r="N35" s="158"/>
      <c r="O35" s="158">
        <v>-197435.30220000001</v>
      </c>
      <c r="P35" s="159">
        <f>SUM(compras_mes1[[#This Row],[NETO GRAVADO]:[Otros / No Grav.]])</f>
        <v>94784.609069000027</v>
      </c>
      <c r="Q35" s="160" t="str">
        <f>IFERROR(IF(compras_mes1[[#This Row],[CUIT]]="","-",VLOOKUP(compras_mes1[[#This Row],[CUIT]],Lista_CUIT[#All],3,0)),"CUIT NO CARGADO")</f>
        <v>Gtos. Imp.</v>
      </c>
      <c r="R35" s="160">
        <f>IFERROR(IF(compras_mes1[[#This Row],[CUIT]]="","-",VLOOKUP(compras_mes1[[#This Row],[CUIT]],Lista_CUIT[#All],4,0)),"CUIT NO CARGADO")</f>
        <v>0</v>
      </c>
    </row>
    <row r="36" spans="2:18" x14ac:dyDescent="0.3">
      <c r="B36" s="152">
        <v>45046</v>
      </c>
      <c r="C36" s="41">
        <v>1</v>
      </c>
      <c r="D36" s="153">
        <v>700</v>
      </c>
      <c r="E36" s="154">
        <v>516705</v>
      </c>
      <c r="F36" s="155">
        <v>30580111315</v>
      </c>
      <c r="G36" s="156" t="str">
        <f>IFERROR(IF(compras_mes1[[#This Row],[CUIT]]="","-",VLOOKUP(compras_mes1[[#This Row],[CUIT]],Lista_CUIT[#All],2,0)),"CUIT NO CARGADO")</f>
        <v>DHL EXPRESS (ARGENTINA) S.A.</v>
      </c>
      <c r="H36" s="157">
        <v>3206</v>
      </c>
      <c r="I36" s="158">
        <f>compras_mes1[[#This Row],[NETO GRAVADO]]*0.21</f>
        <v>673.26</v>
      </c>
      <c r="J36" s="158"/>
      <c r="K36" s="158"/>
      <c r="L36" s="158"/>
      <c r="M36" s="158"/>
      <c r="N36" s="158"/>
      <c r="O36" s="158">
        <v>128574.34000000001</v>
      </c>
      <c r="P36" s="159">
        <f>SUM(compras_mes1[[#This Row],[NETO GRAVADO]:[Otros / No Grav.]])</f>
        <v>132453.6</v>
      </c>
      <c r="Q36" s="160" t="str">
        <f>IFERROR(IF(compras_mes1[[#This Row],[CUIT]]="","-",VLOOKUP(compras_mes1[[#This Row],[CUIT]],Lista_CUIT[#All],3,0)),"CUIT NO CARGADO")</f>
        <v>Gtos. Imp.</v>
      </c>
      <c r="R36" s="160">
        <f>IFERROR(IF(compras_mes1[[#This Row],[CUIT]]="","-",VLOOKUP(compras_mes1[[#This Row],[CUIT]],Lista_CUIT[#All],4,0)),"CUIT NO CARGADO")</f>
        <v>0</v>
      </c>
    </row>
    <row r="37" spans="2:18" x14ac:dyDescent="0.3">
      <c r="B37" s="173">
        <v>45022</v>
      </c>
      <c r="C37" s="41">
        <v>1</v>
      </c>
      <c r="D37" s="174">
        <v>6</v>
      </c>
      <c r="E37" s="124">
        <v>16511</v>
      </c>
      <c r="F37" s="175">
        <v>30714971782</v>
      </c>
      <c r="G37" s="176" t="str">
        <f>IFERROR(IF(compras_mes1[[#This Row],[CUIT]]="","-",VLOOKUP(compras_mes1[[#This Row],[CUIT]],Lista_CUIT[#All],2,0)),"CUIT NO CARGADO")</f>
        <v>PINTOS SCHMIDT ALDANA MARCELA Y SACK ADRIANA CRISTINA SH</v>
      </c>
      <c r="H37" s="177">
        <v>1119.82</v>
      </c>
      <c r="I37" s="178">
        <f>compras_mes1[[#This Row],[NETO GRAVADO]]*0.21</f>
        <v>235.16219999999998</v>
      </c>
      <c r="J37" s="178"/>
      <c r="K37" s="178"/>
      <c r="L37" s="178"/>
      <c r="M37" s="158"/>
      <c r="N37" s="178"/>
      <c r="O37" s="178"/>
      <c r="P37" s="179">
        <f>SUM(compras_mes1[[#This Row],[NETO GRAVADO]:[Otros / No Grav.]])</f>
        <v>1354.9821999999999</v>
      </c>
      <c r="Q37" s="180" t="str">
        <f>IFERROR(IF(compras_mes1[[#This Row],[CUIT]]="","-",VLOOKUP(compras_mes1[[#This Row],[CUIT]],Lista_CUIT[#All],3,0)),"CUIT NO CARGADO")</f>
        <v>INSUMO</v>
      </c>
      <c r="R37" s="180">
        <f>IFERROR(IF(compras_mes1[[#This Row],[CUIT]]="","-",VLOOKUP(compras_mes1[[#This Row],[CUIT]],Lista_CUIT[#All],4,0)),"CUIT NO CARGADO")</f>
        <v>0</v>
      </c>
    </row>
    <row r="38" spans="2:18" x14ac:dyDescent="0.3">
      <c r="B38" s="173">
        <v>45027</v>
      </c>
      <c r="C38" s="41">
        <v>1</v>
      </c>
      <c r="D38" s="174">
        <v>2</v>
      </c>
      <c r="E38" s="124">
        <v>2385</v>
      </c>
      <c r="F38" s="175">
        <v>30709131733</v>
      </c>
      <c r="G38" s="176" t="str">
        <f>IFERROR(IF(compras_mes1[[#This Row],[CUIT]]="","-",VLOOKUP(compras_mes1[[#This Row],[CUIT]],Lista_CUIT[#All],2,0)),"CUIT NO CARGADO")</f>
        <v>DIGAS SRL</v>
      </c>
      <c r="H38" s="177">
        <v>585234</v>
      </c>
      <c r="I38" s="178">
        <f>compras_mes1[[#This Row],[NETO GRAVADO]]*0.21</f>
        <v>122899.14</v>
      </c>
      <c r="J38" s="178"/>
      <c r="K38" s="178"/>
      <c r="L38" s="178"/>
      <c r="M38" s="158"/>
      <c r="N38" s="178"/>
      <c r="O38" s="178"/>
      <c r="P38" s="179">
        <f>SUM(compras_mes1[[#This Row],[NETO GRAVADO]:[Otros / No Grav.]])</f>
        <v>708133.14</v>
      </c>
      <c r="Q38" s="180" t="str">
        <f>IFERROR(IF(compras_mes1[[#This Row],[CUIT]]="","-",VLOOKUP(compras_mes1[[#This Row],[CUIT]],Lista_CUIT[#All],3,0)),"CUIT NO CARGADO")</f>
        <v>INSUMO</v>
      </c>
      <c r="R38" s="180">
        <f>IFERROR(IF(compras_mes1[[#This Row],[CUIT]]="","-",VLOOKUP(compras_mes1[[#This Row],[CUIT]],Lista_CUIT[#All],4,0)),"CUIT NO CARGADO")</f>
        <v>0</v>
      </c>
    </row>
    <row r="39" spans="2:18" x14ac:dyDescent="0.3">
      <c r="B39" s="173">
        <v>45027</v>
      </c>
      <c r="C39" s="41">
        <v>1</v>
      </c>
      <c r="D39" s="174">
        <v>9</v>
      </c>
      <c r="E39" s="124">
        <v>1554</v>
      </c>
      <c r="F39" s="175">
        <v>30631047145</v>
      </c>
      <c r="G39" s="176" t="str">
        <f>IFERROR(IF(compras_mes1[[#This Row],[CUIT]]="","-",VLOOKUP(compras_mes1[[#This Row],[CUIT]],Lista_CUIT[#All],2,0)),"CUIT NO CARGADO")</f>
        <v>SEMICONDUC. Y COMPON. SRL</v>
      </c>
      <c r="H39" s="177">
        <v>164230</v>
      </c>
      <c r="I39" s="178">
        <v>9632.7000000000007</v>
      </c>
      <c r="J39" s="178"/>
      <c r="K39" s="178">
        <v>12427.8</v>
      </c>
      <c r="L39" s="178"/>
      <c r="M39" s="158"/>
      <c r="N39" s="178"/>
      <c r="O39" s="178"/>
      <c r="P39" s="179">
        <f>SUM(compras_mes1[[#This Row],[NETO GRAVADO]:[Otros / No Grav.]])</f>
        <v>186290.5</v>
      </c>
      <c r="Q39" s="180" t="str">
        <f>IFERROR(IF(compras_mes1[[#This Row],[CUIT]]="","-",VLOOKUP(compras_mes1[[#This Row],[CUIT]],Lista_CUIT[#All],3,0)),"CUIT NO CARGADO")</f>
        <v>INSUMO</v>
      </c>
      <c r="R39" s="180">
        <f>IFERROR(IF(compras_mes1[[#This Row],[CUIT]]="","-",VLOOKUP(compras_mes1[[#This Row],[CUIT]],Lista_CUIT[#All],4,0)),"CUIT NO CARGADO")</f>
        <v>0</v>
      </c>
    </row>
    <row r="40" spans="2:18" x14ac:dyDescent="0.3">
      <c r="B40" s="173">
        <v>45028</v>
      </c>
      <c r="C40" s="41">
        <v>1</v>
      </c>
      <c r="D40" s="174">
        <v>2</v>
      </c>
      <c r="E40" s="124">
        <v>165</v>
      </c>
      <c r="F40" s="175">
        <v>20125142851</v>
      </c>
      <c r="G40" s="176" t="str">
        <f>IFERROR(IF(compras_mes1[[#This Row],[CUIT]]="","-",VLOOKUP(compras_mes1[[#This Row],[CUIT]],Lista_CUIT[#All],2,0)),"CUIT NO CARGADO")</f>
        <v>FEDERICI NICOLAS JOSE</v>
      </c>
      <c r="H40" s="177">
        <v>10150.81</v>
      </c>
      <c r="I40" s="178">
        <f>compras_mes1[[#This Row],[NETO GRAVADO]]*0.21</f>
        <v>2131.6700999999998</v>
      </c>
      <c r="J40" s="178"/>
      <c r="K40" s="178"/>
      <c r="L40" s="178"/>
      <c r="M40" s="158"/>
      <c r="N40" s="178"/>
      <c r="O40" s="178"/>
      <c r="P40" s="179">
        <f>SUM(compras_mes1[[#This Row],[NETO GRAVADO]:[Otros / No Grav.]])</f>
        <v>12282.480099999999</v>
      </c>
      <c r="Q40" s="180" t="str">
        <f>IFERROR(IF(compras_mes1[[#This Row],[CUIT]]="","-",VLOOKUP(compras_mes1[[#This Row],[CUIT]],Lista_CUIT[#All],3,0)),"CUIT NO CARGADO")</f>
        <v>INSUMO</v>
      </c>
      <c r="R40" s="180">
        <f>IFERROR(IF(compras_mes1[[#This Row],[CUIT]]="","-",VLOOKUP(compras_mes1[[#This Row],[CUIT]],Lista_CUIT[#All],4,0)),"CUIT NO CARGADO")</f>
        <v>0</v>
      </c>
    </row>
    <row r="41" spans="2:18" x14ac:dyDescent="0.3">
      <c r="B41" s="173">
        <v>45028</v>
      </c>
      <c r="C41" s="41">
        <v>1</v>
      </c>
      <c r="D41" s="174">
        <v>2</v>
      </c>
      <c r="E41" s="124">
        <v>555</v>
      </c>
      <c r="F41" s="175">
        <v>30717334384</v>
      </c>
      <c r="G41" s="176" t="str">
        <f>IFERROR(IF(compras_mes1[[#This Row],[CUIT]]="","-",VLOOKUP(compras_mes1[[#This Row],[CUIT]],Lista_CUIT[#All],2,0)),"CUIT NO CARGADO")</f>
        <v>OLIVEAR S. R. L.</v>
      </c>
      <c r="H41" s="177">
        <v>11320.66</v>
      </c>
      <c r="I41" s="178">
        <f>compras_mes1[[#This Row],[NETO GRAVADO]]*0.21</f>
        <v>2377.3386</v>
      </c>
      <c r="J41" s="178"/>
      <c r="K41" s="178"/>
      <c r="L41" s="178"/>
      <c r="M41" s="158"/>
      <c r="N41" s="178"/>
      <c r="O41" s="178"/>
      <c r="P41" s="179">
        <f>SUM(compras_mes1[[#This Row],[NETO GRAVADO]:[Otros / No Grav.]])</f>
        <v>13697.998599999999</v>
      </c>
      <c r="Q41" s="180" t="str">
        <f>IFERROR(IF(compras_mes1[[#This Row],[CUIT]]="","-",VLOOKUP(compras_mes1[[#This Row],[CUIT]],Lista_CUIT[#All],3,0)),"CUIT NO CARGADO")</f>
        <v>INSUMO</v>
      </c>
      <c r="R41" s="180">
        <f>IFERROR(IF(compras_mes1[[#This Row],[CUIT]]="","-",VLOOKUP(compras_mes1[[#This Row],[CUIT]],Lista_CUIT[#All],4,0)),"CUIT NO CARGADO")</f>
        <v>0</v>
      </c>
    </row>
    <row r="42" spans="2:18" x14ac:dyDescent="0.3">
      <c r="B42" s="152">
        <v>45035</v>
      </c>
      <c r="C42" s="41">
        <v>1</v>
      </c>
      <c r="D42" s="153">
        <v>2</v>
      </c>
      <c r="E42" s="154">
        <v>166</v>
      </c>
      <c r="F42" s="155">
        <v>20125142851</v>
      </c>
      <c r="G42" s="156" t="str">
        <f>IFERROR(IF(compras_mes1[[#This Row],[CUIT]]="","-",VLOOKUP(compras_mes1[[#This Row],[CUIT]],Lista_CUIT[#All],2,0)),"CUIT NO CARGADO")</f>
        <v>FEDERICI NICOLAS JOSE</v>
      </c>
      <c r="H42" s="157">
        <v>42633.38</v>
      </c>
      <c r="I42" s="158">
        <f>compras_mes1[[#This Row],[NETO GRAVADO]]*0.21</f>
        <v>8953.0097999999998</v>
      </c>
      <c r="J42" s="158"/>
      <c r="K42" s="158"/>
      <c r="L42" s="158"/>
      <c r="M42" s="158"/>
      <c r="N42" s="158"/>
      <c r="O42" s="158"/>
      <c r="P42" s="159">
        <f>SUM(compras_mes1[[#This Row],[NETO GRAVADO]:[Otros / No Grav.]])</f>
        <v>51586.389799999997</v>
      </c>
      <c r="Q42" s="160" t="str">
        <f>IFERROR(IF(compras_mes1[[#This Row],[CUIT]]="","-",VLOOKUP(compras_mes1[[#This Row],[CUIT]],Lista_CUIT[#All],3,0)),"CUIT NO CARGADO")</f>
        <v>INSUMO</v>
      </c>
      <c r="R42" s="160">
        <f>IFERROR(IF(compras_mes1[[#This Row],[CUIT]]="","-",VLOOKUP(compras_mes1[[#This Row],[CUIT]],Lista_CUIT[#All],4,0)),"CUIT NO CARGADO")</f>
        <v>0</v>
      </c>
    </row>
    <row r="43" spans="2:18" x14ac:dyDescent="0.3">
      <c r="B43" s="152">
        <v>45037</v>
      </c>
      <c r="C43" s="41">
        <v>1</v>
      </c>
      <c r="D43" s="153">
        <v>3</v>
      </c>
      <c r="E43" s="154">
        <v>7060</v>
      </c>
      <c r="F43" s="155">
        <v>30710212127</v>
      </c>
      <c r="G43" s="156" t="str">
        <f>IFERROR(IF(compras_mes1[[#This Row],[CUIT]]="","-",VLOOKUP(compras_mes1[[#This Row],[CUIT]],Lista_CUIT[#All],2,0)),"CUIT NO CARGADO")</f>
        <v>J Y M COMPONENTES ELECTRICOS S.A.</v>
      </c>
      <c r="H43" s="157">
        <v>1810569.85</v>
      </c>
      <c r="I43" s="158">
        <f>compras_mes1[[#This Row],[NETO GRAVADO]]*0.21</f>
        <v>380219.66850000003</v>
      </c>
      <c r="J43" s="158"/>
      <c r="K43" s="158"/>
      <c r="L43" s="158"/>
      <c r="M43" s="158"/>
      <c r="N43" s="158"/>
      <c r="O43" s="158"/>
      <c r="P43" s="159">
        <f>SUM(compras_mes1[[#This Row],[NETO GRAVADO]:[Otros / No Grav.]])</f>
        <v>2190789.5185000002</v>
      </c>
      <c r="Q43" s="160" t="str">
        <f>IFERROR(IF(compras_mes1[[#This Row],[CUIT]]="","-",VLOOKUP(compras_mes1[[#This Row],[CUIT]],Lista_CUIT[#All],3,0)),"CUIT NO CARGADO")</f>
        <v>INSUMO</v>
      </c>
      <c r="R43" s="160">
        <f>IFERROR(IF(compras_mes1[[#This Row],[CUIT]]="","-",VLOOKUP(compras_mes1[[#This Row],[CUIT]],Lista_CUIT[#All],4,0)),"CUIT NO CARGADO")</f>
        <v>0</v>
      </c>
    </row>
    <row r="44" spans="2:18" x14ac:dyDescent="0.3">
      <c r="B44" s="152">
        <v>45041</v>
      </c>
      <c r="C44" s="41">
        <v>1</v>
      </c>
      <c r="D44" s="153">
        <v>2</v>
      </c>
      <c r="E44" s="154">
        <v>167</v>
      </c>
      <c r="F44" s="155">
        <v>20125142851</v>
      </c>
      <c r="G44" s="156" t="str">
        <f>IFERROR(IF(compras_mes1[[#This Row],[CUIT]]="","-",VLOOKUP(compras_mes1[[#This Row],[CUIT]],Lista_CUIT[#All],2,0)),"CUIT NO CARGADO")</f>
        <v>FEDERICI NICOLAS JOSE</v>
      </c>
      <c r="H44" s="157">
        <v>66779.86</v>
      </c>
      <c r="I44" s="158">
        <f>compras_mes1[[#This Row],[NETO GRAVADO]]*0.21</f>
        <v>14023.7706</v>
      </c>
      <c r="J44" s="158"/>
      <c r="K44" s="158"/>
      <c r="L44" s="158"/>
      <c r="M44" s="158"/>
      <c r="N44" s="158"/>
      <c r="O44" s="158"/>
      <c r="P44" s="159">
        <f>SUM(compras_mes1[[#This Row],[NETO GRAVADO]:[Otros / No Grav.]])</f>
        <v>80803.630600000004</v>
      </c>
      <c r="Q44" s="160" t="str">
        <f>IFERROR(IF(compras_mes1[[#This Row],[CUIT]]="","-",VLOOKUP(compras_mes1[[#This Row],[CUIT]],Lista_CUIT[#All],3,0)),"CUIT NO CARGADO")</f>
        <v>INSUMO</v>
      </c>
      <c r="R44" s="160">
        <f>IFERROR(IF(compras_mes1[[#This Row],[CUIT]]="","-",VLOOKUP(compras_mes1[[#This Row],[CUIT]],Lista_CUIT[#All],4,0)),"CUIT NO CARGADO")</f>
        <v>0</v>
      </c>
    </row>
    <row r="45" spans="2:18" x14ac:dyDescent="0.3">
      <c r="B45" s="152">
        <v>45041</v>
      </c>
      <c r="C45" s="41">
        <v>1</v>
      </c>
      <c r="D45" s="153">
        <v>2</v>
      </c>
      <c r="E45" s="154">
        <v>168</v>
      </c>
      <c r="F45" s="155">
        <v>20125142851</v>
      </c>
      <c r="G45" s="156" t="str">
        <f>IFERROR(IF(compras_mes1[[#This Row],[CUIT]]="","-",VLOOKUP(compras_mes1[[#This Row],[CUIT]],Lista_CUIT[#All],2,0)),"CUIT NO CARGADO")</f>
        <v>FEDERICI NICOLAS JOSE</v>
      </c>
      <c r="H45" s="157">
        <v>72262</v>
      </c>
      <c r="I45" s="158">
        <f>compras_mes1[[#This Row],[NETO GRAVADO]]*0.21</f>
        <v>15175.019999999999</v>
      </c>
      <c r="J45" s="158"/>
      <c r="K45" s="158"/>
      <c r="L45" s="158"/>
      <c r="M45" s="158"/>
      <c r="N45" s="158"/>
      <c r="O45" s="158"/>
      <c r="P45" s="159">
        <f>SUM(compras_mes1[[#This Row],[NETO GRAVADO]:[Otros / No Grav.]])</f>
        <v>87437.02</v>
      </c>
      <c r="Q45" s="160" t="str">
        <f>IFERROR(IF(compras_mes1[[#This Row],[CUIT]]="","-",VLOOKUP(compras_mes1[[#This Row],[CUIT]],Lista_CUIT[#All],3,0)),"CUIT NO CARGADO")</f>
        <v>INSUMO</v>
      </c>
      <c r="R45" s="160">
        <f>IFERROR(IF(compras_mes1[[#This Row],[CUIT]]="","-",VLOOKUP(compras_mes1[[#This Row],[CUIT]],Lista_CUIT[#All],4,0)),"CUIT NO CARGADO")</f>
        <v>0</v>
      </c>
    </row>
    <row r="46" spans="2:18" x14ac:dyDescent="0.3">
      <c r="B46" s="152">
        <v>45041</v>
      </c>
      <c r="C46" s="41">
        <v>1</v>
      </c>
      <c r="D46" s="153">
        <v>2</v>
      </c>
      <c r="E46" s="154">
        <v>169</v>
      </c>
      <c r="F46" s="155">
        <v>20125142851</v>
      </c>
      <c r="G46" s="156" t="str">
        <f>IFERROR(IF(compras_mes1[[#This Row],[CUIT]]="","-",VLOOKUP(compras_mes1[[#This Row],[CUIT]],Lista_CUIT[#All],2,0)),"CUIT NO CARGADO")</f>
        <v>FEDERICI NICOLAS JOSE</v>
      </c>
      <c r="H46" s="157">
        <v>31467.48</v>
      </c>
      <c r="I46" s="158">
        <f>compras_mes1[[#This Row],[NETO GRAVADO]]*0.21</f>
        <v>6608.1707999999999</v>
      </c>
      <c r="J46" s="158"/>
      <c r="K46" s="158"/>
      <c r="L46" s="158"/>
      <c r="M46" s="158"/>
      <c r="N46" s="158"/>
      <c r="O46" s="158"/>
      <c r="P46" s="159">
        <f>SUM(compras_mes1[[#This Row],[NETO GRAVADO]:[Otros / No Grav.]])</f>
        <v>38075.650800000003</v>
      </c>
      <c r="Q46" s="160" t="str">
        <f>IFERROR(IF(compras_mes1[[#This Row],[CUIT]]="","-",VLOOKUP(compras_mes1[[#This Row],[CUIT]],Lista_CUIT[#All],3,0)),"CUIT NO CARGADO")</f>
        <v>INSUMO</v>
      </c>
      <c r="R46" s="160">
        <f>IFERROR(IF(compras_mes1[[#This Row],[CUIT]]="","-",VLOOKUP(compras_mes1[[#This Row],[CUIT]],Lista_CUIT[#All],4,0)),"CUIT NO CARGADO")</f>
        <v>0</v>
      </c>
    </row>
    <row r="47" spans="2:18" x14ac:dyDescent="0.3">
      <c r="B47" s="173">
        <v>45017</v>
      </c>
      <c r="C47" s="41">
        <v>1</v>
      </c>
      <c r="D47" s="174">
        <v>8</v>
      </c>
      <c r="E47" s="124">
        <v>3130</v>
      </c>
      <c r="F47" s="175">
        <v>20304940019</v>
      </c>
      <c r="G47" s="176" t="str">
        <f>IFERROR(IF(compras_mes1[[#This Row],[CUIT]]="","-",VLOOKUP(compras_mes1[[#This Row],[CUIT]],Lista_CUIT[#All],2,0)),"CUIT NO CARGADO")</f>
        <v>LAZZARIN LIMA MARTIN IGNACIO</v>
      </c>
      <c r="H47" s="177">
        <v>5525.91</v>
      </c>
      <c r="I47" s="178">
        <v>77.790000000000006</v>
      </c>
      <c r="J47" s="178"/>
      <c r="K47" s="178">
        <v>541.32000000000005</v>
      </c>
      <c r="L47" s="178"/>
      <c r="M47" s="158"/>
      <c r="N47" s="178"/>
      <c r="O47" s="178"/>
      <c r="P47" s="179">
        <f>SUM(compras_mes1[[#This Row],[NETO GRAVADO]:[Otros / No Grav.]])</f>
        <v>6145.0199999999995</v>
      </c>
      <c r="Q47" s="180" t="str">
        <f>IFERROR(IF(compras_mes1[[#This Row],[CUIT]]="","-",VLOOKUP(compras_mes1[[#This Row],[CUIT]],Lista_CUIT[#All],3,0)),"CUIT NO CARGADO")</f>
        <v>Mantenimiento</v>
      </c>
      <c r="R47" s="180">
        <f>IFERROR(IF(compras_mes1[[#This Row],[CUIT]]="","-",VLOOKUP(compras_mes1[[#This Row],[CUIT]],Lista_CUIT[#All],4,0)),"CUIT NO CARGADO")</f>
        <v>0</v>
      </c>
    </row>
    <row r="48" spans="2:18" x14ac:dyDescent="0.3">
      <c r="B48" s="152">
        <v>45044</v>
      </c>
      <c r="C48" s="41">
        <v>1</v>
      </c>
      <c r="D48" s="153">
        <v>6</v>
      </c>
      <c r="E48" s="154">
        <v>11583</v>
      </c>
      <c r="F48" s="155">
        <v>30707756434</v>
      </c>
      <c r="G48" s="156" t="str">
        <f>IFERROR(IF(compras_mes1[[#This Row],[CUIT]]="","-",VLOOKUP(compras_mes1[[#This Row],[CUIT]],Lista_CUIT[#All],2,0)),"CUIT NO CARGADO")</f>
        <v>SERVICIO INTEGRAL DE LIMPIEZA SRL</v>
      </c>
      <c r="H48" s="157">
        <v>30400</v>
      </c>
      <c r="I48" s="158">
        <f>compras_mes1[[#This Row],[NETO GRAVADO]]*0.21</f>
        <v>6384</v>
      </c>
      <c r="J48" s="158"/>
      <c r="K48" s="158"/>
      <c r="L48" s="158"/>
      <c r="M48" s="158"/>
      <c r="N48" s="158"/>
      <c r="O48" s="158"/>
      <c r="P48" s="159">
        <f>SUM(compras_mes1[[#This Row],[NETO GRAVADO]:[Otros / No Grav.]])</f>
        <v>36784</v>
      </c>
      <c r="Q48" s="160" t="str">
        <f>IFERROR(IF(compras_mes1[[#This Row],[CUIT]]="","-",VLOOKUP(compras_mes1[[#This Row],[CUIT]],Lista_CUIT[#All],3,0)),"CUIT NO CARGADO")</f>
        <v>Mantenimiento</v>
      </c>
      <c r="R48" s="160">
        <f>IFERROR(IF(compras_mes1[[#This Row],[CUIT]]="","-",VLOOKUP(compras_mes1[[#This Row],[CUIT]],Lista_CUIT[#All],4,0)),"CUIT NO CARGADO")</f>
        <v>0</v>
      </c>
    </row>
    <row r="49" spans="2:19" x14ac:dyDescent="0.3">
      <c r="B49" s="173">
        <v>45020</v>
      </c>
      <c r="C49" s="41">
        <v>1</v>
      </c>
      <c r="D49" s="174">
        <v>18</v>
      </c>
      <c r="E49" s="124">
        <v>9497</v>
      </c>
      <c r="F49" s="175">
        <v>30582605021</v>
      </c>
      <c r="G49" s="176" t="str">
        <f>IFERROR(IF(compras_mes1[[#This Row],[CUIT]]="","-",VLOOKUP(compras_mes1[[#This Row],[CUIT]],Lista_CUIT[#All],2,0)),"CUIT NO CARGADO")</f>
        <v>ELECTROCOMPONENTES SA</v>
      </c>
      <c r="H49" s="177">
        <v>32614.94</v>
      </c>
      <c r="I49" s="178">
        <f>compras_mes1[[#This Row],[NETO GRAVADO]]*0.21</f>
        <v>6849.1373999999996</v>
      </c>
      <c r="J49" s="178"/>
      <c r="K49" s="178"/>
      <c r="L49" s="178"/>
      <c r="M49" s="158"/>
      <c r="N49" s="178"/>
      <c r="O49" s="178"/>
      <c r="P49" s="179">
        <f>SUM(compras_mes1[[#This Row],[NETO GRAVADO]:[Otros / No Grav.]])</f>
        <v>39464.077399999995</v>
      </c>
      <c r="Q49" s="180" t="str">
        <f>IFERROR(IF(compras_mes1[[#This Row],[CUIT]]="","-",VLOOKUP(compras_mes1[[#This Row],[CUIT]],Lista_CUIT[#All],3,0)),"CUIT NO CARGADO")</f>
        <v>Mat. Prima</v>
      </c>
      <c r="R49" s="180">
        <f>IFERROR(IF(compras_mes1[[#This Row],[CUIT]]="","-",VLOOKUP(compras_mes1[[#This Row],[CUIT]],Lista_CUIT[#All],4,0)),"CUIT NO CARGADO")</f>
        <v>0</v>
      </c>
    </row>
    <row r="50" spans="2:19" x14ac:dyDescent="0.3">
      <c r="B50" s="173">
        <v>45027</v>
      </c>
      <c r="C50" s="41">
        <v>1</v>
      </c>
      <c r="D50" s="174">
        <v>3</v>
      </c>
      <c r="E50" s="124">
        <v>4905</v>
      </c>
      <c r="F50" s="175">
        <v>30709665967</v>
      </c>
      <c r="G50" s="176" t="str">
        <f>IFERROR(IF(compras_mes1[[#This Row],[CUIT]]="","-",VLOOKUP(compras_mes1[[#This Row],[CUIT]],Lista_CUIT[#All],2,0)),"CUIT NO CARGADO")</f>
        <v>INDUSTRIAS FEMAN S.R.L.</v>
      </c>
      <c r="H50" s="177">
        <v>185954</v>
      </c>
      <c r="I50" s="178">
        <f>compras_mes1[[#This Row],[NETO GRAVADO]]*0.21</f>
        <v>39050.339999999997</v>
      </c>
      <c r="J50" s="178"/>
      <c r="K50" s="178"/>
      <c r="L50" s="178"/>
      <c r="M50" s="158"/>
      <c r="N50" s="178"/>
      <c r="O50" s="178"/>
      <c r="P50" s="179">
        <f>SUM(compras_mes1[[#This Row],[NETO GRAVADO]:[Otros / No Grav.]])</f>
        <v>225004.34</v>
      </c>
      <c r="Q50" s="180" t="str">
        <f>IFERROR(IF(compras_mes1[[#This Row],[CUIT]]="","-",VLOOKUP(compras_mes1[[#This Row],[CUIT]],Lista_CUIT[#All],3,0)),"CUIT NO CARGADO")</f>
        <v>Mat. Prima</v>
      </c>
      <c r="R50" s="180">
        <f>IFERROR(IF(compras_mes1[[#This Row],[CUIT]]="","-",VLOOKUP(compras_mes1[[#This Row],[CUIT]],Lista_CUIT[#All],4,0)),"CUIT NO CARGADO")</f>
        <v>0</v>
      </c>
    </row>
    <row r="51" spans="2:19" x14ac:dyDescent="0.3">
      <c r="B51" s="173">
        <v>45035</v>
      </c>
      <c r="C51" s="41">
        <v>1</v>
      </c>
      <c r="D51" s="174">
        <v>2</v>
      </c>
      <c r="E51" s="124">
        <v>612</v>
      </c>
      <c r="F51" s="175">
        <v>20296550184</v>
      </c>
      <c r="G51" s="176" t="str">
        <f>IFERROR(IF(compras_mes1[[#This Row],[CUIT]]="","-",VLOOKUP(compras_mes1[[#This Row],[CUIT]],Lista_CUIT[#All],2,0)),"CUIT NO CARGADO")</f>
        <v>COSTA DIEGO ALEJANDRO</v>
      </c>
      <c r="H51" s="177">
        <v>172040</v>
      </c>
      <c r="I51" s="178">
        <f>compras_mes1[[#This Row],[NETO GRAVADO]]*0.21</f>
        <v>36128.400000000001</v>
      </c>
      <c r="J51" s="178"/>
      <c r="K51" s="178"/>
      <c r="L51" s="178"/>
      <c r="M51" s="158"/>
      <c r="N51" s="178"/>
      <c r="O51" s="178"/>
      <c r="P51" s="179">
        <f>SUM(compras_mes1[[#This Row],[NETO GRAVADO]:[Otros / No Grav.]])</f>
        <v>208168.4</v>
      </c>
      <c r="Q51" s="180" t="str">
        <f>IFERROR(IF(compras_mes1[[#This Row],[CUIT]]="","-",VLOOKUP(compras_mes1[[#This Row],[CUIT]],Lista_CUIT[#All],3,0)),"CUIT NO CARGADO")</f>
        <v>Mat. Prima</v>
      </c>
      <c r="R51" s="180">
        <f>IFERROR(IF(compras_mes1[[#This Row],[CUIT]]="","-",VLOOKUP(compras_mes1[[#This Row],[CUIT]],Lista_CUIT[#All],4,0)),"CUIT NO CARGADO")</f>
        <v>0</v>
      </c>
    </row>
    <row r="52" spans="2:19" x14ac:dyDescent="0.3">
      <c r="B52" s="152">
        <v>45046</v>
      </c>
      <c r="C52" s="41">
        <v>1</v>
      </c>
      <c r="D52" s="153">
        <v>5</v>
      </c>
      <c r="E52" s="154">
        <v>1230</v>
      </c>
      <c r="F52" s="155">
        <v>30707397256</v>
      </c>
      <c r="G52" s="156" t="str">
        <f>IFERROR(IF(compras_mes1[[#This Row],[CUIT]]="","-",VLOOKUP(compras_mes1[[#This Row],[CUIT]],Lista_CUIT[#All],2,0)),"CUIT NO CARGADO")</f>
        <v>GRAFICA Y FOTOGRABADOS LA PLAZA SRL</v>
      </c>
      <c r="H52" s="157">
        <v>347670</v>
      </c>
      <c r="I52" s="158">
        <f>compras_mes1[[#This Row],[NETO GRAVADO]]*0.21</f>
        <v>73010.7</v>
      </c>
      <c r="J52" s="158"/>
      <c r="K52" s="158"/>
      <c r="L52" s="158"/>
      <c r="M52" s="158"/>
      <c r="N52" s="158"/>
      <c r="O52" s="158"/>
      <c r="P52" s="159">
        <f>SUM(compras_mes1[[#This Row],[NETO GRAVADO]:[Otros / No Grav.]])</f>
        <v>420680.7</v>
      </c>
      <c r="Q52" s="160" t="str">
        <f>IFERROR(IF(compras_mes1[[#This Row],[CUIT]]="","-",VLOOKUP(compras_mes1[[#This Row],[CUIT]],Lista_CUIT[#All],3,0)),"CUIT NO CARGADO")</f>
        <v>MATERIALES</v>
      </c>
      <c r="R52" s="160">
        <f>IFERROR(IF(compras_mes1[[#This Row],[CUIT]]="","-",VLOOKUP(compras_mes1[[#This Row],[CUIT]],Lista_CUIT[#All],4,0)),"CUIT NO CARGADO")</f>
        <v>0</v>
      </c>
    </row>
    <row r="53" spans="2:19" x14ac:dyDescent="0.3">
      <c r="B53" s="152">
        <v>45037</v>
      </c>
      <c r="C53" s="41">
        <v>1</v>
      </c>
      <c r="D53" s="153">
        <v>24</v>
      </c>
      <c r="E53" s="154">
        <v>2624</v>
      </c>
      <c r="F53" s="155">
        <v>30535770294</v>
      </c>
      <c r="G53" s="156" t="str">
        <f>IFERROR(IF(compras_mes1[[#This Row],[CUIT]]="","-",VLOOKUP(compras_mes1[[#This Row],[CUIT]],Lista_CUIT[#All],2,0)),"CUIT NO CARGADO")</f>
        <v>ALAMTEC SRL</v>
      </c>
      <c r="H53" s="157">
        <v>6694.23</v>
      </c>
      <c r="I53" s="158">
        <f>compras_mes1[[#This Row],[NETO GRAVADO]]*0.21</f>
        <v>1405.7882999999999</v>
      </c>
      <c r="J53" s="158"/>
      <c r="K53" s="158"/>
      <c r="L53" s="158"/>
      <c r="M53" s="158"/>
      <c r="N53" s="158"/>
      <c r="O53" s="158"/>
      <c r="P53" s="159">
        <f>SUM(compras_mes1[[#This Row],[NETO GRAVADO]:[Otros / No Grav.]])</f>
        <v>8100.0182999999997</v>
      </c>
      <c r="Q53" s="160" t="str">
        <f>IFERROR(IF(compras_mes1[[#This Row],[CUIT]]="","-",VLOOKUP(compras_mes1[[#This Row],[CUIT]],Lista_CUIT[#All],3,0)),"CUIT NO CARGADO")</f>
        <v>MERCADERIA</v>
      </c>
      <c r="R53" s="160">
        <f>IFERROR(IF(compras_mes1[[#This Row],[CUIT]]="","-",VLOOKUP(compras_mes1[[#This Row],[CUIT]],Lista_CUIT[#All],4,0)),"CUIT NO CARGADO")</f>
        <v>0</v>
      </c>
      <c r="S53" t="s">
        <v>1121</v>
      </c>
    </row>
    <row r="54" spans="2:19" x14ac:dyDescent="0.3">
      <c r="B54" s="152">
        <v>45043</v>
      </c>
      <c r="C54" s="41">
        <v>1</v>
      </c>
      <c r="D54" s="153">
        <v>2</v>
      </c>
      <c r="E54" s="154">
        <v>4396</v>
      </c>
      <c r="F54" s="155">
        <v>27148854764</v>
      </c>
      <c r="G54" s="156" t="str">
        <f>IFERROR(IF(compras_mes1[[#This Row],[CUIT]]="","-",VLOOKUP(compras_mes1[[#This Row],[CUIT]],Lista_CUIT[#All],2,0)),"CUIT NO CARGADO")</f>
        <v>PAZ CLAUDIA SILVIA</v>
      </c>
      <c r="H54" s="157">
        <v>1512.38</v>
      </c>
      <c r="I54" s="158">
        <f>compras_mes1[[#This Row],[NETO GRAVADO]]*0.21</f>
        <v>317.59980000000002</v>
      </c>
      <c r="J54" s="158"/>
      <c r="K54" s="158"/>
      <c r="L54" s="158"/>
      <c r="M54" s="158"/>
      <c r="N54" s="158"/>
      <c r="O54" s="158"/>
      <c r="P54" s="159">
        <f>SUM(compras_mes1[[#This Row],[NETO GRAVADO]:[Otros / No Grav.]])</f>
        <v>1829.9798000000001</v>
      </c>
      <c r="Q54" s="160" t="str">
        <f>IFERROR(IF(compras_mes1[[#This Row],[CUIT]]="","-",VLOOKUP(compras_mes1[[#This Row],[CUIT]],Lista_CUIT[#All],3,0)),"CUIT NO CARGADO")</f>
        <v>MERCADERIA</v>
      </c>
      <c r="R54" s="160">
        <f>IFERROR(IF(compras_mes1[[#This Row],[CUIT]]="","-",VLOOKUP(compras_mes1[[#This Row],[CUIT]],Lista_CUIT[#All],4,0)),"CUIT NO CARGADO")</f>
        <v>0</v>
      </c>
      <c r="S54" t="s">
        <v>1121</v>
      </c>
    </row>
    <row r="55" spans="2:19" x14ac:dyDescent="0.3">
      <c r="B55" s="152">
        <v>45043</v>
      </c>
      <c r="C55" s="41">
        <v>1</v>
      </c>
      <c r="D55" s="153">
        <v>2</v>
      </c>
      <c r="E55" s="154">
        <v>4397</v>
      </c>
      <c r="F55" s="155">
        <v>27148854764</v>
      </c>
      <c r="G55" s="156" t="str">
        <f>IFERROR(IF(compras_mes1[[#This Row],[CUIT]]="","-",VLOOKUP(compras_mes1[[#This Row],[CUIT]],Lista_CUIT[#All],2,0)),"CUIT NO CARGADO")</f>
        <v>PAZ CLAUDIA SILVIA</v>
      </c>
      <c r="H55" s="157">
        <v>4190.1000000000004</v>
      </c>
      <c r="I55" s="158">
        <f>compras_mes1[[#This Row],[NETO GRAVADO]]*0.21</f>
        <v>879.92100000000005</v>
      </c>
      <c r="J55" s="158"/>
      <c r="K55" s="158"/>
      <c r="L55" s="158"/>
      <c r="M55" s="158"/>
      <c r="N55" s="158"/>
      <c r="O55" s="158"/>
      <c r="P55" s="159">
        <f>SUM(compras_mes1[[#This Row],[NETO GRAVADO]:[Otros / No Grav.]])</f>
        <v>5070.0210000000006</v>
      </c>
      <c r="Q55" s="160" t="str">
        <f>IFERROR(IF(compras_mes1[[#This Row],[CUIT]]="","-",VLOOKUP(compras_mes1[[#This Row],[CUIT]],Lista_CUIT[#All],3,0)),"CUIT NO CARGADO")</f>
        <v>MERCADERIA</v>
      </c>
      <c r="R55" s="160">
        <f>IFERROR(IF(compras_mes1[[#This Row],[CUIT]]="","-",VLOOKUP(compras_mes1[[#This Row],[CUIT]],Lista_CUIT[#All],4,0)),"CUIT NO CARGADO")</f>
        <v>0</v>
      </c>
      <c r="S55" t="s">
        <v>1121</v>
      </c>
    </row>
    <row r="56" spans="2:19" x14ac:dyDescent="0.3">
      <c r="B56" s="207">
        <v>45027</v>
      </c>
      <c r="C56" s="208">
        <v>1</v>
      </c>
      <c r="D56" s="209">
        <v>2466</v>
      </c>
      <c r="E56" s="210">
        <v>495978</v>
      </c>
      <c r="F56" s="211">
        <v>30678814357</v>
      </c>
      <c r="G56" s="212" t="str">
        <f>IFERROR(IF(compras_mes1[[#This Row],[CUIT]]="","-",VLOOKUP(compras_mes1[[#This Row],[CUIT]],Lista_CUIT[#All],2,0)),"CUIT NO CARGADO")</f>
        <v>TELEFONICA MOVILES ARG</v>
      </c>
      <c r="H56" s="213">
        <v>4078</v>
      </c>
      <c r="I56" s="214"/>
      <c r="J56" s="214">
        <v>1101.06</v>
      </c>
      <c r="K56" s="214"/>
      <c r="L56" s="214">
        <v>122.34</v>
      </c>
      <c r="M56" s="215"/>
      <c r="N56" s="214"/>
      <c r="O56" s="214">
        <v>214.63</v>
      </c>
      <c r="P56" s="216">
        <f>SUM(compras_mes1[[#This Row],[NETO GRAVADO]:[Otros / No Grav.]])</f>
        <v>5516.03</v>
      </c>
      <c r="Q56" s="217" t="str">
        <f>IFERROR(IF(compras_mes1[[#This Row],[CUIT]]="","-",VLOOKUP(compras_mes1[[#This Row],[CUIT]],Lista_CUIT[#All],3,0)),"CUIT NO CARGADO")</f>
        <v>SERVICIOS</v>
      </c>
      <c r="R56" s="217">
        <f>IFERROR(IF(compras_mes1[[#This Row],[CUIT]]="","-",VLOOKUP(compras_mes1[[#This Row],[CUIT]],Lista_CUIT[#All],4,0)),"CUIT NO CARGADO")</f>
        <v>0</v>
      </c>
    </row>
    <row r="57" spans="2:19" x14ac:dyDescent="0.3">
      <c r="B57" s="173">
        <v>45017</v>
      </c>
      <c r="C57" s="41">
        <v>1</v>
      </c>
      <c r="D57" s="174">
        <v>3</v>
      </c>
      <c r="E57" s="124">
        <v>187694</v>
      </c>
      <c r="F57" s="175">
        <v>30707135596</v>
      </c>
      <c r="G57" s="176" t="str">
        <f>IFERROR(IF(compras_mes1[[#This Row],[CUIT]]="","-",VLOOKUP(compras_mes1[[#This Row],[CUIT]],Lista_CUIT[#All],2,0)),"CUIT NO CARGADO")</f>
        <v>CITILAN ARGENTINA S.A.</v>
      </c>
      <c r="H57" s="177">
        <v>5123.55</v>
      </c>
      <c r="I57" s="178">
        <f>compras_mes1[[#This Row],[NETO GRAVADO]]*0.21</f>
        <v>1075.9455</v>
      </c>
      <c r="J57" s="178"/>
      <c r="K57" s="178"/>
      <c r="L57" s="178"/>
      <c r="M57" s="158"/>
      <c r="N57" s="178"/>
      <c r="O57" s="178"/>
      <c r="P57" s="179">
        <f>SUM(compras_mes1[[#This Row],[NETO GRAVADO]:[Otros / No Grav.]])</f>
        <v>6199.4955</v>
      </c>
      <c r="Q57" s="180" t="str">
        <f>IFERROR(IF(compras_mes1[[#This Row],[CUIT]]="","-",VLOOKUP(compras_mes1[[#This Row],[CUIT]],Lista_CUIT[#All],3,0)),"CUIT NO CARGADO")</f>
        <v>Servicios Gas, Luz, Etc</v>
      </c>
      <c r="R57" s="180">
        <f>IFERROR(IF(compras_mes1[[#This Row],[CUIT]]="","-",VLOOKUP(compras_mes1[[#This Row],[CUIT]],Lista_CUIT[#All],4,0)),"CUIT NO CARGADO")</f>
        <v>0</v>
      </c>
    </row>
    <row r="58" spans="2:19" x14ac:dyDescent="0.3">
      <c r="B58" s="191" t="s">
        <v>110</v>
      </c>
      <c r="C58" s="191"/>
      <c r="D58" s="191"/>
      <c r="E58" s="191"/>
      <c r="F58" s="191"/>
      <c r="G58" s="192"/>
      <c r="H58" s="193">
        <f>SUBTOTAL(109,compras_mes1[NETO GRAVADO])</f>
        <v>4526903.6930999998</v>
      </c>
      <c r="I58" s="193">
        <f>SUBTOTAL(109,compras_mes1[IVA 21 %])</f>
        <v>917018.756651</v>
      </c>
      <c r="J58" s="193">
        <f>SUBTOTAL(109,compras_mes1[IVA 27%])</f>
        <v>1101.06</v>
      </c>
      <c r="K58" s="193">
        <f>SUBTOTAL(109,compras_mes1[IVA 10,5%])</f>
        <v>16387.32</v>
      </c>
      <c r="L58" s="193">
        <f>SUBTOTAL(109,compras_mes1[PERC. IVA])</f>
        <v>122.34</v>
      </c>
      <c r="M58" s="193">
        <f>SUBTOTAL(109,compras_mes1[PERC IIBB 
BS AS])</f>
        <v>0</v>
      </c>
      <c r="N58" s="193">
        <f>SUBTOTAL(109,compras_mes1[PERC. IIBB CABA])</f>
        <v>0</v>
      </c>
      <c r="O58" s="193">
        <f>SUBTOTAL(109,compras_mes1[Otros / No Grav.])</f>
        <v>-63715.517199999995</v>
      </c>
      <c r="P58" s="193">
        <f>SUBTOTAL(109,compras_mes1[TOTAL])</f>
        <v>5397817.6525509991</v>
      </c>
      <c r="Q58" s="191"/>
      <c r="R58" s="191"/>
    </row>
    <row r="59" spans="2:19" x14ac:dyDescent="0.3">
      <c r="B59" s="40"/>
      <c r="C59" s="41"/>
      <c r="D59" s="42"/>
      <c r="E59" s="43"/>
      <c r="F59" s="44"/>
      <c r="G59" s="45"/>
      <c r="H59" s="46"/>
      <c r="I59" s="47"/>
      <c r="J59" s="47"/>
      <c r="K59" s="47"/>
      <c r="L59" s="47"/>
      <c r="M59" s="47"/>
      <c r="N59" s="47"/>
      <c r="O59" s="47"/>
      <c r="P59" s="48"/>
      <c r="Q59" s="49"/>
      <c r="R59" s="49"/>
    </row>
    <row r="60" spans="2:19" x14ac:dyDescent="0.3">
      <c r="B60" s="40"/>
      <c r="C60" s="41"/>
      <c r="D60" s="42"/>
      <c r="E60" s="43"/>
      <c r="F60" s="44"/>
      <c r="G60" s="45"/>
      <c r="H60" s="46"/>
      <c r="I60" s="47"/>
      <c r="J60" s="47"/>
      <c r="K60" s="47"/>
      <c r="L60" s="47"/>
      <c r="M60" s="47"/>
      <c r="N60" s="47"/>
      <c r="O60" s="47"/>
      <c r="P60" s="48"/>
      <c r="Q60" s="49"/>
      <c r="R60" s="49"/>
    </row>
    <row r="61" spans="2:19" x14ac:dyDescent="0.3">
      <c r="B61" s="40"/>
      <c r="C61" s="41"/>
      <c r="D61" s="42"/>
      <c r="E61" s="43"/>
      <c r="F61" s="44"/>
      <c r="G61" s="45"/>
      <c r="H61" s="46"/>
      <c r="I61" s="47"/>
      <c r="J61" s="47"/>
      <c r="K61" s="47"/>
      <c r="L61" s="47"/>
      <c r="M61" s="47"/>
      <c r="N61" s="47"/>
      <c r="O61" s="47"/>
      <c r="P61" s="48"/>
      <c r="Q61" s="49"/>
      <c r="R61" s="49"/>
    </row>
    <row r="62" spans="2:19" x14ac:dyDescent="0.3">
      <c r="B62" s="40"/>
      <c r="C62" s="41"/>
      <c r="D62" s="42"/>
      <c r="E62" s="43"/>
      <c r="F62" s="44"/>
      <c r="G62" s="45"/>
      <c r="H62" s="46"/>
      <c r="I62" s="47"/>
      <c r="J62" s="47"/>
      <c r="K62" s="47"/>
      <c r="L62" s="47"/>
    </row>
    <row r="63" spans="2:19" ht="21" x14ac:dyDescent="0.3">
      <c r="D63" s="414" t="s">
        <v>15</v>
      </c>
      <c r="E63" s="414"/>
      <c r="F63" s="414"/>
      <c r="G63" s="414"/>
      <c r="H63" s="414"/>
      <c r="I63" s="414"/>
      <c r="J63" s="414"/>
      <c r="K63" s="414"/>
      <c r="L63" s="414"/>
    </row>
    <row r="64" spans="2:19" ht="15.6" x14ac:dyDescent="0.3">
      <c r="D64" s="73" t="s">
        <v>0</v>
      </c>
      <c r="E64" s="74" t="s">
        <v>26</v>
      </c>
      <c r="F64" s="74" t="s">
        <v>16</v>
      </c>
      <c r="G64" s="74" t="s">
        <v>5</v>
      </c>
      <c r="H64" s="74" t="s">
        <v>17</v>
      </c>
      <c r="I64" s="74" t="s">
        <v>7</v>
      </c>
      <c r="J64" s="75" t="s">
        <v>18</v>
      </c>
      <c r="K64" s="75" t="s">
        <v>19</v>
      </c>
      <c r="L64" s="76" t="s">
        <v>20</v>
      </c>
      <c r="M64" s="202" t="s">
        <v>1118</v>
      </c>
    </row>
    <row r="65" spans="4:13" x14ac:dyDescent="0.3">
      <c r="D65" s="194">
        <v>45019</v>
      </c>
      <c r="E65" s="203" t="s">
        <v>1133</v>
      </c>
      <c r="F65" s="200" t="s">
        <v>1117</v>
      </c>
      <c r="G65" s="197">
        <v>5259.25</v>
      </c>
      <c r="H65" s="197">
        <f>extracto_banco_mes1[[#This Row],[NETO]]*0.21</f>
        <v>1104.4424999999999</v>
      </c>
      <c r="I65" s="197"/>
      <c r="J65" s="197"/>
      <c r="K65" s="197">
        <v>157.78</v>
      </c>
      <c r="L65" s="197"/>
      <c r="M65" s="197">
        <f>extracto_banco_mes1[[#This Row],[NETO]]+extracto_banco_mes1[[#This Row],[IVA 21%]]+extracto_banco_mes1[[#This Row],[IVA 10,5%]]+extracto_banco_mes1[[#This Row],[RET IIBB CABA]]+extracto_banco_mes1[[#This Row],[PERC IVA]]</f>
        <v>6521.4724999999999</v>
      </c>
    </row>
    <row r="66" spans="4:13" x14ac:dyDescent="0.3">
      <c r="D66" s="50">
        <v>45027</v>
      </c>
      <c r="E66" s="43" t="s">
        <v>1132</v>
      </c>
      <c r="F66" s="80" t="s">
        <v>1115</v>
      </c>
      <c r="G66" s="81">
        <v>5344</v>
      </c>
      <c r="H66" s="197">
        <f>extracto_banco_mes1[[#This Row],[NETO]]*0.21</f>
        <v>1122.24</v>
      </c>
      <c r="I66" s="81"/>
      <c r="J66" s="81"/>
      <c r="K66" s="81">
        <v>160.32</v>
      </c>
      <c r="L66" s="81"/>
      <c r="M66" s="197">
        <f>extracto_banco_mes1[[#This Row],[NETO]]+extracto_banco_mes1[[#This Row],[IVA 21%]]+extracto_banco_mes1[[#This Row],[IVA 10,5%]]+extracto_banco_mes1[[#This Row],[RET IIBB CABA]]+extracto_banco_mes1[[#This Row],[PERC IVA]]</f>
        <v>6626.5599999999995</v>
      </c>
    </row>
    <row r="67" spans="4:13" x14ac:dyDescent="0.3">
      <c r="D67" s="50">
        <v>45026</v>
      </c>
      <c r="E67" s="43" t="s">
        <v>1119</v>
      </c>
      <c r="F67" s="80" t="s">
        <v>1116</v>
      </c>
      <c r="G67" s="81">
        <v>15841.5</v>
      </c>
      <c r="H67" s="197">
        <f>extracto_banco_mes1[[#This Row],[NETO]]*0.21</f>
        <v>3326.7149999999997</v>
      </c>
      <c r="I67" s="81"/>
      <c r="J67" s="81"/>
      <c r="K67" s="81">
        <v>475.25</v>
      </c>
      <c r="L67" s="81"/>
      <c r="M67" s="197">
        <f>extracto_banco_mes1[[#This Row],[NETO]]+extracto_banco_mes1[[#This Row],[IVA 21%]]+extracto_banco_mes1[[#This Row],[IVA 10,5%]]+extracto_banco_mes1[[#This Row],[RET IIBB CABA]]+extracto_banco_mes1[[#This Row],[PERC IVA]]</f>
        <v>19643.465</v>
      </c>
    </row>
    <row r="68" spans="4:13" x14ac:dyDescent="0.3">
      <c r="D68" s="194">
        <v>45008</v>
      </c>
      <c r="E68" s="43" t="s">
        <v>1134</v>
      </c>
      <c r="F68" s="196" t="s">
        <v>1116</v>
      </c>
      <c r="G68" s="197">
        <v>15403.5</v>
      </c>
      <c r="H68" s="197">
        <f>extracto_banco_mes1[[#This Row],[NETO]]*0.21</f>
        <v>3234.7349999999997</v>
      </c>
      <c r="I68" s="197"/>
      <c r="J68" s="197"/>
      <c r="K68" s="197">
        <v>462.11</v>
      </c>
      <c r="L68" s="197"/>
      <c r="M68" s="197">
        <f>extracto_banco_mes1[[#This Row],[NETO]]+extracto_banco_mes1[[#This Row],[IVA 21%]]+extracto_banco_mes1[[#This Row],[IVA 10,5%]]+extracto_banco_mes1[[#This Row],[RET IIBB CABA]]+extracto_banco_mes1[[#This Row],[PERC IVA]]</f>
        <v>19100.345000000001</v>
      </c>
    </row>
    <row r="69" spans="4:13" x14ac:dyDescent="0.3">
      <c r="D69" s="194">
        <v>45008</v>
      </c>
      <c r="E69" s="195" t="s">
        <v>1120</v>
      </c>
      <c r="F69" s="196" t="s">
        <v>1116</v>
      </c>
      <c r="G69" s="197">
        <v>3080.7</v>
      </c>
      <c r="H69" s="197">
        <f>extracto_banco_mes1[[#This Row],[NETO]]*0.21</f>
        <v>646.94699999999989</v>
      </c>
      <c r="I69" s="197"/>
      <c r="J69" s="197"/>
      <c r="K69" s="197">
        <v>92.42</v>
      </c>
      <c r="L69" s="197"/>
      <c r="M69" s="197">
        <f>extracto_banco_mes1[[#This Row],[NETO]]+extracto_banco_mes1[[#This Row],[IVA 21%]]+extracto_banco_mes1[[#This Row],[IVA 10,5%]]+extracto_banco_mes1[[#This Row],[RET IIBB CABA]]+extracto_banco_mes1[[#This Row],[PERC IVA]]</f>
        <v>3820.067</v>
      </c>
    </row>
    <row r="70" spans="4:13" x14ac:dyDescent="0.3">
      <c r="D70" s="194">
        <v>45006</v>
      </c>
      <c r="E70" s="124">
        <v>1025742</v>
      </c>
      <c r="F70" s="196" t="s">
        <v>1117</v>
      </c>
      <c r="G70" s="197">
        <v>5125.5</v>
      </c>
      <c r="H70" s="197">
        <f>extracto_banco_mes1[[#This Row],[NETO]]*0.21</f>
        <v>1076.355</v>
      </c>
      <c r="I70" s="197"/>
      <c r="J70" s="197"/>
      <c r="K70" s="197">
        <v>153.77000000000001</v>
      </c>
      <c r="L70" s="197"/>
      <c r="M70" s="197">
        <f>extracto_banco_mes1[[#This Row],[NETO]]+extracto_banco_mes1[[#This Row],[IVA 21%]]+extracto_banco_mes1[[#This Row],[IVA 10,5%]]+extracto_banco_mes1[[#This Row],[RET IIBB CABA]]+extracto_banco_mes1[[#This Row],[PERC IVA]]</f>
        <v>6355.625</v>
      </c>
    </row>
    <row r="71" spans="4:13" x14ac:dyDescent="0.3">
      <c r="D71" s="194">
        <v>45000</v>
      </c>
      <c r="E71" s="124">
        <v>1024812</v>
      </c>
      <c r="F71" s="196" t="s">
        <v>1117</v>
      </c>
      <c r="G71" s="197">
        <v>5064</v>
      </c>
      <c r="H71" s="197">
        <f>extracto_banco_mes1[[#This Row],[NETO]]*0.21</f>
        <v>1063.44</v>
      </c>
      <c r="I71" s="197"/>
      <c r="J71" s="197"/>
      <c r="K71" s="197">
        <v>151.91999999999999</v>
      </c>
      <c r="L71" s="197"/>
      <c r="M71" s="197">
        <f>extracto_banco_mes1[[#This Row],[NETO]]+extracto_banco_mes1[[#This Row],[IVA 21%]]+extracto_banco_mes1[[#This Row],[IVA 10,5%]]+extracto_banco_mes1[[#This Row],[RET IIBB CABA]]+extracto_banco_mes1[[#This Row],[PERC IVA]]</f>
        <v>6279.3600000000006</v>
      </c>
    </row>
    <row r="72" spans="4:13" x14ac:dyDescent="0.3">
      <c r="D72" s="194">
        <v>45035</v>
      </c>
      <c r="E72" s="124">
        <v>53345</v>
      </c>
      <c r="F72" s="196" t="s">
        <v>1122</v>
      </c>
      <c r="G72" s="197">
        <v>170</v>
      </c>
      <c r="H72" s="197">
        <f>extracto_banco_mes1[[#This Row],[NETO]]*0.21</f>
        <v>35.699999999999996</v>
      </c>
      <c r="I72" s="197"/>
      <c r="J72" s="197"/>
      <c r="K72" s="197"/>
      <c r="L72" s="197"/>
      <c r="M72" s="197">
        <f>extracto_banco_mes1[[#This Row],[NETO]]+extracto_banco_mes1[[#This Row],[IVA 21%]]+extracto_banco_mes1[[#This Row],[IVA 10,5%]]+extracto_banco_mes1[[#This Row],[RET IIBB CABA]]+extracto_banco_mes1[[#This Row],[PERC IVA]]</f>
        <v>205.7</v>
      </c>
    </row>
    <row r="73" spans="4:13" x14ac:dyDescent="0.3">
      <c r="D73" s="194">
        <v>45044</v>
      </c>
      <c r="E73" s="124">
        <v>280423</v>
      </c>
      <c r="F73" s="196" t="s">
        <v>786</v>
      </c>
      <c r="G73" s="197">
        <v>8057.26</v>
      </c>
      <c r="H73" s="197">
        <f>extracto_banco_mes1[[#This Row],[NETO]]*0.21</f>
        <v>1692.0246</v>
      </c>
      <c r="I73" s="197"/>
      <c r="J73" s="197"/>
      <c r="K73" s="197">
        <v>123.71</v>
      </c>
      <c r="L73" s="197"/>
      <c r="M73" s="197">
        <f>extracto_banco_mes1[[#This Row],[NETO]]+extracto_banco_mes1[[#This Row],[IVA 21%]]+extracto_banco_mes1[[#This Row],[IVA 10,5%]]+extracto_banco_mes1[[#This Row],[RET IIBB CABA]]+extracto_banco_mes1[[#This Row],[PERC IVA]]</f>
        <v>9872.9946</v>
      </c>
    </row>
    <row r="74" spans="4:13" x14ac:dyDescent="0.3">
      <c r="D74" s="194">
        <v>45008</v>
      </c>
      <c r="E74" s="203" t="s">
        <v>1135</v>
      </c>
      <c r="F74" s="80" t="s">
        <v>1136</v>
      </c>
      <c r="G74" s="197">
        <v>15403.5</v>
      </c>
      <c r="H74" s="197">
        <f>extracto_banco_mes1[[#This Row],[NETO]]*0.21</f>
        <v>3234.7349999999997</v>
      </c>
      <c r="I74" s="197"/>
      <c r="J74" s="197"/>
      <c r="K74" s="197">
        <v>462.11</v>
      </c>
      <c r="L74" s="197"/>
      <c r="M74" s="197">
        <f>extracto_banco_mes1[[#This Row],[NETO]]+extracto_banco_mes1[[#This Row],[IVA 21%]]+extracto_banco_mes1[[#This Row],[IVA 10,5%]]+extracto_banco_mes1[[#This Row],[RET IIBB CABA]]+extracto_banco_mes1[[#This Row],[PERC IVA]]</f>
        <v>19100.345000000001</v>
      </c>
    </row>
    <row r="75" spans="4:13" ht="15" thickBot="1" x14ac:dyDescent="0.35">
      <c r="D75" s="198" t="s">
        <v>110</v>
      </c>
      <c r="E75" s="196"/>
      <c r="F75" s="196"/>
      <c r="G75" s="199">
        <f>SUBTOTAL(109,extracto_banco_mes1[NETO])</f>
        <v>78749.209999999992</v>
      </c>
      <c r="H75" s="199">
        <f>SUBTOTAL(109,extracto_banco_mes1[IVA 21%])</f>
        <v>16537.3341</v>
      </c>
      <c r="I75" s="199">
        <f>SUBTOTAL(109,extracto_banco_mes1[IVA 10,5%])</f>
        <v>0</v>
      </c>
      <c r="J75" s="199">
        <f>SUBTOTAL(109,extracto_banco_mes1[RET IIBB CABA])</f>
        <v>0</v>
      </c>
      <c r="K75" s="199">
        <f>SUBTOTAL(109,extracto_banco_mes1[PERC IVA])</f>
        <v>2239.3900000000003</v>
      </c>
      <c r="L75" s="199">
        <f>SUBTOTAL(109,extracto_banco_mes1[PERC IIBB])</f>
        <v>0</v>
      </c>
      <c r="M75" s="201"/>
    </row>
    <row r="76" spans="4:13" ht="16.2" thickBot="1" x14ac:dyDescent="0.35">
      <c r="H76" s="126" t="s">
        <v>799</v>
      </c>
      <c r="I76" s="127">
        <f>SUM(extracto_banco_mes1[[#Totals],[IVA 21%]:[IVA 10,5%]])</f>
        <v>16537.3341</v>
      </c>
      <c r="J76" t="s">
        <v>800</v>
      </c>
    </row>
    <row r="79" spans="4:13" ht="21" x14ac:dyDescent="0.3">
      <c r="D79" s="414" t="s">
        <v>25</v>
      </c>
      <c r="E79" s="414"/>
      <c r="F79" s="414"/>
      <c r="G79" s="414"/>
      <c r="H79" s="414"/>
      <c r="I79" s="414"/>
      <c r="J79" s="414"/>
      <c r="K79" s="414"/>
    </row>
    <row r="80" spans="4:13" x14ac:dyDescent="0.3">
      <c r="D80" s="51" t="s">
        <v>0</v>
      </c>
      <c r="E80" s="51" t="s">
        <v>2</v>
      </c>
      <c r="F80" s="51" t="s">
        <v>74</v>
      </c>
      <c r="G80" s="51" t="s">
        <v>3</v>
      </c>
      <c r="H80" s="51" t="s">
        <v>4</v>
      </c>
      <c r="I80" s="52" t="s">
        <v>10</v>
      </c>
      <c r="J80" s="51" t="s">
        <v>13</v>
      </c>
      <c r="K80" s="51" t="s">
        <v>38</v>
      </c>
    </row>
    <row r="81" spans="2:18" x14ac:dyDescent="0.3">
      <c r="D81" s="187"/>
      <c r="E81" s="161"/>
      <c r="F81" s="161"/>
      <c r="G81" s="141"/>
      <c r="H81" s="142" t="str">
        <f>IFERROR(IF(factura_c_mes1[[#This Row],[CUIT]]="","-",VLOOKUP(factura_c_mes1[[#This Row],[CUIT]],Lista_CUIT[#All],2,0)),"CUIT NO CARGADO")</f>
        <v>-</v>
      </c>
      <c r="I81" s="162"/>
      <c r="J81" s="163" t="str">
        <f>IFERROR(IF(factura_c_mes1[[#This Row],[CUIT]]="","-",VLOOKUP(factura_c_mes1[[#This Row],[CUIT]],Lista_CUIT[#All],3,0)),"CUIT NO CARGADO")</f>
        <v>-</v>
      </c>
      <c r="K81" s="163" t="str">
        <f>IFERROR(IF(factura_c_mes1[[#This Row],[CUIT]]="","-",VLOOKUP(factura_c_mes1[[#This Row],[CUIT]],Lista_CUIT[#All],4,0)),"CUIT NO CARGADO")</f>
        <v>-</v>
      </c>
    </row>
    <row r="82" spans="2:18" x14ac:dyDescent="0.3">
      <c r="D82" s="181">
        <v>45026</v>
      </c>
      <c r="E82" s="182">
        <v>4</v>
      </c>
      <c r="F82" s="182">
        <v>12</v>
      </c>
      <c r="G82" s="183">
        <v>20341462933</v>
      </c>
      <c r="H82" s="184" t="str">
        <f>IFERROR(IF(factura_c_mes1[[#This Row],[CUIT]]="","-",VLOOKUP(factura_c_mes1[[#This Row],[CUIT]],Lista_CUIT[#All],2,0)),"CUIT NO CARGADO")</f>
        <v>CASTIGLIONI MATIAS EZEQUIEL</v>
      </c>
      <c r="I82" s="185">
        <v>590500</v>
      </c>
      <c r="J82" s="186" t="str">
        <f>IFERROR(IF(factura_c_mes1[[#This Row],[CUIT]]="","-",VLOOKUP(factura_c_mes1[[#This Row],[CUIT]],Lista_CUIT[#All],3,0)),"CUIT NO CARGADO")</f>
        <v>ASESORAMIENTO</v>
      </c>
      <c r="K82" s="186" t="str">
        <f>IFERROR(IF(factura_c_mes1[[#This Row],[CUIT]]="","-",VLOOKUP(factura_c_mes1[[#This Row],[CUIT]],Lista_CUIT[#All],4,0)),"CUIT NO CARGADO")</f>
        <v>BUENOS AIRES</v>
      </c>
    </row>
    <row r="83" spans="2:18" x14ac:dyDescent="0.3">
      <c r="D83" s="233">
        <v>45026</v>
      </c>
      <c r="E83" s="234">
        <v>8</v>
      </c>
      <c r="F83" s="234">
        <v>157469</v>
      </c>
      <c r="G83" s="235">
        <v>30709953482</v>
      </c>
      <c r="H83" s="236" t="str">
        <f>IFERROR(IF(factura_c_mes1[[#This Row],[CUIT]]="","-",VLOOKUP(factura_c_mes1[[#This Row],[CUIT]],Lista_CUIT[#All],2,0)),"CUIT NO CARGADO")</f>
        <v>HONRE S.A</v>
      </c>
      <c r="I83" s="237">
        <v>1221.95</v>
      </c>
      <c r="J83" s="238" t="str">
        <f>IFERROR(IF(factura_c_mes1[[#This Row],[CUIT]]="","-",VLOOKUP(factura_c_mes1[[#This Row],[CUIT]],Lista_CUIT[#All],3,0)),"CUIT NO CARGADO")</f>
        <v>Gastos Varios</v>
      </c>
      <c r="K83" s="238">
        <f>IFERROR(IF(factura_c_mes1[[#This Row],[CUIT]]="","-",VLOOKUP(factura_c_mes1[[#This Row],[CUIT]],Lista_CUIT[#All],4,0)),"CUIT NO CARGADO")</f>
        <v>0</v>
      </c>
      <c r="L83" s="366"/>
      <c r="M83" s="366" t="s">
        <v>1391</v>
      </c>
      <c r="N83" s="367">
        <v>590500</v>
      </c>
    </row>
    <row r="84" spans="2:18" x14ac:dyDescent="0.3">
      <c r="D84" s="233">
        <v>45028</v>
      </c>
      <c r="E84" s="234">
        <v>4</v>
      </c>
      <c r="F84" s="234">
        <v>35528</v>
      </c>
      <c r="G84" s="235">
        <v>30716998718</v>
      </c>
      <c r="H84" s="236" t="str">
        <f>IFERROR(IF(factura_c_mes1[[#This Row],[CUIT]]="","-",VLOOKUP(factura_c_mes1[[#This Row],[CUIT]],Lista_CUIT[#All],2,0)),"CUIT NO CARGADO")</f>
        <v>FIDO ARGENTINA SRL</v>
      </c>
      <c r="I84" s="237">
        <v>18340</v>
      </c>
      <c r="J84" s="238" t="str">
        <f>IFERROR(IF(factura_c_mes1[[#This Row],[CUIT]]="","-",VLOOKUP(factura_c_mes1[[#This Row],[CUIT]],Lista_CUIT[#All],3,0)),"CUIT NO CARGADO")</f>
        <v>Gastos Varios</v>
      </c>
      <c r="K84" s="238">
        <f>IFERROR(IF(factura_c_mes1[[#This Row],[CUIT]]="","-",VLOOKUP(factura_c_mes1[[#This Row],[CUIT]],Lista_CUIT[#All],4,0)),"CUIT NO CARGADO")</f>
        <v>0</v>
      </c>
      <c r="L84" s="366"/>
      <c r="M84" s="366" t="s">
        <v>1383</v>
      </c>
      <c r="N84" s="367">
        <v>19561.95</v>
      </c>
    </row>
    <row r="85" spans="2:18" x14ac:dyDescent="0.3">
      <c r="D85" s="227">
        <v>45041</v>
      </c>
      <c r="E85" s="228">
        <v>3</v>
      </c>
      <c r="F85" s="228">
        <v>50</v>
      </c>
      <c r="G85" s="229">
        <v>20403931420</v>
      </c>
      <c r="H85" s="230" t="str">
        <f>IFERROR(IF(factura_c_mes1[[#This Row],[CUIT]]="","-",VLOOKUP(factura_c_mes1[[#This Row],[CUIT]],Lista_CUIT[#All],2,0)),"CUIT NO CARGADO")</f>
        <v>FIORENTINO JORGE IGNACIO</v>
      </c>
      <c r="I85" s="231">
        <v>148480</v>
      </c>
      <c r="J85" s="232" t="str">
        <f>IFERROR(IF(factura_c_mes1[[#This Row],[CUIT]]="","-",VLOOKUP(factura_c_mes1[[#This Row],[CUIT]],Lista_CUIT[#All],3,0)),"CUIT NO CARGADO")</f>
        <v>Hon. Admin.</v>
      </c>
      <c r="K85" s="232">
        <f>IFERROR(IF(factura_c_mes1[[#This Row],[CUIT]]="","-",VLOOKUP(factura_c_mes1[[#This Row],[CUIT]],Lista_CUIT[#All],4,0)),"CUIT NO CARGADO")</f>
        <v>0</v>
      </c>
      <c r="L85" s="366"/>
      <c r="M85" s="366" t="s">
        <v>1384</v>
      </c>
      <c r="N85" s="367">
        <v>148480</v>
      </c>
    </row>
    <row r="86" spans="2:18" x14ac:dyDescent="0.3">
      <c r="D86" s="181">
        <v>45019</v>
      </c>
      <c r="E86" s="182">
        <v>3</v>
      </c>
      <c r="F86" s="182">
        <v>717</v>
      </c>
      <c r="G86" s="183">
        <v>20086277523</v>
      </c>
      <c r="H86" s="184" t="str">
        <f>IFERROR(IF(factura_c_mes1[[#This Row],[CUIT]]="","-",VLOOKUP(factura_c_mes1[[#This Row],[CUIT]],Lista_CUIT[#All],2,0)),"CUIT NO CARGADO")</f>
        <v>ESTUDIO BOTINDARI</v>
      </c>
      <c r="I86" s="185">
        <v>67000</v>
      </c>
      <c r="J86" s="356" t="s">
        <v>1392</v>
      </c>
      <c r="K86" s="186">
        <f>IFERROR(IF(factura_c_mes1[[#This Row],[CUIT]]="","-",VLOOKUP(factura_c_mes1[[#This Row],[CUIT]],Lista_CUIT[#All],4,0)),"CUIT NO CARGADO")</f>
        <v>0</v>
      </c>
      <c r="L86" s="366"/>
      <c r="M86" s="366" t="s">
        <v>1385</v>
      </c>
      <c r="N86" s="367">
        <v>89860</v>
      </c>
    </row>
    <row r="87" spans="2:18" x14ac:dyDescent="0.3">
      <c r="D87" s="181">
        <v>45028</v>
      </c>
      <c r="E87" s="182">
        <v>2</v>
      </c>
      <c r="F87" s="182">
        <v>200</v>
      </c>
      <c r="G87" s="183">
        <v>27173820866</v>
      </c>
      <c r="H87" s="184" t="str">
        <f>IFERROR(IF(factura_c_mes1[[#This Row],[CUIT]]="","-",VLOOKUP(factura_c_mes1[[#This Row],[CUIT]],Lista_CUIT[#All],2,0)),"CUIT NO CARGADO")</f>
        <v>FREIER SANDRA DANIELA</v>
      </c>
      <c r="I87" s="185">
        <v>90000</v>
      </c>
      <c r="J87" s="364" t="s">
        <v>1389</v>
      </c>
      <c r="K87" s="186">
        <f>IFERROR(IF(factura_c_mes1[[#This Row],[CUIT]]="","-",VLOOKUP(factura_c_mes1[[#This Row],[CUIT]],Lista_CUIT[#All],4,0)),"CUIT NO CARGADO")</f>
        <v>0</v>
      </c>
      <c r="L87" s="366"/>
      <c r="M87" s="364" t="s">
        <v>1389</v>
      </c>
      <c r="N87" s="367">
        <v>90000</v>
      </c>
    </row>
    <row r="88" spans="2:18" x14ac:dyDescent="0.3">
      <c r="D88" s="227">
        <v>45029</v>
      </c>
      <c r="E88" s="228">
        <v>3</v>
      </c>
      <c r="F88" s="228">
        <v>723</v>
      </c>
      <c r="G88" s="229">
        <v>20086277523</v>
      </c>
      <c r="H88" s="230" t="str">
        <f>IFERROR(IF(factura_c_mes1[[#This Row],[CUIT]]="","-",VLOOKUP(factura_c_mes1[[#This Row],[CUIT]],Lista_CUIT[#All],2,0)),"CUIT NO CARGADO")</f>
        <v>ESTUDIO BOTINDARI</v>
      </c>
      <c r="I88" s="231">
        <v>12860</v>
      </c>
      <c r="J88" s="356" t="s">
        <v>1392</v>
      </c>
      <c r="K88" s="232">
        <f>IFERROR(IF(factura_c_mes1[[#This Row],[CUIT]]="","-",VLOOKUP(factura_c_mes1[[#This Row],[CUIT]],Lista_CUIT[#All],4,0)),"CUIT NO CARGADO")</f>
        <v>0</v>
      </c>
      <c r="L88" s="366"/>
      <c r="M88" s="366" t="s">
        <v>1386</v>
      </c>
      <c r="N88" s="367">
        <v>373750</v>
      </c>
    </row>
    <row r="89" spans="2:18" x14ac:dyDescent="0.3">
      <c r="B89" s="56"/>
      <c r="C89" s="56"/>
      <c r="D89" s="181">
        <v>45021</v>
      </c>
      <c r="E89" s="182">
        <v>1</v>
      </c>
      <c r="F89" s="182">
        <v>98</v>
      </c>
      <c r="G89" s="183">
        <v>20341465134</v>
      </c>
      <c r="H89" s="184" t="str">
        <f>IFERROR(IF(factura_c_mes1[[#This Row],[CUIT]]="","-",VLOOKUP(factura_c_mes1[[#This Row],[CUIT]],Lista_CUIT[#All],2,0)),"CUIT NO CARGADO")</f>
        <v>ABELEDO AGUSTIN ENRIQUE</v>
      </c>
      <c r="I89" s="185">
        <v>373750</v>
      </c>
      <c r="J89" t="s">
        <v>1386</v>
      </c>
      <c r="K89" s="186" t="str">
        <f>IFERROR(IF(factura_c_mes1[[#This Row],[CUIT]]="","-",VLOOKUP(factura_c_mes1[[#This Row],[CUIT]],Lista_CUIT[#All],4,0)),"CUIT NO CARGADO")</f>
        <v>CABA</v>
      </c>
      <c r="L89" s="368"/>
      <c r="M89" s="368" t="s">
        <v>1387</v>
      </c>
      <c r="N89" s="369">
        <v>148935</v>
      </c>
      <c r="O89" s="56"/>
      <c r="P89" s="56"/>
      <c r="Q89" s="56"/>
      <c r="R89" s="56"/>
    </row>
    <row r="90" spans="2:18" x14ac:dyDescent="0.3">
      <c r="D90" s="233">
        <v>45041</v>
      </c>
      <c r="E90" s="234">
        <v>2</v>
      </c>
      <c r="F90" s="234">
        <v>21</v>
      </c>
      <c r="G90" s="235">
        <v>23326777269</v>
      </c>
      <c r="H90" s="236" t="str">
        <f>IFERROR(IF(factura_c_mes1[[#This Row],[CUIT]]="","-",VLOOKUP(factura_c_mes1[[#This Row],[CUIT]],Lista_CUIT[#All],2,0)),"CUIT NO CARGADO")</f>
        <v>DE BONIS IGNACIO LUIS</v>
      </c>
      <c r="I90" s="237">
        <v>148935</v>
      </c>
      <c r="J90" s="56" t="s">
        <v>1387</v>
      </c>
      <c r="K90" s="238">
        <f>IFERROR(IF(factura_c_mes1[[#This Row],[CUIT]]="","-",VLOOKUP(factura_c_mes1[[#This Row],[CUIT]],Lista_CUIT[#All],4,0)),"CUIT NO CARGADO")</f>
        <v>0</v>
      </c>
      <c r="L90" s="366"/>
      <c r="M90" s="365" t="s">
        <v>1388</v>
      </c>
      <c r="N90" s="367">
        <v>128690</v>
      </c>
    </row>
    <row r="91" spans="2:18" x14ac:dyDescent="0.3">
      <c r="D91" s="233">
        <v>45043</v>
      </c>
      <c r="E91" s="234">
        <v>1</v>
      </c>
      <c r="F91" s="234">
        <v>17</v>
      </c>
      <c r="G91" s="235">
        <v>20417805878</v>
      </c>
      <c r="H91" s="236" t="str">
        <f>IFERROR(IF(factura_c_mes1[[#This Row],[CUIT]]="","-",VLOOKUP(factura_c_mes1[[#This Row],[CUIT]],Lista_CUIT[#All],2,0)),"CUIT NO CARGADO")</f>
        <v>FERABOLI OSPAL SANTIAGO HERNAN</v>
      </c>
      <c r="I91" s="237">
        <v>128690</v>
      </c>
      <c r="J91" s="356" t="s">
        <v>1388</v>
      </c>
      <c r="K91" s="238">
        <f>IFERROR(IF(factura_c_mes1[[#This Row],[CUIT]]="","-",VLOOKUP(factura_c_mes1[[#This Row],[CUIT]],Lista_CUIT[#All],4,0)),"CUIT NO CARGADO")</f>
        <v>0</v>
      </c>
      <c r="L91" s="366"/>
      <c r="M91" s="365" t="s">
        <v>1386</v>
      </c>
      <c r="N91" s="367">
        <v>371000</v>
      </c>
    </row>
    <row r="92" spans="2:18" x14ac:dyDescent="0.3">
      <c r="D92" s="227">
        <v>45040</v>
      </c>
      <c r="E92" s="228">
        <v>2</v>
      </c>
      <c r="F92" s="228">
        <v>82</v>
      </c>
      <c r="G92" s="229">
        <v>20244271740</v>
      </c>
      <c r="H92" s="230" t="str">
        <f>IFERROR(IF(factura_c_mes1[[#This Row],[CUIT]]="","-",VLOOKUP(factura_c_mes1[[#This Row],[CUIT]],Lista_CUIT[#All],2,0)),"CUIT NO CARGADO")</f>
        <v>KENNEL SEBASTIAN</v>
      </c>
      <c r="I92" s="231">
        <v>371000</v>
      </c>
      <c r="J92" s="232" t="str">
        <f>IFERROR(IF(factura_c_mes1[[#This Row],[CUIT]]="","-",VLOOKUP(factura_c_mes1[[#This Row],[CUIT]],Lista_CUIT[#All],3,0)),"CUIT NO CARGADO")</f>
        <v>Software Mantenimiento</v>
      </c>
      <c r="K92" s="232">
        <f>IFERROR(IF(factura_c_mes1[[#This Row],[CUIT]]="","-",VLOOKUP(factura_c_mes1[[#This Row],[CUIT]],Lista_CUIT[#All],4,0)),"CUIT NO CARGADO")</f>
        <v>0</v>
      </c>
      <c r="L92" s="366"/>
      <c r="M92" s="366"/>
      <c r="N92" s="367">
        <f>SUM(N83:N91)</f>
        <v>1960776.95</v>
      </c>
    </row>
    <row r="93" spans="2:18" x14ac:dyDescent="0.3">
      <c r="D93" s="55" t="s">
        <v>110</v>
      </c>
      <c r="E93" s="55"/>
      <c r="F93" s="55"/>
      <c r="G93" s="55"/>
      <c r="H93" s="57"/>
      <c r="I93" s="58">
        <f>SUBTOTAL(109,factura_c_mes1[TOTAL])</f>
        <v>1950776.95</v>
      </c>
      <c r="J93" s="55"/>
      <c r="K93" s="55"/>
      <c r="L93" s="366"/>
      <c r="M93" s="366"/>
      <c r="N93" s="366"/>
    </row>
    <row r="95" spans="2:18" ht="25.8" x14ac:dyDescent="0.3">
      <c r="B95" s="430" t="s">
        <v>29</v>
      </c>
      <c r="C95" s="430"/>
      <c r="D95" s="430"/>
      <c r="E95" s="430"/>
      <c r="F95" s="430"/>
      <c r="G95" s="430"/>
      <c r="H95" s="430"/>
      <c r="I95" s="430"/>
      <c r="J95" s="430"/>
      <c r="K95" s="426">
        <f>N1</f>
        <v>45017</v>
      </c>
      <c r="L95" s="426"/>
      <c r="M95" s="426"/>
    </row>
    <row r="97" spans="2:13" ht="21" x14ac:dyDescent="0.3">
      <c r="B97" s="422" t="s">
        <v>30</v>
      </c>
      <c r="C97" s="422"/>
    </row>
    <row r="98" spans="2:13" ht="15.6" x14ac:dyDescent="0.3">
      <c r="B98" s="60" t="s">
        <v>0</v>
      </c>
      <c r="C98" s="61" t="s">
        <v>1</v>
      </c>
      <c r="D98" s="61" t="s">
        <v>21</v>
      </c>
      <c r="E98" s="61" t="s">
        <v>22</v>
      </c>
      <c r="F98" s="61" t="s">
        <v>3</v>
      </c>
      <c r="G98" s="61" t="s">
        <v>4</v>
      </c>
      <c r="H98" s="61" t="s">
        <v>23</v>
      </c>
      <c r="I98" s="61" t="s">
        <v>17</v>
      </c>
      <c r="J98" s="61" t="s">
        <v>7</v>
      </c>
      <c r="K98" s="61" t="s">
        <v>24</v>
      </c>
      <c r="L98" s="61" t="s">
        <v>10</v>
      </c>
      <c r="M98" s="62" t="s">
        <v>38</v>
      </c>
    </row>
    <row r="99" spans="2:13" x14ac:dyDescent="0.3">
      <c r="B99" s="40">
        <v>45019</v>
      </c>
      <c r="C99" s="41">
        <v>1</v>
      </c>
      <c r="D99" s="42">
        <v>3</v>
      </c>
      <c r="E99" s="43">
        <v>121</v>
      </c>
      <c r="F99" s="44">
        <v>30628274327</v>
      </c>
      <c r="G99" s="239" t="str">
        <f>IFERROR(IF(venta_a_mes1[[#This Row],[CUIT]]="","-",VLOOKUP(venta_a_mes1[[#This Row],[CUIT]],Lista_CUIT[#All],2,0)),"CUIT NO CARGADO")</f>
        <v>AGIRA  S A</v>
      </c>
      <c r="H99" s="100">
        <v>4671373.5</v>
      </c>
      <c r="I99" s="101"/>
      <c r="J99" s="65">
        <v>490494.22</v>
      </c>
      <c r="K99" s="65"/>
      <c r="L99" s="65">
        <f>SUM(venta_a_mes1[[#This Row],[IMPORTE NETO]:[EXENTO]])</f>
        <v>5161867.72</v>
      </c>
      <c r="M99" s="59"/>
    </row>
    <row r="100" spans="2:13" x14ac:dyDescent="0.3">
      <c r="B100" s="40">
        <v>45019</v>
      </c>
      <c r="C100" s="41">
        <v>1</v>
      </c>
      <c r="D100" s="42">
        <v>3</v>
      </c>
      <c r="E100" s="43">
        <v>122</v>
      </c>
      <c r="F100" s="44">
        <v>33717088269</v>
      </c>
      <c r="G100" s="239" t="str">
        <f>IFERROR(IF(venta_a_mes1[[#This Row],[CUIT]]="","-",VLOOKUP(venta_a_mes1[[#This Row],[CUIT]],Lista_CUIT[#All],2,0)),"CUIT NO CARGADO")</f>
        <v>NEXT SERVICE GNC S.R.L.</v>
      </c>
      <c r="H100" s="100">
        <v>160937.69999999998</v>
      </c>
      <c r="I100" s="101">
        <f>venta_a_mes1[[#This Row],[IMPORTE NETO]]*0.21</f>
        <v>33796.916999999994</v>
      </c>
      <c r="J100" s="65"/>
      <c r="K100" s="65"/>
      <c r="L100" s="65">
        <f>SUM(venta_a_mes1[[#This Row],[IMPORTE NETO]:[EXENTO]])</f>
        <v>194734.61699999997</v>
      </c>
      <c r="M100" s="59"/>
    </row>
    <row r="101" spans="2:13" x14ac:dyDescent="0.3">
      <c r="B101" s="40">
        <v>45019</v>
      </c>
      <c r="C101" s="41">
        <v>1</v>
      </c>
      <c r="D101" s="42">
        <v>3</v>
      </c>
      <c r="E101" s="43">
        <v>123</v>
      </c>
      <c r="F101" s="44">
        <v>33717088269</v>
      </c>
      <c r="G101" s="239" t="str">
        <f>IFERROR(IF(venta_a_mes1[[#This Row],[CUIT]]="","-",VLOOKUP(venta_a_mes1[[#This Row],[CUIT]],Lista_CUIT[#All],2,0)),"CUIT NO CARGADO")</f>
        <v>NEXT SERVICE GNC S.R.L.</v>
      </c>
      <c r="H101" s="100">
        <v>418020</v>
      </c>
      <c r="I101" s="101">
        <f>venta_a_mes1[[#This Row],[IMPORTE NETO]]*0.21</f>
        <v>87784.2</v>
      </c>
      <c r="J101" s="65"/>
      <c r="K101" s="65"/>
      <c r="L101" s="65">
        <f>SUM(venta_a_mes1[[#This Row],[IMPORTE NETO]:[EXENTO]])</f>
        <v>505804.2</v>
      </c>
      <c r="M101" s="59"/>
    </row>
    <row r="102" spans="2:13" x14ac:dyDescent="0.3">
      <c r="B102" s="40">
        <v>45019</v>
      </c>
      <c r="C102" s="41">
        <v>1</v>
      </c>
      <c r="D102" s="42">
        <v>3</v>
      </c>
      <c r="E102" s="43">
        <v>124</v>
      </c>
      <c r="F102" s="44">
        <v>33708467699</v>
      </c>
      <c r="G102" s="239" t="str">
        <f>IFERROR(IF(venta_a_mes1[[#This Row],[CUIT]]="","-",VLOOKUP(venta_a_mes1[[#This Row],[CUIT]],Lista_CUIT[#All],2,0)),"CUIT NO CARGADO")</f>
        <v>COMPRESORES SERVICIO TECNICO S A</v>
      </c>
      <c r="H102" s="100">
        <v>532975.5</v>
      </c>
      <c r="I102" s="101">
        <f>venta_a_mes1[[#This Row],[IMPORTE NETO]]*0.21</f>
        <v>111924.855</v>
      </c>
      <c r="J102" s="65"/>
      <c r="K102" s="65"/>
      <c r="L102" s="65">
        <f>SUM(venta_a_mes1[[#This Row],[IMPORTE NETO]:[EXENTO]])</f>
        <v>644900.35499999998</v>
      </c>
      <c r="M102" s="59"/>
    </row>
    <row r="103" spans="2:13" x14ac:dyDescent="0.3">
      <c r="B103" s="40">
        <v>45019</v>
      </c>
      <c r="C103" s="41">
        <v>1</v>
      </c>
      <c r="D103" s="42">
        <v>3</v>
      </c>
      <c r="E103" s="43">
        <v>120</v>
      </c>
      <c r="F103" s="44">
        <v>30628274327</v>
      </c>
      <c r="G103" s="239" t="str">
        <f>IFERROR(IF(venta_a_mes1[[#This Row],[CUIT]]="","-",VLOOKUP(venta_a_mes1[[#This Row],[CUIT]],Lista_CUIT[#All],2,0)),"CUIT NO CARGADO")</f>
        <v>AGIRA  S A</v>
      </c>
      <c r="H103" s="100">
        <v>84440.04</v>
      </c>
      <c r="I103" s="101">
        <f>venta_a_mes1[[#This Row],[IMPORTE NETO]]*0.21</f>
        <v>17732.408399999997</v>
      </c>
      <c r="J103" s="65"/>
      <c r="K103" s="65"/>
      <c r="L103" s="65">
        <f>SUM(venta_a_mes1[[#This Row],[IMPORTE NETO]:[EXENTO]])</f>
        <v>102172.44839999999</v>
      </c>
      <c r="M103" s="59"/>
    </row>
    <row r="104" spans="2:13" x14ac:dyDescent="0.3">
      <c r="B104" s="40">
        <v>45044</v>
      </c>
      <c r="C104" s="41">
        <v>1</v>
      </c>
      <c r="D104" s="42">
        <v>3</v>
      </c>
      <c r="E104" s="43">
        <v>125</v>
      </c>
      <c r="F104" s="44">
        <v>27134325327</v>
      </c>
      <c r="G104" s="239" t="str">
        <f>IFERROR(IF(venta_a_mes1[[#This Row],[CUIT]]="","-",VLOOKUP(venta_a_mes1[[#This Row],[CUIT]],Lista_CUIT[#All],2,0)),"CUIT NO CARGADO")</f>
        <v>PEREZ EMILIA EUGENIA</v>
      </c>
      <c r="H104" s="100">
        <v>262775</v>
      </c>
      <c r="I104" s="101">
        <f>venta_a_mes1[[#This Row],[IMPORTE NETO]]*0.21</f>
        <v>55182.75</v>
      </c>
      <c r="J104" s="65"/>
      <c r="K104" s="65"/>
      <c r="L104" s="65">
        <f>SUM(venta_a_mes1[[#This Row],[IMPORTE NETO]:[EXENTO]])</f>
        <v>317957.75</v>
      </c>
      <c r="M104" s="59"/>
    </row>
    <row r="105" spans="2:13" x14ac:dyDescent="0.3">
      <c r="B105" s="40">
        <v>45044</v>
      </c>
      <c r="C105" s="41">
        <v>1</v>
      </c>
      <c r="D105" s="42">
        <v>3</v>
      </c>
      <c r="E105" s="43">
        <v>126</v>
      </c>
      <c r="F105" s="44">
        <v>30708844248</v>
      </c>
      <c r="G105" s="239" t="str">
        <f>IFERROR(IF(venta_a_mes1[[#This Row],[CUIT]]="","-",VLOOKUP(venta_a_mes1[[#This Row],[CUIT]],Lista_CUIT[#All],2,0)),"CUIT NO CARGADO")</f>
        <v>INGENIERIA GAMAR SOCIEDAD ANONIMA</v>
      </c>
      <c r="H105" s="100">
        <v>1713750</v>
      </c>
      <c r="I105" s="101">
        <f>venta_a_mes1[[#This Row],[IMPORTE NETO]]*0.21</f>
        <v>359887.5</v>
      </c>
      <c r="J105" s="65"/>
      <c r="K105" s="65"/>
      <c r="L105" s="65">
        <f>SUM(venta_a_mes1[[#This Row],[IMPORTE NETO]:[EXENTO]])</f>
        <v>2073637.5</v>
      </c>
      <c r="M105" s="63"/>
    </row>
    <row r="106" spans="2:13" x14ac:dyDescent="0.3">
      <c r="B106" s="102">
        <v>45019</v>
      </c>
      <c r="C106" s="103">
        <v>2</v>
      </c>
      <c r="D106" s="104">
        <v>3</v>
      </c>
      <c r="E106" s="105">
        <v>4</v>
      </c>
      <c r="F106" s="106">
        <v>30638318470</v>
      </c>
      <c r="G106" s="239" t="str">
        <f>IFERROR(IF(venta_a_mes1[[#This Row],[CUIT]]="","-",VLOOKUP(venta_a_mes1[[#This Row],[CUIT]],Lista_CUIT[#All],2,0)),"CUIT NO CARGADO")</f>
        <v>DELTA COMPRESION S R L</v>
      </c>
      <c r="H106" s="107">
        <v>5838667.1786999991</v>
      </c>
      <c r="I106" s="108">
        <f>venta_a_mes1[[#This Row],[IMPORTE NETO]]*0.21</f>
        <v>1226120.1075269997</v>
      </c>
      <c r="J106" s="72"/>
      <c r="K106" s="72"/>
      <c r="L106" s="72">
        <f>SUM(venta_a_mes1[[#This Row],[IMPORTE NETO]:[EXENTO]])</f>
        <v>7064787.286226999</v>
      </c>
      <c r="M106" s="63"/>
    </row>
    <row r="107" spans="2:13" x14ac:dyDescent="0.3">
      <c r="B107" s="109">
        <v>45036</v>
      </c>
      <c r="C107" s="110">
        <v>3</v>
      </c>
      <c r="D107" s="111">
        <v>3</v>
      </c>
      <c r="E107" s="112">
        <v>16</v>
      </c>
      <c r="F107" s="113">
        <v>30628274327</v>
      </c>
      <c r="G107" s="239" t="str">
        <f>IFERROR(IF(venta_a_mes1[[#This Row],[CUIT]]="","-",VLOOKUP(venta_a_mes1[[#This Row],[CUIT]],Lista_CUIT[#All],2,0)),"CUIT NO CARGADO")</f>
        <v>AGIRA  S A</v>
      </c>
      <c r="H107" s="100">
        <v>-4671373.5</v>
      </c>
      <c r="I107" s="101"/>
      <c r="J107" s="65">
        <v>-490494.22</v>
      </c>
      <c r="K107" s="65"/>
      <c r="L107" s="65">
        <f>SUM(venta_a_mes1[[#This Row],[IMPORTE NETO]:[EXENTO]])</f>
        <v>-5161867.72</v>
      </c>
      <c r="M107" s="59"/>
    </row>
    <row r="108" spans="2:13" x14ac:dyDescent="0.3">
      <c r="B108" s="102"/>
      <c r="C108" s="103"/>
      <c r="D108" s="104"/>
      <c r="E108" s="105"/>
      <c r="F108" s="106"/>
      <c r="G108" s="249" t="str">
        <f>IFERROR(IF(venta_a_mes1[[#This Row],[CUIT]]="","-",VLOOKUP(venta_a_mes1[[#This Row],[CUIT]],Lista_CUIT[#All],2,0)),"CUIT NO CARGADO")</f>
        <v>-</v>
      </c>
      <c r="H108" s="107"/>
      <c r="I108" s="108">
        <f>venta_a_mes1[[#This Row],[IMPORTE NETO]]*0.21</f>
        <v>0</v>
      </c>
      <c r="J108" s="72"/>
      <c r="K108" s="72"/>
      <c r="L108" s="72">
        <f>SUM(venta_a_mes1[[#This Row],[IMPORTE NETO]:[EXENTO]])</f>
        <v>0</v>
      </c>
      <c r="M108" s="63"/>
    </row>
    <row r="109" spans="2:13" x14ac:dyDescent="0.3">
      <c r="B109" s="66" t="s">
        <v>110</v>
      </c>
      <c r="C109" s="67"/>
      <c r="D109" s="67"/>
      <c r="E109" s="67"/>
      <c r="F109" s="67"/>
      <c r="G109" s="67"/>
      <c r="H109" s="69">
        <f>SUBTOTAL(109,venta_a_mes1[IMPORTE NETO])</f>
        <v>9011565.4186999984</v>
      </c>
      <c r="I109" s="70">
        <f>SUBTOTAL(109,venta_a_mes1[IVA 21%])</f>
        <v>1892428.7379269996</v>
      </c>
      <c r="J109" s="71">
        <f>SUBTOTAL(109,venta_a_mes1[IVA 10,5%])</f>
        <v>0</v>
      </c>
      <c r="K109" s="71">
        <f>SUBTOTAL(109,venta_a_mes1[EXENTO])</f>
        <v>0</v>
      </c>
      <c r="L109" s="71">
        <f>SUBTOTAL(109,venta_a_mes1[TOTAL])</f>
        <v>10903994.156626999</v>
      </c>
      <c r="M109" s="68">
        <f>SUBTOTAL(103,venta_a_mes1[Provincia])</f>
        <v>0</v>
      </c>
    </row>
    <row r="111" spans="2:13" ht="21" x14ac:dyDescent="0.3">
      <c r="B111" s="422" t="s">
        <v>31</v>
      </c>
      <c r="C111" s="422"/>
    </row>
    <row r="112" spans="2:13" ht="15.6" x14ac:dyDescent="0.3">
      <c r="B112" s="60" t="s">
        <v>0</v>
      </c>
      <c r="C112" s="61" t="s">
        <v>1</v>
      </c>
      <c r="D112" s="61" t="s">
        <v>21</v>
      </c>
      <c r="E112" s="61" t="s">
        <v>22</v>
      </c>
      <c r="F112" s="61" t="s">
        <v>3</v>
      </c>
      <c r="G112" s="61" t="s">
        <v>4</v>
      </c>
      <c r="H112" s="61" t="s">
        <v>23</v>
      </c>
      <c r="I112" s="61" t="s">
        <v>17</v>
      </c>
      <c r="J112" s="61" t="s">
        <v>7</v>
      </c>
      <c r="K112" s="61" t="s">
        <v>24</v>
      </c>
      <c r="L112" s="61" t="s">
        <v>10</v>
      </c>
      <c r="M112" s="62" t="s">
        <v>38</v>
      </c>
    </row>
    <row r="113" spans="2:18" x14ac:dyDescent="0.3">
      <c r="B113" s="40"/>
      <c r="C113" s="41"/>
      <c r="D113" s="42"/>
      <c r="E113" s="43"/>
      <c r="F113" s="44"/>
      <c r="G113" s="1" t="str">
        <f>IFERROR(IF(ventas_b_mes1[[#This Row],[CUIT]]="","-",VLOOKUP(ventas_b_mes1[[#This Row],[CUIT]],Lista_CUIT[#All],2,0)),"CUIT NO CARGADO")</f>
        <v>-</v>
      </c>
      <c r="H113" s="64"/>
      <c r="I113" s="64"/>
      <c r="J113" s="64"/>
      <c r="K113" s="64"/>
      <c r="L113" s="64"/>
      <c r="M113" s="59"/>
    </row>
    <row r="114" spans="2:18" x14ac:dyDescent="0.3">
      <c r="B114" s="40"/>
      <c r="C114" s="41"/>
      <c r="D114" s="42"/>
      <c r="E114" s="43"/>
      <c r="F114" s="44"/>
      <c r="G114" s="1"/>
      <c r="H114" s="64"/>
      <c r="I114" s="64"/>
      <c r="J114" s="64"/>
      <c r="K114" s="64"/>
      <c r="L114" s="64"/>
      <c r="M114" s="59"/>
    </row>
    <row r="115" spans="2:18" x14ac:dyDescent="0.3">
      <c r="B115" s="40"/>
      <c r="C115" s="41"/>
      <c r="D115" s="42"/>
      <c r="E115" s="43"/>
      <c r="F115" s="44"/>
      <c r="G115" s="1"/>
      <c r="H115" s="64"/>
      <c r="I115" s="64"/>
      <c r="J115" s="64"/>
      <c r="K115" s="64"/>
      <c r="L115" s="64"/>
      <c r="M115" s="59"/>
    </row>
    <row r="116" spans="2:18" x14ac:dyDescent="0.3">
      <c r="B116" s="40"/>
      <c r="C116" s="41"/>
      <c r="D116" s="42"/>
      <c r="E116" s="43"/>
      <c r="F116" s="44"/>
      <c r="G116" s="1"/>
      <c r="H116" s="64"/>
      <c r="I116" s="64"/>
      <c r="J116" s="64"/>
      <c r="K116" s="64"/>
      <c r="L116" s="64"/>
      <c r="M116" s="59"/>
    </row>
    <row r="117" spans="2:18" x14ac:dyDescent="0.3">
      <c r="B117" s="40"/>
      <c r="C117" s="41"/>
      <c r="D117" s="42"/>
      <c r="E117" s="43"/>
      <c r="F117" s="44"/>
      <c r="G117" s="1"/>
      <c r="H117" s="64"/>
      <c r="I117" s="64"/>
      <c r="J117" s="64"/>
      <c r="K117" s="64"/>
      <c r="L117" s="64"/>
      <c r="M117" s="59"/>
    </row>
    <row r="118" spans="2:18" x14ac:dyDescent="0.3">
      <c r="B118" s="40"/>
      <c r="C118" s="41"/>
      <c r="D118" s="42"/>
      <c r="E118" s="43"/>
      <c r="F118" s="44"/>
      <c r="G118" s="1"/>
      <c r="H118" s="64"/>
      <c r="I118" s="64"/>
      <c r="J118" s="64"/>
      <c r="K118" s="64"/>
      <c r="L118" s="64"/>
      <c r="M118" s="59"/>
    </row>
    <row r="119" spans="2:18" x14ac:dyDescent="0.3">
      <c r="B119" s="66" t="s">
        <v>110</v>
      </c>
      <c r="C119" s="67"/>
      <c r="D119" s="67"/>
      <c r="E119" s="67"/>
      <c r="F119" s="67"/>
      <c r="G119" s="67"/>
      <c r="H119" s="77">
        <f>SUBTOTAL(109,ventas_b_mes1[IMPORTE NETO])</f>
        <v>0</v>
      </c>
      <c r="I119" s="77">
        <f>SUBTOTAL(109,ventas_b_mes1[IVA 21%])</f>
        <v>0</v>
      </c>
      <c r="J119" s="78">
        <f>SUBTOTAL(109,ventas_b_mes1[IVA 10,5%])</f>
        <v>0</v>
      </c>
      <c r="K119" s="78">
        <f>SUBTOTAL(109,ventas_b_mes1[EXENTO])</f>
        <v>0</v>
      </c>
      <c r="L119" s="78">
        <f>SUBTOTAL(109,ventas_b_mes1[TOTAL])</f>
        <v>0</v>
      </c>
      <c r="M119" s="68">
        <f>SUBTOTAL(103,ventas_b_mes1[Provincia])</f>
        <v>0</v>
      </c>
      <c r="O119" s="204"/>
      <c r="P119" s="204"/>
      <c r="Q119" s="204"/>
      <c r="R119" s="204"/>
    </row>
    <row r="122" spans="2:18" ht="21" x14ac:dyDescent="0.3">
      <c r="B122" s="422" t="s">
        <v>1129</v>
      </c>
      <c r="C122" s="422"/>
    </row>
    <row r="123" spans="2:18" ht="15.6" x14ac:dyDescent="0.3">
      <c r="B123" s="60" t="s">
        <v>0</v>
      </c>
      <c r="C123" s="61" t="s">
        <v>1</v>
      </c>
      <c r="D123" s="61" t="s">
        <v>21</v>
      </c>
      <c r="E123" s="61" t="s">
        <v>22</v>
      </c>
      <c r="F123" s="61" t="s">
        <v>3</v>
      </c>
      <c r="G123" s="61" t="s">
        <v>4</v>
      </c>
      <c r="H123" s="61" t="s">
        <v>1130</v>
      </c>
      <c r="I123" s="61" t="s">
        <v>17</v>
      </c>
      <c r="J123" s="61" t="s">
        <v>112</v>
      </c>
      <c r="K123" s="61" t="s">
        <v>1131</v>
      </c>
      <c r="L123" s="61" t="s">
        <v>10</v>
      </c>
      <c r="M123" s="62" t="s">
        <v>38</v>
      </c>
    </row>
    <row r="124" spans="2:18" x14ac:dyDescent="0.3">
      <c r="B124" s="40">
        <v>45044</v>
      </c>
      <c r="C124" s="41"/>
      <c r="D124" s="42">
        <v>30</v>
      </c>
      <c r="E124" s="43">
        <v>63</v>
      </c>
      <c r="F124" s="44">
        <v>55000000050</v>
      </c>
      <c r="G124" s="1" t="str">
        <f>IFERROR(IF(ventas_b_mes13[[#This Row],[CUIT]]="","-",VLOOKUP(ventas_b_mes13[[#This Row],[CUIT]],Lista_CUIT[#All],2,0)),"CUIT NO CARGADO")</f>
        <v>GAS FUTURO SISTEMAS DE COMPRESSÃO LTDA</v>
      </c>
      <c r="H124" s="64">
        <v>11000</v>
      </c>
      <c r="I124" s="64">
        <f>ventas_b_mes13[[#This Row],[USD]]*0.21</f>
        <v>2310</v>
      </c>
      <c r="J124" s="206"/>
      <c r="K124" s="64">
        <v>222</v>
      </c>
      <c r="L124" s="64">
        <v>2442000</v>
      </c>
      <c r="M124" s="59"/>
      <c r="O124" s="204"/>
      <c r="P124" s="204"/>
      <c r="Q124" s="204"/>
      <c r="R124" s="204"/>
    </row>
    <row r="125" spans="2:18" x14ac:dyDescent="0.3">
      <c r="B125" s="40"/>
      <c r="C125" s="41"/>
      <c r="D125" s="42"/>
      <c r="E125" s="43"/>
      <c r="F125" s="44"/>
      <c r="G125" s="1" t="str">
        <f>IFERROR(IF(ventas_b_mes13[[#This Row],[CUIT]]="","-",VLOOKUP(ventas_b_mes13[[#This Row],[CUIT]],Lista_CUIT[#All],2,0)),"CUIT NO CARGADO")</f>
        <v>-</v>
      </c>
      <c r="H125" s="64"/>
      <c r="I125" s="64">
        <f>ventas_b_mes13[[#This Row],[USD]]*0.21</f>
        <v>0</v>
      </c>
      <c r="J125" s="64"/>
      <c r="K125" s="64"/>
      <c r="L125" s="64"/>
      <c r="M125" s="59"/>
    </row>
    <row r="126" spans="2:18" ht="15.6" x14ac:dyDescent="0.3">
      <c r="B126" s="66" t="s">
        <v>110</v>
      </c>
      <c r="C126" s="67"/>
      <c r="D126" s="67"/>
      <c r="E126" s="67"/>
      <c r="F126" s="67"/>
      <c r="G126" s="67"/>
      <c r="H126" s="77">
        <f>SUBTOTAL(109,ventas_b_mes13[USD])</f>
        <v>11000</v>
      </c>
      <c r="I126" s="77">
        <f>SUBTOTAL(109,ventas_b_mes13[IVA 21%])</f>
        <v>2310</v>
      </c>
      <c r="J126" s="78">
        <f>SUBTOTAL(109,ventas_b_mes13[Columna1])</f>
        <v>0</v>
      </c>
      <c r="K126" s="78">
        <f>SUBTOTAL(109,ventas_b_mes13[TIPO DE CAMBIO2])</f>
        <v>222</v>
      </c>
      <c r="L126" s="78">
        <f>SUBTOTAL(109,ventas_b_mes13[TOTAL])</f>
        <v>2442000</v>
      </c>
      <c r="M126" s="68">
        <f>SUBTOTAL(103,ventas_b_mes13[Provincia])</f>
        <v>0</v>
      </c>
      <c r="O126" s="205"/>
      <c r="P126" s="205"/>
      <c r="Q126" s="205"/>
      <c r="R126" s="205"/>
    </row>
    <row r="127" spans="2:18" ht="16.2" thickBot="1" x14ac:dyDescent="0.35">
      <c r="B127" s="166"/>
      <c r="C127" s="166"/>
      <c r="D127" s="166"/>
      <c r="E127" s="166"/>
      <c r="F127" s="166"/>
      <c r="G127" s="166"/>
      <c r="H127" s="171"/>
      <c r="I127" s="171"/>
      <c r="J127" s="172"/>
      <c r="K127" s="172"/>
      <c r="L127" s="172"/>
      <c r="M127" s="170"/>
      <c r="O127" s="205"/>
      <c r="P127" s="205"/>
      <c r="Q127" s="205"/>
      <c r="R127" s="205"/>
    </row>
    <row r="128" spans="2:18" ht="15" thickTop="1" x14ac:dyDescent="0.3">
      <c r="C128" s="419" t="s">
        <v>66</v>
      </c>
      <c r="D128" s="420"/>
      <c r="E128" s="420"/>
      <c r="F128" s="420"/>
      <c r="G128" s="421"/>
      <c r="H128" s="32"/>
      <c r="I128" s="32"/>
      <c r="J128" s="32"/>
    </row>
    <row r="129" spans="3:12" ht="15.6" x14ac:dyDescent="0.3">
      <c r="C129" s="114" t="s">
        <v>67</v>
      </c>
      <c r="D129" s="115" t="s">
        <v>68</v>
      </c>
      <c r="E129" s="115" t="s">
        <v>112</v>
      </c>
      <c r="F129" s="115" t="s">
        <v>3</v>
      </c>
      <c r="G129" s="115" t="s">
        <v>4</v>
      </c>
      <c r="H129" s="116" t="s">
        <v>69</v>
      </c>
      <c r="I129" s="116" t="s">
        <v>70</v>
      </c>
      <c r="J129" s="116" t="s">
        <v>71</v>
      </c>
      <c r="K129" s="116" t="s">
        <v>72</v>
      </c>
      <c r="L129" s="116" t="s">
        <v>73</v>
      </c>
    </row>
    <row r="130" spans="3:12" x14ac:dyDescent="0.3">
      <c r="C130" s="117"/>
      <c r="D130" s="118"/>
      <c r="E130" s="118"/>
      <c r="F130" s="119"/>
      <c r="G130" s="53" t="str">
        <f>IFERROR(IF(retenciones_mes1[[#This Row],[CUIT]]="","-",VLOOKUP(retenciones_mes1[[#This Row],[CUIT]],Lista_CUIT[#All],2,0)),"CUIT NO CARGADO")</f>
        <v>-</v>
      </c>
      <c r="H130" s="120"/>
      <c r="I130" s="120"/>
      <c r="J130" s="120"/>
      <c r="K130" s="120"/>
      <c r="L130" s="120"/>
    </row>
    <row r="131" spans="3:12" x14ac:dyDescent="0.3">
      <c r="C131" s="117"/>
      <c r="D131" s="118"/>
      <c r="E131" s="118"/>
      <c r="F131" s="119"/>
      <c r="G131" s="53" t="str">
        <f>IFERROR(IF(retenciones_mes1[[#This Row],[CUIT]]="","-",VLOOKUP(retenciones_mes1[[#This Row],[CUIT]],Lista_CUIT[#All],2,0)),"CUIT NO CARGADO")</f>
        <v>-</v>
      </c>
      <c r="H131" s="120"/>
      <c r="I131" s="120"/>
      <c r="J131" s="120"/>
      <c r="K131" s="120"/>
      <c r="L131" s="120"/>
    </row>
    <row r="132" spans="3:12" x14ac:dyDescent="0.3">
      <c r="C132" s="117"/>
      <c r="D132" s="118"/>
      <c r="E132" s="118"/>
      <c r="F132" s="119"/>
      <c r="G132" s="53" t="str">
        <f>IFERROR(IF(retenciones_mes1[[#This Row],[CUIT]]="","-",VLOOKUP(retenciones_mes1[[#This Row],[CUIT]],Lista_CUIT[#All],2,0)),"CUIT NO CARGADO")</f>
        <v>-</v>
      </c>
      <c r="H132" s="120"/>
      <c r="I132" s="120"/>
      <c r="J132" s="120"/>
      <c r="K132" s="120"/>
      <c r="L132" s="120"/>
    </row>
    <row r="133" spans="3:12" x14ac:dyDescent="0.3">
      <c r="C133" s="117"/>
      <c r="D133" s="118"/>
      <c r="E133" s="118"/>
      <c r="F133" s="119"/>
      <c r="G133" s="53" t="str">
        <f>IFERROR(IF(retenciones_mes1[[#This Row],[CUIT]]="","-",VLOOKUP(retenciones_mes1[[#This Row],[CUIT]],Lista_CUIT[#All],2,0)),"CUIT NO CARGADO")</f>
        <v>-</v>
      </c>
      <c r="H133" s="120"/>
      <c r="I133" s="120"/>
      <c r="J133" s="120"/>
      <c r="K133" s="120"/>
      <c r="L133" s="120"/>
    </row>
    <row r="134" spans="3:12" x14ac:dyDescent="0.3">
      <c r="D134" s="118"/>
      <c r="E134" s="118"/>
      <c r="G134" s="53" t="str">
        <f>IFERROR(IF(retenciones_mes1[[#This Row],[CUIT]]="","-",VLOOKUP(retenciones_mes1[[#This Row],[CUIT]],Lista_CUIT[#All],2,0)),"CUIT NO CARGADO")</f>
        <v>-</v>
      </c>
    </row>
  </sheetData>
  <mergeCells count="21">
    <mergeCell ref="C128:G128"/>
    <mergeCell ref="B122:C122"/>
    <mergeCell ref="N1:R1"/>
    <mergeCell ref="D63:L63"/>
    <mergeCell ref="B97:C97"/>
    <mergeCell ref="B111:C111"/>
    <mergeCell ref="B1:F1"/>
    <mergeCell ref="G1:M1"/>
    <mergeCell ref="K95:M95"/>
    <mergeCell ref="B3:E3"/>
    <mergeCell ref="B4:E4"/>
    <mergeCell ref="G4:H4"/>
    <mergeCell ref="G3:H3"/>
    <mergeCell ref="B95:J95"/>
    <mergeCell ref="D79:K79"/>
    <mergeCell ref="P4:R4"/>
    <mergeCell ref="J4:K4"/>
    <mergeCell ref="M4:N4"/>
    <mergeCell ref="M3:N3"/>
    <mergeCell ref="P3:R3"/>
    <mergeCell ref="J3:K3"/>
  </mergeCells>
  <phoneticPr fontId="38" type="noConversion"/>
  <dataValidations count="13">
    <dataValidation type="whole" allowBlank="1" showInputMessage="1" showErrorMessage="1" sqref="D9:D57 D127 D113:D118 E81:E92 D124:D125 D99:D108" xr:uid="{00000000-0002-0000-0100-000000000000}">
      <formula1>1</formula1>
      <formula2>9999</formula2>
    </dataValidation>
    <dataValidation type="whole" allowBlank="1" showInputMessage="1" showErrorMessage="1" sqref="E127 E9:E57 E113:E118 F81:F92 E124:E125 E99:E108" xr:uid="{00000000-0002-0000-0100-000001000000}">
      <formula1>1</formula1>
      <formula2>99999999</formula2>
    </dataValidation>
    <dataValidation type="whole" allowBlank="1" showInputMessage="1" showErrorMessage="1" sqref="G81:G92 F9:F57 F113:F118 F127 F124:F125 F99:F108" xr:uid="{00000000-0002-0000-0100-000002000000}">
      <formula1>20000000000</formula1>
      <formula2>33999999999</formula2>
    </dataValidation>
    <dataValidation type="date" allowBlank="1" showInputMessage="1" showErrorMessage="1" sqref="B9:B57 D65:D74 B127 B59:B62 B113:B118 D81:D92 B124:B125 B99:B108" xr:uid="{00000000-0002-0000-0100-000003000000}">
      <formula1>40179</formula1>
      <formula2>TODAY()</formula2>
    </dataValidation>
    <dataValidation type="whole" allowBlank="1" showInputMessage="1" showErrorMessage="1" sqref="C59:C62 C9:C57 C99:C108" xr:uid="{00000000-0002-0000-0100-000004000000}">
      <formula1>1</formula1>
      <formula2>3</formula2>
    </dataValidation>
    <dataValidation type="custom" allowBlank="1" showInputMessage="1" showErrorMessage="1" sqref="H99:K99 H101:K101 H103:K103 H105:K105" xr:uid="{00000000-0002-0000-0100-000005000000}">
      <formula1>IF($C99=3,H99&lt;0,H99&gt;=0)</formula1>
    </dataValidation>
    <dataValidation type="whole" allowBlank="1" showInputMessage="1" showErrorMessage="1" sqref="C113:C118 C127" xr:uid="{00000000-0002-0000-0100-000006000000}">
      <formula1>6</formula1>
      <formula2>8</formula2>
    </dataValidation>
    <dataValidation type="custom" allowBlank="1" showInputMessage="1" showErrorMessage="1" sqref="L99:L100" xr:uid="{00000000-0002-0000-0100-000007000000}">
      <formula1>IF($C9=3,L9&lt;0,L9&gt;=0)</formula1>
    </dataValidation>
    <dataValidation type="custom" allowBlank="1" showInputMessage="1" showErrorMessage="1" sqref="L101:L103" xr:uid="{00000000-0002-0000-0100-000008000000}">
      <formula1>IF($C13=3,L13&lt;0,L13&gt;=0)</formula1>
    </dataValidation>
    <dataValidation type="custom" allowBlank="1" showInputMessage="1" showErrorMessage="1" sqref="H113:L118 K124 H124:I124 H125:K125 L124:L125" xr:uid="{00000000-0002-0000-0100-000009000000}">
      <formula1>IF($C113=8,H113&lt;0,H113&gt;=0)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0:O34 H9:L9 N9:O9" xr:uid="{00000000-0002-0000-0100-00000A000000}">
      <formula1>IF($C9=3,H9&lt;0,H9&gt;=0)</formula1>
    </dataValidation>
    <dataValidation type="whole" allowBlank="1" showInputMessage="1" showErrorMessage="1" sqref="C124:C125" xr:uid="{00000000-0002-0000-0100-00000B000000}">
      <formula1>80</formula1>
      <formula2>80</formula2>
    </dataValidation>
    <dataValidation type="custom" allowBlank="1" showInputMessage="1" showErrorMessage="1" sqref="L104:L105" xr:uid="{00000000-0002-0000-0100-00000C000000}">
      <formula1>IF($C58=3,L58&lt;0,L58&gt;=0)</formula1>
    </dataValidation>
  </dataValidation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9" tint="0.79998168889431442"/>
  </sheetPr>
  <dimension ref="A1:Z162"/>
  <sheetViews>
    <sheetView showGridLines="0" topLeftCell="H17" zoomScaleNormal="100" workbookViewId="0">
      <selection activeCell="L29" sqref="L29"/>
    </sheetView>
  </sheetViews>
  <sheetFormatPr baseColWidth="10" defaultColWidth="0" defaultRowHeight="14.4" x14ac:dyDescent="0.3"/>
  <cols>
    <col min="1" max="1" width="1.6640625" customWidth="1"/>
    <col min="2" max="2" width="17.109375" customWidth="1"/>
    <col min="3" max="3" width="13.109375" customWidth="1"/>
    <col min="4" max="4" width="16.6640625" customWidth="1"/>
    <col min="5" max="5" width="11.88671875" customWidth="1"/>
    <col min="6" max="6" width="18.33203125" customWidth="1"/>
    <col min="7" max="7" width="30.5546875" customWidth="1"/>
    <col min="8" max="8" width="35" customWidth="1"/>
    <col min="9" max="9" width="17.5546875" customWidth="1"/>
    <col min="10" max="10" width="19.5546875" customWidth="1"/>
    <col min="11" max="11" width="20.33203125" customWidth="1"/>
    <col min="12" max="12" width="18.33203125" bestFit="1" customWidth="1"/>
    <col min="13" max="13" width="11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13.441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424" t="s">
        <v>28</v>
      </c>
      <c r="C1" s="424"/>
      <c r="D1" s="424"/>
      <c r="E1" s="424"/>
      <c r="F1" s="424"/>
      <c r="G1" s="425" t="str">
        <f>'Abr-23'!G1:M1</f>
        <v>CORITEC S. R. L.</v>
      </c>
      <c r="H1" s="425"/>
      <c r="I1" s="425"/>
      <c r="J1" s="425"/>
      <c r="K1" s="425"/>
      <c r="L1" s="425"/>
      <c r="M1" s="425"/>
      <c r="N1" s="423">
        <f>EDATE('Abr-23'!N1,1)</f>
        <v>45047</v>
      </c>
      <c r="O1" s="423"/>
      <c r="P1" s="423"/>
      <c r="Q1" s="423"/>
      <c r="R1" s="423"/>
    </row>
    <row r="2" spans="1:26" ht="15" customHeight="1" x14ac:dyDescent="0.3"/>
    <row r="3" spans="1:26" ht="26.4" customHeight="1" x14ac:dyDescent="0.3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2" customHeight="1" x14ac:dyDescent="0.4">
      <c r="B4" s="428">
        <f>SUM(compras_mes2[[#Totals],[NETO GRAVADO]])+extracto_banco_mes2[[#Totals],[NETO]]</f>
        <v>5344969.8919523805</v>
      </c>
      <c r="C4" s="428"/>
      <c r="D4" s="428"/>
      <c r="E4" s="428"/>
      <c r="F4" s="39"/>
      <c r="G4" s="429">
        <f>compras_mes2[[#Totals],[IVA 21 %]]+compras_mes2[[#Totals],[IVA 27%]]+compras_mes2[[#Totals],[IVA 10,5%]]+extracto_banco_mes2[[#Totals],[IVA 21%]]+extracto_banco_mes2[[#Totals],[IVA 10,5%]]</f>
        <v>1119919.9503100002</v>
      </c>
      <c r="H4" s="429"/>
      <c r="I4" s="39"/>
      <c r="J4" s="416">
        <f>venta_a_mes2[[#Totals],[IMPORTE NETO]]+ventas_b_mes2[[#Totals],[IMPORTE NETO]]+ventas_b_mes252[[#Totals],[IMPORTE NETO]]</f>
        <v>13286929.550000001</v>
      </c>
      <c r="K4" s="416"/>
      <c r="L4" s="39"/>
      <c r="M4" s="416">
        <f>venta_a_mes2[[#Totals],[IVA 21%]]+venta_a_mes2[[#Totals],[IVA 10,5%]]+ventas_b_mes2[[#Totals],[IVA 21%]]+ventas_b_mes2[[#Totals],[IVA 10,5%]]+ventas_b_mes252[[#Totals],[IVA 21%]]</f>
        <v>1647290.8354999998</v>
      </c>
      <c r="N4" s="416"/>
      <c r="O4" s="39"/>
      <c r="P4" s="431">
        <f>G4-M4</f>
        <v>-527370.88518999959</v>
      </c>
      <c r="Q4" s="432"/>
      <c r="R4" s="432"/>
    </row>
    <row r="5" spans="1:26" ht="13.2" customHeight="1" x14ac:dyDescent="0.3"/>
    <row r="6" spans="1:26" ht="10.95" customHeight="1" x14ac:dyDescent="0.3"/>
    <row r="7" spans="1:26" s="2" customFormat="1" ht="18.7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144">
        <v>45063</v>
      </c>
      <c r="C9" s="41">
        <v>1</v>
      </c>
      <c r="D9" s="145">
        <v>2</v>
      </c>
      <c r="E9" s="146">
        <v>8665</v>
      </c>
      <c r="F9" s="147">
        <v>30707835563</v>
      </c>
      <c r="G9" s="148" t="str">
        <f>IFERROR(IF(compras_mes2[[#This Row],[CUIT]]="","-",VLOOKUP(compras_mes2[[#This Row],[CUIT]],Lista_CUIT[#All],2,0)),"CUIT NO CARGADO")</f>
        <v>SUTEL SRL</v>
      </c>
      <c r="H9" s="149">
        <v>35796.69</v>
      </c>
      <c r="I9" s="150">
        <f>IF(compras_mes2[[#This Row],[NETO GRAVADO]]="","",compras_mes2[[#This Row],[NETO GRAVADO]]*0.21)</f>
        <v>7517.3049000000001</v>
      </c>
      <c r="J9" s="150"/>
      <c r="K9" s="150"/>
      <c r="L9" s="150"/>
      <c r="M9" s="150"/>
      <c r="N9" s="150"/>
      <c r="O9" s="150"/>
      <c r="P9" s="151">
        <f>SUM(compras_mes2[[#This Row],[NETO GRAVADO]:[Otros / No Grav.]])</f>
        <v>43313.994900000005</v>
      </c>
      <c r="Q9" s="165">
        <f>IFERROR(IF(compras_mes2[[#This Row],[CUIT]]="","-",VLOOKUP(compras_mes2[[#This Row],[CUIT]],Lista_CUIT[#All],3,0)),"CUIT NO CARGADO")</f>
        <v>0</v>
      </c>
      <c r="R9" s="165">
        <f>IFERROR(IF(compras_mes2[[#This Row],[CUIT]]="","-",VLOOKUP(compras_mes2[[#This Row],[CUIT]],Lista_CUIT[#All],4,0)),"CUIT NO CARGADO")</f>
        <v>0</v>
      </c>
    </row>
    <row r="10" spans="1:26" x14ac:dyDescent="0.3">
      <c r="B10" s="144">
        <v>45064</v>
      </c>
      <c r="C10" s="41">
        <v>1</v>
      </c>
      <c r="D10" s="145">
        <v>2</v>
      </c>
      <c r="E10" s="146">
        <v>3885</v>
      </c>
      <c r="F10" s="147">
        <v>27271779289</v>
      </c>
      <c r="G10" s="148" t="str">
        <f>IFERROR(IF(compras_mes2[[#This Row],[CUIT]]="","-",VLOOKUP(compras_mes2[[#This Row],[CUIT]],Lista_CUIT[#All],2,0)),"CUIT NO CARGADO")</f>
        <v>BRACCO ROSANA</v>
      </c>
      <c r="H10" s="149">
        <v>9600</v>
      </c>
      <c r="I10" s="150">
        <f>IF(compras_mes2[[#This Row],[NETO GRAVADO]]="","",compras_mes2[[#This Row],[NETO GRAVADO]]*0.21)</f>
        <v>2016</v>
      </c>
      <c r="J10" s="150"/>
      <c r="K10" s="150"/>
      <c r="L10" s="150"/>
      <c r="M10" s="150"/>
      <c r="N10" s="150"/>
      <c r="O10" s="150">
        <v>8832.23</v>
      </c>
      <c r="P10" s="151">
        <f>SUM(compras_mes2[[#This Row],[NETO GRAVADO]:[Otros / No Grav.]])</f>
        <v>20448.23</v>
      </c>
      <c r="Q10" s="165">
        <f>IFERROR(IF(compras_mes2[[#This Row],[CUIT]]="","-",VLOOKUP(compras_mes2[[#This Row],[CUIT]],Lista_CUIT[#All],3,0)),"CUIT NO CARGADO")</f>
        <v>0</v>
      </c>
      <c r="R10" s="165">
        <f>IFERROR(IF(compras_mes2[[#This Row],[CUIT]]="","-",VLOOKUP(compras_mes2[[#This Row],[CUIT]],Lista_CUIT[#All],4,0)),"CUIT NO CARGADO")</f>
        <v>0</v>
      </c>
    </row>
    <row r="11" spans="1:26" x14ac:dyDescent="0.3">
      <c r="B11" s="144">
        <v>45064</v>
      </c>
      <c r="C11" s="41">
        <v>1</v>
      </c>
      <c r="D11" s="145">
        <v>2</v>
      </c>
      <c r="E11" s="146">
        <v>11550</v>
      </c>
      <c r="F11" s="147">
        <v>30717014754</v>
      </c>
      <c r="G11" s="148" t="str">
        <f>IFERROR(IF(compras_mes2[[#This Row],[CUIT]]="","-",VLOOKUP(compras_mes2[[#This Row],[CUIT]],Lista_CUIT[#All],2,0)),"CUIT NO CARGADO")</f>
        <v>LITORAL TRADING SAS</v>
      </c>
      <c r="H11" s="149">
        <v>4633.59</v>
      </c>
      <c r="I11" s="150">
        <f>IF(compras_mes2[[#This Row],[NETO GRAVADO]]="","",compras_mes2[[#This Row],[NETO GRAVADO]]*0.21)</f>
        <v>973.0539</v>
      </c>
      <c r="J11" s="150"/>
      <c r="K11" s="150"/>
      <c r="L11" s="150"/>
      <c r="M11" s="150"/>
      <c r="N11" s="150"/>
      <c r="O11" s="150"/>
      <c r="P11" s="151">
        <f>SUM(compras_mes2[[#This Row],[NETO GRAVADO]:[Otros / No Grav.]])</f>
        <v>5606.6439</v>
      </c>
      <c r="Q11" s="165">
        <f>IFERROR(IF(compras_mes2[[#This Row],[CUIT]]="","-",VLOOKUP(compras_mes2[[#This Row],[CUIT]],Lista_CUIT[#All],3,0)),"CUIT NO CARGADO")</f>
        <v>0</v>
      </c>
      <c r="R11" s="165">
        <f>IFERROR(IF(compras_mes2[[#This Row],[CUIT]]="","-",VLOOKUP(compras_mes2[[#This Row],[CUIT]],Lista_CUIT[#All],4,0)),"CUIT NO CARGADO")</f>
        <v>0</v>
      </c>
    </row>
    <row r="12" spans="1:26" x14ac:dyDescent="0.3">
      <c r="B12" s="240">
        <v>45072</v>
      </c>
      <c r="C12" s="208">
        <v>1</v>
      </c>
      <c r="D12" s="241">
        <v>2</v>
      </c>
      <c r="E12" s="242">
        <v>8037</v>
      </c>
      <c r="F12" s="243">
        <v>30711726019</v>
      </c>
      <c r="G12" s="244" t="str">
        <f>IFERROR(IF(compras_mes2[[#This Row],[CUIT]]="","-",VLOOKUP(compras_mes2[[#This Row],[CUIT]],Lista_CUIT[#All],2,0)),"CUIT NO CARGADO")</f>
        <v>MAV GROUP S.A.</v>
      </c>
      <c r="H12" s="245">
        <v>100050</v>
      </c>
      <c r="I12" s="246">
        <f>IF(compras_mes2[[#This Row],[NETO GRAVADO]]="","",compras_mes2[[#This Row],[NETO GRAVADO]]*0.21)</f>
        <v>21010.5</v>
      </c>
      <c r="J12" s="246"/>
      <c r="K12" s="246"/>
      <c r="L12" s="246"/>
      <c r="M12" s="246"/>
      <c r="N12" s="215"/>
      <c r="O12" s="246">
        <v>138310.26</v>
      </c>
      <c r="P12" s="247">
        <f>SUM(compras_mes2[[#This Row],[NETO GRAVADO]:[Otros / No Grav.]])</f>
        <v>259370.76</v>
      </c>
      <c r="Q12" s="248">
        <f>IFERROR(IF(compras_mes2[[#This Row],[CUIT]]="","-",VLOOKUP(compras_mes2[[#This Row],[CUIT]],Lista_CUIT[#All],3,0)),"CUIT NO CARGADO")</f>
        <v>0</v>
      </c>
      <c r="R12" s="248">
        <f>IFERROR(IF(compras_mes2[[#This Row],[CUIT]]="","-",VLOOKUP(compras_mes2[[#This Row],[CUIT]],Lista_CUIT[#All],4,0)),"CUIT NO CARGADO")</f>
        <v>0</v>
      </c>
    </row>
    <row r="13" spans="1:26" x14ac:dyDescent="0.3">
      <c r="B13" s="240">
        <v>45072</v>
      </c>
      <c r="C13" s="208">
        <v>1</v>
      </c>
      <c r="D13" s="241">
        <v>11</v>
      </c>
      <c r="E13" s="242">
        <v>670</v>
      </c>
      <c r="F13" s="243">
        <v>30711782997</v>
      </c>
      <c r="G13" s="244" t="str">
        <f>IFERROR(IF(compras_mes2[[#This Row],[CUIT]]="","-",VLOOKUP(compras_mes2[[#This Row],[CUIT]],Lista_CUIT[#All],2,0)),"CUIT NO CARGADO")</f>
        <v>GIOVO JUAN SEBASTIAN Y GIOVO JORGE DIEGO SOC. DE HECHO</v>
      </c>
      <c r="H13" s="245">
        <v>14875.21</v>
      </c>
      <c r="I13" s="246">
        <f>IF(compras_mes2[[#This Row],[NETO GRAVADO]]="","",compras_mes2[[#This Row],[NETO GRAVADO]]*0.21)</f>
        <v>3123.7940999999996</v>
      </c>
      <c r="J13" s="246"/>
      <c r="K13" s="246"/>
      <c r="L13" s="246"/>
      <c r="M13" s="246"/>
      <c r="N13" s="246"/>
      <c r="O13" s="246"/>
      <c r="P13" s="247">
        <f>SUM(compras_mes2[[#This Row],[NETO GRAVADO]:[Otros / No Grav.]])</f>
        <v>17999.004099999998</v>
      </c>
      <c r="Q13" s="248">
        <f>IFERROR(IF(compras_mes2[[#This Row],[CUIT]]="","-",VLOOKUP(compras_mes2[[#This Row],[CUIT]],Lista_CUIT[#All],3,0)),"CUIT NO CARGADO")</f>
        <v>0</v>
      </c>
      <c r="R13" s="248">
        <f>IFERROR(IF(compras_mes2[[#This Row],[CUIT]]="","-",VLOOKUP(compras_mes2[[#This Row],[CUIT]],Lista_CUIT[#All],4,0)),"CUIT NO CARGADO")</f>
        <v>0</v>
      </c>
    </row>
    <row r="14" spans="1:26" x14ac:dyDescent="0.3">
      <c r="B14" s="240">
        <v>45073</v>
      </c>
      <c r="C14" s="208">
        <v>1</v>
      </c>
      <c r="D14" s="241">
        <v>3</v>
      </c>
      <c r="E14" s="242">
        <v>199</v>
      </c>
      <c r="F14" s="243">
        <v>30716036711</v>
      </c>
      <c r="G14" s="244" t="str">
        <f>IFERROR(IF(compras_mes2[[#This Row],[CUIT]]="","-",VLOOKUP(compras_mes2[[#This Row],[CUIT]],Lista_CUIT[#All],2,0)),"CUIT NO CARGADO")</f>
        <v>POTENZA SHOP S.A.S.</v>
      </c>
      <c r="H14" s="245">
        <v>10735.54</v>
      </c>
      <c r="I14" s="246">
        <f>IF(compras_mes2[[#This Row],[NETO GRAVADO]]="","",compras_mes2[[#This Row],[NETO GRAVADO]]*0.21)</f>
        <v>2254.4634000000001</v>
      </c>
      <c r="J14" s="246"/>
      <c r="K14" s="246"/>
      <c r="L14" s="246"/>
      <c r="M14" s="246"/>
      <c r="N14" s="246"/>
      <c r="O14" s="246"/>
      <c r="P14" s="247">
        <f>SUM(compras_mes2[[#This Row],[NETO GRAVADO]:[Otros / No Grav.]])</f>
        <v>12990.003400000001</v>
      </c>
      <c r="Q14" s="248">
        <f>IFERROR(IF(compras_mes2[[#This Row],[CUIT]]="","-",VLOOKUP(compras_mes2[[#This Row],[CUIT]],Lista_CUIT[#All],3,0)),"CUIT NO CARGADO")</f>
        <v>0</v>
      </c>
      <c r="R14" s="248">
        <f>IFERROR(IF(compras_mes2[[#This Row],[CUIT]]="","-",VLOOKUP(compras_mes2[[#This Row],[CUIT]],Lista_CUIT[#All],4,0)),"CUIT NO CARGADO")</f>
        <v>0</v>
      </c>
    </row>
    <row r="15" spans="1:26" x14ac:dyDescent="0.3">
      <c r="B15" s="240">
        <v>45073</v>
      </c>
      <c r="C15" s="208">
        <v>1</v>
      </c>
      <c r="D15" s="241">
        <v>5</v>
      </c>
      <c r="E15" s="242">
        <v>977</v>
      </c>
      <c r="F15" s="243">
        <v>23287538839</v>
      </c>
      <c r="G15" s="244" t="str">
        <f>IFERROR(IF(compras_mes2[[#This Row],[CUIT]]="","-",VLOOKUP(compras_mes2[[#This Row],[CUIT]],Lista_CUIT[#All],2,0)),"CUIT NO CARGADO")</f>
        <v>MEIJOMIN PABLO MARTIN</v>
      </c>
      <c r="H15" s="245">
        <v>7914.05</v>
      </c>
      <c r="I15" s="246">
        <f>IF(compras_mes2[[#This Row],[NETO GRAVADO]]="","",compras_mes2[[#This Row],[NETO GRAVADO]]*0.21)</f>
        <v>1661.9504999999999</v>
      </c>
      <c r="J15" s="246"/>
      <c r="K15" s="246"/>
      <c r="L15" s="246"/>
      <c r="M15" s="246"/>
      <c r="N15" s="246"/>
      <c r="O15" s="246"/>
      <c r="P15" s="247">
        <f>SUM(compras_mes2[[#This Row],[NETO GRAVADO]:[Otros / No Grav.]])</f>
        <v>9576.0005000000001</v>
      </c>
      <c r="Q15" s="248">
        <f>IFERROR(IF(compras_mes2[[#This Row],[CUIT]]="","-",VLOOKUP(compras_mes2[[#This Row],[CUIT]],Lista_CUIT[#All],3,0)),"CUIT NO CARGADO")</f>
        <v>0</v>
      </c>
      <c r="R15" s="248">
        <f>IFERROR(IF(compras_mes2[[#This Row],[CUIT]]="","-",VLOOKUP(compras_mes2[[#This Row],[CUIT]],Lista_CUIT[#All],4,0)),"CUIT NO CARGADO")</f>
        <v>0</v>
      </c>
    </row>
    <row r="16" spans="1:26" x14ac:dyDescent="0.3">
      <c r="B16" s="240">
        <v>45074</v>
      </c>
      <c r="C16" s="208">
        <v>1</v>
      </c>
      <c r="D16" s="241">
        <v>7</v>
      </c>
      <c r="E16" s="242">
        <v>1503</v>
      </c>
      <c r="F16" s="243">
        <v>30716401525</v>
      </c>
      <c r="G16" s="244" t="str">
        <f>IFERROR(IF(compras_mes2[[#This Row],[CUIT]]="","-",VLOOKUP(compras_mes2[[#This Row],[CUIT]],Lista_CUIT[#All],2,0)),"CUIT NO CARGADO")</f>
        <v>SPOT VISION S.A.S.</v>
      </c>
      <c r="H16" s="245">
        <v>40380.17</v>
      </c>
      <c r="I16" s="246">
        <f>IF(compras_mes2[[#This Row],[NETO GRAVADO]]="","",compras_mes2[[#This Row],[NETO GRAVADO]]*0.21)</f>
        <v>8479.8356999999996</v>
      </c>
      <c r="J16" s="246"/>
      <c r="K16" s="246"/>
      <c r="L16" s="246"/>
      <c r="M16" s="246"/>
      <c r="N16" s="246"/>
      <c r="O16" s="246"/>
      <c r="P16" s="247">
        <f>SUM(compras_mes2[[#This Row],[NETO GRAVADO]:[Otros / No Grav.]])</f>
        <v>48860.005699999994</v>
      </c>
      <c r="Q16" s="248">
        <f>IFERROR(IF(compras_mes2[[#This Row],[CUIT]]="","-",VLOOKUP(compras_mes2[[#This Row],[CUIT]],Lista_CUIT[#All],3,0)),"CUIT NO CARGADO")</f>
        <v>0</v>
      </c>
      <c r="R16" s="248">
        <f>IFERROR(IF(compras_mes2[[#This Row],[CUIT]]="","-",VLOOKUP(compras_mes2[[#This Row],[CUIT]],Lista_CUIT[#All],4,0)),"CUIT NO CARGADO")</f>
        <v>0</v>
      </c>
    </row>
    <row r="17" spans="2:18" x14ac:dyDescent="0.3">
      <c r="B17" s="240">
        <v>45075</v>
      </c>
      <c r="C17" s="208">
        <v>1</v>
      </c>
      <c r="D17" s="241">
        <v>4</v>
      </c>
      <c r="E17" s="242">
        <v>496</v>
      </c>
      <c r="F17" s="243">
        <v>30716809893</v>
      </c>
      <c r="G17" s="244" t="str">
        <f>IFERROR(IF(compras_mes2[[#This Row],[CUIT]]="","-",VLOOKUP(compras_mes2[[#This Row],[CUIT]],Lista_CUIT[#All],2,0)),"CUIT NO CARGADO")</f>
        <v>BROCATTO SRL</v>
      </c>
      <c r="H17" s="245">
        <v>6444.63</v>
      </c>
      <c r="I17" s="246">
        <f>IF(compras_mes2[[#This Row],[NETO GRAVADO]]="","",compras_mes2[[#This Row],[NETO GRAVADO]]*0.21)</f>
        <v>1353.3723</v>
      </c>
      <c r="J17" s="246"/>
      <c r="K17" s="246"/>
      <c r="L17" s="246"/>
      <c r="M17" s="246"/>
      <c r="N17" s="246"/>
      <c r="O17" s="246"/>
      <c r="P17" s="247">
        <f>SUM(compras_mes2[[#This Row],[NETO GRAVADO]:[Otros / No Grav.]])</f>
        <v>7798.0023000000001</v>
      </c>
      <c r="Q17" s="248">
        <f>IFERROR(IF(compras_mes2[[#This Row],[CUIT]]="","-",VLOOKUP(compras_mes2[[#This Row],[CUIT]],Lista_CUIT[#All],3,0)),"CUIT NO CARGADO")</f>
        <v>0</v>
      </c>
      <c r="R17" s="248">
        <f>IFERROR(IF(compras_mes2[[#This Row],[CUIT]]="","-",VLOOKUP(compras_mes2[[#This Row],[CUIT]],Lista_CUIT[#All],4,0)),"CUIT NO CARGADO")</f>
        <v>0</v>
      </c>
    </row>
    <row r="18" spans="2:18" x14ac:dyDescent="0.3">
      <c r="B18" s="240">
        <v>45077</v>
      </c>
      <c r="C18" s="208">
        <v>1</v>
      </c>
      <c r="D18" s="241">
        <v>1</v>
      </c>
      <c r="E18" s="242">
        <v>635</v>
      </c>
      <c r="F18" s="243">
        <v>30717405680</v>
      </c>
      <c r="G18" s="244" t="str">
        <f>IFERROR(IF(compras_mes2[[#This Row],[CUIT]]="","-",VLOOKUP(compras_mes2[[#This Row],[CUIT]],Lista_CUIT[#All],2,0)),"CUIT NO CARGADO")</f>
        <v>GLOBANS S.R.L.</v>
      </c>
      <c r="H18" s="245">
        <v>4806.1099999999997</v>
      </c>
      <c r="I18" s="246">
        <f>IF(compras_mes2[[#This Row],[NETO GRAVADO]]="","",compras_mes2[[#This Row],[NETO GRAVADO]]*0.21)</f>
        <v>1009.2830999999999</v>
      </c>
      <c r="J18" s="246"/>
      <c r="K18" s="246"/>
      <c r="L18" s="246"/>
      <c r="M18" s="246"/>
      <c r="N18" s="246"/>
      <c r="O18" s="246"/>
      <c r="P18" s="247">
        <f>SUM(compras_mes2[[#This Row],[NETO GRAVADO]:[Otros / No Grav.]])</f>
        <v>5815.3930999999993</v>
      </c>
      <c r="Q18" s="248">
        <f>IFERROR(IF(compras_mes2[[#This Row],[CUIT]]="","-",VLOOKUP(compras_mes2[[#This Row],[CUIT]],Lista_CUIT[#All],3,0)),"CUIT NO CARGADO")</f>
        <v>0</v>
      </c>
      <c r="R18" s="248">
        <f>IFERROR(IF(compras_mes2[[#This Row],[CUIT]]="","-",VLOOKUP(compras_mes2[[#This Row],[CUIT]],Lista_CUIT[#All],4,0)),"CUIT NO CARGADO")</f>
        <v>0</v>
      </c>
    </row>
    <row r="19" spans="2:18" x14ac:dyDescent="0.3">
      <c r="B19" s="240">
        <v>45062</v>
      </c>
      <c r="C19" s="208">
        <v>1</v>
      </c>
      <c r="D19" s="241">
        <v>2</v>
      </c>
      <c r="E19" s="242">
        <v>10325</v>
      </c>
      <c r="F19" s="243">
        <v>30712179909</v>
      </c>
      <c r="G19" s="244" t="str">
        <f>IFERROR(IF(compras_mes2[[#This Row],[CUIT]]="","-",VLOOKUP(compras_mes2[[#This Row],[CUIT]],Lista_CUIT[#All],2,0)),"CUIT NO CARGADO")</f>
        <v>LEPORT SH DE PORTELA JORGE FERNANDO Y LEAL JORGE ANGEL</v>
      </c>
      <c r="H19" s="245">
        <v>110306</v>
      </c>
      <c r="I19" s="246">
        <f>IF(compras_mes2[[#This Row],[NETO GRAVADO]]="","",compras_mes2[[#This Row],[NETO GRAVADO]]*0.21)</f>
        <v>23164.26</v>
      </c>
      <c r="J19" s="246"/>
      <c r="K19" s="246"/>
      <c r="L19" s="246"/>
      <c r="M19" s="246"/>
      <c r="N19" s="246"/>
      <c r="O19" s="246"/>
      <c r="P19" s="247">
        <f>SUM(compras_mes2[[#This Row],[NETO GRAVADO]:[Otros / No Grav.]])</f>
        <v>133470.26</v>
      </c>
      <c r="Q19" s="248" t="str">
        <f>IFERROR(IF(compras_mes2[[#This Row],[CUIT]]="","-",VLOOKUP(compras_mes2[[#This Row],[CUIT]],Lista_CUIT[#All],3,0)),"CUIT NO CARGADO")</f>
        <v>FLETE-LOGISTICA</v>
      </c>
      <c r="R19" s="248">
        <f>IFERROR(IF(compras_mes2[[#This Row],[CUIT]]="","-",VLOOKUP(compras_mes2[[#This Row],[CUIT]],Lista_CUIT[#All],4,0)),"CUIT NO CARGADO")</f>
        <v>0</v>
      </c>
    </row>
    <row r="20" spans="2:18" x14ac:dyDescent="0.3">
      <c r="B20" s="144">
        <v>45054</v>
      </c>
      <c r="C20" s="41">
        <v>1</v>
      </c>
      <c r="D20" s="145">
        <v>12</v>
      </c>
      <c r="E20" s="146">
        <v>21890</v>
      </c>
      <c r="F20" s="147">
        <v>30604942051</v>
      </c>
      <c r="G20" s="148" t="str">
        <f>IFERROR(IF(compras_mes2[[#This Row],[CUIT]]="","-",VLOOKUP(compras_mes2[[#This Row],[CUIT]],Lista_CUIT[#All],2,0)),"CUIT NO CARGADO")</f>
        <v>IMPORTADORA FOTOGRAFICA SOCIEDAD ANONIMA</v>
      </c>
      <c r="H20" s="149">
        <v>52065.43</v>
      </c>
      <c r="I20" s="150">
        <f>IF(compras_mes2[[#This Row],[NETO GRAVADO]]="","",compras_mes2[[#This Row],[NETO GRAVADO]]*0.21)</f>
        <v>10933.740299999999</v>
      </c>
      <c r="J20" s="150"/>
      <c r="K20" s="150"/>
      <c r="L20" s="150"/>
      <c r="M20" s="150"/>
      <c r="N20" s="150"/>
      <c r="O20" s="150"/>
      <c r="P20" s="151">
        <f>SUM(compras_mes2[[#This Row],[NETO GRAVADO]:[Otros / No Grav.]])</f>
        <v>62999.170299999998</v>
      </c>
      <c r="Q20" s="165" t="str">
        <f>IFERROR(IF(compras_mes2[[#This Row],[CUIT]]="","-",VLOOKUP(compras_mes2[[#This Row],[CUIT]],Lista_CUIT[#All],3,0)),"CUIT NO CARGADO")</f>
        <v>Gastos Oficina</v>
      </c>
      <c r="R20" s="165">
        <f>IFERROR(IF(compras_mes2[[#This Row],[CUIT]]="","-",VLOOKUP(compras_mes2[[#This Row],[CUIT]],Lista_CUIT[#All],4,0)),"CUIT NO CARGADO")</f>
        <v>0</v>
      </c>
    </row>
    <row r="21" spans="2:18" x14ac:dyDescent="0.3">
      <c r="B21" s="144">
        <v>45047</v>
      </c>
      <c r="C21" s="41">
        <v>1</v>
      </c>
      <c r="D21" s="145">
        <v>3</v>
      </c>
      <c r="E21" s="146">
        <v>644</v>
      </c>
      <c r="F21" s="147">
        <v>30715402765</v>
      </c>
      <c r="G21" s="148" t="str">
        <f>IFERROR(IF(compras_mes2[[#This Row],[CUIT]]="","-",VLOOKUP(compras_mes2[[#This Row],[CUIT]],Lista_CUIT[#All],2,0)),"CUIT NO CARGADO")</f>
        <v>RIO 265 S.R.L.</v>
      </c>
      <c r="H21" s="149">
        <v>12809.92</v>
      </c>
      <c r="I21" s="150">
        <f>IF(compras_mes2[[#This Row],[NETO GRAVADO]]="","",compras_mes2[[#This Row],[NETO GRAVADO]]*0.21)</f>
        <v>2690.0832</v>
      </c>
      <c r="J21" s="150"/>
      <c r="K21" s="150"/>
      <c r="L21" s="150"/>
      <c r="M21" s="150"/>
      <c r="N21" s="150"/>
      <c r="O21" s="150"/>
      <c r="P21" s="151">
        <f>SUM(compras_mes2[[#This Row],[NETO GRAVADO]:[Otros / No Grav.]])</f>
        <v>15500.003199999999</v>
      </c>
      <c r="Q21" s="165" t="str">
        <f>IFERROR(IF(compras_mes2[[#This Row],[CUIT]]="","-",VLOOKUP(compras_mes2[[#This Row],[CUIT]],Lista_CUIT[#All],3,0)),"CUIT NO CARGADO")</f>
        <v>Gastos Varios</v>
      </c>
      <c r="R21" s="165">
        <f>IFERROR(IF(compras_mes2[[#This Row],[CUIT]]="","-",VLOOKUP(compras_mes2[[#This Row],[CUIT]],Lista_CUIT[#All],4,0)),"CUIT NO CARGADO")</f>
        <v>0</v>
      </c>
    </row>
    <row r="22" spans="2:18" x14ac:dyDescent="0.3">
      <c r="B22" s="240">
        <v>45065</v>
      </c>
      <c r="C22" s="208">
        <v>1</v>
      </c>
      <c r="D22" s="241">
        <v>5</v>
      </c>
      <c r="E22" s="242">
        <v>22491</v>
      </c>
      <c r="F22" s="243">
        <v>30708166673</v>
      </c>
      <c r="G22" s="244" t="str">
        <f>IFERROR(IF(compras_mes2[[#This Row],[CUIT]]="","-",VLOOKUP(compras_mes2[[#This Row],[CUIT]],Lista_CUIT[#All],2,0)),"CUIT NO CARGADO")</f>
        <v>SUMINISTROS WHITE S.A.</v>
      </c>
      <c r="H22" s="245">
        <v>4725.45</v>
      </c>
      <c r="I22" s="246">
        <f>IF(compras_mes2[[#This Row],[NETO GRAVADO]]="","",compras_mes2[[#This Row],[NETO GRAVADO]]*0.21)</f>
        <v>992.34449999999993</v>
      </c>
      <c r="J22" s="246"/>
      <c r="K22" s="246"/>
      <c r="L22" s="246"/>
      <c r="M22" s="246"/>
      <c r="N22" s="246"/>
      <c r="O22" s="246"/>
      <c r="P22" s="247">
        <f>SUM(compras_mes2[[#This Row],[NETO GRAVADO]:[Otros / No Grav.]])</f>
        <v>5717.7945</v>
      </c>
      <c r="Q22" s="248" t="str">
        <f>IFERROR(IF(compras_mes2[[#This Row],[CUIT]]="","-",VLOOKUP(compras_mes2[[#This Row],[CUIT]],Lista_CUIT[#All],3,0)),"CUIT NO CARGADO")</f>
        <v>Gastos Varios</v>
      </c>
      <c r="R22" s="248">
        <f>IFERROR(IF(compras_mes2[[#This Row],[CUIT]]="","-",VLOOKUP(compras_mes2[[#This Row],[CUIT]],Lista_CUIT[#All],4,0)),"CUIT NO CARGADO")</f>
        <v>0</v>
      </c>
    </row>
    <row r="23" spans="2:18" x14ac:dyDescent="0.3">
      <c r="B23" s="240">
        <v>45077</v>
      </c>
      <c r="C23" s="208">
        <v>1</v>
      </c>
      <c r="D23" s="241">
        <v>3</v>
      </c>
      <c r="E23" s="242">
        <v>1449227</v>
      </c>
      <c r="F23" s="243">
        <v>30712019359</v>
      </c>
      <c r="G23" s="244" t="str">
        <f>IFERROR(IF(compras_mes2[[#This Row],[CUIT]]="","-",VLOOKUP(compras_mes2[[#This Row],[CUIT]],Lista_CUIT[#All],2,0)),"CUIT NO CARGADO")</f>
        <v>LINKEDSTORE ARGENTINA S.R.L.</v>
      </c>
      <c r="H23" s="245">
        <v>6032.23</v>
      </c>
      <c r="I23" s="246">
        <f>IF(compras_mes2[[#This Row],[NETO GRAVADO]]="","",compras_mes2[[#This Row],[NETO GRAVADO]]*0.21)</f>
        <v>1266.7683</v>
      </c>
      <c r="J23" s="246"/>
      <c r="K23" s="246"/>
      <c r="L23" s="246"/>
      <c r="M23" s="246"/>
      <c r="N23" s="246"/>
      <c r="O23" s="246"/>
      <c r="P23" s="247">
        <f>SUM(compras_mes2[[#This Row],[NETO GRAVADO]:[Otros / No Grav.]])</f>
        <v>7298.9982999999993</v>
      </c>
      <c r="Q23" s="248" t="str">
        <f>IFERROR(IF(compras_mes2[[#This Row],[CUIT]]="","-",VLOOKUP(compras_mes2[[#This Row],[CUIT]],Lista_CUIT[#All],3,0)),"CUIT NO CARGADO")</f>
        <v>Gastos Varios</v>
      </c>
      <c r="R23" s="248">
        <f>IFERROR(IF(compras_mes2[[#This Row],[CUIT]]="","-",VLOOKUP(compras_mes2[[#This Row],[CUIT]],Lista_CUIT[#All],4,0)),"CUIT NO CARGADO")</f>
        <v>0</v>
      </c>
    </row>
    <row r="24" spans="2:18" x14ac:dyDescent="0.3">
      <c r="B24" s="144">
        <v>45048</v>
      </c>
      <c r="C24" s="41">
        <v>1</v>
      </c>
      <c r="D24" s="145">
        <v>106</v>
      </c>
      <c r="E24" s="146">
        <v>627952</v>
      </c>
      <c r="F24" s="147">
        <v>30594494187</v>
      </c>
      <c r="G24" s="148" t="str">
        <f>IFERROR(IF(compras_mes2[[#This Row],[CUIT]]="","-",VLOOKUP(compras_mes2[[#This Row],[CUIT]],Lista_CUIT[#All],2,0)),"CUIT NO CARGADO")</f>
        <v>FEDERAL EXPRESS CORPORATION</v>
      </c>
      <c r="H24" s="149">
        <v>0</v>
      </c>
      <c r="I24" s="150">
        <f>IF(compras_mes2[[#This Row],[NETO GRAVADO]]="","",compras_mes2[[#This Row],[NETO GRAVADO]]*0.21)</f>
        <v>0</v>
      </c>
      <c r="J24" s="150"/>
      <c r="K24" s="150"/>
      <c r="L24" s="150"/>
      <c r="M24" s="150"/>
      <c r="N24" s="150"/>
      <c r="O24" s="150">
        <v>95430.75</v>
      </c>
      <c r="P24" s="151">
        <f>SUM(compras_mes2[[#This Row],[NETO GRAVADO]:[Otros / No Grav.]])</f>
        <v>95430.75</v>
      </c>
      <c r="Q24" s="165" t="str">
        <f>IFERROR(IF(compras_mes2[[#This Row],[CUIT]]="","-",VLOOKUP(compras_mes2[[#This Row],[CUIT]],Lista_CUIT[#All],3,0)),"CUIT NO CARGADO")</f>
        <v>Gtos. Imp.</v>
      </c>
      <c r="R24" s="165">
        <f>IFERROR(IF(compras_mes2[[#This Row],[CUIT]]="","-",VLOOKUP(compras_mes2[[#This Row],[CUIT]],Lista_CUIT[#All],4,0)),"CUIT NO CARGADO")</f>
        <v>0</v>
      </c>
    </row>
    <row r="25" spans="2:18" x14ac:dyDescent="0.3">
      <c r="B25" s="144">
        <v>45065</v>
      </c>
      <c r="C25" s="41">
        <v>1</v>
      </c>
      <c r="D25" s="145">
        <v>280</v>
      </c>
      <c r="E25" s="146">
        <v>1432129</v>
      </c>
      <c r="F25" s="147">
        <v>30580111315</v>
      </c>
      <c r="G25" s="148" t="str">
        <f>IFERROR(IF(compras_mes2[[#This Row],[CUIT]]="","-",VLOOKUP(compras_mes2[[#This Row],[CUIT]],Lista_CUIT[#All],2,0)),"CUIT NO CARGADO")</f>
        <v>DHL EXPRESS (ARGENTINA) S.A.</v>
      </c>
      <c r="H25" s="149">
        <v>77059.520999999993</v>
      </c>
      <c r="I25" s="150">
        <f>IF(compras_mes2[[#This Row],[NETO GRAVADO]]="","",compras_mes2[[#This Row],[NETO GRAVADO]]*0.21)</f>
        <v>16182.499409999999</v>
      </c>
      <c r="J25" s="150"/>
      <c r="K25" s="150"/>
      <c r="L25" s="150"/>
      <c r="M25" s="150"/>
      <c r="N25" s="150"/>
      <c r="O25" s="150">
        <v>-58904.659</v>
      </c>
      <c r="P25" s="151">
        <f>SUM(compras_mes2[[#This Row],[NETO GRAVADO]:[Otros / No Grav.]])</f>
        <v>34337.361409999998</v>
      </c>
      <c r="Q25" s="165" t="str">
        <f>IFERROR(IF(compras_mes2[[#This Row],[CUIT]]="","-",VLOOKUP(compras_mes2[[#This Row],[CUIT]],Lista_CUIT[#All],3,0)),"CUIT NO CARGADO")</f>
        <v>Gtos. Imp.</v>
      </c>
      <c r="R25" s="165">
        <f>IFERROR(IF(compras_mes2[[#This Row],[CUIT]]="","-",VLOOKUP(compras_mes2[[#This Row],[CUIT]],Lista_CUIT[#All],4,0)),"CUIT NO CARGADO")</f>
        <v>0</v>
      </c>
    </row>
    <row r="26" spans="2:18" x14ac:dyDescent="0.3">
      <c r="B26" s="144">
        <v>45067</v>
      </c>
      <c r="C26" s="41">
        <v>1</v>
      </c>
      <c r="D26" s="145">
        <v>280</v>
      </c>
      <c r="E26" s="146">
        <v>1432518</v>
      </c>
      <c r="F26" s="147">
        <v>30580111315</v>
      </c>
      <c r="G26" s="148" t="str">
        <f>IFERROR(IF(compras_mes2[[#This Row],[CUIT]]="","-",VLOOKUP(compras_mes2[[#This Row],[CUIT]],Lista_CUIT[#All],2,0)),"CUIT NO CARGADO")</f>
        <v>DHL EXPRESS (ARGENTINA) S.A.</v>
      </c>
      <c r="H26" s="149">
        <v>262672.34000000003</v>
      </c>
      <c r="I26" s="150">
        <f>IF(compras_mes2[[#This Row],[NETO GRAVADO]]="","",compras_mes2[[#This Row],[NETO GRAVADO]]*0.21)</f>
        <v>55161.191400000003</v>
      </c>
      <c r="J26" s="150"/>
      <c r="K26" s="150"/>
      <c r="L26" s="150"/>
      <c r="M26" s="150"/>
      <c r="N26" s="150"/>
      <c r="O26" s="150">
        <v>-214865.49</v>
      </c>
      <c r="P26" s="151">
        <f>SUM(compras_mes2[[#This Row],[NETO GRAVADO]:[Otros / No Grav.]])</f>
        <v>102968.04140000005</v>
      </c>
      <c r="Q26" s="165" t="str">
        <f>IFERROR(IF(compras_mes2[[#This Row],[CUIT]]="","-",VLOOKUP(compras_mes2[[#This Row],[CUIT]],Lista_CUIT[#All],3,0)),"CUIT NO CARGADO")</f>
        <v>Gtos. Imp.</v>
      </c>
      <c r="R26" s="165">
        <f>IFERROR(IF(compras_mes2[[#This Row],[CUIT]]="","-",VLOOKUP(compras_mes2[[#This Row],[CUIT]],Lista_CUIT[#All],4,0)),"CUIT NO CARGADO")</f>
        <v>0</v>
      </c>
    </row>
    <row r="27" spans="2:18" x14ac:dyDescent="0.3">
      <c r="B27" s="144">
        <v>45075</v>
      </c>
      <c r="C27" s="41">
        <v>2</v>
      </c>
      <c r="D27" s="145">
        <v>755</v>
      </c>
      <c r="E27" s="146">
        <v>2616</v>
      </c>
      <c r="F27" s="147">
        <v>30580111315</v>
      </c>
      <c r="G27" s="148" t="str">
        <f>IFERROR(IF(compras_mes2[[#This Row],[CUIT]]="","-",VLOOKUP(compras_mes2[[#This Row],[CUIT]],Lista_CUIT[#All],2,0)),"CUIT NO CARGADO")</f>
        <v>DHL EXPRESS (ARGENTINA) S.A.</v>
      </c>
      <c r="H27" s="149">
        <v>0</v>
      </c>
      <c r="I27" s="150">
        <f>IF(compras_mes2[[#This Row],[NETO GRAVADO]]="","",compras_mes2[[#This Row],[NETO GRAVADO]]*0.21)</f>
        <v>0</v>
      </c>
      <c r="J27" s="150"/>
      <c r="K27" s="150"/>
      <c r="L27" s="150"/>
      <c r="M27" s="150"/>
      <c r="N27" s="150"/>
      <c r="O27" s="150">
        <v>3680.16</v>
      </c>
      <c r="P27" s="151">
        <f>SUM(compras_mes2[[#This Row],[NETO GRAVADO]:[Otros / No Grav.]])</f>
        <v>3680.16</v>
      </c>
      <c r="Q27" s="165" t="str">
        <f>IFERROR(IF(compras_mes2[[#This Row],[CUIT]]="","-",VLOOKUP(compras_mes2[[#This Row],[CUIT]],Lista_CUIT[#All],3,0)),"CUIT NO CARGADO")</f>
        <v>Gtos. Imp.</v>
      </c>
      <c r="R27" s="165">
        <f>IFERROR(IF(compras_mes2[[#This Row],[CUIT]]="","-",VLOOKUP(compras_mes2[[#This Row],[CUIT]],Lista_CUIT[#All],4,0)),"CUIT NO CARGADO")</f>
        <v>0</v>
      </c>
    </row>
    <row r="28" spans="2:18" x14ac:dyDescent="0.3">
      <c r="B28" s="144">
        <v>45050</v>
      </c>
      <c r="C28" s="41">
        <v>1</v>
      </c>
      <c r="D28" s="145">
        <v>2</v>
      </c>
      <c r="E28" s="146">
        <v>171</v>
      </c>
      <c r="F28" s="147">
        <v>20125142851</v>
      </c>
      <c r="G28" s="148" t="str">
        <f>IFERROR(IF(compras_mes2[[#This Row],[CUIT]]="","-",VLOOKUP(compras_mes2[[#This Row],[CUIT]],Lista_CUIT[#All],2,0)),"CUIT NO CARGADO")</f>
        <v>FEDERICI NICOLAS JOSE</v>
      </c>
      <c r="H28" s="149">
        <v>73963.520000000004</v>
      </c>
      <c r="I28" s="150">
        <f>IF(compras_mes2[[#This Row],[NETO GRAVADO]]="","",compras_mes2[[#This Row],[NETO GRAVADO]]*0.21)</f>
        <v>15532.3392</v>
      </c>
      <c r="J28" s="150"/>
      <c r="K28" s="150"/>
      <c r="L28" s="150"/>
      <c r="M28" s="150"/>
      <c r="N28" s="150"/>
      <c r="O28" s="150"/>
      <c r="P28" s="151">
        <f>SUM(compras_mes2[[#This Row],[NETO GRAVADO]:[Otros / No Grav.]])</f>
        <v>89495.859200000006</v>
      </c>
      <c r="Q28" s="165" t="str">
        <f>IFERROR(IF(compras_mes2[[#This Row],[CUIT]]="","-",VLOOKUP(compras_mes2[[#This Row],[CUIT]],Lista_CUIT[#All],3,0)),"CUIT NO CARGADO")</f>
        <v>INSUMO</v>
      </c>
      <c r="R28" s="165">
        <f>IFERROR(IF(compras_mes2[[#This Row],[CUIT]]="","-",VLOOKUP(compras_mes2[[#This Row],[CUIT]],Lista_CUIT[#All],4,0)),"CUIT NO CARGADO")</f>
        <v>0</v>
      </c>
    </row>
    <row r="29" spans="2:18" x14ac:dyDescent="0.3">
      <c r="B29" s="144">
        <v>45050</v>
      </c>
      <c r="C29" s="41">
        <v>1</v>
      </c>
      <c r="D29" s="145">
        <v>2</v>
      </c>
      <c r="E29" s="146">
        <v>170</v>
      </c>
      <c r="F29" s="147">
        <v>20125142851</v>
      </c>
      <c r="G29" s="148" t="str">
        <f>IFERROR(IF(compras_mes2[[#This Row],[CUIT]]="","-",VLOOKUP(compras_mes2[[#This Row],[CUIT]],Lista_CUIT[#All],2,0)),"CUIT NO CARGADO")</f>
        <v>FEDERICI NICOLAS JOSE</v>
      </c>
      <c r="H29" s="149">
        <v>66779.86</v>
      </c>
      <c r="I29" s="150">
        <f>IF(compras_mes2[[#This Row],[NETO GRAVADO]]="","",compras_mes2[[#This Row],[NETO GRAVADO]]*0.21)</f>
        <v>14023.7706</v>
      </c>
      <c r="J29" s="150"/>
      <c r="K29" s="150"/>
      <c r="L29" s="150"/>
      <c r="M29" s="150"/>
      <c r="N29" s="150"/>
      <c r="O29" s="150"/>
      <c r="P29" s="151">
        <f>SUM(compras_mes2[[#This Row],[NETO GRAVADO]:[Otros / No Grav.]])</f>
        <v>80803.630600000004</v>
      </c>
      <c r="Q29" s="165" t="str">
        <f>IFERROR(IF(compras_mes2[[#This Row],[CUIT]]="","-",VLOOKUP(compras_mes2[[#This Row],[CUIT]],Lista_CUIT[#All],3,0)),"CUIT NO CARGADO")</f>
        <v>INSUMO</v>
      </c>
      <c r="R29" s="165">
        <f>IFERROR(IF(compras_mes2[[#This Row],[CUIT]]="","-",VLOOKUP(compras_mes2[[#This Row],[CUIT]],Lista_CUIT[#All],4,0)),"CUIT NO CARGADO")</f>
        <v>0</v>
      </c>
    </row>
    <row r="30" spans="2:18" x14ac:dyDescent="0.3">
      <c r="B30" s="144">
        <v>45077</v>
      </c>
      <c r="C30" s="41">
        <v>1</v>
      </c>
      <c r="D30" s="145">
        <v>9</v>
      </c>
      <c r="E30" s="146">
        <v>1615</v>
      </c>
      <c r="F30" s="147">
        <v>30631047145</v>
      </c>
      <c r="G30" s="148" t="str">
        <f>IFERROR(IF(compras_mes2[[#This Row],[CUIT]]="","-",VLOOKUP(compras_mes2[[#This Row],[CUIT]],Lista_CUIT[#All],2,0)),"CUIT NO CARGADO")</f>
        <v>SEMICONDUC. Y COMPON. SRL</v>
      </c>
      <c r="H30" s="149">
        <v>271680.84999999998</v>
      </c>
      <c r="I30" s="150">
        <v>56034.25</v>
      </c>
      <c r="J30" s="150"/>
      <c r="K30" s="150">
        <v>509.37</v>
      </c>
      <c r="L30" s="150"/>
      <c r="M30" s="150"/>
      <c r="N30" s="150"/>
      <c r="O30" s="150"/>
      <c r="P30" s="151">
        <f>SUM(compras_mes2[[#This Row],[NETO GRAVADO]:[Otros / No Grav.]])</f>
        <v>328224.46999999997</v>
      </c>
      <c r="Q30" s="165" t="str">
        <f>IFERROR(IF(compras_mes2[[#This Row],[CUIT]]="","-",VLOOKUP(compras_mes2[[#This Row],[CUIT]],Lista_CUIT[#All],3,0)),"CUIT NO CARGADO")</f>
        <v>INSUMO</v>
      </c>
      <c r="R30" s="165">
        <f>IFERROR(IF(compras_mes2[[#This Row],[CUIT]]="","-",VLOOKUP(compras_mes2[[#This Row],[CUIT]],Lista_CUIT[#All],4,0)),"CUIT NO CARGADO")</f>
        <v>0</v>
      </c>
    </row>
    <row r="31" spans="2:18" x14ac:dyDescent="0.3">
      <c r="B31" s="144">
        <v>45077</v>
      </c>
      <c r="C31" s="41">
        <v>3</v>
      </c>
      <c r="D31" s="145">
        <v>9</v>
      </c>
      <c r="E31" s="146">
        <v>77</v>
      </c>
      <c r="F31" s="147">
        <v>30631047145</v>
      </c>
      <c r="G31" s="148" t="str">
        <f>IFERROR(IF(compras_mes2[[#This Row],[CUIT]]="","-",VLOOKUP(compras_mes2[[#This Row],[CUIT]],Lista_CUIT[#All],2,0)),"CUIT NO CARGADO")</f>
        <v>SEMICONDUC. Y COMPON. SRL</v>
      </c>
      <c r="H31" s="149">
        <v>-39600</v>
      </c>
      <c r="I31" s="150">
        <f>IF(compras_mes2[[#This Row],[NETO GRAVADO]]="","",compras_mes2[[#This Row],[NETO GRAVADO]]*0.21)</f>
        <v>-8316</v>
      </c>
      <c r="J31" s="150"/>
      <c r="K31" s="150"/>
      <c r="L31" s="150"/>
      <c r="M31" s="150"/>
      <c r="N31" s="150"/>
      <c r="O31" s="150"/>
      <c r="P31" s="151">
        <f>SUM(compras_mes2[[#This Row],[NETO GRAVADO]:[Otros / No Grav.]])</f>
        <v>-47916</v>
      </c>
      <c r="Q31" s="165" t="str">
        <f>IFERROR(IF(compras_mes2[[#This Row],[CUIT]]="","-",VLOOKUP(compras_mes2[[#This Row],[CUIT]],Lista_CUIT[#All],3,0)),"CUIT NO CARGADO")</f>
        <v>INSUMO</v>
      </c>
      <c r="R31" s="165">
        <f>IFERROR(IF(compras_mes2[[#This Row],[CUIT]]="","-",VLOOKUP(compras_mes2[[#This Row],[CUIT]],Lista_CUIT[#All],4,0)),"CUIT NO CARGADO")</f>
        <v>0</v>
      </c>
    </row>
    <row r="32" spans="2:18" x14ac:dyDescent="0.3">
      <c r="B32" s="240">
        <v>45077</v>
      </c>
      <c r="C32" s="208">
        <v>1</v>
      </c>
      <c r="D32" s="241">
        <v>6</v>
      </c>
      <c r="E32" s="242">
        <v>11830</v>
      </c>
      <c r="F32" s="243">
        <v>30707756434</v>
      </c>
      <c r="G32" s="244" t="str">
        <f>IFERROR(IF(compras_mes2[[#This Row],[CUIT]]="","-",VLOOKUP(compras_mes2[[#This Row],[CUIT]],Lista_CUIT[#All],2,0)),"CUIT NO CARGADO")</f>
        <v>SERVICIO INTEGRAL DE LIMPIEZA SRL</v>
      </c>
      <c r="H32" s="245">
        <v>42000</v>
      </c>
      <c r="I32" s="246">
        <f>IF(compras_mes2[[#This Row],[NETO GRAVADO]]="","",compras_mes2[[#This Row],[NETO GRAVADO]]*0.21)</f>
        <v>8820</v>
      </c>
      <c r="J32" s="246"/>
      <c r="K32" s="246"/>
      <c r="L32" s="246"/>
      <c r="M32" s="246"/>
      <c r="N32" s="246"/>
      <c r="O32" s="246"/>
      <c r="P32" s="247">
        <f>SUM(compras_mes2[[#This Row],[NETO GRAVADO]:[Otros / No Grav.]])</f>
        <v>50820</v>
      </c>
      <c r="Q32" s="248" t="str">
        <f>IFERROR(IF(compras_mes2[[#This Row],[CUIT]]="","-",VLOOKUP(compras_mes2[[#This Row],[CUIT]],Lista_CUIT[#All],3,0)),"CUIT NO CARGADO")</f>
        <v>Mantenimiento</v>
      </c>
      <c r="R32" s="248">
        <f>IFERROR(IF(compras_mes2[[#This Row],[CUIT]]="","-",VLOOKUP(compras_mes2[[#This Row],[CUIT]],Lista_CUIT[#All],4,0)),"CUIT NO CARGADO")</f>
        <v>0</v>
      </c>
    </row>
    <row r="33" spans="2:18" x14ac:dyDescent="0.3">
      <c r="B33" s="144">
        <v>45049</v>
      </c>
      <c r="C33" s="41">
        <v>1</v>
      </c>
      <c r="D33" s="145">
        <v>4</v>
      </c>
      <c r="E33" s="146">
        <v>94579</v>
      </c>
      <c r="F33" s="147">
        <v>30559932236</v>
      </c>
      <c r="G33" s="148" t="str">
        <f>IFERROR(IF(compras_mes2[[#This Row],[CUIT]]="","-",VLOOKUP(compras_mes2[[#This Row],[CUIT]],Lista_CUIT[#All],2,0)),"CUIT NO CARGADO")</f>
        <v>ELECTRONICA ELEMON S A</v>
      </c>
      <c r="H33" s="149">
        <v>31720.85</v>
      </c>
      <c r="I33" s="150">
        <v>2111.4899999999998</v>
      </c>
      <c r="J33" s="150"/>
      <c r="K33" s="150">
        <v>2274.94</v>
      </c>
      <c r="L33" s="150"/>
      <c r="M33" s="150"/>
      <c r="N33" s="150"/>
      <c r="O33" s="150"/>
      <c r="P33" s="151">
        <f>SUM(compras_mes2[[#This Row],[NETO GRAVADO]:[Otros / No Grav.]])</f>
        <v>36107.279999999999</v>
      </c>
      <c r="Q33" s="165" t="str">
        <f>IFERROR(IF(compras_mes2[[#This Row],[CUIT]]="","-",VLOOKUP(compras_mes2[[#This Row],[CUIT]],Lista_CUIT[#All],3,0)),"CUIT NO CARGADO")</f>
        <v>Mat. Prima</v>
      </c>
      <c r="R33" s="165">
        <f>IFERROR(IF(compras_mes2[[#This Row],[CUIT]]="","-",VLOOKUP(compras_mes2[[#This Row],[CUIT]],Lista_CUIT[#All],4,0)),"CUIT NO CARGADO")</f>
        <v>0</v>
      </c>
    </row>
    <row r="34" spans="2:18" x14ac:dyDescent="0.3">
      <c r="B34" s="144">
        <v>45056</v>
      </c>
      <c r="C34" s="41">
        <v>1</v>
      </c>
      <c r="D34" s="145">
        <v>8</v>
      </c>
      <c r="E34" s="146">
        <v>163931</v>
      </c>
      <c r="F34" s="147">
        <v>33606484599</v>
      </c>
      <c r="G34" s="148" t="str">
        <f>IFERROR(IF(compras_mes2[[#This Row],[CUIT]]="","-",VLOOKUP(compras_mes2[[#This Row],[CUIT]],Lista_CUIT[#All],2,0)),"CUIT NO CARGADO")</f>
        <v>JORVICAL ACEROS S A</v>
      </c>
      <c r="H34" s="149">
        <v>1493646.05</v>
      </c>
      <c r="I34" s="150">
        <f>IF(compras_mes2[[#This Row],[NETO GRAVADO]]="","",compras_mes2[[#This Row],[NETO GRAVADO]]*0.21)</f>
        <v>313665.67050000001</v>
      </c>
      <c r="J34" s="150"/>
      <c r="K34" s="150"/>
      <c r="L34" s="150"/>
      <c r="M34" s="150"/>
      <c r="N34" s="150"/>
      <c r="O34" s="150"/>
      <c r="P34" s="151">
        <f>SUM(compras_mes2[[#This Row],[NETO GRAVADO]:[Otros / No Grav.]])</f>
        <v>1807311.7205000001</v>
      </c>
      <c r="Q34" s="165" t="str">
        <f>IFERROR(IF(compras_mes2[[#This Row],[CUIT]]="","-",VLOOKUP(compras_mes2[[#This Row],[CUIT]],Lista_CUIT[#All],3,0)),"CUIT NO CARGADO")</f>
        <v>Mat. Prima</v>
      </c>
      <c r="R34" s="165">
        <f>IFERROR(IF(compras_mes2[[#This Row],[CUIT]]="","-",VLOOKUP(compras_mes2[[#This Row],[CUIT]],Lista_CUIT[#All],4,0)),"CUIT NO CARGADO")</f>
        <v>0</v>
      </c>
    </row>
    <row r="35" spans="2:18" x14ac:dyDescent="0.3">
      <c r="B35" s="144">
        <v>45065</v>
      </c>
      <c r="C35" s="41">
        <v>1</v>
      </c>
      <c r="D35" s="145">
        <v>3</v>
      </c>
      <c r="E35" s="146">
        <v>9291</v>
      </c>
      <c r="F35" s="147">
        <v>30715864262</v>
      </c>
      <c r="G35" s="148" t="str">
        <f>IFERROR(IF(compras_mes2[[#This Row],[CUIT]]="","-",VLOOKUP(compras_mes2[[#This Row],[CUIT]],Lista_CUIT[#All],2,0)),"CUIT NO CARGADO")</f>
        <v>ACPLIND SRL</v>
      </c>
      <c r="H35" s="149">
        <v>15080</v>
      </c>
      <c r="I35" s="150">
        <f>IF(compras_mes2[[#This Row],[NETO GRAVADO]]="","",compras_mes2[[#This Row],[NETO GRAVADO]]*0.21)</f>
        <v>3166.7999999999997</v>
      </c>
      <c r="J35" s="150"/>
      <c r="K35" s="150"/>
      <c r="L35" s="150"/>
      <c r="M35" s="150"/>
      <c r="N35" s="150"/>
      <c r="O35" s="150"/>
      <c r="P35" s="151">
        <f>SUM(compras_mes2[[#This Row],[NETO GRAVADO]:[Otros / No Grav.]])</f>
        <v>18246.8</v>
      </c>
      <c r="Q35" s="165" t="str">
        <f>IFERROR(IF(compras_mes2[[#This Row],[CUIT]]="","-",VLOOKUP(compras_mes2[[#This Row],[CUIT]],Lista_CUIT[#All],3,0)),"CUIT NO CARGADO")</f>
        <v>Mat. Prima</v>
      </c>
      <c r="R35" s="165">
        <f>IFERROR(IF(compras_mes2[[#This Row],[CUIT]]="","-",VLOOKUP(compras_mes2[[#This Row],[CUIT]],Lista_CUIT[#All],4,0)),"CUIT NO CARGADO")</f>
        <v>0</v>
      </c>
    </row>
    <row r="36" spans="2:18" x14ac:dyDescent="0.3">
      <c r="B36" s="144">
        <v>45075</v>
      </c>
      <c r="C36" s="41">
        <v>1</v>
      </c>
      <c r="D36" s="145">
        <v>2</v>
      </c>
      <c r="E36" s="146">
        <v>625</v>
      </c>
      <c r="F36" s="147">
        <v>20296550184</v>
      </c>
      <c r="G36" s="148" t="str">
        <f>IFERROR(IF(compras_mes2[[#This Row],[CUIT]]="","-",VLOOKUP(compras_mes2[[#This Row],[CUIT]],Lista_CUIT[#All],2,0)),"CUIT NO CARGADO")</f>
        <v>COSTA DIEGO ALEJANDRO</v>
      </c>
      <c r="H36" s="149">
        <v>58460</v>
      </c>
      <c r="I36" s="150">
        <f>IF(compras_mes2[[#This Row],[NETO GRAVADO]]="","",compras_mes2[[#This Row],[NETO GRAVADO]]*0.21)</f>
        <v>12276.6</v>
      </c>
      <c r="J36" s="150"/>
      <c r="K36" s="150"/>
      <c r="L36" s="150"/>
      <c r="M36" s="150"/>
      <c r="N36" s="150"/>
      <c r="O36" s="150"/>
      <c r="P36" s="151">
        <f>SUM(compras_mes2[[#This Row],[NETO GRAVADO]:[Otros / No Grav.]])</f>
        <v>70736.600000000006</v>
      </c>
      <c r="Q36" s="165" t="str">
        <f>IFERROR(IF(compras_mes2[[#This Row],[CUIT]]="","-",VLOOKUP(compras_mes2[[#This Row],[CUIT]],Lista_CUIT[#All],3,0)),"CUIT NO CARGADO")</f>
        <v>Mat. Prima</v>
      </c>
      <c r="R36" s="165">
        <f>IFERROR(IF(compras_mes2[[#This Row],[CUIT]]="","-",VLOOKUP(compras_mes2[[#This Row],[CUIT]],Lista_CUIT[#All],4,0)),"CUIT NO CARGADO")</f>
        <v>0</v>
      </c>
    </row>
    <row r="37" spans="2:18" x14ac:dyDescent="0.3">
      <c r="B37" s="240">
        <v>45077</v>
      </c>
      <c r="C37" s="208">
        <v>1</v>
      </c>
      <c r="D37" s="241">
        <v>5</v>
      </c>
      <c r="E37" s="242">
        <v>1274</v>
      </c>
      <c r="F37" s="243">
        <v>30707397256</v>
      </c>
      <c r="G37" s="244" t="str">
        <f>IFERROR(IF(compras_mes2[[#This Row],[CUIT]]="","-",VLOOKUP(compras_mes2[[#This Row],[CUIT]],Lista_CUIT[#All],2,0)),"CUIT NO CARGADO")</f>
        <v>GRAFICA Y FOTOGRABADOS LA PLAZA SRL</v>
      </c>
      <c r="H37" s="245">
        <v>463560</v>
      </c>
      <c r="I37" s="246">
        <f>IF(compras_mes2[[#This Row],[NETO GRAVADO]]="","",compras_mes2[[#This Row],[NETO GRAVADO]]*0.21)</f>
        <v>97347.599999999991</v>
      </c>
      <c r="J37" s="246"/>
      <c r="K37" s="246"/>
      <c r="L37" s="246"/>
      <c r="M37" s="246"/>
      <c r="N37" s="246"/>
      <c r="O37" s="246"/>
      <c r="P37" s="247">
        <f>SUM(compras_mes2[[#This Row],[NETO GRAVADO]:[Otros / No Grav.]])</f>
        <v>560907.6</v>
      </c>
      <c r="Q37" s="248" t="str">
        <f>IFERROR(IF(compras_mes2[[#This Row],[CUIT]]="","-",VLOOKUP(compras_mes2[[#This Row],[CUIT]],Lista_CUIT[#All],3,0)),"CUIT NO CARGADO")</f>
        <v>MATERIALES</v>
      </c>
      <c r="R37" s="248">
        <f>IFERROR(IF(compras_mes2[[#This Row],[CUIT]]="","-",VLOOKUP(compras_mes2[[#This Row],[CUIT]],Lista_CUIT[#All],4,0)),"CUIT NO CARGADO")</f>
        <v>0</v>
      </c>
    </row>
    <row r="38" spans="2:18" x14ac:dyDescent="0.3">
      <c r="B38" s="144">
        <v>45064</v>
      </c>
      <c r="C38" s="41">
        <v>1</v>
      </c>
      <c r="D38" s="145">
        <v>3</v>
      </c>
      <c r="E38" s="146">
        <v>280</v>
      </c>
      <c r="F38" s="147">
        <v>20921575743</v>
      </c>
      <c r="G38" s="148" t="str">
        <f>IFERROR(IF(compras_mes2[[#This Row],[CUIT]]="","-",VLOOKUP(compras_mes2[[#This Row],[CUIT]],Lista_CUIT[#All],2,0)),"CUIT NO CARGADO")</f>
        <v>RIOS GOMEZ JOSE ANTONIO</v>
      </c>
      <c r="H38" s="149">
        <v>595708</v>
      </c>
      <c r="I38" s="150">
        <f>IF(compras_mes2[[#This Row],[NETO GRAVADO]]="","",compras_mes2[[#This Row],[NETO GRAVADO]]*0.21)</f>
        <v>125098.68</v>
      </c>
      <c r="J38" s="150"/>
      <c r="K38" s="150"/>
      <c r="L38" s="150"/>
      <c r="M38" s="150"/>
      <c r="N38" s="150"/>
      <c r="O38" s="150"/>
      <c r="P38" s="151">
        <f>SUM(compras_mes2[[#This Row],[NETO GRAVADO]:[Otros / No Grav.]])</f>
        <v>720806.67999999993</v>
      </c>
      <c r="Q38" s="165" t="str">
        <f>IFERROR(IF(compras_mes2[[#This Row],[CUIT]]="","-",VLOOKUP(compras_mes2[[#This Row],[CUIT]],Lista_CUIT[#All],3,0)),"CUIT NO CARGADO")</f>
        <v>Papeleria e Insumos</v>
      </c>
      <c r="R38" s="165">
        <f>IFERROR(IF(compras_mes2[[#This Row],[CUIT]]="","-",VLOOKUP(compras_mes2[[#This Row],[CUIT]],Lista_CUIT[#All],4,0)),"CUIT NO CARGADO")</f>
        <v>0</v>
      </c>
    </row>
    <row r="39" spans="2:18" x14ac:dyDescent="0.3">
      <c r="B39" s="144">
        <v>45055</v>
      </c>
      <c r="C39" s="41">
        <v>1</v>
      </c>
      <c r="D39" s="145">
        <v>3</v>
      </c>
      <c r="E39" s="146">
        <v>65</v>
      </c>
      <c r="F39" s="147">
        <v>20297899830</v>
      </c>
      <c r="G39" s="413" t="str">
        <f>IFERROR(IF(compras_mes2[[#This Row],[CUIT]]="","-",VLOOKUP(compras_mes2[[#This Row],[CUIT]],Lista_CUIT[#All],2,0)),"CUIT NO CARGADO")</f>
        <v>FUNK MATIAS NICOLAS</v>
      </c>
      <c r="H39" s="149">
        <v>1389803.25</v>
      </c>
      <c r="I39" s="150">
        <f>IF(compras_mes2[[#This Row],[NETO GRAVADO]]="","",compras_mes2[[#This Row],[NETO GRAVADO]]*0.21)</f>
        <v>291858.6825</v>
      </c>
      <c r="J39" s="150"/>
      <c r="K39" s="150"/>
      <c r="L39" s="150"/>
      <c r="M39" s="150"/>
      <c r="N39" s="150"/>
      <c r="O39" s="150"/>
      <c r="P39" s="151">
        <f>SUM(compras_mes2[[#This Row],[NETO GRAVADO]:[Otros / No Grav.]])</f>
        <v>1681661.9325000001</v>
      </c>
      <c r="Q39" s="165" t="str">
        <f>IFERROR(IF(compras_mes2[[#This Row],[CUIT]]="","-",VLOOKUP(compras_mes2[[#This Row],[CUIT]],Lista_CUIT[#All],3,0)),"CUIT NO CARGADO")</f>
        <v>Servicios</v>
      </c>
      <c r="R39" s="165">
        <f>IFERROR(IF(compras_mes2[[#This Row],[CUIT]]="","-",VLOOKUP(compras_mes2[[#This Row],[CUIT]],Lista_CUIT[#All],4,0)),"CUIT NO CARGADO")</f>
        <v>0</v>
      </c>
    </row>
    <row r="40" spans="2:18" x14ac:dyDescent="0.3">
      <c r="B40" s="240">
        <v>45057</v>
      </c>
      <c r="C40" s="208">
        <v>1</v>
      </c>
      <c r="D40" s="241">
        <v>2466</v>
      </c>
      <c r="E40" s="242">
        <v>507853</v>
      </c>
      <c r="F40" s="243">
        <v>30678814357</v>
      </c>
      <c r="G40" s="244" t="str">
        <f>IFERROR(IF(compras_mes2[[#This Row],[CUIT]]="","-",VLOOKUP(compras_mes2[[#This Row],[CUIT]],Lista_CUIT[#All],2,0)),"CUIT NO CARGADO")</f>
        <v>TELEFONICA MOVILES ARG</v>
      </c>
      <c r="H40" s="245">
        <v>4343</v>
      </c>
      <c r="I40" s="246"/>
      <c r="J40" s="246">
        <v>1172.6099999999999</v>
      </c>
      <c r="K40" s="246"/>
      <c r="L40" s="246">
        <v>130.29</v>
      </c>
      <c r="M40" s="246"/>
      <c r="N40" s="246"/>
      <c r="O40" s="246">
        <v>228.58</v>
      </c>
      <c r="P40" s="247">
        <f>SUM(compras_mes2[[#This Row],[NETO GRAVADO]:[Otros / No Grav.]])</f>
        <v>5874.48</v>
      </c>
      <c r="Q40" s="248" t="str">
        <f>IFERROR(IF(compras_mes2[[#This Row],[CUIT]]="","-",VLOOKUP(compras_mes2[[#This Row],[CUIT]],Lista_CUIT[#All],3,0)),"CUIT NO CARGADO")</f>
        <v>SERVICIOS</v>
      </c>
      <c r="R40" s="248">
        <f>IFERROR(IF(compras_mes2[[#This Row],[CUIT]]="","-",VLOOKUP(compras_mes2[[#This Row],[CUIT]],Lista_CUIT[#All],4,0)),"CUIT NO CARGADO")</f>
        <v>0</v>
      </c>
    </row>
    <row r="41" spans="2:18" x14ac:dyDescent="0.3">
      <c r="B41" s="144">
        <v>45047</v>
      </c>
      <c r="C41" s="41">
        <v>1</v>
      </c>
      <c r="D41" s="145">
        <v>3</v>
      </c>
      <c r="E41" s="146">
        <v>189273</v>
      </c>
      <c r="F41" s="147">
        <v>30707135596</v>
      </c>
      <c r="G41" s="148" t="str">
        <f>IFERROR(IF(compras_mes2[[#This Row],[CUIT]]="","-",VLOOKUP(compras_mes2[[#This Row],[CUIT]],Lista_CUIT[#All],2,0)),"CUIT NO CARGADO")</f>
        <v>CITILAN ARGENTINA S.A.</v>
      </c>
      <c r="H41" s="149">
        <v>5115</v>
      </c>
      <c r="I41" s="150">
        <f>IF(compras_mes2[[#This Row],[NETO GRAVADO]]="","",compras_mes2[[#This Row],[NETO GRAVADO]]*0.21)</f>
        <v>1074.1499999999999</v>
      </c>
      <c r="J41" s="150"/>
      <c r="K41" s="150"/>
      <c r="L41" s="150"/>
      <c r="M41" s="150"/>
      <c r="N41" s="150"/>
      <c r="O41" s="150"/>
      <c r="P41" s="151">
        <f>SUM(compras_mes2[[#This Row],[NETO GRAVADO]:[Otros / No Grav.]])</f>
        <v>6189.15</v>
      </c>
      <c r="Q41" s="165" t="str">
        <f>IFERROR(IF(compras_mes2[[#This Row],[CUIT]]="","-",VLOOKUP(compras_mes2[[#This Row],[CUIT]],Lista_CUIT[#All],3,0)),"CUIT NO CARGADO")</f>
        <v>Servicios Gas, Luz, Etc</v>
      </c>
      <c r="R41" s="165">
        <f>IFERROR(IF(compras_mes2[[#This Row],[CUIT]]="","-",VLOOKUP(compras_mes2[[#This Row],[CUIT]],Lista_CUIT[#All],4,0)),"CUIT NO CARGADO")</f>
        <v>0</v>
      </c>
    </row>
    <row r="42" spans="2:18" x14ac:dyDescent="0.3">
      <c r="B42" s="96" t="s">
        <v>110</v>
      </c>
      <c r="C42" s="96"/>
      <c r="D42" s="96"/>
      <c r="E42" s="96"/>
      <c r="F42" s="96"/>
      <c r="G42" s="97"/>
      <c r="H42" s="98">
        <f>SUBTOTAL(109,compras_mes2[NETO GRAVADO])</f>
        <v>5233167.2609999999</v>
      </c>
      <c r="I42" s="98">
        <f>SUBTOTAL(109,compras_mes2[IVA 21 %])</f>
        <v>1092484.4778100001</v>
      </c>
      <c r="J42" s="98">
        <f>SUBTOTAL(109,compras_mes2[IVA 27%])</f>
        <v>1172.6099999999999</v>
      </c>
      <c r="K42" s="98">
        <f>SUBTOTAL(109,compras_mes2[IVA 10,5%])</f>
        <v>2784.31</v>
      </c>
      <c r="L42" s="98">
        <f>SUBTOTAL(109,compras_mes2[PERC. IVA])</f>
        <v>130.29</v>
      </c>
      <c r="M42" s="98">
        <f>SUBTOTAL(109,compras_mes2[PERC IIBB 
BS AS])</f>
        <v>0</v>
      </c>
      <c r="N42" s="98">
        <f>SUBTOTAL(109,compras_mes2[PERC. IIBB CABA])</f>
        <v>0</v>
      </c>
      <c r="O42" s="98">
        <f>SUBTOTAL(109,compras_mes2[Otros / No Grav.])</f>
        <v>-27288.168999999983</v>
      </c>
      <c r="P42" s="98">
        <f>SUBTOTAL(109,compras_mes2[TOTAL])</f>
        <v>6302450.7798100011</v>
      </c>
      <c r="Q42" s="96"/>
      <c r="R42" s="96"/>
    </row>
    <row r="43" spans="2:18" x14ac:dyDescent="0.3">
      <c r="B43" s="40"/>
      <c r="C43" s="41"/>
      <c r="D43" s="42"/>
      <c r="E43" s="43"/>
      <c r="F43" s="44"/>
      <c r="G43" s="45"/>
      <c r="H43" s="46"/>
      <c r="I43" s="47"/>
      <c r="J43" s="47"/>
      <c r="K43" s="47"/>
      <c r="L43" s="47"/>
      <c r="M43" s="47"/>
      <c r="N43" s="47"/>
      <c r="O43" s="47"/>
      <c r="P43" s="48"/>
      <c r="Q43" s="49"/>
      <c r="R43" s="49"/>
    </row>
    <row r="44" spans="2:18" x14ac:dyDescent="0.3">
      <c r="B44" s="40"/>
      <c r="C44" s="41"/>
      <c r="D44" s="42"/>
      <c r="E44" s="43"/>
      <c r="F44" s="44"/>
      <c r="G44" s="45"/>
      <c r="H44" s="46"/>
      <c r="I44" s="47"/>
      <c r="J44" s="47"/>
      <c r="K44" s="47"/>
      <c r="L44" s="47"/>
      <c r="M44" s="47"/>
      <c r="N44" s="47"/>
      <c r="O44" s="47"/>
      <c r="P44" s="48"/>
      <c r="Q44" s="49"/>
      <c r="R44" s="49"/>
    </row>
    <row r="45" spans="2:18" x14ac:dyDescent="0.3">
      <c r="B45" s="40"/>
      <c r="C45" s="41"/>
      <c r="D45" s="42"/>
      <c r="E45" s="43"/>
      <c r="F45" s="44"/>
      <c r="G45" s="45"/>
      <c r="H45" s="46"/>
      <c r="I45" s="47"/>
      <c r="J45" s="47"/>
      <c r="K45" s="47"/>
      <c r="L45" s="47"/>
      <c r="M45" s="47"/>
      <c r="N45" s="47"/>
      <c r="O45" s="47"/>
      <c r="P45" s="48"/>
      <c r="Q45" s="49"/>
      <c r="R45" s="49"/>
    </row>
    <row r="46" spans="2:18" x14ac:dyDescent="0.3">
      <c r="B46" s="40"/>
      <c r="C46" s="41"/>
      <c r="D46" s="42"/>
      <c r="E46" s="43"/>
      <c r="F46" s="44"/>
      <c r="G46" s="45"/>
      <c r="H46" s="46"/>
      <c r="I46" s="47"/>
      <c r="J46" s="47"/>
      <c r="K46" s="47"/>
      <c r="L46" s="47"/>
    </row>
    <row r="47" spans="2:18" ht="25.95" customHeight="1" x14ac:dyDescent="0.3">
      <c r="D47" s="414" t="s">
        <v>15</v>
      </c>
      <c r="E47" s="414"/>
      <c r="F47" s="414"/>
      <c r="G47" s="414"/>
      <c r="H47" s="414"/>
      <c r="I47" s="414"/>
      <c r="J47" s="414"/>
      <c r="K47" s="414"/>
      <c r="L47" s="414"/>
    </row>
    <row r="48" spans="2:18" ht="15.6" x14ac:dyDescent="0.3">
      <c r="D48" s="73" t="s">
        <v>0</v>
      </c>
      <c r="E48" s="74" t="s">
        <v>26</v>
      </c>
      <c r="F48" s="74" t="s">
        <v>16</v>
      </c>
      <c r="G48" s="74" t="s">
        <v>5</v>
      </c>
      <c r="H48" s="74" t="s">
        <v>17</v>
      </c>
      <c r="I48" s="74" t="s">
        <v>7</v>
      </c>
      <c r="J48" s="75" t="s">
        <v>18</v>
      </c>
      <c r="K48" s="75" t="s">
        <v>19</v>
      </c>
      <c r="L48" s="76" t="s">
        <v>20</v>
      </c>
    </row>
    <row r="49" spans="4:12" ht="17.25" customHeight="1" x14ac:dyDescent="0.3">
      <c r="D49" s="194">
        <v>45068</v>
      </c>
      <c r="E49" s="80">
        <v>1033148</v>
      </c>
      <c r="F49" s="80" t="s">
        <v>1117</v>
      </c>
      <c r="G49" s="197">
        <v>5858.75</v>
      </c>
      <c r="H49" s="197">
        <f>extracto_banco_mes2[[#This Row],[NETO]]*0.21</f>
        <v>1230.3374999999999</v>
      </c>
      <c r="I49" s="197"/>
      <c r="J49" s="197"/>
      <c r="K49" s="197">
        <v>175.76</v>
      </c>
      <c r="L49" s="197"/>
    </row>
    <row r="50" spans="4:12" ht="17.25" customHeight="1" x14ac:dyDescent="0.3">
      <c r="D50" s="194">
        <v>45063</v>
      </c>
      <c r="E50" s="80" t="s">
        <v>1169</v>
      </c>
      <c r="F50" s="196" t="s">
        <v>1115</v>
      </c>
      <c r="G50" s="197">
        <v>26576.523809523809</v>
      </c>
      <c r="H50" s="197">
        <f>extracto_banco_mes2[[#This Row],[NETO]]*0.21</f>
        <v>5581.07</v>
      </c>
      <c r="I50" s="197"/>
      <c r="J50" s="197"/>
      <c r="K50" s="197">
        <v>797.3</v>
      </c>
      <c r="L50" s="197"/>
    </row>
    <row r="51" spans="4:12" ht="17.25" customHeight="1" x14ac:dyDescent="0.3">
      <c r="D51" s="194">
        <v>45069</v>
      </c>
      <c r="E51" s="196" t="s">
        <v>1168</v>
      </c>
      <c r="F51" s="196" t="s">
        <v>1116</v>
      </c>
      <c r="G51" s="197">
        <v>61606.857142857145</v>
      </c>
      <c r="H51" s="197">
        <f>extracto_banco_mes2[[#This Row],[NETO]]*0.21</f>
        <v>12937.44</v>
      </c>
      <c r="I51" s="197"/>
      <c r="J51" s="197"/>
      <c r="K51" s="197">
        <v>1848.21</v>
      </c>
      <c r="L51" s="197"/>
    </row>
    <row r="52" spans="4:12" ht="17.25" customHeight="1" x14ac:dyDescent="0.3">
      <c r="D52" s="194">
        <v>45055</v>
      </c>
      <c r="E52" s="80">
        <v>230509</v>
      </c>
      <c r="F52" s="196" t="s">
        <v>1175</v>
      </c>
      <c r="G52" s="197">
        <v>17590.5</v>
      </c>
      <c r="H52" s="197">
        <f>extracto_banco_mes2[[#This Row],[NETO]]*0.21</f>
        <v>3694.0049999999997</v>
      </c>
      <c r="I52" s="197"/>
      <c r="J52" s="197"/>
      <c r="K52" s="197"/>
      <c r="L52" s="197"/>
    </row>
    <row r="53" spans="4:12" ht="17.25" customHeight="1" x14ac:dyDescent="0.3">
      <c r="D53" s="194">
        <v>45070</v>
      </c>
      <c r="E53" s="80">
        <v>240523</v>
      </c>
      <c r="F53" s="196" t="s">
        <v>1176</v>
      </c>
      <c r="G53" s="197">
        <v>170</v>
      </c>
      <c r="H53" s="197">
        <f>extracto_banco_mes2[[#This Row],[NETO]]*0.21</f>
        <v>35.699999999999996</v>
      </c>
      <c r="I53" s="197"/>
      <c r="J53" s="197"/>
      <c r="K53" s="197"/>
      <c r="L53" s="197"/>
    </row>
    <row r="54" spans="4:12" ht="17.25" customHeight="1" x14ac:dyDescent="0.3">
      <c r="D54" s="194"/>
      <c r="E54" s="80"/>
      <c r="F54" s="196"/>
      <c r="G54" s="197"/>
      <c r="H54" s="197">
        <f>extracto_banco_mes2[[#This Row],[NETO]]*0.21</f>
        <v>0</v>
      </c>
      <c r="I54" s="197"/>
      <c r="J54" s="197"/>
      <c r="K54" s="197"/>
      <c r="L54" s="197"/>
    </row>
    <row r="55" spans="4:12" x14ac:dyDescent="0.3">
      <c r="D55" s="198" t="s">
        <v>110</v>
      </c>
      <c r="E55" s="196"/>
      <c r="F55" s="196"/>
      <c r="G55" s="199">
        <f>SUBTOTAL(109,extracto_banco_mes2[NETO])</f>
        <v>111802.63095238095</v>
      </c>
      <c r="H55" s="199">
        <f>SUBTOTAL(109,extracto_banco_mes2[IVA 21%])</f>
        <v>23478.552500000002</v>
      </c>
      <c r="I55" s="199">
        <f>SUBTOTAL(109,extracto_banco_mes2[IVA 10,5%])</f>
        <v>0</v>
      </c>
      <c r="J55" s="199">
        <f>SUBTOTAL(109,extracto_banco_mes2[RET IIBB CABA])</f>
        <v>0</v>
      </c>
      <c r="K55" s="199">
        <f>SUBTOTAL(109,extracto_banco_mes2[PERC IVA])</f>
        <v>2821.27</v>
      </c>
      <c r="L55" s="199">
        <f>SUBTOTAL(109,extracto_banco_mes2[PERC IIBB])</f>
        <v>0</v>
      </c>
    </row>
    <row r="59" spans="4:12" ht="21" x14ac:dyDescent="0.3">
      <c r="D59" s="414" t="s">
        <v>25</v>
      </c>
      <c r="E59" s="414"/>
      <c r="F59" s="414"/>
      <c r="G59" s="414"/>
      <c r="H59" s="414"/>
      <c r="I59" s="414"/>
      <c r="J59" s="414"/>
      <c r="K59" s="414"/>
    </row>
    <row r="60" spans="4:12" x14ac:dyDescent="0.3">
      <c r="D60" s="51" t="s">
        <v>0</v>
      </c>
      <c r="E60" s="51" t="s">
        <v>2</v>
      </c>
      <c r="F60" s="51" t="s">
        <v>74</v>
      </c>
      <c r="G60" s="51" t="s">
        <v>3</v>
      </c>
      <c r="H60" s="51" t="s">
        <v>4</v>
      </c>
      <c r="I60" s="52" t="s">
        <v>10</v>
      </c>
      <c r="J60" s="51" t="s">
        <v>13</v>
      </c>
      <c r="K60" s="51" t="s">
        <v>38</v>
      </c>
    </row>
    <row r="61" spans="4:12" x14ac:dyDescent="0.3">
      <c r="D61" s="50">
        <v>45054</v>
      </c>
      <c r="E61" s="128">
        <v>11</v>
      </c>
      <c r="F61" s="128">
        <v>37129</v>
      </c>
      <c r="G61" s="129">
        <v>30714867322</v>
      </c>
      <c r="H61" s="130" t="str">
        <f>IFERROR(IF(factura_c_mes2[[#This Row],[CUIT]]="","-",VLOOKUP(factura_c_mes2[[#This Row],[CUIT]],Lista_CUIT[#All],2,0)),"CUIT NO CARGADO")</f>
        <v>INITIUM SRL</v>
      </c>
      <c r="I61" s="132">
        <v>3488.98</v>
      </c>
      <c r="J61" s="131">
        <f>IFERROR(IF(factura_c_mes2[[#This Row],[CUIT]]="","-",VLOOKUP(factura_c_mes2[[#This Row],[CUIT]],Lista_CUIT[#All],3,0)),"CUIT NO CARGADO")</f>
        <v>0</v>
      </c>
      <c r="K61" s="131">
        <f>IFERROR(IF(factura_c_mes2[[#This Row],[CUIT]]="","-",VLOOKUP(factura_c_mes2[[#This Row],[CUIT]],Lista_CUIT[#All],4,0)),"CUIT NO CARGADO")</f>
        <v>0</v>
      </c>
    </row>
    <row r="62" spans="4:12" x14ac:dyDescent="0.3">
      <c r="D62" s="50">
        <v>45055</v>
      </c>
      <c r="E62" s="128">
        <v>1</v>
      </c>
      <c r="F62" s="128">
        <v>36</v>
      </c>
      <c r="G62" s="129">
        <v>27925308868</v>
      </c>
      <c r="H62" s="130" t="str">
        <f>IFERROR(IF(factura_c_mes2[[#This Row],[CUIT]]="","-",VLOOKUP(factura_c_mes2[[#This Row],[CUIT]],Lista_CUIT[#All],2,0)),"CUIT NO CARGADO")</f>
        <v>LOPEZ MOLINA MARIA</v>
      </c>
      <c r="I62" s="132">
        <v>19200</v>
      </c>
      <c r="J62" s="131">
        <f>IFERROR(IF(factura_c_mes2[[#This Row],[CUIT]]="","-",VLOOKUP(factura_c_mes2[[#This Row],[CUIT]],Lista_CUIT[#All],3,0)),"CUIT NO CARGADO")</f>
        <v>0</v>
      </c>
      <c r="K62" s="131">
        <f>IFERROR(IF(factura_c_mes2[[#This Row],[CUIT]]="","-",VLOOKUP(factura_c_mes2[[#This Row],[CUIT]],Lista_CUIT[#All],4,0)),"CUIT NO CARGADO")</f>
        <v>0</v>
      </c>
    </row>
    <row r="63" spans="4:12" x14ac:dyDescent="0.3">
      <c r="D63" s="50">
        <v>45061</v>
      </c>
      <c r="E63" s="128">
        <v>9</v>
      </c>
      <c r="F63" s="128">
        <v>3739576</v>
      </c>
      <c r="G63" s="129">
        <v>33715179119</v>
      </c>
      <c r="H63" s="130" t="str">
        <f>IFERROR(IF(factura_c_mes2[[#This Row],[CUIT]]="","-",VLOOKUP(factura_c_mes2[[#This Row],[CUIT]],Lista_CUIT[#All],2,0)),"CUIT NO CARGADO")</f>
        <v>FONDO DE COOPERACION TECNICA Y FINANCIERA - CECBA - SL Y T - LEY 23.412</v>
      </c>
      <c r="I63" s="132">
        <v>855</v>
      </c>
      <c r="J63" s="131">
        <f>IFERROR(IF(factura_c_mes2[[#This Row],[CUIT]]="","-",VLOOKUP(factura_c_mes2[[#This Row],[CUIT]],Lista_CUIT[#All],3,0)),"CUIT NO CARGADO")</f>
        <v>0</v>
      </c>
      <c r="K63" s="131">
        <f>IFERROR(IF(factura_c_mes2[[#This Row],[CUIT]]="","-",VLOOKUP(factura_c_mes2[[#This Row],[CUIT]],Lista_CUIT[#All],4,0)),"CUIT NO CARGADO")</f>
        <v>0</v>
      </c>
    </row>
    <row r="64" spans="4:12" x14ac:dyDescent="0.3">
      <c r="D64" s="50">
        <v>45062</v>
      </c>
      <c r="E64" s="128">
        <v>2</v>
      </c>
      <c r="F64" s="128">
        <v>103</v>
      </c>
      <c r="G64" s="129">
        <v>27125997835</v>
      </c>
      <c r="H64" s="130" t="str">
        <f>IFERROR(IF(factura_c_mes2[[#This Row],[CUIT]]="","-",VLOOKUP(factura_c_mes2[[#This Row],[CUIT]],Lista_CUIT[#All],2,0)),"CUIT NO CARGADO")</f>
        <v>DANSKY ULLMANN VIVIANA EVA YOLANDA</v>
      </c>
      <c r="I64" s="132">
        <v>50000</v>
      </c>
      <c r="J64" s="131">
        <f>IFERROR(IF(factura_c_mes2[[#This Row],[CUIT]]="","-",VLOOKUP(factura_c_mes2[[#This Row],[CUIT]],Lista_CUIT[#All],3,0)),"CUIT NO CARGADO")</f>
        <v>0</v>
      </c>
      <c r="K64" s="131">
        <f>IFERROR(IF(factura_c_mes2[[#This Row],[CUIT]]="","-",VLOOKUP(factura_c_mes2[[#This Row],[CUIT]],Lista_CUIT[#All],4,0)),"CUIT NO CARGADO")</f>
        <v>0</v>
      </c>
    </row>
    <row r="65" spans="4:15" x14ac:dyDescent="0.3">
      <c r="D65" s="50">
        <v>45057</v>
      </c>
      <c r="E65" s="128">
        <v>4</v>
      </c>
      <c r="F65" s="128">
        <v>13</v>
      </c>
      <c r="G65" s="129">
        <v>20341462933</v>
      </c>
      <c r="H65" s="130" t="str">
        <f>IFERROR(IF(factura_c_mes2[[#This Row],[CUIT]]="","-",VLOOKUP(factura_c_mes2[[#This Row],[CUIT]],Lista_CUIT[#All],2,0)),"CUIT NO CARGADO")</f>
        <v>CASTIGLIONI MATIAS EZEQUIEL</v>
      </c>
      <c r="I65" s="132">
        <v>510000</v>
      </c>
      <c r="J65" s="366" t="s">
        <v>1391</v>
      </c>
      <c r="K65" s="131" t="str">
        <f>IFERROR(IF(factura_c_mes2[[#This Row],[CUIT]]="","-",VLOOKUP(factura_c_mes2[[#This Row],[CUIT]],Lista_CUIT[#All],4,0)),"CUIT NO CARGADO")</f>
        <v>BUENOS AIRES</v>
      </c>
      <c r="M65" s="366"/>
      <c r="N65" s="366" t="s">
        <v>1390</v>
      </c>
      <c r="O65" s="367">
        <v>590500</v>
      </c>
    </row>
    <row r="66" spans="4:15" x14ac:dyDescent="0.3">
      <c r="D66" s="50">
        <v>45047</v>
      </c>
      <c r="E66" s="128">
        <v>1</v>
      </c>
      <c r="F66" s="128">
        <v>7</v>
      </c>
      <c r="G66" s="129">
        <v>27387896150</v>
      </c>
      <c r="H66" s="130" t="str">
        <f>IFERROR(IF(factura_c_mes2[[#This Row],[CUIT]]="","-",VLOOKUP(factura_c_mes2[[#This Row],[CUIT]],Lista_CUIT[#All],2,0)),"CUIT NO CARGADO")</f>
        <v>LIPANOVICH MARIA SOL</v>
      </c>
      <c r="I66" s="132">
        <v>400000</v>
      </c>
      <c r="J66" s="131" t="str">
        <f>IFERROR(IF(factura_c_mes2[[#This Row],[CUIT]]="","-",VLOOKUP(factura_c_mes2[[#This Row],[CUIT]],Lista_CUIT[#All],3,0)),"CUIT NO CARGADO")</f>
        <v>consultoria informatica</v>
      </c>
      <c r="K66" s="131">
        <f>IFERROR(IF(factura_c_mes2[[#This Row],[CUIT]]="","-",VLOOKUP(factura_c_mes2[[#This Row],[CUIT]],Lista_CUIT[#All],4,0)),"CUIT NO CARGADO")</f>
        <v>0</v>
      </c>
      <c r="M66" s="366"/>
      <c r="N66" s="366" t="s">
        <v>1383</v>
      </c>
      <c r="O66" s="367">
        <v>19561.95</v>
      </c>
    </row>
    <row r="67" spans="4:15" x14ac:dyDescent="0.3">
      <c r="D67" s="50">
        <v>45077</v>
      </c>
      <c r="E67" s="128">
        <v>1</v>
      </c>
      <c r="F67" s="128">
        <v>8</v>
      </c>
      <c r="G67" s="129">
        <v>27387896150</v>
      </c>
      <c r="H67" s="130" t="str">
        <f>IFERROR(IF(factura_c_mes2[[#This Row],[CUIT]]="","-",VLOOKUP(factura_c_mes2[[#This Row],[CUIT]],Lista_CUIT[#All],2,0)),"CUIT NO CARGADO")</f>
        <v>LIPANOVICH MARIA SOL</v>
      </c>
      <c r="I67" s="132">
        <v>400000</v>
      </c>
      <c r="J67" s="131" t="str">
        <f>IFERROR(IF(factura_c_mes2[[#This Row],[CUIT]]="","-",VLOOKUP(factura_c_mes2[[#This Row],[CUIT]],Lista_CUIT[#All],3,0)),"CUIT NO CARGADO")</f>
        <v>consultoria informatica</v>
      </c>
      <c r="K67" s="131">
        <f>IFERROR(IF(factura_c_mes2[[#This Row],[CUIT]]="","-",VLOOKUP(factura_c_mes2[[#This Row],[CUIT]],Lista_CUIT[#All],4,0)),"CUIT NO CARGADO")</f>
        <v>0</v>
      </c>
      <c r="M67" s="366"/>
      <c r="N67" s="366" t="s">
        <v>1384</v>
      </c>
      <c r="O67" s="367">
        <v>148480</v>
      </c>
    </row>
    <row r="68" spans="4:15" x14ac:dyDescent="0.3">
      <c r="D68" s="50">
        <v>45049</v>
      </c>
      <c r="E68" s="128">
        <v>2</v>
      </c>
      <c r="F68" s="128">
        <v>81043</v>
      </c>
      <c r="G68" s="129">
        <v>30554466806</v>
      </c>
      <c r="H68" s="130" t="str">
        <f>IFERROR(IF(factura_c_mes2[[#This Row],[CUIT]]="","-",VLOOKUP(factura_c_mes2[[#This Row],[CUIT]],Lista_CUIT[#All],2,0)),"CUIT NO CARGADO")</f>
        <v>ASOCIACION DE IMPORTADORES Y EXPORTADORES DE LA REPUBLICA ARGENTINA</v>
      </c>
      <c r="I68" s="132">
        <v>3200</v>
      </c>
      <c r="J68" s="131" t="str">
        <f>IFERROR(IF(factura_c_mes2[[#This Row],[CUIT]]="","-",VLOOKUP(factura_c_mes2[[#This Row],[CUIT]],Lista_CUIT[#All],3,0)),"CUIT NO CARGADO")</f>
        <v>FLETE-LOGISTICA</v>
      </c>
      <c r="K68" s="131">
        <f>IFERROR(IF(factura_c_mes2[[#This Row],[CUIT]]="","-",VLOOKUP(factura_c_mes2[[#This Row],[CUIT]],Lista_CUIT[#All],4,0)),"CUIT NO CARGADO")</f>
        <v>0</v>
      </c>
      <c r="M68" s="366"/>
      <c r="N68" s="366" t="s">
        <v>1385</v>
      </c>
      <c r="O68" s="367">
        <v>89860</v>
      </c>
    </row>
    <row r="69" spans="4:15" x14ac:dyDescent="0.3">
      <c r="D69" s="50">
        <v>45057</v>
      </c>
      <c r="E69" s="128">
        <v>7</v>
      </c>
      <c r="F69" s="128">
        <v>313886</v>
      </c>
      <c r="G69" s="129">
        <v>20259150249</v>
      </c>
      <c r="H69" s="130" t="str">
        <f>IFERROR(IF(factura_c_mes2[[#This Row],[CUIT]]="","-",VLOOKUP(factura_c_mes2[[#This Row],[CUIT]],Lista_CUIT[#All],2,0)),"CUIT NO CARGADO")</f>
        <v>BIANCHI CRISTIAN MAXIMILIANO</v>
      </c>
      <c r="I69" s="132">
        <v>18590</v>
      </c>
      <c r="J69" s="131" t="str">
        <f>IFERROR(IF(factura_c_mes2[[#This Row],[CUIT]]="","-",VLOOKUP(factura_c_mes2[[#This Row],[CUIT]],Lista_CUIT[#All],3,0)),"CUIT NO CARGADO")</f>
        <v>Gastos Varios</v>
      </c>
      <c r="K69" s="131">
        <f>IFERROR(IF(factura_c_mes2[[#This Row],[CUIT]]="","-",VLOOKUP(factura_c_mes2[[#This Row],[CUIT]],Lista_CUIT[#All],4,0)),"CUIT NO CARGADO")</f>
        <v>0</v>
      </c>
      <c r="M69" s="366"/>
      <c r="N69" s="364" t="s">
        <v>1389</v>
      </c>
      <c r="O69" s="367">
        <v>90000</v>
      </c>
    </row>
    <row r="70" spans="4:15" x14ac:dyDescent="0.3">
      <c r="D70" s="50">
        <v>45061</v>
      </c>
      <c r="E70" s="128">
        <v>7</v>
      </c>
      <c r="F70" s="128">
        <v>314857</v>
      </c>
      <c r="G70" s="129">
        <v>20259150249</v>
      </c>
      <c r="H70" s="130" t="str">
        <f>IFERROR(IF(factura_c_mes2[[#This Row],[CUIT]]="","-",VLOOKUP(factura_c_mes2[[#This Row],[CUIT]],Lista_CUIT[#All],2,0)),"CUIT NO CARGADO")</f>
        <v>BIANCHI CRISTIAN MAXIMILIANO</v>
      </c>
      <c r="I70" s="132">
        <v>16799</v>
      </c>
      <c r="J70" s="131" t="str">
        <f>IFERROR(IF(factura_c_mes2[[#This Row],[CUIT]]="","-",VLOOKUP(factura_c_mes2[[#This Row],[CUIT]],Lista_CUIT[#All],3,0)),"CUIT NO CARGADO")</f>
        <v>Gastos Varios</v>
      </c>
      <c r="K70" s="131">
        <f>IFERROR(IF(factura_c_mes2[[#This Row],[CUIT]]="","-",VLOOKUP(factura_c_mes2[[#This Row],[CUIT]],Lista_CUIT[#All],4,0)),"CUIT NO CARGADO")</f>
        <v>0</v>
      </c>
      <c r="M70" s="366"/>
      <c r="N70" s="366" t="s">
        <v>1386</v>
      </c>
      <c r="O70" s="367">
        <v>373750</v>
      </c>
    </row>
    <row r="71" spans="4:15" x14ac:dyDescent="0.3">
      <c r="D71" s="50">
        <v>45054</v>
      </c>
      <c r="E71" s="128">
        <v>2</v>
      </c>
      <c r="F71" s="128">
        <v>140</v>
      </c>
      <c r="G71" s="129">
        <v>20136544625</v>
      </c>
      <c r="H71" s="130" t="str">
        <f>IFERROR(IF(factura_c_mes2[[#This Row],[CUIT]]="","-",VLOOKUP(factura_c_mes2[[#This Row],[CUIT]],Lista_CUIT[#All],2,0)),"CUIT NO CARGADO")</f>
        <v>RODRIGUEZ DE LA FUEN HECTOR MARCELO</v>
      </c>
      <c r="I71" s="132">
        <v>160000</v>
      </c>
      <c r="J71" s="131" t="str">
        <f>IFERROR(IF(factura_c_mes2[[#This Row],[CUIT]]="","-",VLOOKUP(factura_c_mes2[[#This Row],[CUIT]],Lista_CUIT[#All],3,0)),"CUIT NO CARGADO")</f>
        <v>Hon. Admin.</v>
      </c>
      <c r="K71" s="131">
        <f>IFERROR(IF(factura_c_mes2[[#This Row],[CUIT]]="","-",VLOOKUP(factura_c_mes2[[#This Row],[CUIT]],Lista_CUIT[#All],4,0)),"CUIT NO CARGADO")</f>
        <v>0</v>
      </c>
      <c r="M71" s="366"/>
      <c r="N71" s="368" t="s">
        <v>1387</v>
      </c>
      <c r="O71" s="369">
        <v>148935</v>
      </c>
    </row>
    <row r="72" spans="4:15" x14ac:dyDescent="0.3">
      <c r="D72" s="50">
        <v>45054</v>
      </c>
      <c r="E72" s="128">
        <v>2</v>
      </c>
      <c r="F72" s="128">
        <v>141</v>
      </c>
      <c r="G72" s="129">
        <v>20136544625</v>
      </c>
      <c r="H72" s="130" t="str">
        <f>IFERROR(IF(factura_c_mes2[[#This Row],[CUIT]]="","-",VLOOKUP(factura_c_mes2[[#This Row],[CUIT]],Lista_CUIT[#All],2,0)),"CUIT NO CARGADO")</f>
        <v>RODRIGUEZ DE LA FUEN HECTOR MARCELO</v>
      </c>
      <c r="I72" s="132">
        <v>140000</v>
      </c>
      <c r="J72" s="131" t="str">
        <f>IFERROR(IF(factura_c_mes2[[#This Row],[CUIT]]="","-",VLOOKUP(factura_c_mes2[[#This Row],[CUIT]],Lista_CUIT[#All],3,0)),"CUIT NO CARGADO")</f>
        <v>Hon. Admin.</v>
      </c>
      <c r="K72" s="131">
        <f>IFERROR(IF(factura_c_mes2[[#This Row],[CUIT]]="","-",VLOOKUP(factura_c_mes2[[#This Row],[CUIT]],Lista_CUIT[#All],4,0)),"CUIT NO CARGADO")</f>
        <v>0</v>
      </c>
      <c r="M72" s="366"/>
      <c r="N72" s="365" t="s">
        <v>1388</v>
      </c>
      <c r="O72" s="367">
        <v>128690</v>
      </c>
    </row>
    <row r="73" spans="4:15" x14ac:dyDescent="0.3">
      <c r="D73" s="50">
        <v>45061</v>
      </c>
      <c r="E73" s="128">
        <v>2</v>
      </c>
      <c r="F73" s="128">
        <v>142</v>
      </c>
      <c r="G73" s="129">
        <v>20136544625</v>
      </c>
      <c r="H73" s="130" t="str">
        <f>IFERROR(IF(factura_c_mes2[[#This Row],[CUIT]]="","-",VLOOKUP(factura_c_mes2[[#This Row],[CUIT]],Lista_CUIT[#All],2,0)),"CUIT NO CARGADO")</f>
        <v>RODRIGUEZ DE LA FUEN HECTOR MARCELO</v>
      </c>
      <c r="I73" s="132">
        <v>400000</v>
      </c>
      <c r="J73" s="131" t="str">
        <f>IFERROR(IF(factura_c_mes2[[#This Row],[CUIT]]="","-",VLOOKUP(factura_c_mes2[[#This Row],[CUIT]],Lista_CUIT[#All],3,0)),"CUIT NO CARGADO")</f>
        <v>Hon. Admin.</v>
      </c>
      <c r="K73" s="131">
        <f>IFERROR(IF(factura_c_mes2[[#This Row],[CUIT]]="","-",VLOOKUP(factura_c_mes2[[#This Row],[CUIT]],Lista_CUIT[#All],4,0)),"CUIT NO CARGADO")</f>
        <v>0</v>
      </c>
      <c r="M73" s="366"/>
      <c r="N73" s="365" t="s">
        <v>1386</v>
      </c>
      <c r="O73" s="367">
        <v>371000</v>
      </c>
    </row>
    <row r="74" spans="4:15" x14ac:dyDescent="0.3">
      <c r="D74" s="50">
        <v>45069</v>
      </c>
      <c r="E74" s="128">
        <v>3</v>
      </c>
      <c r="F74" s="128">
        <v>52</v>
      </c>
      <c r="G74" s="129">
        <v>20403931420</v>
      </c>
      <c r="H74" s="130" t="str">
        <f>IFERROR(IF(factura_c_mes2[[#This Row],[CUIT]]="","-",VLOOKUP(factura_c_mes2[[#This Row],[CUIT]],Lista_CUIT[#All],2,0)),"CUIT NO CARGADO")</f>
        <v>FIORENTINO JORGE IGNACIO</v>
      </c>
      <c r="I74" s="132">
        <v>148510</v>
      </c>
      <c r="J74" s="131" t="str">
        <f>IFERROR(IF(factura_c_mes2[[#This Row],[CUIT]]="","-",VLOOKUP(factura_c_mes2[[#This Row],[CUIT]],Lista_CUIT[#All],3,0)),"CUIT NO CARGADO")</f>
        <v>Hon. Admin.</v>
      </c>
      <c r="K74" s="131">
        <f>IFERROR(IF(factura_c_mes2[[#This Row],[CUIT]]="","-",VLOOKUP(factura_c_mes2[[#This Row],[CUIT]],Lista_CUIT[#All],4,0)),"CUIT NO CARGADO")</f>
        <v>0</v>
      </c>
      <c r="M74" s="366"/>
      <c r="N74" s="366"/>
      <c r="O74" s="367">
        <f>SUM(O65:O73)</f>
        <v>1960776.95</v>
      </c>
    </row>
    <row r="75" spans="4:15" x14ac:dyDescent="0.3">
      <c r="D75" s="50">
        <v>45048</v>
      </c>
      <c r="E75" s="128">
        <v>3</v>
      </c>
      <c r="F75" s="128">
        <v>732</v>
      </c>
      <c r="G75" s="129">
        <v>20086277523</v>
      </c>
      <c r="H75" s="130" t="str">
        <f>IFERROR(IF(factura_c_mes2[[#This Row],[CUIT]]="","-",VLOOKUP(factura_c_mes2[[#This Row],[CUIT]],Lista_CUIT[#All],2,0)),"CUIT NO CARGADO")</f>
        <v>ESTUDIO BOTINDARI</v>
      </c>
      <c r="I75" s="132">
        <v>81000</v>
      </c>
      <c r="J75" s="366" t="s">
        <v>1385</v>
      </c>
      <c r="K75" s="131">
        <f>IFERROR(IF(factura_c_mes2[[#This Row],[CUIT]]="","-",VLOOKUP(factura_c_mes2[[#This Row],[CUIT]],Lista_CUIT[#All],4,0)),"CUIT NO CARGADO")</f>
        <v>0</v>
      </c>
      <c r="M75" s="366"/>
      <c r="N75" s="366"/>
      <c r="O75" s="366"/>
    </row>
    <row r="76" spans="4:15" x14ac:dyDescent="0.3">
      <c r="D76" s="50">
        <v>45061</v>
      </c>
      <c r="E76" s="128">
        <v>3</v>
      </c>
      <c r="F76" s="128">
        <v>737</v>
      </c>
      <c r="G76" s="129">
        <v>20086277523</v>
      </c>
      <c r="H76" s="130" t="str">
        <f>IFERROR(IF(factura_c_mes2[[#This Row],[CUIT]]="","-",VLOOKUP(factura_c_mes2[[#This Row],[CUIT]],Lista_CUIT[#All],2,0)),"CUIT NO CARGADO")</f>
        <v>ESTUDIO BOTINDARI</v>
      </c>
      <c r="I76" s="132">
        <v>12860</v>
      </c>
      <c r="J76" s="366" t="s">
        <v>1385</v>
      </c>
      <c r="K76" s="131">
        <f>IFERROR(IF(factura_c_mes2[[#This Row],[CUIT]]="","-",VLOOKUP(factura_c_mes2[[#This Row],[CUIT]],Lista_CUIT[#All],4,0)),"CUIT NO CARGADO")</f>
        <v>0</v>
      </c>
    </row>
    <row r="77" spans="4:15" x14ac:dyDescent="0.3">
      <c r="D77" s="50">
        <v>45062</v>
      </c>
      <c r="E77" s="128">
        <v>2</v>
      </c>
      <c r="F77" s="128">
        <v>203</v>
      </c>
      <c r="G77" s="129">
        <v>27173820866</v>
      </c>
      <c r="H77" s="130" t="str">
        <f>IFERROR(IF(factura_c_mes2[[#This Row],[CUIT]]="","-",VLOOKUP(factura_c_mes2[[#This Row],[CUIT]],Lista_CUIT[#All],2,0)),"CUIT NO CARGADO")</f>
        <v>FREIER SANDRA DANIELA</v>
      </c>
      <c r="I77" s="132">
        <v>400000</v>
      </c>
      <c r="J77" s="131" t="str">
        <f>IFERROR(IF(factura_c_mes2[[#This Row],[CUIT]]="","-",VLOOKUP(factura_c_mes2[[#This Row],[CUIT]],Lista_CUIT[#All],3,0)),"CUIT NO CARGADO")</f>
        <v>HONORARIOS</v>
      </c>
      <c r="K77" s="131">
        <f>IFERROR(IF(factura_c_mes2[[#This Row],[CUIT]]="","-",VLOOKUP(factura_c_mes2[[#This Row],[CUIT]],Lista_CUIT[#All],4,0)),"CUIT NO CARGADO")</f>
        <v>0</v>
      </c>
    </row>
    <row r="78" spans="4:15" x14ac:dyDescent="0.3">
      <c r="D78" s="50">
        <v>45049</v>
      </c>
      <c r="E78" s="128">
        <v>1</v>
      </c>
      <c r="F78" s="128">
        <v>12</v>
      </c>
      <c r="G78" s="129">
        <v>20338344695</v>
      </c>
      <c r="H78" s="130" t="str">
        <f>IFERROR(IF(factura_c_mes2[[#This Row],[CUIT]]="","-",VLOOKUP(factura_c_mes2[[#This Row],[CUIT]],Lista_CUIT[#All],2,0)),"CUIT NO CARGADO")</f>
        <v>FUERTES DAMIAN MATIAS</v>
      </c>
      <c r="I78" s="132">
        <v>37400</v>
      </c>
      <c r="J78" s="131" t="str">
        <f>IFERROR(IF(factura_c_mes2[[#This Row],[CUIT]]="","-",VLOOKUP(factura_c_mes2[[#This Row],[CUIT]],Lista_CUIT[#All],3,0)),"CUIT NO CARGADO")</f>
        <v>INSUMO</v>
      </c>
      <c r="K78" s="131">
        <f>IFERROR(IF(factura_c_mes2[[#This Row],[CUIT]]="","-",VLOOKUP(factura_c_mes2[[#This Row],[CUIT]],Lista_CUIT[#All],4,0)),"CUIT NO CARGADO")</f>
        <v>0</v>
      </c>
    </row>
    <row r="79" spans="4:15" x14ac:dyDescent="0.3">
      <c r="D79" s="50">
        <v>45049</v>
      </c>
      <c r="E79" s="128">
        <v>350</v>
      </c>
      <c r="F79" s="128">
        <v>186905</v>
      </c>
      <c r="G79" s="129">
        <v>30525558246</v>
      </c>
      <c r="H79" s="130" t="str">
        <f>IFERROR(IF(factura_c_mes2[[#This Row],[CUIT]]="","-",VLOOKUP(factura_c_mes2[[#This Row],[CUIT]],Lista_CUIT[#All],2,0)),"CUIT NO CARGADO")</f>
        <v>ANTONIO LUQUIN S A C I F E I</v>
      </c>
      <c r="I79" s="132">
        <v>21399</v>
      </c>
      <c r="J79" s="131" t="str">
        <f>IFERROR(IF(factura_c_mes2[[#This Row],[CUIT]]="","-",VLOOKUP(factura_c_mes2[[#This Row],[CUIT]],Lista_CUIT[#All],3,0)),"CUIT NO CARGADO")</f>
        <v>Mantenimiento</v>
      </c>
      <c r="K79" s="131">
        <f>IFERROR(IF(factura_c_mes2[[#This Row],[CUIT]]="","-",VLOOKUP(factura_c_mes2[[#This Row],[CUIT]],Lista_CUIT[#All],4,0)),"CUIT NO CARGADO")</f>
        <v>0</v>
      </c>
    </row>
    <row r="80" spans="4:15" x14ac:dyDescent="0.3">
      <c r="D80" s="50">
        <v>45049</v>
      </c>
      <c r="E80" s="128">
        <v>350</v>
      </c>
      <c r="F80" s="128">
        <v>186906</v>
      </c>
      <c r="G80" s="129">
        <v>30525558246</v>
      </c>
      <c r="H80" s="130" t="str">
        <f>IFERROR(IF(factura_c_mes2[[#This Row],[CUIT]]="","-",VLOOKUP(factura_c_mes2[[#This Row],[CUIT]],Lista_CUIT[#All],2,0)),"CUIT NO CARGADO")</f>
        <v>ANTONIO LUQUIN S A C I F E I</v>
      </c>
      <c r="I80" s="132">
        <v>21399</v>
      </c>
      <c r="J80" s="131" t="str">
        <f>IFERROR(IF(factura_c_mes2[[#This Row],[CUIT]]="","-",VLOOKUP(factura_c_mes2[[#This Row],[CUIT]],Lista_CUIT[#All],3,0)),"CUIT NO CARGADO")</f>
        <v>Mantenimiento</v>
      </c>
      <c r="K80" s="131">
        <f>IFERROR(IF(factura_c_mes2[[#This Row],[CUIT]]="","-",VLOOKUP(factura_c_mes2[[#This Row],[CUIT]],Lista_CUIT[#All],4,0)),"CUIT NO CARGADO")</f>
        <v>0</v>
      </c>
    </row>
    <row r="81" spans="2:18" x14ac:dyDescent="0.3">
      <c r="D81" s="50">
        <v>45049</v>
      </c>
      <c r="E81" s="128">
        <v>345</v>
      </c>
      <c r="F81" s="128">
        <v>332222</v>
      </c>
      <c r="G81" s="129">
        <v>30525558246</v>
      </c>
      <c r="H81" s="130" t="str">
        <f>IFERROR(IF(factura_c_mes2[[#This Row],[CUIT]]="","-",VLOOKUP(factura_c_mes2[[#This Row],[CUIT]],Lista_CUIT[#All],2,0)),"CUIT NO CARGADO")</f>
        <v>ANTONIO LUQUIN S A C I F E I</v>
      </c>
      <c r="I81" s="132">
        <v>20699</v>
      </c>
      <c r="J81" s="131" t="str">
        <f>IFERROR(IF(factura_c_mes2[[#This Row],[CUIT]]="","-",VLOOKUP(factura_c_mes2[[#This Row],[CUIT]],Lista_CUIT[#All],3,0)),"CUIT NO CARGADO")</f>
        <v>Mantenimiento</v>
      </c>
      <c r="K81" s="131">
        <f>IFERROR(IF(factura_c_mes2[[#This Row],[CUIT]]="","-",VLOOKUP(factura_c_mes2[[#This Row],[CUIT]],Lista_CUIT[#All],4,0)),"CUIT NO CARGADO")</f>
        <v>0</v>
      </c>
    </row>
    <row r="82" spans="2:18" x14ac:dyDescent="0.3">
      <c r="D82" s="50">
        <v>45049</v>
      </c>
      <c r="E82" s="128">
        <v>345</v>
      </c>
      <c r="F82" s="128">
        <v>332224</v>
      </c>
      <c r="G82" s="129">
        <v>30525558246</v>
      </c>
      <c r="H82" s="130" t="str">
        <f>IFERROR(IF(factura_c_mes2[[#This Row],[CUIT]]="","-",VLOOKUP(factura_c_mes2[[#This Row],[CUIT]],Lista_CUIT[#All],2,0)),"CUIT NO CARGADO")</f>
        <v>ANTONIO LUQUIN S A C I F E I</v>
      </c>
      <c r="I82" s="132">
        <v>20699</v>
      </c>
      <c r="J82" s="131" t="str">
        <f>IFERROR(IF(factura_c_mes2[[#This Row],[CUIT]]="","-",VLOOKUP(factura_c_mes2[[#This Row],[CUIT]],Lista_CUIT[#All],3,0)),"CUIT NO CARGADO")</f>
        <v>Mantenimiento</v>
      </c>
      <c r="K82" s="131">
        <f>IFERROR(IF(factura_c_mes2[[#This Row],[CUIT]]="","-",VLOOKUP(factura_c_mes2[[#This Row],[CUIT]],Lista_CUIT[#All],4,0)),"CUIT NO CARGADO")</f>
        <v>0</v>
      </c>
    </row>
    <row r="83" spans="2:18" x14ac:dyDescent="0.3">
      <c r="D83" s="50">
        <v>45062</v>
      </c>
      <c r="E83" s="128">
        <v>2</v>
      </c>
      <c r="F83" s="128">
        <v>2</v>
      </c>
      <c r="G83" s="129">
        <v>23326777269</v>
      </c>
      <c r="H83" s="130" t="str">
        <f>IFERROR(IF(factura_c_mes2[[#This Row],[CUIT]]="","-",VLOOKUP(factura_c_mes2[[#This Row],[CUIT]],Lista_CUIT[#All],2,0)),"CUIT NO CARGADO")</f>
        <v>DE BONIS IGNACIO LUIS</v>
      </c>
      <c r="I83" s="132">
        <v>-148935</v>
      </c>
      <c r="J83" s="131" t="str">
        <f>IFERROR(IF(factura_c_mes2[[#This Row],[CUIT]]="","-",VLOOKUP(factura_c_mes2[[#This Row],[CUIT]],Lista_CUIT[#All],3,0)),"CUIT NO CARGADO")</f>
        <v>Mantenimiento</v>
      </c>
      <c r="K83" s="131">
        <f>IFERROR(IF(factura_c_mes2[[#This Row],[CUIT]]="","-",VLOOKUP(factura_c_mes2[[#This Row],[CUIT]],Lista_CUIT[#All],4,0)),"CUIT NO CARGADO")</f>
        <v>0</v>
      </c>
    </row>
    <row r="84" spans="2:18" x14ac:dyDescent="0.3">
      <c r="D84" s="50">
        <v>45068</v>
      </c>
      <c r="E84" s="128">
        <v>1</v>
      </c>
      <c r="F84" s="128">
        <v>18</v>
      </c>
      <c r="G84" s="129">
        <v>20417805878</v>
      </c>
      <c r="H84" s="130" t="str">
        <f>IFERROR(IF(factura_c_mes2[[#This Row],[CUIT]]="","-",VLOOKUP(factura_c_mes2[[#This Row],[CUIT]],Lista_CUIT[#All],2,0)),"CUIT NO CARGADO")</f>
        <v>FERABOLI OSPAL SANTIAGO HERNAN</v>
      </c>
      <c r="I84" s="132">
        <v>128970</v>
      </c>
      <c r="J84" s="131" t="str">
        <f>IFERROR(IF(factura_c_mes2[[#This Row],[CUIT]]="","-",VLOOKUP(factura_c_mes2[[#This Row],[CUIT]],Lista_CUIT[#All],3,0)),"CUIT NO CARGADO")</f>
        <v>Mantenimiento</v>
      </c>
      <c r="K84" s="131">
        <f>IFERROR(IF(factura_c_mes2[[#This Row],[CUIT]]="","-",VLOOKUP(factura_c_mes2[[#This Row],[CUIT]],Lista_CUIT[#All],4,0)),"CUIT NO CARGADO")</f>
        <v>0</v>
      </c>
    </row>
    <row r="85" spans="2:18" x14ac:dyDescent="0.3">
      <c r="D85" s="50">
        <v>45068</v>
      </c>
      <c r="E85" s="128">
        <v>1</v>
      </c>
      <c r="F85" s="128">
        <v>99</v>
      </c>
      <c r="G85" s="129">
        <v>20341465134</v>
      </c>
      <c r="H85" s="130" t="str">
        <f>IFERROR(IF(factura_c_mes2[[#This Row],[CUIT]]="","-",VLOOKUP(factura_c_mes2[[#This Row],[CUIT]],Lista_CUIT[#All],2,0)),"CUIT NO CARGADO")</f>
        <v>ABELEDO AGUSTIN ENRIQUE</v>
      </c>
      <c r="I85" s="132">
        <v>340570</v>
      </c>
      <c r="J85" s="131" t="str">
        <f>IFERROR(IF(factura_c_mes2[[#This Row],[CUIT]]="","-",VLOOKUP(factura_c_mes2[[#This Row],[CUIT]],Lista_CUIT[#All],3,0)),"CUIT NO CARGADO")</f>
        <v>Mantenimiento</v>
      </c>
      <c r="K85" s="131" t="str">
        <f>IFERROR(IF(factura_c_mes2[[#This Row],[CUIT]]="","-",VLOOKUP(factura_c_mes2[[#This Row],[CUIT]],Lista_CUIT[#All],4,0)),"CUIT NO CARGADO")</f>
        <v>CABA</v>
      </c>
    </row>
    <row r="86" spans="2:18" x14ac:dyDescent="0.3">
      <c r="D86" s="50">
        <v>45047</v>
      </c>
      <c r="E86" s="128">
        <v>1</v>
      </c>
      <c r="F86" s="128">
        <v>23</v>
      </c>
      <c r="G86" s="129">
        <v>20365938688</v>
      </c>
      <c r="H86" s="130" t="str">
        <f>IFERROR(IF(factura_c_mes2[[#This Row],[CUIT]]="","-",VLOOKUP(factura_c_mes2[[#This Row],[CUIT]],Lista_CUIT[#All],2,0)),"CUIT NO CARGADO")</f>
        <v>LIPANOVICH JUAN CRUZ</v>
      </c>
      <c r="I86" s="132">
        <v>450000</v>
      </c>
      <c r="J86" s="131" t="str">
        <f>IFERROR(IF(factura_c_mes2[[#This Row],[CUIT]]="","-",VLOOKUP(factura_c_mes2[[#This Row],[CUIT]],Lista_CUIT[#All],3,0)),"CUIT NO CARGADO")</f>
        <v>SOFTWARE</v>
      </c>
      <c r="K86" s="131">
        <f>IFERROR(IF(factura_c_mes2[[#This Row],[CUIT]]="","-",VLOOKUP(factura_c_mes2[[#This Row],[CUIT]],Lista_CUIT[#All],4,0)),"CUIT NO CARGADO")</f>
        <v>0</v>
      </c>
    </row>
    <row r="87" spans="2:18" x14ac:dyDescent="0.3">
      <c r="D87" s="50">
        <v>45065</v>
      </c>
      <c r="E87" s="128">
        <v>2</v>
      </c>
      <c r="F87" s="128">
        <v>83</v>
      </c>
      <c r="G87" s="129">
        <v>20244271740</v>
      </c>
      <c r="H87" s="130" t="str">
        <f>IFERROR(IF(factura_c_mes2[[#This Row],[CUIT]]="","-",VLOOKUP(factura_c_mes2[[#This Row],[CUIT]],Lista_CUIT[#All],2,0)),"CUIT NO CARGADO")</f>
        <v>KENNEL SEBASTIAN</v>
      </c>
      <c r="I87" s="132">
        <v>378000</v>
      </c>
      <c r="J87" s="131" t="str">
        <f>IFERROR(IF(factura_c_mes2[[#This Row],[CUIT]]="","-",VLOOKUP(factura_c_mes2[[#This Row],[CUIT]],Lista_CUIT[#All],3,0)),"CUIT NO CARGADO")</f>
        <v>Software Mantenimiento</v>
      </c>
      <c r="K87" s="131">
        <f>IFERROR(IF(factura_c_mes2[[#This Row],[CUIT]]="","-",VLOOKUP(factura_c_mes2[[#This Row],[CUIT]],Lista_CUIT[#All],4,0)),"CUIT NO CARGADO")</f>
        <v>0</v>
      </c>
    </row>
    <row r="88" spans="2:18" x14ac:dyDescent="0.3">
      <c r="D88" s="55" t="s">
        <v>110</v>
      </c>
      <c r="E88" s="55"/>
      <c r="F88" s="55"/>
      <c r="G88" s="55"/>
      <c r="H88" s="57"/>
      <c r="I88" s="58">
        <f>SUBTOTAL(109,factura_c_mes2[TOTAL])</f>
        <v>4034703.98</v>
      </c>
      <c r="J88" s="55"/>
      <c r="K88" s="55"/>
    </row>
    <row r="89" spans="2:18" x14ac:dyDescent="0.3">
      <c r="B89" s="56"/>
      <c r="C89" s="56"/>
      <c r="G89" s="35"/>
      <c r="L89" s="56"/>
      <c r="M89" s="56"/>
      <c r="N89" s="56"/>
      <c r="O89" s="56"/>
      <c r="P89" s="56"/>
      <c r="Q89" s="56"/>
      <c r="R89" s="56"/>
    </row>
    <row r="94" spans="2:18" ht="25.8" x14ac:dyDescent="0.3">
      <c r="B94" s="430" t="s">
        <v>29</v>
      </c>
      <c r="C94" s="430"/>
      <c r="D94" s="430"/>
      <c r="E94" s="430"/>
      <c r="F94" s="430"/>
      <c r="G94" s="430"/>
      <c r="H94" s="430"/>
      <c r="I94" s="430"/>
      <c r="J94" s="430"/>
      <c r="K94" s="426">
        <f>N1</f>
        <v>45047</v>
      </c>
      <c r="L94" s="426"/>
      <c r="M94" s="426"/>
    </row>
    <row r="96" spans="2:18" ht="21" x14ac:dyDescent="0.3">
      <c r="B96" s="422" t="s">
        <v>30</v>
      </c>
      <c r="C96" s="422"/>
    </row>
    <row r="97" spans="2:13" ht="31.2" x14ac:dyDescent="0.3">
      <c r="B97" s="60" t="s">
        <v>0</v>
      </c>
      <c r="C97" s="61" t="s">
        <v>1</v>
      </c>
      <c r="D97" s="61" t="s">
        <v>21</v>
      </c>
      <c r="E97" s="61" t="s">
        <v>22</v>
      </c>
      <c r="F97" s="61" t="s">
        <v>3</v>
      </c>
      <c r="G97" s="61" t="s">
        <v>4</v>
      </c>
      <c r="H97" s="61" t="s">
        <v>23</v>
      </c>
      <c r="I97" s="61" t="s">
        <v>17</v>
      </c>
      <c r="J97" s="61" t="s">
        <v>7</v>
      </c>
      <c r="K97" s="61" t="s">
        <v>24</v>
      </c>
      <c r="L97" s="61" t="s">
        <v>10</v>
      </c>
      <c r="M97" s="62" t="s">
        <v>38</v>
      </c>
    </row>
    <row r="98" spans="2:13" x14ac:dyDescent="0.3">
      <c r="B98" s="40">
        <v>45050</v>
      </c>
      <c r="C98" s="41">
        <v>1</v>
      </c>
      <c r="D98" s="42">
        <v>3</v>
      </c>
      <c r="E98" s="43">
        <v>127</v>
      </c>
      <c r="F98" s="44">
        <v>30707462228</v>
      </c>
      <c r="G98" s="239" t="str">
        <f>IFERROR(IF(venta_a_mes2[[#This Row],[CUIT]]="","-",VLOOKUP(venta_a_mes2[[#This Row],[CUIT]],Lista_CUIT[#All],2,0)),"CUIT NO CARGADO")</f>
        <v>BRAIN S.A.</v>
      </c>
      <c r="H98" s="100">
        <v>22520</v>
      </c>
      <c r="I98" s="101">
        <f>venta_a_mes2[[#This Row],[IMPORTE NETO]]*0.21</f>
        <v>4729.2</v>
      </c>
      <c r="J98" s="65"/>
      <c r="K98" s="65"/>
      <c r="L98" s="65">
        <f>SUM(venta_a_mes2[[#This Row],[IMPORTE NETO]:[EXENTO]])</f>
        <v>27249.200000000001</v>
      </c>
      <c r="M98" s="59"/>
    </row>
    <row r="99" spans="2:13" x14ac:dyDescent="0.3">
      <c r="B99" s="40">
        <v>45055</v>
      </c>
      <c r="C99" s="41">
        <v>1</v>
      </c>
      <c r="D99" s="42">
        <v>3</v>
      </c>
      <c r="E99" s="43">
        <v>128</v>
      </c>
      <c r="F99" s="44">
        <v>30628274327</v>
      </c>
      <c r="G99" s="239" t="str">
        <f>IFERROR(IF(venta_a_mes2[[#This Row],[CUIT]]="","-",VLOOKUP(venta_a_mes2[[#This Row],[CUIT]],Lista_CUIT[#All],2,0)),"CUIT NO CARGADO")</f>
        <v>AGIRA  S A</v>
      </c>
      <c r="H99" s="100">
        <v>5087977.5</v>
      </c>
      <c r="I99" s="101"/>
      <c r="J99" s="65">
        <v>534237.63750000007</v>
      </c>
      <c r="K99" s="65"/>
      <c r="L99" s="65">
        <f>SUM(venta_a_mes2[[#This Row],[IMPORTE NETO]:[EXENTO]])</f>
        <v>5622215.1375000002</v>
      </c>
      <c r="M99" s="59"/>
    </row>
    <row r="100" spans="2:13" x14ac:dyDescent="0.3">
      <c r="B100" s="40">
        <v>45063</v>
      </c>
      <c r="C100" s="41">
        <v>1</v>
      </c>
      <c r="D100" s="42">
        <v>3</v>
      </c>
      <c r="E100" s="43">
        <v>129</v>
      </c>
      <c r="F100" s="44">
        <v>30673387027</v>
      </c>
      <c r="G100" s="239" t="str">
        <f>IFERROR(IF(venta_a_mes2[[#This Row],[CUIT]]="","-",VLOOKUP(venta_a_mes2[[#This Row],[CUIT]],Lista_CUIT[#All],2,0)),"CUIT NO CARGADO")</f>
        <v>JURO S A</v>
      </c>
      <c r="H100" s="100">
        <v>5098600</v>
      </c>
      <c r="I100" s="101"/>
      <c r="J100" s="65">
        <v>535353</v>
      </c>
      <c r="K100" s="65"/>
      <c r="L100" s="65">
        <f>SUM(venta_a_mes2[[#This Row],[IMPORTE NETO]:[EXENTO]])</f>
        <v>5633953</v>
      </c>
      <c r="M100" s="59"/>
    </row>
    <row r="101" spans="2:13" x14ac:dyDescent="0.3">
      <c r="B101" s="109">
        <v>45063</v>
      </c>
      <c r="C101" s="110">
        <v>1</v>
      </c>
      <c r="D101" s="111">
        <v>3</v>
      </c>
      <c r="E101" s="112">
        <v>130</v>
      </c>
      <c r="F101" s="113">
        <v>30716244330</v>
      </c>
      <c r="G101" s="239" t="str">
        <f>IFERROR(IF(venta_a_mes2[[#This Row],[CUIT]]="","-",VLOOKUP(venta_a_mes2[[#This Row],[CUIT]],Lista_CUIT[#All],2,0)),"CUIT NO CARGADO")</f>
        <v>VULPIANI S.A.</v>
      </c>
      <c r="H101" s="100">
        <v>42087.5</v>
      </c>
      <c r="I101" s="101">
        <f>venta_a_mes2[[#This Row],[IMPORTE NETO]]*0.21</f>
        <v>8838.375</v>
      </c>
      <c r="J101" s="65"/>
      <c r="K101" s="65"/>
      <c r="L101" s="65">
        <f>SUM(venta_a_mes2[[#This Row],[IMPORTE NETO]:[EXENTO]])</f>
        <v>50925.875</v>
      </c>
      <c r="M101" s="59"/>
    </row>
    <row r="102" spans="2:13" x14ac:dyDescent="0.3">
      <c r="B102" s="109">
        <v>45064</v>
      </c>
      <c r="C102" s="110">
        <v>1</v>
      </c>
      <c r="D102" s="111">
        <v>3</v>
      </c>
      <c r="E102" s="112">
        <v>131</v>
      </c>
      <c r="F102" s="113">
        <v>30638318470</v>
      </c>
      <c r="G102" s="239" t="str">
        <f>IFERROR(IF(venta_a_mes2[[#This Row],[CUIT]]="","-",VLOOKUP(venta_a_mes2[[#This Row],[CUIT]],Lista_CUIT[#All],2,0)),"CUIT NO CARGADO")</f>
        <v>DELTA COMPRESION S R L</v>
      </c>
      <c r="H102" s="100">
        <v>678039.55</v>
      </c>
      <c r="I102" s="101">
        <f>venta_a_mes2[[#This Row],[IMPORTE NETO]]*0.21</f>
        <v>142388.30550000002</v>
      </c>
      <c r="J102" s="65"/>
      <c r="K102" s="65"/>
      <c r="L102" s="65">
        <f>SUM(venta_a_mes2[[#This Row],[IMPORTE NETO]:[EXENTO]])</f>
        <v>820427.85550000006</v>
      </c>
      <c r="M102" s="59"/>
    </row>
    <row r="103" spans="2:13" x14ac:dyDescent="0.3">
      <c r="B103" s="109">
        <v>45065</v>
      </c>
      <c r="C103" s="110">
        <v>1</v>
      </c>
      <c r="D103" s="111">
        <v>3</v>
      </c>
      <c r="E103" s="112">
        <v>132</v>
      </c>
      <c r="F103" s="113">
        <v>30628274327</v>
      </c>
      <c r="G103" s="239" t="str">
        <f>IFERROR(IF(venta_a_mes2[[#This Row],[CUIT]]="","-",VLOOKUP(venta_a_mes2[[#This Row],[CUIT]],Lista_CUIT[#All],2,0)),"CUIT NO CARGADO")</f>
        <v>AGIRA  S A</v>
      </c>
      <c r="H103" s="100">
        <v>5786775</v>
      </c>
      <c r="I103" s="101"/>
      <c r="J103" s="65">
        <v>607611.38</v>
      </c>
      <c r="K103" s="65"/>
      <c r="L103" s="65">
        <f>SUM(venta_a_mes2[[#This Row],[IMPORTE NETO]:[EXENTO]])</f>
        <v>6394386.3799999999</v>
      </c>
      <c r="M103" s="59"/>
    </row>
    <row r="104" spans="2:13" x14ac:dyDescent="0.3">
      <c r="B104" s="109">
        <v>45070</v>
      </c>
      <c r="C104" s="110">
        <v>1</v>
      </c>
      <c r="D104" s="111">
        <v>3</v>
      </c>
      <c r="E104" s="112">
        <v>133</v>
      </c>
      <c r="F104" s="113">
        <v>33717088269</v>
      </c>
      <c r="G104" s="239" t="str">
        <f>IFERROR(IF(venta_a_mes2[[#This Row],[CUIT]]="","-",VLOOKUP(venta_a_mes2[[#This Row],[CUIT]],Lista_CUIT[#All],2,0)),"CUIT NO CARGADO")</f>
        <v>NEXT SERVICE GNC S.R.L.</v>
      </c>
      <c r="H104" s="100">
        <v>343640</v>
      </c>
      <c r="I104" s="101">
        <f>venta_a_mes2[[#This Row],[IMPORTE NETO]]*0.21</f>
        <v>72164.399999999994</v>
      </c>
      <c r="J104" s="65"/>
      <c r="K104" s="65"/>
      <c r="L104" s="65">
        <f>SUM(venta_a_mes2[[#This Row],[IMPORTE NETO]:[EXENTO]])</f>
        <v>415804.4</v>
      </c>
      <c r="M104" s="59"/>
    </row>
    <row r="105" spans="2:13" x14ac:dyDescent="0.3">
      <c r="B105" s="109">
        <v>45076</v>
      </c>
      <c r="C105" s="110">
        <v>1</v>
      </c>
      <c r="D105" s="111">
        <v>3</v>
      </c>
      <c r="E105" s="112">
        <v>134</v>
      </c>
      <c r="F105" s="113">
        <v>30716041596</v>
      </c>
      <c r="G105" s="239" t="str">
        <f>IFERROR(IF(venta_a_mes2[[#This Row],[CUIT]]="","-",VLOOKUP(venta_a_mes2[[#This Row],[CUIT]],Lista_CUIT[#All],2,0)),"CUIT NO CARGADO")</f>
        <v>EXA COMPRESION S.R.L.</v>
      </c>
      <c r="H105" s="100">
        <v>1219840</v>
      </c>
      <c r="I105" s="101">
        <f>venta_a_mes2[[#This Row],[IMPORTE NETO]]*0.21</f>
        <v>256166.39999999999</v>
      </c>
      <c r="J105" s="65"/>
      <c r="K105" s="65"/>
      <c r="L105" s="65">
        <f>SUM(venta_a_mes2[[#This Row],[IMPORTE NETO]:[EXENTO]])</f>
        <v>1476006.4</v>
      </c>
      <c r="M105" s="59"/>
    </row>
    <row r="106" spans="2:13" x14ac:dyDescent="0.3">
      <c r="B106" s="109">
        <v>45065</v>
      </c>
      <c r="C106" s="110">
        <v>3</v>
      </c>
      <c r="D106" s="111">
        <v>3</v>
      </c>
      <c r="E106" s="112">
        <v>17</v>
      </c>
      <c r="F106" s="113">
        <v>30628274327</v>
      </c>
      <c r="G106" s="239" t="str">
        <f>IFERROR(IF(venta_a_mes2[[#This Row],[CUIT]]="","-",VLOOKUP(venta_a_mes2[[#This Row],[CUIT]],Lista_CUIT[#All],2,0)),"CUIT NO CARGADO")</f>
        <v>AGIRA  S A</v>
      </c>
      <c r="H106" s="100">
        <v>-5087977.5</v>
      </c>
      <c r="I106" s="101"/>
      <c r="J106" s="65">
        <v>-534237.63750000007</v>
      </c>
      <c r="K106" s="65"/>
      <c r="L106" s="65">
        <f>SUM(venta_a_mes2[[#This Row],[IMPORTE NETO]:[EXENTO]])</f>
        <v>-5622215.1375000002</v>
      </c>
      <c r="M106" s="59"/>
    </row>
    <row r="107" spans="2:13" x14ac:dyDescent="0.3">
      <c r="B107" s="109"/>
      <c r="C107" s="110"/>
      <c r="D107" s="111"/>
      <c r="E107" s="112"/>
      <c r="F107" s="113"/>
      <c r="G107" s="99" t="str">
        <f>IFERROR(IF(venta_a_mes2[[#This Row],[CUIT]]="","-",VLOOKUP(venta_a_mes2[[#This Row],[CUIT]],Lista_CUIT[#All],2,0)),"CUIT NO CARGADO")</f>
        <v>-</v>
      </c>
      <c r="H107" s="100"/>
      <c r="I107" s="101">
        <f>venta_a_mes2[[#This Row],[IMPORTE NETO]]*0.21</f>
        <v>0</v>
      </c>
      <c r="J107" s="65"/>
      <c r="K107" s="65"/>
      <c r="L107" s="65">
        <f>SUM(venta_a_mes2[[#This Row],[IMPORTE NETO]:[EXENTO]])</f>
        <v>0</v>
      </c>
      <c r="M107" s="59"/>
    </row>
    <row r="108" spans="2:13" x14ac:dyDescent="0.3">
      <c r="B108" s="250" t="s">
        <v>110</v>
      </c>
      <c r="C108" s="251"/>
      <c r="D108" s="251"/>
      <c r="E108" s="251"/>
      <c r="F108" s="251"/>
      <c r="G108" s="251"/>
      <c r="H108" s="255">
        <f>SUBTOTAL(109,venta_a_mes2[IMPORTE NETO])</f>
        <v>13191502.050000001</v>
      </c>
      <c r="I108" s="255">
        <f>SUBTOTAL(109,venta_a_mes2[IVA 21%])</f>
        <v>484286.68050000002</v>
      </c>
      <c r="J108" s="255">
        <f>SUBTOTAL(109,venta_a_mes2[IVA 10,5%])</f>
        <v>1142964.3799999999</v>
      </c>
      <c r="K108" s="255">
        <f>SUBTOTAL(109,venta_a_mes2[EXENTO])</f>
        <v>0</v>
      </c>
      <c r="L108" s="255">
        <f>SUBTOTAL(109,venta_a_mes2[TOTAL])</f>
        <v>14818753.110499997</v>
      </c>
      <c r="M108" s="254"/>
    </row>
    <row r="109" spans="2:13" x14ac:dyDescent="0.3">
      <c r="B109" s="256"/>
      <c r="C109" s="256"/>
      <c r="D109" s="256"/>
      <c r="E109" s="256"/>
      <c r="F109" s="256"/>
      <c r="G109" s="256"/>
      <c r="H109" s="260"/>
      <c r="I109" s="261"/>
      <c r="J109" s="262"/>
      <c r="K109" s="262"/>
      <c r="L109" s="262"/>
      <c r="M109" s="259"/>
    </row>
    <row r="110" spans="2:13" x14ac:dyDescent="0.3">
      <c r="B110" s="256"/>
      <c r="C110" s="256"/>
      <c r="D110" s="256"/>
      <c r="E110" s="256"/>
      <c r="F110" s="256"/>
      <c r="G110" s="256"/>
      <c r="H110" s="260"/>
      <c r="I110" s="261"/>
      <c r="J110" s="262"/>
      <c r="K110" s="262"/>
      <c r="L110" s="262"/>
      <c r="M110" s="259"/>
    </row>
    <row r="111" spans="2:13" x14ac:dyDescent="0.3">
      <c r="B111" s="256"/>
      <c r="C111" s="256"/>
      <c r="D111" s="256"/>
      <c r="E111" s="256"/>
      <c r="F111" s="256"/>
      <c r="G111" s="256"/>
      <c r="H111" s="260"/>
      <c r="I111" s="261"/>
      <c r="J111" s="262"/>
      <c r="K111" s="262"/>
      <c r="L111" s="262"/>
      <c r="M111" s="259"/>
    </row>
    <row r="112" spans="2:13" x14ac:dyDescent="0.3">
      <c r="B112" s="256"/>
      <c r="C112" s="256"/>
      <c r="D112" s="256"/>
      <c r="E112" s="256"/>
      <c r="F112" s="256"/>
      <c r="G112" s="256"/>
      <c r="H112" s="260"/>
      <c r="I112" s="261"/>
      <c r="J112" s="262"/>
      <c r="K112" s="262"/>
      <c r="L112" s="262"/>
      <c r="M112" s="259"/>
    </row>
    <row r="113" spans="2:13" ht="21" x14ac:dyDescent="0.3">
      <c r="B113" s="422" t="s">
        <v>31</v>
      </c>
      <c r="C113" s="422"/>
    </row>
    <row r="114" spans="2:13" ht="31.2" x14ac:dyDescent="0.3">
      <c r="B114" s="60" t="s">
        <v>0</v>
      </c>
      <c r="C114" s="61" t="s">
        <v>1</v>
      </c>
      <c r="D114" s="61" t="s">
        <v>21</v>
      </c>
      <c r="E114" s="61" t="s">
        <v>22</v>
      </c>
      <c r="F114" s="61" t="s">
        <v>3</v>
      </c>
      <c r="G114" s="61" t="s">
        <v>4</v>
      </c>
      <c r="H114" s="61" t="s">
        <v>23</v>
      </c>
      <c r="I114" s="61" t="s">
        <v>17</v>
      </c>
      <c r="J114" s="61" t="s">
        <v>7</v>
      </c>
      <c r="K114" s="61" t="s">
        <v>24</v>
      </c>
      <c r="L114" s="61" t="s">
        <v>10</v>
      </c>
      <c r="M114" s="62" t="s">
        <v>38</v>
      </c>
    </row>
    <row r="115" spans="2:13" x14ac:dyDescent="0.3">
      <c r="B115" s="40">
        <v>45068</v>
      </c>
      <c r="C115" s="41">
        <v>6</v>
      </c>
      <c r="D115" s="42">
        <v>3</v>
      </c>
      <c r="E115" s="43">
        <v>3</v>
      </c>
      <c r="F115" s="113"/>
      <c r="G115" s="1" t="str">
        <f>IFERROR(IF(ventas_b_mes252[[#This Row],[CUIT]]="","-",VLOOKUP(ventas_b_mes252[[#This Row],[CUIT]],Lista_CUIT[#All],2,0)),"CUIT NO CARGADO")</f>
        <v>-</v>
      </c>
      <c r="H115" s="64">
        <v>95427.5</v>
      </c>
      <c r="I115" s="64">
        <f>ventas_b_mes252[[#This Row],[IMPORTE NETO]]*0.21</f>
        <v>20039.774999999998</v>
      </c>
      <c r="J115" s="64"/>
      <c r="K115" s="64"/>
      <c r="L115" s="64">
        <f>ventas_b_mes252[[#This Row],[EXENTO]]+ventas_b_mes252[[#This Row],[IVA 10,5%]]+ventas_b_mes252[[#This Row],[IVA 21%]]+ventas_b_mes252[[#This Row],[IMPORTE NETO]]</f>
        <v>115467.27499999999</v>
      </c>
      <c r="M115" s="59"/>
    </row>
    <row r="116" spans="2:13" x14ac:dyDescent="0.3">
      <c r="B116" s="40">
        <v>45068</v>
      </c>
      <c r="C116" s="41">
        <v>6</v>
      </c>
      <c r="D116" s="42">
        <v>3</v>
      </c>
      <c r="E116" s="43">
        <v>5</v>
      </c>
      <c r="F116" s="113"/>
      <c r="G116" s="1" t="str">
        <f>IFERROR(IF(ventas_b_mes252[[#This Row],[CUIT]]="","-",VLOOKUP(ventas_b_mes252[[#This Row],[CUIT]],Lista_CUIT[#All],2,0)),"CUIT NO CARGADO")</f>
        <v>-</v>
      </c>
      <c r="H116" s="64">
        <v>95427.5</v>
      </c>
      <c r="I116" s="64">
        <f>ventas_b_mes252[[#This Row],[IMPORTE NETO]]*0.21</f>
        <v>20039.774999999998</v>
      </c>
      <c r="J116" s="64"/>
      <c r="K116" s="64"/>
      <c r="L116" s="64">
        <f>ventas_b_mes252[[#This Row],[EXENTO]]+ventas_b_mes252[[#This Row],[IVA 10,5%]]+ventas_b_mes252[[#This Row],[IVA 21%]]+ventas_b_mes252[[#This Row],[IMPORTE NETO]]</f>
        <v>115467.27499999999</v>
      </c>
      <c r="M116" s="59"/>
    </row>
    <row r="117" spans="2:13" x14ac:dyDescent="0.3">
      <c r="B117" s="133">
        <v>45068</v>
      </c>
      <c r="C117" s="134">
        <v>6</v>
      </c>
      <c r="D117" s="135">
        <v>3</v>
      </c>
      <c r="E117" s="136">
        <v>4</v>
      </c>
      <c r="F117" s="113"/>
      <c r="G117" s="1" t="str">
        <f>IFERROR(IF(ventas_b_mes252[[#This Row],[CUIT]]="","-",VLOOKUP(ventas_b_mes252[[#This Row],[CUIT]],Lista_CUIT[#All],2,0)),"CUIT NO CARGADO")</f>
        <v>-</v>
      </c>
      <c r="H117" s="64">
        <v>95427.5</v>
      </c>
      <c r="I117" s="137">
        <f>ventas_b_mes252[[#This Row],[IMPORTE NETO]]*0.21</f>
        <v>20039.774999999998</v>
      </c>
      <c r="J117" s="138"/>
      <c r="K117" s="138"/>
      <c r="L117" s="64">
        <f>ventas_b_mes252[[#This Row],[EXENTO]]+ventas_b_mes252[[#This Row],[IVA 10,5%]]+ventas_b_mes252[[#This Row],[IVA 21%]]+ventas_b_mes252[[#This Row],[IMPORTE NETO]]</f>
        <v>115467.27499999999</v>
      </c>
      <c r="M117" s="59"/>
    </row>
    <row r="118" spans="2:13" x14ac:dyDescent="0.3">
      <c r="B118" s="263">
        <v>45068</v>
      </c>
      <c r="C118" s="264">
        <v>8</v>
      </c>
      <c r="D118" s="265">
        <v>3</v>
      </c>
      <c r="E118" s="266">
        <v>2</v>
      </c>
      <c r="F118" s="267"/>
      <c r="G118" s="268" t="str">
        <f>IFERROR(IF(ventas_b_mes252[[#This Row],[CUIT]]="","-",VLOOKUP(ventas_b_mes252[[#This Row],[CUIT]],Lista_CUIT[#All],2,0)),"CUIT NO CARGADO")</f>
        <v>-</v>
      </c>
      <c r="H118" s="269">
        <v>-95427.5</v>
      </c>
      <c r="I118" s="270">
        <f>ventas_b_mes252[[#This Row],[IMPORTE NETO]]*0.21</f>
        <v>-20039.774999999998</v>
      </c>
      <c r="J118" s="271"/>
      <c r="K118" s="272"/>
      <c r="L118" s="64">
        <f>ventas_b_mes252[[#This Row],[EXENTO]]+ventas_b_mes252[[#This Row],[IVA 10,5%]]+ventas_b_mes252[[#This Row],[IVA 21%]]+ventas_b_mes252[[#This Row],[IMPORTE NETO]]</f>
        <v>-115467.27499999999</v>
      </c>
      <c r="M118" s="273"/>
    </row>
    <row r="119" spans="2:13" x14ac:dyDescent="0.3">
      <c r="B119" s="263">
        <v>45068</v>
      </c>
      <c r="C119" s="264">
        <v>8</v>
      </c>
      <c r="D119" s="265">
        <v>3</v>
      </c>
      <c r="E119" s="266">
        <v>1</v>
      </c>
      <c r="F119" s="267"/>
      <c r="G119" s="268" t="str">
        <f>IFERROR(IF(ventas_b_mes252[[#This Row],[CUIT]]="","-",VLOOKUP(ventas_b_mes252[[#This Row],[CUIT]],Lista_CUIT[#All],2,0)),"CUIT NO CARGADO")</f>
        <v>-</v>
      </c>
      <c r="H119" s="269">
        <v>-95427.5</v>
      </c>
      <c r="I119" s="270">
        <f>ventas_b_mes252[[#This Row],[IMPORTE NETO]]*0.21</f>
        <v>-20039.774999999998</v>
      </c>
      <c r="J119" s="271"/>
      <c r="K119" s="272"/>
      <c r="L119" s="64">
        <f>ventas_b_mes252[[#This Row],[EXENTO]]+ventas_b_mes252[[#This Row],[IVA 10,5%]]+ventas_b_mes252[[#This Row],[IVA 21%]]+ventas_b_mes252[[#This Row],[IMPORTE NETO]]</f>
        <v>-115467.27499999999</v>
      </c>
      <c r="M119" s="273"/>
    </row>
    <row r="120" spans="2:13" x14ac:dyDescent="0.3">
      <c r="B120" s="250" t="s">
        <v>110</v>
      </c>
      <c r="C120" s="251"/>
      <c r="D120" s="251"/>
      <c r="E120" s="251"/>
      <c r="F120" s="251"/>
      <c r="G120" s="251"/>
      <c r="H120" s="252">
        <f>SUBTOTAL(109,ventas_b_mes252[IMPORTE NETO])</f>
        <v>95427.5</v>
      </c>
      <c r="I120" s="252">
        <f>SUBTOTAL(109,ventas_b_mes252[IVA 21%])</f>
        <v>20039.775000000005</v>
      </c>
      <c r="J120" s="253">
        <f>SUBTOTAL(109,ventas_b_mes252[IVA 10,5%])</f>
        <v>0</v>
      </c>
      <c r="K120" s="253">
        <f>SUBTOTAL(109,ventas_b_mes252[EXENTO])</f>
        <v>0</v>
      </c>
      <c r="L120" s="253">
        <f>SUBTOTAL(109,ventas_b_mes252[TOTAL])</f>
        <v>115467.27499999997</v>
      </c>
      <c r="M120" s="254">
        <f>SUBTOTAL(103,ventas_b_mes252[Provincia])</f>
        <v>0</v>
      </c>
    </row>
    <row r="121" spans="2:13" x14ac:dyDescent="0.3">
      <c r="B121" s="256"/>
      <c r="C121" s="256"/>
      <c r="D121" s="256"/>
      <c r="E121" s="256"/>
      <c r="F121" s="256"/>
      <c r="G121" s="256"/>
      <c r="H121" s="260"/>
      <c r="I121" s="261"/>
      <c r="J121" s="262"/>
      <c r="K121" s="262"/>
      <c r="L121" s="262"/>
      <c r="M121" s="259"/>
    </row>
    <row r="122" spans="2:13" x14ac:dyDescent="0.3">
      <c r="B122" s="166"/>
      <c r="C122" s="166"/>
      <c r="D122" s="166"/>
      <c r="E122" s="166"/>
      <c r="F122" s="166"/>
      <c r="G122" s="166"/>
      <c r="H122" s="167"/>
      <c r="I122" s="168"/>
      <c r="J122" s="169"/>
      <c r="K122" s="169"/>
      <c r="L122" s="169"/>
      <c r="M122" s="170"/>
    </row>
    <row r="123" spans="2:13" ht="21" x14ac:dyDescent="0.3">
      <c r="B123" s="422" t="s">
        <v>1129</v>
      </c>
      <c r="C123" s="422"/>
    </row>
    <row r="124" spans="2:13" ht="31.2" x14ac:dyDescent="0.3">
      <c r="B124" s="60" t="s">
        <v>0</v>
      </c>
      <c r="C124" s="61" t="s">
        <v>1</v>
      </c>
      <c r="D124" s="61" t="s">
        <v>21</v>
      </c>
      <c r="E124" s="61" t="s">
        <v>22</v>
      </c>
      <c r="F124" s="61" t="s">
        <v>3</v>
      </c>
      <c r="G124" s="61" t="s">
        <v>4</v>
      </c>
      <c r="H124" s="61" t="s">
        <v>23</v>
      </c>
      <c r="I124" s="61" t="s">
        <v>17</v>
      </c>
      <c r="J124" s="61" t="s">
        <v>7</v>
      </c>
      <c r="K124" s="61" t="s">
        <v>24</v>
      </c>
      <c r="L124" s="61" t="s">
        <v>10</v>
      </c>
      <c r="M124" s="62" t="s">
        <v>38</v>
      </c>
    </row>
    <row r="125" spans="2:13" x14ac:dyDescent="0.3">
      <c r="B125" s="40">
        <v>45069</v>
      </c>
      <c r="C125" s="41">
        <v>6</v>
      </c>
      <c r="D125" s="42">
        <v>30</v>
      </c>
      <c r="E125" s="43">
        <v>64</v>
      </c>
      <c r="F125" s="44">
        <v>55000002223</v>
      </c>
      <c r="G125" s="1" t="str">
        <f>IFERROR(IF(ventas_b_mes2[[#This Row],[CUIT]]="","-",VLOOKUP(ventas_b_mes2[[#This Row],[CUIT]],Lista_CUIT[#All],2,0)),"CUIT NO CARGADO")</f>
        <v>Solution Supply SAC</v>
      </c>
      <c r="H125" s="64"/>
      <c r="I125" s="64"/>
      <c r="J125" s="64"/>
      <c r="K125" s="64">
        <v>2984681.6</v>
      </c>
      <c r="L125" s="64">
        <f>ventas_b_mes2[[#This Row],[EXENTO]]</f>
        <v>2984681.6</v>
      </c>
      <c r="M125" s="59"/>
    </row>
    <row r="126" spans="2:13" x14ac:dyDescent="0.3">
      <c r="B126" s="40">
        <v>45069</v>
      </c>
      <c r="C126" s="41">
        <v>8</v>
      </c>
      <c r="D126" s="42">
        <v>30</v>
      </c>
      <c r="E126" s="43">
        <v>16</v>
      </c>
      <c r="F126" s="44">
        <v>55000002223</v>
      </c>
      <c r="G126" s="1" t="str">
        <f>IFERROR(IF(ventas_b_mes2[[#This Row],[CUIT]]="","-",VLOOKUP(ventas_b_mes2[[#This Row],[CUIT]],Lista_CUIT[#All],2,0)),"CUIT NO CARGADO")</f>
        <v>Solution Supply SAC</v>
      </c>
      <c r="H126" s="64"/>
      <c r="I126" s="64"/>
      <c r="J126" s="64"/>
      <c r="K126" s="64">
        <v>-2984681.6</v>
      </c>
      <c r="L126" s="64">
        <f>ventas_b_mes2[[#This Row],[EXENTO]]</f>
        <v>-2984681.6</v>
      </c>
      <c r="M126" s="59"/>
    </row>
    <row r="127" spans="2:13" x14ac:dyDescent="0.3">
      <c r="B127" s="133">
        <v>45069</v>
      </c>
      <c r="C127" s="134">
        <v>6</v>
      </c>
      <c r="D127" s="135">
        <v>30</v>
      </c>
      <c r="E127" s="136">
        <v>65</v>
      </c>
      <c r="F127" s="44">
        <v>55000002223</v>
      </c>
      <c r="G127" s="1" t="str">
        <f>IFERROR(IF(ventas_b_mes2[[#This Row],[CUIT]]="","-",VLOOKUP(ventas_b_mes2[[#This Row],[CUIT]],Lista_CUIT[#All],2,0)),"CUIT NO CARGADO")</f>
        <v>Solution Supply SAC</v>
      </c>
      <c r="H127" s="64"/>
      <c r="I127" s="137"/>
      <c r="J127" s="138"/>
      <c r="K127" s="138">
        <v>2984681.6</v>
      </c>
      <c r="L127" s="138">
        <f>ventas_b_mes2[[#This Row],[EXENTO]]</f>
        <v>2984681.6</v>
      </c>
      <c r="M127" s="59"/>
    </row>
    <row r="128" spans="2:13" x14ac:dyDescent="0.3">
      <c r="B128" s="250" t="s">
        <v>110</v>
      </c>
      <c r="C128" s="251"/>
      <c r="D128" s="251"/>
      <c r="E128" s="251"/>
      <c r="F128" s="251"/>
      <c r="G128" s="251"/>
      <c r="H128" s="252">
        <f>SUBTOTAL(109,ventas_b_mes2[IMPORTE NETO])</f>
        <v>0</v>
      </c>
      <c r="I128" s="252">
        <f>SUBTOTAL(109,ventas_b_mes2[IVA 21%])</f>
        <v>0</v>
      </c>
      <c r="J128" s="253">
        <f>SUBTOTAL(109,ventas_b_mes2[IVA 10,5%])</f>
        <v>0</v>
      </c>
      <c r="K128" s="253">
        <f>SUBTOTAL(109,ventas_b_mes2[EXENTO])</f>
        <v>2984681.6</v>
      </c>
      <c r="L128" s="253">
        <f>SUM(L125:L126)</f>
        <v>0</v>
      </c>
      <c r="M128" s="254">
        <f>SUBTOTAL(103,ventas_b_mes2[Provincia])</f>
        <v>0</v>
      </c>
    </row>
    <row r="129" spans="2:13" x14ac:dyDescent="0.3">
      <c r="B129" s="256"/>
      <c r="C129" s="256"/>
      <c r="D129" s="256"/>
      <c r="E129" s="256"/>
      <c r="F129" s="256"/>
      <c r="G129" s="256"/>
      <c r="H129" s="257"/>
      <c r="I129" s="257"/>
      <c r="J129" s="258"/>
      <c r="K129" s="258"/>
      <c r="L129" s="258"/>
      <c r="M129" s="259"/>
    </row>
    <row r="130" spans="2:13" x14ac:dyDescent="0.3">
      <c r="B130" s="256"/>
      <c r="C130" s="256"/>
      <c r="D130" s="256"/>
      <c r="E130" s="256"/>
      <c r="F130" s="256"/>
      <c r="G130" s="256"/>
      <c r="H130" s="257"/>
      <c r="I130" s="257"/>
      <c r="J130" s="258"/>
      <c r="K130" s="258"/>
      <c r="L130" s="258"/>
      <c r="M130" s="259"/>
    </row>
    <row r="131" spans="2:13" x14ac:dyDescent="0.3">
      <c r="B131" s="256"/>
      <c r="C131" s="256"/>
      <c r="D131" s="256"/>
      <c r="E131" s="256"/>
      <c r="F131" s="256"/>
      <c r="G131" s="256"/>
      <c r="H131" s="257"/>
      <c r="I131" s="257"/>
      <c r="J131" s="258"/>
      <c r="K131" s="258"/>
      <c r="L131" s="258"/>
      <c r="M131" s="259"/>
    </row>
    <row r="132" spans="2:13" x14ac:dyDescent="0.3">
      <c r="B132" s="256"/>
      <c r="C132" s="256"/>
      <c r="D132" s="256"/>
      <c r="E132" s="256"/>
      <c r="F132" s="256"/>
      <c r="G132" s="256"/>
      <c r="H132" s="257"/>
      <c r="I132" s="257"/>
      <c r="J132" s="258"/>
      <c r="K132" s="258"/>
      <c r="L132" s="258"/>
      <c r="M132" s="259"/>
    </row>
    <row r="133" spans="2:13" ht="15" thickBot="1" x14ac:dyDescent="0.35">
      <c r="B133" s="166"/>
      <c r="C133" s="166"/>
      <c r="D133" s="166"/>
      <c r="E133" s="166"/>
      <c r="F133" s="166"/>
      <c r="G133" s="166"/>
      <c r="H133" s="171"/>
      <c r="I133" s="171"/>
      <c r="J133" s="172"/>
      <c r="K133" s="172"/>
      <c r="L133" s="172"/>
      <c r="M133" s="170"/>
    </row>
    <row r="134" spans="2:13" ht="15" thickTop="1" x14ac:dyDescent="0.3">
      <c r="C134" s="433" t="s">
        <v>66</v>
      </c>
      <c r="D134" s="433"/>
      <c r="E134" s="433"/>
      <c r="F134" s="433"/>
      <c r="G134" s="433"/>
      <c r="H134" s="32"/>
      <c r="I134" s="32"/>
      <c r="J134" s="32"/>
    </row>
    <row r="135" spans="2:13" ht="15.6" x14ac:dyDescent="0.3">
      <c r="C135" s="114" t="s">
        <v>67</v>
      </c>
      <c r="D135" s="115" t="s">
        <v>68</v>
      </c>
      <c r="E135" s="115" t="s">
        <v>112</v>
      </c>
      <c r="F135" s="115" t="s">
        <v>3</v>
      </c>
      <c r="G135" s="115" t="s">
        <v>4</v>
      </c>
      <c r="H135" s="116" t="s">
        <v>69</v>
      </c>
      <c r="I135" s="116" t="s">
        <v>70</v>
      </c>
      <c r="J135" s="116" t="s">
        <v>71</v>
      </c>
      <c r="K135" s="116" t="s">
        <v>72</v>
      </c>
      <c r="L135" s="116" t="s">
        <v>73</v>
      </c>
    </row>
    <row r="136" spans="2:13" x14ac:dyDescent="0.3">
      <c r="C136" s="117"/>
      <c r="D136" s="118"/>
      <c r="E136" s="118"/>
      <c r="F136" s="119"/>
      <c r="G136" s="53" t="str">
        <f>IFERROR(IF(Retenciones_mes2[[#This Row],[CUIT]]="","-",VLOOKUP(Retenciones_mes2[[#This Row],[CUIT]],Lista_CUIT[#All],2,0)),"CUIT NO CARGADO")</f>
        <v>-</v>
      </c>
      <c r="H136" s="120"/>
      <c r="I136" s="120"/>
      <c r="J136" s="120"/>
      <c r="K136" s="120"/>
      <c r="L136" s="120"/>
    </row>
    <row r="137" spans="2:13" x14ac:dyDescent="0.3">
      <c r="C137" s="117"/>
      <c r="D137" s="118"/>
      <c r="E137" s="118"/>
      <c r="F137" s="119"/>
      <c r="G137" s="53" t="str">
        <f>IFERROR(IF(Retenciones_mes2[[#This Row],[CUIT]]="","-",VLOOKUP(Retenciones_mes2[[#This Row],[CUIT]],Lista_CUIT[#All],2,0)),"CUIT NO CARGADO")</f>
        <v>-</v>
      </c>
      <c r="H137" s="120"/>
      <c r="I137" s="120"/>
      <c r="J137" s="120"/>
      <c r="K137" s="120"/>
      <c r="L137" s="120"/>
    </row>
    <row r="138" spans="2:13" x14ac:dyDescent="0.3">
      <c r="C138" s="117"/>
      <c r="D138" s="118"/>
      <c r="E138" s="118"/>
      <c r="F138" s="119"/>
      <c r="G138" s="53" t="str">
        <f>IFERROR(IF(Retenciones_mes2[[#This Row],[CUIT]]="","-",VLOOKUP(Retenciones_mes2[[#This Row],[CUIT]],Lista_CUIT[#All],2,0)),"CUIT NO CARGADO")</f>
        <v>-</v>
      </c>
      <c r="H138" s="120"/>
      <c r="I138" s="120"/>
      <c r="J138" s="120"/>
      <c r="K138" s="120"/>
      <c r="L138" s="120"/>
    </row>
    <row r="139" spans="2:13" x14ac:dyDescent="0.3">
      <c r="C139" s="117"/>
      <c r="D139" s="118"/>
      <c r="E139" s="118"/>
      <c r="F139" s="119"/>
      <c r="G139" s="53" t="str">
        <f>IFERROR(IF(Retenciones_mes2[[#This Row],[CUIT]]="","-",VLOOKUP(Retenciones_mes2[[#This Row],[CUIT]],Lista_CUIT[#All],2,0)),"CUIT NO CARGADO")</f>
        <v>-</v>
      </c>
      <c r="H139" s="120"/>
      <c r="I139" s="120"/>
      <c r="J139" s="120"/>
      <c r="K139" s="120"/>
      <c r="L139" s="120"/>
    </row>
    <row r="140" spans="2:13" x14ac:dyDescent="0.3">
      <c r="C140" s="117"/>
      <c r="D140" s="118"/>
      <c r="E140" s="118"/>
      <c r="F140" s="119"/>
      <c r="G140" s="53" t="str">
        <f>IFERROR(IF(Retenciones_mes2[[#This Row],[CUIT]]="","-",VLOOKUP(Retenciones_mes2[[#This Row],[CUIT]],Lista_CUIT[#All],2,0)),"CUIT NO CARGADO")</f>
        <v>-</v>
      </c>
    </row>
    <row r="141" spans="2:13" x14ac:dyDescent="0.3">
      <c r="C141" s="117"/>
      <c r="D141" s="140"/>
      <c r="E141" s="140"/>
      <c r="F141" s="119"/>
      <c r="G141" s="142" t="str">
        <f>IFERROR(IF(Retenciones_mes2[[#This Row],[CUIT]]="","-",VLOOKUP(Retenciones_mes2[[#This Row],[CUIT]],Lista_CUIT[#All],2,0)),"CUIT NO CARGADO")</f>
        <v>-</v>
      </c>
      <c r="H141" s="143"/>
      <c r="I141" s="143"/>
      <c r="J141" s="143"/>
      <c r="K141" s="143"/>
      <c r="L141" s="143"/>
    </row>
    <row r="142" spans="2:13" x14ac:dyDescent="0.3">
      <c r="C142" s="117"/>
      <c r="D142" s="140"/>
      <c r="E142" s="140"/>
      <c r="F142" s="119"/>
      <c r="G142" s="142" t="str">
        <f>IFERROR(IF(Retenciones_mes2[[#This Row],[CUIT]]="","-",VLOOKUP(Retenciones_mes2[[#This Row],[CUIT]],Lista_CUIT[#All],2,0)),"CUIT NO CARGADO")</f>
        <v>-</v>
      </c>
      <c r="H142" s="143"/>
      <c r="I142" s="143"/>
      <c r="J142" s="143"/>
      <c r="K142" s="143"/>
      <c r="L142" s="143"/>
    </row>
    <row r="143" spans="2:13" x14ac:dyDescent="0.3">
      <c r="C143" s="117"/>
      <c r="D143" s="140"/>
      <c r="E143" s="140"/>
      <c r="F143" s="119"/>
      <c r="G143" s="142" t="str">
        <f>IFERROR(IF(Retenciones_mes2[[#This Row],[CUIT]]="","-",VLOOKUP(Retenciones_mes2[[#This Row],[CUIT]],Lista_CUIT[#All],2,0)),"CUIT NO CARGADO")</f>
        <v>-</v>
      </c>
      <c r="H143" s="143"/>
      <c r="I143" s="143"/>
      <c r="J143" s="143"/>
      <c r="K143" s="143"/>
      <c r="L143" s="143"/>
    </row>
    <row r="144" spans="2:13" x14ac:dyDescent="0.3">
      <c r="C144" s="117"/>
      <c r="D144" s="140"/>
      <c r="E144" s="140"/>
      <c r="F144" s="119"/>
      <c r="G144" s="142" t="str">
        <f>IFERROR(IF(Retenciones_mes2[[#This Row],[CUIT]]="","-",VLOOKUP(Retenciones_mes2[[#This Row],[CUIT]],Lista_CUIT[#All],2,0)),"CUIT NO CARGADO")</f>
        <v>-</v>
      </c>
      <c r="H144" s="143"/>
      <c r="I144" s="143"/>
      <c r="J144" s="143"/>
      <c r="K144" s="143"/>
      <c r="L144" s="143"/>
    </row>
    <row r="145" spans="3:12" x14ac:dyDescent="0.3">
      <c r="C145" s="139"/>
      <c r="D145" s="140"/>
      <c r="E145" s="140"/>
      <c r="F145" s="141"/>
      <c r="G145" s="142" t="str">
        <f>IFERROR(IF(Retenciones_mes2[[#This Row],[CUIT]]="","-",VLOOKUP(Retenciones_mes2[[#This Row],[CUIT]],Lista_CUIT[#All],2,0)),"CUIT NO CARGADO")</f>
        <v>-</v>
      </c>
      <c r="H145" s="143"/>
      <c r="I145" s="143"/>
      <c r="J145" s="143"/>
      <c r="K145" s="143"/>
      <c r="L145" s="143"/>
    </row>
    <row r="146" spans="3:12" x14ac:dyDescent="0.3">
      <c r="C146" s="139"/>
      <c r="D146" s="140"/>
      <c r="E146" s="140"/>
      <c r="F146" s="141"/>
      <c r="G146" s="142" t="str">
        <f>IFERROR(IF(Retenciones_mes2[[#This Row],[CUIT]]="","-",VLOOKUP(Retenciones_mes2[[#This Row],[CUIT]],Lista_CUIT[#All],2,0)),"CUIT NO CARGADO")</f>
        <v>-</v>
      </c>
      <c r="H146" s="143"/>
      <c r="I146" s="143"/>
      <c r="J146" s="143"/>
      <c r="K146" s="143"/>
      <c r="L146" s="143"/>
    </row>
    <row r="147" spans="3:12" x14ac:dyDescent="0.3">
      <c r="C147" s="139"/>
      <c r="D147" s="140"/>
      <c r="E147" s="140"/>
      <c r="F147" s="141"/>
      <c r="G147" s="142" t="str">
        <f>IFERROR(IF(Retenciones_mes2[[#This Row],[CUIT]]="","-",VLOOKUP(Retenciones_mes2[[#This Row],[CUIT]],Lista_CUIT[#All],2,0)),"CUIT NO CARGADO")</f>
        <v>-</v>
      </c>
      <c r="H147" s="143"/>
      <c r="I147" s="143"/>
      <c r="J147" s="143"/>
      <c r="K147" s="143"/>
      <c r="L147" s="143"/>
    </row>
    <row r="148" spans="3:12" x14ac:dyDescent="0.3">
      <c r="C148" s="139"/>
      <c r="D148" s="140"/>
      <c r="E148" s="140"/>
      <c r="F148" s="141"/>
      <c r="G148" s="142" t="str">
        <f>IFERROR(IF(Retenciones_mes2[[#This Row],[CUIT]]="","-",VLOOKUP(Retenciones_mes2[[#This Row],[CUIT]],Lista_CUIT[#All],2,0)),"CUIT NO CARGADO")</f>
        <v>-</v>
      </c>
      <c r="H148" s="143"/>
      <c r="I148" s="143"/>
      <c r="J148" s="143"/>
      <c r="K148" s="143"/>
      <c r="L148" s="143"/>
    </row>
    <row r="149" spans="3:12" x14ac:dyDescent="0.3">
      <c r="C149" s="139"/>
      <c r="D149" s="140"/>
      <c r="E149" s="140"/>
      <c r="F149" s="141"/>
      <c r="G149" s="142" t="str">
        <f>IFERROR(IF(Retenciones_mes2[[#This Row],[CUIT]]="","-",VLOOKUP(Retenciones_mes2[[#This Row],[CUIT]],Lista_CUIT[#All],2,0)),"CUIT NO CARGADO")</f>
        <v>-</v>
      </c>
      <c r="H149" s="143"/>
      <c r="I149" s="143"/>
      <c r="J149" s="143"/>
      <c r="K149" s="143"/>
      <c r="L149" s="143"/>
    </row>
    <row r="150" spans="3:12" x14ac:dyDescent="0.3">
      <c r="C150" s="139"/>
      <c r="D150" s="140"/>
      <c r="E150" s="140"/>
      <c r="F150" s="141"/>
      <c r="G150" s="142" t="str">
        <f>IFERROR(IF(Retenciones_mes2[[#This Row],[CUIT]]="","-",VLOOKUP(Retenciones_mes2[[#This Row],[CUIT]],Lista_CUIT[#All],2,0)),"CUIT NO CARGADO")</f>
        <v>-</v>
      </c>
      <c r="H150" s="143"/>
      <c r="I150" s="143"/>
      <c r="J150" s="143"/>
      <c r="K150" s="143"/>
      <c r="L150" s="143"/>
    </row>
    <row r="151" spans="3:12" x14ac:dyDescent="0.3">
      <c r="C151" s="139"/>
      <c r="D151" s="140"/>
      <c r="E151" s="140"/>
      <c r="F151" s="141"/>
      <c r="G151" s="142" t="str">
        <f>IFERROR(IF(Retenciones_mes2[[#This Row],[CUIT]]="","-",VLOOKUP(Retenciones_mes2[[#This Row],[CUIT]],Lista_CUIT[#All],2,0)),"CUIT NO CARGADO")</f>
        <v>-</v>
      </c>
      <c r="H151" s="143"/>
      <c r="I151" s="143"/>
      <c r="J151" s="143"/>
      <c r="K151" s="143"/>
      <c r="L151" s="143"/>
    </row>
    <row r="152" spans="3:12" x14ac:dyDescent="0.3">
      <c r="C152" s="139"/>
      <c r="D152" s="140"/>
      <c r="E152" s="140"/>
      <c r="F152" s="141"/>
      <c r="G152" s="142" t="str">
        <f>IFERROR(IF(Retenciones_mes2[[#This Row],[CUIT]]="","-",VLOOKUP(Retenciones_mes2[[#This Row],[CUIT]],Lista_CUIT[#All],2,0)),"CUIT NO CARGADO")</f>
        <v>-</v>
      </c>
      <c r="H152" s="143"/>
      <c r="I152" s="143"/>
      <c r="J152" s="143"/>
      <c r="K152" s="143"/>
      <c r="L152" s="143"/>
    </row>
    <row r="153" spans="3:12" x14ac:dyDescent="0.3">
      <c r="C153" s="139"/>
      <c r="D153" s="140"/>
      <c r="E153" s="140"/>
      <c r="F153" s="141"/>
      <c r="G153" s="142" t="str">
        <f>IFERROR(IF(Retenciones_mes2[[#This Row],[CUIT]]="","-",VLOOKUP(Retenciones_mes2[[#This Row],[CUIT]],Lista_CUIT[#All],2,0)),"CUIT NO CARGADO")</f>
        <v>-</v>
      </c>
      <c r="H153" s="143"/>
      <c r="I153" s="143"/>
      <c r="J153" s="143"/>
      <c r="K153" s="143"/>
      <c r="L153" s="143"/>
    </row>
    <row r="154" spans="3:12" x14ac:dyDescent="0.3">
      <c r="C154" s="139"/>
      <c r="D154" s="140"/>
      <c r="E154" s="140"/>
      <c r="F154" s="141"/>
      <c r="G154" s="142" t="str">
        <f>IFERROR(IF(Retenciones_mes2[[#This Row],[CUIT]]="","-",VLOOKUP(Retenciones_mes2[[#This Row],[CUIT]],Lista_CUIT[#All],2,0)),"CUIT NO CARGADO")</f>
        <v>-</v>
      </c>
      <c r="H154" s="143"/>
      <c r="I154" s="143"/>
      <c r="J154" s="143"/>
      <c r="K154" s="143"/>
      <c r="L154" s="143"/>
    </row>
    <row r="155" spans="3:12" x14ac:dyDescent="0.3">
      <c r="C155" s="139"/>
      <c r="D155" s="140"/>
      <c r="E155" s="140"/>
      <c r="F155" s="141"/>
      <c r="G155" s="142" t="str">
        <f>IFERROR(IF(Retenciones_mes2[[#This Row],[CUIT]]="","-",VLOOKUP(Retenciones_mes2[[#This Row],[CUIT]],Lista_CUIT[#All],2,0)),"CUIT NO CARGADO")</f>
        <v>-</v>
      </c>
      <c r="H155" s="143"/>
      <c r="I155" s="143"/>
      <c r="J155" s="143"/>
      <c r="K155" s="143"/>
      <c r="L155" s="143"/>
    </row>
    <row r="156" spans="3:12" x14ac:dyDescent="0.3">
      <c r="C156" s="139"/>
      <c r="D156" s="140"/>
      <c r="E156" s="140"/>
      <c r="F156" s="141"/>
      <c r="G156" s="142" t="str">
        <f>IFERROR(IF(Retenciones_mes2[[#This Row],[CUIT]]="","-",VLOOKUP(Retenciones_mes2[[#This Row],[CUIT]],Lista_CUIT[#All],2,0)),"CUIT NO CARGADO")</f>
        <v>-</v>
      </c>
      <c r="H156" s="143"/>
      <c r="I156" s="143"/>
      <c r="J156" s="143"/>
      <c r="K156" s="143"/>
      <c r="L156" s="143"/>
    </row>
    <row r="157" spans="3:12" x14ac:dyDescent="0.3">
      <c r="C157" s="139"/>
      <c r="D157" s="140"/>
      <c r="E157" s="140"/>
      <c r="F157" s="141"/>
      <c r="G157" s="142" t="str">
        <f>IFERROR(IF(Retenciones_mes2[[#This Row],[CUIT]]="","-",VLOOKUP(Retenciones_mes2[[#This Row],[CUIT]],Lista_CUIT[#All],2,0)),"CUIT NO CARGADO")</f>
        <v>-</v>
      </c>
      <c r="H157" s="143"/>
      <c r="I157" s="143"/>
      <c r="J157" s="143"/>
      <c r="K157" s="143"/>
      <c r="L157" s="143"/>
    </row>
    <row r="158" spans="3:12" x14ac:dyDescent="0.3">
      <c r="C158" s="139"/>
      <c r="D158" s="140"/>
      <c r="E158" s="140"/>
      <c r="F158" s="141"/>
      <c r="G158" s="142" t="str">
        <f>IFERROR(IF(Retenciones_mes2[[#This Row],[CUIT]]="","-",VLOOKUP(Retenciones_mes2[[#This Row],[CUIT]],Lista_CUIT[#All],2,0)),"CUIT NO CARGADO")</f>
        <v>-</v>
      </c>
      <c r="H158" s="143"/>
      <c r="I158" s="143"/>
      <c r="J158" s="143"/>
      <c r="K158" s="143"/>
      <c r="L158" s="143"/>
    </row>
    <row r="159" spans="3:12" x14ac:dyDescent="0.3">
      <c r="C159" s="139"/>
      <c r="D159" s="140"/>
      <c r="E159" s="140"/>
      <c r="F159" s="141"/>
      <c r="G159" s="142" t="str">
        <f>IFERROR(IF(Retenciones_mes2[[#This Row],[CUIT]]="","-",VLOOKUP(Retenciones_mes2[[#This Row],[CUIT]],Lista_CUIT[#All],2,0)),"CUIT NO CARGADO")</f>
        <v>-</v>
      </c>
      <c r="H159" s="143"/>
      <c r="I159" s="143"/>
      <c r="J159" s="143"/>
      <c r="K159" s="143"/>
      <c r="L159" s="143"/>
    </row>
    <row r="160" spans="3:12" x14ac:dyDescent="0.3">
      <c r="C160" s="139"/>
      <c r="D160" s="140"/>
      <c r="E160" s="140"/>
      <c r="F160" s="141"/>
      <c r="G160" s="142" t="str">
        <f>IFERROR(IF(Retenciones_mes2[[#This Row],[CUIT]]="","-",VLOOKUP(Retenciones_mes2[[#This Row],[CUIT]],Lista_CUIT[#All],2,0)),"CUIT NO CARGADO")</f>
        <v>-</v>
      </c>
      <c r="H160" s="143"/>
      <c r="I160" s="143"/>
      <c r="J160" s="143"/>
      <c r="K160" s="143"/>
      <c r="L160" s="143"/>
    </row>
    <row r="161" spans="3:12" x14ac:dyDescent="0.3">
      <c r="C161" s="139"/>
      <c r="D161" s="140"/>
      <c r="E161" s="140"/>
      <c r="F161" s="141"/>
      <c r="G161" s="142" t="str">
        <f>IFERROR(IF(Retenciones_mes2[[#This Row],[CUIT]]="","-",VLOOKUP(Retenciones_mes2[[#This Row],[CUIT]],Lista_CUIT[#All],2,0)),"CUIT NO CARGADO")</f>
        <v>-</v>
      </c>
      <c r="H161" s="143"/>
      <c r="I161" s="143"/>
      <c r="J161" s="143"/>
      <c r="K161" s="143"/>
      <c r="L161" s="143"/>
    </row>
    <row r="162" spans="3:12" x14ac:dyDescent="0.3">
      <c r="C162" s="139"/>
      <c r="D162" s="140"/>
      <c r="E162" s="140"/>
      <c r="F162" s="141"/>
      <c r="G162" s="142" t="str">
        <f>IFERROR(IF(Retenciones_mes2[[#This Row],[CUIT]]="","-",VLOOKUP(Retenciones_mes2[[#This Row],[CUIT]],Lista_CUIT[#All],2,0)),"CUIT NO CARGADO")</f>
        <v>-</v>
      </c>
      <c r="H162" s="143"/>
      <c r="I162" s="143"/>
      <c r="J162" s="143"/>
      <c r="K162" s="143"/>
      <c r="L162" s="143"/>
    </row>
  </sheetData>
  <mergeCells count="21">
    <mergeCell ref="C134:G134"/>
    <mergeCell ref="B4:E4"/>
    <mergeCell ref="G4:H4"/>
    <mergeCell ref="J4:K4"/>
    <mergeCell ref="M4:N4"/>
    <mergeCell ref="D59:K59"/>
    <mergeCell ref="B94:J94"/>
    <mergeCell ref="K94:M94"/>
    <mergeCell ref="B96:C96"/>
    <mergeCell ref="B123:C123"/>
    <mergeCell ref="B113:C113"/>
    <mergeCell ref="P4:R4"/>
    <mergeCell ref="D47:L47"/>
    <mergeCell ref="B1:F1"/>
    <mergeCell ref="G1:M1"/>
    <mergeCell ref="N1:R1"/>
    <mergeCell ref="B3:E3"/>
    <mergeCell ref="G3:H3"/>
    <mergeCell ref="J3:K3"/>
    <mergeCell ref="M3:N3"/>
    <mergeCell ref="P3:R3"/>
  </mergeCells>
  <dataValidations count="11">
    <dataValidation type="custom" allowBlank="1" showInputMessage="1" showErrorMessage="1" sqref="L98:L107" xr:uid="{00000000-0002-0000-0200-000000000000}">
      <formula1>IF($C9=3,L9&lt;0,L9&gt;=0)</formula1>
    </dataValidation>
    <dataValidation type="custom" allowBlank="1" showInputMessage="1" showErrorMessage="1" sqref="H98:K98 H100:K100" xr:uid="{00000000-0002-0000-0200-000001000000}">
      <formula1>IF($C98=3,H98&lt;0,H98&gt;=0)</formula1>
    </dataValidation>
    <dataValidation type="whole" allowBlank="1" showInputMessage="1" showErrorMessage="1" sqref="C43:C46 C9:C41 C98:C107" xr:uid="{00000000-0002-0000-0200-000002000000}">
      <formula1>1</formula1>
      <formula2>3</formula2>
    </dataValidation>
    <dataValidation type="date" allowBlank="1" showInputMessage="1" showErrorMessage="1" sqref="B43:B46 B9:B41 D61:D87 B98:B107 B125:B127 B115:B119 D49:D54" xr:uid="{00000000-0002-0000-0200-000003000000}">
      <formula1>40179</formula1>
      <formula2>TODAY()</formula2>
    </dataValidation>
    <dataValidation type="whole" allowBlank="1" showInputMessage="1" showErrorMessage="1" sqref="F98:F107 G61:G87 F9:F41 F115:F119 F125:F127" xr:uid="{00000000-0002-0000-0200-000004000000}">
      <formula1>20000000000</formula1>
      <formula2>33999999999</formula2>
    </dataValidation>
    <dataValidation type="whole" allowBlank="1" showInputMessage="1" showErrorMessage="1" sqref="E9:E41 F61:F87 E98:E107 E125:E127 E115:E119" xr:uid="{00000000-0002-0000-0200-000005000000}">
      <formula1>1</formula1>
      <formula2>99999999</formula2>
    </dataValidation>
    <dataValidation type="whole" allowBlank="1" showInputMessage="1" showErrorMessage="1" sqref="D9:D41 E61:E87 D98:D107 D125:D127 D115:D119" xr:uid="{00000000-0002-0000-0200-000006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O21 H9:O20 H21:M21 H22:O25 H26:M26 O26:O39 H27:N41" xr:uid="{00000000-0002-0000-0200-000007000000}">
      <formula1>IF($C9=3,H9&lt;0,H9&gt;=0)</formula1>
    </dataValidation>
    <dataValidation type="custom" allowBlank="1" showInputMessage="1" showErrorMessage="1" sqref="H125:L127 H115:L119" xr:uid="{00000000-0002-0000-0200-000008000000}">
      <formula1>IF($C115=8,H115&lt;0,H115&gt;=0)</formula1>
    </dataValidation>
    <dataValidation type="whole" allowBlank="1" showInputMessage="1" showErrorMessage="1" sqref="C125:C127 C115:C119" xr:uid="{00000000-0002-0000-0200-000009000000}">
      <formula1>6</formula1>
      <formula2>8</formula2>
    </dataValidation>
    <dataValidation allowBlank="1" showInputMessage="1" showErrorMessage="1" errorTitle="Error de Ingreso" error="Ingreso condicionado al tipo de compra:_x000a_- Tipo 001: solo positivo_x000a_- Tipo 002: solo positivo_x000a_- Tipo 003: solo negativo" sqref="O40:O41" xr:uid="{00000000-0002-0000-0200-00000A000000}"/>
  </dataValidations>
  <pageMargins left="0.7" right="0.7" top="0.75" bottom="0.75" header="0.3" footer="0.3"/>
  <pageSetup paperSize="9" orientation="portrait" r:id="rId1"/>
  <ignoredErrors>
    <ignoredError sqref="F125:F126" listDataValidation="1"/>
  </ignoredError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9" tint="0.79998168889431442"/>
  </sheetPr>
  <dimension ref="A1:Z120"/>
  <sheetViews>
    <sheetView showGridLines="0" topLeftCell="A7" zoomScale="90" zoomScaleNormal="90" workbookViewId="0">
      <selection activeCell="H19" sqref="H19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13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424" t="s">
        <v>28</v>
      </c>
      <c r="C1" s="424"/>
      <c r="D1" s="424"/>
      <c r="E1" s="424"/>
      <c r="F1" s="424"/>
      <c r="G1" s="425" t="str">
        <f>'Abr-23'!G1:M1</f>
        <v>CORITEC S. R. L.</v>
      </c>
      <c r="H1" s="425"/>
      <c r="I1" s="425"/>
      <c r="J1" s="425"/>
      <c r="K1" s="425"/>
      <c r="L1" s="425"/>
      <c r="M1" s="425"/>
      <c r="N1" s="423">
        <f>EDATE('Abr-23'!N1,2)</f>
        <v>45078</v>
      </c>
      <c r="O1" s="423"/>
      <c r="P1" s="423"/>
      <c r="Q1" s="423"/>
      <c r="R1" s="423"/>
    </row>
    <row r="2" spans="1:26" ht="15" customHeight="1" x14ac:dyDescent="0.3"/>
    <row r="3" spans="1:26" ht="26.4" customHeight="1" x14ac:dyDescent="0.3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2" customHeight="1" x14ac:dyDescent="0.4">
      <c r="B4" s="428">
        <f>SUM(compras_mes3[[#Totals],[NETO GRAVADO]])+extracto_banco_mes3[[#Totals],[NETO]]</f>
        <v>2210365.2349999999</v>
      </c>
      <c r="C4" s="428"/>
      <c r="D4" s="428"/>
      <c r="E4" s="428"/>
      <c r="F4" s="39"/>
      <c r="G4" s="429">
        <f>compras_mes3[[#Totals],[IVA 21 %]]+compras_mes3[[#Totals],[IVA 27%]]+compras_mes3[[#Totals],[IVA 10,5%]]+extracto_banco_mes3[[#Totals],[IVA 21%]]+extracto_banco_mes3[[#Totals],[IVA 10,5%]]</f>
        <v>454975.10934999998</v>
      </c>
      <c r="H4" s="429"/>
      <c r="I4" s="39"/>
      <c r="J4" s="416">
        <f>venta_a_mes3[[#Totals],[IMPORTE NETO]]+ventas_b_mes3[[#Totals],[IMPORTE NETO]]</f>
        <v>17707269.59</v>
      </c>
      <c r="K4" s="416"/>
      <c r="L4" s="39"/>
      <c r="M4" s="416">
        <f>venta_a_mes3[[#Totals],[IVA 21%]]+venta_a_mes3[[#Totals],[IVA 10,5%]]+ventas_b_mes3[[#Totals],[IVA 21%]]+ventas_b_mes3[[#Totals],[IVA 10,5%]]</f>
        <v>2621068.7138999999</v>
      </c>
      <c r="N4" s="416"/>
      <c r="O4" s="39"/>
      <c r="P4" s="431">
        <f>G4-M4</f>
        <v>-2166093.6045499998</v>
      </c>
      <c r="Q4" s="432"/>
      <c r="R4" s="432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152">
        <v>45105</v>
      </c>
      <c r="C9" s="41">
        <v>1</v>
      </c>
      <c r="D9" s="153">
        <v>2</v>
      </c>
      <c r="E9" s="154">
        <v>1360</v>
      </c>
      <c r="F9" s="155">
        <v>30709045632</v>
      </c>
      <c r="G9" s="156" t="str">
        <f>IFERROR(IF(compras_mes3[[#This Row],[CUIT]]="","-",VLOOKUP(compras_mes3[[#This Row],[CUIT]],Lista_CUIT[#All],2,0)),"CUIT NO CARGADO")</f>
        <v>ACACIA Y LENGA S R L</v>
      </c>
      <c r="H9" s="157">
        <v>7932.22</v>
      </c>
      <c r="I9" s="85">
        <f>IF(compras_mes3[[#This Row],[NETO GRAVADO]]="","",compras_mes3[[#This Row],[NETO GRAVADO]]*0.21)</f>
        <v>1665.7662</v>
      </c>
      <c r="J9" s="158"/>
      <c r="K9" s="158"/>
      <c r="L9" s="158"/>
      <c r="M9" s="158"/>
      <c r="N9" s="158"/>
      <c r="O9" s="158"/>
      <c r="P9" s="159">
        <f>SUM(compras_mes3[[#This Row],[NETO GRAVADO]:[Otros / No Grav.]])</f>
        <v>9597.9861999999994</v>
      </c>
      <c r="Q9" s="160" t="str">
        <f>IFERROR(IF(compras_mes3[[#This Row],[CUIT]]="","-",VLOOKUP(compras_mes3[[#This Row],[CUIT]],Lista_CUIT[#All],3,0)),"CUIT NO CARGADO")</f>
        <v>REPUESTOS</v>
      </c>
      <c r="R9" s="160" t="str">
        <f>IFERROR(IF(compras_mes3[[#This Row],[CUIT]]="","-",VLOOKUP(compras_mes3[[#This Row],[CUIT]],Lista_CUIT[#All],4,0)),"CUIT NO CARGADO")</f>
        <v>CABA</v>
      </c>
    </row>
    <row r="10" spans="1:26" x14ac:dyDescent="0.3">
      <c r="B10" s="152">
        <v>45106</v>
      </c>
      <c r="C10" s="41">
        <v>1</v>
      </c>
      <c r="D10" s="153">
        <v>7</v>
      </c>
      <c r="E10" s="154">
        <v>12133</v>
      </c>
      <c r="F10" s="155">
        <v>20261680298</v>
      </c>
      <c r="G10" s="156" t="str">
        <f>IFERROR(IF(compras_mes3[[#This Row],[CUIT]]="","-",VLOOKUP(compras_mes3[[#This Row],[CUIT]],Lista_CUIT[#All],2,0)),"CUIT NO CARGADO")</f>
        <v>ADATTO MARCELO ADRIAN</v>
      </c>
      <c r="H10" s="157">
        <v>4282.12</v>
      </c>
      <c r="I10" s="85">
        <v>170.08</v>
      </c>
      <c r="J10" s="158"/>
      <c r="K10" s="158">
        <v>364.79</v>
      </c>
      <c r="L10" s="158"/>
      <c r="M10" s="158"/>
      <c r="N10" s="158"/>
      <c r="O10" s="158"/>
      <c r="P10" s="159">
        <f>SUM(compras_mes3[[#This Row],[NETO GRAVADO]:[Otros / No Grav.]])</f>
        <v>4816.99</v>
      </c>
      <c r="Q10" s="160">
        <f>IFERROR(IF(compras_mes3[[#This Row],[CUIT]]="","-",VLOOKUP(compras_mes3[[#This Row],[CUIT]],Lista_CUIT[#All],3,0)),"CUIT NO CARGADO")</f>
        <v>0</v>
      </c>
      <c r="R10" s="160">
        <f>IFERROR(IF(compras_mes3[[#This Row],[CUIT]]="","-",VLOOKUP(compras_mes3[[#This Row],[CUIT]],Lista_CUIT[#All],4,0)),"CUIT NO CARGADO")</f>
        <v>0</v>
      </c>
    </row>
    <row r="11" spans="1:26" x14ac:dyDescent="0.3">
      <c r="B11" s="152">
        <v>45096</v>
      </c>
      <c r="C11" s="41">
        <v>1</v>
      </c>
      <c r="D11" s="153">
        <v>1</v>
      </c>
      <c r="E11" s="154">
        <v>171</v>
      </c>
      <c r="F11" s="155">
        <v>30707153142</v>
      </c>
      <c r="G11" s="156" t="str">
        <f>IFERROR(IF(compras_mes3[[#This Row],[CUIT]]="","-",VLOOKUP(compras_mes3[[#This Row],[CUIT]],Lista_CUIT[#All],2,0)),"CUIT NO CARGADO")</f>
        <v>AM STUDIOS SRL</v>
      </c>
      <c r="H11" s="157">
        <v>30821.72</v>
      </c>
      <c r="I11" s="85"/>
      <c r="J11" s="158"/>
      <c r="K11" s="158">
        <v>3236.28</v>
      </c>
      <c r="L11" s="158"/>
      <c r="M11" s="158"/>
      <c r="N11" s="158"/>
      <c r="O11" s="158"/>
      <c r="P11" s="159">
        <f>SUM(compras_mes3[[#This Row],[NETO GRAVADO]:[Otros / No Grav.]])</f>
        <v>34058</v>
      </c>
      <c r="Q11" s="160" t="str">
        <f>IFERROR(IF(compras_mes3[[#This Row],[CUIT]]="","-",VLOOKUP(compras_mes3[[#This Row],[CUIT]],Lista_CUIT[#All],3,0)),"CUIT NO CARGADO")</f>
        <v>INSUMO</v>
      </c>
      <c r="R11" s="160" t="str">
        <f>IFERROR(IF(compras_mes3[[#This Row],[CUIT]]="","-",VLOOKUP(compras_mes3[[#This Row],[CUIT]],Lista_CUIT[#All],4,0)),"CUIT NO CARGADO")</f>
        <v>BUENOS AIRES</v>
      </c>
    </row>
    <row r="12" spans="1:26" x14ac:dyDescent="0.3">
      <c r="B12" s="275">
        <v>45107</v>
      </c>
      <c r="C12" s="208">
        <v>1</v>
      </c>
      <c r="D12" s="276">
        <v>3</v>
      </c>
      <c r="E12" s="277">
        <v>2641</v>
      </c>
      <c r="F12" s="278">
        <v>33644262249</v>
      </c>
      <c r="G12" s="279" t="str">
        <f>IFERROR(IF(compras_mes3[[#This Row],[CUIT]]="","-",VLOOKUP(compras_mes3[[#This Row],[CUIT]],Lista_CUIT[#All],2,0)),"CUIT NO CARGADO")</f>
        <v>BOHERDI ELECTRONICA S R L</v>
      </c>
      <c r="H12" s="280">
        <v>519675</v>
      </c>
      <c r="I12" s="281">
        <f>IF(compras_mes3[[#This Row],[NETO GRAVADO]]="","",compras_mes3[[#This Row],[NETO GRAVADO]]*0.21)</f>
        <v>109131.75</v>
      </c>
      <c r="J12" s="281"/>
      <c r="K12" s="281"/>
      <c r="L12" s="281"/>
      <c r="M12" s="281"/>
      <c r="N12" s="281"/>
      <c r="O12" s="281"/>
      <c r="P12" s="282">
        <f>SUM(compras_mes3[[#This Row],[NETO GRAVADO]:[Otros / No Grav.]])</f>
        <v>628806.75</v>
      </c>
      <c r="Q12" s="283">
        <f>IFERROR(IF(compras_mes3[[#This Row],[CUIT]]="","-",VLOOKUP(compras_mes3[[#This Row],[CUIT]],Lista_CUIT[#All],3,0)),"CUIT NO CARGADO")</f>
        <v>0</v>
      </c>
      <c r="R12" s="283">
        <f>IFERROR(IF(compras_mes3[[#This Row],[CUIT]]="","-",VLOOKUP(compras_mes3[[#This Row],[CUIT]],Lista_CUIT[#All],4,0)),"CUIT NO CARGADO")</f>
        <v>0</v>
      </c>
    </row>
    <row r="13" spans="1:26" x14ac:dyDescent="0.3">
      <c r="B13" s="275">
        <v>45079</v>
      </c>
      <c r="C13" s="208">
        <v>1</v>
      </c>
      <c r="D13" s="276">
        <v>7</v>
      </c>
      <c r="E13" s="277">
        <v>12365</v>
      </c>
      <c r="F13" s="278">
        <v>30604413482</v>
      </c>
      <c r="G13" s="279" t="str">
        <f>IFERROR(IF(compras_mes3[[#This Row],[CUIT]]="","-",VLOOKUP(compras_mes3[[#This Row],[CUIT]],Lista_CUIT[#All],2,0)),"CUIT NO CARGADO")</f>
        <v>BULONERA VIETRI SOCIEDAD DE RESPONSABILIDAD LIMITADA</v>
      </c>
      <c r="H13" s="280">
        <v>60285</v>
      </c>
      <c r="I13" s="281">
        <f>IF(compras_mes3[[#This Row],[NETO GRAVADO]]="","",compras_mes3[[#This Row],[NETO GRAVADO]]*0.21)</f>
        <v>12659.85</v>
      </c>
      <c r="J13" s="281"/>
      <c r="K13" s="281"/>
      <c r="L13" s="281"/>
      <c r="M13" s="281"/>
      <c r="N13" s="281"/>
      <c r="O13" s="281"/>
      <c r="P13" s="282">
        <f>SUM(compras_mes3[[#This Row],[NETO GRAVADO]:[Otros / No Grav.]])</f>
        <v>72944.850000000006</v>
      </c>
      <c r="Q13" s="283">
        <f>IFERROR(IF(compras_mes3[[#This Row],[CUIT]]="","-",VLOOKUP(compras_mes3[[#This Row],[CUIT]],Lista_CUIT[#All],3,0)),"CUIT NO CARGADO")</f>
        <v>0</v>
      </c>
      <c r="R13" s="283">
        <f>IFERROR(IF(compras_mes3[[#This Row],[CUIT]]="","-",VLOOKUP(compras_mes3[[#This Row],[CUIT]],Lista_CUIT[#All],4,0)),"CUIT NO CARGADO")</f>
        <v>0</v>
      </c>
    </row>
    <row r="14" spans="1:26" x14ac:dyDescent="0.3">
      <c r="B14" s="275">
        <v>45078</v>
      </c>
      <c r="C14" s="208">
        <v>1</v>
      </c>
      <c r="D14" s="276">
        <v>3</v>
      </c>
      <c r="E14" s="277">
        <v>191879</v>
      </c>
      <c r="F14" s="278">
        <v>30707135596</v>
      </c>
      <c r="G14" s="279" t="str">
        <f>IFERROR(IF(compras_mes3[[#This Row],[CUIT]]="","-",VLOOKUP(compras_mes3[[#This Row],[CUIT]],Lista_CUIT[#All],2,0)),"CUIT NO CARGADO")</f>
        <v>CITILAN ARGENTINA S.A.</v>
      </c>
      <c r="H14" s="280">
        <v>5133.87</v>
      </c>
      <c r="I14" s="281">
        <f>IF(compras_mes3[[#This Row],[NETO GRAVADO]]="","",compras_mes3[[#This Row],[NETO GRAVADO]]*0.21)</f>
        <v>1078.1126999999999</v>
      </c>
      <c r="J14" s="281"/>
      <c r="K14" s="281"/>
      <c r="L14" s="281"/>
      <c r="M14" s="281"/>
      <c r="N14" s="281"/>
      <c r="O14" s="281"/>
      <c r="P14" s="282">
        <f>SUM(compras_mes3[[#This Row],[NETO GRAVADO]:[Otros / No Grav.]])</f>
        <v>6211.9826999999996</v>
      </c>
      <c r="Q14" s="283" t="str">
        <f>IFERROR(IF(compras_mes3[[#This Row],[CUIT]]="","-",VLOOKUP(compras_mes3[[#This Row],[CUIT]],Lista_CUIT[#All],3,0)),"CUIT NO CARGADO")</f>
        <v>Servicios Gas, Luz, Etc</v>
      </c>
      <c r="R14" s="283">
        <f>IFERROR(IF(compras_mes3[[#This Row],[CUIT]]="","-",VLOOKUP(compras_mes3[[#This Row],[CUIT]],Lista_CUIT[#All],4,0)),"CUIT NO CARGADO")</f>
        <v>0</v>
      </c>
    </row>
    <row r="15" spans="1:26" x14ac:dyDescent="0.3">
      <c r="B15" s="275">
        <v>45079</v>
      </c>
      <c r="C15" s="208">
        <v>1</v>
      </c>
      <c r="D15" s="276">
        <v>5</v>
      </c>
      <c r="E15" s="277">
        <v>1185</v>
      </c>
      <c r="F15" s="278">
        <v>20324025430</v>
      </c>
      <c r="G15" s="279" t="str">
        <f>IFERROR(IF(compras_mes3[[#This Row],[CUIT]]="","-",VLOOKUP(compras_mes3[[#This Row],[CUIT]],Lista_CUIT[#All],2,0)),"CUIT NO CARGADO")</f>
        <v>DABUL NICOLAS ADRIAN</v>
      </c>
      <c r="H15" s="280">
        <v>93387.6</v>
      </c>
      <c r="I15" s="281">
        <f>IF(compras_mes3[[#This Row],[NETO GRAVADO]]="","",compras_mes3[[#This Row],[NETO GRAVADO]]*0.21)</f>
        <v>19611.396000000001</v>
      </c>
      <c r="J15" s="281"/>
      <c r="K15" s="281"/>
      <c r="L15" s="281"/>
      <c r="M15" s="281"/>
      <c r="N15" s="281"/>
      <c r="O15" s="281"/>
      <c r="P15" s="282">
        <f>SUM(compras_mes3[[#This Row],[NETO GRAVADO]:[Otros / No Grav.]])</f>
        <v>112998.99600000001</v>
      </c>
      <c r="Q15" s="283">
        <f>IFERROR(IF(compras_mes3[[#This Row],[CUIT]]="","-",VLOOKUP(compras_mes3[[#This Row],[CUIT]],Lista_CUIT[#All],3,0)),"CUIT NO CARGADO")</f>
        <v>0</v>
      </c>
      <c r="R15" s="283">
        <f>IFERROR(IF(compras_mes3[[#This Row],[CUIT]]="","-",VLOOKUP(compras_mes3[[#This Row],[CUIT]],Lista_CUIT[#All],4,0)),"CUIT NO CARGADO")</f>
        <v>0</v>
      </c>
    </row>
    <row r="16" spans="1:26" x14ac:dyDescent="0.3">
      <c r="B16" s="40">
        <v>45099</v>
      </c>
      <c r="C16" s="41">
        <v>2</v>
      </c>
      <c r="D16" s="42">
        <v>755</v>
      </c>
      <c r="E16" s="43">
        <v>3366</v>
      </c>
      <c r="F16" s="44">
        <v>30580111315</v>
      </c>
      <c r="G16" s="45" t="str">
        <f>IFERROR(IF(compras_mes3[[#This Row],[CUIT]]="","-",VLOOKUP(compras_mes3[[#This Row],[CUIT]],Lista_CUIT[#All],2,0)),"CUIT NO CARGADO")</f>
        <v>DHL EXPRESS (ARGENTINA) S.A.</v>
      </c>
      <c r="H16" s="46"/>
      <c r="I16" s="85" t="str">
        <f>IF(compras_mes3[[#This Row],[NETO GRAVADO]]="","",compras_mes3[[#This Row],[NETO GRAVADO]]*0.21)</f>
        <v/>
      </c>
      <c r="J16" s="85"/>
      <c r="K16" s="85"/>
      <c r="L16" s="85"/>
      <c r="M16" s="85"/>
      <c r="N16" s="85"/>
      <c r="O16" s="85">
        <v>12011.18</v>
      </c>
      <c r="P16" s="48">
        <f>SUM(compras_mes3[[#This Row],[NETO GRAVADO]:[Otros / No Grav.]])</f>
        <v>12011.18</v>
      </c>
      <c r="Q16" s="49" t="str">
        <f>IFERROR(IF(compras_mes3[[#This Row],[CUIT]]="","-",VLOOKUP(compras_mes3[[#This Row],[CUIT]],Lista_CUIT[#All],3,0)),"CUIT NO CARGADO")</f>
        <v>Gtos. Imp.</v>
      </c>
      <c r="R16" s="49">
        <f>IFERROR(IF(compras_mes3[[#This Row],[CUIT]]="","-",VLOOKUP(compras_mes3[[#This Row],[CUIT]],Lista_CUIT[#All],4,0)),"CUIT NO CARGADO")</f>
        <v>0</v>
      </c>
    </row>
    <row r="17" spans="2:19" x14ac:dyDescent="0.3">
      <c r="B17" s="152">
        <v>45082</v>
      </c>
      <c r="C17" s="41">
        <v>1</v>
      </c>
      <c r="D17" s="153">
        <v>700</v>
      </c>
      <c r="E17" s="154">
        <v>530115</v>
      </c>
      <c r="F17" s="155">
        <v>30580111315</v>
      </c>
      <c r="G17" s="156" t="str">
        <f>IFERROR(IF(compras_mes3[[#This Row],[CUIT]]="","-",VLOOKUP(compras_mes3[[#This Row],[CUIT]],Lista_CUIT[#All],2,0)),"CUIT NO CARGADO")</f>
        <v>DHL EXPRESS (ARGENTINA) S.A.</v>
      </c>
      <c r="H17" s="157">
        <v>3507</v>
      </c>
      <c r="I17" s="85">
        <f>IF(compras_mes3[[#This Row],[NETO GRAVADO]]="","",compras_mes3[[#This Row],[NETO GRAVADO]]*0.21)</f>
        <v>736.47</v>
      </c>
      <c r="J17" s="158"/>
      <c r="K17" s="158"/>
      <c r="L17" s="158"/>
      <c r="M17" s="158"/>
      <c r="N17" s="158"/>
      <c r="O17" s="158">
        <v>139753.95000000001</v>
      </c>
      <c r="P17" s="159">
        <f>SUM(compras_mes3[[#This Row],[NETO GRAVADO]:[Otros / No Grav.]])</f>
        <v>143997.42000000001</v>
      </c>
      <c r="Q17" s="160" t="str">
        <f>IFERROR(IF(compras_mes3[[#This Row],[CUIT]]="","-",VLOOKUP(compras_mes3[[#This Row],[CUIT]],Lista_CUIT[#All],3,0)),"CUIT NO CARGADO")</f>
        <v>Gtos. Imp.</v>
      </c>
      <c r="R17" s="160">
        <f>IFERROR(IF(compras_mes3[[#This Row],[CUIT]]="","-",VLOOKUP(compras_mes3[[#This Row],[CUIT]],Lista_CUIT[#All],4,0)),"CUIT NO CARGADO")</f>
        <v>0</v>
      </c>
    </row>
    <row r="18" spans="2:19" x14ac:dyDescent="0.3">
      <c r="B18" s="152">
        <v>45096</v>
      </c>
      <c r="C18" s="41">
        <v>1</v>
      </c>
      <c r="D18" s="153">
        <v>700</v>
      </c>
      <c r="E18" s="154">
        <v>535871</v>
      </c>
      <c r="F18" s="155">
        <v>30580111315</v>
      </c>
      <c r="G18" s="156" t="str">
        <f>IFERROR(IF(compras_mes3[[#This Row],[CUIT]]="","-",VLOOKUP(compras_mes3[[#This Row],[CUIT]],Lista_CUIT[#All],2,0)),"CUIT NO CARGADO")</f>
        <v>DHL EXPRESS (ARGENTINA) S.A.</v>
      </c>
      <c r="H18" s="157"/>
      <c r="I18" s="85" t="str">
        <f>IF(compras_mes3[[#This Row],[NETO GRAVADO]]="","",compras_mes3[[#This Row],[NETO GRAVADO]]*0.21)</f>
        <v/>
      </c>
      <c r="J18" s="158"/>
      <c r="K18" s="158"/>
      <c r="L18" s="158"/>
      <c r="M18" s="158"/>
      <c r="N18" s="158"/>
      <c r="O18" s="158">
        <v>17213.14</v>
      </c>
      <c r="P18" s="159">
        <f>SUM(compras_mes3[[#This Row],[NETO GRAVADO]:[Otros / No Grav.]])</f>
        <v>17213.14</v>
      </c>
      <c r="Q18" s="160" t="str">
        <f>IFERROR(IF(compras_mes3[[#This Row],[CUIT]]="","-",VLOOKUP(compras_mes3[[#This Row],[CUIT]],Lista_CUIT[#All],3,0)),"CUIT NO CARGADO")</f>
        <v>Gtos. Imp.</v>
      </c>
      <c r="R18" s="160">
        <f>IFERROR(IF(compras_mes3[[#This Row],[CUIT]]="","-",VLOOKUP(compras_mes3[[#This Row],[CUIT]],Lista_CUIT[#All],4,0)),"CUIT NO CARGADO")</f>
        <v>0</v>
      </c>
    </row>
    <row r="19" spans="2:19" x14ac:dyDescent="0.3">
      <c r="B19" s="152">
        <v>45078</v>
      </c>
      <c r="C19" s="41">
        <v>1</v>
      </c>
      <c r="D19" s="153">
        <v>280</v>
      </c>
      <c r="E19" s="154">
        <v>1434438</v>
      </c>
      <c r="F19" s="155">
        <v>30580111315</v>
      </c>
      <c r="G19" s="156" t="str">
        <f>IFERROR(IF(compras_mes3[[#This Row],[CUIT]]="","-",VLOOKUP(compras_mes3[[#This Row],[CUIT]],Lista_CUIT[#All],2,0)),"CUIT NO CARGADO")</f>
        <v>DHL EXPRESS (ARGENTINA) S.A.</v>
      </c>
      <c r="H19" s="157">
        <v>266573.08</v>
      </c>
      <c r="I19" s="85">
        <f>IF(compras_mes3[[#This Row],[NETO GRAVADO]]="","",compras_mes3[[#This Row],[NETO GRAVADO]]*0.21)</f>
        <v>55980.346799999999</v>
      </c>
      <c r="J19" s="158"/>
      <c r="K19" s="158"/>
      <c r="L19" s="158"/>
      <c r="M19" s="158"/>
      <c r="N19" s="158"/>
      <c r="O19" s="158">
        <v>-217973.74</v>
      </c>
      <c r="P19" s="159">
        <f>SUM(compras_mes3[[#This Row],[NETO GRAVADO]:[Otros / No Grav.]])</f>
        <v>104579.68680000002</v>
      </c>
      <c r="Q19" s="160" t="str">
        <f>IFERROR(IF(compras_mes3[[#This Row],[CUIT]]="","-",VLOOKUP(compras_mes3[[#This Row],[CUIT]],Lista_CUIT[#All],3,0)),"CUIT NO CARGADO")</f>
        <v>Gtos. Imp.</v>
      </c>
      <c r="R19" s="160">
        <f>IFERROR(IF(compras_mes3[[#This Row],[CUIT]]="","-",VLOOKUP(compras_mes3[[#This Row],[CUIT]],Lista_CUIT[#All],4,0)),"CUIT NO CARGADO")</f>
        <v>0</v>
      </c>
    </row>
    <row r="20" spans="2:19" x14ac:dyDescent="0.3">
      <c r="B20" s="152">
        <v>45078</v>
      </c>
      <c r="C20" s="41">
        <v>1</v>
      </c>
      <c r="D20" s="153">
        <v>280</v>
      </c>
      <c r="E20" s="154">
        <v>1435509</v>
      </c>
      <c r="F20" s="155">
        <v>30580111315</v>
      </c>
      <c r="G20" s="156" t="str">
        <f>IFERROR(IF(compras_mes3[[#This Row],[CUIT]]="","-",VLOOKUP(compras_mes3[[#This Row],[CUIT]],Lista_CUIT[#All],2,0)),"CUIT NO CARGADO")</f>
        <v>DHL EXPRESS (ARGENTINA) S.A.</v>
      </c>
      <c r="H20" s="157">
        <v>259322.22500000001</v>
      </c>
      <c r="I20" s="85">
        <f>IF(compras_mes3[[#This Row],[NETO GRAVADO]]="","",compras_mes3[[#This Row],[NETO GRAVADO]]*0.21)</f>
        <v>54457.667249999999</v>
      </c>
      <c r="J20" s="158"/>
      <c r="K20" s="158"/>
      <c r="L20" s="158"/>
      <c r="M20" s="158"/>
      <c r="N20" s="158"/>
      <c r="O20" s="158">
        <v>-211804.35</v>
      </c>
      <c r="P20" s="159">
        <f>SUM(compras_mes3[[#This Row],[NETO GRAVADO]:[Otros / No Grav.]])</f>
        <v>101975.54225000003</v>
      </c>
      <c r="Q20" s="160" t="str">
        <f>IFERROR(IF(compras_mes3[[#This Row],[CUIT]]="","-",VLOOKUP(compras_mes3[[#This Row],[CUIT]],Lista_CUIT[#All],3,0)),"CUIT NO CARGADO")</f>
        <v>Gtos. Imp.</v>
      </c>
      <c r="R20" s="160">
        <f>IFERROR(IF(compras_mes3[[#This Row],[CUIT]]="","-",VLOOKUP(compras_mes3[[#This Row],[CUIT]],Lista_CUIT[#All],4,0)),"CUIT NO CARGADO")</f>
        <v>0</v>
      </c>
    </row>
    <row r="21" spans="2:19" x14ac:dyDescent="0.3">
      <c r="B21" s="152">
        <v>45086</v>
      </c>
      <c r="C21" s="41">
        <v>1</v>
      </c>
      <c r="D21" s="153">
        <v>5</v>
      </c>
      <c r="E21" s="154">
        <v>5957</v>
      </c>
      <c r="F21" s="155">
        <v>33711557119</v>
      </c>
      <c r="G21" s="156" t="str">
        <f>IFERROR(IF(compras_mes3[[#This Row],[CUIT]]="","-",VLOOKUP(compras_mes3[[#This Row],[CUIT]],Lista_CUIT[#All],2,0)),"CUIT NO CARGADO")</f>
        <v>ELECTROMINGO S.R.L.</v>
      </c>
      <c r="H21" s="157">
        <v>1452.48</v>
      </c>
      <c r="I21" s="85">
        <f>IF(compras_mes3[[#This Row],[NETO GRAVADO]]="","",compras_mes3[[#This Row],[NETO GRAVADO]]*0.21)</f>
        <v>305.02080000000001</v>
      </c>
      <c r="J21" s="158"/>
      <c r="K21" s="158"/>
      <c r="L21" s="158"/>
      <c r="M21" s="158"/>
      <c r="N21" s="158"/>
      <c r="O21" s="158"/>
      <c r="P21" s="159">
        <f>SUM(compras_mes3[[#This Row],[NETO GRAVADO]:[Otros / No Grav.]])</f>
        <v>1757.5008</v>
      </c>
      <c r="Q21" s="160" t="str">
        <f>IFERROR(IF(compras_mes3[[#This Row],[CUIT]]="","-",VLOOKUP(compras_mes3[[#This Row],[CUIT]],Lista_CUIT[#All],3,0)),"CUIT NO CARGADO")</f>
        <v>INSUMO</v>
      </c>
      <c r="R21" s="160" t="str">
        <f>IFERROR(IF(compras_mes3[[#This Row],[CUIT]]="","-",VLOOKUP(compras_mes3[[#This Row],[CUIT]],Lista_CUIT[#All],4,0)),"CUIT NO CARGADO")</f>
        <v>BUENOS AIRES</v>
      </c>
    </row>
    <row r="22" spans="2:19" x14ac:dyDescent="0.3">
      <c r="B22" s="275">
        <v>45090</v>
      </c>
      <c r="C22" s="208">
        <v>1</v>
      </c>
      <c r="D22" s="276">
        <v>5</v>
      </c>
      <c r="E22" s="277">
        <v>5982</v>
      </c>
      <c r="F22" s="278">
        <v>33711557119</v>
      </c>
      <c r="G22" s="279" t="str">
        <f>IFERROR(IF(compras_mes3[[#This Row],[CUIT]]="","-",VLOOKUP(compras_mes3[[#This Row],[CUIT]],Lista_CUIT[#All],2,0)),"CUIT NO CARGADO")</f>
        <v>ELECTROMINGO S.R.L.</v>
      </c>
      <c r="H22" s="280">
        <v>3075.45</v>
      </c>
      <c r="I22" s="281">
        <v>313.23</v>
      </c>
      <c r="J22" s="281"/>
      <c r="K22" s="281">
        <v>166.29</v>
      </c>
      <c r="L22" s="281"/>
      <c r="M22" s="281"/>
      <c r="N22" s="281"/>
      <c r="O22" s="281"/>
      <c r="P22" s="282">
        <f>SUM(compras_mes3[[#This Row],[NETO GRAVADO]:[Otros / No Grav.]])</f>
        <v>3554.97</v>
      </c>
      <c r="Q22" s="283" t="str">
        <f>IFERROR(IF(compras_mes3[[#This Row],[CUIT]]="","-",VLOOKUP(compras_mes3[[#This Row],[CUIT]],Lista_CUIT[#All],3,0)),"CUIT NO CARGADO")</f>
        <v>INSUMO</v>
      </c>
      <c r="R22" s="283" t="str">
        <f>IFERROR(IF(compras_mes3[[#This Row],[CUIT]]="","-",VLOOKUP(compras_mes3[[#This Row],[CUIT]],Lista_CUIT[#All],4,0)),"CUIT NO CARGADO")</f>
        <v>BUENOS AIRES</v>
      </c>
    </row>
    <row r="23" spans="2:19" x14ac:dyDescent="0.3">
      <c r="B23" s="152">
        <v>45099</v>
      </c>
      <c r="C23" s="41">
        <v>1</v>
      </c>
      <c r="D23" s="153">
        <v>4</v>
      </c>
      <c r="E23" s="154">
        <v>95972</v>
      </c>
      <c r="F23" s="155">
        <v>30559932236</v>
      </c>
      <c r="G23" s="156" t="str">
        <f>IFERROR(IF(compras_mes3[[#This Row],[CUIT]]="","-",VLOOKUP(compras_mes3[[#This Row],[CUIT]],Lista_CUIT[#All],2,0)),"CUIT NO CARGADO")</f>
        <v>ELECTRONICA ELEMON S A</v>
      </c>
      <c r="H23" s="157">
        <v>49153.13</v>
      </c>
      <c r="I23" s="85">
        <f>IF(compras_mes3[[#This Row],[NETO GRAVADO]]="","",compras_mes3[[#This Row],[NETO GRAVADO]]*0.21)</f>
        <v>10322.157299999999</v>
      </c>
      <c r="J23" s="158"/>
      <c r="K23" s="158"/>
      <c r="L23" s="158"/>
      <c r="M23" s="158"/>
      <c r="N23" s="158"/>
      <c r="O23" s="158"/>
      <c r="P23" s="159">
        <f>SUM(compras_mes3[[#This Row],[NETO GRAVADO]:[Otros / No Grav.]])</f>
        <v>59475.287299999996</v>
      </c>
      <c r="Q23" s="160" t="str">
        <f>IFERROR(IF(compras_mes3[[#This Row],[CUIT]]="","-",VLOOKUP(compras_mes3[[#This Row],[CUIT]],Lista_CUIT[#All],3,0)),"CUIT NO CARGADO")</f>
        <v>Mat. Prima</v>
      </c>
      <c r="R23" s="160">
        <f>IFERROR(IF(compras_mes3[[#This Row],[CUIT]]="","-",VLOOKUP(compras_mes3[[#This Row],[CUIT]],Lista_CUIT[#All],4,0)),"CUIT NO CARGADO")</f>
        <v>0</v>
      </c>
      <c r="S23" s="204"/>
    </row>
    <row r="24" spans="2:19" x14ac:dyDescent="0.3">
      <c r="B24" s="152">
        <v>45104</v>
      </c>
      <c r="C24" s="41">
        <v>1</v>
      </c>
      <c r="D24" s="153">
        <v>4</v>
      </c>
      <c r="E24" s="154">
        <v>15482</v>
      </c>
      <c r="F24" s="155">
        <v>30709362875</v>
      </c>
      <c r="G24" s="156" t="str">
        <f>IFERROR(IF(compras_mes3[[#This Row],[CUIT]]="","-",VLOOKUP(compras_mes3[[#This Row],[CUIT]],Lista_CUIT[#All],2,0)),"CUIT NO CARGADO")</f>
        <v>ELINDAR SRL</v>
      </c>
      <c r="H24" s="157">
        <v>9375.7199999999993</v>
      </c>
      <c r="I24" s="85"/>
      <c r="J24" s="158"/>
      <c r="K24" s="158">
        <v>984.45</v>
      </c>
      <c r="L24" s="158"/>
      <c r="M24" s="158"/>
      <c r="N24" s="158"/>
      <c r="O24" s="158"/>
      <c r="P24" s="159">
        <f>SUM(compras_mes3[[#This Row],[NETO GRAVADO]:[Otros / No Grav.]])</f>
        <v>10360.17</v>
      </c>
      <c r="Q24" s="160" t="str">
        <f>IFERROR(IF(compras_mes3[[#This Row],[CUIT]]="","-",VLOOKUP(compras_mes3[[#This Row],[CUIT]],Lista_CUIT[#All],3,0)),"CUIT NO CARGADO")</f>
        <v>REPUESTOS</v>
      </c>
      <c r="R24" s="160" t="str">
        <f>IFERROR(IF(compras_mes3[[#This Row],[CUIT]]="","-",VLOOKUP(compras_mes3[[#This Row],[CUIT]],Lista_CUIT[#All],4,0)),"CUIT NO CARGADO")</f>
        <v>BUENOS AIRES</v>
      </c>
      <c r="S24" s="204"/>
    </row>
    <row r="25" spans="2:19" x14ac:dyDescent="0.3">
      <c r="B25" s="275">
        <v>45093</v>
      </c>
      <c r="C25" s="208">
        <v>1</v>
      </c>
      <c r="D25" s="276">
        <v>106</v>
      </c>
      <c r="E25" s="277">
        <v>641207</v>
      </c>
      <c r="F25" s="278">
        <v>30594494187</v>
      </c>
      <c r="G25" s="279" t="str">
        <f>IFERROR(IF(compras_mes3[[#This Row],[CUIT]]="","-",VLOOKUP(compras_mes3[[#This Row],[CUIT]],Lista_CUIT[#All],2,0)),"CUIT NO CARGADO")</f>
        <v>FEDERAL EXPRESS CORPORATION</v>
      </c>
      <c r="H25" s="280">
        <v>0</v>
      </c>
      <c r="I25" s="281">
        <f>IF(compras_mes3[[#This Row],[NETO GRAVADO]]="","",compras_mes3[[#This Row],[NETO GRAVADO]]*0.21)</f>
        <v>0</v>
      </c>
      <c r="J25" s="281"/>
      <c r="K25" s="281"/>
      <c r="L25" s="281"/>
      <c r="M25" s="281"/>
      <c r="N25" s="281"/>
      <c r="O25" s="281">
        <v>83121.39</v>
      </c>
      <c r="P25" s="282">
        <f>SUM(compras_mes3[[#This Row],[NETO GRAVADO]:[Otros / No Grav.]])</f>
        <v>83121.39</v>
      </c>
      <c r="Q25" s="283" t="str">
        <f>IFERROR(IF(compras_mes3[[#This Row],[CUIT]]="","-",VLOOKUP(compras_mes3[[#This Row],[CUIT]],Lista_CUIT[#All],3,0)),"CUIT NO CARGADO")</f>
        <v>Gtos. Imp.</v>
      </c>
      <c r="R25" s="283">
        <f>IFERROR(IF(compras_mes3[[#This Row],[CUIT]]="","-",VLOOKUP(compras_mes3[[#This Row],[CUIT]],Lista_CUIT[#All],4,0)),"CUIT NO CARGADO")</f>
        <v>0</v>
      </c>
      <c r="S25" s="204"/>
    </row>
    <row r="26" spans="2:19" x14ac:dyDescent="0.3">
      <c r="B26" s="152">
        <v>45089</v>
      </c>
      <c r="C26" s="41">
        <v>1</v>
      </c>
      <c r="D26" s="153">
        <v>2</v>
      </c>
      <c r="E26" s="154">
        <v>173</v>
      </c>
      <c r="F26" s="155">
        <v>20125142851</v>
      </c>
      <c r="G26" s="156" t="str">
        <f>IFERROR(IF(compras_mes3[[#This Row],[CUIT]]="","-",VLOOKUP(compras_mes3[[#This Row],[CUIT]],Lista_CUIT[#All],2,0)),"CUIT NO CARGADO")</f>
        <v>FEDERICI NICOLAS JOSE</v>
      </c>
      <c r="H26" s="157">
        <v>100169.76</v>
      </c>
      <c r="I26" s="85">
        <f>IF(compras_mes3[[#This Row],[NETO GRAVADO]]="","",compras_mes3[[#This Row],[NETO GRAVADO]]*0.21)</f>
        <v>21035.649599999997</v>
      </c>
      <c r="J26" s="158"/>
      <c r="K26" s="158"/>
      <c r="L26" s="158"/>
      <c r="M26" s="158"/>
      <c r="N26" s="158"/>
      <c r="O26" s="158"/>
      <c r="P26" s="159">
        <f>SUM(compras_mes3[[#This Row],[NETO GRAVADO]:[Otros / No Grav.]])</f>
        <v>121205.40959999998</v>
      </c>
      <c r="Q26" s="160" t="str">
        <f>IFERROR(IF(compras_mes3[[#This Row],[CUIT]]="","-",VLOOKUP(compras_mes3[[#This Row],[CUIT]],Lista_CUIT[#All],3,0)),"CUIT NO CARGADO")</f>
        <v>INSUMO</v>
      </c>
      <c r="R26" s="160">
        <f>IFERROR(IF(compras_mes3[[#This Row],[CUIT]]="","-",VLOOKUP(compras_mes3[[#This Row],[CUIT]],Lista_CUIT[#All],4,0)),"CUIT NO CARGADO")</f>
        <v>0</v>
      </c>
      <c r="S26" s="204"/>
    </row>
    <row r="27" spans="2:19" x14ac:dyDescent="0.3">
      <c r="B27" s="152">
        <v>45089</v>
      </c>
      <c r="C27" s="41">
        <v>1</v>
      </c>
      <c r="D27" s="153">
        <v>2</v>
      </c>
      <c r="E27" s="154">
        <v>174</v>
      </c>
      <c r="F27" s="155">
        <v>20125142851</v>
      </c>
      <c r="G27" s="156" t="str">
        <f>IFERROR(IF(compras_mes3[[#This Row],[CUIT]]="","-",VLOOKUP(compras_mes3[[#This Row],[CUIT]],Lista_CUIT[#All],2,0)),"CUIT NO CARGADO")</f>
        <v>FEDERICI NICOLAS JOSE</v>
      </c>
      <c r="H27" s="157">
        <v>123030.24</v>
      </c>
      <c r="I27" s="85">
        <f>IF(compras_mes3[[#This Row],[NETO GRAVADO]]="","",compras_mes3[[#This Row],[NETO GRAVADO]]*0.21)</f>
        <v>25836.350399999999</v>
      </c>
      <c r="J27" s="158"/>
      <c r="K27" s="158"/>
      <c r="L27" s="158"/>
      <c r="M27" s="158"/>
      <c r="N27" s="158"/>
      <c r="O27" s="158"/>
      <c r="P27" s="159">
        <f>SUM(compras_mes3[[#This Row],[NETO GRAVADO]:[Otros / No Grav.]])</f>
        <v>148866.59040000002</v>
      </c>
      <c r="Q27" s="160" t="str">
        <f>IFERROR(IF(compras_mes3[[#This Row],[CUIT]]="","-",VLOOKUP(compras_mes3[[#This Row],[CUIT]],Lista_CUIT[#All],3,0)),"CUIT NO CARGADO")</f>
        <v>INSUMO</v>
      </c>
      <c r="R27" s="160">
        <f>IFERROR(IF(compras_mes3[[#This Row],[CUIT]]="","-",VLOOKUP(compras_mes3[[#This Row],[CUIT]],Lista_CUIT[#All],4,0)),"CUIT NO CARGADO")</f>
        <v>0</v>
      </c>
      <c r="S27" s="204"/>
    </row>
    <row r="28" spans="2:19" x14ac:dyDescent="0.3">
      <c r="B28" s="152">
        <v>45092</v>
      </c>
      <c r="C28" s="41">
        <v>1</v>
      </c>
      <c r="D28" s="153">
        <v>2</v>
      </c>
      <c r="E28" s="154">
        <v>175</v>
      </c>
      <c r="F28" s="155">
        <v>20125142851</v>
      </c>
      <c r="G28" s="156" t="str">
        <f>IFERROR(IF(compras_mes3[[#This Row],[CUIT]]="","-",VLOOKUP(compras_mes3[[#This Row],[CUIT]],Lista_CUIT[#All],2,0)),"CUIT NO CARGADO")</f>
        <v>FEDERICI NICOLAS JOSE</v>
      </c>
      <c r="H28" s="157">
        <v>66779.839999999997</v>
      </c>
      <c r="I28" s="85">
        <f>IF(compras_mes3[[#This Row],[NETO GRAVADO]]="","",compras_mes3[[#This Row],[NETO GRAVADO]]*0.21)</f>
        <v>14023.766399999999</v>
      </c>
      <c r="J28" s="158"/>
      <c r="K28" s="158"/>
      <c r="L28" s="158"/>
      <c r="M28" s="158"/>
      <c r="N28" s="158"/>
      <c r="O28" s="158"/>
      <c r="P28" s="159">
        <f>SUM(compras_mes3[[#This Row],[NETO GRAVADO]:[Otros / No Grav.]])</f>
        <v>80803.60639999999</v>
      </c>
      <c r="Q28" s="160" t="str">
        <f>IFERROR(IF(compras_mes3[[#This Row],[CUIT]]="","-",VLOOKUP(compras_mes3[[#This Row],[CUIT]],Lista_CUIT[#All],3,0)),"CUIT NO CARGADO")</f>
        <v>INSUMO</v>
      </c>
      <c r="R28" s="160">
        <f>IFERROR(IF(compras_mes3[[#This Row],[CUIT]]="","-",VLOOKUP(compras_mes3[[#This Row],[CUIT]],Lista_CUIT[#All],4,0)),"CUIT NO CARGADO")</f>
        <v>0</v>
      </c>
      <c r="S28" s="204"/>
    </row>
    <row r="29" spans="2:19" x14ac:dyDescent="0.3">
      <c r="B29" s="152">
        <v>45092</v>
      </c>
      <c r="C29" s="41">
        <v>1</v>
      </c>
      <c r="D29" s="153">
        <v>2</v>
      </c>
      <c r="E29" s="154">
        <v>176</v>
      </c>
      <c r="F29" s="155">
        <v>20125142851</v>
      </c>
      <c r="G29" s="156" t="str">
        <f>IFERROR(IF(compras_mes3[[#This Row],[CUIT]]="","-",VLOOKUP(compras_mes3[[#This Row],[CUIT]],Lista_CUIT[#All],2,0)),"CUIT NO CARGADO")</f>
        <v>FEDERICI NICOLAS JOSE</v>
      </c>
      <c r="H29" s="157">
        <v>82020.160000000003</v>
      </c>
      <c r="I29" s="85">
        <f>IF(compras_mes3[[#This Row],[NETO GRAVADO]]="","",compras_mes3[[#This Row],[NETO GRAVADO]]*0.21)</f>
        <v>17224.2336</v>
      </c>
      <c r="J29" s="158"/>
      <c r="K29" s="158"/>
      <c r="L29" s="158"/>
      <c r="M29" s="158"/>
      <c r="N29" s="158"/>
      <c r="O29" s="158"/>
      <c r="P29" s="159">
        <f>SUM(compras_mes3[[#This Row],[NETO GRAVADO]:[Otros / No Grav.]])</f>
        <v>99244.39360000001</v>
      </c>
      <c r="Q29" s="160" t="str">
        <f>IFERROR(IF(compras_mes3[[#This Row],[CUIT]]="","-",VLOOKUP(compras_mes3[[#This Row],[CUIT]],Lista_CUIT[#All],3,0)),"CUIT NO CARGADO")</f>
        <v>INSUMO</v>
      </c>
      <c r="R29" s="160">
        <f>IFERROR(IF(compras_mes3[[#This Row],[CUIT]]="","-",VLOOKUP(compras_mes3[[#This Row],[CUIT]],Lista_CUIT[#All],4,0)),"CUIT NO CARGADO")</f>
        <v>0</v>
      </c>
      <c r="S29" s="204"/>
    </row>
    <row r="30" spans="2:19" x14ac:dyDescent="0.3">
      <c r="B30" s="152">
        <v>45102</v>
      </c>
      <c r="C30" s="41">
        <v>1</v>
      </c>
      <c r="D30" s="153">
        <v>2</v>
      </c>
      <c r="E30" s="154">
        <v>177</v>
      </c>
      <c r="F30" s="155">
        <v>20125142851</v>
      </c>
      <c r="G30" s="156" t="str">
        <f>IFERROR(IF(compras_mes3[[#This Row],[CUIT]]="","-",VLOOKUP(compras_mes3[[#This Row],[CUIT]],Lista_CUIT[#All],2,0)),"CUIT NO CARGADO")</f>
        <v>FEDERICI NICOLAS JOSE</v>
      </c>
      <c r="H30" s="157">
        <v>69483</v>
      </c>
      <c r="I30" s="85">
        <f>IF(compras_mes3[[#This Row],[NETO GRAVADO]]="","",compras_mes3[[#This Row],[NETO GRAVADO]]*0.21)</f>
        <v>14591.43</v>
      </c>
      <c r="J30" s="158"/>
      <c r="K30" s="158"/>
      <c r="L30" s="158"/>
      <c r="M30" s="158"/>
      <c r="N30" s="158"/>
      <c r="O30" s="158"/>
      <c r="P30" s="159">
        <f>SUM(compras_mes3[[#This Row],[NETO GRAVADO]:[Otros / No Grav.]])</f>
        <v>84074.43</v>
      </c>
      <c r="Q30" s="160" t="str">
        <f>IFERROR(IF(compras_mes3[[#This Row],[CUIT]]="","-",VLOOKUP(compras_mes3[[#This Row],[CUIT]],Lista_CUIT[#All],3,0)),"CUIT NO CARGADO")</f>
        <v>INSUMO</v>
      </c>
      <c r="R30" s="160">
        <f>IFERROR(IF(compras_mes3[[#This Row],[CUIT]]="","-",VLOOKUP(compras_mes3[[#This Row],[CUIT]],Lista_CUIT[#All],4,0)),"CUIT NO CARGADO")</f>
        <v>0</v>
      </c>
      <c r="S30" s="204"/>
    </row>
    <row r="31" spans="2:19" x14ac:dyDescent="0.3">
      <c r="B31" s="152">
        <v>45104</v>
      </c>
      <c r="C31" s="41">
        <v>1</v>
      </c>
      <c r="D31" s="153">
        <v>6</v>
      </c>
      <c r="E31" s="154">
        <v>19055</v>
      </c>
      <c r="F31" s="155">
        <v>30709459399</v>
      </c>
      <c r="G31" s="156" t="str">
        <f>IFERROR(IF(compras_mes3[[#This Row],[CUIT]]="","-",VLOOKUP(compras_mes3[[#This Row],[CUIT]],Lista_CUIT[#All],2,0)),"CUIT NO CARGADO")</f>
        <v>LA JUNIO SRL</v>
      </c>
      <c r="H31" s="157">
        <v>30010.86</v>
      </c>
      <c r="I31" s="85"/>
      <c r="J31" s="158"/>
      <c r="K31" s="158">
        <v>3151.14</v>
      </c>
      <c r="L31" s="158"/>
      <c r="M31" s="158"/>
      <c r="N31" s="158"/>
      <c r="O31" s="158"/>
      <c r="P31" s="159">
        <f>SUM(compras_mes3[[#This Row],[NETO GRAVADO]:[Otros / No Grav.]])</f>
        <v>33162</v>
      </c>
      <c r="Q31" s="160" t="str">
        <f>IFERROR(IF(compras_mes3[[#This Row],[CUIT]]="","-",VLOOKUP(compras_mes3[[#This Row],[CUIT]],Lista_CUIT[#All],3,0)),"CUIT NO CARGADO")</f>
        <v>INSUMO</v>
      </c>
      <c r="R31" s="160" t="str">
        <f>IFERROR(IF(compras_mes3[[#This Row],[CUIT]]="","-",VLOOKUP(compras_mes3[[#This Row],[CUIT]],Lista_CUIT[#All],4,0)),"CUIT NO CARGADO")</f>
        <v>CABA</v>
      </c>
      <c r="S31" s="204"/>
    </row>
    <row r="32" spans="2:19" x14ac:dyDescent="0.3">
      <c r="B32" s="275">
        <v>45100</v>
      </c>
      <c r="C32" s="208">
        <v>1</v>
      </c>
      <c r="D32" s="276">
        <v>3</v>
      </c>
      <c r="E32" s="277">
        <v>1493657</v>
      </c>
      <c r="F32" s="278">
        <v>30712019359</v>
      </c>
      <c r="G32" s="279" t="str">
        <f>IFERROR(IF(compras_mes3[[#This Row],[CUIT]]="","-",VLOOKUP(compras_mes3[[#This Row],[CUIT]],Lista_CUIT[#All],2,0)),"CUIT NO CARGADO")</f>
        <v>LINKEDSTORE ARGENTINA S.R.L.</v>
      </c>
      <c r="H32" s="280">
        <v>6032.23</v>
      </c>
      <c r="I32" s="281">
        <f>IF(compras_mes3[[#This Row],[NETO GRAVADO]]="","",compras_mes3[[#This Row],[NETO GRAVADO]]*0.21)</f>
        <v>1266.7683</v>
      </c>
      <c r="J32" s="281"/>
      <c r="K32" s="281"/>
      <c r="L32" s="281"/>
      <c r="M32" s="281"/>
      <c r="N32" s="281"/>
      <c r="O32" s="281"/>
      <c r="P32" s="282">
        <f>SUM(compras_mes3[[#This Row],[NETO GRAVADO]:[Otros / No Grav.]])</f>
        <v>7298.9982999999993</v>
      </c>
      <c r="Q32" s="283" t="str">
        <f>IFERROR(IF(compras_mes3[[#This Row],[CUIT]]="","-",VLOOKUP(compras_mes3[[#This Row],[CUIT]],Lista_CUIT[#All],3,0)),"CUIT NO CARGADO")</f>
        <v>Gastos Varios</v>
      </c>
      <c r="R32" s="283">
        <f>IFERROR(IF(compras_mes3[[#This Row],[CUIT]]="","-",VLOOKUP(compras_mes3[[#This Row],[CUIT]],Lista_CUIT[#All],4,0)),"CUIT NO CARGADO")</f>
        <v>0</v>
      </c>
      <c r="S32" s="204"/>
    </row>
    <row r="33" spans="2:19" x14ac:dyDescent="0.3">
      <c r="B33" s="152">
        <v>45104</v>
      </c>
      <c r="C33" s="41">
        <v>1</v>
      </c>
      <c r="D33" s="153">
        <v>4</v>
      </c>
      <c r="E33" s="154">
        <v>2928</v>
      </c>
      <c r="F33" s="155">
        <v>30715002848</v>
      </c>
      <c r="G33" s="156" t="str">
        <f>IFERROR(IF(compras_mes3[[#This Row],[CUIT]]="","-",VLOOKUP(compras_mes3[[#This Row],[CUIT]],Lista_CUIT[#All],2,0)),"CUIT NO CARGADO")</f>
        <v>MASTER LEADER MUNDIAL S.A.</v>
      </c>
      <c r="H33" s="157">
        <v>8243.7999999999993</v>
      </c>
      <c r="I33" s="85">
        <f>IF(compras_mes3[[#This Row],[NETO GRAVADO]]="","",compras_mes3[[#This Row],[NETO GRAVADO]]*0.21)</f>
        <v>1731.1979999999999</v>
      </c>
      <c r="J33" s="158"/>
      <c r="K33" s="158"/>
      <c r="L33" s="158"/>
      <c r="M33" s="158"/>
      <c r="N33" s="158"/>
      <c r="O33" s="158"/>
      <c r="P33" s="159">
        <f>SUM(compras_mes3[[#This Row],[NETO GRAVADO]:[Otros / No Grav.]])</f>
        <v>9974.9979999999996</v>
      </c>
      <c r="Q33" s="160" t="str">
        <f>IFERROR(IF(compras_mes3[[#This Row],[CUIT]]="","-",VLOOKUP(compras_mes3[[#This Row],[CUIT]],Lista_CUIT[#All],3,0)),"CUIT NO CARGADO")</f>
        <v>INSUMO</v>
      </c>
      <c r="R33" s="160" t="str">
        <f>IFERROR(IF(compras_mes3[[#This Row],[CUIT]]="","-",VLOOKUP(compras_mes3[[#This Row],[CUIT]],Lista_CUIT[#All],4,0)),"CUIT NO CARGADO")</f>
        <v>BUENOS AIRES</v>
      </c>
      <c r="S33" s="204"/>
    </row>
    <row r="34" spans="2:19" x14ac:dyDescent="0.3">
      <c r="B34" s="152">
        <v>45090</v>
      </c>
      <c r="C34" s="41">
        <v>1</v>
      </c>
      <c r="D34" s="153">
        <v>6992</v>
      </c>
      <c r="E34" s="154">
        <v>15386</v>
      </c>
      <c r="F34" s="155">
        <v>30678774495</v>
      </c>
      <c r="G34" s="156" t="str">
        <f>IFERROR(IF(compras_mes3[[#This Row],[CUIT]]="","-",VLOOKUP(compras_mes3[[#This Row],[CUIT]],Lista_CUIT[#All],2,0)),"CUIT NO CARGADO")</f>
        <v>OPER. DE EST. DE SERV. SA</v>
      </c>
      <c r="H34" s="157">
        <v>7965.86</v>
      </c>
      <c r="I34" s="85">
        <f>IF(compras_mes3[[#This Row],[NETO GRAVADO]]="","",compras_mes3[[#This Row],[NETO GRAVADO]]*0.21)</f>
        <v>1672.8305999999998</v>
      </c>
      <c r="J34" s="158"/>
      <c r="K34" s="158"/>
      <c r="L34" s="158"/>
      <c r="M34" s="158"/>
      <c r="N34" s="158"/>
      <c r="O34" s="158">
        <v>1463.11</v>
      </c>
      <c r="P34" s="159">
        <f>SUM(compras_mes3[[#This Row],[NETO GRAVADO]:[Otros / No Grav.]])</f>
        <v>11101.8006</v>
      </c>
      <c r="Q34" s="160" t="str">
        <f>IFERROR(IF(compras_mes3[[#This Row],[CUIT]]="","-",VLOOKUP(compras_mes3[[#This Row],[CUIT]],Lista_CUIT[#All],3,0)),"CUIT NO CARGADO")</f>
        <v>COMBUSTIBLE</v>
      </c>
      <c r="R34" s="160">
        <f>IFERROR(IF(compras_mes3[[#This Row],[CUIT]]="","-",VLOOKUP(compras_mes3[[#This Row],[CUIT]],Lista_CUIT[#All],4,0)),"CUIT NO CARGADO")</f>
        <v>0</v>
      </c>
      <c r="S34" s="204"/>
    </row>
    <row r="35" spans="2:19" x14ac:dyDescent="0.3">
      <c r="B35" s="275">
        <v>45078</v>
      </c>
      <c r="C35" s="208">
        <v>1</v>
      </c>
      <c r="D35" s="276">
        <v>3</v>
      </c>
      <c r="E35" s="277">
        <v>652</v>
      </c>
      <c r="F35" s="278">
        <v>30715402765</v>
      </c>
      <c r="G35" s="279" t="str">
        <f>IFERROR(IF(compras_mes3[[#This Row],[CUIT]]="","-",VLOOKUP(compras_mes3[[#This Row],[CUIT]],Lista_CUIT[#All],2,0)),"CUIT NO CARGADO")</f>
        <v>RIO 265 S.R.L.</v>
      </c>
      <c r="H35" s="280">
        <v>14462.81</v>
      </c>
      <c r="I35" s="281">
        <f>IF(compras_mes3[[#This Row],[NETO GRAVADO]]="","",compras_mes3[[#This Row],[NETO GRAVADO]]*0.21)</f>
        <v>3037.1900999999998</v>
      </c>
      <c r="J35" s="281"/>
      <c r="K35" s="281"/>
      <c r="L35" s="281"/>
      <c r="M35" s="281"/>
      <c r="N35" s="281"/>
      <c r="O35" s="281"/>
      <c r="P35" s="282">
        <f>SUM(compras_mes3[[#This Row],[NETO GRAVADO]:[Otros / No Grav.]])</f>
        <v>17500.000099999997</v>
      </c>
      <c r="Q35" s="283" t="str">
        <f>IFERROR(IF(compras_mes3[[#This Row],[CUIT]]="","-",VLOOKUP(compras_mes3[[#This Row],[CUIT]],Lista_CUIT[#All],3,0)),"CUIT NO CARGADO")</f>
        <v>Gastos Varios</v>
      </c>
      <c r="R35" s="283">
        <f>IFERROR(IF(compras_mes3[[#This Row],[CUIT]]="","-",VLOOKUP(compras_mes3[[#This Row],[CUIT]],Lista_CUIT[#All],4,0)),"CUIT NO CARGADO")</f>
        <v>0</v>
      </c>
      <c r="S35" s="204"/>
    </row>
    <row r="36" spans="2:19" x14ac:dyDescent="0.3">
      <c r="B36" s="40">
        <v>45078</v>
      </c>
      <c r="C36" s="41">
        <v>1</v>
      </c>
      <c r="D36" s="42">
        <v>1</v>
      </c>
      <c r="E36" s="43">
        <v>613</v>
      </c>
      <c r="F36" s="44">
        <v>30715048066</v>
      </c>
      <c r="G36" s="45" t="str">
        <f>IFERROR(IF(compras_mes3[[#This Row],[CUIT]]="","-",VLOOKUP(compras_mes3[[#This Row],[CUIT]],Lista_CUIT[#All],2,0)),"CUIT NO CARGADO")</f>
        <v>ROLLS Y EMPANADAS SA</v>
      </c>
      <c r="H36" s="46">
        <v>128860</v>
      </c>
      <c r="I36" s="85">
        <f>IF(compras_mes3[[#This Row],[NETO GRAVADO]]="","",compras_mes3[[#This Row],[NETO GRAVADO]]*0.21)</f>
        <v>27060.6</v>
      </c>
      <c r="J36" s="85"/>
      <c r="K36" s="85"/>
      <c r="L36" s="85"/>
      <c r="M36" s="85"/>
      <c r="N36" s="85"/>
      <c r="O36" s="85"/>
      <c r="P36" s="48">
        <f>SUM(compras_mes3[[#This Row],[NETO GRAVADO]:[Otros / No Grav.]])</f>
        <v>155920.6</v>
      </c>
      <c r="Q36" s="49" t="str">
        <f>IFERROR(IF(compras_mes3[[#This Row],[CUIT]]="","-",VLOOKUP(compras_mes3[[#This Row],[CUIT]],Lista_CUIT[#All],3,0)),"CUIT NO CARGADO")</f>
        <v>CATERING</v>
      </c>
      <c r="R36" s="49">
        <f>IFERROR(IF(compras_mes3[[#This Row],[CUIT]]="","-",VLOOKUP(compras_mes3[[#This Row],[CUIT]],Lista_CUIT[#All],4,0)),"CUIT NO CARGADO")</f>
        <v>0</v>
      </c>
      <c r="S36" s="204"/>
    </row>
    <row r="37" spans="2:19" x14ac:dyDescent="0.3">
      <c r="B37" s="152">
        <v>45099</v>
      </c>
      <c r="C37" s="41">
        <v>1</v>
      </c>
      <c r="D37" s="153">
        <v>1</v>
      </c>
      <c r="E37" s="154">
        <v>631</v>
      </c>
      <c r="F37" s="155">
        <v>30715048066</v>
      </c>
      <c r="G37" s="156" t="str">
        <f>IFERROR(IF(compras_mes3[[#This Row],[CUIT]]="","-",VLOOKUP(compras_mes3[[#This Row],[CUIT]],Lista_CUIT[#All],2,0)),"CUIT NO CARGADO")</f>
        <v>ROLLS Y EMPANADAS SA</v>
      </c>
      <c r="H37" s="157">
        <v>134985</v>
      </c>
      <c r="I37" s="85">
        <f>IF(compras_mes3[[#This Row],[NETO GRAVADO]]="","",compras_mes3[[#This Row],[NETO GRAVADO]]*0.21)</f>
        <v>28346.85</v>
      </c>
      <c r="J37" s="158"/>
      <c r="K37" s="158"/>
      <c r="L37" s="158"/>
      <c r="M37" s="158"/>
      <c r="N37" s="158"/>
      <c r="O37" s="158"/>
      <c r="P37" s="159">
        <f>SUM(compras_mes3[[#This Row],[NETO GRAVADO]:[Otros / No Grav.]])</f>
        <v>163331.85</v>
      </c>
      <c r="Q37" s="160" t="str">
        <f>IFERROR(IF(compras_mes3[[#This Row],[CUIT]]="","-",VLOOKUP(compras_mes3[[#This Row],[CUIT]],Lista_CUIT[#All],3,0)),"CUIT NO CARGADO")</f>
        <v>CATERING</v>
      </c>
      <c r="R37" s="160">
        <f>IFERROR(IF(compras_mes3[[#This Row],[CUIT]]="","-",VLOOKUP(compras_mes3[[#This Row],[CUIT]],Lista_CUIT[#All],4,0)),"CUIT NO CARGADO")</f>
        <v>0</v>
      </c>
      <c r="S37" s="204"/>
    </row>
    <row r="38" spans="2:19" x14ac:dyDescent="0.3">
      <c r="B38" s="152">
        <v>45082</v>
      </c>
      <c r="C38" s="41">
        <v>1</v>
      </c>
      <c r="D38" s="153">
        <v>5</v>
      </c>
      <c r="E38" s="154">
        <v>4100</v>
      </c>
      <c r="F38" s="155">
        <v>20348111478</v>
      </c>
      <c r="G38" s="156" t="str">
        <f>IFERROR(IF(compras_mes3[[#This Row],[CUIT]]="","-",VLOOKUP(compras_mes3[[#This Row],[CUIT]],Lista_CUIT[#All],2,0)),"CUIT NO CARGADO")</f>
        <v>SAENZ GERMAN</v>
      </c>
      <c r="H38" s="157">
        <v>11161.98</v>
      </c>
      <c r="I38" s="85">
        <f>IF(compras_mes3[[#This Row],[NETO GRAVADO]]="","",compras_mes3[[#This Row],[NETO GRAVADO]]*0.21)</f>
        <v>2344.0157999999997</v>
      </c>
      <c r="J38" s="158"/>
      <c r="K38" s="158"/>
      <c r="L38" s="158"/>
      <c r="M38" s="158"/>
      <c r="N38" s="158"/>
      <c r="O38" s="158"/>
      <c r="P38" s="159">
        <f>SUM(compras_mes3[[#This Row],[NETO GRAVADO]:[Otros / No Grav.]])</f>
        <v>13505.995799999999</v>
      </c>
      <c r="Q38" s="160" t="str">
        <f>IFERROR(IF(compras_mes3[[#This Row],[CUIT]]="","-",VLOOKUP(compras_mes3[[#This Row],[CUIT]],Lista_CUIT[#All],3,0)),"CUIT NO CARGADO")</f>
        <v>INSUMO</v>
      </c>
      <c r="R38" s="160" t="str">
        <f>IFERROR(IF(compras_mes3[[#This Row],[CUIT]]="","-",VLOOKUP(compras_mes3[[#This Row],[CUIT]],Lista_CUIT[#All],4,0)),"CUIT NO CARGADO")</f>
        <v>BUENOS AIRES</v>
      </c>
      <c r="S38" s="204"/>
    </row>
    <row r="39" spans="2:19" x14ac:dyDescent="0.3">
      <c r="B39" s="152">
        <v>45098</v>
      </c>
      <c r="C39" s="41">
        <v>1</v>
      </c>
      <c r="D39" s="153">
        <v>15</v>
      </c>
      <c r="E39" s="154">
        <v>9453</v>
      </c>
      <c r="F39" s="155">
        <v>33708907869</v>
      </c>
      <c r="G39" s="156" t="str">
        <f>IFERROR(IF(compras_mes3[[#This Row],[CUIT]]="","-",VLOOKUP(compras_mes3[[#This Row],[CUIT]],Lista_CUIT[#All],2,0)),"CUIT NO CARGADO")</f>
        <v>SERCAP INSUMOS S.R.L.</v>
      </c>
      <c r="H39" s="157">
        <v>14932.13</v>
      </c>
      <c r="I39" s="85"/>
      <c r="J39" s="158"/>
      <c r="K39" s="158">
        <v>1567.87</v>
      </c>
      <c r="L39" s="158"/>
      <c r="M39" s="158"/>
      <c r="N39" s="158"/>
      <c r="O39" s="158"/>
      <c r="P39" s="159">
        <f>SUM(compras_mes3[[#This Row],[NETO GRAVADO]:[Otros / No Grav.]])</f>
        <v>16500</v>
      </c>
      <c r="Q39" s="160" t="str">
        <f>IFERROR(IF(compras_mes3[[#This Row],[CUIT]]="","-",VLOOKUP(compras_mes3[[#This Row],[CUIT]],Lista_CUIT[#All],3,0)),"CUIT NO CARGADO")</f>
        <v>INSUMO</v>
      </c>
      <c r="R39" s="160" t="str">
        <f>IFERROR(IF(compras_mes3[[#This Row],[CUIT]]="","-",VLOOKUP(compras_mes3[[#This Row],[CUIT]],Lista_CUIT[#All],4,0)),"CUIT NO CARGADO")</f>
        <v xml:space="preserve"> </v>
      </c>
      <c r="S39" s="204"/>
    </row>
    <row r="40" spans="2:19" x14ac:dyDescent="0.3">
      <c r="B40" s="152">
        <v>45107</v>
      </c>
      <c r="C40" s="41">
        <v>1</v>
      </c>
      <c r="D40" s="153">
        <v>6</v>
      </c>
      <c r="E40" s="154">
        <v>12077</v>
      </c>
      <c r="F40" s="155">
        <v>30707756434</v>
      </c>
      <c r="G40" s="156" t="str">
        <f>IFERROR(IF(compras_mes3[[#This Row],[CUIT]]="","-",VLOOKUP(compras_mes3[[#This Row],[CUIT]],Lista_CUIT[#All],2,0)),"CUIT NO CARGADO")</f>
        <v>SERVICIO INTEGRAL DE LIMPIEZA SRL</v>
      </c>
      <c r="H40" s="157">
        <v>33600</v>
      </c>
      <c r="I40" s="85">
        <f>IF(compras_mes3[[#This Row],[NETO GRAVADO]]="","",compras_mes3[[#This Row],[NETO GRAVADO]]*0.21)</f>
        <v>7056</v>
      </c>
      <c r="J40" s="158"/>
      <c r="K40" s="158"/>
      <c r="L40" s="158"/>
      <c r="M40" s="158"/>
      <c r="N40" s="158"/>
      <c r="O40" s="158"/>
      <c r="P40" s="159">
        <f>SUM(compras_mes3[[#This Row],[NETO GRAVADO]:[Otros / No Grav.]])</f>
        <v>40656</v>
      </c>
      <c r="Q40" s="160" t="str">
        <f>IFERROR(IF(compras_mes3[[#This Row],[CUIT]]="","-",VLOOKUP(compras_mes3[[#This Row],[CUIT]],Lista_CUIT[#All],3,0)),"CUIT NO CARGADO")</f>
        <v>Mantenimiento</v>
      </c>
      <c r="R40" s="160">
        <f>IFERROR(IF(compras_mes3[[#This Row],[CUIT]]="","-",VLOOKUP(compras_mes3[[#This Row],[CUIT]],Lista_CUIT[#All],4,0)),"CUIT NO CARGADO")</f>
        <v>0</v>
      </c>
      <c r="S40" s="204"/>
    </row>
    <row r="41" spans="2:19" x14ac:dyDescent="0.3">
      <c r="B41" s="275">
        <v>45088</v>
      </c>
      <c r="C41" s="208">
        <v>1</v>
      </c>
      <c r="D41" s="276">
        <v>2466</v>
      </c>
      <c r="E41" s="277">
        <v>519676</v>
      </c>
      <c r="F41" s="278">
        <v>30678814357</v>
      </c>
      <c r="G41" s="279" t="str">
        <f>IFERROR(IF(compras_mes3[[#This Row],[CUIT]]="","-",VLOOKUP(compras_mes3[[#This Row],[CUIT]],Lista_CUIT[#All],2,0)),"CUIT NO CARGADO")</f>
        <v>TELEFONICA MOVILES ARG</v>
      </c>
      <c r="H41" s="280">
        <v>4481</v>
      </c>
      <c r="I41" s="281"/>
      <c r="J41" s="281">
        <v>1209.8699999999999</v>
      </c>
      <c r="K41" s="281"/>
      <c r="L41" s="281">
        <v>134.43</v>
      </c>
      <c r="M41" s="281"/>
      <c r="N41" s="281"/>
      <c r="O41" s="281">
        <v>235.84</v>
      </c>
      <c r="P41" s="282">
        <f>SUM(compras_mes3[[#This Row],[NETO GRAVADO]:[Otros / No Grav.]])</f>
        <v>6061.14</v>
      </c>
      <c r="Q41" s="283" t="str">
        <f>IFERROR(IF(compras_mes3[[#This Row],[CUIT]]="","-",VLOOKUP(compras_mes3[[#This Row],[CUIT]],Lista_CUIT[#All],3,0)),"CUIT NO CARGADO")</f>
        <v>SERVICIOS</v>
      </c>
      <c r="R41" s="283">
        <f>IFERROR(IF(compras_mes3[[#This Row],[CUIT]]="","-",VLOOKUP(compras_mes3[[#This Row],[CUIT]],Lista_CUIT[#All],4,0)),"CUIT NO CARGADO")</f>
        <v>0</v>
      </c>
      <c r="S41" s="274" t="s">
        <v>1121</v>
      </c>
    </row>
    <row r="42" spans="2:19" x14ac:dyDescent="0.3">
      <c r="B42" s="152">
        <v>45096</v>
      </c>
      <c r="C42" s="41">
        <v>1</v>
      </c>
      <c r="D42" s="153">
        <v>42</v>
      </c>
      <c r="E42" s="154">
        <v>6635</v>
      </c>
      <c r="F42" s="155">
        <v>30662533072</v>
      </c>
      <c r="G42" s="156" t="str">
        <f>IFERROR(IF(compras_mes3[[#This Row],[CUIT]]="","-",VLOOKUP(compras_mes3[[#This Row],[CUIT]],Lista_CUIT[#All],2,0)),"CUIT NO CARGADO")</f>
        <v>ULTRALIGHT SRL</v>
      </c>
      <c r="H42" s="157">
        <v>15701.65</v>
      </c>
      <c r="I42" s="85">
        <f>IF(compras_mes3[[#This Row],[NETO GRAVADO]]="","",compras_mes3[[#This Row],[NETO GRAVADO]]*0.21)</f>
        <v>3297.3464999999997</v>
      </c>
      <c r="J42" s="158"/>
      <c r="K42" s="158"/>
      <c r="L42" s="158"/>
      <c r="M42" s="158"/>
      <c r="N42" s="158"/>
      <c r="O42" s="158"/>
      <c r="P42" s="159">
        <f>SUM(compras_mes3[[#This Row],[NETO GRAVADO]:[Otros / No Grav.]])</f>
        <v>18998.996500000001</v>
      </c>
      <c r="Q42" s="160" t="str">
        <f>IFERROR(IF(compras_mes3[[#This Row],[CUIT]]="","-",VLOOKUP(compras_mes3[[#This Row],[CUIT]],Lista_CUIT[#All],3,0)),"CUIT NO CARGADO")</f>
        <v>INSUMO</v>
      </c>
      <c r="R42" s="160" t="str">
        <f>IFERROR(IF(compras_mes3[[#This Row],[CUIT]]="","-",VLOOKUP(compras_mes3[[#This Row],[CUIT]],Lista_CUIT[#All],4,0)),"CUIT NO CARGADO")</f>
        <v>CABA</v>
      </c>
      <c r="S42" s="274" t="s">
        <v>1121</v>
      </c>
    </row>
    <row r="43" spans="2:19" x14ac:dyDescent="0.3">
      <c r="B43" s="275">
        <v>45084</v>
      </c>
      <c r="C43" s="208">
        <v>1</v>
      </c>
      <c r="D43" s="276">
        <v>10</v>
      </c>
      <c r="E43" s="277">
        <v>193</v>
      </c>
      <c r="F43" s="278">
        <v>20388544539</v>
      </c>
      <c r="G43" s="279" t="str">
        <f>IFERROR(IF(compras_mes3[[#This Row],[CUIT]]="","-",VLOOKUP(compras_mes3[[#This Row],[CUIT]],Lista_CUIT[#All],2,0)),"CUIT NO CARGADO")</f>
        <v>WARD IVAN NICOLAS</v>
      </c>
      <c r="H43" s="280">
        <v>12578.51</v>
      </c>
      <c r="I43" s="281">
        <f>IF(compras_mes3[[#This Row],[NETO GRAVADO]]="","",compras_mes3[[#This Row],[NETO GRAVADO]]*0.21)</f>
        <v>2641.4870999999998</v>
      </c>
      <c r="J43" s="281"/>
      <c r="K43" s="281"/>
      <c r="L43" s="281"/>
      <c r="M43" s="281"/>
      <c r="N43" s="281"/>
      <c r="O43" s="281"/>
      <c r="P43" s="282">
        <f>SUM(compras_mes3[[#This Row],[NETO GRAVADO]:[Otros / No Grav.]])</f>
        <v>15219.997100000001</v>
      </c>
      <c r="Q43" s="283">
        <f>IFERROR(IF(compras_mes3[[#This Row],[CUIT]]="","-",VLOOKUP(compras_mes3[[#This Row],[CUIT]],Lista_CUIT[#All],3,0)),"CUIT NO CARGADO")</f>
        <v>0</v>
      </c>
      <c r="R43" s="283">
        <f>IFERROR(IF(compras_mes3[[#This Row],[CUIT]]="","-",VLOOKUP(compras_mes3[[#This Row],[CUIT]],Lista_CUIT[#All],4,0)),"CUIT NO CARGADO")</f>
        <v>0</v>
      </c>
      <c r="S43" s="204"/>
    </row>
    <row r="44" spans="2:19" ht="18" customHeight="1" x14ac:dyDescent="0.3">
      <c r="B44" s="96" t="s">
        <v>110</v>
      </c>
      <c r="C44" s="96"/>
      <c r="D44" s="96"/>
      <c r="E44" s="96"/>
      <c r="F44" s="96"/>
      <c r="G44" s="97"/>
      <c r="H44" s="98">
        <f>SUBTOTAL(109,compras_mes3[NETO GRAVADO])</f>
        <v>2178475.4449999998</v>
      </c>
      <c r="I44" s="98">
        <f>SUBTOTAL(109,compras_mes3[IVA 21 %])</f>
        <v>437597.56344999996</v>
      </c>
      <c r="J44" s="98">
        <f>SUBTOTAL(109,compras_mes3[IVA 27%])</f>
        <v>1209.8699999999999</v>
      </c>
      <c r="K44" s="98">
        <f>SUBTOTAL(109,compras_mes3[IVA 10,5%])</f>
        <v>9470.82</v>
      </c>
      <c r="L44" s="98">
        <f>SUBTOTAL(109,compras_mes3[PERC. IVA])</f>
        <v>134.43</v>
      </c>
      <c r="M44" s="98">
        <f>SUBTOTAL(109,compras_mes3[PERC IIBB 
BS AS])</f>
        <v>0</v>
      </c>
      <c r="N44" s="98">
        <f>SUBTOTAL(109,compras_mes3[PERC. IIBB CABA])</f>
        <v>0</v>
      </c>
      <c r="O44" s="98">
        <f>SUBTOTAL(109,compras_mes3[Otros / No Grav.])</f>
        <v>-175979.48</v>
      </c>
      <c r="P44" s="98">
        <f>SUBTOTAL(109,compras_mes3[TOTAL])</f>
        <v>2450908.6484500002</v>
      </c>
      <c r="Q44" s="96"/>
      <c r="R44" s="96"/>
    </row>
    <row r="45" spans="2:19" x14ac:dyDescent="0.3">
      <c r="B45" s="40"/>
      <c r="C45" s="41"/>
      <c r="D45" s="42"/>
      <c r="E45" s="43"/>
      <c r="F45" s="44"/>
      <c r="G45" s="45"/>
      <c r="H45" s="46"/>
      <c r="I45" s="47"/>
      <c r="J45" s="47"/>
      <c r="K45" s="47"/>
      <c r="L45" s="47"/>
      <c r="M45" s="47"/>
      <c r="N45" s="47"/>
      <c r="O45" s="47"/>
      <c r="P45" s="48"/>
      <c r="Q45" s="49"/>
      <c r="R45" s="49"/>
    </row>
    <row r="46" spans="2:19" x14ac:dyDescent="0.3">
      <c r="B46" s="40"/>
      <c r="C46" s="41"/>
      <c r="D46" s="42"/>
      <c r="E46" s="43"/>
      <c r="F46" s="44"/>
      <c r="G46" s="45"/>
      <c r="H46" s="46"/>
      <c r="I46" s="47"/>
      <c r="J46" s="47"/>
      <c r="K46" s="47"/>
      <c r="L46" s="47"/>
      <c r="M46" s="47"/>
      <c r="N46" s="47"/>
      <c r="O46" s="47"/>
      <c r="P46" s="48"/>
      <c r="Q46" s="49"/>
      <c r="R46" s="49"/>
    </row>
    <row r="47" spans="2:19" x14ac:dyDescent="0.3">
      <c r="B47" s="40"/>
      <c r="C47" s="41"/>
      <c r="D47" s="42"/>
      <c r="E47" s="43"/>
      <c r="F47" s="44"/>
      <c r="G47" s="45"/>
      <c r="H47" s="46"/>
      <c r="I47" s="47"/>
      <c r="J47" s="47"/>
      <c r="K47" s="47"/>
      <c r="L47" s="47"/>
      <c r="M47" s="47"/>
      <c r="N47" s="47"/>
      <c r="O47" s="47"/>
      <c r="P47" s="48"/>
      <c r="Q47" s="49"/>
      <c r="R47" s="49"/>
    </row>
    <row r="48" spans="2:19" x14ac:dyDescent="0.3">
      <c r="B48" s="40"/>
      <c r="C48" s="41"/>
      <c r="D48" s="42"/>
      <c r="E48" s="43"/>
      <c r="F48" s="44"/>
      <c r="G48" s="45"/>
      <c r="H48" s="46"/>
      <c r="I48" s="47"/>
      <c r="J48" s="47"/>
      <c r="K48" s="47"/>
      <c r="L48" s="47"/>
    </row>
    <row r="49" spans="4:12" ht="21" x14ac:dyDescent="0.3">
      <c r="D49" s="414" t="s">
        <v>15</v>
      </c>
      <c r="E49" s="414"/>
      <c r="F49" s="414"/>
      <c r="G49" s="414"/>
      <c r="H49" s="414"/>
      <c r="I49" s="414"/>
      <c r="J49" s="414"/>
      <c r="K49" s="414"/>
      <c r="L49" s="414"/>
    </row>
    <row r="50" spans="4:12" ht="15.6" x14ac:dyDescent="0.3">
      <c r="D50" s="73" t="s">
        <v>0</v>
      </c>
      <c r="E50" s="74" t="s">
        <v>26</v>
      </c>
      <c r="F50" s="74" t="s">
        <v>16</v>
      </c>
      <c r="G50" s="74" t="s">
        <v>5</v>
      </c>
      <c r="H50" s="74" t="s">
        <v>17</v>
      </c>
      <c r="I50" s="74" t="s">
        <v>7</v>
      </c>
      <c r="J50" s="75" t="s">
        <v>18</v>
      </c>
      <c r="K50" s="75" t="s">
        <v>19</v>
      </c>
      <c r="L50" s="76" t="s">
        <v>20</v>
      </c>
    </row>
    <row r="51" spans="4:12" x14ac:dyDescent="0.3">
      <c r="D51" s="50">
        <v>45079</v>
      </c>
      <c r="E51" s="154">
        <v>103467</v>
      </c>
      <c r="F51" s="80" t="s">
        <v>1117</v>
      </c>
      <c r="G51" s="81">
        <v>6021.25</v>
      </c>
      <c r="H51" s="81">
        <f>extracto_banco_mes3[[#This Row],[NETO]]*0.21</f>
        <v>1264.4624999999999</v>
      </c>
      <c r="I51" s="81"/>
      <c r="J51" s="81"/>
      <c r="K51" s="81">
        <v>180.64</v>
      </c>
      <c r="L51" s="81"/>
    </row>
    <row r="52" spans="4:12" x14ac:dyDescent="0.3">
      <c r="D52" s="50">
        <v>45107</v>
      </c>
      <c r="E52" s="154">
        <v>300623</v>
      </c>
      <c r="F52" s="80" t="s">
        <v>1202</v>
      </c>
      <c r="G52" s="81">
        <v>23306.54</v>
      </c>
      <c r="H52" s="81">
        <f>extracto_banco_mes3[[#This Row],[NETO]]*0.21</f>
        <v>4894.3734000000004</v>
      </c>
      <c r="I52" s="81"/>
      <c r="J52" s="81"/>
      <c r="K52" s="81">
        <v>678.8</v>
      </c>
      <c r="L52" s="81"/>
    </row>
    <row r="53" spans="4:12" x14ac:dyDescent="0.3">
      <c r="D53" s="194">
        <v>45106</v>
      </c>
      <c r="E53" s="154">
        <v>1037971</v>
      </c>
      <c r="F53" s="196" t="s">
        <v>1180</v>
      </c>
      <c r="G53" s="197">
        <v>2562</v>
      </c>
      <c r="H53" s="197">
        <f>extracto_banco_mes3[[#This Row],[NETO]]*0.21</f>
        <v>538.02</v>
      </c>
      <c r="I53" s="197"/>
      <c r="J53" s="197"/>
      <c r="K53" s="197">
        <v>76.86</v>
      </c>
      <c r="L53" s="197"/>
    </row>
    <row r="54" spans="4:12" ht="17.25" customHeight="1" x14ac:dyDescent="0.3">
      <c r="D54" s="82" t="s">
        <v>110</v>
      </c>
      <c r="E54" s="80"/>
      <c r="F54" s="80"/>
      <c r="G54" s="83">
        <f>SUBTOTAL(109,extracto_banco_mes3[NETO])</f>
        <v>31889.79</v>
      </c>
      <c r="H54" s="83">
        <f>SUBTOTAL(109,extracto_banco_mes3[IVA 21%])</f>
        <v>6696.8559000000005</v>
      </c>
      <c r="I54" s="83">
        <f>SUBTOTAL(109,extracto_banco_mes3[IVA 10,5%])</f>
        <v>0</v>
      </c>
      <c r="J54" s="83">
        <f>SUBTOTAL(109,extracto_banco_mes3[RET IIBB CABA])</f>
        <v>0</v>
      </c>
      <c r="K54" s="83">
        <f>SUBTOTAL(109,extracto_banco_mes3[PERC IVA])</f>
        <v>936.3</v>
      </c>
      <c r="L54" s="83">
        <f>SUBTOTAL(109,extracto_banco_mes3[PERC IIBB])</f>
        <v>0</v>
      </c>
    </row>
    <row r="56" spans="4:12" ht="21" x14ac:dyDescent="0.3">
      <c r="D56" s="414" t="s">
        <v>25</v>
      </c>
      <c r="E56" s="414"/>
      <c r="F56" s="414"/>
      <c r="G56" s="414"/>
      <c r="H56" s="414"/>
      <c r="I56" s="414"/>
      <c r="J56" s="414"/>
      <c r="K56" s="414"/>
    </row>
    <row r="57" spans="4:12" x14ac:dyDescent="0.3">
      <c r="D57" s="51" t="s">
        <v>0</v>
      </c>
      <c r="E57" s="51" t="s">
        <v>2</v>
      </c>
      <c r="F57" s="51" t="s">
        <v>74</v>
      </c>
      <c r="G57" s="51" t="s">
        <v>3</v>
      </c>
      <c r="H57" s="51" t="s">
        <v>4</v>
      </c>
      <c r="I57" s="52" t="s">
        <v>10</v>
      </c>
      <c r="J57" s="51" t="s">
        <v>13</v>
      </c>
      <c r="K57" s="51" t="s">
        <v>38</v>
      </c>
    </row>
    <row r="58" spans="4:12" x14ac:dyDescent="0.3">
      <c r="D58" s="40">
        <v>45082</v>
      </c>
      <c r="E58" s="161">
        <v>1</v>
      </c>
      <c r="F58" s="161">
        <v>100</v>
      </c>
      <c r="G58" s="141">
        <v>20341465134</v>
      </c>
      <c r="H58" s="142" t="str">
        <f>IFERROR(IF(factura_c_mes3[[#This Row],[CUIT]]="","-",VLOOKUP(factura_c_mes3[[#This Row],[CUIT]],Lista_CUIT[#All],2,0)),"CUIT NO CARGADO")</f>
        <v>ABELEDO AGUSTIN ENRIQUE</v>
      </c>
      <c r="I58" s="162">
        <v>281660</v>
      </c>
      <c r="J58" s="163" t="str">
        <f>IFERROR(IF(factura_c_mes3[[#This Row],[CUIT]]="","-",VLOOKUP(factura_c_mes3[[#This Row],[CUIT]],Lista_CUIT[#All],3,0)),"CUIT NO CARGADO")</f>
        <v>Mantenimiento</v>
      </c>
      <c r="K58" s="163" t="str">
        <f>IFERROR(IF(factura_c_mes3[[#This Row],[CUIT]]="","-",VLOOKUP(factura_c_mes3[[#This Row],[CUIT]],Lista_CUIT[#All],4,0)),"CUIT NO CARGADO")</f>
        <v>CABA</v>
      </c>
    </row>
    <row r="59" spans="4:12" x14ac:dyDescent="0.3">
      <c r="D59" s="40">
        <v>45078</v>
      </c>
      <c r="E59" s="161">
        <v>4</v>
      </c>
      <c r="F59" s="161">
        <v>47</v>
      </c>
      <c r="G59" s="141">
        <v>23214737914</v>
      </c>
      <c r="H59" s="142" t="str">
        <f>IFERROR(IF(factura_c_mes3[[#This Row],[CUIT]]="","-",VLOOKUP(factura_c_mes3[[#This Row],[CUIT]],Lista_CUIT[#All],2,0)),"CUIT NO CARGADO")</f>
        <v>SBARRA GABRIELA BEATRIZ</v>
      </c>
      <c r="I59" s="162">
        <v>301780</v>
      </c>
      <c r="J59" s="163">
        <f>IFERROR(IF(factura_c_mes3[[#This Row],[CUIT]]="","-",VLOOKUP(factura_c_mes3[[#This Row],[CUIT]],Lista_CUIT[#All],3,0)),"CUIT NO CARGADO")</f>
        <v>0</v>
      </c>
      <c r="K59" s="163">
        <f>IFERROR(IF(factura_c_mes3[[#This Row],[CUIT]]="","-",VLOOKUP(factura_c_mes3[[#This Row],[CUIT]],Lista_CUIT[#All],4,0)),"CUIT NO CARGADO")</f>
        <v>0</v>
      </c>
    </row>
    <row r="60" spans="4:12" x14ac:dyDescent="0.3">
      <c r="D60" s="40">
        <v>45078</v>
      </c>
      <c r="E60" s="161">
        <v>2</v>
      </c>
      <c r="F60" s="161">
        <v>145</v>
      </c>
      <c r="G60" s="141">
        <v>20136544625</v>
      </c>
      <c r="H60" s="142" t="str">
        <f>IFERROR(IF(factura_c_mes3[[#This Row],[CUIT]]="","-",VLOOKUP(factura_c_mes3[[#This Row],[CUIT]],Lista_CUIT[#All],2,0)),"CUIT NO CARGADO")</f>
        <v>RODRIGUEZ DE LA FUEN HECTOR MARCELO</v>
      </c>
      <c r="I60" s="162">
        <v>300000</v>
      </c>
      <c r="J60" s="163" t="str">
        <f>IFERROR(IF(factura_c_mes3[[#This Row],[CUIT]]="","-",VLOOKUP(factura_c_mes3[[#This Row],[CUIT]],Lista_CUIT[#All],3,0)),"CUIT NO CARGADO")</f>
        <v>Hon. Admin.</v>
      </c>
      <c r="K60" s="163">
        <f>IFERROR(IF(factura_c_mes3[[#This Row],[CUIT]]="","-",VLOOKUP(factura_c_mes3[[#This Row],[CUIT]],Lista_CUIT[#All],4,0)),"CUIT NO CARGADO")</f>
        <v>0</v>
      </c>
    </row>
    <row r="61" spans="4:12" x14ac:dyDescent="0.3">
      <c r="D61" s="40">
        <v>45078</v>
      </c>
      <c r="E61" s="161">
        <v>1</v>
      </c>
      <c r="F61" s="161">
        <v>24</v>
      </c>
      <c r="G61" s="141">
        <v>20365938688</v>
      </c>
      <c r="H61" s="142" t="str">
        <f>IFERROR(IF(factura_c_mes3[[#This Row],[CUIT]]="","-",VLOOKUP(factura_c_mes3[[#This Row],[CUIT]],Lista_CUIT[#All],2,0)),"CUIT NO CARGADO")</f>
        <v>LIPANOVICH JUAN CRUZ</v>
      </c>
      <c r="I61" s="162">
        <v>450000</v>
      </c>
      <c r="J61" s="163" t="str">
        <f>IFERROR(IF(factura_c_mes3[[#This Row],[CUIT]]="","-",VLOOKUP(factura_c_mes3[[#This Row],[CUIT]],Lista_CUIT[#All],3,0)),"CUIT NO CARGADO")</f>
        <v>SOFTWARE</v>
      </c>
      <c r="K61" s="163">
        <f>IFERROR(IF(factura_c_mes3[[#This Row],[CUIT]]="","-",VLOOKUP(factura_c_mes3[[#This Row],[CUIT]],Lista_CUIT[#All],4,0)),"CUIT NO CARGADO")</f>
        <v>0</v>
      </c>
    </row>
    <row r="62" spans="4:12" x14ac:dyDescent="0.3">
      <c r="D62" s="40">
        <v>45078</v>
      </c>
      <c r="E62" s="161">
        <v>3</v>
      </c>
      <c r="F62" s="161">
        <v>742</v>
      </c>
      <c r="G62" s="141">
        <v>20086277523</v>
      </c>
      <c r="H62" s="142" t="str">
        <f>IFERROR(IF(factura_c_mes3[[#This Row],[CUIT]]="","-",VLOOKUP(factura_c_mes3[[#This Row],[CUIT]],Lista_CUIT[#All],2,0)),"CUIT NO CARGADO")</f>
        <v>ESTUDIO BOTINDARI</v>
      </c>
      <c r="I62" s="162">
        <v>81000</v>
      </c>
      <c r="J62" s="163" t="str">
        <f>IFERROR(IF(factura_c_mes3[[#This Row],[CUIT]]="","-",VLOOKUP(factura_c_mes3[[#This Row],[CUIT]],Lista_CUIT[#All],3,0)),"CUIT NO CARGADO")</f>
        <v>HONORARIOS</v>
      </c>
      <c r="K62" s="163">
        <f>IFERROR(IF(factura_c_mes3[[#This Row],[CUIT]]="","-",VLOOKUP(factura_c_mes3[[#This Row],[CUIT]],Lista_CUIT[#All],4,0)),"CUIT NO CARGADO")</f>
        <v>0</v>
      </c>
    </row>
    <row r="63" spans="4:12" x14ac:dyDescent="0.3">
      <c r="D63" s="40">
        <v>45081</v>
      </c>
      <c r="E63" s="161">
        <v>2</v>
      </c>
      <c r="F63" s="161">
        <v>84</v>
      </c>
      <c r="G63" s="141">
        <v>20244271740</v>
      </c>
      <c r="H63" s="142" t="str">
        <f>IFERROR(IF(factura_c_mes3[[#This Row],[CUIT]]="","-",VLOOKUP(factura_c_mes3[[#This Row],[CUIT]],Lista_CUIT[#All],2,0)),"CUIT NO CARGADO")</f>
        <v>KENNEL SEBASTIAN</v>
      </c>
      <c r="I63" s="162">
        <v>386400</v>
      </c>
      <c r="J63" s="163" t="str">
        <f>IFERROR(IF(factura_c_mes3[[#This Row],[CUIT]]="","-",VLOOKUP(factura_c_mes3[[#This Row],[CUIT]],Lista_CUIT[#All],3,0)),"CUIT NO CARGADO")</f>
        <v>Software Mantenimiento</v>
      </c>
      <c r="K63" s="163">
        <f>IFERROR(IF(factura_c_mes3[[#This Row],[CUIT]]="","-",VLOOKUP(factura_c_mes3[[#This Row],[CUIT]],Lista_CUIT[#All],4,0)),"CUIT NO CARGADO")</f>
        <v>0</v>
      </c>
    </row>
    <row r="64" spans="4:12" x14ac:dyDescent="0.3">
      <c r="D64" s="40">
        <v>45084</v>
      </c>
      <c r="E64" s="161">
        <v>3</v>
      </c>
      <c r="F64" s="161">
        <v>53</v>
      </c>
      <c r="G64" s="141">
        <v>20403931420</v>
      </c>
      <c r="H64" s="142" t="str">
        <f>IFERROR(IF(factura_c_mes3[[#This Row],[CUIT]]="","-",VLOOKUP(factura_c_mes3[[#This Row],[CUIT]],Lista_CUIT[#All],2,0)),"CUIT NO CARGADO")</f>
        <v>FIORENTINO JORGE IGNACIO</v>
      </c>
      <c r="I64" s="162">
        <v>149120</v>
      </c>
      <c r="J64" s="163" t="str">
        <f>IFERROR(IF(factura_c_mes3[[#This Row],[CUIT]]="","-",VLOOKUP(factura_c_mes3[[#This Row],[CUIT]],Lista_CUIT[#All],3,0)),"CUIT NO CARGADO")</f>
        <v>Hon. Admin.</v>
      </c>
      <c r="K64" s="163">
        <f>IFERROR(IF(factura_c_mes3[[#This Row],[CUIT]]="","-",VLOOKUP(factura_c_mes3[[#This Row],[CUIT]],Lista_CUIT[#All],4,0)),"CUIT NO CARGADO")</f>
        <v>0</v>
      </c>
    </row>
    <row r="65" spans="2:18" x14ac:dyDescent="0.3">
      <c r="D65" s="40">
        <v>45086</v>
      </c>
      <c r="E65" s="161">
        <v>1</v>
      </c>
      <c r="F65" s="161">
        <v>19</v>
      </c>
      <c r="G65" s="141">
        <v>20417805878</v>
      </c>
      <c r="H65" s="142" t="str">
        <f>IFERROR(IF(factura_c_mes3[[#This Row],[CUIT]]="","-",VLOOKUP(factura_c_mes3[[#This Row],[CUIT]],Lista_CUIT[#All],2,0)),"CUIT NO CARGADO")</f>
        <v>FERABOLI OSPAL SANTIAGO HERNAN</v>
      </c>
      <c r="I65" s="162">
        <v>128720</v>
      </c>
      <c r="J65" s="163" t="str">
        <f>IFERROR(IF(factura_c_mes3[[#This Row],[CUIT]]="","-",VLOOKUP(factura_c_mes3[[#This Row],[CUIT]],Lista_CUIT[#All],3,0)),"CUIT NO CARGADO")</f>
        <v>Mantenimiento</v>
      </c>
      <c r="K65" s="163">
        <f>IFERROR(IF(factura_c_mes3[[#This Row],[CUIT]]="","-",VLOOKUP(factura_c_mes3[[#This Row],[CUIT]],Lista_CUIT[#All],4,0)),"CUIT NO CARGADO")</f>
        <v>0</v>
      </c>
    </row>
    <row r="66" spans="2:18" x14ac:dyDescent="0.3">
      <c r="D66" s="40">
        <v>45089</v>
      </c>
      <c r="E66" s="161">
        <v>2</v>
      </c>
      <c r="F66" s="161">
        <v>572</v>
      </c>
      <c r="G66" s="141">
        <v>20400104094</v>
      </c>
      <c r="H66" s="142" t="str">
        <f>IFERROR(IF(factura_c_mes3[[#This Row],[CUIT]]="","-",VLOOKUP(factura_c_mes3[[#This Row],[CUIT]],Lista_CUIT[#All],2,0)),"CUIT NO CARGADO")</f>
        <v>FEDERICO BOTINDARI</v>
      </c>
      <c r="I66" s="162">
        <v>15432</v>
      </c>
      <c r="J66" s="163" t="str">
        <f>IFERROR(IF(factura_c_mes3[[#This Row],[CUIT]]="","-",VLOOKUP(factura_c_mes3[[#This Row],[CUIT]],Lista_CUIT[#All],3,0)),"CUIT NO CARGADO")</f>
        <v>HONORARIOS</v>
      </c>
      <c r="K66" s="163">
        <f>IFERROR(IF(factura_c_mes3[[#This Row],[CUIT]]="","-",VLOOKUP(factura_c_mes3[[#This Row],[CUIT]],Lista_CUIT[#All],4,0)),"CUIT NO CARGADO")</f>
        <v>0</v>
      </c>
    </row>
    <row r="67" spans="2:18" x14ac:dyDescent="0.3">
      <c r="D67" s="40">
        <v>45089</v>
      </c>
      <c r="E67" s="161">
        <v>4</v>
      </c>
      <c r="F67" s="161">
        <v>48</v>
      </c>
      <c r="G67" s="141">
        <v>23214737914</v>
      </c>
      <c r="H67" s="142" t="str">
        <f>IFERROR(IF(factura_c_mes3[[#This Row],[CUIT]]="","-",VLOOKUP(factura_c_mes3[[#This Row],[CUIT]],Lista_CUIT[#All],2,0)),"CUIT NO CARGADO")</f>
        <v>SBARRA GABRIELA BEATRIZ</v>
      </c>
      <c r="I67" s="162">
        <v>266770</v>
      </c>
      <c r="J67" s="163">
        <f>IFERROR(IF(factura_c_mes3[[#This Row],[CUIT]]="","-",VLOOKUP(factura_c_mes3[[#This Row],[CUIT]],Lista_CUIT[#All],3,0)),"CUIT NO CARGADO")</f>
        <v>0</v>
      </c>
      <c r="K67" s="163">
        <f>IFERROR(IF(factura_c_mes3[[#This Row],[CUIT]]="","-",VLOOKUP(factura_c_mes3[[#This Row],[CUIT]],Lista_CUIT[#All],4,0)),"CUIT NO CARGADO")</f>
        <v>0</v>
      </c>
    </row>
    <row r="68" spans="2:18" x14ac:dyDescent="0.3">
      <c r="D68" s="40">
        <v>45098</v>
      </c>
      <c r="E68" s="161">
        <v>4</v>
      </c>
      <c r="F68" s="161">
        <v>14</v>
      </c>
      <c r="G68" s="141">
        <v>20341462933</v>
      </c>
      <c r="H68" s="142" t="str">
        <f>IFERROR(IF(factura_c_mes3[[#This Row],[CUIT]]="","-",VLOOKUP(factura_c_mes3[[#This Row],[CUIT]],Lista_CUIT[#All],2,0)),"CUIT NO CARGADO")</f>
        <v>CASTIGLIONI MATIAS EZEQUIEL</v>
      </c>
      <c r="I68" s="162">
        <v>488500</v>
      </c>
      <c r="J68" s="163" t="str">
        <f>IFERROR(IF(factura_c_mes3[[#This Row],[CUIT]]="","-",VLOOKUP(factura_c_mes3[[#This Row],[CUIT]],Lista_CUIT[#All],3,0)),"CUIT NO CARGADO")</f>
        <v>ASESORAMIENTO</v>
      </c>
      <c r="K68" s="163" t="str">
        <f>IFERROR(IF(factura_c_mes3[[#This Row],[CUIT]]="","-",VLOOKUP(factura_c_mes3[[#This Row],[CUIT]],Lista_CUIT[#All],4,0)),"CUIT NO CARGADO")</f>
        <v>BUENOS AIRES</v>
      </c>
    </row>
    <row r="69" spans="2:18" x14ac:dyDescent="0.3">
      <c r="D69" s="40">
        <v>45078</v>
      </c>
      <c r="E69" s="161">
        <v>7</v>
      </c>
      <c r="F69" s="161">
        <v>316588</v>
      </c>
      <c r="G69" s="141">
        <v>20259150249</v>
      </c>
      <c r="H69" s="142" t="str">
        <f>IFERROR(IF(factura_c_mes3[[#This Row],[CUIT]]="","-",VLOOKUP(factura_c_mes3[[#This Row],[CUIT]],Lista_CUIT[#All],2,0)),"CUIT NO CARGADO")</f>
        <v>BIANCHI CRISTIAN MAXIMILIANO</v>
      </c>
      <c r="I69" s="162">
        <v>15455.08</v>
      </c>
      <c r="J69" s="163" t="str">
        <f>IFERROR(IF(factura_c_mes3[[#This Row],[CUIT]]="","-",VLOOKUP(factura_c_mes3[[#This Row],[CUIT]],Lista_CUIT[#All],3,0)),"CUIT NO CARGADO")</f>
        <v>Gastos Varios</v>
      </c>
      <c r="K69" s="163">
        <f>IFERROR(IF(factura_c_mes3[[#This Row],[CUIT]]="","-",VLOOKUP(factura_c_mes3[[#This Row],[CUIT]],Lista_CUIT[#All],4,0)),"CUIT NO CARGADO")</f>
        <v>0</v>
      </c>
    </row>
    <row r="70" spans="2:18" x14ac:dyDescent="0.3">
      <c r="D70" s="40">
        <v>45078</v>
      </c>
      <c r="E70" s="161">
        <v>4</v>
      </c>
      <c r="F70" s="161">
        <v>46218</v>
      </c>
      <c r="G70" s="141">
        <v>30716998718</v>
      </c>
      <c r="H70" s="142" t="str">
        <f>IFERROR(IF(factura_c_mes3[[#This Row],[CUIT]]="","-",VLOOKUP(factura_c_mes3[[#This Row],[CUIT]],Lista_CUIT[#All],2,0)),"CUIT NO CARGADO")</f>
        <v>FIDO ARGENTINA SRL</v>
      </c>
      <c r="I70" s="162">
        <v>21628</v>
      </c>
      <c r="J70" s="163" t="str">
        <f>IFERROR(IF(factura_c_mes3[[#This Row],[CUIT]]="","-",VLOOKUP(factura_c_mes3[[#This Row],[CUIT]],Lista_CUIT[#All],3,0)),"CUIT NO CARGADO")</f>
        <v>Gastos Varios</v>
      </c>
      <c r="K70" s="163">
        <f>IFERROR(IF(factura_c_mes3[[#This Row],[CUIT]]="","-",VLOOKUP(factura_c_mes3[[#This Row],[CUIT]],Lista_CUIT[#All],4,0)),"CUIT NO CARGADO")</f>
        <v>0</v>
      </c>
    </row>
    <row r="71" spans="2:18" x14ac:dyDescent="0.3">
      <c r="D71" s="50">
        <v>45100</v>
      </c>
      <c r="E71" s="42">
        <v>4</v>
      </c>
      <c r="F71" s="43">
        <v>94073</v>
      </c>
      <c r="G71" s="44">
        <v>20347495027</v>
      </c>
      <c r="H71" s="53" t="str">
        <f>IFERROR(IF(factura_c_mes3[[#This Row],[CUIT]]="","-",VLOOKUP(factura_c_mes3[[#This Row],[CUIT]],Lista_CUIT[#All],2,0)),"CUIT NO CARGADO")</f>
        <v>BARRAGAN FEDERICO ANDRES</v>
      </c>
      <c r="I71" s="81">
        <v>5571</v>
      </c>
      <c r="J71" s="54">
        <f>IFERROR(IF(factura_c_mes3[[#This Row],[CUIT]]="","-",VLOOKUP(factura_c_mes3[[#This Row],[CUIT]],Lista_CUIT[#All],3,0)),"CUIT NO CARGADO")</f>
        <v>0</v>
      </c>
      <c r="K71" s="54">
        <f>IFERROR(IF(factura_c_mes3[[#This Row],[CUIT]]="","-",VLOOKUP(factura_c_mes3[[#This Row],[CUIT]],Lista_CUIT[#All],4,0)),"CUIT NO CARGADO")</f>
        <v>0</v>
      </c>
    </row>
    <row r="72" spans="2:18" x14ac:dyDescent="0.3">
      <c r="D72" s="55" t="s">
        <v>110</v>
      </c>
      <c r="E72" s="55"/>
      <c r="F72" s="55"/>
      <c r="G72" s="55"/>
      <c r="H72" s="57"/>
      <c r="I72" s="58">
        <f>SUBTOTAL(109,factura_c_mes3[TOTAL])</f>
        <v>2892036.08</v>
      </c>
      <c r="J72" s="55"/>
      <c r="K72" s="55"/>
    </row>
    <row r="73" spans="2:18" x14ac:dyDescent="0.3">
      <c r="B73" s="56"/>
      <c r="C73" s="56"/>
      <c r="L73" s="56"/>
      <c r="M73" s="56"/>
      <c r="N73" s="56"/>
      <c r="O73" s="56"/>
      <c r="P73" s="56"/>
      <c r="Q73" s="56"/>
      <c r="R73" s="56"/>
    </row>
    <row r="78" spans="2:18" ht="25.8" x14ac:dyDescent="0.3">
      <c r="B78" s="430" t="s">
        <v>29</v>
      </c>
      <c r="C78" s="430"/>
      <c r="D78" s="430"/>
      <c r="E78" s="430"/>
      <c r="F78" s="430"/>
      <c r="G78" s="430"/>
      <c r="H78" s="430"/>
      <c r="I78" s="430"/>
      <c r="J78" s="430"/>
      <c r="K78" s="426">
        <f>N1</f>
        <v>45078</v>
      </c>
      <c r="L78" s="426"/>
      <c r="M78" s="426"/>
    </row>
    <row r="80" spans="2:18" ht="21" x14ac:dyDescent="0.3">
      <c r="B80" s="422" t="s">
        <v>30</v>
      </c>
      <c r="C80" s="422"/>
    </row>
    <row r="81" spans="2:13" ht="15.6" x14ac:dyDescent="0.3">
      <c r="B81" s="60" t="s">
        <v>0</v>
      </c>
      <c r="C81" s="61" t="s">
        <v>1</v>
      </c>
      <c r="D81" s="61" t="s">
        <v>21</v>
      </c>
      <c r="E81" s="61" t="s">
        <v>22</v>
      </c>
      <c r="F81" s="61" t="s">
        <v>3</v>
      </c>
      <c r="G81" s="61" t="s">
        <v>4</v>
      </c>
      <c r="H81" s="61" t="s">
        <v>23</v>
      </c>
      <c r="I81" s="61" t="s">
        <v>17</v>
      </c>
      <c r="J81" s="61" t="s">
        <v>7</v>
      </c>
      <c r="K81" s="61" t="s">
        <v>24</v>
      </c>
      <c r="L81" s="61" t="s">
        <v>10</v>
      </c>
      <c r="M81" s="62" t="s">
        <v>38</v>
      </c>
    </row>
    <row r="82" spans="2:13" x14ac:dyDescent="0.3">
      <c r="B82" s="40">
        <v>45089</v>
      </c>
      <c r="C82" s="41">
        <v>1</v>
      </c>
      <c r="D82" s="42">
        <v>3</v>
      </c>
      <c r="E82" s="43">
        <v>135</v>
      </c>
      <c r="F82" s="44">
        <v>30638318470</v>
      </c>
      <c r="G82" s="99" t="str">
        <f>IFERROR(IF(venta_a_mes3[[#This Row],[CUIT]]="","-",VLOOKUP(venta_a_mes3[[#This Row],[CUIT]],Lista_CUIT[#All],2,0)),"CUIT NO CARGADO")</f>
        <v>DELTA COMPRESION S R L</v>
      </c>
      <c r="H82" s="100">
        <v>10451980</v>
      </c>
      <c r="I82" s="101"/>
      <c r="J82" s="65">
        <v>1097457.9000000001</v>
      </c>
      <c r="K82" s="65"/>
      <c r="L82" s="65">
        <f>SUM(venta_a_mes3[[#This Row],[IMPORTE NETO]:[EXENTO]])</f>
        <v>11549437.9</v>
      </c>
      <c r="M82" s="59"/>
    </row>
    <row r="83" spans="2:13" x14ac:dyDescent="0.3">
      <c r="B83" s="40">
        <v>45103</v>
      </c>
      <c r="C83" s="41">
        <v>1</v>
      </c>
      <c r="D83" s="42">
        <v>3</v>
      </c>
      <c r="E83" s="43">
        <v>137</v>
      </c>
      <c r="F83" s="44">
        <v>30638318470</v>
      </c>
      <c r="G83" s="99" t="str">
        <f>IFERROR(IF(venta_a_mes3[[#This Row],[CUIT]]="","-",VLOOKUP(venta_a_mes3[[#This Row],[CUIT]],Lista_CUIT[#All],2,0)),"CUIT NO CARGADO")</f>
        <v>DELTA COMPRESION S R L</v>
      </c>
      <c r="H83" s="100">
        <v>720924.5</v>
      </c>
      <c r="I83" s="101">
        <f>venta_a_mes3[[#This Row],[IMPORTE NETO]]*0.21</f>
        <v>151394.14499999999</v>
      </c>
      <c r="J83" s="65"/>
      <c r="K83" s="65"/>
      <c r="L83" s="65">
        <f>SUM(venta_a_mes3[[#This Row],[IMPORTE NETO]:[EXENTO]])</f>
        <v>872318.64500000002</v>
      </c>
      <c r="M83" s="59"/>
    </row>
    <row r="84" spans="2:13" x14ac:dyDescent="0.3">
      <c r="B84" s="40">
        <v>45103</v>
      </c>
      <c r="C84" s="41">
        <v>1</v>
      </c>
      <c r="D84" s="42">
        <v>3</v>
      </c>
      <c r="E84" s="43">
        <v>138</v>
      </c>
      <c r="F84" s="44">
        <v>30638318470</v>
      </c>
      <c r="G84" s="99" t="str">
        <f>IFERROR(IF(venta_a_mes3[[#This Row],[CUIT]]="","-",VLOOKUP(venta_a_mes3[[#This Row],[CUIT]],Lista_CUIT[#All],2,0)),"CUIT NO CARGADO")</f>
        <v>DELTA COMPRESION S R L</v>
      </c>
      <c r="H84" s="100">
        <v>566720</v>
      </c>
      <c r="I84" s="101">
        <f>venta_a_mes3[[#This Row],[IMPORTE NETO]]*0.21</f>
        <v>119011.2</v>
      </c>
      <c r="J84" s="65"/>
      <c r="K84" s="65"/>
      <c r="L84" s="65">
        <f>SUM(venta_a_mes3[[#This Row],[IMPORTE NETO]:[EXENTO]])</f>
        <v>685731.2</v>
      </c>
      <c r="M84" s="59"/>
    </row>
    <row r="85" spans="2:13" x14ac:dyDescent="0.3">
      <c r="B85" s="40">
        <v>45103</v>
      </c>
      <c r="C85" s="41">
        <v>1</v>
      </c>
      <c r="D85" s="42">
        <v>3</v>
      </c>
      <c r="E85" s="43">
        <v>136</v>
      </c>
      <c r="F85" s="44">
        <v>30638318470</v>
      </c>
      <c r="G85" s="99" t="str">
        <f>IFERROR(IF(venta_a_mes3[[#This Row],[CUIT]]="","-",VLOOKUP(venta_a_mes3[[#This Row],[CUIT]],Lista_CUIT[#All],2,0)),"CUIT NO CARGADO")</f>
        <v>DELTA COMPRESION S R L</v>
      </c>
      <c r="H85" s="100">
        <v>662202.20000000007</v>
      </c>
      <c r="I85" s="101">
        <f>venta_a_mes3[[#This Row],[IMPORTE NETO]]*0.21</f>
        <v>139062.462</v>
      </c>
      <c r="J85" s="65"/>
      <c r="K85" s="65"/>
      <c r="L85" s="65">
        <f>SUM(venta_a_mes3[[#This Row],[IMPORTE NETO]:[EXENTO]])</f>
        <v>801264.66200000001</v>
      </c>
      <c r="M85" s="59"/>
    </row>
    <row r="86" spans="2:13" x14ac:dyDescent="0.3">
      <c r="B86" s="40">
        <v>45103</v>
      </c>
      <c r="C86" s="41">
        <v>1</v>
      </c>
      <c r="D86" s="42">
        <v>3</v>
      </c>
      <c r="E86" s="43">
        <v>140</v>
      </c>
      <c r="F86" s="44">
        <v>30638318470</v>
      </c>
      <c r="G86" s="99" t="str">
        <f>IFERROR(IF(venta_a_mes3[[#This Row],[CUIT]]="","-",VLOOKUP(venta_a_mes3[[#This Row],[CUIT]],Lista_CUIT[#All],2,0)),"CUIT NO CARGADO")</f>
        <v>DELTA COMPRESION S R L</v>
      </c>
      <c r="H86" s="100">
        <v>454894</v>
      </c>
      <c r="I86" s="101">
        <f>venta_a_mes3[[#This Row],[IMPORTE NETO]]*0.21</f>
        <v>95527.739999999991</v>
      </c>
      <c r="J86" s="65"/>
      <c r="K86" s="65"/>
      <c r="L86" s="65">
        <f>SUM(venta_a_mes3[[#This Row],[IMPORTE NETO]:[EXENTO]])</f>
        <v>550421.74</v>
      </c>
      <c r="M86" s="59"/>
    </row>
    <row r="87" spans="2:13" x14ac:dyDescent="0.3">
      <c r="B87" s="40">
        <v>45103</v>
      </c>
      <c r="C87" s="41">
        <v>1</v>
      </c>
      <c r="D87" s="42">
        <v>3</v>
      </c>
      <c r="E87" s="43">
        <v>139</v>
      </c>
      <c r="F87" s="44">
        <v>30638318470</v>
      </c>
      <c r="G87" s="99" t="str">
        <f>IFERROR(IF(venta_a_mes3[[#This Row],[CUIT]]="","-",VLOOKUP(venta_a_mes3[[#This Row],[CUIT]],Lista_CUIT[#All],2,0)),"CUIT NO CARGADO")</f>
        <v>DELTA COMPRESION S R L</v>
      </c>
      <c r="H87" s="100">
        <v>543950</v>
      </c>
      <c r="I87" s="101">
        <f>venta_a_mes3[[#This Row],[IMPORTE NETO]]*0.21</f>
        <v>114229.5</v>
      </c>
      <c r="J87" s="65"/>
      <c r="K87" s="65"/>
      <c r="L87" s="65">
        <f>SUM(venta_a_mes3[[#This Row],[IMPORTE NETO]:[EXENTO]])</f>
        <v>658179.5</v>
      </c>
      <c r="M87" s="59"/>
    </row>
    <row r="88" spans="2:13" x14ac:dyDescent="0.3">
      <c r="B88" s="40">
        <v>45103</v>
      </c>
      <c r="C88" s="41">
        <v>2</v>
      </c>
      <c r="D88" s="42">
        <v>3</v>
      </c>
      <c r="E88" s="43">
        <v>5</v>
      </c>
      <c r="F88" s="44">
        <v>30638318470</v>
      </c>
      <c r="G88" s="99" t="str">
        <f>IFERROR(IF(venta_a_mes3[[#This Row],[CUIT]]="","-",VLOOKUP(venta_a_mes3[[#This Row],[CUIT]],Lista_CUIT[#All],2,0)),"CUIT NO CARGADO")</f>
        <v>DELTA COMPRESION S R L</v>
      </c>
      <c r="H88" s="100">
        <v>4306598.8899999997</v>
      </c>
      <c r="I88" s="101">
        <f>venta_a_mes3[[#This Row],[IMPORTE NETO]]*0.21</f>
        <v>904385.76689999993</v>
      </c>
      <c r="J88" s="65"/>
      <c r="K88" s="65"/>
      <c r="L88" s="65">
        <f>SUM(venta_a_mes3[[#This Row],[IMPORTE NETO]:[EXENTO]])</f>
        <v>5210984.6568999998</v>
      </c>
      <c r="M88" s="63"/>
    </row>
    <row r="89" spans="2:13" x14ac:dyDescent="0.3">
      <c r="B89" s="102"/>
      <c r="C89" s="103"/>
      <c r="D89" s="104"/>
      <c r="E89" s="105"/>
      <c r="F89" s="106"/>
      <c r="G89" s="99" t="str">
        <f>IFERROR(IF(venta_a_mes3[[#This Row],[CUIT]]="","-",VLOOKUP(venta_a_mes3[[#This Row],[CUIT]],Lista_CUIT[#All],2,0)),"CUIT NO CARGADO")</f>
        <v>-</v>
      </c>
      <c r="H89" s="107"/>
      <c r="I89" s="108">
        <f>venta_a_mes3[[#This Row],[IMPORTE NETO]]*0.21</f>
        <v>0</v>
      </c>
      <c r="J89" s="72"/>
      <c r="K89" s="72"/>
      <c r="L89" s="65">
        <f>SUM(venta_a_mes3[[#This Row],[IMPORTE NETO]:[EXENTO]])</f>
        <v>0</v>
      </c>
      <c r="M89" s="63"/>
    </row>
    <row r="90" spans="2:13" x14ac:dyDescent="0.3">
      <c r="B90" s="109"/>
      <c r="C90" s="110"/>
      <c r="D90" s="111"/>
      <c r="E90" s="112"/>
      <c r="F90" s="113"/>
      <c r="G90" s="99" t="str">
        <f>IFERROR(IF(venta_a_mes3[[#This Row],[CUIT]]="","-",VLOOKUP(venta_a_mes3[[#This Row],[CUIT]],Lista_CUIT[#All],2,0)),"CUIT NO CARGADO")</f>
        <v>-</v>
      </c>
      <c r="H90" s="100"/>
      <c r="I90" s="101">
        <f>venta_a_mes3[[#This Row],[IMPORTE NETO]]*0.21</f>
        <v>0</v>
      </c>
      <c r="J90" s="65"/>
      <c r="K90" s="65"/>
      <c r="L90" s="65">
        <f>SUM(venta_a_mes3[[#This Row],[IMPORTE NETO]:[EXENTO]])</f>
        <v>0</v>
      </c>
      <c r="M90" s="59"/>
    </row>
    <row r="91" spans="2:13" x14ac:dyDescent="0.3">
      <c r="B91" s="66" t="s">
        <v>110</v>
      </c>
      <c r="C91" s="67"/>
      <c r="D91" s="67"/>
      <c r="E91" s="67"/>
      <c r="F91" s="67"/>
      <c r="G91" s="67"/>
      <c r="H91" s="69">
        <f>SUBTOTAL(109,venta_a_mes3[IMPORTE NETO])</f>
        <v>17707269.59</v>
      </c>
      <c r="I91" s="70">
        <f>SUBTOTAL(109,venta_a_mes3[IVA 21%])</f>
        <v>1523610.8139</v>
      </c>
      <c r="J91" s="71">
        <f>SUBTOTAL(109,venta_a_mes3[IVA 10,5%])</f>
        <v>1097457.9000000001</v>
      </c>
      <c r="K91" s="71">
        <f>SUBTOTAL(109,venta_a_mes3[EXENTO])</f>
        <v>0</v>
      </c>
      <c r="L91" s="71">
        <f>SUBTOTAL(109,venta_a_mes3[TOTAL])</f>
        <v>20328338.3039</v>
      </c>
      <c r="M91" s="68">
        <f>SUBTOTAL(103,venta_a_mes3[Provincia])</f>
        <v>0</v>
      </c>
    </row>
    <row r="94" spans="2:13" ht="21" x14ac:dyDescent="0.3">
      <c r="B94" s="422" t="s">
        <v>31</v>
      </c>
      <c r="C94" s="422"/>
    </row>
    <row r="95" spans="2:13" ht="15.6" x14ac:dyDescent="0.3">
      <c r="B95" s="60" t="s">
        <v>0</v>
      </c>
      <c r="C95" s="61" t="s">
        <v>1</v>
      </c>
      <c r="D95" s="61" t="s">
        <v>21</v>
      </c>
      <c r="E95" s="61" t="s">
        <v>22</v>
      </c>
      <c r="F95" s="61" t="s">
        <v>3</v>
      </c>
      <c r="G95" s="61" t="s">
        <v>4</v>
      </c>
      <c r="H95" s="61" t="s">
        <v>23</v>
      </c>
      <c r="I95" s="61" t="s">
        <v>17</v>
      </c>
      <c r="J95" s="61" t="s">
        <v>7</v>
      </c>
      <c r="K95" s="61" t="s">
        <v>24</v>
      </c>
      <c r="L95" s="61" t="s">
        <v>10</v>
      </c>
      <c r="M95" s="62" t="s">
        <v>38</v>
      </c>
    </row>
    <row r="96" spans="2:13" x14ac:dyDescent="0.3">
      <c r="B96" s="40"/>
      <c r="C96" s="41"/>
      <c r="D96" s="42"/>
      <c r="E96" s="43"/>
      <c r="F96" s="44"/>
      <c r="G96" s="1" t="str">
        <f>IFERROR(IF(ventas_b_mes3[[#This Row],[CUIT]]="","-",VLOOKUP(ventas_b_mes3[[#This Row],[CUIT]],Lista_CUIT[#All],2,0)),"CUIT NO CARGADO")</f>
        <v>-</v>
      </c>
      <c r="H96" s="64"/>
      <c r="I96" s="64"/>
      <c r="J96" s="64"/>
      <c r="K96" s="64"/>
      <c r="L96" s="64">
        <f>SUM(ventas_b_mes3[[#This Row],[IMPORTE NETO]:[EXENTO]])</f>
        <v>0</v>
      </c>
      <c r="M96" s="59"/>
    </row>
    <row r="97" spans="2:16" x14ac:dyDescent="0.3">
      <c r="B97" s="40"/>
      <c r="C97" s="41"/>
      <c r="D97" s="42"/>
      <c r="E97" s="43"/>
      <c r="F97" s="44"/>
      <c r="G97" s="1"/>
      <c r="H97" s="64"/>
      <c r="I97" s="64"/>
      <c r="J97" s="64"/>
      <c r="K97" s="64"/>
      <c r="L97" s="64">
        <f>SUM(ventas_b_mes3[[#This Row],[IMPORTE NETO]:[EXENTO]])</f>
        <v>0</v>
      </c>
      <c r="M97" s="59"/>
    </row>
    <row r="98" spans="2:16" x14ac:dyDescent="0.3">
      <c r="B98" s="40"/>
      <c r="C98" s="41"/>
      <c r="D98" s="42"/>
      <c r="E98" s="43"/>
      <c r="F98" s="44"/>
      <c r="G98" s="1"/>
      <c r="H98" s="64"/>
      <c r="I98" s="64"/>
      <c r="J98" s="64"/>
      <c r="K98" s="64"/>
      <c r="L98" s="64">
        <f>SUM(ventas_b_mes3[[#This Row],[IMPORTE NETO]:[EXENTO]])</f>
        <v>0</v>
      </c>
      <c r="M98" s="59"/>
    </row>
    <row r="99" spans="2:16" x14ac:dyDescent="0.3">
      <c r="B99" s="40"/>
      <c r="C99" s="41"/>
      <c r="D99" s="42"/>
      <c r="E99" s="43"/>
      <c r="F99" s="44"/>
      <c r="G99" s="1"/>
      <c r="H99" s="64"/>
      <c r="I99" s="64"/>
      <c r="J99" s="64"/>
      <c r="K99" s="64"/>
      <c r="L99" s="64">
        <f>SUM(ventas_b_mes3[[#This Row],[IMPORTE NETO]:[EXENTO]])</f>
        <v>0</v>
      </c>
      <c r="M99" s="59"/>
    </row>
    <row r="100" spans="2:16" x14ac:dyDescent="0.3">
      <c r="B100" s="40"/>
      <c r="C100" s="41"/>
      <c r="D100" s="42"/>
      <c r="E100" s="43"/>
      <c r="F100" s="44"/>
      <c r="G100" s="1"/>
      <c r="H100" s="64"/>
      <c r="I100" s="64"/>
      <c r="J100" s="64"/>
      <c r="K100" s="64"/>
      <c r="L100" s="64">
        <f>SUM(ventas_b_mes3[[#This Row],[IMPORTE NETO]:[EXENTO]])</f>
        <v>0</v>
      </c>
      <c r="M100" s="59"/>
    </row>
    <row r="101" spans="2:16" x14ac:dyDescent="0.3">
      <c r="B101" s="40"/>
      <c r="C101" s="41"/>
      <c r="D101" s="42"/>
      <c r="E101" s="43"/>
      <c r="F101" s="44"/>
      <c r="G101" s="1"/>
      <c r="H101" s="64"/>
      <c r="I101" s="64"/>
      <c r="J101" s="64"/>
      <c r="K101" s="64"/>
      <c r="L101" s="64">
        <f>SUM(ventas_b_mes3[[#This Row],[IMPORTE NETO]:[EXENTO]])</f>
        <v>0</v>
      </c>
      <c r="M101" s="59"/>
    </row>
    <row r="102" spans="2:16" x14ac:dyDescent="0.3">
      <c r="B102" s="66" t="s">
        <v>110</v>
      </c>
      <c r="C102" s="67"/>
      <c r="D102" s="67"/>
      <c r="E102" s="67"/>
      <c r="F102" s="67"/>
      <c r="G102" s="67"/>
      <c r="H102" s="77">
        <f>SUBTOTAL(109,ventas_b_mes3[IMPORTE NETO])</f>
        <v>0</v>
      </c>
      <c r="I102" s="77">
        <f>SUBTOTAL(109,ventas_b_mes3[IVA 21%])</f>
        <v>0</v>
      </c>
      <c r="J102" s="78">
        <f>SUBTOTAL(109,ventas_b_mes3[IVA 10,5%])</f>
        <v>0</v>
      </c>
      <c r="K102" s="78">
        <f>SUBTOTAL(109,ventas_b_mes3[EXENTO])</f>
        <v>0</v>
      </c>
      <c r="L102" s="78">
        <f>SUBTOTAL(109,ventas_b_mes3[TOTAL])</f>
        <v>0</v>
      </c>
      <c r="M102" s="68">
        <f>SUBTOTAL(103,ventas_b_mes3[Provincia])</f>
        <v>0</v>
      </c>
    </row>
    <row r="105" spans="2:16" ht="21" x14ac:dyDescent="0.3">
      <c r="B105" s="422" t="s">
        <v>1129</v>
      </c>
      <c r="C105" s="422"/>
    </row>
    <row r="106" spans="2:16" ht="31.2" x14ac:dyDescent="0.3">
      <c r="B106" s="60" t="s">
        <v>0</v>
      </c>
      <c r="C106" s="61" t="s">
        <v>1</v>
      </c>
      <c r="D106" s="61" t="s">
        <v>21</v>
      </c>
      <c r="E106" s="61" t="s">
        <v>22</v>
      </c>
      <c r="F106" s="61" t="s">
        <v>3</v>
      </c>
      <c r="G106" s="61" t="s">
        <v>4</v>
      </c>
      <c r="H106" s="61" t="s">
        <v>1130</v>
      </c>
      <c r="I106" s="61" t="s">
        <v>1131</v>
      </c>
      <c r="J106" s="61" t="s">
        <v>10</v>
      </c>
      <c r="K106" s="62" t="s">
        <v>1203</v>
      </c>
    </row>
    <row r="107" spans="2:16" x14ac:dyDescent="0.3">
      <c r="B107" s="40"/>
      <c r="C107" s="41"/>
      <c r="D107" s="42"/>
      <c r="E107" s="43"/>
      <c r="F107" s="44"/>
      <c r="G107" s="1"/>
      <c r="H107" s="64"/>
      <c r="I107" s="64"/>
      <c r="J107" s="64"/>
      <c r="K107" s="59"/>
      <c r="M107" s="204"/>
      <c r="N107" s="204"/>
      <c r="O107" s="204"/>
      <c r="P107" s="204"/>
    </row>
    <row r="108" spans="2:16" x14ac:dyDescent="0.3">
      <c r="B108" s="40"/>
      <c r="C108" s="41"/>
      <c r="D108" s="42"/>
      <c r="E108" s="43"/>
      <c r="F108" s="44"/>
      <c r="G108" s="1" t="str">
        <f>IFERROR(IF(ventas_b_mes1354[[#This Row],[CUIT]]="","-",VLOOKUP(ventas_b_mes1354[[#This Row],[CUIT]],Lista_CUIT[#All],2,0)),"CUIT NO CARGADO")</f>
        <v>-</v>
      </c>
      <c r="H108" s="64"/>
      <c r="I108" s="64"/>
      <c r="J108" s="64"/>
      <c r="K108" s="59"/>
    </row>
    <row r="109" spans="2:16" ht="15.6" x14ac:dyDescent="0.3">
      <c r="B109" s="66" t="s">
        <v>110</v>
      </c>
      <c r="C109" s="67"/>
      <c r="D109" s="67"/>
      <c r="E109" s="67"/>
      <c r="F109" s="67"/>
      <c r="G109" s="67"/>
      <c r="H109" s="77">
        <f>SUBTOTAL(109,ventas_b_mes1354[USD])</f>
        <v>0</v>
      </c>
      <c r="I109" s="78">
        <f>SUBTOTAL(109,ventas_b_mes1354[TIPO DE CAMBIO2])</f>
        <v>0</v>
      </c>
      <c r="J109" s="78">
        <f>SUBTOTAL(109,ventas_b_mes1354[TOTAL])</f>
        <v>0</v>
      </c>
      <c r="K109" s="68">
        <f>SUBTOTAL(103,ventas_b_mes1354[Pais])</f>
        <v>0</v>
      </c>
      <c r="M109" s="205"/>
      <c r="N109" s="205"/>
      <c r="O109" s="205"/>
      <c r="P109" s="205"/>
    </row>
    <row r="112" spans="2:16" ht="15" thickBot="1" x14ac:dyDescent="0.35"/>
    <row r="113" spans="3:12" ht="15" thickTop="1" x14ac:dyDescent="0.3">
      <c r="C113" s="419" t="s">
        <v>66</v>
      </c>
      <c r="D113" s="420"/>
      <c r="E113" s="420"/>
      <c r="F113" s="420"/>
      <c r="G113" s="421"/>
      <c r="H113" s="32"/>
      <c r="I113" s="32"/>
      <c r="J113" s="32"/>
    </row>
    <row r="114" spans="3:12" ht="15.6" x14ac:dyDescent="0.3">
      <c r="C114" s="114" t="s">
        <v>67</v>
      </c>
      <c r="D114" s="115" t="s">
        <v>68</v>
      </c>
      <c r="E114" s="115" t="s">
        <v>112</v>
      </c>
      <c r="F114" s="115" t="s">
        <v>3</v>
      </c>
      <c r="G114" s="115" t="s">
        <v>4</v>
      </c>
      <c r="H114" s="116" t="s">
        <v>69</v>
      </c>
      <c r="I114" s="116" t="s">
        <v>70</v>
      </c>
      <c r="J114" s="116" t="s">
        <v>71</v>
      </c>
      <c r="K114" s="116" t="s">
        <v>72</v>
      </c>
      <c r="L114" s="116" t="s">
        <v>73</v>
      </c>
    </row>
    <row r="115" spans="3:12" x14ac:dyDescent="0.3">
      <c r="C115" s="117"/>
      <c r="D115" s="118"/>
      <c r="E115" s="118"/>
      <c r="F115" s="119"/>
      <c r="G115" s="53" t="str">
        <f>IFERROR(IF(Retenciones_mes3[[#This Row],[CUIT]]="","-",VLOOKUP(Retenciones_mes3[[#This Row],[CUIT]],Lista_CUIT[#All],2,0)),"CUIT NO CARGADO")</f>
        <v>-</v>
      </c>
      <c r="H115" s="120"/>
      <c r="I115" s="120"/>
      <c r="J115" s="120"/>
      <c r="K115" s="120"/>
      <c r="L115" s="120"/>
    </row>
    <row r="116" spans="3:12" x14ac:dyDescent="0.3">
      <c r="C116" s="117"/>
      <c r="D116" s="118"/>
      <c r="E116" s="118"/>
      <c r="F116" s="119"/>
      <c r="G116" s="53" t="str">
        <f>IFERROR(IF(Retenciones_mes3[[#This Row],[CUIT]]="","-",VLOOKUP(Retenciones_mes3[[#This Row],[CUIT]],Lista_CUIT[#All],2,0)),"CUIT NO CARGADO")</f>
        <v>-</v>
      </c>
      <c r="H116" s="120"/>
      <c r="I116" s="120"/>
      <c r="J116" s="120"/>
      <c r="K116" s="120"/>
      <c r="L116" s="120"/>
    </row>
    <row r="117" spans="3:12" x14ac:dyDescent="0.3">
      <c r="C117" s="117"/>
      <c r="D117" s="118"/>
      <c r="E117" s="118"/>
      <c r="F117" s="119"/>
      <c r="G117" s="53" t="str">
        <f>IFERROR(IF(Retenciones_mes3[[#This Row],[CUIT]]="","-",VLOOKUP(Retenciones_mes3[[#This Row],[CUIT]],Lista_CUIT[#All],2,0)),"CUIT NO CARGADO")</f>
        <v>-</v>
      </c>
      <c r="H117" s="120"/>
      <c r="I117" s="120"/>
      <c r="J117" s="120"/>
      <c r="K117" s="120"/>
      <c r="L117" s="120"/>
    </row>
    <row r="118" spans="3:12" x14ac:dyDescent="0.3">
      <c r="C118" s="117"/>
      <c r="D118" s="118"/>
      <c r="E118" s="118"/>
      <c r="F118" s="119"/>
      <c r="G118" s="53" t="str">
        <f>IFERROR(IF(Retenciones_mes3[[#This Row],[CUIT]]="","-",VLOOKUP(Retenciones_mes3[[#This Row],[CUIT]],Lista_CUIT[#All],2,0)),"CUIT NO CARGADO")</f>
        <v>-</v>
      </c>
      <c r="H118" s="120"/>
      <c r="I118" s="120"/>
      <c r="J118" s="120"/>
      <c r="K118" s="120"/>
      <c r="L118" s="120"/>
    </row>
    <row r="119" spans="3:12" x14ac:dyDescent="0.3">
      <c r="D119" s="118"/>
      <c r="E119" s="118"/>
      <c r="G119" s="53" t="str">
        <f>IFERROR(IF(Retenciones_mes3[[#This Row],[CUIT]]="","-",VLOOKUP(Retenciones_mes3[[#This Row],[CUIT]],Lista_CUIT[#All],2,0)),"CUIT NO CARGADO")</f>
        <v>-</v>
      </c>
    </row>
    <row r="120" spans="3:12" x14ac:dyDescent="0.3">
      <c r="C120" s="33"/>
    </row>
  </sheetData>
  <mergeCells count="21">
    <mergeCell ref="C113:G113"/>
    <mergeCell ref="B4:E4"/>
    <mergeCell ref="G4:H4"/>
    <mergeCell ref="J4:K4"/>
    <mergeCell ref="M4:N4"/>
    <mergeCell ref="D56:K56"/>
    <mergeCell ref="B78:J78"/>
    <mergeCell ref="K78:M78"/>
    <mergeCell ref="B80:C80"/>
    <mergeCell ref="B94:C94"/>
    <mergeCell ref="B105:C105"/>
    <mergeCell ref="P4:R4"/>
    <mergeCell ref="D49:L49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1">
    <dataValidation type="whole" allowBlank="1" showInputMessage="1" showErrorMessage="1" sqref="D82:D90 D96:D101 D9:D43 E58:E71 D107:D108" xr:uid="{00000000-0002-0000-0300-000000000000}">
      <formula1>1</formula1>
      <formula2>9999</formula2>
    </dataValidation>
    <dataValidation type="whole" allowBlank="1" showInputMessage="1" showErrorMessage="1" sqref="E82:E90 E96:E101 E9:E43 F58:F71 E107:E108" xr:uid="{00000000-0002-0000-0300-000001000000}">
      <formula1>1</formula1>
      <formula2>99999999</formula2>
    </dataValidation>
    <dataValidation type="whole" allowBlank="1" showInputMessage="1" showErrorMessage="1" sqref="F82:F90 F96:F101 F9:F43 G58:G71 F107:F108" xr:uid="{00000000-0002-0000-0300-000002000000}">
      <formula1>20000000000</formula1>
      <formula2>33999999999</formula2>
    </dataValidation>
    <dataValidation type="date" allowBlank="1" showInputMessage="1" showErrorMessage="1" sqref="B82:B90 B45:B48 B96:B101 B9:B43 D58:D71 D51:D53 B107:B108" xr:uid="{00000000-0002-0000-0300-000003000000}">
      <formula1>40179</formula1>
      <formula2>TODAY()</formula2>
    </dataValidation>
    <dataValidation type="whole" allowBlank="1" showInputMessage="1" showErrorMessage="1" sqref="C45:C48 C9:C43 C82:C90" xr:uid="{00000000-0002-0000-0300-000004000000}">
      <formula1>1</formula1>
      <formula2>3</formula2>
    </dataValidation>
    <dataValidation type="custom" allowBlank="1" showInputMessage="1" showErrorMessage="1" sqref="H82:K82 H84:K84 H86:K86 H88:K88" xr:uid="{00000000-0002-0000-0300-000005000000}">
      <formula1>IF($C82=3,H82&lt;0,H82&gt;=0)</formula1>
    </dataValidation>
    <dataValidation type="whole" allowBlank="1" showInputMessage="1" showErrorMessage="1" sqref="C96:C101" xr:uid="{00000000-0002-0000-0300-000006000000}">
      <formula1>6</formula1>
      <formula2>8</formula2>
    </dataValidation>
    <dataValidation type="custom" allowBlank="1" showInputMessage="1" showErrorMessage="1" sqref="L82:L90" xr:uid="{00000000-0002-0000-0300-000007000000}">
      <formula1>IF($C9=3,L9&lt;0,L9&gt;=0)</formula1>
    </dataValidation>
    <dataValidation type="custom" allowBlank="1" showInputMessage="1" showErrorMessage="1" sqref="H96:L101 H107:J108" xr:uid="{00000000-0002-0000-0300-000008000000}">
      <formula1>IF($C96=8,H96&lt;0,H96&gt;=0)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43" xr:uid="{00000000-0002-0000-0300-000009000000}">
      <formula1>IF($C9=3,H9&lt;0,H9&gt;=0)</formula1>
    </dataValidation>
    <dataValidation type="whole" allowBlank="1" showInputMessage="1" showErrorMessage="1" sqref="C107:C108" xr:uid="{00000000-0002-0000-0300-00000A000000}">
      <formula1>80</formula1>
      <formula2>80</formula2>
    </dataValidation>
  </dataValidation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9" tint="0.79998168889431442"/>
  </sheetPr>
  <dimension ref="A1:Z114"/>
  <sheetViews>
    <sheetView showGridLines="0" topLeftCell="B46" zoomScale="90" zoomScaleNormal="90" workbookViewId="0">
      <selection activeCell="D51" sqref="D51:K66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8.109375" customWidth="1"/>
    <col min="11" max="11" width="15.8867187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11.8867187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EDATE('Abr-23'!N1,3)</f>
        <v>45108</v>
      </c>
      <c r="O1" s="423"/>
      <c r="P1" s="423"/>
      <c r="Q1" s="423"/>
      <c r="R1" s="423"/>
    </row>
    <row r="2" spans="1:26" ht="15" customHeight="1" x14ac:dyDescent="0.3"/>
    <row r="3" spans="1:26" ht="26.4" customHeight="1" x14ac:dyDescent="0.3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2" customHeight="1" x14ac:dyDescent="0.4">
      <c r="B4" s="428">
        <f>SUM(compras_mes4[[#Totals],[NETO GRAVADO]])+extracto_banco_mes4[[#Totals],[NETO]]</f>
        <v>2968818.0024999995</v>
      </c>
      <c r="C4" s="428"/>
      <c r="D4" s="428"/>
      <c r="E4" s="428"/>
      <c r="F4" s="39"/>
      <c r="G4" s="429">
        <f>compras_mes4[[#Totals],[IVA 21 %]]+compras_mes4[[#Totals],[IVA 27%]]+compras_mes4[[#Totals],[IVA 10,5%]]+extracto_banco_mes4[[#Totals],[IVA 21%]]+extracto_banco_mes4[[#Totals],[IVA 10,5%]]</f>
        <v>3820788.1653250004</v>
      </c>
      <c r="H4" s="429"/>
      <c r="I4" s="39"/>
      <c r="J4" s="416">
        <f>venta_a_mes4[[#Totals],[IMPORTE NETO]]+ventas_b_mes4[[#Totals],[IMPORTE NETO]]</f>
        <v>19101120.980000004</v>
      </c>
      <c r="K4" s="416"/>
      <c r="L4" s="39"/>
      <c r="M4" s="416">
        <f>venta_a_mes4[[#Totals],[IVA 21%]]+venta_a_mes4[[#Totals],[IVA 10,5%]]+ventas_b_mes4[[#Totals],[IVA 21%]]+ventas_b_mes4[[#Totals],[IVA 10,5%]]</f>
        <v>2507957.6388999997</v>
      </c>
      <c r="N4" s="416"/>
      <c r="O4" s="39"/>
      <c r="P4" s="431">
        <f>G4-M4</f>
        <v>1312830.5264250007</v>
      </c>
      <c r="Q4" s="432"/>
      <c r="R4" s="432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45108</v>
      </c>
      <c r="C9" s="41">
        <v>1</v>
      </c>
      <c r="D9" s="42">
        <v>3</v>
      </c>
      <c r="E9" s="43">
        <v>661</v>
      </c>
      <c r="F9" s="44">
        <v>30715402765</v>
      </c>
      <c r="G9" s="45" t="str">
        <f>IFERROR(IF(compras_mes4[[#This Row],[CUIT]]="","-",VLOOKUP(compras_mes4[[#This Row],[CUIT]],Lista_CUIT[#All],2,0)),"CUIT NO CARGADO")</f>
        <v>RIO 265 S.R.L.</v>
      </c>
      <c r="H9" s="46">
        <v>14462.81</v>
      </c>
      <c r="I9" s="85">
        <f>IF(compras_mes4[[#This Row],[NETO GRAVADO]]="","",compras_mes4[[#This Row],[NETO GRAVADO]]*0.21)</f>
        <v>3037.1900999999998</v>
      </c>
      <c r="J9" s="85"/>
      <c r="K9" s="85"/>
      <c r="L9" s="85"/>
      <c r="M9" s="85"/>
      <c r="N9" s="85"/>
      <c r="O9" s="85"/>
      <c r="P9" s="48">
        <f>SUM(compras_mes4[[#This Row],[NETO GRAVADO]:[Otros / No Grav.]])</f>
        <v>17500.000099999997</v>
      </c>
      <c r="Q9" s="49" t="str">
        <f>IFERROR(IF(compras_mes4[[#This Row],[CUIT]]="","-",VLOOKUP(compras_mes4[[#This Row],[CUIT]],Lista_CUIT[#All],3,0)),"CUIT NO CARGADO")</f>
        <v>Gastos Varios</v>
      </c>
      <c r="R9" s="49">
        <f>IFERROR(IF(compras_mes4[[#This Row],[CUIT]]="","-",VLOOKUP(compras_mes4[[#This Row],[CUIT]],Lista_CUIT[#All],4,0)),"CUIT NO CARGADO")</f>
        <v>0</v>
      </c>
    </row>
    <row r="10" spans="1:26" x14ac:dyDescent="0.3">
      <c r="B10" s="40">
        <v>45108</v>
      </c>
      <c r="C10" s="41">
        <v>1</v>
      </c>
      <c r="D10" s="42">
        <v>3</v>
      </c>
      <c r="E10" s="43">
        <v>194793</v>
      </c>
      <c r="F10" s="44">
        <v>30707135596</v>
      </c>
      <c r="G10" s="45" t="str">
        <f>IFERROR(IF(compras_mes4[[#This Row],[CUIT]]="","-",VLOOKUP(compras_mes4[[#This Row],[CUIT]],Lista_CUIT[#All],2,0)),"CUIT NO CARGADO")</f>
        <v>CITILAN ARGENTINA S.A.</v>
      </c>
      <c r="H10" s="46">
        <v>6217.25</v>
      </c>
      <c r="I10" s="85">
        <f>IF(compras_mes4[[#This Row],[NETO GRAVADO]]="","",compras_mes4[[#This Row],[NETO GRAVADO]]*0.21)</f>
        <v>1305.6224999999999</v>
      </c>
      <c r="J10" s="85"/>
      <c r="K10" s="85"/>
      <c r="L10" s="85"/>
      <c r="M10" s="85"/>
      <c r="N10" s="85"/>
      <c r="O10" s="85"/>
      <c r="P10" s="48">
        <f>SUM(compras_mes4[[#This Row],[NETO GRAVADO]:[Otros / No Grav.]])</f>
        <v>7522.8724999999995</v>
      </c>
      <c r="Q10" s="49" t="str">
        <f>IFERROR(IF(compras_mes4[[#This Row],[CUIT]]="","-",VLOOKUP(compras_mes4[[#This Row],[CUIT]],Lista_CUIT[#All],3,0)),"CUIT NO CARGADO")</f>
        <v>Servicios Gas, Luz, Etc</v>
      </c>
      <c r="R10" s="49">
        <f>IFERROR(IF(compras_mes4[[#This Row],[CUIT]]="","-",VLOOKUP(compras_mes4[[#This Row],[CUIT]],Lista_CUIT[#All],4,0)),"CUIT NO CARGADO")</f>
        <v>0</v>
      </c>
    </row>
    <row r="11" spans="1:26" x14ac:dyDescent="0.3">
      <c r="B11" s="40">
        <v>45110</v>
      </c>
      <c r="C11" s="41">
        <v>1</v>
      </c>
      <c r="D11" s="42">
        <v>2</v>
      </c>
      <c r="E11" s="43">
        <v>2453</v>
      </c>
      <c r="F11" s="44">
        <v>30709131733</v>
      </c>
      <c r="G11" s="45" t="str">
        <f>IFERROR(IF(compras_mes4[[#This Row],[CUIT]]="","-",VLOOKUP(compras_mes4[[#This Row],[CUIT]],Lista_CUIT[#All],2,0)),"CUIT NO CARGADO")</f>
        <v>DIGAS SRL</v>
      </c>
      <c r="H11" s="46">
        <v>857437</v>
      </c>
      <c r="I11" s="85">
        <f>IF(compras_mes4[[#This Row],[NETO GRAVADO]]="","",compras_mes4[[#This Row],[NETO GRAVADO]]*0.21)</f>
        <v>180061.77</v>
      </c>
      <c r="J11" s="85"/>
      <c r="K11" s="85"/>
      <c r="L11" s="85"/>
      <c r="M11" s="85"/>
      <c r="N11" s="85"/>
      <c r="O11" s="85"/>
      <c r="P11" s="48">
        <f>SUM(compras_mes4[[#This Row],[NETO GRAVADO]:[Otros / No Grav.]])</f>
        <v>1037498.77</v>
      </c>
      <c r="Q11" s="49" t="str">
        <f>IFERROR(IF(compras_mes4[[#This Row],[CUIT]]="","-",VLOOKUP(compras_mes4[[#This Row],[CUIT]],Lista_CUIT[#All],3,0)),"CUIT NO CARGADO")</f>
        <v>INSUMO</v>
      </c>
      <c r="R11" s="49">
        <f>IFERROR(IF(compras_mes4[[#This Row],[CUIT]]="","-",VLOOKUP(compras_mes4[[#This Row],[CUIT]],Lista_CUIT[#All],4,0)),"CUIT NO CARGADO")</f>
        <v>0</v>
      </c>
    </row>
    <row r="12" spans="1:26" x14ac:dyDescent="0.3">
      <c r="B12" s="40">
        <v>45112</v>
      </c>
      <c r="C12" s="41">
        <v>1</v>
      </c>
      <c r="D12" s="42">
        <v>2</v>
      </c>
      <c r="E12" s="43">
        <v>178</v>
      </c>
      <c r="F12" s="44">
        <v>20125142851</v>
      </c>
      <c r="G12" s="45" t="str">
        <f>IFERROR(IF(compras_mes4[[#This Row],[CUIT]]="","-",VLOOKUP(compras_mes4[[#This Row],[CUIT]],Lista_CUIT[#All],2,0)),"CUIT NO CARGADO")</f>
        <v>FEDERICI NICOLAS JOSE</v>
      </c>
      <c r="H12" s="46">
        <v>74359</v>
      </c>
      <c r="I12" s="85">
        <f>IF(compras_mes4[[#This Row],[NETO GRAVADO]]="","",compras_mes4[[#This Row],[NETO GRAVADO]]*0.21)</f>
        <v>15615.39</v>
      </c>
      <c r="J12" s="85"/>
      <c r="K12" s="85"/>
      <c r="L12" s="85"/>
      <c r="M12" s="85"/>
      <c r="N12" s="85"/>
      <c r="O12" s="85"/>
      <c r="P12" s="48">
        <f>SUM(compras_mes4[[#This Row],[NETO GRAVADO]:[Otros / No Grav.]])</f>
        <v>89974.39</v>
      </c>
      <c r="Q12" s="49" t="str">
        <f>IFERROR(IF(compras_mes4[[#This Row],[CUIT]]="","-",VLOOKUP(compras_mes4[[#This Row],[CUIT]],Lista_CUIT[#All],3,0)),"CUIT NO CARGADO")</f>
        <v>INSUMO</v>
      </c>
      <c r="R12" s="49">
        <f>IFERROR(IF(compras_mes4[[#This Row],[CUIT]]="","-",VLOOKUP(compras_mes4[[#This Row],[CUIT]],Lista_CUIT[#All],4,0)),"CUIT NO CARGADO")</f>
        <v>0</v>
      </c>
    </row>
    <row r="13" spans="1:26" x14ac:dyDescent="0.3">
      <c r="B13" s="40">
        <v>45117</v>
      </c>
      <c r="C13" s="41">
        <v>1</v>
      </c>
      <c r="D13" s="42">
        <v>2</v>
      </c>
      <c r="E13" s="43">
        <v>179</v>
      </c>
      <c r="F13" s="44">
        <v>20125142851</v>
      </c>
      <c r="G13" s="45" t="str">
        <f>IFERROR(IF(compras_mes4[[#This Row],[CUIT]]="","-",VLOOKUP(compras_mes4[[#This Row],[CUIT]],Lista_CUIT[#All],2,0)),"CUIT NO CARGADO")</f>
        <v>FEDERICI NICOLAS JOSE</v>
      </c>
      <c r="H13" s="46">
        <v>55769.25</v>
      </c>
      <c r="I13" s="85">
        <f>IF(compras_mes4[[#This Row],[NETO GRAVADO]]="","",compras_mes4[[#This Row],[NETO GRAVADO]]*0.21)</f>
        <v>11711.5425</v>
      </c>
      <c r="J13" s="85"/>
      <c r="K13" s="85"/>
      <c r="L13" s="85"/>
      <c r="M13" s="85"/>
      <c r="N13" s="85"/>
      <c r="O13" s="85"/>
      <c r="P13" s="48">
        <f>SUM(compras_mes4[[#This Row],[NETO GRAVADO]:[Otros / No Grav.]])</f>
        <v>67480.792499999996</v>
      </c>
      <c r="Q13" s="49" t="str">
        <f>IFERROR(IF(compras_mes4[[#This Row],[CUIT]]="","-",VLOOKUP(compras_mes4[[#This Row],[CUIT]],Lista_CUIT[#All],3,0)),"CUIT NO CARGADO")</f>
        <v>INSUMO</v>
      </c>
      <c r="R13" s="49">
        <f>IFERROR(IF(compras_mes4[[#This Row],[CUIT]]="","-",VLOOKUP(compras_mes4[[#This Row],[CUIT]],Lista_CUIT[#All],4,0)),"CUIT NO CARGADO")</f>
        <v>0</v>
      </c>
    </row>
    <row r="14" spans="1:26" x14ac:dyDescent="0.3">
      <c r="B14" s="40">
        <v>45117</v>
      </c>
      <c r="C14" s="41">
        <v>1</v>
      </c>
      <c r="D14" s="42">
        <v>5122</v>
      </c>
      <c r="E14" s="43">
        <v>14557</v>
      </c>
      <c r="F14" s="44">
        <v>30695542476</v>
      </c>
      <c r="G14" s="45" t="str">
        <f>IFERROR(IF(compras_mes4[[#This Row],[CUIT]]="","-",VLOOKUP(compras_mes4[[#This Row],[CUIT]],Lista_CUIT[#All],2,0)),"CUIT NO CARGADO")</f>
        <v>PAN AMERICAN ENERGY LLC</v>
      </c>
      <c r="H14" s="46">
        <v>7938.88</v>
      </c>
      <c r="I14" s="85">
        <f>IF(compras_mes4[[#This Row],[NETO GRAVADO]]="","",compras_mes4[[#This Row],[NETO GRAVADO]]*0.21)</f>
        <v>1667.1648</v>
      </c>
      <c r="J14" s="85"/>
      <c r="K14" s="85"/>
      <c r="L14" s="85"/>
      <c r="M14" s="85"/>
      <c r="N14" s="85"/>
      <c r="O14" s="85">
        <v>1499.62</v>
      </c>
      <c r="P14" s="48">
        <f>SUM(compras_mes4[[#This Row],[NETO GRAVADO]:[Otros / No Grav.]])</f>
        <v>11105.664799999999</v>
      </c>
      <c r="Q14" s="49">
        <f>IFERROR(IF(compras_mes4[[#This Row],[CUIT]]="","-",VLOOKUP(compras_mes4[[#This Row],[CUIT]],Lista_CUIT[#All],3,0)),"CUIT NO CARGADO")</f>
        <v>0</v>
      </c>
      <c r="R14" s="49">
        <f>IFERROR(IF(compras_mes4[[#This Row],[CUIT]]="","-",VLOOKUP(compras_mes4[[#This Row],[CUIT]],Lista_CUIT[#All],4,0)),"CUIT NO CARGADO")</f>
        <v>0</v>
      </c>
    </row>
    <row r="15" spans="1:26" x14ac:dyDescent="0.3">
      <c r="B15" s="152">
        <v>45118</v>
      </c>
      <c r="C15" s="41">
        <v>1</v>
      </c>
      <c r="D15" s="153">
        <v>295</v>
      </c>
      <c r="E15" s="154">
        <v>2343</v>
      </c>
      <c r="F15" s="155">
        <v>30709173401</v>
      </c>
      <c r="G15" s="156" t="str">
        <f>IFERROR(IF(compras_mes4[[#This Row],[CUIT]]="","-",VLOOKUP(compras_mes4[[#This Row],[CUIT]],Lista_CUIT[#All],2,0)),"CUIT NO CARGADO")</f>
        <v>NEUMATICOS CORRAL S.A.</v>
      </c>
      <c r="H15" s="157">
        <v>12396.69</v>
      </c>
      <c r="I15" s="158">
        <f>IF(compras_mes4[[#This Row],[NETO GRAVADO]]="","",compras_mes4[[#This Row],[NETO GRAVADO]]*0.21)</f>
        <v>2603.3049000000001</v>
      </c>
      <c r="J15" s="158"/>
      <c r="K15" s="158"/>
      <c r="L15" s="158"/>
      <c r="M15" s="158"/>
      <c r="N15" s="158"/>
      <c r="O15" s="158"/>
      <c r="P15" s="159">
        <f>SUM(compras_mes4[[#This Row],[NETO GRAVADO]:[Otros / No Grav.]])</f>
        <v>14999.994900000002</v>
      </c>
      <c r="Q15" s="160">
        <f>IFERROR(IF(compras_mes4[[#This Row],[CUIT]]="","-",VLOOKUP(compras_mes4[[#This Row],[CUIT]],Lista_CUIT[#All],3,0)),"CUIT NO CARGADO")</f>
        <v>0</v>
      </c>
      <c r="R15" s="160">
        <f>IFERROR(IF(compras_mes4[[#This Row],[CUIT]]="","-",VLOOKUP(compras_mes4[[#This Row],[CUIT]],Lista_CUIT[#All],4,0)),"CUIT NO CARGADO")</f>
        <v>0</v>
      </c>
    </row>
    <row r="16" spans="1:26" x14ac:dyDescent="0.3">
      <c r="B16" s="40">
        <v>45118</v>
      </c>
      <c r="C16" s="41">
        <v>1</v>
      </c>
      <c r="D16" s="42">
        <v>7</v>
      </c>
      <c r="E16" s="43">
        <v>1514</v>
      </c>
      <c r="F16" s="44">
        <v>20352108635</v>
      </c>
      <c r="G16" s="45" t="str">
        <f>IFERROR(IF(compras_mes4[[#This Row],[CUIT]]="","-",VLOOKUP(compras_mes4[[#This Row],[CUIT]],Lista_CUIT[#All],2,0)),"CUIT NO CARGADO")</f>
        <v>SOMMARIO TURONI GUSTAVO</v>
      </c>
      <c r="H16" s="46">
        <v>14272.73</v>
      </c>
      <c r="I16" s="85">
        <f>IF(compras_mes4[[#This Row],[NETO GRAVADO]]="","",compras_mes4[[#This Row],[NETO GRAVADO]]*0.21)</f>
        <v>2997.2732999999998</v>
      </c>
      <c r="J16" s="85"/>
      <c r="K16" s="85"/>
      <c r="L16" s="85"/>
      <c r="M16" s="85"/>
      <c r="N16" s="85"/>
      <c r="O16" s="85"/>
      <c r="P16" s="48">
        <f>SUM(compras_mes4[[#This Row],[NETO GRAVADO]:[Otros / No Grav.]])</f>
        <v>17270.0033</v>
      </c>
      <c r="Q16" s="49">
        <f>IFERROR(IF(compras_mes4[[#This Row],[CUIT]]="","-",VLOOKUP(compras_mes4[[#This Row],[CUIT]],Lista_CUIT[#All],3,0)),"CUIT NO CARGADO")</f>
        <v>0</v>
      </c>
      <c r="R16" s="49">
        <f>IFERROR(IF(compras_mes4[[#This Row],[CUIT]]="","-",VLOOKUP(compras_mes4[[#This Row],[CUIT]],Lista_CUIT[#All],4,0)),"CUIT NO CARGADO")</f>
        <v>0</v>
      </c>
    </row>
    <row r="17" spans="2:18" x14ac:dyDescent="0.3">
      <c r="B17" s="294">
        <v>45118</v>
      </c>
      <c r="C17" s="285">
        <v>1</v>
      </c>
      <c r="D17" s="295">
        <v>2466</v>
      </c>
      <c r="E17" s="296">
        <v>531478</v>
      </c>
      <c r="F17" s="297">
        <v>30678814357</v>
      </c>
      <c r="G17" s="298" t="str">
        <f>IFERROR(IF(compras_mes4[[#This Row],[CUIT]]="","-",VLOOKUP(compras_mes4[[#This Row],[CUIT]],Lista_CUIT[#All],2,0)),"CUIT NO CARGADO")</f>
        <v>TELEFONICA MOVILES ARG</v>
      </c>
      <c r="H17" s="299">
        <v>6358.32</v>
      </c>
      <c r="I17" s="300"/>
      <c r="J17" s="300">
        <v>1716.75</v>
      </c>
      <c r="K17" s="300"/>
      <c r="L17" s="300">
        <v>190.75</v>
      </c>
      <c r="M17" s="300"/>
      <c r="N17" s="300"/>
      <c r="O17" s="300">
        <v>281.64999999999998</v>
      </c>
      <c r="P17" s="301">
        <f>SUM(compras_mes4[[#This Row],[NETO GRAVADO]:[Otros / No Grav.]])</f>
        <v>8547.4699999999993</v>
      </c>
      <c r="Q17" s="302" t="str">
        <f>IFERROR(IF(compras_mes4[[#This Row],[CUIT]]="","-",VLOOKUP(compras_mes4[[#This Row],[CUIT]],Lista_CUIT[#All],3,0)),"CUIT NO CARGADO")</f>
        <v>SERVICIOS</v>
      </c>
      <c r="R17" s="302">
        <f>IFERROR(IF(compras_mes4[[#This Row],[CUIT]]="","-",VLOOKUP(compras_mes4[[#This Row],[CUIT]],Lista_CUIT[#All],4,0)),"CUIT NO CARGADO")</f>
        <v>0</v>
      </c>
    </row>
    <row r="18" spans="2:18" x14ac:dyDescent="0.3">
      <c r="B18" s="294">
        <v>45119</v>
      </c>
      <c r="C18" s="285">
        <v>1</v>
      </c>
      <c r="D18" s="295">
        <v>5</v>
      </c>
      <c r="E18" s="296">
        <v>1588</v>
      </c>
      <c r="F18" s="297">
        <v>20294907174</v>
      </c>
      <c r="G18" s="298" t="str">
        <f>IFERROR(IF(compras_mes4[[#This Row],[CUIT]]="","-",VLOOKUP(compras_mes4[[#This Row],[CUIT]],Lista_CUIT[#All],2,0)),"CUIT NO CARGADO")</f>
        <v>ORTUÑO ALVAREZ HECTOR MANUEL</v>
      </c>
      <c r="H18" s="299">
        <v>6603.31</v>
      </c>
      <c r="I18" s="300">
        <f>IF(compras_mes4[[#This Row],[NETO GRAVADO]]="","",compras_mes4[[#This Row],[NETO GRAVADO]]*0.21)</f>
        <v>1386.6951000000001</v>
      </c>
      <c r="J18" s="300"/>
      <c r="K18" s="300"/>
      <c r="L18" s="300"/>
      <c r="M18" s="300"/>
      <c r="N18" s="300"/>
      <c r="O18" s="300"/>
      <c r="P18" s="301">
        <f>SUM(compras_mes4[[#This Row],[NETO GRAVADO]:[Otros / No Grav.]])</f>
        <v>7990.0051000000003</v>
      </c>
      <c r="Q18" s="302">
        <f>IFERROR(IF(compras_mes4[[#This Row],[CUIT]]="","-",VLOOKUP(compras_mes4[[#This Row],[CUIT]],Lista_CUIT[#All],3,0)),"CUIT NO CARGADO")</f>
        <v>0</v>
      </c>
      <c r="R18" s="302">
        <f>IFERROR(IF(compras_mes4[[#This Row],[CUIT]]="","-",VLOOKUP(compras_mes4[[#This Row],[CUIT]],Lista_CUIT[#All],4,0)),"CUIT NO CARGADO")</f>
        <v>0</v>
      </c>
    </row>
    <row r="19" spans="2:18" x14ac:dyDescent="0.3">
      <c r="B19" s="40">
        <v>45119</v>
      </c>
      <c r="C19" s="41">
        <v>1</v>
      </c>
      <c r="D19" s="42">
        <v>14</v>
      </c>
      <c r="E19" s="43">
        <v>98092</v>
      </c>
      <c r="F19" s="44">
        <v>30516336885</v>
      </c>
      <c r="G19" s="45" t="str">
        <f>IFERROR(IF(compras_mes4[[#This Row],[CUIT]]="","-",VLOOKUP(compras_mes4[[#This Row],[CUIT]],Lista_CUIT[#All],2,0)),"CUIT NO CARGADO")</f>
        <v>STENFAR S. A. U.</v>
      </c>
      <c r="H19" s="46">
        <v>20721.400000000001</v>
      </c>
      <c r="I19" s="85">
        <f>IF(compras_mes4[[#This Row],[NETO GRAVADO]]="","",compras_mes4[[#This Row],[NETO GRAVADO]]*0.21)</f>
        <v>4351.4940000000006</v>
      </c>
      <c r="J19" s="85"/>
      <c r="K19" s="85"/>
      <c r="L19" s="85">
        <v>621.64</v>
      </c>
      <c r="M19" s="85"/>
      <c r="N19" s="85">
        <v>1243.28</v>
      </c>
      <c r="O19" s="85"/>
      <c r="P19" s="48">
        <f>SUM(compras_mes4[[#This Row],[NETO GRAVADO]:[Otros / No Grav.]])</f>
        <v>26937.813999999998</v>
      </c>
      <c r="Q19" s="49">
        <f>IFERROR(IF(compras_mes4[[#This Row],[CUIT]]="","-",VLOOKUP(compras_mes4[[#This Row],[CUIT]],Lista_CUIT[#All],3,0)),"CUIT NO CARGADO")</f>
        <v>0</v>
      </c>
      <c r="R19" s="49">
        <f>IFERROR(IF(compras_mes4[[#This Row],[CUIT]]="","-",VLOOKUP(compras_mes4[[#This Row],[CUIT]],Lista_CUIT[#All],4,0)),"CUIT NO CARGADO")</f>
        <v>0</v>
      </c>
    </row>
    <row r="20" spans="2:18" x14ac:dyDescent="0.3">
      <c r="B20" s="294">
        <v>45121</v>
      </c>
      <c r="C20" s="285">
        <v>1</v>
      </c>
      <c r="D20" s="295">
        <v>3</v>
      </c>
      <c r="E20" s="296">
        <v>2206</v>
      </c>
      <c r="F20" s="297">
        <v>20265834958</v>
      </c>
      <c r="G20" s="298" t="str">
        <f>IFERROR(IF(compras_mes4[[#This Row],[CUIT]]="","-",VLOOKUP(compras_mes4[[#This Row],[CUIT]],Lista_CUIT[#All],2,0)),"CUIT NO CARGADO")</f>
        <v>MAESTROJUAN DEL VILLAR MAXIMILIANO</v>
      </c>
      <c r="H20" s="299">
        <v>20130.330000000002</v>
      </c>
      <c r="I20" s="300">
        <f>IF(compras_mes4[[#This Row],[NETO GRAVADO]]="","",compras_mes4[[#This Row],[NETO GRAVADO]]*0.21)</f>
        <v>4227.3693000000003</v>
      </c>
      <c r="J20" s="300"/>
      <c r="K20" s="300"/>
      <c r="L20" s="300"/>
      <c r="M20" s="300"/>
      <c r="N20" s="300"/>
      <c r="O20" s="300"/>
      <c r="P20" s="301">
        <f>SUM(compras_mes4[[#This Row],[NETO GRAVADO]:[Otros / No Grav.]])</f>
        <v>24357.6993</v>
      </c>
      <c r="Q20" s="302">
        <f>IFERROR(IF(compras_mes4[[#This Row],[CUIT]]="","-",VLOOKUP(compras_mes4[[#This Row],[CUIT]],Lista_CUIT[#All],3,0)),"CUIT NO CARGADO")</f>
        <v>0</v>
      </c>
      <c r="R20" s="302">
        <f>IFERROR(IF(compras_mes4[[#This Row],[CUIT]]="","-",VLOOKUP(compras_mes4[[#This Row],[CUIT]],Lista_CUIT[#All],4,0)),"CUIT NO CARGADO")</f>
        <v>0</v>
      </c>
    </row>
    <row r="21" spans="2:18" x14ac:dyDescent="0.3">
      <c r="B21" s="294">
        <v>45125</v>
      </c>
      <c r="C21" s="285">
        <v>1</v>
      </c>
      <c r="D21" s="295">
        <v>11</v>
      </c>
      <c r="E21" s="296">
        <v>12215</v>
      </c>
      <c r="F21" s="297">
        <v>20233272222</v>
      </c>
      <c r="G21" s="298" t="str">
        <f>IFERROR(IF(compras_mes4[[#This Row],[CUIT]]="","-",VLOOKUP(compras_mes4[[#This Row],[CUIT]],Lista_CUIT[#All],2,0)),"CUIT NO CARGADO")</f>
        <v>CAMAUER GUSTAVO MAXIMILIANO</v>
      </c>
      <c r="H21" s="299">
        <v>9834.7099999999991</v>
      </c>
      <c r="I21" s="300">
        <f>IF(compras_mes4[[#This Row],[NETO GRAVADO]]="","",compras_mes4[[#This Row],[NETO GRAVADO]]*0.21)</f>
        <v>2065.2891</v>
      </c>
      <c r="J21" s="300"/>
      <c r="K21" s="300"/>
      <c r="L21" s="300"/>
      <c r="M21" s="300"/>
      <c r="N21" s="300"/>
      <c r="O21" s="300"/>
      <c r="P21" s="301">
        <f>SUM(compras_mes4[[#This Row],[NETO GRAVADO]:[Otros / No Grav.]])</f>
        <v>11899.999099999999</v>
      </c>
      <c r="Q21" s="302">
        <f>IFERROR(IF(compras_mes4[[#This Row],[CUIT]]="","-",VLOOKUP(compras_mes4[[#This Row],[CUIT]],Lista_CUIT[#All],3,0)),"CUIT NO CARGADO")</f>
        <v>0</v>
      </c>
      <c r="R21" s="302">
        <f>IFERROR(IF(compras_mes4[[#This Row],[CUIT]]="","-",VLOOKUP(compras_mes4[[#This Row],[CUIT]],Lista_CUIT[#All],4,0)),"CUIT NO CARGADO")</f>
        <v>0</v>
      </c>
    </row>
    <row r="22" spans="2:18" x14ac:dyDescent="0.3">
      <c r="B22" s="40">
        <v>45125</v>
      </c>
      <c r="C22" s="41">
        <v>1</v>
      </c>
      <c r="D22" s="42">
        <v>4</v>
      </c>
      <c r="E22" s="43">
        <v>96632</v>
      </c>
      <c r="F22" s="44">
        <v>30559932236</v>
      </c>
      <c r="G22" s="45" t="str">
        <f>IFERROR(IF(compras_mes4[[#This Row],[CUIT]]="","-",VLOOKUP(compras_mes4[[#This Row],[CUIT]],Lista_CUIT[#All],2,0)),"CUIT NO CARGADO")</f>
        <v>ELECTRONICA ELEMON S A</v>
      </c>
      <c r="H22" s="46">
        <v>118683.13</v>
      </c>
      <c r="I22" s="85">
        <v>20144.650000000001</v>
      </c>
      <c r="J22" s="85"/>
      <c r="K22" s="85">
        <v>2389.4</v>
      </c>
      <c r="L22" s="85"/>
      <c r="M22" s="85"/>
      <c r="N22" s="85"/>
      <c r="O22" s="85"/>
      <c r="P22" s="48">
        <f>SUM(compras_mes4[[#This Row],[NETO GRAVADO]:[Otros / No Grav.]])</f>
        <v>141217.18</v>
      </c>
      <c r="Q22" s="49" t="str">
        <f>IFERROR(IF(compras_mes4[[#This Row],[CUIT]]="","-",VLOOKUP(compras_mes4[[#This Row],[CUIT]],Lista_CUIT[#All],3,0)),"CUIT NO CARGADO")</f>
        <v>Mat. Prima</v>
      </c>
      <c r="R22" s="49">
        <f>IFERROR(IF(compras_mes4[[#This Row],[CUIT]]="","-",VLOOKUP(compras_mes4[[#This Row],[CUIT]],Lista_CUIT[#All],4,0)),"CUIT NO CARGADO")</f>
        <v>0</v>
      </c>
    </row>
    <row r="23" spans="2:18" x14ac:dyDescent="0.3">
      <c r="B23" s="40">
        <v>45125</v>
      </c>
      <c r="C23" s="41">
        <v>1</v>
      </c>
      <c r="D23" s="42">
        <v>280</v>
      </c>
      <c r="E23" s="43">
        <v>1443824</v>
      </c>
      <c r="F23" s="44">
        <v>30580111315</v>
      </c>
      <c r="G23" s="45" t="str">
        <f>IFERROR(IF(compras_mes4[[#This Row],[CUIT]]="","-",VLOOKUP(compras_mes4[[#This Row],[CUIT]],Lista_CUIT[#All],2,0)),"CUIT NO CARGADO")</f>
        <v>DHL EXPRESS (ARGENTINA) S.A.</v>
      </c>
      <c r="H23" s="46">
        <v>10742.022499999999</v>
      </c>
      <c r="I23" s="85">
        <f>IF(compras_mes4[[#This Row],[NETO GRAVADO]]="","",compras_mes4[[#This Row],[NETO GRAVADO]]*0.21)</f>
        <v>2255.8247249999999</v>
      </c>
      <c r="J23" s="85"/>
      <c r="K23" s="85"/>
      <c r="L23" s="85"/>
      <c r="M23" s="85"/>
      <c r="N23" s="85"/>
      <c r="O23" s="85">
        <v>-8877.44</v>
      </c>
      <c r="P23" s="48">
        <f>SUM(compras_mes4[[#This Row],[NETO GRAVADO]:[Otros / No Grav.]])</f>
        <v>4120.407224999999</v>
      </c>
      <c r="Q23" s="49" t="str">
        <f>IFERROR(IF(compras_mes4[[#This Row],[CUIT]]="","-",VLOOKUP(compras_mes4[[#This Row],[CUIT]],Lista_CUIT[#All],3,0)),"CUIT NO CARGADO")</f>
        <v>Gtos. Imp.</v>
      </c>
      <c r="R23" s="49">
        <f>IFERROR(IF(compras_mes4[[#This Row],[CUIT]]="","-",VLOOKUP(compras_mes4[[#This Row],[CUIT]],Lista_CUIT[#All],4,0)),"CUIT NO CARGADO")</f>
        <v>0</v>
      </c>
    </row>
    <row r="24" spans="2:18" x14ac:dyDescent="0.3">
      <c r="B24" s="40">
        <v>45128</v>
      </c>
      <c r="C24" s="41">
        <v>1</v>
      </c>
      <c r="D24" s="42">
        <v>2</v>
      </c>
      <c r="E24" s="43">
        <v>2478</v>
      </c>
      <c r="F24" s="44">
        <v>30709131733</v>
      </c>
      <c r="G24" s="45" t="str">
        <f>IFERROR(IF(compras_mes4[[#This Row],[CUIT]]="","-",VLOOKUP(compras_mes4[[#This Row],[CUIT]],Lista_CUIT[#All],2,0)),"CUIT NO CARGADO")</f>
        <v>DIGAS SRL</v>
      </c>
      <c r="H24" s="46">
        <v>897280</v>
      </c>
      <c r="I24" s="85">
        <f>IF(compras_mes4[[#This Row],[NETO GRAVADO]]="","",compras_mes4[[#This Row],[NETO GRAVADO]]*0.21)</f>
        <v>188428.79999999999</v>
      </c>
      <c r="J24" s="85"/>
      <c r="K24" s="85"/>
      <c r="L24" s="85"/>
      <c r="M24" s="85"/>
      <c r="N24" s="85"/>
      <c r="O24" s="85"/>
      <c r="P24" s="48">
        <f>SUM(compras_mes4[[#This Row],[NETO GRAVADO]:[Otros / No Grav.]])</f>
        <v>1085708.8</v>
      </c>
      <c r="Q24" s="49" t="str">
        <f>IFERROR(IF(compras_mes4[[#This Row],[CUIT]]="","-",VLOOKUP(compras_mes4[[#This Row],[CUIT]],Lista_CUIT[#All],3,0)),"CUIT NO CARGADO")</f>
        <v>INSUMO</v>
      </c>
      <c r="R24" s="49">
        <f>IFERROR(IF(compras_mes4[[#This Row],[CUIT]]="","-",VLOOKUP(compras_mes4[[#This Row],[CUIT]],Lista_CUIT[#All],4,0)),"CUIT NO CARGADO")</f>
        <v>0</v>
      </c>
    </row>
    <row r="25" spans="2:18" x14ac:dyDescent="0.3">
      <c r="B25" s="284">
        <v>45128</v>
      </c>
      <c r="C25" s="285">
        <v>1</v>
      </c>
      <c r="D25" s="286">
        <v>3</v>
      </c>
      <c r="E25" s="287">
        <v>1540003</v>
      </c>
      <c r="F25" s="288">
        <v>30712019359</v>
      </c>
      <c r="G25" s="289" t="str">
        <f>IFERROR(IF(compras_mes4[[#This Row],[CUIT]]="","-",VLOOKUP(compras_mes4[[#This Row],[CUIT]],Lista_CUIT[#All],2,0)),"CUIT NO CARGADO")</f>
        <v>LINKEDSTORE ARGENTINA S.R.L.</v>
      </c>
      <c r="H25" s="290">
        <v>8759.5</v>
      </c>
      <c r="I25" s="291">
        <f>IF(compras_mes4[[#This Row],[NETO GRAVADO]]="","",compras_mes4[[#This Row],[NETO GRAVADO]]*0.21)</f>
        <v>1839.4949999999999</v>
      </c>
      <c r="J25" s="291"/>
      <c r="K25" s="291"/>
      <c r="L25" s="291"/>
      <c r="M25" s="291"/>
      <c r="N25" s="291"/>
      <c r="O25" s="291"/>
      <c r="P25" s="292">
        <f>SUM(compras_mes4[[#This Row],[NETO GRAVADO]:[Otros / No Grav.]])</f>
        <v>10598.994999999999</v>
      </c>
      <c r="Q25" s="293" t="str">
        <f>IFERROR(IF(compras_mes4[[#This Row],[CUIT]]="","-",VLOOKUP(compras_mes4[[#This Row],[CUIT]],Lista_CUIT[#All],3,0)),"CUIT NO CARGADO")</f>
        <v>Gastos Varios</v>
      </c>
      <c r="R25" s="293">
        <f>IFERROR(IF(compras_mes4[[#This Row],[CUIT]]="","-",VLOOKUP(compras_mes4[[#This Row],[CUIT]],Lista_CUIT[#All],4,0)),"CUIT NO CARGADO")</f>
        <v>0</v>
      </c>
    </row>
    <row r="26" spans="2:18" s="56" customFormat="1" ht="18.600000000000001" customHeight="1" x14ac:dyDescent="0.3">
      <c r="B26" s="40">
        <v>45131</v>
      </c>
      <c r="C26" s="41">
        <v>1</v>
      </c>
      <c r="D26" s="42">
        <v>700</v>
      </c>
      <c r="E26" s="43">
        <v>548718</v>
      </c>
      <c r="F26" s="44">
        <v>30580111315</v>
      </c>
      <c r="G26" s="45" t="str">
        <f>IFERROR(IF(compras_mes4[[#This Row],[CUIT]]="","-",VLOOKUP(compras_mes4[[#This Row],[CUIT]],Lista_CUIT[#All],2,0)),"CUIT NO CARGADO")</f>
        <v>DHL EXPRESS (ARGENTINA) S.A.</v>
      </c>
      <c r="H26" s="46">
        <v>3941</v>
      </c>
      <c r="I26" s="85">
        <f>IF(compras_mes4[[#This Row],[NETO GRAVADO]]="","",compras_mes4[[#This Row],[NETO GRAVADO]]*0.21)</f>
        <v>827.61</v>
      </c>
      <c r="J26" s="85"/>
      <c r="K26" s="85"/>
      <c r="L26" s="85"/>
      <c r="M26" s="85"/>
      <c r="N26" s="85"/>
      <c r="O26" s="85">
        <v>181235.33000000002</v>
      </c>
      <c r="P26" s="48">
        <f>SUM(compras_mes4[[#This Row],[NETO GRAVADO]:[Otros / No Grav.]])</f>
        <v>186003.94</v>
      </c>
      <c r="Q26" s="49" t="str">
        <f>IFERROR(IF(compras_mes4[[#This Row],[CUIT]]="","-",VLOOKUP(compras_mes4[[#This Row],[CUIT]],Lista_CUIT[#All],3,0)),"CUIT NO CARGADO")</f>
        <v>Gtos. Imp.</v>
      </c>
      <c r="R26" s="49">
        <f>IFERROR(IF(compras_mes4[[#This Row],[CUIT]]="","-",VLOOKUP(compras_mes4[[#This Row],[CUIT]],Lista_CUIT[#All],4,0)),"CUIT NO CARGADO")</f>
        <v>0</v>
      </c>
    </row>
    <row r="27" spans="2:18" x14ac:dyDescent="0.3">
      <c r="B27" s="40">
        <v>45131</v>
      </c>
      <c r="C27" s="41">
        <v>1</v>
      </c>
      <c r="D27" s="42">
        <v>3</v>
      </c>
      <c r="E27" s="43">
        <v>18418</v>
      </c>
      <c r="F27" s="44">
        <v>30560477836</v>
      </c>
      <c r="G27" s="45" t="str">
        <f>IFERROR(IF(compras_mes4[[#This Row],[CUIT]]="","-",VLOOKUP(compras_mes4[[#This Row],[CUIT]],Lista_CUIT[#All],2,0)),"CUIT NO CARGADO")</f>
        <v>CINT BROC S A</v>
      </c>
      <c r="H27" s="46">
        <v>30186.76</v>
      </c>
      <c r="I27" s="85">
        <f>IF(compras_mes4[[#This Row],[NETO GRAVADO]]="","",compras_mes4[[#This Row],[NETO GRAVADO]]*0.21)</f>
        <v>6339.2195999999994</v>
      </c>
      <c r="J27" s="85"/>
      <c r="K27" s="85"/>
      <c r="L27" s="85"/>
      <c r="M27" s="85"/>
      <c r="N27" s="85"/>
      <c r="O27" s="85"/>
      <c r="P27" s="48">
        <f>SUM(compras_mes4[[#This Row],[NETO GRAVADO]:[Otros / No Grav.]])</f>
        <v>36525.979599999999</v>
      </c>
      <c r="Q27" s="49">
        <f>IFERROR(IF(compras_mes4[[#This Row],[CUIT]]="","-",VLOOKUP(compras_mes4[[#This Row],[CUIT]],Lista_CUIT[#All],3,0)),"CUIT NO CARGADO")</f>
        <v>0</v>
      </c>
      <c r="R27" s="49">
        <f>IFERROR(IF(compras_mes4[[#This Row],[CUIT]]="","-",VLOOKUP(compras_mes4[[#This Row],[CUIT]],Lista_CUIT[#All],4,0)),"CUIT NO CARGADO")</f>
        <v>0</v>
      </c>
    </row>
    <row r="28" spans="2:18" x14ac:dyDescent="0.3">
      <c r="B28" s="40">
        <v>45131</v>
      </c>
      <c r="C28" s="41">
        <v>1</v>
      </c>
      <c r="D28" s="42">
        <v>3</v>
      </c>
      <c r="E28" s="43">
        <v>7053</v>
      </c>
      <c r="F28" s="44">
        <v>30715544837</v>
      </c>
      <c r="G28" s="45" t="str">
        <f>IFERROR(IF(compras_mes4[[#This Row],[CUIT]]="","-",VLOOKUP(compras_mes4[[#This Row],[CUIT]],Lista_CUIT[#All],2,0)),"CUIT NO CARGADO")</f>
        <v>BLUE STAR ONLINE S.R.L.</v>
      </c>
      <c r="H28" s="46">
        <v>7103.17</v>
      </c>
      <c r="I28" s="85"/>
      <c r="J28" s="85"/>
      <c r="K28" s="85">
        <v>745.83</v>
      </c>
      <c r="L28" s="85"/>
      <c r="M28" s="85"/>
      <c r="N28" s="85"/>
      <c r="O28" s="85"/>
      <c r="P28" s="48">
        <f>SUM(compras_mes4[[#This Row],[NETO GRAVADO]:[Otros / No Grav.]])</f>
        <v>7849</v>
      </c>
      <c r="Q28" s="49">
        <f>IFERROR(IF(compras_mes4[[#This Row],[CUIT]]="","-",VLOOKUP(compras_mes4[[#This Row],[CUIT]],Lista_CUIT[#All],3,0)),"CUIT NO CARGADO")</f>
        <v>0</v>
      </c>
      <c r="R28" s="49">
        <f>IFERROR(IF(compras_mes4[[#This Row],[CUIT]]="","-",VLOOKUP(compras_mes4[[#This Row],[CUIT]],Lista_CUIT[#All],4,0)),"CUIT NO CARGADO")</f>
        <v>0</v>
      </c>
    </row>
    <row r="29" spans="2:18" x14ac:dyDescent="0.3">
      <c r="B29" s="40">
        <v>45132</v>
      </c>
      <c r="C29" s="41">
        <v>1</v>
      </c>
      <c r="D29" s="42">
        <v>922</v>
      </c>
      <c r="E29" s="43">
        <v>21</v>
      </c>
      <c r="F29" s="44">
        <v>30708992301</v>
      </c>
      <c r="G29" s="45" t="str">
        <f>IFERROR(IF(compras_mes4[[#This Row],[CUIT]]="","-",VLOOKUP(compras_mes4[[#This Row],[CUIT]],Lista_CUIT[#All],2,0)),"CUIT NO CARGADO")</f>
        <v>UNIMACO S.A.</v>
      </c>
      <c r="H29" s="46">
        <v>421540.91</v>
      </c>
      <c r="I29" s="85">
        <f>IF(compras_mes4[[#This Row],[NETO GRAVADO]]="","",compras_mes4[[#This Row],[NETO GRAVADO]]*0.21)</f>
        <v>88523.591099999991</v>
      </c>
      <c r="J29" s="85"/>
      <c r="K29" s="85"/>
      <c r="L29" s="85"/>
      <c r="M29" s="85"/>
      <c r="N29" s="85"/>
      <c r="O29" s="85"/>
      <c r="P29" s="48">
        <f>SUM(compras_mes4[[#This Row],[NETO GRAVADO]:[Otros / No Grav.]])</f>
        <v>510064.50109999999</v>
      </c>
      <c r="Q29" s="49">
        <f>IFERROR(IF(compras_mes4[[#This Row],[CUIT]]="","-",VLOOKUP(compras_mes4[[#This Row],[CUIT]],Lista_CUIT[#All],3,0)),"CUIT NO CARGADO")</f>
        <v>0</v>
      </c>
      <c r="R29" s="49">
        <f>IFERROR(IF(compras_mes4[[#This Row],[CUIT]]="","-",VLOOKUP(compras_mes4[[#This Row],[CUIT]],Lista_CUIT[#All],4,0)),"CUIT NO CARGADO")</f>
        <v>0</v>
      </c>
    </row>
    <row r="30" spans="2:18" ht="14.4" customHeight="1" x14ac:dyDescent="0.3">
      <c r="B30" s="40">
        <v>45134</v>
      </c>
      <c r="C30" s="41">
        <v>1</v>
      </c>
      <c r="D30" s="42">
        <v>3</v>
      </c>
      <c r="E30" s="43">
        <v>109660</v>
      </c>
      <c r="F30" s="44">
        <v>20239395822</v>
      </c>
      <c r="G30" s="45" t="str">
        <f>IFERROR(IF(compras_mes4[[#This Row],[CUIT]]="","-",VLOOKUP(compras_mes4[[#This Row],[CUIT]],Lista_CUIT[#All],2,0)),"CUIT NO CARGADO")</f>
        <v>PUGLIESE GUSTAVO HERNAN</v>
      </c>
      <c r="H30" s="46">
        <v>27609.919999999998</v>
      </c>
      <c r="I30" s="85">
        <f>IF(compras_mes4[[#This Row],[NETO GRAVADO]]="","",compras_mes4[[#This Row],[NETO GRAVADO]]*0.21)</f>
        <v>5798.0831999999991</v>
      </c>
      <c r="J30" s="85"/>
      <c r="K30" s="85"/>
      <c r="L30" s="85"/>
      <c r="M30" s="85"/>
      <c r="N30" s="85"/>
      <c r="O30" s="85"/>
      <c r="P30" s="48">
        <f>SUM(compras_mes4[[#This Row],[NETO GRAVADO]:[Otros / No Grav.]])</f>
        <v>33408.003199999999</v>
      </c>
      <c r="Q30" s="49">
        <f>IFERROR(IF(compras_mes4[[#This Row],[CUIT]]="","-",VLOOKUP(compras_mes4[[#This Row],[CUIT]],Lista_CUIT[#All],3,0)),"CUIT NO CARGADO")</f>
        <v>0</v>
      </c>
      <c r="R30" s="49">
        <f>IFERROR(IF(compras_mes4[[#This Row],[CUIT]]="","-",VLOOKUP(compras_mes4[[#This Row],[CUIT]],Lista_CUIT[#All],4,0)),"CUIT NO CARGADO")</f>
        <v>0</v>
      </c>
    </row>
    <row r="31" spans="2:18" x14ac:dyDescent="0.3">
      <c r="B31" s="40">
        <v>45134</v>
      </c>
      <c r="C31" s="41">
        <v>1</v>
      </c>
      <c r="D31" s="42">
        <v>4</v>
      </c>
      <c r="E31" s="43">
        <v>21386</v>
      </c>
      <c r="F31" s="44">
        <v>23059002414</v>
      </c>
      <c r="G31" s="45" t="str">
        <f>IFERROR(IF(compras_mes4[[#This Row],[CUIT]]="","-",VLOOKUP(compras_mes4[[#This Row],[CUIT]],Lista_CUIT[#All],2,0)),"CUIT NO CARGADO")</f>
        <v>AGUILAR DIANA ANGELA</v>
      </c>
      <c r="H31" s="46">
        <v>9681.82</v>
      </c>
      <c r="I31" s="85">
        <f>IF(compras_mes4[[#This Row],[NETO GRAVADO]]="","",compras_mes4[[#This Row],[NETO GRAVADO]]*0.21)</f>
        <v>2033.1822</v>
      </c>
      <c r="J31" s="85"/>
      <c r="K31" s="85"/>
      <c r="L31" s="85"/>
      <c r="M31" s="85"/>
      <c r="N31" s="85"/>
      <c r="O31" s="85"/>
      <c r="P31" s="48">
        <f>SUM(compras_mes4[[#This Row],[NETO GRAVADO]:[Otros / No Grav.]])</f>
        <v>11715.002199999999</v>
      </c>
      <c r="Q31" s="49">
        <f>IFERROR(IF(compras_mes4[[#This Row],[CUIT]]="","-",VLOOKUP(compras_mes4[[#This Row],[CUIT]],Lista_CUIT[#All],3,0)),"CUIT NO CARGADO")</f>
        <v>0</v>
      </c>
      <c r="R31" s="49">
        <f>IFERROR(IF(compras_mes4[[#This Row],[CUIT]]="","-",VLOOKUP(compras_mes4[[#This Row],[CUIT]],Lista_CUIT[#All],4,0)),"CUIT NO CARGADO")</f>
        <v>0</v>
      </c>
    </row>
    <row r="32" spans="2:18" x14ac:dyDescent="0.3">
      <c r="B32" s="40">
        <v>45135</v>
      </c>
      <c r="C32" s="41">
        <v>1</v>
      </c>
      <c r="D32" s="42">
        <v>6</v>
      </c>
      <c r="E32" s="43">
        <v>12323</v>
      </c>
      <c r="F32" s="44">
        <v>30707756434</v>
      </c>
      <c r="G32" s="45" t="str">
        <f>IFERROR(IF(compras_mes4[[#This Row],[CUIT]]="","-",VLOOKUP(compras_mes4[[#This Row],[CUIT]],Lista_CUIT[#All],2,0)),"CUIT NO CARGADO")</f>
        <v>SERVICIO INTEGRAL DE LIMPIEZA SRL</v>
      </c>
      <c r="H32" s="46">
        <v>39600</v>
      </c>
      <c r="I32" s="85">
        <f>IF(compras_mes4[[#This Row],[NETO GRAVADO]]="","",compras_mes4[[#This Row],[NETO GRAVADO]]*0.21)</f>
        <v>8316</v>
      </c>
      <c r="J32" s="85"/>
      <c r="K32" s="85"/>
      <c r="L32" s="85"/>
      <c r="M32" s="85"/>
      <c r="N32" s="85"/>
      <c r="O32" s="85"/>
      <c r="P32" s="48">
        <f>SUM(compras_mes4[[#This Row],[NETO GRAVADO]:[Otros / No Grav.]])</f>
        <v>47916</v>
      </c>
      <c r="Q32" s="49" t="str">
        <f>IFERROR(IF(compras_mes4[[#This Row],[CUIT]]="","-",VLOOKUP(compras_mes4[[#This Row],[CUIT]],Lista_CUIT[#All],3,0)),"CUIT NO CARGADO")</f>
        <v>Mantenimiento</v>
      </c>
      <c r="R32" s="49">
        <f>IFERROR(IF(compras_mes4[[#This Row],[CUIT]]="","-",VLOOKUP(compras_mes4[[#This Row],[CUIT]],Lista_CUIT[#All],4,0)),"CUIT NO CARGADO")</f>
        <v>0</v>
      </c>
    </row>
    <row r="33" spans="2:19" ht="14.4" customHeight="1" x14ac:dyDescent="0.3">
      <c r="B33" s="40">
        <v>45138</v>
      </c>
      <c r="C33" s="41">
        <v>1</v>
      </c>
      <c r="D33" s="42">
        <v>4</v>
      </c>
      <c r="E33" s="43">
        <v>45913</v>
      </c>
      <c r="F33" s="44">
        <v>30625482522</v>
      </c>
      <c r="G33" s="45" t="str">
        <f>IFERROR(IF(compras_mes4[[#This Row],[CUIT]]="","-",VLOOKUP(compras_mes4[[#This Row],[CUIT]],Lista_CUIT[#All],2,0)),"CUIT NO CARGADO")</f>
        <v>LO PRIMO S A</v>
      </c>
      <c r="H33" s="46">
        <v>228800</v>
      </c>
      <c r="I33" s="85">
        <f>IF(compras_mes4[[#This Row],[NETO GRAVADO]]="","",compras_mes4[[#This Row],[NETO GRAVADO]]*0.21)</f>
        <v>48048</v>
      </c>
      <c r="J33" s="85"/>
      <c r="K33" s="85"/>
      <c r="L33" s="85"/>
      <c r="M33" s="85"/>
      <c r="N33" s="85"/>
      <c r="O33" s="85"/>
      <c r="P33" s="48">
        <f>SUM(compras_mes4[[#This Row],[NETO GRAVADO]:[Otros / No Grav.]])</f>
        <v>276848</v>
      </c>
      <c r="Q33" s="49">
        <f>IFERROR(IF(compras_mes4[[#This Row],[CUIT]]="","-",VLOOKUP(compras_mes4[[#This Row],[CUIT]],Lista_CUIT[#All],3,0)),"CUIT NO CARGADO")</f>
        <v>0</v>
      </c>
      <c r="R33" s="49">
        <f>IFERROR(IF(compras_mes4[[#This Row],[CUIT]]="","-",VLOOKUP(compras_mes4[[#This Row],[CUIT]],Lista_CUIT[#All],4,0)),"CUIT NO CARGADO")</f>
        <v>0</v>
      </c>
      <c r="S33" t="s">
        <v>1221</v>
      </c>
    </row>
    <row r="34" spans="2:19" ht="15" customHeight="1" x14ac:dyDescent="0.3">
      <c r="B34" s="284">
        <v>45138</v>
      </c>
      <c r="C34" s="285">
        <v>1</v>
      </c>
      <c r="D34" s="286">
        <v>40</v>
      </c>
      <c r="E34" s="287">
        <v>2402343</v>
      </c>
      <c r="F34" s="288">
        <v>30710964277</v>
      </c>
      <c r="G34" s="289" t="str">
        <f>IFERROR(IF(compras_mes4[[#This Row],[CUIT]]="","-",VLOOKUP(compras_mes4[[#This Row],[CUIT]],Lista_CUIT[#All],2,0)),"CUIT NO CARGADO")</f>
        <v>LAKAUT S.A.</v>
      </c>
      <c r="H34" s="290">
        <v>6308.38</v>
      </c>
      <c r="I34" s="291">
        <f>IF(compras_mes4[[#This Row],[NETO GRAVADO]]="","",compras_mes4[[#This Row],[NETO GRAVADO]]*0.21)</f>
        <v>1324.7598</v>
      </c>
      <c r="J34" s="291"/>
      <c r="K34" s="291"/>
      <c r="L34" s="291"/>
      <c r="M34" s="291"/>
      <c r="N34" s="291"/>
      <c r="O34" s="291"/>
      <c r="P34" s="292">
        <f>SUM(compras_mes4[[#This Row],[NETO GRAVADO]:[Otros / No Grav.]])</f>
        <v>7633.1397999999999</v>
      </c>
      <c r="Q34" s="293">
        <f>IFERROR(IF(compras_mes4[[#This Row],[CUIT]]="","-",VLOOKUP(compras_mes4[[#This Row],[CUIT]],Lista_CUIT[#All],3,0)),"CUIT NO CARGADO")</f>
        <v>0</v>
      </c>
      <c r="R34" s="293">
        <f>IFERROR(IF(compras_mes4[[#This Row],[CUIT]]="","-",VLOOKUP(compras_mes4[[#This Row],[CUIT]],Lista_CUIT[#All],4,0)),"CUIT NO CARGADO")</f>
        <v>0</v>
      </c>
      <c r="S34" t="s">
        <v>1222</v>
      </c>
    </row>
    <row r="35" spans="2:19" ht="15" customHeight="1" x14ac:dyDescent="0.3">
      <c r="B35" s="96" t="s">
        <v>110</v>
      </c>
      <c r="C35" s="96"/>
      <c r="D35" s="96"/>
      <c r="E35" s="96"/>
      <c r="F35" s="96"/>
      <c r="G35" s="97"/>
      <c r="H35" s="98">
        <f>SUBTOTAL(109,compras_mes4[NETO GRAVADO])</f>
        <v>2916738.2924999995</v>
      </c>
      <c r="I35" s="98">
        <f>SUBTOTAL(109,compras_mes4[IVA 21 %])</f>
        <v>604909.32122499996</v>
      </c>
      <c r="J35" s="98">
        <f>SUBTOTAL(109,compras_mes4[IVA 27%])</f>
        <v>1716.75</v>
      </c>
      <c r="K35" s="98">
        <f>SUBTOTAL(109,compras_mes4[IVA 10,5%])</f>
        <v>3135.23</v>
      </c>
      <c r="L35" s="98">
        <f>SUBTOTAL(109,compras_mes4[PERC. IVA])</f>
        <v>812.39</v>
      </c>
      <c r="M35" s="98">
        <f>SUBTOTAL(109,compras_mes4[PERC IIBB 
BS AS])</f>
        <v>0</v>
      </c>
      <c r="N35" s="98">
        <f>SUBTOTAL(109,compras_mes4[PERC. IIBB CABA])</f>
        <v>1243.28</v>
      </c>
      <c r="O35" s="98">
        <f>SUBTOTAL(109,compras_mes4[Otros / No Grav.])</f>
        <v>174139.16</v>
      </c>
      <c r="P35" s="98">
        <f>SUBTOTAL(109,compras_mes4[TOTAL])</f>
        <v>3702694.4237250001</v>
      </c>
      <c r="Q35" s="96"/>
      <c r="R35" s="96"/>
    </row>
    <row r="36" spans="2:19" ht="15" customHeight="1" x14ac:dyDescent="0.3">
      <c r="B36" s="40"/>
      <c r="C36" s="41"/>
      <c r="D36" s="42"/>
      <c r="E36" s="43"/>
      <c r="F36" s="44"/>
      <c r="G36" s="45"/>
      <c r="H36" s="46"/>
      <c r="I36" s="47"/>
      <c r="J36" s="47">
        <v>-605800</v>
      </c>
      <c r="K36" s="47"/>
      <c r="L36" s="47"/>
      <c r="M36" s="47"/>
      <c r="N36" s="47"/>
      <c r="O36" s="47"/>
      <c r="P36" s="48"/>
      <c r="Q36" s="49"/>
      <c r="R36" s="49"/>
    </row>
    <row r="37" spans="2:19" ht="15" customHeight="1" x14ac:dyDescent="0.3">
      <c r="B37" s="40"/>
      <c r="C37" s="41"/>
      <c r="D37" s="42"/>
      <c r="E37" s="43"/>
      <c r="F37" s="44"/>
      <c r="G37" s="45"/>
      <c r="H37" s="46"/>
      <c r="I37" s="47"/>
      <c r="J37" s="47">
        <v>-2255.8200000000002</v>
      </c>
      <c r="K37" s="47"/>
      <c r="L37" s="47"/>
      <c r="M37" s="47"/>
      <c r="N37" s="47"/>
      <c r="O37" s="47"/>
      <c r="P37" s="48"/>
      <c r="Q37" s="49"/>
      <c r="R37" s="49"/>
    </row>
    <row r="38" spans="2:19" ht="23.4" customHeight="1" x14ac:dyDescent="0.3">
      <c r="B38" s="40"/>
      <c r="C38" s="41"/>
      <c r="D38" s="42"/>
      <c r="E38" s="43"/>
      <c r="F38" s="44"/>
      <c r="G38" s="45"/>
      <c r="H38" s="46"/>
      <c r="I38" s="47"/>
      <c r="J38" s="47"/>
      <c r="K38" s="47"/>
      <c r="L38" s="47"/>
      <c r="M38" s="47"/>
      <c r="N38" s="47"/>
      <c r="O38" s="47"/>
      <c r="P38" s="48"/>
      <c r="Q38" s="49"/>
      <c r="R38" s="49"/>
    </row>
    <row r="39" spans="2:19" ht="19.5" customHeight="1" x14ac:dyDescent="0.3">
      <c r="B39" s="40"/>
      <c r="C39" s="41"/>
      <c r="D39" s="42"/>
      <c r="E39" s="43"/>
      <c r="F39" s="44"/>
      <c r="G39" s="45"/>
      <c r="H39" s="46"/>
      <c r="I39" s="47"/>
      <c r="J39" s="47"/>
      <c r="K39" s="47"/>
      <c r="L39" s="47"/>
    </row>
    <row r="40" spans="2:19" ht="21" x14ac:dyDescent="0.3">
      <c r="D40" s="414" t="s">
        <v>15</v>
      </c>
      <c r="E40" s="414"/>
      <c r="F40" s="414"/>
      <c r="G40" s="414"/>
      <c r="H40" s="414"/>
      <c r="I40" s="414"/>
      <c r="J40" s="414"/>
      <c r="K40" s="414"/>
      <c r="L40" s="414"/>
    </row>
    <row r="41" spans="2:19" ht="15.6" x14ac:dyDescent="0.3">
      <c r="D41" s="73" t="s">
        <v>0</v>
      </c>
      <c r="E41" s="74" t="s">
        <v>26</v>
      </c>
      <c r="F41" s="74" t="s">
        <v>16</v>
      </c>
      <c r="G41" s="74" t="s">
        <v>5</v>
      </c>
      <c r="H41" s="74" t="s">
        <v>17</v>
      </c>
      <c r="I41" s="74" t="s">
        <v>7</v>
      </c>
      <c r="J41" s="75" t="s">
        <v>18</v>
      </c>
      <c r="K41" s="75" t="s">
        <v>19</v>
      </c>
      <c r="L41" s="76" t="s">
        <v>20</v>
      </c>
    </row>
    <row r="42" spans="2:19" x14ac:dyDescent="0.3">
      <c r="D42" s="194">
        <v>45135</v>
      </c>
      <c r="E42" s="203">
        <v>647501000</v>
      </c>
      <c r="F42" s="200" t="s">
        <v>1220</v>
      </c>
      <c r="G42" s="197">
        <v>6842.5</v>
      </c>
      <c r="H42" s="197">
        <f>extracto_banco_mes4[[#This Row],[NETO]]*0.21</f>
        <v>1436.925</v>
      </c>
      <c r="I42" s="197"/>
      <c r="J42" s="197"/>
      <c r="K42" s="197">
        <v>205.28</v>
      </c>
      <c r="L42" s="197"/>
    </row>
    <row r="43" spans="2:19" x14ac:dyDescent="0.3">
      <c r="D43" s="50">
        <v>45124</v>
      </c>
      <c r="E43" s="80">
        <v>645643000</v>
      </c>
      <c r="F43" s="80" t="s">
        <v>1220</v>
      </c>
      <c r="G43" s="81">
        <v>6668.75</v>
      </c>
      <c r="H43" s="81">
        <f>extracto_banco_mes4[[#This Row],[NETO]]*0.21</f>
        <v>1400.4375</v>
      </c>
      <c r="I43" s="81"/>
      <c r="J43" s="81"/>
      <c r="K43" s="81">
        <v>200.06</v>
      </c>
      <c r="L43" s="81"/>
    </row>
    <row r="44" spans="2:19" x14ac:dyDescent="0.3">
      <c r="D44" s="50">
        <v>45133</v>
      </c>
      <c r="E44" s="80">
        <v>26072023</v>
      </c>
      <c r="F44" s="80" t="s">
        <v>1202</v>
      </c>
      <c r="G44" s="81">
        <v>9666</v>
      </c>
      <c r="H44" s="81">
        <f>extracto_banco_mes4[[#This Row],[NETO]]*0.21</f>
        <v>2029.86</v>
      </c>
      <c r="I44" s="81"/>
      <c r="J44" s="81"/>
      <c r="K44" s="81">
        <v>191.37</v>
      </c>
      <c r="L44" s="81"/>
    </row>
    <row r="45" spans="2:19" x14ac:dyDescent="0.3">
      <c r="D45" s="194">
        <v>45134</v>
      </c>
      <c r="E45" s="304" t="s">
        <v>1223</v>
      </c>
      <c r="F45" s="80" t="s">
        <v>1224</v>
      </c>
      <c r="G45" s="197"/>
      <c r="H45" s="197">
        <v>3200090.125</v>
      </c>
      <c r="I45" s="197"/>
      <c r="J45" s="197"/>
      <c r="K45" s="197">
        <f>11184.24*272.5</f>
        <v>3047705.4</v>
      </c>
      <c r="L45" s="197"/>
    </row>
    <row r="46" spans="2:19" x14ac:dyDescent="0.3">
      <c r="D46" s="194">
        <v>45138</v>
      </c>
      <c r="E46" s="196"/>
      <c r="F46" s="80" t="s">
        <v>1202</v>
      </c>
      <c r="G46" s="197">
        <v>28902.46</v>
      </c>
      <c r="H46" s="197">
        <f>extracto_banco_mes4[[#This Row],[NETO]]*0.21</f>
        <v>6069.5165999999999</v>
      </c>
      <c r="I46" s="197"/>
      <c r="J46" s="197"/>
      <c r="K46" s="197">
        <v>191.37</v>
      </c>
      <c r="L46" s="197"/>
    </row>
    <row r="47" spans="2:19" x14ac:dyDescent="0.3">
      <c r="D47" s="82" t="s">
        <v>110</v>
      </c>
      <c r="E47" s="80"/>
      <c r="F47" s="80"/>
      <c r="G47" s="83">
        <f>SUBTOTAL(109,extracto_banco_mes4[NETO])</f>
        <v>52079.71</v>
      </c>
      <c r="H47" s="83">
        <f>SUBTOTAL(109,extracto_banco_mes4[IVA 21%])</f>
        <v>3211026.8641000004</v>
      </c>
      <c r="I47" s="83">
        <f>SUBTOTAL(109,extracto_banco_mes4[IVA 10,5%])</f>
        <v>0</v>
      </c>
      <c r="J47" s="83">
        <f>SUBTOTAL(109,extracto_banco_mes4[RET IIBB CABA])</f>
        <v>0</v>
      </c>
      <c r="K47" s="83">
        <f>SUBTOTAL(109,extracto_banco_mes4[PERC IVA])</f>
        <v>3048493.48</v>
      </c>
      <c r="L47" s="83">
        <f>SUBTOTAL(109,extracto_banco_mes4[PERC IIBB])</f>
        <v>0</v>
      </c>
    </row>
    <row r="50" spans="2:18" x14ac:dyDescent="0.3">
      <c r="H50" s="204"/>
    </row>
    <row r="51" spans="2:18" ht="21" x14ac:dyDescent="0.3">
      <c r="D51" s="414" t="s">
        <v>25</v>
      </c>
      <c r="E51" s="414"/>
      <c r="F51" s="414"/>
      <c r="G51" s="414"/>
      <c r="H51" s="414"/>
      <c r="I51" s="414"/>
      <c r="J51" s="414"/>
      <c r="K51" s="414"/>
    </row>
    <row r="52" spans="2:18" x14ac:dyDescent="0.3">
      <c r="D52" s="51" t="s">
        <v>0</v>
      </c>
      <c r="E52" s="51" t="s">
        <v>2</v>
      </c>
      <c r="F52" s="51" t="s">
        <v>74</v>
      </c>
      <c r="G52" s="51" t="s">
        <v>3</v>
      </c>
      <c r="H52" s="51" t="s">
        <v>4</v>
      </c>
      <c r="I52" s="52" t="s">
        <v>10</v>
      </c>
      <c r="J52" s="51" t="s">
        <v>13</v>
      </c>
      <c r="K52" s="51" t="s">
        <v>38</v>
      </c>
    </row>
    <row r="53" spans="2:18" x14ac:dyDescent="0.3">
      <c r="D53" s="50">
        <v>45110</v>
      </c>
      <c r="E53" s="42">
        <v>1</v>
      </c>
      <c r="F53" s="43">
        <v>9</v>
      </c>
      <c r="G53" s="44">
        <v>27387896150</v>
      </c>
      <c r="H53" s="142" t="str">
        <f>IFERROR(IF(factura_c_mes4[[#This Row],[CUIT]]="","-",VLOOKUP(factura_c_mes4[[#This Row],[CUIT]],Lista_CUIT[#All],2,0)),"CUIT NO CARGADO")</f>
        <v>LIPANOVICH MARIA SOL</v>
      </c>
      <c r="I53" s="81">
        <v>400000</v>
      </c>
      <c r="J53" s="163" t="str">
        <f>IFERROR(IF(factura_c_mes4[[#This Row],[CUIT]]="","-",VLOOKUP(factura_c_mes4[[#This Row],[CUIT]],Lista_CUIT[#All],3,0)),"CUIT NO CARGADO")</f>
        <v>consultoria informatica</v>
      </c>
      <c r="K53" s="163">
        <f>IFERROR(IF(factura_c_mes4[[#This Row],[CUIT]]="","-",VLOOKUP(factura_c_mes4[[#This Row],[CUIT]],Lista_CUIT[#All],4,0)),"CUIT NO CARGADO")</f>
        <v>0</v>
      </c>
    </row>
    <row r="54" spans="2:18" x14ac:dyDescent="0.3">
      <c r="D54" s="50">
        <v>45118</v>
      </c>
      <c r="E54" s="42">
        <v>4</v>
      </c>
      <c r="F54" s="43">
        <v>15</v>
      </c>
      <c r="G54" s="44">
        <v>20341462933</v>
      </c>
      <c r="H54" s="142" t="str">
        <f>IFERROR(IF(factura_c_mes4[[#This Row],[CUIT]]="","-",VLOOKUP(factura_c_mes4[[#This Row],[CUIT]],Lista_CUIT[#All],2,0)),"CUIT NO CARGADO")</f>
        <v>CASTIGLIONI MATIAS EZEQUIEL</v>
      </c>
      <c r="I54" s="81">
        <v>412000</v>
      </c>
      <c r="J54" s="163" t="str">
        <f>IFERROR(IF(factura_c_mes4[[#This Row],[CUIT]]="","-",VLOOKUP(factura_c_mes4[[#This Row],[CUIT]],Lista_CUIT[#All],3,0)),"CUIT NO CARGADO")</f>
        <v>ASESORAMIENTO</v>
      </c>
      <c r="K54" s="163" t="str">
        <f>IFERROR(IF(factura_c_mes4[[#This Row],[CUIT]]="","-",VLOOKUP(factura_c_mes4[[#This Row],[CUIT]],Lista_CUIT[#All],4,0)),"CUIT NO CARGADO")</f>
        <v>BUENOS AIRES</v>
      </c>
    </row>
    <row r="55" spans="2:18" s="56" customFormat="1" ht="18.600000000000001" customHeight="1" x14ac:dyDescent="0.3">
      <c r="B55"/>
      <c r="C55"/>
      <c r="D55" s="50">
        <v>45110</v>
      </c>
      <c r="E55" s="42">
        <v>1</v>
      </c>
      <c r="F55" s="43">
        <v>25</v>
      </c>
      <c r="G55" s="44">
        <v>20365938688</v>
      </c>
      <c r="H55" s="142" t="str">
        <f>IFERROR(IF(factura_c_mes4[[#This Row],[CUIT]]="","-",VLOOKUP(factura_c_mes4[[#This Row],[CUIT]],Lista_CUIT[#All],2,0)),"CUIT NO CARGADO")</f>
        <v>LIPANOVICH JUAN CRUZ</v>
      </c>
      <c r="I55" s="81">
        <v>450000</v>
      </c>
      <c r="J55" s="163" t="str">
        <f>IFERROR(IF(factura_c_mes4[[#This Row],[CUIT]]="","-",VLOOKUP(factura_c_mes4[[#This Row],[CUIT]],Lista_CUIT[#All],3,0)),"CUIT NO CARGADO")</f>
        <v>SOFTWARE</v>
      </c>
      <c r="K55" s="163">
        <f>IFERROR(IF(factura_c_mes4[[#This Row],[CUIT]]="","-",VLOOKUP(factura_c_mes4[[#This Row],[CUIT]],Lista_CUIT[#All],4,0)),"CUIT NO CARGADO")</f>
        <v>0</v>
      </c>
      <c r="L55"/>
      <c r="M55"/>
      <c r="N55"/>
      <c r="O55"/>
      <c r="P55"/>
      <c r="Q55"/>
      <c r="R55"/>
    </row>
    <row r="56" spans="2:18" x14ac:dyDescent="0.3">
      <c r="D56" s="50">
        <v>45133</v>
      </c>
      <c r="E56" s="42">
        <v>1</v>
      </c>
      <c r="F56" s="43">
        <v>26</v>
      </c>
      <c r="G56" s="44">
        <v>20365938688</v>
      </c>
      <c r="H56" s="53" t="str">
        <f>IFERROR(IF(factura_c_mes4[[#This Row],[CUIT]]="","-",VLOOKUP(factura_c_mes4[[#This Row],[CUIT]],Lista_CUIT[#All],2,0)),"CUIT NO CARGADO")</f>
        <v>LIPANOVICH JUAN CRUZ</v>
      </c>
      <c r="I56" s="81">
        <v>450000</v>
      </c>
      <c r="J56" s="54" t="str">
        <f>IFERROR(IF(factura_c_mes4[[#This Row],[CUIT]]="","-",VLOOKUP(factura_c_mes4[[#This Row],[CUIT]],Lista_CUIT[#All],3,0)),"CUIT NO CARGADO")</f>
        <v>SOFTWARE</v>
      </c>
      <c r="K56" s="54">
        <f>IFERROR(IF(factura_c_mes4[[#This Row],[CUIT]]="","-",VLOOKUP(factura_c_mes4[[#This Row],[CUIT]],Lista_CUIT[#All],4,0)),"CUIT NO CARGADO")</f>
        <v>0</v>
      </c>
    </row>
    <row r="57" spans="2:18" x14ac:dyDescent="0.3">
      <c r="D57" s="50">
        <v>45132</v>
      </c>
      <c r="E57" s="42">
        <v>4</v>
      </c>
      <c r="F57" s="43">
        <v>50</v>
      </c>
      <c r="G57" s="44">
        <v>23214737914</v>
      </c>
      <c r="H57" s="142" t="str">
        <f>IFERROR(IF(factura_c_mes4[[#This Row],[CUIT]]="","-",VLOOKUP(factura_c_mes4[[#This Row],[CUIT]],Lista_CUIT[#All],2,0)),"CUIT NO CARGADO")</f>
        <v>SBARRA GABRIELA BEATRIZ</v>
      </c>
      <c r="I57" s="81">
        <v>360940</v>
      </c>
      <c r="J57" s="163">
        <f>IFERROR(IF(factura_c_mes4[[#This Row],[CUIT]]="","-",VLOOKUP(factura_c_mes4[[#This Row],[CUIT]],Lista_CUIT[#All],3,0)),"CUIT NO CARGADO")</f>
        <v>0</v>
      </c>
      <c r="K57" s="163">
        <f>IFERROR(IF(factura_c_mes4[[#This Row],[CUIT]]="","-",VLOOKUP(factura_c_mes4[[#This Row],[CUIT]],Lista_CUIT[#All],4,0)),"CUIT NO CARGADO")</f>
        <v>0</v>
      </c>
    </row>
    <row r="58" spans="2:18" x14ac:dyDescent="0.3">
      <c r="D58" s="50">
        <v>45133</v>
      </c>
      <c r="E58" s="42">
        <v>3</v>
      </c>
      <c r="F58" s="43">
        <v>56</v>
      </c>
      <c r="G58" s="44">
        <v>20403931420</v>
      </c>
      <c r="H58" s="53" t="str">
        <f>IFERROR(IF(factura_c_mes4[[#This Row],[CUIT]]="","-",VLOOKUP(factura_c_mes4[[#This Row],[CUIT]],Lista_CUIT[#All],2,0)),"CUIT NO CARGADO")</f>
        <v>FIORENTINO JORGE IGNACIO</v>
      </c>
      <c r="I58" s="81">
        <v>161275</v>
      </c>
      <c r="J58" s="54" t="str">
        <f>IFERROR(IF(factura_c_mes4[[#This Row],[CUIT]]="","-",VLOOKUP(factura_c_mes4[[#This Row],[CUIT]],Lista_CUIT[#All],3,0)),"CUIT NO CARGADO")</f>
        <v>Hon. Admin.</v>
      </c>
      <c r="K58" s="54">
        <f>IFERROR(IF(factura_c_mes4[[#This Row],[CUIT]]="","-",VLOOKUP(factura_c_mes4[[#This Row],[CUIT]],Lista_CUIT[#All],4,0)),"CUIT NO CARGADO")</f>
        <v>0</v>
      </c>
    </row>
    <row r="59" spans="2:18" x14ac:dyDescent="0.3">
      <c r="D59" s="50">
        <v>45131</v>
      </c>
      <c r="E59" s="42">
        <v>2</v>
      </c>
      <c r="F59" s="43">
        <v>86</v>
      </c>
      <c r="G59" s="44">
        <v>20244271740</v>
      </c>
      <c r="H59" s="142" t="str">
        <f>IFERROR(IF(factura_c_mes4[[#This Row],[CUIT]]="","-",VLOOKUP(factura_c_mes4[[#This Row],[CUIT]],Lista_CUIT[#All],2,0)),"CUIT NO CARGADO")</f>
        <v>KENNEL SEBASTIAN</v>
      </c>
      <c r="I59" s="81">
        <v>313500</v>
      </c>
      <c r="J59" s="163" t="str">
        <f>IFERROR(IF(factura_c_mes4[[#This Row],[CUIT]]="","-",VLOOKUP(factura_c_mes4[[#This Row],[CUIT]],Lista_CUIT[#All],3,0)),"CUIT NO CARGADO")</f>
        <v>Software Mantenimiento</v>
      </c>
      <c r="K59" s="163">
        <f>IFERROR(IF(factura_c_mes4[[#This Row],[CUIT]]="","-",VLOOKUP(factura_c_mes4[[#This Row],[CUIT]],Lista_CUIT[#All],4,0)),"CUIT NO CARGADO")</f>
        <v>0</v>
      </c>
    </row>
    <row r="60" spans="2:18" x14ac:dyDescent="0.3">
      <c r="D60" s="50">
        <v>45112</v>
      </c>
      <c r="E60" s="42">
        <v>1</v>
      </c>
      <c r="F60" s="43">
        <v>101</v>
      </c>
      <c r="G60" s="44">
        <v>20341465134</v>
      </c>
      <c r="H60" s="142" t="str">
        <f>IFERROR(IF(factura_c_mes4[[#This Row],[CUIT]]="","-",VLOOKUP(factura_c_mes4[[#This Row],[CUIT]],Lista_CUIT[#All],2,0)),"CUIT NO CARGADO")</f>
        <v>ABELEDO AGUSTIN ENRIQUE</v>
      </c>
      <c r="I60" s="81">
        <v>155500</v>
      </c>
      <c r="J60" s="163" t="str">
        <f>IFERROR(IF(factura_c_mes4[[#This Row],[CUIT]]="","-",VLOOKUP(factura_c_mes4[[#This Row],[CUIT]],Lista_CUIT[#All],3,0)),"CUIT NO CARGADO")</f>
        <v>Mantenimiento</v>
      </c>
      <c r="K60" s="163" t="str">
        <f>IFERROR(IF(factura_c_mes4[[#This Row],[CUIT]]="","-",VLOOKUP(factura_c_mes4[[#This Row],[CUIT]],Lista_CUIT[#All],4,0)),"CUIT NO CARGADO")</f>
        <v>CABA</v>
      </c>
    </row>
    <row r="61" spans="2:18" x14ac:dyDescent="0.3">
      <c r="D61" s="50">
        <v>45110</v>
      </c>
      <c r="E61" s="42">
        <v>2</v>
      </c>
      <c r="F61" s="43">
        <v>148</v>
      </c>
      <c r="G61" s="44">
        <v>20136544625</v>
      </c>
      <c r="H61" s="142" t="str">
        <f>IFERROR(IF(factura_c_mes4[[#This Row],[CUIT]]="","-",VLOOKUP(factura_c_mes4[[#This Row],[CUIT]],Lista_CUIT[#All],2,0)),"CUIT NO CARGADO")</f>
        <v>RODRIGUEZ DE LA FUEN HECTOR MARCELO</v>
      </c>
      <c r="I61" s="81">
        <v>300000</v>
      </c>
      <c r="J61" s="163" t="str">
        <f>IFERROR(IF(factura_c_mes4[[#This Row],[CUIT]]="","-",VLOOKUP(factura_c_mes4[[#This Row],[CUIT]],Lista_CUIT[#All],3,0)),"CUIT NO CARGADO")</f>
        <v>Hon. Admin.</v>
      </c>
      <c r="K61" s="163">
        <f>IFERROR(IF(factura_c_mes4[[#This Row],[CUIT]]="","-",VLOOKUP(factura_c_mes4[[#This Row],[CUIT]],Lista_CUIT[#All],4,0)),"CUIT NO CARGADO")</f>
        <v>0</v>
      </c>
    </row>
    <row r="62" spans="2:18" ht="22.5" customHeight="1" x14ac:dyDescent="0.3">
      <c r="D62" s="50">
        <v>45121</v>
      </c>
      <c r="E62" s="42">
        <v>2</v>
      </c>
      <c r="F62" s="43">
        <v>593</v>
      </c>
      <c r="G62" s="44">
        <v>20400104094</v>
      </c>
      <c r="H62" s="142" t="str">
        <f>IFERROR(IF(factura_c_mes4[[#This Row],[CUIT]]="","-",VLOOKUP(factura_c_mes4[[#This Row],[CUIT]],Lista_CUIT[#All],2,0)),"CUIT NO CARGADO")</f>
        <v>FEDERICO BOTINDARI</v>
      </c>
      <c r="I62" s="81">
        <v>15432</v>
      </c>
      <c r="J62" s="163" t="str">
        <f>IFERROR(IF(factura_c_mes4[[#This Row],[CUIT]]="","-",VLOOKUP(factura_c_mes4[[#This Row],[CUIT]],Lista_CUIT[#All],3,0)),"CUIT NO CARGADO")</f>
        <v>HONORARIOS</v>
      </c>
      <c r="K62" s="163">
        <f>IFERROR(IF(factura_c_mes4[[#This Row],[CUIT]]="","-",VLOOKUP(factura_c_mes4[[#This Row],[CUIT]],Lista_CUIT[#All],4,0)),"CUIT NO CARGADO")</f>
        <v>0</v>
      </c>
    </row>
    <row r="63" spans="2:18" x14ac:dyDescent="0.3">
      <c r="D63" s="50">
        <v>45110</v>
      </c>
      <c r="E63" s="42">
        <v>3</v>
      </c>
      <c r="F63" s="43">
        <v>756</v>
      </c>
      <c r="G63" s="44">
        <v>20086277523</v>
      </c>
      <c r="H63" s="142" t="str">
        <f>IFERROR(IF(factura_c_mes4[[#This Row],[CUIT]]="","-",VLOOKUP(factura_c_mes4[[#This Row],[CUIT]],Lista_CUIT[#All],2,0)),"CUIT NO CARGADO")</f>
        <v>ESTUDIO BOTINDARI</v>
      </c>
      <c r="I63" s="81">
        <v>81000</v>
      </c>
      <c r="J63" s="163" t="str">
        <f>IFERROR(IF(factura_c_mes4[[#This Row],[CUIT]]="","-",VLOOKUP(factura_c_mes4[[#This Row],[CUIT]],Lista_CUIT[#All],3,0)),"CUIT NO CARGADO")</f>
        <v>HONORARIOS</v>
      </c>
      <c r="K63" s="163">
        <f>IFERROR(IF(factura_c_mes4[[#This Row],[CUIT]]="","-",VLOOKUP(factura_c_mes4[[#This Row],[CUIT]],Lista_CUIT[#All],4,0)),"CUIT NO CARGADO")</f>
        <v>0</v>
      </c>
    </row>
    <row r="64" spans="2:18" ht="18" customHeight="1" x14ac:dyDescent="0.3">
      <c r="D64" s="50">
        <v>45108</v>
      </c>
      <c r="E64" s="42">
        <v>1</v>
      </c>
      <c r="F64" s="43">
        <v>11034</v>
      </c>
      <c r="G64" s="44">
        <v>30709917567</v>
      </c>
      <c r="H64" s="142" t="str">
        <f>IFERROR(IF(factura_c_mes4[[#This Row],[CUIT]]="","-",VLOOKUP(factura_c_mes4[[#This Row],[CUIT]],Lista_CUIT[#All],2,0)),"CUIT NO CARGADO")</f>
        <v>CONSORCIO DE PROPIETARIOS YATAY 138</v>
      </c>
      <c r="I64" s="81">
        <v>75000</v>
      </c>
      <c r="J64" s="163" t="str">
        <f>IFERROR(IF(factura_c_mes4[[#This Row],[CUIT]]="","-",VLOOKUP(factura_c_mes4[[#This Row],[CUIT]],Lista_CUIT[#All],3,0)),"CUIT NO CARGADO")</f>
        <v>ALQUILER</v>
      </c>
      <c r="K64" s="163" t="str">
        <f>IFERROR(IF(factura_c_mes4[[#This Row],[CUIT]]="","-",VLOOKUP(factura_c_mes4[[#This Row],[CUIT]],Lista_CUIT[#All],4,0)),"CUIT NO CARGADO")</f>
        <v>BUENOS AIRES</v>
      </c>
    </row>
    <row r="65" spans="2:18" x14ac:dyDescent="0.3">
      <c r="D65" s="50">
        <v>45120</v>
      </c>
      <c r="E65" s="42">
        <v>7</v>
      </c>
      <c r="F65" s="43">
        <v>61521</v>
      </c>
      <c r="G65" s="44">
        <v>30711744653</v>
      </c>
      <c r="H65" s="53" t="str">
        <f>IFERROR(IF(factura_c_mes4[[#This Row],[CUIT]]="","-",VLOOKUP(factura_c_mes4[[#This Row],[CUIT]],Lista_CUIT[#All],2,0)),"CUIT NO CARGADO")</f>
        <v>NITRO BIKES S.R.L.</v>
      </c>
      <c r="I65" s="81">
        <v>16875</v>
      </c>
      <c r="J65" s="54">
        <f>IFERROR(IF(factura_c_mes4[[#This Row],[CUIT]]="","-",VLOOKUP(factura_c_mes4[[#This Row],[CUIT]],Lista_CUIT[#All],3,0)),"CUIT NO CARGADO")</f>
        <v>0</v>
      </c>
      <c r="K65" s="54">
        <f>IFERROR(IF(factura_c_mes4[[#This Row],[CUIT]]="","-",VLOOKUP(factura_c_mes4[[#This Row],[CUIT]],Lista_CUIT[#All],4,0)),"CUIT NO CARGADO")</f>
        <v>0</v>
      </c>
    </row>
    <row r="66" spans="2:18" x14ac:dyDescent="0.3">
      <c r="D66" s="188" t="s">
        <v>110</v>
      </c>
      <c r="E66" s="188"/>
      <c r="F66" s="188"/>
      <c r="G66" s="188"/>
      <c r="H66" s="189"/>
      <c r="I66" s="190">
        <f>SUBTOTAL(109,factura_c_mes4[TOTAL])</f>
        <v>3191522</v>
      </c>
      <c r="J66" s="188"/>
      <c r="K66" s="188"/>
      <c r="N66" s="56"/>
    </row>
    <row r="67" spans="2:18" x14ac:dyDescent="0.3">
      <c r="B67" s="56"/>
      <c r="C67" s="56"/>
      <c r="L67" s="56"/>
      <c r="M67" s="56"/>
      <c r="O67" s="56"/>
      <c r="P67" s="56"/>
      <c r="Q67" s="56"/>
      <c r="R67" s="56"/>
    </row>
    <row r="72" spans="2:18" ht="25.8" x14ac:dyDescent="0.3">
      <c r="B72" s="430" t="s">
        <v>29</v>
      </c>
      <c r="C72" s="430"/>
      <c r="D72" s="430"/>
      <c r="E72" s="430"/>
      <c r="F72" s="430"/>
      <c r="G72" s="430"/>
      <c r="H72" s="430"/>
      <c r="I72" s="430"/>
      <c r="J72" s="430"/>
      <c r="K72" s="426">
        <f>N1</f>
        <v>45108</v>
      </c>
      <c r="L72" s="426"/>
      <c r="M72" s="426"/>
    </row>
    <row r="74" spans="2:18" ht="25.95" customHeight="1" x14ac:dyDescent="0.3">
      <c r="B74" s="422" t="s">
        <v>30</v>
      </c>
      <c r="C74" s="422"/>
    </row>
    <row r="75" spans="2:18" ht="15.6" x14ac:dyDescent="0.3">
      <c r="B75" s="60" t="s">
        <v>0</v>
      </c>
      <c r="C75" s="61" t="s">
        <v>1</v>
      </c>
      <c r="D75" s="61" t="s">
        <v>21</v>
      </c>
      <c r="E75" s="61" t="s">
        <v>22</v>
      </c>
      <c r="F75" s="61" t="s">
        <v>3</v>
      </c>
      <c r="G75" s="61" t="s">
        <v>4</v>
      </c>
      <c r="H75" s="61" t="s">
        <v>23</v>
      </c>
      <c r="I75" s="61" t="s">
        <v>17</v>
      </c>
      <c r="J75" s="61" t="s">
        <v>7</v>
      </c>
      <c r="K75" s="61" t="s">
        <v>24</v>
      </c>
      <c r="L75" s="61" t="s">
        <v>10</v>
      </c>
      <c r="M75" s="62" t="s">
        <v>38</v>
      </c>
    </row>
    <row r="76" spans="2:18" ht="17.25" customHeight="1" x14ac:dyDescent="0.3">
      <c r="B76" s="40">
        <v>45110</v>
      </c>
      <c r="C76" s="41">
        <v>1</v>
      </c>
      <c r="D76" s="42">
        <v>3</v>
      </c>
      <c r="E76" s="43">
        <v>141</v>
      </c>
      <c r="F76" s="44">
        <v>30628274327</v>
      </c>
      <c r="G76" s="99" t="str">
        <f>IFERROR(IF(venta_a_mes4[[#This Row],[CUIT]]="","-",VLOOKUP(venta_a_mes4[[#This Row],[CUIT]],Lista_CUIT[#All],2,0)),"CUIT NO CARGADO")</f>
        <v>AGIRA  S A</v>
      </c>
      <c r="H76" s="100">
        <v>4057874.64</v>
      </c>
      <c r="I76" s="101"/>
      <c r="J76" s="65">
        <v>426076.84</v>
      </c>
      <c r="K76" s="65"/>
      <c r="L76" s="65">
        <f>SUM(venta_a_mes4[[#This Row],[IMPORTE NETO]:[EXENTO]])</f>
        <v>4483951.4800000004</v>
      </c>
      <c r="M76" s="59"/>
    </row>
    <row r="77" spans="2:18" x14ac:dyDescent="0.3">
      <c r="B77" s="40">
        <v>45110</v>
      </c>
      <c r="C77" s="41">
        <v>1</v>
      </c>
      <c r="D77" s="42">
        <v>3</v>
      </c>
      <c r="E77" s="43">
        <v>142</v>
      </c>
      <c r="F77" s="44">
        <v>33708467699</v>
      </c>
      <c r="G77" s="99" t="str">
        <f>IFERROR(IF(venta_a_mes4[[#This Row],[CUIT]]="","-",VLOOKUP(venta_a_mes4[[#This Row],[CUIT]],Lista_CUIT[#All],2,0)),"CUIT NO CARGADO")</f>
        <v>COMPRESORES SERVICIO TECNICO S A</v>
      </c>
      <c r="H77" s="100">
        <v>514751.84</v>
      </c>
      <c r="I77" s="101">
        <f>venta_a_mes4[[#This Row],[IMPORTE NETO]]*0.21</f>
        <v>108097.8864</v>
      </c>
      <c r="J77" s="65"/>
      <c r="K77" s="65"/>
      <c r="L77" s="65">
        <f>SUM(venta_a_mes4[[#This Row],[IMPORTE NETO]:[EXENTO]])</f>
        <v>622849.72640000004</v>
      </c>
      <c r="M77" s="59"/>
    </row>
    <row r="78" spans="2:18" x14ac:dyDescent="0.3">
      <c r="B78" s="40">
        <v>45112</v>
      </c>
      <c r="C78" s="41">
        <v>1</v>
      </c>
      <c r="D78" s="42">
        <v>3</v>
      </c>
      <c r="E78" s="43">
        <v>144</v>
      </c>
      <c r="F78" s="44">
        <v>33717088269</v>
      </c>
      <c r="G78" s="99" t="str">
        <f>IFERROR(IF(venta_a_mes4[[#This Row],[CUIT]]="","-",VLOOKUP(venta_a_mes4[[#This Row],[CUIT]],Lista_CUIT[#All],2,0)),"CUIT NO CARGADO")</f>
        <v>NEXT SERVICE GNC S.R.L.</v>
      </c>
      <c r="H78" s="100">
        <v>1567912.5</v>
      </c>
      <c r="I78" s="101">
        <f>venta_a_mes4[[#This Row],[IMPORTE NETO]]*0.21</f>
        <v>329261.625</v>
      </c>
      <c r="J78" s="65"/>
      <c r="K78" s="65"/>
      <c r="L78" s="65">
        <f>SUM(venta_a_mes4[[#This Row],[IMPORTE NETO]:[EXENTO]])</f>
        <v>1897174.125</v>
      </c>
      <c r="M78" s="59"/>
    </row>
    <row r="79" spans="2:18" x14ac:dyDescent="0.3">
      <c r="B79" s="40">
        <v>45112</v>
      </c>
      <c r="C79" s="41">
        <v>1</v>
      </c>
      <c r="D79" s="42">
        <v>3</v>
      </c>
      <c r="E79" s="43">
        <v>143</v>
      </c>
      <c r="F79" s="44">
        <v>30716041596</v>
      </c>
      <c r="G79" s="99" t="str">
        <f>IFERROR(IF(venta_a_mes4[[#This Row],[CUIT]]="","-",VLOOKUP(venta_a_mes4[[#This Row],[CUIT]],Lista_CUIT[#All],2,0)),"CUIT NO CARGADO")</f>
        <v>EXA COMPRESION S.R.L.</v>
      </c>
      <c r="H79" s="100">
        <v>1276050</v>
      </c>
      <c r="I79" s="101"/>
      <c r="J79" s="65">
        <v>133985.25</v>
      </c>
      <c r="K79" s="65"/>
      <c r="L79" s="65">
        <f>SUM(venta_a_mes4[[#This Row],[IMPORTE NETO]:[EXENTO]])</f>
        <v>1410035.25</v>
      </c>
      <c r="M79" s="59"/>
    </row>
    <row r="80" spans="2:18" x14ac:dyDescent="0.3">
      <c r="B80" s="40">
        <v>45114</v>
      </c>
      <c r="C80" s="41">
        <v>1</v>
      </c>
      <c r="D80" s="42">
        <v>3</v>
      </c>
      <c r="E80" s="43">
        <v>145</v>
      </c>
      <c r="F80" s="44">
        <v>30717260968</v>
      </c>
      <c r="G80" s="99" t="str">
        <f>IFERROR(IF(venta_a_mes4[[#This Row],[CUIT]]="","-",VLOOKUP(venta_a_mes4[[#This Row],[CUIT]],Lista_CUIT[#All],2,0)),"CUIT NO CARGADO")</f>
        <v>2 IN FLOW COMPAÑIA DE SERVICIOS S. A.</v>
      </c>
      <c r="H80" s="100">
        <v>1160534.24</v>
      </c>
      <c r="I80" s="101">
        <f>venta_a_mes4[[#This Row],[IMPORTE NETO]]*0.21</f>
        <v>243712.19039999999</v>
      </c>
      <c r="J80" s="65"/>
      <c r="K80" s="65"/>
      <c r="L80" s="65">
        <f>SUM(venta_a_mes4[[#This Row],[IMPORTE NETO]:[EXENTO]])</f>
        <v>1404246.4304</v>
      </c>
      <c r="M80" s="59"/>
    </row>
    <row r="81" spans="2:13" x14ac:dyDescent="0.3">
      <c r="B81" s="40">
        <v>45117</v>
      </c>
      <c r="C81" s="41">
        <v>1</v>
      </c>
      <c r="D81" s="42">
        <v>3</v>
      </c>
      <c r="E81" s="43">
        <v>146</v>
      </c>
      <c r="F81" s="44">
        <v>30638318470</v>
      </c>
      <c r="G81" s="99" t="str">
        <f>IFERROR(IF(venta_a_mes4[[#This Row],[CUIT]]="","-",VLOOKUP(venta_a_mes4[[#This Row],[CUIT]],Lista_CUIT[#All],2,0)),"CUIT NO CARGADO")</f>
        <v>DELTA COMPRESION S R L</v>
      </c>
      <c r="H81" s="100">
        <v>1099593</v>
      </c>
      <c r="I81" s="101">
        <f>venta_a_mes4[[#This Row],[IMPORTE NETO]]*0.21</f>
        <v>230914.53</v>
      </c>
      <c r="J81" s="65"/>
      <c r="K81" s="65"/>
      <c r="L81" s="65">
        <f>SUM(venta_a_mes4[[#This Row],[IMPORTE NETO]:[EXENTO]])</f>
        <v>1330507.53</v>
      </c>
      <c r="M81" s="59"/>
    </row>
    <row r="82" spans="2:13" x14ac:dyDescent="0.3">
      <c r="B82" s="40">
        <v>45124</v>
      </c>
      <c r="C82" s="41">
        <v>1</v>
      </c>
      <c r="D82" s="42">
        <v>3</v>
      </c>
      <c r="E82" s="43">
        <v>147</v>
      </c>
      <c r="F82" s="44">
        <v>30638318470</v>
      </c>
      <c r="G82" s="99" t="str">
        <f>IFERROR(IF(venta_a_mes4[[#This Row],[CUIT]]="","-",VLOOKUP(venta_a_mes4[[#This Row],[CUIT]],Lista_CUIT[#All],2,0)),"CUIT NO CARGADO")</f>
        <v>DELTA COMPRESION S R L</v>
      </c>
      <c r="H82" s="100">
        <v>3339630</v>
      </c>
      <c r="I82" s="101">
        <v>272179.84499999997</v>
      </c>
      <c r="J82" s="65">
        <v>214571.22750000001</v>
      </c>
      <c r="K82" s="65"/>
      <c r="L82" s="65">
        <f>SUM(venta_a_mes4[[#This Row],[IMPORTE NETO]:[EXENTO]])</f>
        <v>3826381.0724999998</v>
      </c>
      <c r="M82" s="63"/>
    </row>
    <row r="83" spans="2:13" x14ac:dyDescent="0.3">
      <c r="B83" s="102">
        <v>45135</v>
      </c>
      <c r="C83" s="103">
        <v>1</v>
      </c>
      <c r="D83" s="104">
        <v>3</v>
      </c>
      <c r="E83" s="43">
        <v>148</v>
      </c>
      <c r="F83" s="44">
        <v>30638318470</v>
      </c>
      <c r="G83" s="99" t="str">
        <f>IFERROR(IF(venta_a_mes4[[#This Row],[CUIT]]="","-",VLOOKUP(venta_a_mes4[[#This Row],[CUIT]],Lista_CUIT[#All],2,0)),"CUIT NO CARGADO")</f>
        <v>DELTA COMPRESION S R L</v>
      </c>
      <c r="H83" s="107">
        <v>7114255.0000000009</v>
      </c>
      <c r="I83" s="108">
        <v>36704.639999999999</v>
      </c>
      <c r="J83" s="72">
        <v>728644.45499999996</v>
      </c>
      <c r="K83" s="72"/>
      <c r="L83" s="72">
        <f>SUM(venta_a_mes4[[#This Row],[IMPORTE NETO]:[EXENTO]])</f>
        <v>7879604.0950000007</v>
      </c>
      <c r="M83" s="63"/>
    </row>
    <row r="84" spans="2:13" x14ac:dyDescent="0.3">
      <c r="B84" s="109">
        <v>45132</v>
      </c>
      <c r="C84" s="110">
        <v>3</v>
      </c>
      <c r="D84" s="111">
        <v>3</v>
      </c>
      <c r="E84" s="43">
        <v>18</v>
      </c>
      <c r="F84" s="44">
        <v>30717260968</v>
      </c>
      <c r="G84" s="99" t="str">
        <f>IFERROR(IF(venta_a_mes4[[#This Row],[CUIT]]="","-",VLOOKUP(venta_a_mes4[[#This Row],[CUIT]],Lista_CUIT[#All],2,0)),"CUIT NO CARGADO")</f>
        <v>2 IN FLOW COMPAÑIA DE SERVICIOS S. A.</v>
      </c>
      <c r="H84" s="100">
        <v>-1160534.24</v>
      </c>
      <c r="I84" s="101">
        <f>venta_a_mes4[[#This Row],[IMPORTE NETO]]*0.21</f>
        <v>-243712.19039999999</v>
      </c>
      <c r="J84" s="65"/>
      <c r="K84" s="65"/>
      <c r="L84" s="65">
        <f>SUM(venta_a_mes4[[#This Row],[IMPORTE NETO]:[EXENTO]])</f>
        <v>-1404246.4304</v>
      </c>
      <c r="M84" s="59"/>
    </row>
    <row r="85" spans="2:13" x14ac:dyDescent="0.3">
      <c r="B85" s="66" t="s">
        <v>110</v>
      </c>
      <c r="C85" s="67"/>
      <c r="D85" s="67"/>
      <c r="E85" s="67"/>
      <c r="F85" s="67"/>
      <c r="G85" s="67"/>
      <c r="H85" s="69">
        <f>SUBTOTAL(109,venta_a_mes4[IMPORTE NETO])</f>
        <v>18970066.980000004</v>
      </c>
      <c r="I85" s="70">
        <f>SUBTOTAL(109,venta_a_mes4[IVA 21%])</f>
        <v>977158.52639999986</v>
      </c>
      <c r="J85" s="71">
        <f>SUBTOTAL(109,venta_a_mes4[IVA 10,5%])</f>
        <v>1503277.7725</v>
      </c>
      <c r="K85" s="71">
        <f>SUBTOTAL(109,venta_a_mes4[EXENTO])</f>
        <v>0</v>
      </c>
      <c r="L85" s="71">
        <f>SUBTOTAL(109,venta_a_mes4[TOTAL])</f>
        <v>21450503.278899997</v>
      </c>
      <c r="M85" s="68">
        <f>SUBTOTAL(103,venta_a_mes4[Provincia])</f>
        <v>0</v>
      </c>
    </row>
    <row r="87" spans="2:13" ht="19.2" customHeight="1" x14ac:dyDescent="0.3">
      <c r="H87" s="303">
        <f>venta_a_mes4[[#Totals],[IMPORTE NETO]]+ventas_b_mes4[[#Totals],[IMPORTE NETO]]</f>
        <v>19101120.980000004</v>
      </c>
    </row>
    <row r="88" spans="2:13" ht="28.95" customHeight="1" x14ac:dyDescent="0.3">
      <c r="B88" s="422" t="s">
        <v>31</v>
      </c>
      <c r="C88" s="422"/>
    </row>
    <row r="89" spans="2:13" ht="15.6" x14ac:dyDescent="0.3">
      <c r="B89" s="60" t="s">
        <v>0</v>
      </c>
      <c r="C89" s="61" t="s">
        <v>1</v>
      </c>
      <c r="D89" s="61" t="s">
        <v>21</v>
      </c>
      <c r="E89" s="61" t="s">
        <v>22</v>
      </c>
      <c r="F89" s="61" t="s">
        <v>3</v>
      </c>
      <c r="G89" s="61" t="s">
        <v>4</v>
      </c>
      <c r="H89" s="61" t="s">
        <v>23</v>
      </c>
      <c r="I89" s="61" t="s">
        <v>17</v>
      </c>
      <c r="J89" s="61" t="s">
        <v>7</v>
      </c>
      <c r="K89" s="61" t="s">
        <v>24</v>
      </c>
      <c r="L89" s="61" t="s">
        <v>10</v>
      </c>
      <c r="M89" s="62" t="s">
        <v>38</v>
      </c>
    </row>
    <row r="90" spans="2:13" x14ac:dyDescent="0.3">
      <c r="B90" s="40">
        <v>45111</v>
      </c>
      <c r="C90" s="41">
        <v>6</v>
      </c>
      <c r="D90" s="42">
        <v>3</v>
      </c>
      <c r="E90" s="43">
        <v>6</v>
      </c>
      <c r="F90" s="44"/>
      <c r="G90" s="1" t="str">
        <f>IFERROR(IF(ventas_b_mes4[[#This Row],[CUIT]]="","-",VLOOKUP(ventas_b_mes4[[#This Row],[CUIT]],Lista_CUIT[#All],2,0)),"CUIT NO CARGADO")</f>
        <v>-</v>
      </c>
      <c r="H90" s="64">
        <v>131054</v>
      </c>
      <c r="I90" s="64">
        <f>ventas_b_mes4[[#This Row],[IMPORTE NETO]]*0.21</f>
        <v>27521.34</v>
      </c>
      <c r="J90" s="64"/>
      <c r="K90" s="64"/>
      <c r="L90" s="64">
        <f>SUM(ventas_b_mes4[[#This Row],[IMPORTE NETO]:[EXENTO]])</f>
        <v>158575.34</v>
      </c>
      <c r="M90" s="59"/>
    </row>
    <row r="91" spans="2:13" x14ac:dyDescent="0.3">
      <c r="B91" s="40"/>
      <c r="C91" s="41"/>
      <c r="D91" s="42"/>
      <c r="E91" s="43"/>
      <c r="F91" s="44"/>
      <c r="G91" s="1"/>
      <c r="H91" s="64"/>
      <c r="I91" s="64">
        <f>ventas_b_mes4[[#This Row],[IMPORTE NETO]]*0.21</f>
        <v>0</v>
      </c>
      <c r="J91" s="64"/>
      <c r="K91" s="64"/>
      <c r="L91" s="64">
        <f>SUM(ventas_b_mes4[[#This Row],[IMPORTE NETO]:[EXENTO]])</f>
        <v>0</v>
      </c>
      <c r="M91" s="59"/>
    </row>
    <row r="92" spans="2:13" x14ac:dyDescent="0.3">
      <c r="B92" s="40"/>
      <c r="C92" s="41"/>
      <c r="D92" s="42"/>
      <c r="E92" s="43"/>
      <c r="F92" s="44"/>
      <c r="G92" s="1"/>
      <c r="H92" s="64"/>
      <c r="I92" s="64">
        <f>ventas_b_mes4[[#This Row],[IMPORTE NETO]]*0.21</f>
        <v>0</v>
      </c>
      <c r="J92" s="64"/>
      <c r="K92" s="64"/>
      <c r="L92" s="64">
        <f>SUM(ventas_b_mes4[[#This Row],[IMPORTE NETO]:[EXENTO]])</f>
        <v>0</v>
      </c>
      <c r="M92" s="59"/>
    </row>
    <row r="93" spans="2:13" x14ac:dyDescent="0.3">
      <c r="B93" s="40"/>
      <c r="C93" s="41"/>
      <c r="D93" s="42"/>
      <c r="E93" s="43"/>
      <c r="F93" s="44"/>
      <c r="G93" s="1"/>
      <c r="H93" s="64"/>
      <c r="I93" s="64">
        <f>ventas_b_mes4[[#This Row],[IMPORTE NETO]]*0.21</f>
        <v>0</v>
      </c>
      <c r="J93" s="64"/>
      <c r="K93" s="64"/>
      <c r="L93" s="64">
        <f>SUM(ventas_b_mes4[[#This Row],[IMPORTE NETO]:[EXENTO]])</f>
        <v>0</v>
      </c>
      <c r="M93" s="59"/>
    </row>
    <row r="94" spans="2:13" x14ac:dyDescent="0.3">
      <c r="B94" s="40"/>
      <c r="C94" s="41"/>
      <c r="D94" s="42"/>
      <c r="E94" s="43"/>
      <c r="F94" s="44"/>
      <c r="G94" s="1"/>
      <c r="H94" s="64"/>
      <c r="I94" s="64">
        <f>ventas_b_mes4[[#This Row],[IMPORTE NETO]]*0.21</f>
        <v>0</v>
      </c>
      <c r="J94" s="64"/>
      <c r="K94" s="64"/>
      <c r="L94" s="64">
        <f>SUM(ventas_b_mes4[[#This Row],[IMPORTE NETO]:[EXENTO]])</f>
        <v>0</v>
      </c>
      <c r="M94" s="59"/>
    </row>
    <row r="95" spans="2:13" x14ac:dyDescent="0.3">
      <c r="B95" s="40"/>
      <c r="C95" s="41"/>
      <c r="D95" s="42"/>
      <c r="E95" s="43"/>
      <c r="F95" s="44"/>
      <c r="G95" s="1"/>
      <c r="H95" s="64"/>
      <c r="I95" s="64">
        <f>ventas_b_mes4[[#This Row],[IMPORTE NETO]]*0.21</f>
        <v>0</v>
      </c>
      <c r="J95" s="64"/>
      <c r="K95" s="64"/>
      <c r="L95" s="64">
        <f>SUM(ventas_b_mes4[[#This Row],[IMPORTE NETO]:[EXENTO]])</f>
        <v>0</v>
      </c>
      <c r="M95" s="59"/>
    </row>
    <row r="96" spans="2:13" x14ac:dyDescent="0.3">
      <c r="B96" s="66" t="s">
        <v>110</v>
      </c>
      <c r="C96" s="67"/>
      <c r="D96" s="67"/>
      <c r="E96" s="67"/>
      <c r="F96" s="67"/>
      <c r="G96" s="67"/>
      <c r="H96" s="77">
        <f>SUBTOTAL(109,ventas_b_mes4[IMPORTE NETO])</f>
        <v>131054</v>
      </c>
      <c r="I96" s="77">
        <f>SUBTOTAL(109,ventas_b_mes4[IVA 21%])</f>
        <v>27521.34</v>
      </c>
      <c r="J96" s="78">
        <f>SUBTOTAL(109,ventas_b_mes4[IVA 10,5%])</f>
        <v>0</v>
      </c>
      <c r="K96" s="78">
        <f>SUBTOTAL(109,ventas_b_mes4[EXENTO])</f>
        <v>0</v>
      </c>
      <c r="L96" s="78">
        <f>SUBTOTAL(109,ventas_b_mes4[TOTAL])</f>
        <v>158575.34</v>
      </c>
      <c r="M96" s="68">
        <f>SUBTOTAL(103,ventas_b_mes4[Provincia])</f>
        <v>0</v>
      </c>
    </row>
    <row r="99" spans="2:12" ht="21" x14ac:dyDescent="0.3">
      <c r="B99" s="422" t="s">
        <v>1129</v>
      </c>
      <c r="C99" s="422"/>
    </row>
    <row r="100" spans="2:12" ht="31.2" x14ac:dyDescent="0.3">
      <c r="B100" s="60" t="s">
        <v>0</v>
      </c>
      <c r="C100" s="61" t="s">
        <v>1</v>
      </c>
      <c r="D100" s="61" t="s">
        <v>21</v>
      </c>
      <c r="E100" s="61" t="s">
        <v>22</v>
      </c>
      <c r="F100" s="61" t="s">
        <v>3</v>
      </c>
      <c r="G100" s="61" t="s">
        <v>4</v>
      </c>
      <c r="H100" s="61" t="s">
        <v>1130</v>
      </c>
      <c r="I100" s="61" t="s">
        <v>1131</v>
      </c>
      <c r="J100" s="61" t="s">
        <v>10</v>
      </c>
      <c r="K100" s="62" t="s">
        <v>1203</v>
      </c>
    </row>
    <row r="101" spans="2:12" x14ac:dyDescent="0.3">
      <c r="B101" s="40">
        <v>45135</v>
      </c>
      <c r="C101" s="41"/>
      <c r="D101" s="42">
        <v>30</v>
      </c>
      <c r="E101" s="43">
        <v>66</v>
      </c>
      <c r="F101" s="44"/>
      <c r="G101" s="1" t="str">
        <f>IFERROR(IF(ventas_b_mes135453[[#This Row],[CUIT]]="","-",VLOOKUP(ventas_b_mes135453[[#This Row],[CUIT]],Lista_CUIT[#All],2,0)),"CUIT NO CARGADO")</f>
        <v>-</v>
      </c>
      <c r="H101" s="100">
        <v>2361.25</v>
      </c>
      <c r="I101" s="64">
        <v>273.10000000000002</v>
      </c>
      <c r="J101" s="64">
        <f>ventas_b_mes135453[[#This Row],[USD]]*ventas_b_mes135453[[#This Row],[TIPO DE CAMBIO2]]</f>
        <v>644857.375</v>
      </c>
      <c r="K101" s="59"/>
    </row>
    <row r="102" spans="2:12" x14ac:dyDescent="0.3">
      <c r="B102" s="40">
        <v>45138</v>
      </c>
      <c r="C102" s="41"/>
      <c r="D102" s="42">
        <v>30</v>
      </c>
      <c r="E102" s="43">
        <v>67</v>
      </c>
      <c r="F102" s="44"/>
      <c r="G102" s="1" t="str">
        <f>IFERROR(IF(ventas_b_mes135453[[#This Row],[CUIT]]="","-",VLOOKUP(ventas_b_mes135453[[#This Row],[CUIT]],Lista_CUIT[#All],2,0)),"CUIT NO CARGADO")</f>
        <v>-</v>
      </c>
      <c r="H102" s="100">
        <v>16500</v>
      </c>
      <c r="I102" s="64">
        <v>273.7</v>
      </c>
      <c r="J102" s="64">
        <f>ventas_b_mes135453[[#This Row],[USD]]*ventas_b_mes135453[[#This Row],[TIPO DE CAMBIO2]]</f>
        <v>4516050</v>
      </c>
      <c r="K102" s="59"/>
    </row>
    <row r="103" spans="2:12" x14ac:dyDescent="0.3">
      <c r="B103" s="66" t="s">
        <v>110</v>
      </c>
      <c r="C103" s="67"/>
      <c r="D103" s="67"/>
      <c r="E103" s="67"/>
      <c r="F103" s="67"/>
      <c r="G103" s="67"/>
      <c r="H103" s="77">
        <f>SUBTOTAL(109,ventas_b_mes135453[USD])</f>
        <v>18861.25</v>
      </c>
      <c r="I103" s="78">
        <f>SUBTOTAL(109,ventas_b_mes135453[TIPO DE CAMBIO2])</f>
        <v>546.79999999999995</v>
      </c>
      <c r="J103" s="78">
        <f>SUBTOTAL(109,ventas_b_mes135453[TOTAL])</f>
        <v>5160907.375</v>
      </c>
      <c r="K103" s="68">
        <f>SUBTOTAL(103,ventas_b_mes135453[Pais])</f>
        <v>0</v>
      </c>
    </row>
    <row r="106" spans="2:12" ht="15" thickBot="1" x14ac:dyDescent="0.35"/>
    <row r="107" spans="2:12" ht="15" thickTop="1" x14ac:dyDescent="0.3">
      <c r="C107" s="433" t="s">
        <v>66</v>
      </c>
      <c r="D107" s="433"/>
      <c r="E107" s="433"/>
      <c r="F107" s="433"/>
      <c r="G107" s="433"/>
      <c r="H107" s="32"/>
      <c r="I107" s="32"/>
      <c r="J107" s="32"/>
    </row>
    <row r="108" spans="2:12" ht="15.6" x14ac:dyDescent="0.3">
      <c r="C108" s="114" t="s">
        <v>67</v>
      </c>
      <c r="D108" s="115" t="s">
        <v>68</v>
      </c>
      <c r="E108" s="115" t="s">
        <v>112</v>
      </c>
      <c r="F108" s="115" t="s">
        <v>3</v>
      </c>
      <c r="G108" s="115" t="s">
        <v>4</v>
      </c>
      <c r="H108" s="116" t="s">
        <v>69</v>
      </c>
      <c r="I108" s="116" t="s">
        <v>70</v>
      </c>
      <c r="J108" s="116" t="s">
        <v>71</v>
      </c>
      <c r="K108" s="116" t="s">
        <v>72</v>
      </c>
      <c r="L108" s="116" t="s">
        <v>73</v>
      </c>
    </row>
    <row r="109" spans="2:12" x14ac:dyDescent="0.3">
      <c r="C109" s="117"/>
      <c r="D109" s="118"/>
      <c r="E109" s="118"/>
      <c r="F109" s="119"/>
      <c r="G109" s="53" t="str">
        <f>IFERROR(IF(Retenciones_mes4[[#This Row],[CUIT]]="","-",VLOOKUP(Retenciones_mes4[[#This Row],[CUIT]],Lista_CUIT[#All],2,0)),"CUIT NO CARGADO")</f>
        <v>-</v>
      </c>
      <c r="H109" s="120"/>
      <c r="I109" s="120">
        <v>9597.94</v>
      </c>
      <c r="J109" s="120">
        <v>914.09</v>
      </c>
      <c r="K109" s="120"/>
      <c r="L109" s="120"/>
    </row>
    <row r="110" spans="2:12" x14ac:dyDescent="0.3">
      <c r="C110" s="117"/>
      <c r="D110" s="118"/>
      <c r="E110" s="118"/>
      <c r="F110" s="119"/>
      <c r="G110" s="53" t="str">
        <f>IFERROR(IF(Retenciones_mes4[[#This Row],[CUIT]]="","-",VLOOKUP(Retenciones_mes4[[#This Row],[CUIT]],Lista_CUIT[#All],2,0)),"CUIT NO CARGADO")</f>
        <v>-</v>
      </c>
      <c r="H110" s="120"/>
      <c r="I110" s="120"/>
      <c r="J110" s="120"/>
      <c r="K110" s="120"/>
      <c r="L110" s="120"/>
    </row>
    <row r="111" spans="2:12" x14ac:dyDescent="0.3">
      <c r="C111" s="117"/>
      <c r="D111" s="118"/>
      <c r="E111" s="118"/>
      <c r="F111" s="119"/>
      <c r="G111" s="53" t="str">
        <f>IFERROR(IF(Retenciones_mes4[[#This Row],[CUIT]]="","-",VLOOKUP(Retenciones_mes4[[#This Row],[CUIT]],Lista_CUIT[#All],2,0)),"CUIT NO CARGADO")</f>
        <v>-</v>
      </c>
      <c r="H111" s="120"/>
      <c r="I111" s="120"/>
      <c r="J111" s="120"/>
      <c r="K111" s="120"/>
      <c r="L111" s="120"/>
    </row>
    <row r="112" spans="2:12" x14ac:dyDescent="0.3">
      <c r="C112" s="117"/>
      <c r="D112" s="118"/>
      <c r="E112" s="118"/>
      <c r="F112" s="119"/>
      <c r="G112" s="53" t="str">
        <f>IFERROR(IF(Retenciones_mes4[[#This Row],[CUIT]]="","-",VLOOKUP(Retenciones_mes4[[#This Row],[CUIT]],Lista_CUIT[#All],2,0)),"CUIT NO CARGADO")</f>
        <v>-</v>
      </c>
      <c r="H112" s="120"/>
      <c r="I112" s="120"/>
      <c r="J112" s="120"/>
      <c r="K112" s="120"/>
      <c r="L112" s="120"/>
    </row>
    <row r="113" spans="3:7" x14ac:dyDescent="0.3">
      <c r="D113" s="118"/>
      <c r="E113" s="118"/>
      <c r="G113" s="53" t="str">
        <f>IFERROR(IF(Retenciones_mes4[[#This Row],[CUIT]]="","-",VLOOKUP(Retenciones_mes4[[#This Row],[CUIT]],Lista_CUIT[#All],2,0)),"CUIT NO CARGADO")</f>
        <v>-</v>
      </c>
    </row>
    <row r="114" spans="3:7" x14ac:dyDescent="0.3">
      <c r="C114" s="33"/>
    </row>
  </sheetData>
  <mergeCells count="21">
    <mergeCell ref="C107:G107"/>
    <mergeCell ref="B4:E4"/>
    <mergeCell ref="G4:H4"/>
    <mergeCell ref="J4:K4"/>
    <mergeCell ref="M4:N4"/>
    <mergeCell ref="D51:K51"/>
    <mergeCell ref="B72:J72"/>
    <mergeCell ref="K72:M72"/>
    <mergeCell ref="B74:C74"/>
    <mergeCell ref="B88:C88"/>
    <mergeCell ref="B99:C99"/>
    <mergeCell ref="P4:R4"/>
    <mergeCell ref="D40:L40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90:L95 I101:J102" xr:uid="{00000000-0002-0000-0400-000000000000}">
      <formula1>IF($C90=8,H90&lt;0,H90&gt;=0)</formula1>
    </dataValidation>
    <dataValidation type="custom" allowBlank="1" showInputMessage="1" showErrorMessage="1" sqref="L78:L80" xr:uid="{00000000-0002-0000-0400-000001000000}">
      <formula1>IF($C23=3,L23&lt;0,L23&gt;=0)</formula1>
    </dataValidation>
    <dataValidation type="custom" allowBlank="1" showInputMessage="1" showErrorMessage="1" sqref="L76:L77" xr:uid="{00000000-0002-0000-0400-000002000000}">
      <formula1>IF($C9=3,L9&lt;0,L9&gt;=0)</formula1>
    </dataValidation>
    <dataValidation type="whole" allowBlank="1" showInputMessage="1" showErrorMessage="1" sqref="C90:C95" xr:uid="{00000000-0002-0000-0400-000003000000}">
      <formula1>6</formula1>
      <formula2>8</formula2>
    </dataValidation>
    <dataValidation type="custom" allowBlank="1" showInputMessage="1" showErrorMessage="1" sqref="H76:K76 H78:K78 H80:K80 H82:K82 H101" xr:uid="{00000000-0002-0000-0400-000004000000}">
      <formula1>IF($C76=3,H76&lt;0,H76&gt;=0)</formula1>
    </dataValidation>
    <dataValidation type="whole" allowBlank="1" showInputMessage="1" showErrorMessage="1" sqref="C36:C39 C76:C84 C9:C34" xr:uid="{00000000-0002-0000-0400-000005000000}">
      <formula1>1</formula1>
      <formula2>3</formula2>
    </dataValidation>
    <dataValidation type="date" allowBlank="1" showInputMessage="1" showErrorMessage="1" sqref="D42:D46 B76:B84 D53:D65 B36:B39 B90:B95 B101:B102 B9:B34" xr:uid="{00000000-0002-0000-0400-000006000000}">
      <formula1>40179</formula1>
      <formula2>TODAY()</formula2>
    </dataValidation>
    <dataValidation type="whole" allowBlank="1" showInputMessage="1" showErrorMessage="1" sqref="G53:G65 F76:F84 F90:F95 F101:F102 F9:F34" xr:uid="{00000000-0002-0000-0400-000007000000}">
      <formula1>20000000000</formula1>
      <formula2>33999999999</formula2>
    </dataValidation>
    <dataValidation type="whole" allowBlank="1" showInputMessage="1" showErrorMessage="1" sqref="F53:F65 E76:E84 E90:E95 E101:E102 E9:E34" xr:uid="{00000000-0002-0000-0400-000008000000}">
      <formula1>1</formula1>
      <formula2>99999999</formula2>
    </dataValidation>
    <dataValidation type="whole" allowBlank="1" showInputMessage="1" showErrorMessage="1" sqref="E53:E65 D76:D84 D90:D95 D101:D102 D9:D34" xr:uid="{00000000-0002-0000-0400-000009000000}">
      <formula1>1</formula1>
      <formula2>9999</formula2>
    </dataValidation>
    <dataValidation type="custom" allowBlank="1" showInputMessage="1" showErrorMessage="1" sqref="L81:L82" xr:uid="{00000000-0002-0000-0400-00000A000000}">
      <formula1>IF($C35=3,L35&lt;0,L35&gt;=0)</formula1>
    </dataValidation>
    <dataValidation type="whole" allowBlank="1" showInputMessage="1" showErrorMessage="1" sqref="C101:C102" xr:uid="{00000000-0002-0000-0400-00000B000000}">
      <formula1>80</formula1>
      <formula2>80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34" xr:uid="{00000000-0002-0000-0400-00000C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theme="9" tint="0.79998168889431442"/>
  </sheetPr>
  <dimension ref="A1:Z144"/>
  <sheetViews>
    <sheetView showGridLines="0" topLeftCell="A34" zoomScale="90" zoomScaleNormal="90" workbookViewId="0">
      <selection activeCell="D79" sqref="D79:K99"/>
    </sheetView>
  </sheetViews>
  <sheetFormatPr baseColWidth="10" defaultColWidth="0" defaultRowHeight="14.4" x14ac:dyDescent="0.3"/>
  <cols>
    <col min="1" max="1" width="7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424" t="s">
        <v>28</v>
      </c>
      <c r="C1" s="424"/>
      <c r="D1" s="424"/>
      <c r="E1" s="424"/>
      <c r="F1" s="424"/>
      <c r="G1" s="425" t="str">
        <f>'Abr-23'!G1:M1</f>
        <v>CORITEC S. R. L.</v>
      </c>
      <c r="H1" s="425"/>
      <c r="I1" s="425"/>
      <c r="J1" s="425"/>
      <c r="K1" s="425"/>
      <c r="L1" s="425"/>
      <c r="M1" s="425"/>
      <c r="N1" s="423">
        <f>EDATE('Abr-23'!N1,4)</f>
        <v>45139</v>
      </c>
      <c r="O1" s="423"/>
      <c r="P1" s="423"/>
      <c r="Q1" s="423"/>
      <c r="R1" s="423"/>
    </row>
    <row r="2" spans="1:26" ht="15" customHeight="1" x14ac:dyDescent="0.3"/>
    <row r="3" spans="1:26" ht="26.4" customHeight="1" x14ac:dyDescent="0.3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2" customHeight="1" x14ac:dyDescent="0.4">
      <c r="B4" s="428">
        <f>SUM(compras_mes5[[#Totals],[NETO GRAVADO]])+extracto_banco_mes5[[#Totals],[NETO]]</f>
        <v>5711006.9479999989</v>
      </c>
      <c r="C4" s="428"/>
      <c r="D4" s="428"/>
      <c r="E4" s="428"/>
      <c r="F4" s="39"/>
      <c r="G4" s="429">
        <f>compras_mes5[[#Totals],[IVA 21 %]]+compras_mes5[[#Totals],[IVA 27%]]+compras_mes5[[#Totals],[IVA 10,5%]]+extracto_banco_mes5[[#Totals],[IVA 21%]]+extracto_banco_mes5[[#Totals],[IVA 10,5%]]</f>
        <v>1184051.1988799996</v>
      </c>
      <c r="H4" s="429"/>
      <c r="I4" s="39"/>
      <c r="J4" s="416">
        <f>venta_a_mes5[[#Totals],[IMPORTE NETO]]+ventas_b_mes5[[#Totals],[IMPORTE NETO]]</f>
        <v>33333962.720000006</v>
      </c>
      <c r="K4" s="416"/>
      <c r="L4" s="39"/>
      <c r="M4" s="416">
        <f>venta_a_mes5[[#Totals],[IVA 21%]]+venta_a_mes5[[#Totals],[IVA 10,5%]]+ventas_b_mes5[[#Totals],[IVA 21%]]+ventas_b_mes5[[#Totals],[IVA 10,5%]]</f>
        <v>4346035.4112</v>
      </c>
      <c r="N4" s="416"/>
      <c r="O4" s="39"/>
      <c r="P4" s="431">
        <f>G4-M4</f>
        <v>-3161984.2123200004</v>
      </c>
      <c r="Q4" s="432"/>
      <c r="R4" s="432"/>
    </row>
    <row r="7" spans="1:26" s="2" customForma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45139</v>
      </c>
      <c r="C9" s="41">
        <v>1</v>
      </c>
      <c r="D9" s="42">
        <v>3</v>
      </c>
      <c r="E9" s="43">
        <v>80</v>
      </c>
      <c r="F9" s="44">
        <v>20297899830</v>
      </c>
      <c r="G9" s="45" t="str">
        <f>IFERROR(IF(compras_mes5[[#This Row],[CUIT]]="","-",VLOOKUP(compras_mes5[[#This Row],[CUIT]],Lista_CUIT[#All],2,0)),"CUIT NO CARGADO")</f>
        <v>FUNK MATIAS NICOLAS</v>
      </c>
      <c r="H9" s="46">
        <v>1685895.75</v>
      </c>
      <c r="I9" s="85">
        <f>IF(compras_mes5[[#This Row],[NETO GRAVADO]]="","",compras_mes5[[#This Row],[NETO GRAVADO]]*0.21)</f>
        <v>354038.10749999998</v>
      </c>
      <c r="J9" s="85"/>
      <c r="K9" s="85"/>
      <c r="L9" s="85"/>
      <c r="M9" s="85"/>
      <c r="N9" s="85"/>
      <c r="O9" s="85"/>
      <c r="P9" s="48">
        <f>SUM(compras_mes5[[#This Row],[NETO GRAVADO]:[Otros / No Grav.]])</f>
        <v>2039933.8574999999</v>
      </c>
      <c r="Q9" s="49" t="str">
        <f>IFERROR(IF(compras_mes5[[#This Row],[CUIT]]="","-",VLOOKUP(compras_mes5[[#This Row],[CUIT]],Lista_CUIT[#All],3,0)),"CUIT NO CARGADO")</f>
        <v>Servicios</v>
      </c>
      <c r="R9" s="49">
        <f>IFERROR(IF(compras_mes5[[#This Row],[CUIT]]="","-",VLOOKUP(compras_mes5[[#This Row],[CUIT]],Lista_CUIT[#All],4,0)),"CUIT NO CARGADO")</f>
        <v>0</v>
      </c>
    </row>
    <row r="10" spans="1:26" x14ac:dyDescent="0.3">
      <c r="B10" s="40">
        <v>45139</v>
      </c>
      <c r="C10" s="41">
        <v>1</v>
      </c>
      <c r="D10" s="42">
        <v>3</v>
      </c>
      <c r="E10" s="43">
        <v>669</v>
      </c>
      <c r="F10" s="44">
        <v>30715402765</v>
      </c>
      <c r="G10" s="45" t="str">
        <f>IFERROR(IF(compras_mes5[[#This Row],[CUIT]]="","-",VLOOKUP(compras_mes5[[#This Row],[CUIT]],Lista_CUIT[#All],2,0)),"CUIT NO CARGADO")</f>
        <v>RIO 265 S.R.L.</v>
      </c>
      <c r="H10" s="46">
        <v>16528.93</v>
      </c>
      <c r="I10" s="85">
        <f>IF(compras_mes5[[#This Row],[NETO GRAVADO]]="","",compras_mes5[[#This Row],[NETO GRAVADO]]*0.21)</f>
        <v>3471.0753</v>
      </c>
      <c r="J10" s="85"/>
      <c r="K10" s="85"/>
      <c r="L10" s="85"/>
      <c r="M10" s="85"/>
      <c r="N10" s="85"/>
      <c r="O10" s="85"/>
      <c r="P10" s="48">
        <f>SUM(compras_mes5[[#This Row],[NETO GRAVADO]:[Otros / No Grav.]])</f>
        <v>20000.005300000001</v>
      </c>
      <c r="Q10" s="49" t="str">
        <f>IFERROR(IF(compras_mes5[[#This Row],[CUIT]]="","-",VLOOKUP(compras_mes5[[#This Row],[CUIT]],Lista_CUIT[#All],3,0)),"CUIT NO CARGADO")</f>
        <v>Gastos Varios</v>
      </c>
      <c r="R10" s="49">
        <f>IFERROR(IF(compras_mes5[[#This Row],[CUIT]]="","-",VLOOKUP(compras_mes5[[#This Row],[CUIT]],Lista_CUIT[#All],4,0)),"CUIT NO CARGADO")</f>
        <v>0</v>
      </c>
    </row>
    <row r="11" spans="1:26" x14ac:dyDescent="0.3">
      <c r="B11" s="152">
        <v>45139</v>
      </c>
      <c r="C11" s="164">
        <v>1</v>
      </c>
      <c r="D11" s="153">
        <v>3</v>
      </c>
      <c r="E11" s="154">
        <v>200405</v>
      </c>
      <c r="F11" s="155">
        <v>30707135596</v>
      </c>
      <c r="G11" s="156" t="str">
        <f>IFERROR(IF(compras_mes5[[#This Row],[CUIT]]="","-",VLOOKUP(compras_mes5[[#This Row],[CUIT]],Lista_CUIT[#All],2,0)),"CUIT NO CARGADO")</f>
        <v>CITILAN ARGENTINA S.A.</v>
      </c>
      <c r="H11" s="157">
        <v>6213.09</v>
      </c>
      <c r="I11" s="158">
        <f>IF(compras_mes5[[#This Row],[NETO GRAVADO]]="","",compras_mes5[[#This Row],[NETO GRAVADO]]*0.21)</f>
        <v>1304.7489</v>
      </c>
      <c r="J11" s="158"/>
      <c r="K11" s="158"/>
      <c r="L11" s="158"/>
      <c r="M11" s="158"/>
      <c r="N11" s="158"/>
      <c r="O11" s="158"/>
      <c r="P11" s="159">
        <f>SUM(compras_mes5[[#This Row],[NETO GRAVADO]:[Otros / No Grav.]])</f>
        <v>7517.8389000000006</v>
      </c>
      <c r="Q11" s="160" t="str">
        <f>IFERROR(IF(compras_mes5[[#This Row],[CUIT]]="","-",VLOOKUP(compras_mes5[[#This Row],[CUIT]],Lista_CUIT[#All],3,0)),"CUIT NO CARGADO")</f>
        <v>Servicios Gas, Luz, Etc</v>
      </c>
      <c r="R11" s="160">
        <f>IFERROR(IF(compras_mes5[[#This Row],[CUIT]]="","-",VLOOKUP(compras_mes5[[#This Row],[CUIT]],Lista_CUIT[#All],4,0)),"CUIT NO CARGADO")</f>
        <v>0</v>
      </c>
    </row>
    <row r="12" spans="1:26" x14ac:dyDescent="0.3">
      <c r="B12" s="40">
        <v>45140</v>
      </c>
      <c r="C12" s="41">
        <v>1</v>
      </c>
      <c r="D12" s="42">
        <v>4</v>
      </c>
      <c r="E12" s="43">
        <v>7508</v>
      </c>
      <c r="F12" s="44">
        <v>30620415606</v>
      </c>
      <c r="G12" s="45" t="str">
        <f>IFERROR(IF(compras_mes5[[#This Row],[CUIT]]="","-",VLOOKUP(compras_mes5[[#This Row],[CUIT]],Lista_CUIT[#All],2,0)),"CUIT NO CARGADO")</f>
        <v>INTERCONTINENTAL CARGAS SRL</v>
      </c>
      <c r="H12" s="46">
        <v>362582.07</v>
      </c>
      <c r="I12" s="85">
        <f>IF(compras_mes5[[#This Row],[NETO GRAVADO]]="","",compras_mes5[[#This Row],[NETO GRAVADO]]*0.21)</f>
        <v>76142.234700000001</v>
      </c>
      <c r="J12" s="85"/>
      <c r="K12" s="85"/>
      <c r="L12" s="85"/>
      <c r="M12" s="85"/>
      <c r="N12" s="85"/>
      <c r="O12" s="85">
        <v>495788.33</v>
      </c>
      <c r="P12" s="48">
        <f>SUM(compras_mes5[[#This Row],[NETO GRAVADO]:[Otros / No Grav.]])</f>
        <v>934512.63470000005</v>
      </c>
      <c r="Q12" s="49">
        <f>IFERROR(IF(compras_mes5[[#This Row],[CUIT]]="","-",VLOOKUP(compras_mes5[[#This Row],[CUIT]],Lista_CUIT[#All],3,0)),"CUIT NO CARGADO")</f>
        <v>0</v>
      </c>
      <c r="R12" s="49">
        <f>IFERROR(IF(compras_mes5[[#This Row],[CUIT]]="","-",VLOOKUP(compras_mes5[[#This Row],[CUIT]],Lista_CUIT[#All],4,0)),"CUIT NO CARGADO")</f>
        <v>0</v>
      </c>
    </row>
    <row r="13" spans="1:26" x14ac:dyDescent="0.3">
      <c r="B13" s="40">
        <v>45141</v>
      </c>
      <c r="C13" s="41">
        <v>1</v>
      </c>
      <c r="D13" s="42">
        <v>3</v>
      </c>
      <c r="E13" s="43">
        <v>7182</v>
      </c>
      <c r="F13" s="44">
        <v>30710212127</v>
      </c>
      <c r="G13" s="45" t="str">
        <f>IFERROR(IF(compras_mes5[[#This Row],[CUIT]]="","-",VLOOKUP(compras_mes5[[#This Row],[CUIT]],Lista_CUIT[#All],2,0)),"CUIT NO CARGADO")</f>
        <v>J Y M COMPONENTES ELECTRICOS S.A.</v>
      </c>
      <c r="H13" s="46">
        <v>519299.9</v>
      </c>
      <c r="I13" s="85">
        <f>IF(compras_mes5[[#This Row],[NETO GRAVADO]]="","",compras_mes5[[#This Row],[NETO GRAVADO]]*0.21)</f>
        <v>109052.97900000001</v>
      </c>
      <c r="J13" s="85"/>
      <c r="K13" s="85"/>
      <c r="L13" s="85"/>
      <c r="M13" s="85"/>
      <c r="N13" s="85"/>
      <c r="O13" s="85"/>
      <c r="P13" s="48">
        <f>SUM(compras_mes5[[#This Row],[NETO GRAVADO]:[Otros / No Grav.]])</f>
        <v>628352.87900000007</v>
      </c>
      <c r="Q13" s="49" t="str">
        <f>IFERROR(IF(compras_mes5[[#This Row],[CUIT]]="","-",VLOOKUP(compras_mes5[[#This Row],[CUIT]],Lista_CUIT[#All],3,0)),"CUIT NO CARGADO")</f>
        <v>INSUMO</v>
      </c>
      <c r="R13" s="49">
        <f>IFERROR(IF(compras_mes5[[#This Row],[CUIT]]="","-",VLOOKUP(compras_mes5[[#This Row],[CUIT]],Lista_CUIT[#All],4,0)),"CUIT NO CARGADO")</f>
        <v>0</v>
      </c>
    </row>
    <row r="14" spans="1:26" x14ac:dyDescent="0.3">
      <c r="B14" s="40">
        <v>45141</v>
      </c>
      <c r="C14" s="41">
        <v>1</v>
      </c>
      <c r="D14" s="42">
        <v>2</v>
      </c>
      <c r="E14" s="43">
        <v>14117</v>
      </c>
      <c r="F14" s="44">
        <v>20103565309</v>
      </c>
      <c r="G14" s="45" t="str">
        <f>IFERROR(IF(compras_mes5[[#This Row],[CUIT]]="","-",VLOOKUP(compras_mes5[[#This Row],[CUIT]],Lista_CUIT[#All],2,0)),"CUIT NO CARGADO")</f>
        <v>CASATI ENRIQUE ARIEL</v>
      </c>
      <c r="H14" s="46">
        <v>42170</v>
      </c>
      <c r="I14" s="85">
        <f>IF(compras_mes5[[#This Row],[NETO GRAVADO]]="","",compras_mes5[[#This Row],[NETO GRAVADO]]*0.21)</f>
        <v>8855.6999999999989</v>
      </c>
      <c r="J14" s="85"/>
      <c r="K14" s="85"/>
      <c r="L14" s="85"/>
      <c r="M14" s="85"/>
      <c r="N14" s="85"/>
      <c r="O14" s="85"/>
      <c r="P14" s="48">
        <f>SUM(compras_mes5[[#This Row],[NETO GRAVADO]:[Otros / No Grav.]])</f>
        <v>51025.7</v>
      </c>
      <c r="Q14" s="49">
        <f>IFERROR(IF(compras_mes5[[#This Row],[CUIT]]="","-",VLOOKUP(compras_mes5[[#This Row],[CUIT]],Lista_CUIT[#All],3,0)),"CUIT NO CARGADO")</f>
        <v>0</v>
      </c>
      <c r="R14" s="49">
        <f>IFERROR(IF(compras_mes5[[#This Row],[CUIT]]="","-",VLOOKUP(compras_mes5[[#This Row],[CUIT]],Lista_CUIT[#All],4,0)),"CUIT NO CARGADO")</f>
        <v>0</v>
      </c>
    </row>
    <row r="15" spans="1:26" x14ac:dyDescent="0.3">
      <c r="B15" s="218">
        <v>45142</v>
      </c>
      <c r="C15" s="226">
        <v>1</v>
      </c>
      <c r="D15" s="219">
        <v>3</v>
      </c>
      <c r="E15" s="220">
        <v>102</v>
      </c>
      <c r="F15" s="221">
        <v>30717406512</v>
      </c>
      <c r="G15" s="222" t="str">
        <f>IFERROR(IF(compras_mes5[[#This Row],[CUIT]]="","-",VLOOKUP(compras_mes5[[#This Row],[CUIT]],Lista_CUIT[#All],2,0)),"CUIT NO CARGADO")</f>
        <v>SAFIT SPORT S.R.L.</v>
      </c>
      <c r="H15" s="223">
        <v>5776.86</v>
      </c>
      <c r="I15" s="215">
        <f>IF(compras_mes5[[#This Row],[NETO GRAVADO]]="","",compras_mes5[[#This Row],[NETO GRAVADO]]*0.21)</f>
        <v>1213.1405999999999</v>
      </c>
      <c r="J15" s="215"/>
      <c r="K15" s="215"/>
      <c r="L15" s="215"/>
      <c r="M15" s="215"/>
      <c r="N15" s="215"/>
      <c r="O15" s="215"/>
      <c r="P15" s="224">
        <f>SUM(compras_mes5[[#This Row],[NETO GRAVADO]:[Otros / No Grav.]])</f>
        <v>6990.0005999999994</v>
      </c>
      <c r="Q15" s="225">
        <f>IFERROR(IF(compras_mes5[[#This Row],[CUIT]]="","-",VLOOKUP(compras_mes5[[#This Row],[CUIT]],Lista_CUIT[#All],3,0)),"CUIT NO CARGADO")</f>
        <v>0</v>
      </c>
      <c r="R15" s="225">
        <f>IFERROR(IF(compras_mes5[[#This Row],[CUIT]]="","-",VLOOKUP(compras_mes5[[#This Row],[CUIT]],Lista_CUIT[#All],4,0)),"CUIT NO CARGADO")</f>
        <v>0</v>
      </c>
    </row>
    <row r="16" spans="1:26" x14ac:dyDescent="0.3">
      <c r="B16" s="218">
        <v>45142</v>
      </c>
      <c r="C16" s="226">
        <v>1</v>
      </c>
      <c r="D16" s="219">
        <v>1</v>
      </c>
      <c r="E16" s="220">
        <v>651</v>
      </c>
      <c r="F16" s="221">
        <v>30715048066</v>
      </c>
      <c r="G16" s="222" t="str">
        <f>IFERROR(IF(compras_mes5[[#This Row],[CUIT]]="","-",VLOOKUP(compras_mes5[[#This Row],[CUIT]],Lista_CUIT[#All],2,0)),"CUIT NO CARGADO")</f>
        <v>ROLLS Y EMPANADAS SA</v>
      </c>
      <c r="H16" s="223">
        <v>143025</v>
      </c>
      <c r="I16" s="215">
        <f>IF(compras_mes5[[#This Row],[NETO GRAVADO]]="","",compras_mes5[[#This Row],[NETO GRAVADO]]*0.21)</f>
        <v>30035.25</v>
      </c>
      <c r="J16" s="215"/>
      <c r="K16" s="215"/>
      <c r="L16" s="215"/>
      <c r="M16" s="215"/>
      <c r="N16" s="215"/>
      <c r="O16" s="215"/>
      <c r="P16" s="224">
        <f>SUM(compras_mes5[[#This Row],[NETO GRAVADO]:[Otros / No Grav.]])</f>
        <v>173060.25</v>
      </c>
      <c r="Q16" s="225" t="str">
        <f>IFERROR(IF(compras_mes5[[#This Row],[CUIT]]="","-",VLOOKUP(compras_mes5[[#This Row],[CUIT]],Lista_CUIT[#All],3,0)),"CUIT NO CARGADO")</f>
        <v>CATERING</v>
      </c>
      <c r="R16" s="225">
        <f>IFERROR(IF(compras_mes5[[#This Row],[CUIT]]="","-",VLOOKUP(compras_mes5[[#This Row],[CUIT]],Lista_CUIT[#All],4,0)),"CUIT NO CARGADO")</f>
        <v>0</v>
      </c>
    </row>
    <row r="17" spans="2:18" x14ac:dyDescent="0.3">
      <c r="B17" s="40">
        <v>45142</v>
      </c>
      <c r="C17" s="41">
        <v>1</v>
      </c>
      <c r="D17" s="42">
        <v>101</v>
      </c>
      <c r="E17" s="43">
        <v>10106</v>
      </c>
      <c r="F17" s="44">
        <v>30711816212</v>
      </c>
      <c r="G17" s="45" t="str">
        <f>IFERROR(IF(compras_mes5[[#This Row],[CUIT]]="","-",VLOOKUP(compras_mes5[[#This Row],[CUIT]],Lista_CUIT[#All],2,0)),"CUIT NO CARGADO")</f>
        <v>ACCESORIOS Y HERRAMIENTAS SRL</v>
      </c>
      <c r="H17" s="46">
        <v>148107.24</v>
      </c>
      <c r="I17" s="85"/>
      <c r="J17" s="85"/>
      <c r="K17" s="85">
        <f>compras_mes5[[#This Row],[NETO GRAVADO]]*0.105</f>
        <v>15551.260199999999</v>
      </c>
      <c r="L17" s="85"/>
      <c r="M17" s="85"/>
      <c r="N17" s="85"/>
      <c r="O17" s="85"/>
      <c r="P17" s="48">
        <f>SUM(compras_mes5[[#This Row],[NETO GRAVADO]:[Otros / No Grav.]])</f>
        <v>163658.50019999998</v>
      </c>
      <c r="Q17" s="49">
        <f>IFERROR(IF(compras_mes5[[#This Row],[CUIT]]="","-",VLOOKUP(compras_mes5[[#This Row],[CUIT]],Lista_CUIT[#All],3,0)),"CUIT NO CARGADO")</f>
        <v>0</v>
      </c>
      <c r="R17" s="49">
        <f>IFERROR(IF(compras_mes5[[#This Row],[CUIT]]="","-",VLOOKUP(compras_mes5[[#This Row],[CUIT]],Lista_CUIT[#All],4,0)),"CUIT NO CARGADO")</f>
        <v>0</v>
      </c>
    </row>
    <row r="18" spans="2:18" x14ac:dyDescent="0.3">
      <c r="B18" s="218">
        <v>45143</v>
      </c>
      <c r="C18" s="226">
        <v>1</v>
      </c>
      <c r="D18" s="219">
        <v>4</v>
      </c>
      <c r="E18" s="220">
        <v>797</v>
      </c>
      <c r="F18" s="221">
        <v>30717393445</v>
      </c>
      <c r="G18" s="222" t="str">
        <f>IFERROR(IF(compras_mes5[[#This Row],[CUIT]]="","-",VLOOKUP(compras_mes5[[#This Row],[CUIT]],Lista_CUIT[#All],2,0)),"CUIT NO CARGADO")</f>
        <v>AQUADELTA OUTDOORS S.R.L.</v>
      </c>
      <c r="H18" s="223">
        <v>6182.64</v>
      </c>
      <c r="I18" s="215">
        <f>IF(compras_mes5[[#This Row],[NETO GRAVADO]]="","",compras_mes5[[#This Row],[NETO GRAVADO]]*0.21)</f>
        <v>1298.3543999999999</v>
      </c>
      <c r="J18" s="215"/>
      <c r="K18" s="215"/>
      <c r="L18" s="215"/>
      <c r="M18" s="215"/>
      <c r="N18" s="215"/>
      <c r="O18" s="215"/>
      <c r="P18" s="224">
        <f>SUM(compras_mes5[[#This Row],[NETO GRAVADO]:[Otros / No Grav.]])</f>
        <v>7480.9944000000005</v>
      </c>
      <c r="Q18" s="225">
        <f>IFERROR(IF(compras_mes5[[#This Row],[CUIT]]="","-",VLOOKUP(compras_mes5[[#This Row],[CUIT]],Lista_CUIT[#All],3,0)),"CUIT NO CARGADO")</f>
        <v>0</v>
      </c>
      <c r="R18" s="225">
        <f>IFERROR(IF(compras_mes5[[#This Row],[CUIT]]="","-",VLOOKUP(compras_mes5[[#This Row],[CUIT]],Lista_CUIT[#All],4,0)),"CUIT NO CARGADO")</f>
        <v>0</v>
      </c>
    </row>
    <row r="19" spans="2:18" x14ac:dyDescent="0.3">
      <c r="B19" s="40">
        <v>45145</v>
      </c>
      <c r="C19" s="41">
        <v>1</v>
      </c>
      <c r="D19" s="42">
        <v>1006</v>
      </c>
      <c r="E19" s="43">
        <v>849985</v>
      </c>
      <c r="F19" s="44">
        <v>30538068841</v>
      </c>
      <c r="G19" s="45" t="str">
        <f>IFERROR(IF(compras_mes5[[#This Row],[CUIT]]="","-",VLOOKUP(compras_mes5[[#This Row],[CUIT]],Lista_CUIT[#All],2,0)),"CUIT NO CARGADO")</f>
        <v>FAMIQ SRL</v>
      </c>
      <c r="H19" s="46">
        <v>1163662.44</v>
      </c>
      <c r="I19" s="85">
        <f>IF(compras_mes5[[#This Row],[NETO GRAVADO]]="","",compras_mes5[[#This Row],[NETO GRAVADO]]*0.21)</f>
        <v>244369.11239999998</v>
      </c>
      <c r="J19" s="85"/>
      <c r="K19" s="85"/>
      <c r="L19" s="85"/>
      <c r="M19" s="85"/>
      <c r="N19" s="85"/>
      <c r="O19" s="85"/>
      <c r="P19" s="48">
        <f>SUM(compras_mes5[[#This Row],[NETO GRAVADO]:[Otros / No Grav.]])</f>
        <v>1408031.5523999999</v>
      </c>
      <c r="Q19" s="49">
        <f>IFERROR(IF(compras_mes5[[#This Row],[CUIT]]="","-",VLOOKUP(compras_mes5[[#This Row],[CUIT]],Lista_CUIT[#All],3,0)),"CUIT NO CARGADO")</f>
        <v>0</v>
      </c>
      <c r="R19" s="49">
        <f>IFERROR(IF(compras_mes5[[#This Row],[CUIT]]="","-",VLOOKUP(compras_mes5[[#This Row],[CUIT]],Lista_CUIT[#All],4,0)),"CUIT NO CARGADO")</f>
        <v>0</v>
      </c>
    </row>
    <row r="20" spans="2:18" x14ac:dyDescent="0.3">
      <c r="B20" s="218">
        <v>45146</v>
      </c>
      <c r="C20" s="226">
        <v>1</v>
      </c>
      <c r="D20" s="219">
        <v>3</v>
      </c>
      <c r="E20" s="220">
        <v>7189</v>
      </c>
      <c r="F20" s="221">
        <v>30710212127</v>
      </c>
      <c r="G20" s="222" t="str">
        <f>IFERROR(IF(compras_mes5[[#This Row],[CUIT]]="","-",VLOOKUP(compras_mes5[[#This Row],[CUIT]],Lista_CUIT[#All],2,0)),"CUIT NO CARGADO")</f>
        <v>J Y M COMPONENTES ELECTRICOS S.A.</v>
      </c>
      <c r="H20" s="223">
        <v>205100</v>
      </c>
      <c r="I20" s="215">
        <f>IF(compras_mes5[[#This Row],[NETO GRAVADO]]="","",compras_mes5[[#This Row],[NETO GRAVADO]]*0.21)</f>
        <v>43071</v>
      </c>
      <c r="J20" s="215"/>
      <c r="K20" s="215"/>
      <c r="L20" s="215"/>
      <c r="M20" s="215"/>
      <c r="N20" s="215"/>
      <c r="O20" s="215"/>
      <c r="P20" s="224">
        <f>SUM(compras_mes5[[#This Row],[NETO GRAVADO]:[Otros / No Grav.]])</f>
        <v>248171</v>
      </c>
      <c r="Q20" s="225" t="str">
        <f>IFERROR(IF(compras_mes5[[#This Row],[CUIT]]="","-",VLOOKUP(compras_mes5[[#This Row],[CUIT]],Lista_CUIT[#All],3,0)),"CUIT NO CARGADO")</f>
        <v>INSUMO</v>
      </c>
      <c r="R20" s="225">
        <f>IFERROR(IF(compras_mes5[[#This Row],[CUIT]]="","-",VLOOKUP(compras_mes5[[#This Row],[CUIT]],Lista_CUIT[#All],4,0)),"CUIT NO CARGADO")</f>
        <v>0</v>
      </c>
    </row>
    <row r="21" spans="2:18" x14ac:dyDescent="0.3">
      <c r="B21" s="152">
        <v>45146</v>
      </c>
      <c r="C21" s="164">
        <v>1</v>
      </c>
      <c r="D21" s="153">
        <v>280</v>
      </c>
      <c r="E21" s="154">
        <v>1448143</v>
      </c>
      <c r="F21" s="155">
        <v>30580111315</v>
      </c>
      <c r="G21" s="156" t="str">
        <f>IFERROR(IF(compras_mes5[[#This Row],[CUIT]]="","-",VLOOKUP(compras_mes5[[#This Row],[CUIT]],Lista_CUIT[#All],2,0)),"CUIT NO CARGADO")</f>
        <v>DHL EXPRESS (ARGENTINA) S.A.</v>
      </c>
      <c r="H21" s="157">
        <v>37869.504000000001</v>
      </c>
      <c r="I21" s="158">
        <f>IF(compras_mes5[[#This Row],[NETO GRAVADO]]="","",compras_mes5[[#This Row],[NETO GRAVADO]]*0.21)</f>
        <v>7952.59584</v>
      </c>
      <c r="J21" s="158"/>
      <c r="K21" s="158"/>
      <c r="L21" s="158"/>
      <c r="M21" s="158"/>
      <c r="N21" s="158"/>
      <c r="O21" s="158">
        <v>-24683.712</v>
      </c>
      <c r="P21" s="159">
        <f>SUM(compras_mes5[[#This Row],[NETO GRAVADO]:[Otros / No Grav.]])</f>
        <v>21138.387840000003</v>
      </c>
      <c r="Q21" s="160" t="str">
        <f>IFERROR(IF(compras_mes5[[#This Row],[CUIT]]="","-",VLOOKUP(compras_mes5[[#This Row],[CUIT]],Lista_CUIT[#All],3,0)),"CUIT NO CARGADO")</f>
        <v>Gtos. Imp.</v>
      </c>
      <c r="R21" s="160">
        <f>IFERROR(IF(compras_mes5[[#This Row],[CUIT]]="","-",VLOOKUP(compras_mes5[[#This Row],[CUIT]],Lista_CUIT[#All],4,0)),"CUIT NO CARGADO")</f>
        <v>0</v>
      </c>
    </row>
    <row r="22" spans="2:18" x14ac:dyDescent="0.3">
      <c r="B22" s="40">
        <v>45147</v>
      </c>
      <c r="C22" s="41">
        <v>1</v>
      </c>
      <c r="D22" s="42">
        <v>8</v>
      </c>
      <c r="E22" s="43">
        <v>6060</v>
      </c>
      <c r="F22" s="44">
        <v>30708693010</v>
      </c>
      <c r="G22" s="45" t="str">
        <f>IFERROR(IF(compras_mes5[[#This Row],[CUIT]]="","-",VLOOKUP(compras_mes5[[#This Row],[CUIT]],Lista_CUIT[#All],2,0)),"CUIT NO CARGADO")</f>
        <v>CASELLA TRADING SRL</v>
      </c>
      <c r="H22" s="46">
        <v>2855.35</v>
      </c>
      <c r="I22" s="85">
        <f>IF(compras_mes5[[#This Row],[NETO GRAVADO]]="","",compras_mes5[[#This Row],[NETO GRAVADO]]*0.21)</f>
        <v>599.62349999999992</v>
      </c>
      <c r="J22" s="85"/>
      <c r="K22" s="85"/>
      <c r="L22" s="85"/>
      <c r="M22" s="85"/>
      <c r="N22" s="85"/>
      <c r="O22" s="85"/>
      <c r="P22" s="48">
        <f>SUM(compras_mes5[[#This Row],[NETO GRAVADO]:[Otros / No Grav.]])</f>
        <v>3454.9735000000001</v>
      </c>
      <c r="Q22" s="49">
        <f>IFERROR(IF(compras_mes5[[#This Row],[CUIT]]="","-",VLOOKUP(compras_mes5[[#This Row],[CUIT]],Lista_CUIT[#All],3,0)),"CUIT NO CARGADO")</f>
        <v>0</v>
      </c>
      <c r="R22" s="49">
        <f>IFERROR(IF(compras_mes5[[#This Row],[CUIT]]="","-",VLOOKUP(compras_mes5[[#This Row],[CUIT]],Lista_CUIT[#All],4,0)),"CUIT NO CARGADO")</f>
        <v>0</v>
      </c>
    </row>
    <row r="23" spans="2:18" x14ac:dyDescent="0.3">
      <c r="B23" s="40">
        <v>45147</v>
      </c>
      <c r="C23" s="41">
        <v>1</v>
      </c>
      <c r="D23" s="42">
        <v>11</v>
      </c>
      <c r="E23" s="43">
        <v>8121</v>
      </c>
      <c r="F23" s="44">
        <v>30575019524</v>
      </c>
      <c r="G23" s="45" t="str">
        <f>IFERROR(IF(compras_mes5[[#This Row],[CUIT]]="","-",VLOOKUP(compras_mes5[[#This Row],[CUIT]],Lista_CUIT[#All],2,0)),"CUIT NO CARGADO")</f>
        <v>100000 LAMPARAS SRL</v>
      </c>
      <c r="H23" s="46">
        <v>2065.29</v>
      </c>
      <c r="I23" s="85">
        <f>IF(compras_mes5[[#This Row],[NETO GRAVADO]]="","",compras_mes5[[#This Row],[NETO GRAVADO]]*0.21)</f>
        <v>433.71089999999998</v>
      </c>
      <c r="J23" s="85"/>
      <c r="K23" s="85"/>
      <c r="L23" s="85"/>
      <c r="M23" s="85"/>
      <c r="N23" s="85"/>
      <c r="O23" s="85"/>
      <c r="P23" s="48">
        <f>SUM(compras_mes5[[#This Row],[NETO GRAVADO]:[Otros / No Grav.]])</f>
        <v>2499.0009</v>
      </c>
      <c r="Q23" s="49">
        <f>IFERROR(IF(compras_mes5[[#This Row],[CUIT]]="","-",VLOOKUP(compras_mes5[[#This Row],[CUIT]],Lista_CUIT[#All],3,0)),"CUIT NO CARGADO")</f>
        <v>0</v>
      </c>
      <c r="R23" s="49">
        <f>IFERROR(IF(compras_mes5[[#This Row],[CUIT]]="","-",VLOOKUP(compras_mes5[[#This Row],[CUIT]],Lista_CUIT[#All],4,0)),"CUIT NO CARGADO")</f>
        <v>0</v>
      </c>
    </row>
    <row r="24" spans="2:18" x14ac:dyDescent="0.3">
      <c r="B24" s="152">
        <v>45147</v>
      </c>
      <c r="C24" s="164">
        <v>1</v>
      </c>
      <c r="D24" s="153">
        <v>280</v>
      </c>
      <c r="E24" s="154">
        <v>1448306</v>
      </c>
      <c r="F24" s="155">
        <v>30580111315</v>
      </c>
      <c r="G24" s="156" t="str">
        <f>IFERROR(IF(compras_mes5[[#This Row],[CUIT]]="","-",VLOOKUP(compras_mes5[[#This Row],[CUIT]],Lista_CUIT[#All],2,0)),"CUIT NO CARGADO")</f>
        <v>DHL EXPRESS (ARGENTINA) S.A.</v>
      </c>
      <c r="H24" s="157">
        <v>330203.45400000003</v>
      </c>
      <c r="I24" s="158">
        <f>IF(compras_mes5[[#This Row],[NETO GRAVADO]]="","",compras_mes5[[#This Row],[NETO GRAVADO]]*0.21)</f>
        <v>69342.725340000005</v>
      </c>
      <c r="J24" s="158"/>
      <c r="K24" s="158"/>
      <c r="L24" s="158"/>
      <c r="M24" s="158"/>
      <c r="N24" s="158"/>
      <c r="O24" s="158">
        <v>-266130.56400000001</v>
      </c>
      <c r="P24" s="159">
        <f>SUM(compras_mes5[[#This Row],[NETO GRAVADO]:[Otros / No Grav.]])</f>
        <v>133415.61534000002</v>
      </c>
      <c r="Q24" s="160" t="str">
        <f>IFERROR(IF(compras_mes5[[#This Row],[CUIT]]="","-",VLOOKUP(compras_mes5[[#This Row],[CUIT]],Lista_CUIT[#All],3,0)),"CUIT NO CARGADO")</f>
        <v>Gtos. Imp.</v>
      </c>
      <c r="R24" s="160">
        <f>IFERROR(IF(compras_mes5[[#This Row],[CUIT]]="","-",VLOOKUP(compras_mes5[[#This Row],[CUIT]],Lista_CUIT[#All],4,0)),"CUIT NO CARGADO")</f>
        <v>0</v>
      </c>
    </row>
    <row r="25" spans="2:18" x14ac:dyDescent="0.3">
      <c r="B25" s="40">
        <v>45148</v>
      </c>
      <c r="C25" s="41">
        <v>1</v>
      </c>
      <c r="D25" s="42">
        <v>5</v>
      </c>
      <c r="E25" s="43">
        <v>12260</v>
      </c>
      <c r="F25" s="44">
        <v>23221796209</v>
      </c>
      <c r="G25" s="45" t="str">
        <f>IFERROR(IF(compras_mes5[[#This Row],[CUIT]]="","-",VLOOKUP(compras_mes5[[#This Row],[CUIT]],Lista_CUIT[#All],2,0)),"CUIT NO CARGADO")</f>
        <v>PINALLI PABLO GABRIEL</v>
      </c>
      <c r="H25" s="46">
        <v>3305.79</v>
      </c>
      <c r="I25" s="85">
        <f>IF(compras_mes5[[#This Row],[NETO GRAVADO]]="","",compras_mes5[[#This Row],[NETO GRAVADO]]*0.21)</f>
        <v>694.21589999999992</v>
      </c>
      <c r="J25" s="85"/>
      <c r="K25" s="85"/>
      <c r="L25" s="85"/>
      <c r="M25" s="85"/>
      <c r="N25" s="85"/>
      <c r="O25" s="85"/>
      <c r="P25" s="48">
        <f>SUM(compras_mes5[[#This Row],[NETO GRAVADO]:[Otros / No Grav.]])</f>
        <v>4000.0059000000001</v>
      </c>
      <c r="Q25" s="49">
        <f>IFERROR(IF(compras_mes5[[#This Row],[CUIT]]="","-",VLOOKUP(compras_mes5[[#This Row],[CUIT]],Lista_CUIT[#All],3,0)),"CUIT NO CARGADO")</f>
        <v>0</v>
      </c>
      <c r="R25" s="49">
        <f>IFERROR(IF(compras_mes5[[#This Row],[CUIT]]="","-",VLOOKUP(compras_mes5[[#This Row],[CUIT]],Lista_CUIT[#All],4,0)),"CUIT NO CARGADO")</f>
        <v>0</v>
      </c>
    </row>
    <row r="26" spans="2:18" x14ac:dyDescent="0.3">
      <c r="B26" s="218">
        <v>45149</v>
      </c>
      <c r="C26" s="226">
        <v>1</v>
      </c>
      <c r="D26" s="219">
        <v>4</v>
      </c>
      <c r="E26" s="220">
        <v>2387</v>
      </c>
      <c r="F26" s="221">
        <v>30714977152</v>
      </c>
      <c r="G26" s="222" t="str">
        <f>IFERROR(IF(compras_mes5[[#This Row],[CUIT]]="","-",VLOOKUP(compras_mes5[[#This Row],[CUIT]],Lista_CUIT[#All],2,0)),"CUIT NO CARGADO")</f>
        <v>ALFEST S.R.L.</v>
      </c>
      <c r="H26" s="223">
        <v>1404.96</v>
      </c>
      <c r="I26" s="215">
        <f>IF(compras_mes5[[#This Row],[NETO GRAVADO]]="","",compras_mes5[[#This Row],[NETO GRAVADO]]*0.21)</f>
        <v>295.04160000000002</v>
      </c>
      <c r="J26" s="215"/>
      <c r="K26" s="215"/>
      <c r="L26" s="215"/>
      <c r="M26" s="215"/>
      <c r="N26" s="215"/>
      <c r="O26" s="215"/>
      <c r="P26" s="224">
        <f>SUM(compras_mes5[[#This Row],[NETO GRAVADO]:[Otros / No Grav.]])</f>
        <v>1700.0016000000001</v>
      </c>
      <c r="Q26" s="225">
        <f>IFERROR(IF(compras_mes5[[#This Row],[CUIT]]="","-",VLOOKUP(compras_mes5[[#This Row],[CUIT]],Lista_CUIT[#All],3,0)),"CUIT NO CARGADO")</f>
        <v>0</v>
      </c>
      <c r="R26" s="225">
        <f>IFERROR(IF(compras_mes5[[#This Row],[CUIT]]="","-",VLOOKUP(compras_mes5[[#This Row],[CUIT]],Lista_CUIT[#All],4,0)),"CUIT NO CARGADO")</f>
        <v>0</v>
      </c>
    </row>
    <row r="27" spans="2:18" x14ac:dyDescent="0.3">
      <c r="B27" s="40">
        <v>45149</v>
      </c>
      <c r="C27" s="41">
        <v>1</v>
      </c>
      <c r="D27" s="42">
        <v>17</v>
      </c>
      <c r="E27" s="43">
        <v>6194</v>
      </c>
      <c r="F27" s="44">
        <v>30633765827</v>
      </c>
      <c r="G27" s="45" t="str">
        <f>IFERROR(IF(compras_mes5[[#This Row],[CUIT]]="","-",VLOOKUP(compras_mes5[[#This Row],[CUIT]],Lista_CUIT[#All],2,0)),"CUIT NO CARGADO")</f>
        <v>ALGABO SA</v>
      </c>
      <c r="H27" s="46">
        <v>403.51</v>
      </c>
      <c r="I27" s="85">
        <f>IF(compras_mes5[[#This Row],[NETO GRAVADO]]="","",compras_mes5[[#This Row],[NETO GRAVADO]]*0.21)</f>
        <v>84.737099999999998</v>
      </c>
      <c r="J27" s="85"/>
      <c r="K27" s="85"/>
      <c r="L27" s="85"/>
      <c r="M27" s="85"/>
      <c r="N27" s="85"/>
      <c r="O27" s="85"/>
      <c r="P27" s="48">
        <f>SUM(compras_mes5[[#This Row],[NETO GRAVADO]:[Otros / No Grav.]])</f>
        <v>488.24709999999999</v>
      </c>
      <c r="Q27" s="49">
        <f>IFERROR(IF(compras_mes5[[#This Row],[CUIT]]="","-",VLOOKUP(compras_mes5[[#This Row],[CUIT]],Lista_CUIT[#All],3,0)),"CUIT NO CARGADO")</f>
        <v>0</v>
      </c>
      <c r="R27" s="49">
        <f>IFERROR(IF(compras_mes5[[#This Row],[CUIT]]="","-",VLOOKUP(compras_mes5[[#This Row],[CUIT]],Lista_CUIT[#All],4,0)),"CUIT NO CARGADO")</f>
        <v>0</v>
      </c>
    </row>
    <row r="28" spans="2:18" x14ac:dyDescent="0.3">
      <c r="B28" s="218">
        <v>45149</v>
      </c>
      <c r="C28" s="226">
        <v>1</v>
      </c>
      <c r="D28" s="219">
        <v>2466</v>
      </c>
      <c r="E28" s="220">
        <v>543211</v>
      </c>
      <c r="F28" s="221">
        <v>30678814357</v>
      </c>
      <c r="G28" s="222" t="str">
        <f>IFERROR(IF(compras_mes5[[#This Row],[CUIT]]="","-",VLOOKUP(compras_mes5[[#This Row],[CUIT]],Lista_CUIT[#All],2,0)),"CUIT NO CARGADO")</f>
        <v>TELEFONICA MOVILES ARG</v>
      </c>
      <c r="H28" s="223">
        <v>4850</v>
      </c>
      <c r="I28" s="215"/>
      <c r="J28" s="215">
        <f>compras_mes5[[#This Row],[NETO GRAVADO]]*0.27</f>
        <v>1309.5</v>
      </c>
      <c r="K28" s="215"/>
      <c r="L28" s="215">
        <v>145.5</v>
      </c>
      <c r="M28" s="215"/>
      <c r="N28" s="215"/>
      <c r="O28" s="215">
        <v>255.26</v>
      </c>
      <c r="P28" s="224">
        <f>SUM(compras_mes5[[#This Row],[NETO GRAVADO]:[Otros / No Grav.]])</f>
        <v>6560.26</v>
      </c>
      <c r="Q28" s="225" t="str">
        <f>IFERROR(IF(compras_mes5[[#This Row],[CUIT]]="","-",VLOOKUP(compras_mes5[[#This Row],[CUIT]],Lista_CUIT[#All],3,0)),"CUIT NO CARGADO")</f>
        <v>SERVICIOS</v>
      </c>
      <c r="R28" s="225">
        <f>IFERROR(IF(compras_mes5[[#This Row],[CUIT]]="","-",VLOOKUP(compras_mes5[[#This Row],[CUIT]],Lista_CUIT[#All],4,0)),"CUIT NO CARGADO")</f>
        <v>0</v>
      </c>
    </row>
    <row r="29" spans="2:18" x14ac:dyDescent="0.3">
      <c r="B29" s="40">
        <v>45151</v>
      </c>
      <c r="C29" s="41">
        <v>1</v>
      </c>
      <c r="D29" s="42">
        <v>2</v>
      </c>
      <c r="E29" s="43">
        <v>180</v>
      </c>
      <c r="F29" s="44">
        <v>20125142851</v>
      </c>
      <c r="G29" s="45" t="str">
        <f>IFERROR(IF(compras_mes5[[#This Row],[CUIT]]="","-",VLOOKUP(compras_mes5[[#This Row],[CUIT]],Lista_CUIT[#All],2,0)),"CUIT NO CARGADO")</f>
        <v>FEDERICI NICOLAS JOSE</v>
      </c>
      <c r="H29" s="46">
        <v>83474.8</v>
      </c>
      <c r="I29" s="85">
        <f>IF(compras_mes5[[#This Row],[NETO GRAVADO]]="","",compras_mes5[[#This Row],[NETO GRAVADO]]*0.21)</f>
        <v>17529.707999999999</v>
      </c>
      <c r="J29" s="85"/>
      <c r="K29" s="85"/>
      <c r="L29" s="85"/>
      <c r="M29" s="85"/>
      <c r="N29" s="85"/>
      <c r="O29" s="85"/>
      <c r="P29" s="48">
        <f>SUM(compras_mes5[[#This Row],[NETO GRAVADO]:[Otros / No Grav.]])</f>
        <v>101004.508</v>
      </c>
      <c r="Q29" s="49" t="str">
        <f>IFERROR(IF(compras_mes5[[#This Row],[CUIT]]="","-",VLOOKUP(compras_mes5[[#This Row],[CUIT]],Lista_CUIT[#All],3,0)),"CUIT NO CARGADO")</f>
        <v>INSUMO</v>
      </c>
      <c r="R29" s="49">
        <f>IFERROR(IF(compras_mes5[[#This Row],[CUIT]]="","-",VLOOKUP(compras_mes5[[#This Row],[CUIT]],Lista_CUIT[#All],4,0)),"CUIT NO CARGADO")</f>
        <v>0</v>
      </c>
    </row>
    <row r="30" spans="2:18" x14ac:dyDescent="0.3">
      <c r="B30" s="89">
        <v>45151</v>
      </c>
      <c r="C30" s="90">
        <v>1</v>
      </c>
      <c r="D30" s="91">
        <v>2</v>
      </c>
      <c r="E30" s="92">
        <v>181</v>
      </c>
      <c r="F30" s="93">
        <v>20125142851</v>
      </c>
      <c r="G30" s="94" t="str">
        <f>IFERROR(IF(compras_mes5[[#This Row],[CUIT]]="","-",VLOOKUP(compras_mes5[[#This Row],[CUIT]],Lista_CUIT[#All],2,0)),"CUIT NO CARGADO")</f>
        <v>FEDERICI NICOLAS JOSE</v>
      </c>
      <c r="H30" s="95">
        <v>118849.5</v>
      </c>
      <c r="I30" s="86">
        <f>IF(compras_mes5[[#This Row],[NETO GRAVADO]]="","",compras_mes5[[#This Row],[NETO GRAVADO]]*0.21)</f>
        <v>24958.395</v>
      </c>
      <c r="J30" s="86"/>
      <c r="K30" s="86"/>
      <c r="L30" s="86"/>
      <c r="M30" s="86"/>
      <c r="N30" s="86"/>
      <c r="O30" s="86"/>
      <c r="P30" s="87">
        <f>SUM(compras_mes5[[#This Row],[NETO GRAVADO]:[Otros / No Grav.]])</f>
        <v>143807.89499999999</v>
      </c>
      <c r="Q30" s="88" t="str">
        <f>IFERROR(IF(compras_mes5[[#This Row],[CUIT]]="","-",VLOOKUP(compras_mes5[[#This Row],[CUIT]],Lista_CUIT[#All],3,0)),"CUIT NO CARGADO")</f>
        <v>INSUMO</v>
      </c>
      <c r="R30" s="88">
        <f>IFERROR(IF(compras_mes5[[#This Row],[CUIT]]="","-",VLOOKUP(compras_mes5[[#This Row],[CUIT]],Lista_CUIT[#All],4,0)),"CUIT NO CARGADO")</f>
        <v>0</v>
      </c>
    </row>
    <row r="31" spans="2:18" x14ac:dyDescent="0.3">
      <c r="B31" s="40">
        <v>45152</v>
      </c>
      <c r="C31" s="41">
        <v>1</v>
      </c>
      <c r="D31" s="42">
        <v>6</v>
      </c>
      <c r="E31" s="43">
        <v>2697</v>
      </c>
      <c r="F31" s="44">
        <v>30715216368</v>
      </c>
      <c r="G31" s="45" t="str">
        <f>IFERROR(IF(compras_mes5[[#This Row],[CUIT]]="","-",VLOOKUP(compras_mes5[[#This Row],[CUIT]],Lista_CUIT[#All],2,0)),"CUIT NO CARGADO")</f>
        <v>MTB A TODO EL PAIS SRL</v>
      </c>
      <c r="H31" s="46">
        <v>20867.77</v>
      </c>
      <c r="I31" s="85">
        <f>IF(compras_mes5[[#This Row],[NETO GRAVADO]]="","",compras_mes5[[#This Row],[NETO GRAVADO]]*0.21)</f>
        <v>4382.2317000000003</v>
      </c>
      <c r="J31" s="85"/>
      <c r="K31" s="85"/>
      <c r="L31" s="85"/>
      <c r="M31" s="85"/>
      <c r="N31" s="85"/>
      <c r="O31" s="85"/>
      <c r="P31" s="48">
        <f>SUM(compras_mes5[[#This Row],[NETO GRAVADO]:[Otros / No Grav.]])</f>
        <v>25250.001700000001</v>
      </c>
      <c r="Q31" s="49">
        <f>IFERROR(IF(compras_mes5[[#This Row],[CUIT]]="","-",VLOOKUP(compras_mes5[[#This Row],[CUIT]],Lista_CUIT[#All],3,0)),"CUIT NO CARGADO")</f>
        <v>0</v>
      </c>
      <c r="R31" s="49">
        <f>IFERROR(IF(compras_mes5[[#This Row],[CUIT]]="","-",VLOOKUP(compras_mes5[[#This Row],[CUIT]],Lista_CUIT[#All],4,0)),"CUIT NO CARGADO")</f>
        <v>0</v>
      </c>
    </row>
    <row r="32" spans="2:18" x14ac:dyDescent="0.3">
      <c r="B32" s="152">
        <v>45155</v>
      </c>
      <c r="C32" s="164">
        <v>1</v>
      </c>
      <c r="D32" s="153">
        <v>7</v>
      </c>
      <c r="E32" s="154">
        <v>4005</v>
      </c>
      <c r="F32" s="155">
        <v>20278028810</v>
      </c>
      <c r="G32" s="156" t="str">
        <f>IFERROR(IF(compras_mes5[[#This Row],[CUIT]]="","-",VLOOKUP(compras_mes5[[#This Row],[CUIT]],Lista_CUIT[#All],2,0)),"CUIT NO CARGADO")</f>
        <v>PONCE JUAN MANUEL</v>
      </c>
      <c r="H32" s="157">
        <v>2107.44</v>
      </c>
      <c r="I32" s="158">
        <f>IF(compras_mes5[[#This Row],[NETO GRAVADO]]="","",compras_mes5[[#This Row],[NETO GRAVADO]]*0.21)</f>
        <v>442.56239999999997</v>
      </c>
      <c r="J32" s="158"/>
      <c r="K32" s="158"/>
      <c r="L32" s="158"/>
      <c r="M32" s="158"/>
      <c r="N32" s="158"/>
      <c r="O32" s="158"/>
      <c r="P32" s="159">
        <f>SUM(compras_mes5[[#This Row],[NETO GRAVADO]:[Otros / No Grav.]])</f>
        <v>2550.0023999999999</v>
      </c>
      <c r="Q32" s="160" t="str">
        <f>IFERROR(IF(compras_mes5[[#This Row],[CUIT]]="","-",VLOOKUP(compras_mes5[[#This Row],[CUIT]],Lista_CUIT[#All],3,0)),"CUIT NO CARGADO")</f>
        <v>Gastos Varios</v>
      </c>
      <c r="R32" s="160">
        <f>IFERROR(IF(compras_mes5[[#This Row],[CUIT]]="","-",VLOOKUP(compras_mes5[[#This Row],[CUIT]],Lista_CUIT[#All],4,0)),"CUIT NO CARGADO")</f>
        <v>0</v>
      </c>
    </row>
    <row r="33" spans="2:18" x14ac:dyDescent="0.3">
      <c r="B33" s="152">
        <v>45155</v>
      </c>
      <c r="C33" s="164">
        <v>1</v>
      </c>
      <c r="D33" s="153">
        <v>31</v>
      </c>
      <c r="E33" s="154">
        <v>21580</v>
      </c>
      <c r="F33" s="155">
        <v>30715209833</v>
      </c>
      <c r="G33" s="156" t="str">
        <f>IFERROR(IF(compras_mes5[[#This Row],[CUIT]]="","-",VLOOKUP(compras_mes5[[#This Row],[CUIT]],Lista_CUIT[#All],2,0)),"CUIT NO CARGADO")</f>
        <v>GIFEL SRL</v>
      </c>
      <c r="H33" s="157">
        <v>14909.09</v>
      </c>
      <c r="I33" s="158">
        <f>IF(compras_mes5[[#This Row],[NETO GRAVADO]]="","",compras_mes5[[#This Row],[NETO GRAVADO]]*0.21)</f>
        <v>3130.9088999999999</v>
      </c>
      <c r="J33" s="158"/>
      <c r="K33" s="158"/>
      <c r="L33" s="158"/>
      <c r="M33" s="158"/>
      <c r="N33" s="158"/>
      <c r="O33" s="158"/>
      <c r="P33" s="159">
        <f>SUM(compras_mes5[[#This Row],[NETO GRAVADO]:[Otros / No Grav.]])</f>
        <v>18039.998899999999</v>
      </c>
      <c r="Q33" s="160">
        <f>IFERROR(IF(compras_mes5[[#This Row],[CUIT]]="","-",VLOOKUP(compras_mes5[[#This Row],[CUIT]],Lista_CUIT[#All],3,0)),"CUIT NO CARGADO")</f>
        <v>0</v>
      </c>
      <c r="R33" s="160">
        <f>IFERROR(IF(compras_mes5[[#This Row],[CUIT]]="","-",VLOOKUP(compras_mes5[[#This Row],[CUIT]],Lista_CUIT[#All],4,0)),"CUIT NO CARGADO")</f>
        <v>0</v>
      </c>
    </row>
    <row r="34" spans="2:18" s="56" customFormat="1" x14ac:dyDescent="0.3">
      <c r="B34" s="218">
        <v>45156</v>
      </c>
      <c r="C34" s="226">
        <v>1</v>
      </c>
      <c r="D34" s="219">
        <v>3</v>
      </c>
      <c r="E34" s="220">
        <v>410</v>
      </c>
      <c r="F34" s="221">
        <v>30699144327</v>
      </c>
      <c r="G34" s="222" t="str">
        <f>IFERROR(IF(compras_mes5[[#This Row],[CUIT]]="","-",VLOOKUP(compras_mes5[[#This Row],[CUIT]],Lista_CUIT[#All],2,0)),"CUIT NO CARGADO")</f>
        <v>CONVERTI HNOS  S R L</v>
      </c>
      <c r="H34" s="223">
        <v>4093</v>
      </c>
      <c r="I34" s="215">
        <f>IF(compras_mes5[[#This Row],[NETO GRAVADO]]="","",compras_mes5[[#This Row],[NETO GRAVADO]]*0.21)</f>
        <v>859.53</v>
      </c>
      <c r="J34" s="215"/>
      <c r="K34" s="215"/>
      <c r="L34" s="215"/>
      <c r="M34" s="215"/>
      <c r="N34" s="215"/>
      <c r="O34" s="215"/>
      <c r="P34" s="224">
        <f>SUM(compras_mes5[[#This Row],[NETO GRAVADO]:[Otros / No Grav.]])</f>
        <v>4952.53</v>
      </c>
      <c r="Q34" s="225">
        <f>IFERROR(IF(compras_mes5[[#This Row],[CUIT]]="","-",VLOOKUP(compras_mes5[[#This Row],[CUIT]],Lista_CUIT[#All],3,0)),"CUIT NO CARGADO")</f>
        <v>0</v>
      </c>
      <c r="R34" s="225">
        <f>IFERROR(IF(compras_mes5[[#This Row],[CUIT]]="","-",VLOOKUP(compras_mes5[[#This Row],[CUIT]],Lista_CUIT[#All],4,0)),"CUIT NO CARGADO")</f>
        <v>0</v>
      </c>
    </row>
    <row r="35" spans="2:18" x14ac:dyDescent="0.3">
      <c r="B35" s="152">
        <v>45156</v>
      </c>
      <c r="C35" s="164">
        <v>1</v>
      </c>
      <c r="D35" s="153">
        <v>15</v>
      </c>
      <c r="E35" s="154">
        <v>2471</v>
      </c>
      <c r="F35" s="155">
        <v>30708003316</v>
      </c>
      <c r="G35" s="156" t="str">
        <f>IFERROR(IF(compras_mes5[[#This Row],[CUIT]]="","-",VLOOKUP(compras_mes5[[#This Row],[CUIT]],Lista_CUIT[#All],2,0)),"CUIT NO CARGADO")</f>
        <v>LOMIR SA</v>
      </c>
      <c r="H35" s="157">
        <v>14541.5</v>
      </c>
      <c r="I35" s="158">
        <f>IF(compras_mes5[[#This Row],[NETO GRAVADO]]="","",compras_mes5[[#This Row],[NETO GRAVADO]]*0.21)</f>
        <v>3053.7149999999997</v>
      </c>
      <c r="J35" s="158"/>
      <c r="K35" s="158"/>
      <c r="L35" s="158"/>
      <c r="M35" s="158"/>
      <c r="N35" s="158"/>
      <c r="O35" s="158"/>
      <c r="P35" s="159">
        <f>SUM(compras_mes5[[#This Row],[NETO GRAVADO]:[Otros / No Grav.]])</f>
        <v>17595.215</v>
      </c>
      <c r="Q35" s="160">
        <f>IFERROR(IF(compras_mes5[[#This Row],[CUIT]]="","-",VLOOKUP(compras_mes5[[#This Row],[CUIT]],Lista_CUIT[#All],3,0)),"CUIT NO CARGADO")</f>
        <v>0</v>
      </c>
      <c r="R35" s="160">
        <f>IFERROR(IF(compras_mes5[[#This Row],[CUIT]]="","-",VLOOKUP(compras_mes5[[#This Row],[CUIT]],Lista_CUIT[#All],4,0)),"CUIT NO CARGADO")</f>
        <v>0</v>
      </c>
    </row>
    <row r="36" spans="2:18" x14ac:dyDescent="0.3">
      <c r="B36" s="218">
        <v>45156</v>
      </c>
      <c r="C36" s="226">
        <v>1</v>
      </c>
      <c r="D36" s="219">
        <v>9</v>
      </c>
      <c r="E36" s="220">
        <v>3241</v>
      </c>
      <c r="F36" s="221">
        <v>30709953482</v>
      </c>
      <c r="G36" s="222" t="str">
        <f>IFERROR(IF(compras_mes5[[#This Row],[CUIT]]="","-",VLOOKUP(compras_mes5[[#This Row],[CUIT]],Lista_CUIT[#All],2,0)),"CUIT NO CARGADO")</f>
        <v>HONRE S.A</v>
      </c>
      <c r="H36" s="223">
        <v>9139.93</v>
      </c>
      <c r="I36" s="215">
        <f>IF(compras_mes5[[#This Row],[NETO GRAVADO]]="","",compras_mes5[[#This Row],[NETO GRAVADO]]*0.21)</f>
        <v>1919.3852999999999</v>
      </c>
      <c r="J36" s="215"/>
      <c r="K36" s="215"/>
      <c r="L36" s="215"/>
      <c r="M36" s="215"/>
      <c r="N36" s="215"/>
      <c r="O36" s="215"/>
      <c r="P36" s="224">
        <f>SUM(compras_mes5[[#This Row],[NETO GRAVADO]:[Otros / No Grav.]])</f>
        <v>11059.3153</v>
      </c>
      <c r="Q36" s="225" t="str">
        <f>IFERROR(IF(compras_mes5[[#This Row],[CUIT]]="","-",VLOOKUP(compras_mes5[[#This Row],[CUIT]],Lista_CUIT[#All],3,0)),"CUIT NO CARGADO")</f>
        <v>Gastos Varios</v>
      </c>
      <c r="R36" s="225">
        <f>IFERROR(IF(compras_mes5[[#This Row],[CUIT]]="","-",VLOOKUP(compras_mes5[[#This Row],[CUIT]],Lista_CUIT[#All],4,0)),"CUIT NO CARGADO")</f>
        <v>0</v>
      </c>
    </row>
    <row r="37" spans="2:18" x14ac:dyDescent="0.3">
      <c r="B37" s="218">
        <v>45156</v>
      </c>
      <c r="C37" s="226">
        <v>1</v>
      </c>
      <c r="D37" s="219">
        <v>8</v>
      </c>
      <c r="E37" s="220">
        <v>9591</v>
      </c>
      <c r="F37" s="221">
        <v>30709953482</v>
      </c>
      <c r="G37" s="222" t="str">
        <f>IFERROR(IF(compras_mes5[[#This Row],[CUIT]]="","-",VLOOKUP(compras_mes5[[#This Row],[CUIT]],Lista_CUIT[#All],2,0)),"CUIT NO CARGADO")</f>
        <v>HONRE S.A</v>
      </c>
      <c r="H37" s="223">
        <v>2958.47</v>
      </c>
      <c r="I37" s="215">
        <f>IF(compras_mes5[[#This Row],[NETO GRAVADO]]="","",compras_mes5[[#This Row],[NETO GRAVADO]]*0.21)</f>
        <v>621.27869999999996</v>
      </c>
      <c r="J37" s="215"/>
      <c r="K37" s="215"/>
      <c r="L37" s="215"/>
      <c r="M37" s="215"/>
      <c r="N37" s="215"/>
      <c r="O37" s="215"/>
      <c r="P37" s="224">
        <f>SUM(compras_mes5[[#This Row],[NETO GRAVADO]:[Otros / No Grav.]])</f>
        <v>3579.7486999999996</v>
      </c>
      <c r="Q37" s="225" t="str">
        <f>IFERROR(IF(compras_mes5[[#This Row],[CUIT]]="","-",VLOOKUP(compras_mes5[[#This Row],[CUIT]],Lista_CUIT[#All],3,0)),"CUIT NO CARGADO")</f>
        <v>Gastos Varios</v>
      </c>
      <c r="R37" s="225">
        <f>IFERROR(IF(compras_mes5[[#This Row],[CUIT]]="","-",VLOOKUP(compras_mes5[[#This Row],[CUIT]],Lista_CUIT[#All],4,0)),"CUIT NO CARGADO")</f>
        <v>0</v>
      </c>
    </row>
    <row r="38" spans="2:18" ht="14.4" customHeight="1" x14ac:dyDescent="0.3">
      <c r="B38" s="152">
        <v>45156</v>
      </c>
      <c r="C38" s="164">
        <v>1</v>
      </c>
      <c r="D38" s="153">
        <v>5</v>
      </c>
      <c r="E38" s="154">
        <v>60015</v>
      </c>
      <c r="F38" s="155">
        <v>23957768849</v>
      </c>
      <c r="G38" s="156" t="str">
        <f>IFERROR(IF(compras_mes5[[#This Row],[CUIT]]="","-",VLOOKUP(compras_mes5[[#This Row],[CUIT]],Lista_CUIT[#All],2,0)),"CUIT NO CARGADO")</f>
        <v>FRANCISCO JAVIER LEAL FUENTES</v>
      </c>
      <c r="H38" s="157">
        <v>2160.3200000000002</v>
      </c>
      <c r="I38" s="158">
        <f>IF(compras_mes5[[#This Row],[NETO GRAVADO]]="","",compras_mes5[[#This Row],[NETO GRAVADO]]*0.21)</f>
        <v>453.66720000000004</v>
      </c>
      <c r="J38" s="158"/>
      <c r="K38" s="158"/>
      <c r="L38" s="158"/>
      <c r="M38" s="158"/>
      <c r="N38" s="158"/>
      <c r="O38" s="158"/>
      <c r="P38" s="159">
        <f>SUM(compras_mes5[[#This Row],[NETO GRAVADO]:[Otros / No Grav.]])</f>
        <v>2613.9872</v>
      </c>
      <c r="Q38" s="160">
        <f>IFERROR(IF(compras_mes5[[#This Row],[CUIT]]="","-",VLOOKUP(compras_mes5[[#This Row],[CUIT]],Lista_CUIT[#All],3,0)),"CUIT NO CARGADO")</f>
        <v>0</v>
      </c>
      <c r="R38" s="160">
        <f>IFERROR(IF(compras_mes5[[#This Row],[CUIT]]="","-",VLOOKUP(compras_mes5[[#This Row],[CUIT]],Lista_CUIT[#All],4,0)),"CUIT NO CARGADO")</f>
        <v>0</v>
      </c>
    </row>
    <row r="39" spans="2:18" x14ac:dyDescent="0.3">
      <c r="B39" s="218">
        <v>45158</v>
      </c>
      <c r="C39" s="226">
        <v>1</v>
      </c>
      <c r="D39" s="219">
        <v>3</v>
      </c>
      <c r="E39" s="220">
        <v>1589832</v>
      </c>
      <c r="F39" s="221">
        <v>30712019359</v>
      </c>
      <c r="G39" s="222" t="str">
        <f>IFERROR(IF(compras_mes5[[#This Row],[CUIT]]="","-",VLOOKUP(compras_mes5[[#This Row],[CUIT]],Lista_CUIT[#All],2,0)),"CUIT NO CARGADO")</f>
        <v>LINKEDSTORE ARGENTINA S.R.L.</v>
      </c>
      <c r="H39" s="223">
        <v>8759.5</v>
      </c>
      <c r="I39" s="215">
        <f>IF(compras_mes5[[#This Row],[NETO GRAVADO]]="","",compras_mes5[[#This Row],[NETO GRAVADO]]*0.21)</f>
        <v>1839.4949999999999</v>
      </c>
      <c r="J39" s="215"/>
      <c r="K39" s="215"/>
      <c r="L39" s="215"/>
      <c r="M39" s="215"/>
      <c r="N39" s="215"/>
      <c r="O39" s="215"/>
      <c r="P39" s="224">
        <f>SUM(compras_mes5[[#This Row],[NETO GRAVADO]:[Otros / No Grav.]])</f>
        <v>10598.994999999999</v>
      </c>
      <c r="Q39" s="225" t="str">
        <f>IFERROR(IF(compras_mes5[[#This Row],[CUIT]]="","-",VLOOKUP(compras_mes5[[#This Row],[CUIT]],Lista_CUIT[#All],3,0)),"CUIT NO CARGADO")</f>
        <v>Gastos Varios</v>
      </c>
      <c r="R39" s="225">
        <f>IFERROR(IF(compras_mes5[[#This Row],[CUIT]]="","-",VLOOKUP(compras_mes5[[#This Row],[CUIT]],Lista_CUIT[#All],4,0)),"CUIT NO CARGADO")</f>
        <v>0</v>
      </c>
    </row>
    <row r="40" spans="2:18" x14ac:dyDescent="0.3">
      <c r="B40" s="152">
        <v>45159</v>
      </c>
      <c r="C40" s="164">
        <v>1</v>
      </c>
      <c r="D40" s="153">
        <v>2</v>
      </c>
      <c r="E40" s="154">
        <v>182</v>
      </c>
      <c r="F40" s="155">
        <v>20125142851</v>
      </c>
      <c r="G40" s="156" t="str">
        <f>IFERROR(IF(compras_mes5[[#This Row],[CUIT]]="","-",VLOOKUP(compras_mes5[[#This Row],[CUIT]],Lista_CUIT[#All],2,0)),"CUIT NO CARGADO")</f>
        <v>FEDERICI NICOLAS JOSE</v>
      </c>
      <c r="H40" s="157">
        <v>66779.839999999997</v>
      </c>
      <c r="I40" s="158">
        <f>IF(compras_mes5[[#This Row],[NETO GRAVADO]]="","",compras_mes5[[#This Row],[NETO GRAVADO]]*0.21)</f>
        <v>14023.766399999999</v>
      </c>
      <c r="J40" s="158"/>
      <c r="K40" s="158"/>
      <c r="L40" s="158"/>
      <c r="M40" s="158"/>
      <c r="N40" s="158"/>
      <c r="O40" s="158"/>
      <c r="P40" s="159">
        <f>SUM(compras_mes5[[#This Row],[NETO GRAVADO]:[Otros / No Grav.]])</f>
        <v>80803.60639999999</v>
      </c>
      <c r="Q40" s="160" t="str">
        <f>IFERROR(IF(compras_mes5[[#This Row],[CUIT]]="","-",VLOOKUP(compras_mes5[[#This Row],[CUIT]],Lista_CUIT[#All],3,0)),"CUIT NO CARGADO")</f>
        <v>INSUMO</v>
      </c>
      <c r="R40" s="160">
        <f>IFERROR(IF(compras_mes5[[#This Row],[CUIT]]="","-",VLOOKUP(compras_mes5[[#This Row],[CUIT]],Lista_CUIT[#All],4,0)),"CUIT NO CARGADO")</f>
        <v>0</v>
      </c>
    </row>
    <row r="41" spans="2:18" x14ac:dyDescent="0.3">
      <c r="B41" s="152">
        <v>45159</v>
      </c>
      <c r="C41" s="164">
        <v>1</v>
      </c>
      <c r="D41" s="153">
        <v>2</v>
      </c>
      <c r="E41" s="154">
        <v>183</v>
      </c>
      <c r="F41" s="155">
        <v>20125142851</v>
      </c>
      <c r="G41" s="156" t="str">
        <f>IFERROR(IF(compras_mes5[[#This Row],[CUIT]]="","-",VLOOKUP(compras_mes5[[#This Row],[CUIT]],Lista_CUIT[#All],2,0)),"CUIT NO CARGADO")</f>
        <v>FEDERICI NICOLAS JOSE</v>
      </c>
      <c r="H41" s="157">
        <v>116341.75999999999</v>
      </c>
      <c r="I41" s="158">
        <f>IF(compras_mes5[[#This Row],[NETO GRAVADO]]="","",compras_mes5[[#This Row],[NETO GRAVADO]]*0.21)</f>
        <v>24431.7696</v>
      </c>
      <c r="J41" s="158"/>
      <c r="K41" s="158"/>
      <c r="L41" s="158"/>
      <c r="M41" s="158"/>
      <c r="N41" s="158"/>
      <c r="O41" s="158"/>
      <c r="P41" s="159">
        <f>SUM(compras_mes5[[#This Row],[NETO GRAVADO]:[Otros / No Grav.]])</f>
        <v>140773.52960000001</v>
      </c>
      <c r="Q41" s="160" t="str">
        <f>IFERROR(IF(compras_mes5[[#This Row],[CUIT]]="","-",VLOOKUP(compras_mes5[[#This Row],[CUIT]],Lista_CUIT[#All],3,0)),"CUIT NO CARGADO")</f>
        <v>INSUMO</v>
      </c>
      <c r="R41" s="160">
        <f>IFERROR(IF(compras_mes5[[#This Row],[CUIT]]="","-",VLOOKUP(compras_mes5[[#This Row],[CUIT]],Lista_CUIT[#All],4,0)),"CUIT NO CARGADO")</f>
        <v>0</v>
      </c>
    </row>
    <row r="42" spans="2:18" ht="14.4" customHeight="1" x14ac:dyDescent="0.3">
      <c r="B42" s="152">
        <v>45161</v>
      </c>
      <c r="C42" s="164">
        <v>1</v>
      </c>
      <c r="D42" s="153">
        <v>10</v>
      </c>
      <c r="E42" s="154">
        <v>2161</v>
      </c>
      <c r="F42" s="155">
        <v>20357275882</v>
      </c>
      <c r="G42" s="156" t="str">
        <f>IFERROR(IF(compras_mes5[[#This Row],[CUIT]]="","-",VLOOKUP(compras_mes5[[#This Row],[CUIT]],Lista_CUIT[#All],2,0)),"CUIT NO CARGADO")</f>
        <v>LAVADERO BLANCANIEVES</v>
      </c>
      <c r="H42" s="157">
        <v>7766.12</v>
      </c>
      <c r="I42" s="158">
        <f>IF(compras_mes5[[#This Row],[NETO GRAVADO]]="","",compras_mes5[[#This Row],[NETO GRAVADO]]*0.21)</f>
        <v>1630.8851999999999</v>
      </c>
      <c r="J42" s="158"/>
      <c r="K42" s="158"/>
      <c r="L42" s="158"/>
      <c r="M42" s="158"/>
      <c r="N42" s="158"/>
      <c r="O42" s="158"/>
      <c r="P42" s="159">
        <f>SUM(compras_mes5[[#This Row],[NETO GRAVADO]:[Otros / No Grav.]])</f>
        <v>9397.0051999999996</v>
      </c>
      <c r="Q42" s="160">
        <f>IFERROR(IF(compras_mes5[[#This Row],[CUIT]]="","-",VLOOKUP(compras_mes5[[#This Row],[CUIT]],Lista_CUIT[#All],3,0)),"CUIT NO CARGADO")</f>
        <v>0</v>
      </c>
      <c r="R42" s="160">
        <f>IFERROR(IF(compras_mes5[[#This Row],[CUIT]]="","-",VLOOKUP(compras_mes5[[#This Row],[CUIT]],Lista_CUIT[#All],4,0)),"CUIT NO CARGADO")</f>
        <v>0</v>
      </c>
    </row>
    <row r="43" spans="2:18" x14ac:dyDescent="0.3">
      <c r="B43" s="152">
        <v>45161</v>
      </c>
      <c r="C43" s="164">
        <v>1</v>
      </c>
      <c r="D43" s="153">
        <v>1</v>
      </c>
      <c r="E43" s="154">
        <v>3222</v>
      </c>
      <c r="F43" s="155">
        <v>30716831198</v>
      </c>
      <c r="G43" s="156" t="str">
        <f>IFERROR(IF(compras_mes5[[#This Row],[CUIT]]="","-",VLOOKUP(compras_mes5[[#This Row],[CUIT]],Lista_CUIT[#All],2,0)),"CUIT NO CARGADO")</f>
        <v>PINTURERIAS YANINA SA</v>
      </c>
      <c r="H43" s="157">
        <v>15799.5</v>
      </c>
      <c r="I43" s="158">
        <f>IF(compras_mes5[[#This Row],[NETO GRAVADO]]="","",compras_mes5[[#This Row],[NETO GRAVADO]]*0.21)</f>
        <v>3317.895</v>
      </c>
      <c r="J43" s="158"/>
      <c r="K43" s="158"/>
      <c r="L43" s="158"/>
      <c r="M43" s="158"/>
      <c r="N43" s="158"/>
      <c r="O43" s="158"/>
      <c r="P43" s="159">
        <f>SUM(compras_mes5[[#This Row],[NETO GRAVADO]:[Otros / No Grav.]])</f>
        <v>19117.395</v>
      </c>
      <c r="Q43" s="160">
        <f>IFERROR(IF(compras_mes5[[#This Row],[CUIT]]="","-",VLOOKUP(compras_mes5[[#This Row],[CUIT]],Lista_CUIT[#All],3,0)),"CUIT NO CARGADO")</f>
        <v>0</v>
      </c>
      <c r="R43" s="160">
        <f>IFERROR(IF(compras_mes5[[#This Row],[CUIT]]="","-",VLOOKUP(compras_mes5[[#This Row],[CUIT]],Lista_CUIT[#All],4,0)),"CUIT NO CARGADO")</f>
        <v>0</v>
      </c>
    </row>
    <row r="44" spans="2:18" x14ac:dyDescent="0.3">
      <c r="B44" s="152">
        <v>45161</v>
      </c>
      <c r="C44" s="164">
        <v>1</v>
      </c>
      <c r="D44" s="153">
        <v>1</v>
      </c>
      <c r="E44" s="154">
        <v>3223</v>
      </c>
      <c r="F44" s="155">
        <v>30716831198</v>
      </c>
      <c r="G44" s="156" t="str">
        <f>IFERROR(IF(compras_mes5[[#This Row],[CUIT]]="","-",VLOOKUP(compras_mes5[[#This Row],[CUIT]],Lista_CUIT[#All],2,0)),"CUIT NO CARGADO")</f>
        <v>PINTURERIAS YANINA SA</v>
      </c>
      <c r="H44" s="157">
        <v>2551.84</v>
      </c>
      <c r="I44" s="158">
        <f>IF(compras_mes5[[#This Row],[NETO GRAVADO]]="","",compras_mes5[[#This Row],[NETO GRAVADO]]*0.21)</f>
        <v>535.88639999999998</v>
      </c>
      <c r="J44" s="158"/>
      <c r="K44" s="158"/>
      <c r="L44" s="158"/>
      <c r="M44" s="158"/>
      <c r="N44" s="158"/>
      <c r="O44" s="158"/>
      <c r="P44" s="159">
        <f>SUM(compras_mes5[[#This Row],[NETO GRAVADO]:[Otros / No Grav.]])</f>
        <v>3087.7264</v>
      </c>
      <c r="Q44" s="160">
        <f>IFERROR(IF(compras_mes5[[#This Row],[CUIT]]="","-",VLOOKUP(compras_mes5[[#This Row],[CUIT]],Lista_CUIT[#All],3,0)),"CUIT NO CARGADO")</f>
        <v>0</v>
      </c>
      <c r="R44" s="160">
        <f>IFERROR(IF(compras_mes5[[#This Row],[CUIT]]="","-",VLOOKUP(compras_mes5[[#This Row],[CUIT]],Lista_CUIT[#All],4,0)),"CUIT NO CARGADO")</f>
        <v>0</v>
      </c>
    </row>
    <row r="45" spans="2:18" x14ac:dyDescent="0.3">
      <c r="B45" s="152">
        <v>45162</v>
      </c>
      <c r="C45" s="164">
        <v>1</v>
      </c>
      <c r="D45" s="153">
        <v>755</v>
      </c>
      <c r="E45" s="154">
        <v>5623</v>
      </c>
      <c r="F45" s="155">
        <v>30580111315</v>
      </c>
      <c r="G45" s="156" t="str">
        <f>IFERROR(IF(compras_mes5[[#This Row],[CUIT]]="","-",VLOOKUP(compras_mes5[[#This Row],[CUIT]],Lista_CUIT[#All],2,0)),"CUIT NO CARGADO")</f>
        <v>DHL EXPRESS (ARGENTINA) S.A.</v>
      </c>
      <c r="H45" s="157"/>
      <c r="I45" s="158" t="str">
        <f>IF(compras_mes5[[#This Row],[NETO GRAVADO]]="","",compras_mes5[[#This Row],[NETO GRAVADO]]*0.21)</f>
        <v/>
      </c>
      <c r="J45" s="158"/>
      <c r="K45" s="158"/>
      <c r="L45" s="158"/>
      <c r="M45" s="158"/>
      <c r="N45" s="158"/>
      <c r="O45" s="157">
        <v>11496.8</v>
      </c>
      <c r="P45" s="159">
        <f>SUM(compras_mes5[[#This Row],[NETO GRAVADO]:[Otros / No Grav.]])</f>
        <v>11496.8</v>
      </c>
      <c r="Q45" s="160" t="str">
        <f>IFERROR(IF(compras_mes5[[#This Row],[CUIT]]="","-",VLOOKUP(compras_mes5[[#This Row],[CUIT]],Lista_CUIT[#All],3,0)),"CUIT NO CARGADO")</f>
        <v>Gtos. Imp.</v>
      </c>
      <c r="R45" s="160">
        <f>IFERROR(IF(compras_mes5[[#This Row],[CUIT]]="","-",VLOOKUP(compras_mes5[[#This Row],[CUIT]],Lista_CUIT[#All],4,0)),"CUIT NO CARGADO")</f>
        <v>0</v>
      </c>
    </row>
    <row r="46" spans="2:18" ht="15" customHeight="1" x14ac:dyDescent="0.3">
      <c r="B46" s="152">
        <v>45162</v>
      </c>
      <c r="C46" s="164">
        <v>1</v>
      </c>
      <c r="D46" s="153">
        <v>5</v>
      </c>
      <c r="E46" s="154">
        <v>6568</v>
      </c>
      <c r="F46" s="155">
        <v>33711557119</v>
      </c>
      <c r="G46" s="156" t="str">
        <f>IFERROR(IF(compras_mes5[[#This Row],[CUIT]]="","-",VLOOKUP(compras_mes5[[#This Row],[CUIT]],Lista_CUIT[#All],2,0)),"CUIT NO CARGADO")</f>
        <v>ELECTROMINGO S.R.L.</v>
      </c>
      <c r="H46" s="157">
        <v>29795.87</v>
      </c>
      <c r="I46" s="158">
        <f>IF(compras_mes5[[#This Row],[NETO GRAVADO]]="","",compras_mes5[[#This Row],[NETO GRAVADO]]*0.21)</f>
        <v>6257.1326999999992</v>
      </c>
      <c r="J46" s="158"/>
      <c r="K46" s="158"/>
      <c r="L46" s="158"/>
      <c r="M46" s="158"/>
      <c r="N46" s="158"/>
      <c r="O46" s="158"/>
      <c r="P46" s="159">
        <f>SUM(compras_mes5[[#This Row],[NETO GRAVADO]:[Otros / No Grav.]])</f>
        <v>36053.002699999997</v>
      </c>
      <c r="Q46" s="160" t="str">
        <f>IFERROR(IF(compras_mes5[[#This Row],[CUIT]]="","-",VLOOKUP(compras_mes5[[#This Row],[CUIT]],Lista_CUIT[#All],3,0)),"CUIT NO CARGADO")</f>
        <v>INSUMO</v>
      </c>
      <c r="R46" s="160" t="str">
        <f>IFERROR(IF(compras_mes5[[#This Row],[CUIT]]="","-",VLOOKUP(compras_mes5[[#This Row],[CUIT]],Lista_CUIT[#All],4,0)),"CUIT NO CARGADO")</f>
        <v>BUENOS AIRES</v>
      </c>
    </row>
    <row r="47" spans="2:18" ht="15" customHeight="1" x14ac:dyDescent="0.3">
      <c r="B47" s="218">
        <v>45162</v>
      </c>
      <c r="C47" s="226">
        <v>1</v>
      </c>
      <c r="D47" s="219">
        <v>5</v>
      </c>
      <c r="E47" s="220">
        <v>28776</v>
      </c>
      <c r="F47" s="221">
        <v>30710571801</v>
      </c>
      <c r="G47" s="222" t="str">
        <f>IFERROR(IF(compras_mes5[[#This Row],[CUIT]]="","-",VLOOKUP(compras_mes5[[#This Row],[CUIT]],Lista_CUIT[#All],2,0)),"CUIT NO CARGADO")</f>
        <v>HOGAR ACTUAL SRL</v>
      </c>
      <c r="H47" s="223">
        <v>19000</v>
      </c>
      <c r="I47" s="215">
        <f>IF(compras_mes5[[#This Row],[NETO GRAVADO]]="","",compras_mes5[[#This Row],[NETO GRAVADO]]*0.21)</f>
        <v>3990</v>
      </c>
      <c r="J47" s="215"/>
      <c r="K47" s="215"/>
      <c r="L47" s="215"/>
      <c r="M47" s="215"/>
      <c r="N47" s="215"/>
      <c r="O47" s="215"/>
      <c r="P47" s="224">
        <f>SUM(compras_mes5[[#This Row],[NETO GRAVADO]:[Otros / No Grav.]])</f>
        <v>22990</v>
      </c>
      <c r="Q47" s="225">
        <f>IFERROR(IF(compras_mes5[[#This Row],[CUIT]]="","-",VLOOKUP(compras_mes5[[#This Row],[CUIT]],Lista_CUIT[#All],3,0)),"CUIT NO CARGADO")</f>
        <v>0</v>
      </c>
      <c r="R47" s="225">
        <f>IFERROR(IF(compras_mes5[[#This Row],[CUIT]]="","-",VLOOKUP(compras_mes5[[#This Row],[CUIT]],Lista_CUIT[#All],4,0)),"CUIT NO CARGADO")</f>
        <v>0</v>
      </c>
    </row>
    <row r="48" spans="2:18" ht="15" customHeight="1" x14ac:dyDescent="0.3">
      <c r="B48" s="218">
        <v>45163</v>
      </c>
      <c r="C48" s="226">
        <v>1</v>
      </c>
      <c r="D48" s="219">
        <v>2</v>
      </c>
      <c r="E48" s="220">
        <v>10703</v>
      </c>
      <c r="F48" s="221">
        <v>30712179909</v>
      </c>
      <c r="G48" s="222" t="str">
        <f>IFERROR(IF(compras_mes5[[#This Row],[CUIT]]="","-",VLOOKUP(compras_mes5[[#This Row],[CUIT]],Lista_CUIT[#All],2,0)),"CUIT NO CARGADO")</f>
        <v>LEPORT SH DE PORTELA JORGE FERNANDO Y LEAL JORGE ANGEL</v>
      </c>
      <c r="H48" s="223">
        <v>167970</v>
      </c>
      <c r="I48" s="215">
        <f>IF(compras_mes5[[#This Row],[NETO GRAVADO]]="","",compras_mes5[[#This Row],[NETO GRAVADO]]*0.21)</f>
        <v>35273.699999999997</v>
      </c>
      <c r="J48" s="215"/>
      <c r="K48" s="215"/>
      <c r="L48" s="215"/>
      <c r="M48" s="215"/>
      <c r="N48" s="215"/>
      <c r="O48" s="215"/>
      <c r="P48" s="224">
        <f>SUM(compras_mes5[[#This Row],[NETO GRAVADO]:[Otros / No Grav.]])</f>
        <v>203243.7</v>
      </c>
      <c r="Q48" s="225" t="str">
        <f>IFERROR(IF(compras_mes5[[#This Row],[CUIT]]="","-",VLOOKUP(compras_mes5[[#This Row],[CUIT]],Lista_CUIT[#All],3,0)),"CUIT NO CARGADO")</f>
        <v>FLETE-LOGISTICA</v>
      </c>
      <c r="R48" s="225">
        <f>IFERROR(IF(compras_mes5[[#This Row],[CUIT]]="","-",VLOOKUP(compras_mes5[[#This Row],[CUIT]],Lista_CUIT[#All],4,0)),"CUIT NO CARGADO")</f>
        <v>0</v>
      </c>
    </row>
    <row r="49" spans="2:18" ht="15" customHeight="1" x14ac:dyDescent="0.3">
      <c r="B49" s="40">
        <v>45166</v>
      </c>
      <c r="C49" s="41">
        <v>1</v>
      </c>
      <c r="D49" s="42">
        <v>5</v>
      </c>
      <c r="E49" s="43">
        <v>2906</v>
      </c>
      <c r="F49" s="44">
        <v>30716006391</v>
      </c>
      <c r="G49" s="45" t="str">
        <f>IFERROR(IF(compras_mes5[[#This Row],[CUIT]]="","-",VLOOKUP(compras_mes5[[#This Row],[CUIT]],Lista_CUIT[#All],2,0)),"CUIT NO CARGADO")</f>
        <v>ALLISING</v>
      </c>
      <c r="H49" s="46">
        <v>10920.66</v>
      </c>
      <c r="I49" s="85">
        <f>IF(compras_mes5[[#This Row],[NETO GRAVADO]]="","",compras_mes5[[#This Row],[NETO GRAVADO]]*0.21)</f>
        <v>2293.3386</v>
      </c>
      <c r="J49" s="85"/>
      <c r="K49" s="85"/>
      <c r="L49" s="85"/>
      <c r="M49" s="85"/>
      <c r="N49" s="85"/>
      <c r="O49" s="85"/>
      <c r="P49" s="48">
        <f>SUM(compras_mes5[[#This Row],[NETO GRAVADO]:[Otros / No Grav.]])</f>
        <v>13213.998599999999</v>
      </c>
      <c r="Q49" s="49">
        <f>IFERROR(IF(compras_mes5[[#This Row],[CUIT]]="","-",VLOOKUP(compras_mes5[[#This Row],[CUIT]],Lista_CUIT[#All],3,0)),"CUIT NO CARGADO")</f>
        <v>0</v>
      </c>
      <c r="R49" s="49">
        <f>IFERROR(IF(compras_mes5[[#This Row],[CUIT]]="","-",VLOOKUP(compras_mes5[[#This Row],[CUIT]],Lista_CUIT[#All],4,0)),"CUIT NO CARGADO")</f>
        <v>0</v>
      </c>
    </row>
    <row r="50" spans="2:18" x14ac:dyDescent="0.3">
      <c r="B50" s="89">
        <v>45166</v>
      </c>
      <c r="C50" s="90">
        <v>1</v>
      </c>
      <c r="D50" s="91">
        <v>2</v>
      </c>
      <c r="E50" s="92">
        <v>91813</v>
      </c>
      <c r="F50" s="93">
        <v>30714928577</v>
      </c>
      <c r="G50" s="94" t="str">
        <f>IFERROR(IF(compras_mes5[[#This Row],[CUIT]]="","-",VLOOKUP(compras_mes5[[#This Row],[CUIT]],Lista_CUIT[#All],2,0)),"CUIT NO CARGADO")</f>
        <v>SIMPLEX VILLI SA</v>
      </c>
      <c r="H50" s="95">
        <v>1096.69</v>
      </c>
      <c r="I50" s="86">
        <f>IF(compras_mes5[[#This Row],[NETO GRAVADO]]="","",compras_mes5[[#This Row],[NETO GRAVADO]]*0.21)</f>
        <v>230.3049</v>
      </c>
      <c r="J50" s="86"/>
      <c r="K50" s="86"/>
      <c r="L50" s="86"/>
      <c r="M50" s="86"/>
      <c r="N50" s="86"/>
      <c r="O50" s="86"/>
      <c r="P50" s="87">
        <f>SUM(compras_mes5[[#This Row],[NETO GRAVADO]:[Otros / No Grav.]])</f>
        <v>1326.9949000000001</v>
      </c>
      <c r="Q50" s="88">
        <f>IFERROR(IF(compras_mes5[[#This Row],[CUIT]]="","-",VLOOKUP(compras_mes5[[#This Row],[CUIT]],Lista_CUIT[#All],3,0)),"CUIT NO CARGADO")</f>
        <v>0</v>
      </c>
      <c r="R50" s="88">
        <f>IFERROR(IF(compras_mes5[[#This Row],[CUIT]]="","-",VLOOKUP(compras_mes5[[#This Row],[CUIT]],Lista_CUIT[#All],4,0)),"CUIT NO CARGADO")</f>
        <v>0</v>
      </c>
    </row>
    <row r="51" spans="2:18" x14ac:dyDescent="0.3">
      <c r="B51" s="152">
        <v>45166</v>
      </c>
      <c r="C51" s="164">
        <v>1</v>
      </c>
      <c r="D51" s="153">
        <v>106</v>
      </c>
      <c r="E51" s="154">
        <v>663151</v>
      </c>
      <c r="F51" s="155">
        <v>30594494187</v>
      </c>
      <c r="G51" s="156" t="str">
        <f>IFERROR(IF(compras_mes5[[#This Row],[CUIT]]="","-",VLOOKUP(compras_mes5[[#This Row],[CUIT]],Lista_CUIT[#All],2,0)),"CUIT NO CARGADO")</f>
        <v>FEDERAL EXPRESS CORPORATION</v>
      </c>
      <c r="H51" s="157"/>
      <c r="I51" s="158" t="str">
        <f>IF(compras_mes5[[#This Row],[NETO GRAVADO]]="","",compras_mes5[[#This Row],[NETO GRAVADO]]*0.21)</f>
        <v/>
      </c>
      <c r="J51" s="158"/>
      <c r="K51" s="158"/>
      <c r="L51" s="158"/>
      <c r="M51" s="158"/>
      <c r="N51" s="158"/>
      <c r="O51" s="158">
        <v>68341.19</v>
      </c>
      <c r="P51" s="159">
        <f>SUM(compras_mes5[[#This Row],[NETO GRAVADO]:[Otros / No Grav.]])</f>
        <v>68341.19</v>
      </c>
      <c r="Q51" s="160" t="str">
        <f>IFERROR(IF(compras_mes5[[#This Row],[CUIT]]="","-",VLOOKUP(compras_mes5[[#This Row],[CUIT]],Lista_CUIT[#All],3,0)),"CUIT NO CARGADO")</f>
        <v>Gtos. Imp.</v>
      </c>
      <c r="R51" s="160">
        <f>IFERROR(IF(compras_mes5[[#This Row],[CUIT]]="","-",VLOOKUP(compras_mes5[[#This Row],[CUIT]],Lista_CUIT[#All],4,0)),"CUIT NO CARGADO")</f>
        <v>0</v>
      </c>
    </row>
    <row r="52" spans="2:18" x14ac:dyDescent="0.3">
      <c r="B52" s="89">
        <v>45167</v>
      </c>
      <c r="C52" s="90">
        <v>1</v>
      </c>
      <c r="D52" s="91">
        <v>31</v>
      </c>
      <c r="E52" s="92">
        <v>671</v>
      </c>
      <c r="F52" s="93">
        <v>30556911890</v>
      </c>
      <c r="G52" s="94" t="str">
        <f>IFERROR(IF(compras_mes5[[#This Row],[CUIT]]="","-",VLOOKUP(compras_mes5[[#This Row],[CUIT]],Lista_CUIT[#All],2,0)),"CUIT NO CARGADO")</f>
        <v>FARMACIA GRAN FERRARI SA</v>
      </c>
      <c r="H52" s="95">
        <v>5598.65</v>
      </c>
      <c r="I52" s="86">
        <f>IF(compras_mes5[[#This Row],[NETO GRAVADO]]="","",compras_mes5[[#This Row],[NETO GRAVADO]]*0.21)</f>
        <v>1175.7164999999998</v>
      </c>
      <c r="J52" s="86"/>
      <c r="K52" s="86"/>
      <c r="L52" s="86"/>
      <c r="M52" s="86"/>
      <c r="N52" s="86"/>
      <c r="O52" s="86"/>
      <c r="P52" s="87">
        <f>SUM(compras_mes5[[#This Row],[NETO GRAVADO]:[Otros / No Grav.]])</f>
        <v>6774.3664999999992</v>
      </c>
      <c r="Q52" s="88">
        <f>IFERROR(IF(compras_mes5[[#This Row],[CUIT]]="","-",VLOOKUP(compras_mes5[[#This Row],[CUIT]],Lista_CUIT[#All],3,0)),"CUIT NO CARGADO")</f>
        <v>0</v>
      </c>
      <c r="R52" s="88">
        <f>IFERROR(IF(compras_mes5[[#This Row],[CUIT]]="","-",VLOOKUP(compras_mes5[[#This Row],[CUIT]],Lista_CUIT[#All],4,0)),"CUIT NO CARGADO")</f>
        <v>0</v>
      </c>
    </row>
    <row r="53" spans="2:18" x14ac:dyDescent="0.3">
      <c r="B53" s="152">
        <v>45167</v>
      </c>
      <c r="C53" s="164">
        <v>1</v>
      </c>
      <c r="D53" s="153">
        <v>5</v>
      </c>
      <c r="E53" s="154">
        <v>6632</v>
      </c>
      <c r="F53" s="155">
        <v>33711557119</v>
      </c>
      <c r="G53" s="156" t="str">
        <f>IFERROR(IF(compras_mes5[[#This Row],[CUIT]]="","-",VLOOKUP(compras_mes5[[#This Row],[CUIT]],Lista_CUIT[#All],2,0)),"CUIT NO CARGADO")</f>
        <v>ELECTROMINGO S.R.L.</v>
      </c>
      <c r="H53" s="157">
        <v>2541.3200000000002</v>
      </c>
      <c r="I53" s="158">
        <f>IF(compras_mes5[[#This Row],[NETO GRAVADO]]="","",compras_mes5[[#This Row],[NETO GRAVADO]]*0.21)</f>
        <v>533.67719999999997</v>
      </c>
      <c r="J53" s="158"/>
      <c r="K53" s="158"/>
      <c r="L53" s="158"/>
      <c r="M53" s="158"/>
      <c r="N53" s="158"/>
      <c r="O53" s="158"/>
      <c r="P53" s="159">
        <f>SUM(compras_mes5[[#This Row],[NETO GRAVADO]:[Otros / No Grav.]])</f>
        <v>3074.9972000000002</v>
      </c>
      <c r="Q53" s="160" t="str">
        <f>IFERROR(IF(compras_mes5[[#This Row],[CUIT]]="","-",VLOOKUP(compras_mes5[[#This Row],[CUIT]],Lista_CUIT[#All],3,0)),"CUIT NO CARGADO")</f>
        <v>INSUMO</v>
      </c>
      <c r="R53" s="160" t="str">
        <f>IFERROR(IF(compras_mes5[[#This Row],[CUIT]]="","-",VLOOKUP(compras_mes5[[#This Row],[CUIT]],Lista_CUIT[#All],4,0)),"CUIT NO CARGADO")</f>
        <v>BUENOS AIRES</v>
      </c>
    </row>
    <row r="54" spans="2:18" x14ac:dyDescent="0.3">
      <c r="B54" s="218">
        <v>45167</v>
      </c>
      <c r="C54" s="226">
        <v>1</v>
      </c>
      <c r="D54" s="219">
        <v>8</v>
      </c>
      <c r="E54" s="220">
        <v>9958</v>
      </c>
      <c r="F54" s="221">
        <v>30709953482</v>
      </c>
      <c r="G54" s="222" t="str">
        <f>IFERROR(IF(compras_mes5[[#This Row],[CUIT]]="","-",VLOOKUP(compras_mes5[[#This Row],[CUIT]],Lista_CUIT[#All],2,0)),"CUIT NO CARGADO")</f>
        <v>HONRE S.A</v>
      </c>
      <c r="H54" s="223">
        <v>2315.77</v>
      </c>
      <c r="I54" s="215">
        <f>IF(compras_mes5[[#This Row],[NETO GRAVADO]]="","",compras_mes5[[#This Row],[NETO GRAVADO]]*0.21)</f>
        <v>486.31169999999997</v>
      </c>
      <c r="J54" s="215"/>
      <c r="K54" s="215"/>
      <c r="L54" s="215"/>
      <c r="M54" s="215"/>
      <c r="N54" s="215"/>
      <c r="O54" s="215"/>
      <c r="P54" s="224">
        <f>SUM(compras_mes5[[#This Row],[NETO GRAVADO]:[Otros / No Grav.]])</f>
        <v>2802.0816999999997</v>
      </c>
      <c r="Q54" s="225" t="str">
        <f>IFERROR(IF(compras_mes5[[#This Row],[CUIT]]="","-",VLOOKUP(compras_mes5[[#This Row],[CUIT]],Lista_CUIT[#All],3,0)),"CUIT NO CARGADO")</f>
        <v>Gastos Varios</v>
      </c>
      <c r="R54" s="225">
        <f>IFERROR(IF(compras_mes5[[#This Row],[CUIT]]="","-",VLOOKUP(compras_mes5[[#This Row],[CUIT]],Lista_CUIT[#All],4,0)),"CUIT NO CARGADO")</f>
        <v>0</v>
      </c>
    </row>
    <row r="55" spans="2:18" x14ac:dyDescent="0.3">
      <c r="B55" s="152">
        <v>45167</v>
      </c>
      <c r="C55" s="164">
        <v>1</v>
      </c>
      <c r="D55" s="153">
        <v>13</v>
      </c>
      <c r="E55" s="154">
        <v>44812</v>
      </c>
      <c r="F55" s="155">
        <v>30709256420</v>
      </c>
      <c r="G55" s="156" t="str">
        <f>IFERROR(IF(compras_mes5[[#This Row],[CUIT]]="","-",VLOOKUP(compras_mes5[[#This Row],[CUIT]],Lista_CUIT[#All],2,0)),"CUIT NO CARGADO")</f>
        <v>NGA SRL</v>
      </c>
      <c r="H55" s="157">
        <v>8715.42</v>
      </c>
      <c r="I55" s="158">
        <f>IF(compras_mes5[[#This Row],[NETO GRAVADO]]="","",compras_mes5[[#This Row],[NETO GRAVADO]]*0.21)</f>
        <v>1830.2382</v>
      </c>
      <c r="J55" s="158"/>
      <c r="K55" s="158"/>
      <c r="L55" s="158"/>
      <c r="M55" s="158"/>
      <c r="N55" s="158"/>
      <c r="O55" s="158"/>
      <c r="P55" s="159">
        <f>SUM(compras_mes5[[#This Row],[NETO GRAVADO]:[Otros / No Grav.]])</f>
        <v>10545.6582</v>
      </c>
      <c r="Q55" s="160">
        <f>IFERROR(IF(compras_mes5[[#This Row],[CUIT]]="","-",VLOOKUP(compras_mes5[[#This Row],[CUIT]],Lista_CUIT[#All],3,0)),"CUIT NO CARGADO")</f>
        <v>0</v>
      </c>
      <c r="R55" s="160">
        <f>IFERROR(IF(compras_mes5[[#This Row],[CUIT]]="","-",VLOOKUP(compras_mes5[[#This Row],[CUIT]],Lista_CUIT[#All],4,0)),"CUIT NO CARGADO")</f>
        <v>0</v>
      </c>
    </row>
    <row r="56" spans="2:18" x14ac:dyDescent="0.3">
      <c r="B56" s="152">
        <v>45167</v>
      </c>
      <c r="C56" s="164">
        <v>1</v>
      </c>
      <c r="D56" s="153">
        <v>13</v>
      </c>
      <c r="E56" s="154">
        <v>44813</v>
      </c>
      <c r="F56" s="155">
        <v>30709256420</v>
      </c>
      <c r="G56" s="156" t="str">
        <f>IFERROR(IF(compras_mes5[[#This Row],[CUIT]]="","-",VLOOKUP(compras_mes5[[#This Row],[CUIT]],Lista_CUIT[#All],2,0)),"CUIT NO CARGADO")</f>
        <v>NGA SRL</v>
      </c>
      <c r="H56" s="157">
        <v>2583.5500000000002</v>
      </c>
      <c r="I56" s="158">
        <f>IF(compras_mes5[[#This Row],[NETO GRAVADO]]="","",compras_mes5[[#This Row],[NETO GRAVADO]]*0.21)</f>
        <v>542.54550000000006</v>
      </c>
      <c r="J56" s="158"/>
      <c r="K56" s="158"/>
      <c r="L56" s="158"/>
      <c r="M56" s="158"/>
      <c r="N56" s="158"/>
      <c r="O56" s="158"/>
      <c r="P56" s="159">
        <f>SUM(compras_mes5[[#This Row],[NETO GRAVADO]:[Otros / No Grav.]])</f>
        <v>3126.0955000000004</v>
      </c>
      <c r="Q56" s="160">
        <f>IFERROR(IF(compras_mes5[[#This Row],[CUIT]]="","-",VLOOKUP(compras_mes5[[#This Row],[CUIT]],Lista_CUIT[#All],3,0)),"CUIT NO CARGADO")</f>
        <v>0</v>
      </c>
      <c r="R56" s="160">
        <f>IFERROR(IF(compras_mes5[[#This Row],[CUIT]]="","-",VLOOKUP(compras_mes5[[#This Row],[CUIT]],Lista_CUIT[#All],4,0)),"CUIT NO CARGADO")</f>
        <v>0</v>
      </c>
    </row>
    <row r="57" spans="2:18" x14ac:dyDescent="0.3">
      <c r="B57" s="218">
        <v>45169</v>
      </c>
      <c r="C57" s="226">
        <v>1</v>
      </c>
      <c r="D57" s="219">
        <v>4</v>
      </c>
      <c r="E57" s="220">
        <v>237</v>
      </c>
      <c r="F57" s="221">
        <v>23236786609</v>
      </c>
      <c r="G57" s="222" t="str">
        <f>IFERROR(IF(compras_mes5[[#This Row],[CUIT]]="","-",VLOOKUP(compras_mes5[[#This Row],[CUIT]],Lista_CUIT[#All],2,0)),"CUIT NO CARGADO")</f>
        <v>GALLEGO ANDRES MARIANO</v>
      </c>
      <c r="H57" s="223">
        <v>3152.88</v>
      </c>
      <c r="I57" s="215">
        <f>IF(compras_mes5[[#This Row],[NETO GRAVADO]]="","",compras_mes5[[#This Row],[NETO GRAVADO]]*0.21)</f>
        <v>662.10479999999995</v>
      </c>
      <c r="J57" s="215"/>
      <c r="K57" s="215"/>
      <c r="L57" s="215"/>
      <c r="M57" s="215"/>
      <c r="N57" s="215"/>
      <c r="O57" s="215"/>
      <c r="P57" s="224">
        <f>SUM(compras_mes5[[#This Row],[NETO GRAVADO]:[Otros / No Grav.]])</f>
        <v>3814.9848000000002</v>
      </c>
      <c r="Q57" s="225">
        <f>IFERROR(IF(compras_mes5[[#This Row],[CUIT]]="","-",VLOOKUP(compras_mes5[[#This Row],[CUIT]],Lista_CUIT[#All],3,0)),"CUIT NO CARGADO")</f>
        <v>0</v>
      </c>
      <c r="R57" s="225">
        <f>IFERROR(IF(compras_mes5[[#This Row],[CUIT]]="","-",VLOOKUP(compras_mes5[[#This Row],[CUIT]],Lista_CUIT[#All],4,0)),"CUIT NO CARGADO")</f>
        <v>0</v>
      </c>
    </row>
    <row r="58" spans="2:18" x14ac:dyDescent="0.3">
      <c r="B58" s="218">
        <v>45169</v>
      </c>
      <c r="C58" s="226">
        <v>1</v>
      </c>
      <c r="D58" s="219">
        <v>1</v>
      </c>
      <c r="E58" s="220">
        <v>658</v>
      </c>
      <c r="F58" s="221">
        <v>30715048066</v>
      </c>
      <c r="G58" s="222" t="str">
        <f>IFERROR(IF(compras_mes5[[#This Row],[CUIT]]="","-",VLOOKUP(compras_mes5[[#This Row],[CUIT]],Lista_CUIT[#All],2,0)),"CUIT NO CARGADO")</f>
        <v>ROLLS Y EMPANADAS SA</v>
      </c>
      <c r="H58" s="223">
        <v>150975</v>
      </c>
      <c r="I58" s="215">
        <f>IF(compras_mes5[[#This Row],[NETO GRAVADO]]="","",compras_mes5[[#This Row],[NETO GRAVADO]]*0.21)</f>
        <v>31704.75</v>
      </c>
      <c r="J58" s="215"/>
      <c r="K58" s="215"/>
      <c r="L58" s="215"/>
      <c r="M58" s="215"/>
      <c r="N58" s="215"/>
      <c r="O58" s="215"/>
      <c r="P58" s="224">
        <f>SUM(compras_mes5[[#This Row],[NETO GRAVADO]:[Otros / No Grav.]])</f>
        <v>182679.75</v>
      </c>
      <c r="Q58" s="225" t="str">
        <f>IFERROR(IF(compras_mes5[[#This Row],[CUIT]]="","-",VLOOKUP(compras_mes5[[#This Row],[CUIT]],Lista_CUIT[#All],3,0)),"CUIT NO CARGADO")</f>
        <v>CATERING</v>
      </c>
      <c r="R58" s="225">
        <f>IFERROR(IF(compras_mes5[[#This Row],[CUIT]]="","-",VLOOKUP(compras_mes5[[#This Row],[CUIT]],Lista_CUIT[#All],4,0)),"CUIT NO CARGADO")</f>
        <v>0</v>
      </c>
    </row>
    <row r="59" spans="2:18" x14ac:dyDescent="0.3">
      <c r="B59" s="152">
        <v>45169</v>
      </c>
      <c r="C59" s="164">
        <v>1</v>
      </c>
      <c r="D59" s="153">
        <v>5</v>
      </c>
      <c r="E59" s="154">
        <v>7213</v>
      </c>
      <c r="F59" s="155">
        <v>23174046379</v>
      </c>
      <c r="G59" s="156" t="str">
        <f>IFERROR(IF(compras_mes5[[#This Row],[CUIT]]="","-",VLOOKUP(compras_mes5[[#This Row],[CUIT]],Lista_CUIT[#All],2,0)),"CUIT NO CARGADO")</f>
        <v>BATERIAS PRO-BAT</v>
      </c>
      <c r="H59" s="157">
        <v>17760.330000000002</v>
      </c>
      <c r="I59" s="158">
        <f>IF(compras_mes5[[#This Row],[NETO GRAVADO]]="","",compras_mes5[[#This Row],[NETO GRAVADO]]*0.21)</f>
        <v>3729.6693</v>
      </c>
      <c r="J59" s="158"/>
      <c r="K59" s="158"/>
      <c r="L59" s="158"/>
      <c r="M59" s="158"/>
      <c r="N59" s="158"/>
      <c r="O59" s="158"/>
      <c r="P59" s="159">
        <f>SUM(compras_mes5[[#This Row],[NETO GRAVADO]:[Otros / No Grav.]])</f>
        <v>21489.999300000003</v>
      </c>
      <c r="Q59" s="160">
        <f>IFERROR(IF(compras_mes5[[#This Row],[CUIT]]="","-",VLOOKUP(compras_mes5[[#This Row],[CUIT]],Lista_CUIT[#All],3,0)),"CUIT NO CARGADO")</f>
        <v>0</v>
      </c>
      <c r="R59" s="160">
        <f>IFERROR(IF(compras_mes5[[#This Row],[CUIT]]="","-",VLOOKUP(compras_mes5[[#This Row],[CUIT]],Lista_CUIT[#All],4,0)),"CUIT NO CARGADO")</f>
        <v>0</v>
      </c>
    </row>
    <row r="60" spans="2:18" s="56" customFormat="1" ht="18.600000000000001" customHeight="1" x14ac:dyDescent="0.3">
      <c r="B60" s="152">
        <v>45169</v>
      </c>
      <c r="C60" s="164">
        <v>1</v>
      </c>
      <c r="D60" s="153">
        <v>6</v>
      </c>
      <c r="E60" s="154">
        <v>12573</v>
      </c>
      <c r="F60" s="155">
        <v>30707756434</v>
      </c>
      <c r="G60" s="156" t="str">
        <f>IFERROR(IF(compras_mes5[[#This Row],[CUIT]]="","-",VLOOKUP(compras_mes5[[#This Row],[CUIT]],Lista_CUIT[#All],2,0)),"CUIT NO CARGADO")</f>
        <v>SERVICIO INTEGRAL DE LIMPIEZA SRL</v>
      </c>
      <c r="H60" s="157">
        <v>57000</v>
      </c>
      <c r="I60" s="158">
        <f>IF(compras_mes5[[#This Row],[NETO GRAVADO]]="","",compras_mes5[[#This Row],[NETO GRAVADO]]*0.21)</f>
        <v>11970</v>
      </c>
      <c r="J60" s="158"/>
      <c r="K60" s="158"/>
      <c r="L60" s="158"/>
      <c r="M60" s="158"/>
      <c r="N60" s="158"/>
      <c r="O60" s="158"/>
      <c r="P60" s="159">
        <f>SUM(compras_mes5[[#This Row],[NETO GRAVADO]:[Otros / No Grav.]])</f>
        <v>68970</v>
      </c>
      <c r="Q60" s="160" t="str">
        <f>IFERROR(IF(compras_mes5[[#This Row],[CUIT]]="","-",VLOOKUP(compras_mes5[[#This Row],[CUIT]],Lista_CUIT[#All],3,0)),"CUIT NO CARGADO")</f>
        <v>Mantenimiento</v>
      </c>
      <c r="R60" s="160">
        <f>IFERROR(IF(compras_mes5[[#This Row],[CUIT]]="","-",VLOOKUP(compras_mes5[[#This Row],[CUIT]],Lista_CUIT[#All],4,0)),"CUIT NO CARGADO")</f>
        <v>0</v>
      </c>
    </row>
    <row r="61" spans="2:18" x14ac:dyDescent="0.3">
      <c r="B61" s="218">
        <v>45169</v>
      </c>
      <c r="C61" s="226">
        <v>1</v>
      </c>
      <c r="D61" s="219">
        <v>700</v>
      </c>
      <c r="E61" s="220">
        <v>564687</v>
      </c>
      <c r="F61" s="221">
        <v>30580111315</v>
      </c>
      <c r="G61" s="222" t="str">
        <f>IFERROR(IF(compras_mes5[[#This Row],[CUIT]]="","-",VLOOKUP(compras_mes5[[#This Row],[CUIT]],Lista_CUIT[#All],2,0)),"CUIT NO CARGADO")</f>
        <v>DHL EXPRESS (ARGENTINA) S.A.</v>
      </c>
      <c r="H61" s="223">
        <v>0</v>
      </c>
      <c r="I61" s="215">
        <f>IF(compras_mes5[[#This Row],[NETO GRAVADO]]="","",compras_mes5[[#This Row],[NETO GRAVADO]]*0.21)</f>
        <v>0</v>
      </c>
      <c r="J61" s="215"/>
      <c r="K61" s="215"/>
      <c r="L61" s="215"/>
      <c r="M61" s="215"/>
      <c r="N61" s="215"/>
      <c r="O61" s="215">
        <v>40230.584999999999</v>
      </c>
      <c r="P61" s="224">
        <f>SUM(compras_mes5[[#This Row],[NETO GRAVADO]:[Otros / No Grav.]])</f>
        <v>40230.584999999999</v>
      </c>
      <c r="Q61" s="225" t="str">
        <f>IFERROR(IF(compras_mes5[[#This Row],[CUIT]]="","-",VLOOKUP(compras_mes5[[#This Row],[CUIT]],Lista_CUIT[#All],3,0)),"CUIT NO CARGADO")</f>
        <v>Gtos. Imp.</v>
      </c>
      <c r="R61" s="225">
        <f>IFERROR(IF(compras_mes5[[#This Row],[CUIT]]="","-",VLOOKUP(compras_mes5[[#This Row],[CUIT]],Lista_CUIT[#All],4,0)),"CUIT NO CARGADO")</f>
        <v>0</v>
      </c>
    </row>
    <row r="62" spans="2:18" x14ac:dyDescent="0.3">
      <c r="B62" s="152"/>
      <c r="C62" s="164"/>
      <c r="D62" s="153"/>
      <c r="E62" s="154"/>
      <c r="F62" s="155"/>
      <c r="G62" s="156" t="str">
        <f>IFERROR(IF(compras_mes5[[#This Row],[CUIT]]="","-",VLOOKUP(compras_mes5[[#This Row],[CUIT]],Lista_CUIT[#All],2,0)),"CUIT NO CARGADO")</f>
        <v>-</v>
      </c>
      <c r="H62" s="157"/>
      <c r="I62" s="158" t="str">
        <f>IF(compras_mes5[[#This Row],[NETO GRAVADO]]="","",compras_mes5[[#This Row],[NETO GRAVADO]]*0.21)</f>
        <v/>
      </c>
      <c r="J62" s="158"/>
      <c r="K62" s="158"/>
      <c r="L62" s="158"/>
      <c r="M62" s="158"/>
      <c r="N62" s="158"/>
      <c r="O62" s="158"/>
      <c r="P62" s="159">
        <f>SUM(compras_mes5[[#This Row],[NETO GRAVADO]:[Otros / No Grav.]])</f>
        <v>0</v>
      </c>
      <c r="Q62" s="160" t="str">
        <f>IFERROR(IF(compras_mes5[[#This Row],[CUIT]]="","-",VLOOKUP(compras_mes5[[#This Row],[CUIT]],Lista_CUIT[#All],3,0)),"CUIT NO CARGADO")</f>
        <v>-</v>
      </c>
      <c r="R62" s="160" t="str">
        <f>IFERROR(IF(compras_mes5[[#This Row],[CUIT]]="","-",VLOOKUP(compras_mes5[[#This Row],[CUIT]],Lista_CUIT[#All],4,0)),"CUIT NO CARGADO")</f>
        <v>-</v>
      </c>
    </row>
    <row r="63" spans="2:18" x14ac:dyDescent="0.3">
      <c r="B63" s="96" t="s">
        <v>110</v>
      </c>
      <c r="C63" s="96"/>
      <c r="D63" s="96"/>
      <c r="E63" s="96"/>
      <c r="F63" s="96"/>
      <c r="G63" s="97"/>
      <c r="H63" s="98">
        <f>SUBTOTAL(109,compras_mes5[NETO GRAVADO])</f>
        <v>5658028.2979999986</v>
      </c>
      <c r="I63" s="98">
        <f>SUBTOTAL(109,compras_mes5[IVA 21 %])</f>
        <v>1156064.9221799998</v>
      </c>
      <c r="J63" s="98">
        <f>SUBTOTAL(109,compras_mes5[IVA 27%])</f>
        <v>1309.5</v>
      </c>
      <c r="K63" s="98">
        <f>SUBTOTAL(109,compras_mes5[IVA 10,5%])</f>
        <v>15551.260199999999</v>
      </c>
      <c r="L63" s="98">
        <f>SUBTOTAL(109,compras_mes5[PERC. IVA])</f>
        <v>145.5</v>
      </c>
      <c r="M63" s="98">
        <f>SUBTOTAL(109,compras_mes5[PERC IIBB 
BS AS])</f>
        <v>0</v>
      </c>
      <c r="N63" s="98">
        <f>SUBTOTAL(109,compras_mes5[PERC. IIBB CABA])</f>
        <v>0</v>
      </c>
      <c r="O63" s="98">
        <f>SUBTOTAL(109,compras_mes5[Otros / No Grav.])</f>
        <v>325297.88900000002</v>
      </c>
      <c r="P63" s="98">
        <f>SUBTOTAL(109,compras_mes5[TOTAL])</f>
        <v>7156397.3693800019</v>
      </c>
      <c r="Q63" s="96"/>
      <c r="R63" s="96"/>
    </row>
    <row r="64" spans="2:18" x14ac:dyDescent="0.3">
      <c r="B64" s="40"/>
      <c r="C64" s="41"/>
      <c r="D64" s="42"/>
      <c r="E64" s="43"/>
      <c r="F64" s="44"/>
      <c r="G64" s="45"/>
      <c r="H64" s="46"/>
      <c r="I64" s="47"/>
      <c r="J64" s="47"/>
      <c r="K64" s="47"/>
      <c r="L64" s="47"/>
      <c r="M64" s="47"/>
      <c r="N64" s="47"/>
      <c r="O64" s="47"/>
      <c r="P64" s="48"/>
      <c r="Q64" s="49"/>
      <c r="R64" s="49"/>
    </row>
    <row r="65" spans="2:18" x14ac:dyDescent="0.3">
      <c r="B65" s="40"/>
      <c r="C65" s="41"/>
      <c r="D65" s="42"/>
      <c r="E65" s="43"/>
      <c r="F65" s="44"/>
      <c r="G65" s="45"/>
      <c r="H65" s="46"/>
      <c r="I65" s="47"/>
      <c r="J65" s="47"/>
      <c r="K65" s="47"/>
      <c r="L65" s="47"/>
      <c r="M65" s="47"/>
      <c r="N65" s="47"/>
      <c r="O65" s="47"/>
      <c r="P65" s="48"/>
      <c r="Q65" s="49"/>
      <c r="R65" s="49"/>
    </row>
    <row r="66" spans="2:18" x14ac:dyDescent="0.3">
      <c r="B66" s="40"/>
      <c r="C66" s="41"/>
      <c r="D66" s="42"/>
      <c r="E66" s="43"/>
      <c r="F66" s="44"/>
      <c r="G66" s="45"/>
      <c r="H66" s="46"/>
      <c r="I66" s="47"/>
      <c r="J66" s="47"/>
      <c r="K66" s="47"/>
      <c r="L66" s="47"/>
      <c r="M66" s="47"/>
      <c r="N66" s="47"/>
      <c r="O66" s="47"/>
      <c r="P66" s="48"/>
      <c r="Q66" s="49"/>
      <c r="R66" s="49"/>
    </row>
    <row r="67" spans="2:18" x14ac:dyDescent="0.3">
      <c r="B67" s="40"/>
      <c r="C67" s="41"/>
      <c r="D67" s="42"/>
      <c r="E67" s="43"/>
      <c r="F67" s="44"/>
      <c r="G67" s="45"/>
      <c r="H67" s="46"/>
      <c r="I67" s="47"/>
      <c r="J67" s="47"/>
      <c r="K67" s="47"/>
      <c r="L67" s="47"/>
    </row>
    <row r="68" spans="2:18" ht="21" x14ac:dyDescent="0.3">
      <c r="D68" s="414" t="s">
        <v>15</v>
      </c>
      <c r="E68" s="414"/>
      <c r="F68" s="414"/>
      <c r="G68" s="414"/>
      <c r="H68" s="414"/>
      <c r="I68" s="414"/>
      <c r="J68" s="414"/>
      <c r="K68" s="414"/>
      <c r="L68" s="414"/>
    </row>
    <row r="69" spans="2:18" ht="15.6" x14ac:dyDescent="0.3">
      <c r="D69" s="73" t="s">
        <v>0</v>
      </c>
      <c r="E69" s="74" t="s">
        <v>26</v>
      </c>
      <c r="F69" s="74" t="s">
        <v>16</v>
      </c>
      <c r="G69" s="74" t="s">
        <v>5</v>
      </c>
      <c r="H69" s="74" t="s">
        <v>17</v>
      </c>
      <c r="I69" s="74" t="s">
        <v>7</v>
      </c>
      <c r="J69" s="75" t="s">
        <v>18</v>
      </c>
      <c r="K69" s="75" t="s">
        <v>19</v>
      </c>
      <c r="L69" s="76" t="s">
        <v>20</v>
      </c>
    </row>
    <row r="70" spans="2:18" x14ac:dyDescent="0.3">
      <c r="D70" s="50">
        <v>45145</v>
      </c>
      <c r="E70" s="79" t="s">
        <v>1242</v>
      </c>
      <c r="F70" s="80" t="s">
        <v>1243</v>
      </c>
      <c r="G70" s="81">
        <v>7080</v>
      </c>
      <c r="H70" s="81">
        <f>extracto_banco_mes5[[#This Row],[NETO]]*0.21</f>
        <v>1486.8</v>
      </c>
      <c r="I70" s="81"/>
      <c r="J70" s="81"/>
      <c r="K70" s="81">
        <v>212.4</v>
      </c>
      <c r="L70" s="81"/>
    </row>
    <row r="71" spans="2:18" x14ac:dyDescent="0.3">
      <c r="D71" s="50">
        <v>45140</v>
      </c>
      <c r="E71" s="79" t="s">
        <v>1246</v>
      </c>
      <c r="F71" s="80" t="s">
        <v>1247</v>
      </c>
      <c r="G71" s="81">
        <v>6935</v>
      </c>
      <c r="H71" s="81">
        <f>extracto_banco_mes5[[#This Row],[NETO]]*0.21</f>
        <v>1456.35</v>
      </c>
      <c r="I71" s="81"/>
      <c r="J71" s="81"/>
      <c r="K71" s="81">
        <v>208.05</v>
      </c>
      <c r="L71" s="81"/>
    </row>
    <row r="72" spans="2:18" x14ac:dyDescent="0.3">
      <c r="D72" s="50">
        <v>45140</v>
      </c>
      <c r="E72" s="79" t="s">
        <v>1248</v>
      </c>
      <c r="F72" s="80" t="s">
        <v>1249</v>
      </c>
      <c r="G72" s="81">
        <v>20711.25</v>
      </c>
      <c r="H72" s="81">
        <f>extracto_banco_mes5[[#This Row],[NETO]]*0.21</f>
        <v>4349.3625000000002</v>
      </c>
      <c r="I72" s="81"/>
      <c r="J72" s="81"/>
      <c r="K72" s="81">
        <v>621.34</v>
      </c>
      <c r="L72" s="81"/>
    </row>
    <row r="73" spans="2:18" x14ac:dyDescent="0.3">
      <c r="D73" s="194">
        <v>45169</v>
      </c>
      <c r="E73" s="154">
        <v>31082023</v>
      </c>
      <c r="F73" s="80" t="s">
        <v>1243</v>
      </c>
      <c r="G73" s="197">
        <v>18082.400000000001</v>
      </c>
      <c r="H73" s="197">
        <f>extracto_banco_mes5[[#This Row],[NETO]]*0.21</f>
        <v>3797.3040000000001</v>
      </c>
      <c r="I73" s="197"/>
      <c r="J73" s="197"/>
      <c r="K73" s="197">
        <v>335.88</v>
      </c>
      <c r="L73" s="197"/>
    </row>
    <row r="74" spans="2:18" ht="18" customHeight="1" x14ac:dyDescent="0.3">
      <c r="D74" s="194">
        <v>45169</v>
      </c>
      <c r="E74" s="154">
        <v>20230831</v>
      </c>
      <c r="F74" s="80" t="s">
        <v>1243</v>
      </c>
      <c r="G74" s="197">
        <v>170</v>
      </c>
      <c r="H74" s="197">
        <f>extracto_banco_mes5[[#This Row],[NETO]]*0.21</f>
        <v>35.699999999999996</v>
      </c>
      <c r="I74" s="197"/>
      <c r="J74" s="197">
        <v>856.78</v>
      </c>
      <c r="K74" s="197"/>
      <c r="L74" s="197"/>
    </row>
    <row r="75" spans="2:18" x14ac:dyDescent="0.3">
      <c r="D75" s="82" t="s">
        <v>110</v>
      </c>
      <c r="E75" s="80"/>
      <c r="F75" s="80"/>
      <c r="G75" s="83">
        <f>SUBTOTAL(109,extracto_banco_mes5[NETO])</f>
        <v>52978.65</v>
      </c>
      <c r="H75" s="83">
        <f>SUBTOTAL(109,extracto_banco_mes5[IVA 21%])</f>
        <v>11125.516500000002</v>
      </c>
      <c r="I75" s="83">
        <f>SUBTOTAL(109,extracto_banco_mes5[IVA 10,5%])</f>
        <v>0</v>
      </c>
      <c r="J75" s="83">
        <f>SUBTOTAL(109,extracto_banco_mes5[RET IIBB CABA])</f>
        <v>856.78</v>
      </c>
      <c r="K75" s="83">
        <f>SUBTOTAL(109,extracto_banco_mes5[PERC IVA])</f>
        <v>1377.67</v>
      </c>
      <c r="L75" s="83">
        <f>SUBTOTAL(109,extracto_banco_mes5[PERC IIBB])</f>
        <v>0</v>
      </c>
    </row>
    <row r="79" spans="2:18" ht="21" x14ac:dyDescent="0.3">
      <c r="D79" s="414" t="s">
        <v>25</v>
      </c>
      <c r="E79" s="414"/>
      <c r="F79" s="414"/>
      <c r="G79" s="414"/>
      <c r="H79" s="414"/>
      <c r="I79" s="414"/>
      <c r="J79" s="414"/>
      <c r="K79" s="414"/>
    </row>
    <row r="80" spans="2:18" x14ac:dyDescent="0.3">
      <c r="D80" s="51" t="s">
        <v>0</v>
      </c>
      <c r="E80" s="51" t="s">
        <v>2</v>
      </c>
      <c r="F80" s="51" t="s">
        <v>74</v>
      </c>
      <c r="G80" s="51" t="s">
        <v>3</v>
      </c>
      <c r="H80" s="51" t="s">
        <v>4</v>
      </c>
      <c r="I80" s="52" t="s">
        <v>10</v>
      </c>
      <c r="J80" s="51" t="s">
        <v>13</v>
      </c>
      <c r="K80" s="51" t="s">
        <v>38</v>
      </c>
    </row>
    <row r="81" spans="4:11" x14ac:dyDescent="0.3">
      <c r="D81" s="50">
        <v>45139</v>
      </c>
      <c r="E81" s="42">
        <v>2</v>
      </c>
      <c r="F81" s="43">
        <v>149</v>
      </c>
      <c r="G81" s="44">
        <v>20136544625</v>
      </c>
      <c r="H81" s="53" t="str">
        <f>IFERROR(IF(factura_c_mes5[[#This Row],[CUIT]]="","-",VLOOKUP(factura_c_mes5[[#This Row],[CUIT]],Lista_CUIT[#All],2,0)),"CUIT NO CARGADO")</f>
        <v>RODRIGUEZ DE LA FUEN HECTOR MARCELO</v>
      </c>
      <c r="I81" s="81">
        <v>200000</v>
      </c>
      <c r="J81" s="54" t="str">
        <f>IFERROR(IF(factura_c_mes5[[#This Row],[CUIT]]="","-",VLOOKUP(factura_c_mes5[[#This Row],[CUIT]],Lista_CUIT[#All],3,0)),"CUIT NO CARGADO")</f>
        <v>Hon. Admin.</v>
      </c>
      <c r="K81" s="54">
        <f>IFERROR(IF(factura_c_mes5[[#This Row],[CUIT]]="","-",VLOOKUP(factura_c_mes5[[#This Row],[CUIT]],Lista_CUIT[#All],4,0)),"CUIT NO CARGADO")</f>
        <v>0</v>
      </c>
    </row>
    <row r="82" spans="4:11" x14ac:dyDescent="0.3">
      <c r="D82" s="50">
        <v>45139</v>
      </c>
      <c r="E82" s="42">
        <v>1</v>
      </c>
      <c r="F82" s="43">
        <v>11</v>
      </c>
      <c r="G82" s="44">
        <v>27387896150</v>
      </c>
      <c r="H82" s="53" t="str">
        <f>IFERROR(IF(factura_c_mes5[[#This Row],[CUIT]]="","-",VLOOKUP(factura_c_mes5[[#This Row],[CUIT]],Lista_CUIT[#All],2,0)),"CUIT NO CARGADO")</f>
        <v>LIPANOVICH MARIA SOL</v>
      </c>
      <c r="I82" s="81">
        <v>400000</v>
      </c>
      <c r="J82" s="54" t="str">
        <f>IFERROR(IF(factura_c_mes5[[#This Row],[CUIT]]="","-",VLOOKUP(factura_c_mes5[[#This Row],[CUIT]],Lista_CUIT[#All],3,0)),"CUIT NO CARGADO")</f>
        <v>consultoria informatica</v>
      </c>
      <c r="K82" s="54">
        <f>IFERROR(IF(factura_c_mes5[[#This Row],[CUIT]]="","-",VLOOKUP(factura_c_mes5[[#This Row],[CUIT]],Lista_CUIT[#All],4,0)),"CUIT NO CARGADO")</f>
        <v>0</v>
      </c>
    </row>
    <row r="83" spans="4:11" x14ac:dyDescent="0.3">
      <c r="D83" s="50">
        <v>45140</v>
      </c>
      <c r="E83" s="42">
        <v>3</v>
      </c>
      <c r="F83" s="43">
        <v>765</v>
      </c>
      <c r="G83" s="44">
        <v>20086277523</v>
      </c>
      <c r="H83" s="53" t="str">
        <f>IFERROR(IF(factura_c_mes5[[#This Row],[CUIT]]="","-",VLOOKUP(factura_c_mes5[[#This Row],[CUIT]],Lista_CUIT[#All],2,0)),"CUIT NO CARGADO")</f>
        <v>ESTUDIO BOTINDARI</v>
      </c>
      <c r="I83" s="81">
        <v>95500</v>
      </c>
      <c r="J83" s="54" t="str">
        <f>IFERROR(IF(factura_c_mes5[[#This Row],[CUIT]]="","-",VLOOKUP(factura_c_mes5[[#This Row],[CUIT]],Lista_CUIT[#All],3,0)),"CUIT NO CARGADO")</f>
        <v>HONORARIOS</v>
      </c>
      <c r="K83" s="54">
        <f>IFERROR(IF(factura_c_mes5[[#This Row],[CUIT]]="","-",VLOOKUP(factura_c_mes5[[#This Row],[CUIT]],Lista_CUIT[#All],4,0)),"CUIT NO CARGADO")</f>
        <v>0</v>
      </c>
    </row>
    <row r="84" spans="4:11" x14ac:dyDescent="0.3">
      <c r="D84" s="305">
        <v>45142</v>
      </c>
      <c r="E84" s="234">
        <v>2</v>
      </c>
      <c r="F84" s="234">
        <v>85533</v>
      </c>
      <c r="G84" s="235">
        <v>30554466806</v>
      </c>
      <c r="H84" s="236" t="str">
        <f>IFERROR(IF(factura_c_mes5[[#This Row],[CUIT]]="","-",VLOOKUP(factura_c_mes5[[#This Row],[CUIT]],Lista_CUIT[#All],2,0)),"CUIT NO CARGADO")</f>
        <v>ASOCIACION DE IMPORTADORES Y EXPORTADORES DE LA REPUBLICA ARGENTINA</v>
      </c>
      <c r="I84" s="237">
        <v>3200</v>
      </c>
      <c r="J84" s="238" t="str">
        <f>IFERROR(IF(factura_c_mes5[[#This Row],[CUIT]]="","-",VLOOKUP(factura_c_mes5[[#This Row],[CUIT]],Lista_CUIT[#All],3,0)),"CUIT NO CARGADO")</f>
        <v>FLETE-LOGISTICA</v>
      </c>
      <c r="K84" s="238">
        <f>IFERROR(IF(factura_c_mes5[[#This Row],[CUIT]]="","-",VLOOKUP(factura_c_mes5[[#This Row],[CUIT]],Lista_CUIT[#All],4,0)),"CUIT NO CARGADO")</f>
        <v>0</v>
      </c>
    </row>
    <row r="85" spans="4:11" x14ac:dyDescent="0.3">
      <c r="D85" s="50">
        <v>45146</v>
      </c>
      <c r="E85" s="42">
        <v>4</v>
      </c>
      <c r="F85" s="43">
        <v>16</v>
      </c>
      <c r="G85" s="44">
        <v>20341462933</v>
      </c>
      <c r="H85" s="53" t="str">
        <f>IFERROR(IF(factura_c_mes5[[#This Row],[CUIT]]="","-",VLOOKUP(factura_c_mes5[[#This Row],[CUIT]],Lista_CUIT[#All],2,0)),"CUIT NO CARGADO")</f>
        <v>CASTIGLIONI MATIAS EZEQUIEL</v>
      </c>
      <c r="I85" s="81">
        <v>418000</v>
      </c>
      <c r="J85" s="54" t="str">
        <f>IFERROR(IF(factura_c_mes5[[#This Row],[CUIT]]="","-",VLOOKUP(factura_c_mes5[[#This Row],[CUIT]],Lista_CUIT[#All],3,0)),"CUIT NO CARGADO")</f>
        <v>ASESORAMIENTO</v>
      </c>
      <c r="K85" s="54" t="str">
        <f>IFERROR(IF(factura_c_mes5[[#This Row],[CUIT]]="","-",VLOOKUP(factura_c_mes5[[#This Row],[CUIT]],Lista_CUIT[#All],4,0)),"CUIT NO CARGADO")</f>
        <v>BUENOS AIRES</v>
      </c>
    </row>
    <row r="86" spans="4:11" ht="17.25" customHeight="1" x14ac:dyDescent="0.3">
      <c r="D86" s="50">
        <v>45152</v>
      </c>
      <c r="E86" s="42">
        <v>1</v>
      </c>
      <c r="F86" s="43">
        <v>162</v>
      </c>
      <c r="G86" s="44">
        <v>27925308868</v>
      </c>
      <c r="H86" s="53" t="str">
        <f>IFERROR(IF(factura_c_mes5[[#This Row],[CUIT]]="","-",VLOOKUP(factura_c_mes5[[#This Row],[CUIT]],Lista_CUIT[#All],2,0)),"CUIT NO CARGADO")</f>
        <v>LOPEZ MOLINA MARIA</v>
      </c>
      <c r="I86" s="81">
        <v>14000</v>
      </c>
      <c r="J86" s="54">
        <f>IFERROR(IF(factura_c_mes5[[#This Row],[CUIT]]="","-",VLOOKUP(factura_c_mes5[[#This Row],[CUIT]],Lista_CUIT[#All],3,0)),"CUIT NO CARGADO")</f>
        <v>0</v>
      </c>
      <c r="K86" s="54">
        <f>IFERROR(IF(factura_c_mes5[[#This Row],[CUIT]]="","-",VLOOKUP(factura_c_mes5[[#This Row],[CUIT]],Lista_CUIT[#All],4,0)),"CUIT NO CARGADO")</f>
        <v>0</v>
      </c>
    </row>
    <row r="87" spans="4:11" x14ac:dyDescent="0.3">
      <c r="D87" s="305">
        <v>45153</v>
      </c>
      <c r="E87" s="234">
        <v>2</v>
      </c>
      <c r="F87" s="234">
        <v>614</v>
      </c>
      <c r="G87" s="235">
        <v>20400104094</v>
      </c>
      <c r="H87" s="236" t="str">
        <f>IFERROR(IF(factura_c_mes5[[#This Row],[CUIT]]="","-",VLOOKUP(factura_c_mes5[[#This Row],[CUIT]],Lista_CUIT[#All],2,0)),"CUIT NO CARGADO")</f>
        <v>FEDERICO BOTINDARI</v>
      </c>
      <c r="I87" s="237">
        <v>15432</v>
      </c>
      <c r="J87" s="238" t="str">
        <f>IFERROR(IF(factura_c_mes5[[#This Row],[CUIT]]="","-",VLOOKUP(factura_c_mes5[[#This Row],[CUIT]],Lista_CUIT[#All],3,0)),"CUIT NO CARGADO")</f>
        <v>HONORARIOS</v>
      </c>
      <c r="K87" s="238">
        <f>IFERROR(IF(factura_c_mes5[[#This Row],[CUIT]]="","-",VLOOKUP(factura_c_mes5[[#This Row],[CUIT]],Lista_CUIT[#All],4,0)),"CUIT NO CARGADO")</f>
        <v>0</v>
      </c>
    </row>
    <row r="88" spans="4:11" x14ac:dyDescent="0.3">
      <c r="D88" s="50">
        <v>45154</v>
      </c>
      <c r="E88" s="42">
        <v>1</v>
      </c>
      <c r="F88" s="43">
        <v>174</v>
      </c>
      <c r="G88" s="44">
        <v>27925308868</v>
      </c>
      <c r="H88" s="53" t="str">
        <f>IFERROR(IF(factura_c_mes5[[#This Row],[CUIT]]="","-",VLOOKUP(factura_c_mes5[[#This Row],[CUIT]],Lista_CUIT[#All],2,0)),"CUIT NO CARGADO")</f>
        <v>LOPEZ MOLINA MARIA</v>
      </c>
      <c r="I88" s="81">
        <v>2000</v>
      </c>
      <c r="J88" s="54">
        <f>IFERROR(IF(factura_c_mes5[[#This Row],[CUIT]]="","-",VLOOKUP(factura_c_mes5[[#This Row],[CUIT]],Lista_CUIT[#All],3,0)),"CUIT NO CARGADO")</f>
        <v>0</v>
      </c>
      <c r="K88" s="54">
        <f>IFERROR(IF(factura_c_mes5[[#This Row],[CUIT]]="","-",VLOOKUP(factura_c_mes5[[#This Row],[CUIT]],Lista_CUIT[#All],4,0)),"CUIT NO CARGADO")</f>
        <v>0</v>
      </c>
    </row>
    <row r="89" spans="4:11" x14ac:dyDescent="0.3">
      <c r="D89" s="305">
        <v>45159</v>
      </c>
      <c r="E89" s="234">
        <v>2</v>
      </c>
      <c r="F89" s="234">
        <v>88</v>
      </c>
      <c r="G89" s="235">
        <v>20244271740</v>
      </c>
      <c r="H89" s="236" t="str">
        <f>IFERROR(IF(factura_c_mes5[[#This Row],[CUIT]]="","-",VLOOKUP(factura_c_mes5[[#This Row],[CUIT]],Lista_CUIT[#All],2,0)),"CUIT NO CARGADO")</f>
        <v>KENNEL SEBASTIAN</v>
      </c>
      <c r="I89" s="237">
        <v>199500</v>
      </c>
      <c r="J89" s="238" t="str">
        <f>IFERROR(IF(factura_c_mes5[[#This Row],[CUIT]]="","-",VLOOKUP(factura_c_mes5[[#This Row],[CUIT]],Lista_CUIT[#All],3,0)),"CUIT NO CARGADO")</f>
        <v>Software Mantenimiento</v>
      </c>
      <c r="K89" s="238">
        <f>IFERROR(IF(factura_c_mes5[[#This Row],[CUIT]]="","-",VLOOKUP(factura_c_mes5[[#This Row],[CUIT]],Lista_CUIT[#All],4,0)),"CUIT NO CARGADO")</f>
        <v>0</v>
      </c>
    </row>
    <row r="90" spans="4:11" x14ac:dyDescent="0.3">
      <c r="D90" s="305">
        <v>45160</v>
      </c>
      <c r="E90" s="234">
        <v>4</v>
      </c>
      <c r="F90" s="234">
        <v>52</v>
      </c>
      <c r="G90" s="235">
        <v>23214737914</v>
      </c>
      <c r="H90" s="236" t="str">
        <f>IFERROR(IF(factura_c_mes5[[#This Row],[CUIT]]="","-",VLOOKUP(factura_c_mes5[[#This Row],[CUIT]],Lista_CUIT[#All],2,0)),"CUIT NO CARGADO")</f>
        <v>SBARRA GABRIELA BEATRIZ</v>
      </c>
      <c r="I90" s="237">
        <v>400270</v>
      </c>
      <c r="J90" s="238">
        <f>IFERROR(IF(factura_c_mes5[[#This Row],[CUIT]]="","-",VLOOKUP(factura_c_mes5[[#This Row],[CUIT]],Lista_CUIT[#All],3,0)),"CUIT NO CARGADO")</f>
        <v>0</v>
      </c>
      <c r="K90" s="238">
        <f>IFERROR(IF(factura_c_mes5[[#This Row],[CUIT]]="","-",VLOOKUP(factura_c_mes5[[#This Row],[CUIT]],Lista_CUIT[#All],4,0)),"CUIT NO CARGADO")</f>
        <v>0</v>
      </c>
    </row>
    <row r="91" spans="4:11" x14ac:dyDescent="0.3">
      <c r="D91" s="50">
        <v>45161</v>
      </c>
      <c r="E91" s="42">
        <v>1</v>
      </c>
      <c r="F91" s="43">
        <v>633</v>
      </c>
      <c r="G91" s="44">
        <v>27349373225</v>
      </c>
      <c r="H91" s="53" t="str">
        <f>IFERROR(IF(factura_c_mes5[[#This Row],[CUIT]]="","-",VLOOKUP(factura_c_mes5[[#This Row],[CUIT]],Lista_CUIT[#All],2,0)),"CUIT NO CARGADO")</f>
        <v>LOPEZ DAIANA BELEN</v>
      </c>
      <c r="I91" s="81">
        <v>8450</v>
      </c>
      <c r="J91" s="54">
        <f>IFERROR(IF(factura_c_mes5[[#This Row],[CUIT]]="","-",VLOOKUP(factura_c_mes5[[#This Row],[CUIT]],Lista_CUIT[#All],3,0)),"CUIT NO CARGADO")</f>
        <v>0</v>
      </c>
      <c r="K91" s="54">
        <f>IFERROR(IF(factura_c_mes5[[#This Row],[CUIT]]="","-",VLOOKUP(factura_c_mes5[[#This Row],[CUIT]],Lista_CUIT[#All],4,0)),"CUIT NO CARGADO")</f>
        <v>0</v>
      </c>
    </row>
    <row r="92" spans="4:11" x14ac:dyDescent="0.3">
      <c r="D92" s="50">
        <v>45161</v>
      </c>
      <c r="E92" s="42">
        <v>1</v>
      </c>
      <c r="F92" s="43">
        <v>33</v>
      </c>
      <c r="G92" s="44">
        <v>20382910681</v>
      </c>
      <c r="H92" s="53" t="str">
        <f>IFERROR(IF(factura_c_mes5[[#This Row],[CUIT]]="","-",VLOOKUP(factura_c_mes5[[#This Row],[CUIT]],Lista_CUIT[#All],2,0)),"CUIT NO CARGADO")</f>
        <v>JULIAN FELIPE</v>
      </c>
      <c r="I92" s="81">
        <v>349999</v>
      </c>
      <c r="J92" s="54">
        <f>IFERROR(IF(factura_c_mes5[[#This Row],[CUIT]]="","-",VLOOKUP(factura_c_mes5[[#This Row],[CUIT]],Lista_CUIT[#All],3,0)),"CUIT NO CARGADO")</f>
        <v>0</v>
      </c>
      <c r="K92" s="54">
        <f>IFERROR(IF(factura_c_mes5[[#This Row],[CUIT]]="","-",VLOOKUP(factura_c_mes5[[#This Row],[CUIT]],Lista_CUIT[#All],4,0)),"CUIT NO CARGADO")</f>
        <v>0</v>
      </c>
    </row>
    <row r="93" spans="4:11" x14ac:dyDescent="0.3">
      <c r="D93" s="305">
        <v>45161</v>
      </c>
      <c r="E93" s="234">
        <v>3</v>
      </c>
      <c r="F93" s="234">
        <v>59</v>
      </c>
      <c r="G93" s="235">
        <v>20403931420</v>
      </c>
      <c r="H93" s="236" t="str">
        <f>IFERROR(IF(factura_c_mes5[[#This Row],[CUIT]]="","-",VLOOKUP(factura_c_mes5[[#This Row],[CUIT]],Lista_CUIT[#All],2,0)),"CUIT NO CARGADO")</f>
        <v>FIORENTINO JORGE IGNACIO</v>
      </c>
      <c r="I93" s="237">
        <v>161520</v>
      </c>
      <c r="J93" s="238" t="str">
        <f>IFERROR(IF(factura_c_mes5[[#This Row],[CUIT]]="","-",VLOOKUP(factura_c_mes5[[#This Row],[CUIT]],Lista_CUIT[#All],3,0)),"CUIT NO CARGADO")</f>
        <v>Hon. Admin.</v>
      </c>
      <c r="K93" s="238">
        <f>IFERROR(IF(factura_c_mes5[[#This Row],[CUIT]]="","-",VLOOKUP(factura_c_mes5[[#This Row],[CUIT]],Lista_CUIT[#All],4,0)),"CUIT NO CARGADO")</f>
        <v>0</v>
      </c>
    </row>
    <row r="94" spans="4:11" x14ac:dyDescent="0.3">
      <c r="D94" s="305">
        <v>45166</v>
      </c>
      <c r="E94" s="234">
        <v>1</v>
      </c>
      <c r="F94" s="234">
        <v>27</v>
      </c>
      <c r="G94" s="235">
        <v>20365938688</v>
      </c>
      <c r="H94" s="236" t="str">
        <f>IFERROR(IF(factura_c_mes5[[#This Row],[CUIT]]="","-",VLOOKUP(factura_c_mes5[[#This Row],[CUIT]],Lista_CUIT[#All],2,0)),"CUIT NO CARGADO")</f>
        <v>LIPANOVICH JUAN CRUZ</v>
      </c>
      <c r="I94" s="237">
        <v>450000</v>
      </c>
      <c r="J94" s="238" t="str">
        <f>IFERROR(IF(factura_c_mes5[[#This Row],[CUIT]]="","-",VLOOKUP(factura_c_mes5[[#This Row],[CUIT]],Lista_CUIT[#All],3,0)),"CUIT NO CARGADO")</f>
        <v>SOFTWARE</v>
      </c>
      <c r="K94" s="238">
        <f>IFERROR(IF(factura_c_mes5[[#This Row],[CUIT]]="","-",VLOOKUP(factura_c_mes5[[#This Row],[CUIT]],Lista_CUIT[#All],4,0)),"CUIT NO CARGADO")</f>
        <v>0</v>
      </c>
    </row>
    <row r="95" spans="4:11" x14ac:dyDescent="0.3">
      <c r="D95" s="50">
        <v>45167</v>
      </c>
      <c r="E95" s="42">
        <v>1</v>
      </c>
      <c r="F95" s="43">
        <v>197</v>
      </c>
      <c r="G95" s="44">
        <v>27925308868</v>
      </c>
      <c r="H95" s="53" t="str">
        <f>IFERROR(IF(factura_c_mes5[[#This Row],[CUIT]]="","-",VLOOKUP(factura_c_mes5[[#This Row],[CUIT]],Lista_CUIT[#All],2,0)),"CUIT NO CARGADO")</f>
        <v>LOPEZ MOLINA MARIA</v>
      </c>
      <c r="I95" s="81">
        <v>7000</v>
      </c>
      <c r="J95" s="54">
        <f>IFERROR(IF(factura_c_mes5[[#This Row],[CUIT]]="","-",VLOOKUP(factura_c_mes5[[#This Row],[CUIT]],Lista_CUIT[#All],3,0)),"CUIT NO CARGADO")</f>
        <v>0</v>
      </c>
      <c r="K95" s="54">
        <f>IFERROR(IF(factura_c_mes5[[#This Row],[CUIT]]="","-",VLOOKUP(factura_c_mes5[[#This Row],[CUIT]],Lista_CUIT[#All],4,0)),"CUIT NO CARGADO")</f>
        <v>0</v>
      </c>
    </row>
    <row r="96" spans="4:11" x14ac:dyDescent="0.3">
      <c r="D96" s="50">
        <v>45169</v>
      </c>
      <c r="E96" s="42">
        <v>1</v>
      </c>
      <c r="F96" s="43">
        <v>13</v>
      </c>
      <c r="G96" s="44">
        <v>27387896150</v>
      </c>
      <c r="H96" s="53" t="str">
        <f>IFERROR(IF(factura_c_mes5[[#This Row],[CUIT]]="","-",VLOOKUP(factura_c_mes5[[#This Row],[CUIT]],Lista_CUIT[#All],2,0)),"CUIT NO CARGADO")</f>
        <v>LIPANOVICH MARIA SOL</v>
      </c>
      <c r="I96" s="81">
        <v>400000</v>
      </c>
      <c r="J96" s="54" t="str">
        <f>IFERROR(IF(factura_c_mes5[[#This Row],[CUIT]]="","-",VLOOKUP(factura_c_mes5[[#This Row],[CUIT]],Lista_CUIT[#All],3,0)),"CUIT NO CARGADO")</f>
        <v>consultoria informatica</v>
      </c>
      <c r="K96" s="54">
        <f>IFERROR(IF(factura_c_mes5[[#This Row],[CUIT]]="","-",VLOOKUP(factura_c_mes5[[#This Row],[CUIT]],Lista_CUIT[#All],4,0)),"CUIT NO CARGADO")</f>
        <v>0</v>
      </c>
    </row>
    <row r="97" spans="2:18" x14ac:dyDescent="0.3">
      <c r="D97" s="161"/>
      <c r="E97" s="161"/>
      <c r="F97" s="161"/>
      <c r="G97" s="141"/>
      <c r="H97" s="142" t="str">
        <f>IFERROR(IF(factura_c_mes5[[#This Row],[CUIT]]="","-",VLOOKUP(factura_c_mes5[[#This Row],[CUIT]],Lista_CUIT[#All],2,0)),"CUIT NO CARGADO")</f>
        <v>-</v>
      </c>
      <c r="I97" s="162"/>
      <c r="J97" s="163" t="str">
        <f>IFERROR(IF(factura_c_mes5[[#This Row],[CUIT]]="","-",VLOOKUP(factura_c_mes5[[#This Row],[CUIT]],Lista_CUIT[#All],3,0)),"CUIT NO CARGADO")</f>
        <v>-</v>
      </c>
      <c r="K97" s="163" t="str">
        <f>IFERROR(IF(factura_c_mes5[[#This Row],[CUIT]]="","-",VLOOKUP(factura_c_mes5[[#This Row],[CUIT]],Lista_CUIT[#All],4,0)),"CUIT NO CARGADO")</f>
        <v>-</v>
      </c>
    </row>
    <row r="98" spans="2:18" x14ac:dyDescent="0.3">
      <c r="D98" s="161"/>
      <c r="E98" s="161"/>
      <c r="F98" s="161"/>
      <c r="G98" s="141"/>
      <c r="H98" s="142" t="str">
        <f>IFERROR(IF(factura_c_mes5[[#This Row],[CUIT]]="","-",VLOOKUP(factura_c_mes5[[#This Row],[CUIT]],Lista_CUIT[#All],2,0)),"CUIT NO CARGADO")</f>
        <v>-</v>
      </c>
      <c r="I98" s="162"/>
      <c r="J98" s="163" t="str">
        <f>IFERROR(IF(factura_c_mes5[[#This Row],[CUIT]]="","-",VLOOKUP(factura_c_mes5[[#This Row],[CUIT]],Lista_CUIT[#All],3,0)),"CUIT NO CARGADO")</f>
        <v>-</v>
      </c>
      <c r="K98" s="163" t="str">
        <f>IFERROR(IF(factura_c_mes5[[#This Row],[CUIT]]="","-",VLOOKUP(factura_c_mes5[[#This Row],[CUIT]],Lista_CUIT[#All],4,0)),"CUIT NO CARGADO")</f>
        <v>-</v>
      </c>
    </row>
    <row r="99" spans="2:18" x14ac:dyDescent="0.3">
      <c r="D99" s="55" t="s">
        <v>110</v>
      </c>
      <c r="E99" s="55"/>
      <c r="F99" s="55"/>
      <c r="G99" s="55"/>
      <c r="H99" s="57"/>
      <c r="I99" s="58">
        <f>SUBTOTAL(109,factura_c_mes5[TOTAL])</f>
        <v>3124871</v>
      </c>
      <c r="J99" s="55"/>
      <c r="K99" s="55"/>
    </row>
    <row r="100" spans="2:18" x14ac:dyDescent="0.3">
      <c r="B100" s="56"/>
      <c r="C100" s="56"/>
      <c r="L100" s="56"/>
      <c r="M100" s="56"/>
      <c r="N100" s="56"/>
      <c r="O100" s="56"/>
      <c r="P100" s="56"/>
      <c r="Q100" s="56"/>
      <c r="R100" s="56"/>
    </row>
    <row r="105" spans="2:18" ht="19.2" customHeight="1" x14ac:dyDescent="0.3">
      <c r="B105" s="430" t="s">
        <v>29</v>
      </c>
      <c r="C105" s="430"/>
      <c r="D105" s="430"/>
      <c r="E105" s="430"/>
      <c r="F105" s="430"/>
      <c r="G105" s="430"/>
      <c r="H105" s="430"/>
      <c r="I105" s="430"/>
      <c r="J105" s="430"/>
      <c r="K105" s="426">
        <f>N1</f>
        <v>45139</v>
      </c>
      <c r="L105" s="426"/>
      <c r="M105" s="426"/>
    </row>
    <row r="107" spans="2:18" ht="21" x14ac:dyDescent="0.3">
      <c r="B107" s="422" t="s">
        <v>30</v>
      </c>
      <c r="C107" s="422"/>
    </row>
    <row r="108" spans="2:18" ht="15.6" x14ac:dyDescent="0.3">
      <c r="B108" s="60" t="s">
        <v>0</v>
      </c>
      <c r="C108" s="61" t="s">
        <v>1</v>
      </c>
      <c r="D108" s="61" t="s">
        <v>21</v>
      </c>
      <c r="E108" s="61" t="s">
        <v>22</v>
      </c>
      <c r="F108" s="61" t="s">
        <v>3</v>
      </c>
      <c r="G108" s="61" t="s">
        <v>4</v>
      </c>
      <c r="H108" s="61" t="s">
        <v>23</v>
      </c>
      <c r="I108" s="61" t="s">
        <v>17</v>
      </c>
      <c r="J108" s="61" t="s">
        <v>7</v>
      </c>
      <c r="K108" s="61" t="s">
        <v>24</v>
      </c>
      <c r="L108" s="61" t="s">
        <v>10</v>
      </c>
      <c r="M108" s="62" t="s">
        <v>38</v>
      </c>
    </row>
    <row r="109" spans="2:18" x14ac:dyDescent="0.3">
      <c r="B109" s="40">
        <v>45141</v>
      </c>
      <c r="C109" s="41">
        <v>1</v>
      </c>
      <c r="D109" s="42">
        <v>3</v>
      </c>
      <c r="E109" s="43">
        <v>149</v>
      </c>
      <c r="F109" s="44">
        <v>30717260968</v>
      </c>
      <c r="G109" s="99" t="str">
        <f>IFERROR(IF(venta_a_mes5[[#This Row],[CUIT]]="","-",VLOOKUP(venta_a_mes5[[#This Row],[CUIT]],Lista_CUIT[#All],2,0)),"CUIT NO CARGADO")</f>
        <v>2 IN FLOW COMPAÑIA DE SERVICIOS S. A.</v>
      </c>
      <c r="H109" s="100">
        <v>3550719.9999999995</v>
      </c>
      <c r="I109" s="101">
        <f>venta_a_mes5[[#This Row],[IMPORTE NETO]]*0.21</f>
        <v>745651.19999999984</v>
      </c>
      <c r="J109" s="65"/>
      <c r="K109" s="65"/>
      <c r="L109" s="65">
        <f>SUM(venta_a_mes5[[#This Row],[IMPORTE NETO]:[EXENTO]])</f>
        <v>4296371.1999999993</v>
      </c>
      <c r="M109" s="59"/>
    </row>
    <row r="110" spans="2:18" x14ac:dyDescent="0.3">
      <c r="B110" s="40">
        <v>45154</v>
      </c>
      <c r="C110" s="41">
        <v>1</v>
      </c>
      <c r="D110" s="42">
        <v>3</v>
      </c>
      <c r="E110" s="43">
        <v>150</v>
      </c>
      <c r="F110" s="44">
        <v>30717260968</v>
      </c>
      <c r="G110" s="99" t="str">
        <f>IFERROR(IF(venta_a_mes5[[#This Row],[CUIT]]="","-",VLOOKUP(venta_a_mes5[[#This Row],[CUIT]],Lista_CUIT[#All],2,0)),"CUIT NO CARGADO")</f>
        <v>2 IN FLOW COMPAÑIA DE SERVICIOS S. A.</v>
      </c>
      <c r="H110" s="100">
        <v>4479360</v>
      </c>
      <c r="I110" s="101">
        <f>venta_a_mes5[[#This Row],[IMPORTE NETO]]*0.21</f>
        <v>940665.6</v>
      </c>
      <c r="J110" s="65"/>
      <c r="K110" s="65"/>
      <c r="L110" s="65">
        <f>SUM(venta_a_mes5[[#This Row],[IMPORTE NETO]:[EXENTO]])</f>
        <v>5420025.5999999996</v>
      </c>
      <c r="M110" s="59"/>
    </row>
    <row r="111" spans="2:18" x14ac:dyDescent="0.3">
      <c r="B111" s="40">
        <v>45155</v>
      </c>
      <c r="C111" s="41">
        <v>1</v>
      </c>
      <c r="D111" s="42">
        <v>3</v>
      </c>
      <c r="E111" s="43">
        <v>151</v>
      </c>
      <c r="F111" s="44">
        <v>30638318470</v>
      </c>
      <c r="G111" s="99" t="str">
        <f>IFERROR(IF(venta_a_mes5[[#This Row],[CUIT]]="","-",VLOOKUP(venta_a_mes5[[#This Row],[CUIT]],Lista_CUIT[#All],2,0)),"CUIT NO CARGADO")</f>
        <v>DELTA COMPRESION S R L</v>
      </c>
      <c r="H111" s="100">
        <v>11856306</v>
      </c>
      <c r="I111" s="101"/>
      <c r="J111" s="65">
        <f>venta_a_mes5[[#This Row],[IMPORTE NETO]]*0.105</f>
        <v>1244912.1299999999</v>
      </c>
      <c r="K111" s="65"/>
      <c r="L111" s="65">
        <f>SUM(venta_a_mes5[[#This Row],[IMPORTE NETO]:[EXENTO]])</f>
        <v>13101218.129999999</v>
      </c>
      <c r="M111" s="59"/>
    </row>
    <row r="112" spans="2:18" x14ac:dyDescent="0.3">
      <c r="B112" s="40">
        <v>45156</v>
      </c>
      <c r="C112" s="41">
        <v>1</v>
      </c>
      <c r="D112" s="42">
        <v>3</v>
      </c>
      <c r="E112" s="43">
        <v>152</v>
      </c>
      <c r="F112" s="44">
        <v>30711569843</v>
      </c>
      <c r="G112" s="99" t="str">
        <f>IFERROR(IF(venta_a_mes5[[#This Row],[CUIT]]="","-",VLOOKUP(venta_a_mes5[[#This Row],[CUIT]],Lista_CUIT[#All],2,0)),"CUIT NO CARGADO")</f>
        <v>ELECTRO IND S.R.L</v>
      </c>
      <c r="H112" s="100">
        <v>114922.5</v>
      </c>
      <c r="I112" s="101">
        <f>venta_a_mes5[[#This Row],[IMPORTE NETO]]*0.21</f>
        <v>24133.724999999999</v>
      </c>
      <c r="J112" s="65"/>
      <c r="K112" s="65"/>
      <c r="L112" s="65">
        <f>SUM(venta_a_mes5[[#This Row],[IMPORTE NETO]:[EXENTO]])</f>
        <v>139056.22500000001</v>
      </c>
      <c r="M112" s="59"/>
    </row>
    <row r="113" spans="2:13" x14ac:dyDescent="0.3">
      <c r="B113" s="40">
        <v>45161</v>
      </c>
      <c r="C113" s="41">
        <v>1</v>
      </c>
      <c r="D113" s="42">
        <v>3</v>
      </c>
      <c r="E113" s="43">
        <v>153</v>
      </c>
      <c r="F113" s="44">
        <v>30638318470</v>
      </c>
      <c r="G113" s="99" t="str">
        <f>IFERROR(IF(venta_a_mes5[[#This Row],[CUIT]]="","-",VLOOKUP(venta_a_mes5[[#This Row],[CUIT]],Lista_CUIT[#All],2,0)),"CUIT NO CARGADO")</f>
        <v>DELTA COMPRESION S R L</v>
      </c>
      <c r="H113" s="100">
        <v>2075553.45</v>
      </c>
      <c r="I113" s="101">
        <f>venta_a_mes5[[#This Row],[IMPORTE NETO]]*0.21</f>
        <v>435866.22449999995</v>
      </c>
      <c r="J113" s="65"/>
      <c r="K113" s="65"/>
      <c r="L113" s="65">
        <f>SUM(venta_a_mes5[[#This Row],[IMPORTE NETO]:[EXENTO]])</f>
        <v>2511419.6744999997</v>
      </c>
      <c r="M113" s="59"/>
    </row>
    <row r="114" spans="2:13" x14ac:dyDescent="0.3">
      <c r="B114" s="40">
        <v>45167</v>
      </c>
      <c r="C114" s="41">
        <v>1</v>
      </c>
      <c r="D114" s="42">
        <v>3</v>
      </c>
      <c r="E114" s="43">
        <v>154</v>
      </c>
      <c r="F114" s="44">
        <v>30638318470</v>
      </c>
      <c r="G114" s="99" t="str">
        <f>IFERROR(IF(venta_a_mes5[[#This Row],[CUIT]]="","-",VLOOKUP(venta_a_mes5[[#This Row],[CUIT]],Lista_CUIT[#All],2,0)),"CUIT NO CARGADO")</f>
        <v>DELTA COMPRESION S R L</v>
      </c>
      <c r="H114" s="100">
        <v>11856306</v>
      </c>
      <c r="I114" s="101"/>
      <c r="J114" s="65">
        <f>venta_a_mes5[[#This Row],[IMPORTE NETO]]*0.105</f>
        <v>1244912.1299999999</v>
      </c>
      <c r="K114" s="65"/>
      <c r="L114" s="65">
        <f>SUM(venta_a_mes5[[#This Row],[IMPORTE NETO]:[EXENTO]])</f>
        <v>13101218.129999999</v>
      </c>
      <c r="M114" s="59"/>
    </row>
    <row r="115" spans="2:13" x14ac:dyDescent="0.3">
      <c r="B115" s="40">
        <v>45168</v>
      </c>
      <c r="C115" s="41">
        <v>1</v>
      </c>
      <c r="D115" s="42">
        <v>3</v>
      </c>
      <c r="E115" s="43">
        <v>155</v>
      </c>
      <c r="F115" s="44">
        <v>30628274327</v>
      </c>
      <c r="G115" s="99" t="str">
        <f>IFERROR(IF(venta_a_mes5[[#This Row],[CUIT]]="","-",VLOOKUP(venta_a_mes5[[#This Row],[CUIT]],Lista_CUIT[#All],2,0)),"CUIT NO CARGADO")</f>
        <v>AGIRA  S A</v>
      </c>
      <c r="H115" s="100">
        <v>1564500</v>
      </c>
      <c r="I115" s="101"/>
      <c r="J115" s="65">
        <f>venta_a_mes5[[#This Row],[IMPORTE NETO]]*0.105</f>
        <v>164272.5</v>
      </c>
      <c r="K115" s="65"/>
      <c r="L115" s="65">
        <f>SUM(venta_a_mes5[[#This Row],[IMPORTE NETO]:[EXENTO]])</f>
        <v>1728772.5</v>
      </c>
      <c r="M115" s="63"/>
    </row>
    <row r="116" spans="2:13" x14ac:dyDescent="0.3">
      <c r="B116" s="102">
        <v>45169</v>
      </c>
      <c r="C116" s="41">
        <v>1</v>
      </c>
      <c r="D116" s="104">
        <v>3</v>
      </c>
      <c r="E116" s="105">
        <v>156</v>
      </c>
      <c r="F116" s="106">
        <v>33709302839</v>
      </c>
      <c r="G116" s="99" t="str">
        <f>IFERROR(IF(venta_a_mes5[[#This Row],[CUIT]]="","-",VLOOKUP(venta_a_mes5[[#This Row],[CUIT]],Lista_CUIT[#All],2,0)),"CUIT NO CARGADO")</f>
        <v>COMPRESURT S.A.</v>
      </c>
      <c r="H116" s="107">
        <v>1203527.27</v>
      </c>
      <c r="I116" s="108">
        <f>venta_a_mes5[[#This Row],[IMPORTE NETO]]*0.21</f>
        <v>252740.7267</v>
      </c>
      <c r="J116" s="72"/>
      <c r="K116" s="72"/>
      <c r="L116" s="72">
        <f>SUM(venta_a_mes5[[#This Row],[IMPORTE NETO]:[EXENTO]])</f>
        <v>1456267.9967</v>
      </c>
      <c r="M116" s="63"/>
    </row>
    <row r="117" spans="2:13" x14ac:dyDescent="0.3">
      <c r="B117" s="109">
        <v>45152</v>
      </c>
      <c r="C117" s="110">
        <v>3</v>
      </c>
      <c r="D117" s="111">
        <v>3</v>
      </c>
      <c r="E117" s="112">
        <v>19</v>
      </c>
      <c r="F117" s="113">
        <v>30717260968</v>
      </c>
      <c r="G117" s="99" t="str">
        <f>IFERROR(IF(venta_a_mes5[[#This Row],[CUIT]]="","-",VLOOKUP(venta_a_mes5[[#This Row],[CUIT]],Lista_CUIT[#All],2,0)),"CUIT NO CARGADO")</f>
        <v>2 IN FLOW COMPAÑIA DE SERVICIOS S. A.</v>
      </c>
      <c r="H117" s="100">
        <v>-3550720</v>
      </c>
      <c r="I117" s="101">
        <f>venta_a_mes5[[#This Row],[IMPORTE NETO]]*0.21</f>
        <v>-745651.19999999995</v>
      </c>
      <c r="J117" s="65"/>
      <c r="K117" s="65"/>
      <c r="L117" s="65">
        <f>SUM(venta_a_mes5[[#This Row],[IMPORTE NETO]:[EXENTO]])</f>
        <v>-4296371.2</v>
      </c>
      <c r="M117" s="59"/>
    </row>
    <row r="118" spans="2:13" x14ac:dyDescent="0.3">
      <c r="B118" s="66" t="s">
        <v>110</v>
      </c>
      <c r="C118" s="67"/>
      <c r="D118" s="67"/>
      <c r="E118" s="67"/>
      <c r="F118" s="67"/>
      <c r="G118" s="67"/>
      <c r="H118" s="69">
        <f>SUBTOTAL(109,venta_a_mes5[IMPORTE NETO])</f>
        <v>33150475.220000006</v>
      </c>
      <c r="I118" s="70">
        <f>SUBTOTAL(109,venta_a_mes5[IVA 21%])</f>
        <v>1653406.2762</v>
      </c>
      <c r="J118" s="71">
        <f>SUBTOTAL(109,venta_a_mes5[IVA 10,5%])</f>
        <v>2654096.7599999998</v>
      </c>
      <c r="K118" s="71">
        <f>SUBTOTAL(109,venta_a_mes5[EXENTO])</f>
        <v>0</v>
      </c>
      <c r="L118" s="71">
        <f>SUBTOTAL(109,venta_a_mes5[TOTAL])</f>
        <v>37457978.256200001</v>
      </c>
      <c r="M118" s="68">
        <f>SUBTOTAL(103,venta_a_mes5[Provincia])</f>
        <v>0</v>
      </c>
    </row>
    <row r="121" spans="2:13" ht="21" x14ac:dyDescent="0.3">
      <c r="B121" s="422" t="s">
        <v>31</v>
      </c>
      <c r="C121" s="422"/>
    </row>
    <row r="122" spans="2:13" ht="15.6" x14ac:dyDescent="0.3">
      <c r="B122" s="60" t="s">
        <v>0</v>
      </c>
      <c r="C122" s="61" t="s">
        <v>1</v>
      </c>
      <c r="D122" s="61" t="s">
        <v>21</v>
      </c>
      <c r="E122" s="61" t="s">
        <v>22</v>
      </c>
      <c r="F122" s="61" t="s">
        <v>3</v>
      </c>
      <c r="G122" s="61" t="s">
        <v>4</v>
      </c>
      <c r="H122" s="61" t="s">
        <v>23</v>
      </c>
      <c r="I122" s="61" t="s">
        <v>17</v>
      </c>
      <c r="J122" s="61" t="s">
        <v>7</v>
      </c>
      <c r="K122" s="61" t="s">
        <v>24</v>
      </c>
      <c r="L122" s="61" t="s">
        <v>10</v>
      </c>
      <c r="M122" s="62" t="s">
        <v>38</v>
      </c>
    </row>
    <row r="123" spans="2:13" x14ac:dyDescent="0.3">
      <c r="B123" s="40">
        <v>45160</v>
      </c>
      <c r="C123" s="41">
        <v>6</v>
      </c>
      <c r="D123" s="42">
        <v>3</v>
      </c>
      <c r="E123" s="43">
        <v>7</v>
      </c>
      <c r="F123" s="44"/>
      <c r="G123" s="1" t="str">
        <f>IFERROR(IF(ventas_b_mes5[[#This Row],[CUIT]]="","-",VLOOKUP(ventas_b_mes5[[#This Row],[CUIT]],Lista_CUIT[#All],2,0)),"CUIT NO CARGADO")</f>
        <v>-</v>
      </c>
      <c r="H123" s="64">
        <f>ventas_b_mes5[[#This Row],[TOTAL]]/1.21</f>
        <v>103102.5</v>
      </c>
      <c r="I123" s="64">
        <f>ventas_b_mes5[[#This Row],[IMPORTE NETO]]*0.21</f>
        <v>21651.524999999998</v>
      </c>
      <c r="J123" s="64"/>
      <c r="K123" s="64"/>
      <c r="L123" s="64">
        <v>124754.02499999999</v>
      </c>
      <c r="M123" s="59"/>
    </row>
    <row r="124" spans="2:13" x14ac:dyDescent="0.3">
      <c r="B124" s="40">
        <v>45160</v>
      </c>
      <c r="C124" s="41">
        <v>6</v>
      </c>
      <c r="D124" s="42">
        <v>3</v>
      </c>
      <c r="E124" s="43">
        <v>8</v>
      </c>
      <c r="F124" s="44"/>
      <c r="G124" s="1"/>
      <c r="H124" s="64">
        <f>ventas_b_mes5[[#This Row],[TOTAL]]/1.21</f>
        <v>80385</v>
      </c>
      <c r="I124" s="64">
        <f>ventas_b_mes5[[#This Row],[IMPORTE NETO]]*0.21</f>
        <v>16880.849999999999</v>
      </c>
      <c r="J124" s="64"/>
      <c r="K124" s="64"/>
      <c r="L124" s="64">
        <v>97265.85</v>
      </c>
      <c r="M124" s="59"/>
    </row>
    <row r="125" spans="2:13" x14ac:dyDescent="0.3">
      <c r="B125" s="40"/>
      <c r="C125" s="41"/>
      <c r="D125" s="42"/>
      <c r="E125" s="43"/>
      <c r="F125" s="44"/>
      <c r="G125" s="1"/>
      <c r="H125" s="64">
        <f>ventas_b_mes5[[#This Row],[TOTAL]]/1.21</f>
        <v>0</v>
      </c>
      <c r="I125" s="64">
        <f>ventas_b_mes5[[#This Row],[IMPORTE NETO]]*0.21</f>
        <v>0</v>
      </c>
      <c r="J125" s="64"/>
      <c r="K125" s="64"/>
      <c r="L125" s="64"/>
      <c r="M125" s="59"/>
    </row>
    <row r="126" spans="2:13" x14ac:dyDescent="0.3">
      <c r="B126" s="40"/>
      <c r="C126" s="41"/>
      <c r="D126" s="42"/>
      <c r="E126" s="43"/>
      <c r="F126" s="44"/>
      <c r="G126" s="1"/>
      <c r="H126" s="64">
        <f>ventas_b_mes5[[#This Row],[TOTAL]]/1.21</f>
        <v>0</v>
      </c>
      <c r="I126" s="64">
        <f>ventas_b_mes5[[#This Row],[IMPORTE NETO]]*0.21</f>
        <v>0</v>
      </c>
      <c r="J126" s="64"/>
      <c r="K126" s="64"/>
      <c r="L126" s="64"/>
      <c r="M126" s="59"/>
    </row>
    <row r="127" spans="2:13" x14ac:dyDescent="0.3">
      <c r="B127" s="40"/>
      <c r="C127" s="41"/>
      <c r="D127" s="42"/>
      <c r="E127" s="43"/>
      <c r="F127" s="44"/>
      <c r="G127" s="1"/>
      <c r="H127" s="64">
        <f>ventas_b_mes5[[#This Row],[TOTAL]]/1.21</f>
        <v>0</v>
      </c>
      <c r="I127" s="64">
        <f>ventas_b_mes5[[#This Row],[IMPORTE NETO]]*0.21</f>
        <v>0</v>
      </c>
      <c r="J127" s="64"/>
      <c r="K127" s="64"/>
      <c r="L127" s="64"/>
      <c r="M127" s="59"/>
    </row>
    <row r="128" spans="2:13" x14ac:dyDescent="0.3">
      <c r="B128" s="40"/>
      <c r="C128" s="41"/>
      <c r="D128" s="42"/>
      <c r="E128" s="43"/>
      <c r="F128" s="44"/>
      <c r="G128" s="1"/>
      <c r="H128" s="64">
        <f>ventas_b_mes5[[#This Row],[TOTAL]]/1.21</f>
        <v>0</v>
      </c>
      <c r="I128" s="64">
        <f>ventas_b_mes5[[#This Row],[IMPORTE NETO]]*0.21</f>
        <v>0</v>
      </c>
      <c r="J128" s="64"/>
      <c r="K128" s="64"/>
      <c r="L128" s="64"/>
      <c r="M128" s="59"/>
    </row>
    <row r="129" spans="2:13" x14ac:dyDescent="0.3">
      <c r="B129" s="66" t="s">
        <v>110</v>
      </c>
      <c r="C129" s="67"/>
      <c r="D129" s="67"/>
      <c r="E129" s="67"/>
      <c r="F129" s="67"/>
      <c r="G129" s="67"/>
      <c r="H129" s="77">
        <f>SUBTOTAL(109,ventas_b_mes5[IMPORTE NETO])</f>
        <v>183487.5</v>
      </c>
      <c r="I129" s="77">
        <f>SUBTOTAL(109,ventas_b_mes5[IVA 21%])</f>
        <v>38532.375</v>
      </c>
      <c r="J129" s="78">
        <f>SUBTOTAL(109,ventas_b_mes5[IVA 10,5%])</f>
        <v>0</v>
      </c>
      <c r="K129" s="78">
        <f>SUBTOTAL(109,ventas_b_mes5[EXENTO])</f>
        <v>0</v>
      </c>
      <c r="L129" s="78">
        <f>SUBTOTAL(109,ventas_b_mes5[TOTAL])</f>
        <v>222019.875</v>
      </c>
      <c r="M129" s="68">
        <f>SUBTOTAL(103,ventas_b_mes5[Provincia])</f>
        <v>0</v>
      </c>
    </row>
    <row r="136" spans="2:13" ht="15" thickBot="1" x14ac:dyDescent="0.35"/>
    <row r="137" spans="2:13" ht="15" thickTop="1" x14ac:dyDescent="0.3">
      <c r="C137" s="433" t="s">
        <v>66</v>
      </c>
      <c r="D137" s="433"/>
      <c r="E137" s="433"/>
      <c r="F137" s="433"/>
      <c r="G137" s="433"/>
      <c r="H137" s="32"/>
      <c r="I137" s="32"/>
      <c r="J137" s="32"/>
    </row>
    <row r="138" spans="2:13" ht="15.6" x14ac:dyDescent="0.3">
      <c r="C138" s="114" t="s">
        <v>67</v>
      </c>
      <c r="D138" s="115" t="s">
        <v>68</v>
      </c>
      <c r="E138" s="115" t="s">
        <v>112</v>
      </c>
      <c r="F138" s="115" t="s">
        <v>3</v>
      </c>
      <c r="G138" s="115" t="s">
        <v>4</v>
      </c>
      <c r="H138" s="116" t="s">
        <v>69</v>
      </c>
      <c r="I138" s="116" t="s">
        <v>70</v>
      </c>
      <c r="J138" s="116" t="s">
        <v>71</v>
      </c>
      <c r="K138" s="116" t="s">
        <v>72</v>
      </c>
      <c r="L138" s="116" t="s">
        <v>73</v>
      </c>
    </row>
    <row r="139" spans="2:13" x14ac:dyDescent="0.3">
      <c r="C139" s="117">
        <v>44691</v>
      </c>
      <c r="D139" s="118">
        <v>11694</v>
      </c>
      <c r="E139" s="118"/>
      <c r="F139" s="119">
        <v>30506730038</v>
      </c>
      <c r="G139" s="53" t="str">
        <f>IFERROR(IF(Retenciones_mes5[[#This Row],[CUIT]]="","-",VLOOKUP(Retenciones_mes5[[#This Row],[CUIT]],Lista_CUIT[#All],2,0)),"CUIT NO CARGADO")</f>
        <v>S.A. IMP. Y EXPO.  PATAGONIA</v>
      </c>
      <c r="H139" s="120"/>
      <c r="I139" s="120">
        <v>9597.94</v>
      </c>
      <c r="J139" s="120">
        <v>914.09</v>
      </c>
      <c r="K139" s="120"/>
      <c r="L139" s="120"/>
    </row>
    <row r="140" spans="2:13" x14ac:dyDescent="0.3">
      <c r="C140" s="117"/>
      <c r="D140" s="118">
        <v>11695</v>
      </c>
      <c r="E140" s="118"/>
      <c r="F140" s="119"/>
      <c r="G140" s="53" t="str">
        <f>IFERROR(IF(Retenciones_mes5[[#This Row],[CUIT]]="","-",VLOOKUP(Retenciones_mes5[[#This Row],[CUIT]],Lista_CUIT[#All],2,0)),"CUIT NO CARGADO")</f>
        <v>-</v>
      </c>
      <c r="H140" s="120"/>
      <c r="I140" s="120"/>
      <c r="J140" s="120"/>
      <c r="K140" s="120"/>
      <c r="L140" s="120"/>
    </row>
    <row r="141" spans="2:13" x14ac:dyDescent="0.3">
      <c r="C141" s="117"/>
      <c r="D141" s="118">
        <v>11696</v>
      </c>
      <c r="E141" s="118"/>
      <c r="F141" s="119"/>
      <c r="G141" s="53" t="str">
        <f>IFERROR(IF(Retenciones_mes5[[#This Row],[CUIT]]="","-",VLOOKUP(Retenciones_mes5[[#This Row],[CUIT]],Lista_CUIT[#All],2,0)),"CUIT NO CARGADO")</f>
        <v>-</v>
      </c>
      <c r="H141" s="120"/>
      <c r="I141" s="120"/>
      <c r="J141" s="120"/>
      <c r="K141" s="120"/>
      <c r="L141" s="120"/>
    </row>
    <row r="142" spans="2:13" x14ac:dyDescent="0.3">
      <c r="C142" s="117"/>
      <c r="D142" s="118">
        <v>11697</v>
      </c>
      <c r="E142" s="118"/>
      <c r="F142" s="119"/>
      <c r="G142" s="53" t="str">
        <f>IFERROR(IF(Retenciones_mes5[[#This Row],[CUIT]]="","-",VLOOKUP(Retenciones_mes5[[#This Row],[CUIT]],Lista_CUIT[#All],2,0)),"CUIT NO CARGADO")</f>
        <v>-</v>
      </c>
      <c r="H142" s="120"/>
      <c r="I142" s="120"/>
      <c r="J142" s="120"/>
      <c r="K142" s="120"/>
      <c r="L142" s="120"/>
    </row>
    <row r="143" spans="2:13" x14ac:dyDescent="0.3">
      <c r="D143" s="118">
        <v>11698</v>
      </c>
      <c r="E143" s="118"/>
      <c r="G143" s="53" t="str">
        <f>IFERROR(IF(Retenciones_mes5[[#This Row],[CUIT]]="","-",VLOOKUP(Retenciones_mes5[[#This Row],[CUIT]],Lista_CUIT[#All],2,0)),"CUIT NO CARGADO")</f>
        <v>-</v>
      </c>
    </row>
    <row r="144" spans="2:13" x14ac:dyDescent="0.3">
      <c r="C144" s="33"/>
    </row>
  </sheetData>
  <mergeCells count="20">
    <mergeCell ref="C137:G137"/>
    <mergeCell ref="B4:E4"/>
    <mergeCell ref="G4:H4"/>
    <mergeCell ref="J4:K4"/>
    <mergeCell ref="M4:N4"/>
    <mergeCell ref="D79:K79"/>
    <mergeCell ref="B105:J105"/>
    <mergeCell ref="K105:M105"/>
    <mergeCell ref="B107:C107"/>
    <mergeCell ref="B121:C121"/>
    <mergeCell ref="P4:R4"/>
    <mergeCell ref="D68:L68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4">
    <dataValidation type="custom" allowBlank="1" showInputMessage="1" showErrorMessage="1" sqref="H123:L128" xr:uid="{00000000-0002-0000-0500-000000000000}">
      <formula1>IF($C123=8,H123&lt;0,H123&gt;=0)</formula1>
    </dataValidation>
    <dataValidation type="custom" allowBlank="1" showInputMessage="1" showErrorMessage="1" sqref="L114:L115" xr:uid="{00000000-0002-0000-0500-000001000000}">
      <formula1>IF($C63=3,L63&lt;0,L63&gt;=0)</formula1>
    </dataValidation>
    <dataValidation type="custom" allowBlank="1" showInputMessage="1" showErrorMessage="1" sqref="L111:L113" xr:uid="{00000000-0002-0000-0500-000002000000}">
      <formula1>IF($C31=3,L31&lt;0,L31&gt;=0)</formula1>
    </dataValidation>
    <dataValidation type="custom" allowBlank="1" showInputMessage="1" showErrorMessage="1" sqref="L109:L110" xr:uid="{00000000-0002-0000-0500-000003000000}">
      <formula1>IF($C9=3,L9&lt;0,L9&gt;=0)</formula1>
    </dataValidation>
    <dataValidation type="whole" allowBlank="1" showInputMessage="1" showErrorMessage="1" sqref="C123:C128" xr:uid="{00000000-0002-0000-0500-000004000000}">
      <formula1>6</formula1>
      <formula2>8</formula2>
    </dataValidation>
    <dataValidation type="custom" allowBlank="1" showInputMessage="1" showErrorMessage="1" sqref="H109:K109 H111:K111 H113:K113 H115:K115" xr:uid="{00000000-0002-0000-0500-000005000000}">
      <formula1>IF($C109=3,H109&lt;0,H109&gt;=0)</formula1>
    </dataValidation>
    <dataValidation type="whole" allowBlank="1" showInputMessage="1" showErrorMessage="1" sqref="C64:C67 C109:C117" xr:uid="{00000000-0002-0000-0500-000006000000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O30:O34 H9:N62 O9:O27" xr:uid="{00000000-0002-0000-0500-000007000000}">
      <formula1>IF($C9=3,H9&lt;0,H9&gt;=0)</formula1>
    </dataValidation>
    <dataValidation type="date" allowBlank="1" showInputMessage="1" showErrorMessage="1" sqref="D70:D74 B109:B117 D81:D98 B64:B67 B123:B128 B9:B62" xr:uid="{00000000-0002-0000-0500-000008000000}">
      <formula1>40179</formula1>
      <formula2>TODAY()</formula2>
    </dataValidation>
    <dataValidation type="whole" allowBlank="1" showInputMessage="1" showErrorMessage="1" sqref="F123:F128 G81:G98 F109:F117 F9:F62" xr:uid="{00000000-0002-0000-0500-000009000000}">
      <formula1>20000000000</formula1>
      <formula2>33999999999</formula2>
    </dataValidation>
    <dataValidation type="whole" allowBlank="1" showInputMessage="1" showErrorMessage="1" sqref="F81:F98 E109:E117 E123:E128 E9:E62" xr:uid="{00000000-0002-0000-0500-00000A000000}">
      <formula1>1</formula1>
      <formula2>99999999</formula2>
    </dataValidation>
    <dataValidation type="whole" allowBlank="1" showInputMessage="1" showErrorMessage="1" sqref="E81:E98 D109:D117 D123:D128 D9:D62" xr:uid="{00000000-0002-0000-0500-00000B000000}">
      <formula1>1</formula1>
      <formula2>9999</formula2>
    </dataValidation>
    <dataValidation allowBlank="1" showInputMessage="1" showErrorMessage="1" errorTitle="Error de Ingreso" error="Ingreso condicionado al tipo de compra:_x000a_- Tipo 001: solo positivo_x000a_- Tipo 002: solo positivo_x000a_- Tipo 003: solo negativo" sqref="O28:O29" xr:uid="{00000000-0002-0000-0500-00000C000000}"/>
    <dataValidation type="whole" allowBlank="1" showInputMessage="1" showErrorMessage="1" sqref="C9:C62" xr:uid="{00000000-0002-0000-0500-00000D000000}">
      <formula1>1</formula1>
      <formula2>81</formula2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79998168889431442"/>
  </sheetPr>
  <dimension ref="A1:Z112"/>
  <sheetViews>
    <sheetView showGridLines="0" topLeftCell="G4" zoomScale="90" zoomScaleNormal="90" workbookViewId="0">
      <selection activeCell="M52" sqref="M52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EDATE('Abr-23'!N1,5)</f>
        <v>45170</v>
      </c>
      <c r="O1" s="423"/>
      <c r="P1" s="423"/>
      <c r="Q1" s="423"/>
      <c r="R1" s="423"/>
    </row>
    <row r="2" spans="1:26" ht="15" customHeight="1" x14ac:dyDescent="0.3"/>
    <row r="3" spans="1:26" ht="26.4" customHeight="1" x14ac:dyDescent="0.3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2" customHeight="1" x14ac:dyDescent="0.4">
      <c r="B4" s="428">
        <f>SUM(compras_mes6[[#Totals],[NETO GRAVADO]])+extracto_banco_mes6[[#Totals],[NETO]]</f>
        <v>7761344.2599999988</v>
      </c>
      <c r="C4" s="428"/>
      <c r="D4" s="428"/>
      <c r="E4" s="428"/>
      <c r="F4" s="39"/>
      <c r="G4" s="429">
        <f>compras_mes6[[#Totals],[IVA 21 %]]+compras_mes6[[#Totals],[IVA 27%]]+compras_mes6[[#Totals],[IVA 10,5%]]+extracto_banco_mes6[[#Totals],[IVA 21%]]+extracto_banco_mes6[[#Totals],[IVA 10,5%]]</f>
        <v>1543034.6772499997</v>
      </c>
      <c r="H4" s="429"/>
      <c r="I4" s="39"/>
      <c r="J4" s="416">
        <f>venta_a_mes6[[#Totals],[IMPORTE NETO]]+ventas_b_mes6[[#Totals],[IMPORTE NETO]]</f>
        <v>38950581.949999996</v>
      </c>
      <c r="K4" s="416"/>
      <c r="L4" s="39"/>
      <c r="M4" s="416">
        <f>venta_a_mes6[[#Totals],[IVA 21%]]+venta_a_mes6[[#Totals],[IVA 10,5%]]+ventas_b_mes6[[#Totals],[IVA 21%]]+ventas_b_mes6[[#Totals],[IVA 10,5%]]</f>
        <v>5733559.8486499991</v>
      </c>
      <c r="N4" s="416"/>
      <c r="O4" s="39"/>
      <c r="P4" s="431">
        <f>G4-M4</f>
        <v>-4190525.1713999994</v>
      </c>
      <c r="Q4" s="432"/>
      <c r="R4" s="432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152">
        <v>45170</v>
      </c>
      <c r="C9" s="41">
        <v>1</v>
      </c>
      <c r="D9" s="153">
        <v>3</v>
      </c>
      <c r="E9" s="154">
        <v>202477</v>
      </c>
      <c r="F9" s="155">
        <v>30707135596</v>
      </c>
      <c r="G9" s="156" t="str">
        <f>IFERROR(IF(compras_mes6[[#This Row],[CUIT]]="","-",VLOOKUP(compras_mes6[[#This Row],[CUIT]],Lista_CUIT[#All],2,0)),"CUIT NO CARGADO")</f>
        <v>CITILAN ARGENTINA S.A.</v>
      </c>
      <c r="H9" s="157">
        <v>6238.84</v>
      </c>
      <c r="I9" s="158">
        <f>IF(compras_mes6[[#This Row],[NETO GRAVADO]]="","",compras_mes6[[#This Row],[NETO GRAVADO]]*0.21)</f>
        <v>1310.1564000000001</v>
      </c>
      <c r="J9" s="158"/>
      <c r="K9" s="158"/>
      <c r="L9" s="158"/>
      <c r="M9" s="158"/>
      <c r="N9" s="158"/>
      <c r="O9" s="158"/>
      <c r="P9" s="159">
        <f>SUM(compras_mes6[[#This Row],[NETO GRAVADO]:[Otros / No Grav.]])</f>
        <v>7548.9964</v>
      </c>
      <c r="Q9" s="160" t="str">
        <f>IFERROR(IF(compras_mes6[[#This Row],[CUIT]]="","-",VLOOKUP(compras_mes6[[#This Row],[CUIT]],Lista_CUIT[#All],3,0)),"CUIT NO CARGADO")</f>
        <v>Servicios Gas, Luz, Etc</v>
      </c>
      <c r="R9" s="160">
        <f>IFERROR(IF(compras_mes6[[#This Row],[CUIT]]="","-",VLOOKUP(compras_mes6[[#This Row],[CUIT]],Lista_CUIT[#All],4,0)),"CUIT NO CARGADO")</f>
        <v>0</v>
      </c>
    </row>
    <row r="10" spans="1:26" x14ac:dyDescent="0.3">
      <c r="B10" s="152">
        <v>45170</v>
      </c>
      <c r="C10" s="41">
        <v>1</v>
      </c>
      <c r="D10" s="153">
        <v>2</v>
      </c>
      <c r="E10" s="154">
        <v>656</v>
      </c>
      <c r="F10" s="155">
        <v>20296550184</v>
      </c>
      <c r="G10" s="156" t="str">
        <f>IFERROR(IF(compras_mes6[[#This Row],[CUIT]]="","-",VLOOKUP(compras_mes6[[#This Row],[CUIT]],Lista_CUIT[#All],2,0)),"CUIT NO CARGADO")</f>
        <v>COSTA DIEGO ALEJANDRO</v>
      </c>
      <c r="H10" s="157">
        <v>126200</v>
      </c>
      <c r="I10" s="158">
        <f>IF(compras_mes6[[#This Row],[NETO GRAVADO]]="","",compras_mes6[[#This Row],[NETO GRAVADO]]*0.21)</f>
        <v>26502</v>
      </c>
      <c r="J10" s="158"/>
      <c r="K10" s="158"/>
      <c r="L10" s="158"/>
      <c r="M10" s="158"/>
      <c r="N10" s="158"/>
      <c r="O10" s="158"/>
      <c r="P10" s="159">
        <f>SUM(compras_mes6[[#This Row],[NETO GRAVADO]:[Otros / No Grav.]])</f>
        <v>152702</v>
      </c>
      <c r="Q10" s="160" t="str">
        <f>IFERROR(IF(compras_mes6[[#This Row],[CUIT]]="","-",VLOOKUP(compras_mes6[[#This Row],[CUIT]],Lista_CUIT[#All],3,0)),"CUIT NO CARGADO")</f>
        <v>Mat. Prima</v>
      </c>
      <c r="R10" s="160">
        <f>IFERROR(IF(compras_mes6[[#This Row],[CUIT]]="","-",VLOOKUP(compras_mes6[[#This Row],[CUIT]],Lista_CUIT[#All],4,0)),"CUIT NO CARGADO")</f>
        <v>0</v>
      </c>
    </row>
    <row r="11" spans="1:26" x14ac:dyDescent="0.3">
      <c r="B11" s="152">
        <v>45170</v>
      </c>
      <c r="C11" s="41">
        <v>1</v>
      </c>
      <c r="D11" s="153">
        <v>2</v>
      </c>
      <c r="E11" s="154">
        <v>3259</v>
      </c>
      <c r="F11" s="155">
        <v>30710878974</v>
      </c>
      <c r="G11" s="156" t="str">
        <f>IFERROR(IF(compras_mes6[[#This Row],[CUIT]]="","-",VLOOKUP(compras_mes6[[#This Row],[CUIT]],Lista_CUIT[#All],2,0)),"CUIT NO CARGADO")</f>
        <v>TEBY SRL</v>
      </c>
      <c r="H11" s="157">
        <v>1029500</v>
      </c>
      <c r="I11" s="158">
        <f>IF(compras_mes6[[#This Row],[NETO GRAVADO]]="","",compras_mes6[[#This Row],[NETO GRAVADO]]*0.21)</f>
        <v>216195</v>
      </c>
      <c r="J11" s="158"/>
      <c r="K11" s="158"/>
      <c r="L11" s="158"/>
      <c r="M11" s="158"/>
      <c r="N11" s="158"/>
      <c r="O11" s="158"/>
      <c r="P11" s="159">
        <f>SUM(compras_mes6[[#This Row],[NETO GRAVADO]:[Otros / No Grav.]])</f>
        <v>1245695</v>
      </c>
      <c r="Q11" s="160">
        <f>IFERROR(IF(compras_mes6[[#This Row],[CUIT]]="","-",VLOOKUP(compras_mes6[[#This Row],[CUIT]],Lista_CUIT[#All],3,0)),"CUIT NO CARGADO")</f>
        <v>0</v>
      </c>
      <c r="R11" s="160">
        <f>IFERROR(IF(compras_mes6[[#This Row],[CUIT]]="","-",VLOOKUP(compras_mes6[[#This Row],[CUIT]],Lista_CUIT[#All],4,0)),"CUIT NO CARGADO")</f>
        <v>0</v>
      </c>
    </row>
    <row r="12" spans="1:26" x14ac:dyDescent="0.3">
      <c r="B12" s="152">
        <v>45170</v>
      </c>
      <c r="C12" s="41">
        <v>1</v>
      </c>
      <c r="D12" s="153">
        <v>3</v>
      </c>
      <c r="E12" s="154">
        <v>678</v>
      </c>
      <c r="F12" s="155">
        <v>30715402765</v>
      </c>
      <c r="G12" s="156" t="str">
        <f>IFERROR(IF(compras_mes6[[#This Row],[CUIT]]="","-",VLOOKUP(compras_mes6[[#This Row],[CUIT]],Lista_CUIT[#All],2,0)),"CUIT NO CARGADO")</f>
        <v>RIO 265 S.R.L.</v>
      </c>
      <c r="H12" s="157">
        <v>16528.95</v>
      </c>
      <c r="I12" s="158">
        <f>IF(compras_mes6[[#This Row],[NETO GRAVADO]]="","",compras_mes6[[#This Row],[NETO GRAVADO]]*0.21)</f>
        <v>3471.0794999999998</v>
      </c>
      <c r="J12" s="158"/>
      <c r="K12" s="158"/>
      <c r="L12" s="158"/>
      <c r="M12" s="158"/>
      <c r="N12" s="158"/>
      <c r="O12" s="158"/>
      <c r="P12" s="159">
        <f>SUM(compras_mes6[[#This Row],[NETO GRAVADO]:[Otros / No Grav.]])</f>
        <v>20000.029500000001</v>
      </c>
      <c r="Q12" s="160" t="str">
        <f>IFERROR(IF(compras_mes6[[#This Row],[CUIT]]="","-",VLOOKUP(compras_mes6[[#This Row],[CUIT]],Lista_CUIT[#All],3,0)),"CUIT NO CARGADO")</f>
        <v>Gastos Varios</v>
      </c>
      <c r="R12" s="160">
        <f>IFERROR(IF(compras_mes6[[#This Row],[CUIT]]="","-",VLOOKUP(compras_mes6[[#This Row],[CUIT]],Lista_CUIT[#All],4,0)),"CUIT NO CARGADO")</f>
        <v>0</v>
      </c>
    </row>
    <row r="13" spans="1:26" x14ac:dyDescent="0.3">
      <c r="B13" s="152">
        <v>45170</v>
      </c>
      <c r="C13" s="41"/>
      <c r="D13" s="153">
        <v>280</v>
      </c>
      <c r="E13" s="154">
        <v>1452735</v>
      </c>
      <c r="F13" s="155">
        <v>30580111315</v>
      </c>
      <c r="G13" s="156" t="str">
        <f>IFERROR(IF(compras_mes6[[#This Row],[CUIT]]="","-",VLOOKUP(compras_mes6[[#This Row],[CUIT]],Lista_CUIT[#All],2,0)),"CUIT NO CARGADO")</f>
        <v>DHL EXPRESS (ARGENTINA) S.A.</v>
      </c>
      <c r="H13" s="157">
        <v>366586.5</v>
      </c>
      <c r="I13" s="158">
        <f>IF(compras_mes6[[#This Row],[NETO GRAVADO]]="","",compras_mes6[[#This Row],[NETO GRAVADO]]*0.21)</f>
        <v>76983.164999999994</v>
      </c>
      <c r="J13" s="158"/>
      <c r="K13" s="158"/>
      <c r="L13" s="158"/>
      <c r="M13" s="158"/>
      <c r="N13" s="158"/>
      <c r="O13" s="158">
        <v>-293345.5</v>
      </c>
      <c r="P13" s="159">
        <f>SUM(compras_mes6[[#This Row],[NETO GRAVADO]:[Otros / No Grav.]])</f>
        <v>150224.16499999998</v>
      </c>
      <c r="Q13" s="160" t="str">
        <f>IFERROR(IF(compras_mes6[[#This Row],[CUIT]]="","-",VLOOKUP(compras_mes6[[#This Row],[CUIT]],Lista_CUIT[#All],3,0)),"CUIT NO CARGADO")</f>
        <v>Gtos. Imp.</v>
      </c>
      <c r="R13" s="160">
        <f>IFERROR(IF(compras_mes6[[#This Row],[CUIT]]="","-",VLOOKUP(compras_mes6[[#This Row],[CUIT]],Lista_CUIT[#All],4,0)),"CUIT NO CARGADO")</f>
        <v>0</v>
      </c>
    </row>
    <row r="14" spans="1:26" x14ac:dyDescent="0.3">
      <c r="B14" s="275">
        <v>45173</v>
      </c>
      <c r="C14" s="208">
        <v>1</v>
      </c>
      <c r="D14" s="276">
        <v>5</v>
      </c>
      <c r="E14" s="277">
        <v>6699</v>
      </c>
      <c r="F14" s="278">
        <v>33711557119</v>
      </c>
      <c r="G14" s="279" t="str">
        <f>IFERROR(IF(compras_mes6[[#This Row],[CUIT]]="","-",VLOOKUP(compras_mes6[[#This Row],[CUIT]],Lista_CUIT[#All],2,0)),"CUIT NO CARGADO")</f>
        <v>ELECTROMINGO S.R.L.</v>
      </c>
      <c r="H14" s="280">
        <v>2989.75</v>
      </c>
      <c r="I14" s="281">
        <f>IF(compras_mes6[[#This Row],[NETO GRAVADO]]="","",compras_mes6[[#This Row],[NETO GRAVADO]]*0.21)</f>
        <v>627.84749999999997</v>
      </c>
      <c r="J14" s="281"/>
      <c r="K14" s="281"/>
      <c r="L14" s="281"/>
      <c r="M14" s="281"/>
      <c r="N14" s="281"/>
      <c r="O14" s="281"/>
      <c r="P14" s="282">
        <f>SUM(compras_mes6[[#This Row],[NETO GRAVADO]:[Otros / No Grav.]])</f>
        <v>3617.5974999999999</v>
      </c>
      <c r="Q14" s="283" t="str">
        <f>IFERROR(IF(compras_mes6[[#This Row],[CUIT]]="","-",VLOOKUP(compras_mes6[[#This Row],[CUIT]],Lista_CUIT[#All],3,0)),"CUIT NO CARGADO")</f>
        <v>INSUMO</v>
      </c>
      <c r="R14" s="283" t="str">
        <f>IFERROR(IF(compras_mes6[[#This Row],[CUIT]]="","-",VLOOKUP(compras_mes6[[#This Row],[CUIT]],Lista_CUIT[#All],4,0)),"CUIT NO CARGADO")</f>
        <v>BUENOS AIRES</v>
      </c>
    </row>
    <row r="15" spans="1:26" x14ac:dyDescent="0.3">
      <c r="B15" s="152">
        <v>45174</v>
      </c>
      <c r="C15" s="41">
        <v>1</v>
      </c>
      <c r="D15" s="153">
        <v>4</v>
      </c>
      <c r="E15" s="154">
        <v>97553</v>
      </c>
      <c r="F15" s="155">
        <v>30559932236</v>
      </c>
      <c r="G15" s="156" t="str">
        <f>IFERROR(IF(compras_mes6[[#This Row],[CUIT]]="","-",VLOOKUP(compras_mes6[[#This Row],[CUIT]],Lista_CUIT[#All],2,0)),"CUIT NO CARGADO")</f>
        <v>ELECTRONICA ELEMON S A</v>
      </c>
      <c r="H15" s="157">
        <v>142354.94</v>
      </c>
      <c r="I15" s="158"/>
      <c r="J15" s="158"/>
      <c r="K15" s="158">
        <f>compras_mes6[[#This Row],[NETO GRAVADO]]*0.105</f>
        <v>14947.268700000001</v>
      </c>
      <c r="L15" s="158"/>
      <c r="M15" s="158"/>
      <c r="N15" s="158"/>
      <c r="O15" s="158"/>
      <c r="P15" s="159">
        <f>SUM(compras_mes6[[#This Row],[NETO GRAVADO]:[Otros / No Grav.]])</f>
        <v>157302.20870000002</v>
      </c>
      <c r="Q15" s="160" t="str">
        <f>IFERROR(IF(compras_mes6[[#This Row],[CUIT]]="","-",VLOOKUP(compras_mes6[[#This Row],[CUIT]],Lista_CUIT[#All],3,0)),"CUIT NO CARGADO")</f>
        <v>Mat. Prima</v>
      </c>
      <c r="R15" s="160">
        <f>IFERROR(IF(compras_mes6[[#This Row],[CUIT]]="","-",VLOOKUP(compras_mes6[[#This Row],[CUIT]],Lista_CUIT[#All],4,0)),"CUIT NO CARGADO")</f>
        <v>0</v>
      </c>
    </row>
    <row r="16" spans="1:26" s="56" customFormat="1" ht="18.600000000000001" customHeight="1" x14ac:dyDescent="0.3">
      <c r="B16" s="152">
        <v>45175</v>
      </c>
      <c r="C16" s="41">
        <v>1</v>
      </c>
      <c r="D16" s="153">
        <v>10</v>
      </c>
      <c r="E16" s="154">
        <v>19032</v>
      </c>
      <c r="F16" s="155">
        <v>30528214483</v>
      </c>
      <c r="G16" s="156" t="str">
        <f>IFERROR(IF(compras_mes6[[#This Row],[CUIT]]="","-",VLOOKUP(compras_mes6[[#This Row],[CUIT]],Lista_CUIT[#All],2,0)),"CUIT NO CARGADO")</f>
        <v>D WEINSTOCK S R L</v>
      </c>
      <c r="H16" s="157">
        <v>14411.57</v>
      </c>
      <c r="I16" s="158">
        <f>IF(compras_mes6[[#This Row],[NETO GRAVADO]]="","",compras_mes6[[#This Row],[NETO GRAVADO]]*0.21)</f>
        <v>3026.4296999999997</v>
      </c>
      <c r="J16" s="158"/>
      <c r="K16" s="158"/>
      <c r="L16" s="158"/>
      <c r="M16" s="158"/>
      <c r="N16" s="158"/>
      <c r="O16" s="158"/>
      <c r="P16" s="159">
        <f>SUM(compras_mes6[[#This Row],[NETO GRAVADO]:[Otros / No Grav.]])</f>
        <v>17437.9997</v>
      </c>
      <c r="Q16" s="160">
        <f>IFERROR(IF(compras_mes6[[#This Row],[CUIT]]="","-",VLOOKUP(compras_mes6[[#This Row],[CUIT]],Lista_CUIT[#All],3,0)),"CUIT NO CARGADO")</f>
        <v>0</v>
      </c>
      <c r="R16" s="160">
        <f>IFERROR(IF(compras_mes6[[#This Row],[CUIT]]="","-",VLOOKUP(compras_mes6[[#This Row],[CUIT]],Lista_CUIT[#All],4,0)),"CUIT NO CARGADO")</f>
        <v>0</v>
      </c>
    </row>
    <row r="17" spans="2:18" x14ac:dyDescent="0.3">
      <c r="B17" s="152">
        <v>45177</v>
      </c>
      <c r="C17" s="41">
        <v>1</v>
      </c>
      <c r="D17" s="153">
        <v>7</v>
      </c>
      <c r="E17" s="154">
        <v>9570</v>
      </c>
      <c r="F17" s="155">
        <v>30690966790</v>
      </c>
      <c r="G17" s="156" t="str">
        <f>IFERROR(IF(compras_mes6[[#This Row],[CUIT]]="","-",VLOOKUP(compras_mes6[[#This Row],[CUIT]],Lista_CUIT[#All],2,0)),"CUIT NO CARGADO")</f>
        <v>SYTE S.A.</v>
      </c>
      <c r="H17" s="157">
        <v>2732129.6399999997</v>
      </c>
      <c r="I17" s="158">
        <f>IF(compras_mes6[[#This Row],[NETO GRAVADO]]="","",compras_mes6[[#This Row],[NETO GRAVADO]]*0.21)</f>
        <v>573747.22439999995</v>
      </c>
      <c r="J17" s="158"/>
      <c r="K17" s="158"/>
      <c r="L17" s="158"/>
      <c r="M17" s="158"/>
      <c r="N17" s="158"/>
      <c r="O17" s="158"/>
      <c r="P17" s="159">
        <f>SUM(compras_mes6[[#This Row],[NETO GRAVADO]:[Otros / No Grav.]])</f>
        <v>3305876.8643999994</v>
      </c>
      <c r="Q17" s="160">
        <f>IFERROR(IF(compras_mes6[[#This Row],[CUIT]]="","-",VLOOKUP(compras_mes6[[#This Row],[CUIT]],Lista_CUIT[#All],3,0)),"CUIT NO CARGADO")</f>
        <v>0</v>
      </c>
      <c r="R17" s="160">
        <f>IFERROR(IF(compras_mes6[[#This Row],[CUIT]]="","-",VLOOKUP(compras_mes6[[#This Row],[CUIT]],Lista_CUIT[#All],4,0)),"CUIT NO CARGADO")</f>
        <v>0</v>
      </c>
    </row>
    <row r="18" spans="2:18" x14ac:dyDescent="0.3">
      <c r="B18" s="152">
        <v>45177</v>
      </c>
      <c r="C18" s="41">
        <v>1</v>
      </c>
      <c r="D18" s="153">
        <v>1</v>
      </c>
      <c r="E18" s="154">
        <v>56</v>
      </c>
      <c r="F18" s="155">
        <v>30717261042</v>
      </c>
      <c r="G18" s="156" t="str">
        <f>IFERROR(IF(compras_mes6[[#This Row],[CUIT]]="","-",VLOOKUP(compras_mes6[[#This Row],[CUIT]],Lista_CUIT[#All],2,0)),"CUIT NO CARGADO")</f>
        <v>COMEX MARIA SA</v>
      </c>
      <c r="H18" s="157">
        <v>124040.24</v>
      </c>
      <c r="I18" s="158">
        <f>IF(compras_mes6[[#This Row],[NETO GRAVADO]]="","",compras_mes6[[#This Row],[NETO GRAVADO]]*0.21)</f>
        <v>26048.450400000002</v>
      </c>
      <c r="J18" s="158"/>
      <c r="K18" s="158"/>
      <c r="L18" s="158"/>
      <c r="M18" s="158"/>
      <c r="N18" s="158"/>
      <c r="O18" s="158">
        <v>206443.7</v>
      </c>
      <c r="P18" s="159">
        <f>SUM(compras_mes6[[#This Row],[NETO GRAVADO]:[Otros / No Grav.]])</f>
        <v>356532.39040000003</v>
      </c>
      <c r="Q18" s="160">
        <f>IFERROR(IF(compras_mes6[[#This Row],[CUIT]]="","-",VLOOKUP(compras_mes6[[#This Row],[CUIT]],Lista_CUIT[#All],3,0)),"CUIT NO CARGADO")</f>
        <v>0</v>
      </c>
      <c r="R18" s="160">
        <f>IFERROR(IF(compras_mes6[[#This Row],[CUIT]]="","-",VLOOKUP(compras_mes6[[#This Row],[CUIT]],Lista_CUIT[#All],4,0)),"CUIT NO CARGADO")</f>
        <v>0</v>
      </c>
    </row>
    <row r="19" spans="2:18" x14ac:dyDescent="0.3">
      <c r="B19" s="152">
        <v>45178</v>
      </c>
      <c r="C19" s="41">
        <v>1</v>
      </c>
      <c r="D19" s="153">
        <v>5</v>
      </c>
      <c r="E19" s="154">
        <v>28692</v>
      </c>
      <c r="F19" s="155">
        <v>20316849823</v>
      </c>
      <c r="G19" s="156" t="str">
        <f>IFERROR(IF(compras_mes6[[#This Row],[CUIT]]="","-",VLOOKUP(compras_mes6[[#This Row],[CUIT]],Lista_CUIT[#All],2,0)),"CUIT NO CARGADO")</f>
        <v>SPENA FERNANDO ARIEL</v>
      </c>
      <c r="H19" s="157">
        <v>14832.63</v>
      </c>
      <c r="I19" s="158">
        <f>IF(compras_mes6[[#This Row],[NETO GRAVADO]]="","",compras_mes6[[#This Row],[NETO GRAVADO]]*0.21)</f>
        <v>3114.8522999999996</v>
      </c>
      <c r="J19" s="158"/>
      <c r="K19" s="158"/>
      <c r="L19" s="158"/>
      <c r="M19" s="158"/>
      <c r="N19" s="158"/>
      <c r="O19" s="158"/>
      <c r="P19" s="159">
        <f>SUM(compras_mes6[[#This Row],[NETO GRAVADO]:[Otros / No Grav.]])</f>
        <v>17947.4823</v>
      </c>
      <c r="Q19" s="160">
        <f>IFERROR(IF(compras_mes6[[#This Row],[CUIT]]="","-",VLOOKUP(compras_mes6[[#This Row],[CUIT]],Lista_CUIT[#All],3,0)),"CUIT NO CARGADO")</f>
        <v>0</v>
      </c>
      <c r="R19" s="160">
        <f>IFERROR(IF(compras_mes6[[#This Row],[CUIT]]="","-",VLOOKUP(compras_mes6[[#This Row],[CUIT]],Lista_CUIT[#All],4,0)),"CUIT NO CARGADO")</f>
        <v>0</v>
      </c>
    </row>
    <row r="20" spans="2:18" ht="14.4" customHeight="1" x14ac:dyDescent="0.3">
      <c r="B20" s="152">
        <v>45178</v>
      </c>
      <c r="C20" s="41">
        <v>1</v>
      </c>
      <c r="D20" s="153">
        <v>7</v>
      </c>
      <c r="E20" s="154">
        <v>13726</v>
      </c>
      <c r="F20" s="155">
        <v>30604413482</v>
      </c>
      <c r="G20" s="156" t="str">
        <f>IFERROR(IF(compras_mes6[[#This Row],[CUIT]]="","-",VLOOKUP(compras_mes6[[#This Row],[CUIT]],Lista_CUIT[#All],2,0)),"CUIT NO CARGADO")</f>
        <v>BULONERA VIETRI SOCIEDAD DE RESPONSABILIDAD LIMITADA</v>
      </c>
      <c r="H20" s="157">
        <v>142070</v>
      </c>
      <c r="I20" s="158">
        <f>IF(compras_mes6[[#This Row],[NETO GRAVADO]]="","",compras_mes6[[#This Row],[NETO GRAVADO]]*0.21)</f>
        <v>29834.699999999997</v>
      </c>
      <c r="J20" s="158"/>
      <c r="K20" s="158"/>
      <c r="L20" s="158"/>
      <c r="M20" s="158"/>
      <c r="N20" s="158"/>
      <c r="O20" s="158"/>
      <c r="P20" s="159">
        <f>SUM(compras_mes6[[#This Row],[NETO GRAVADO]:[Otros / No Grav.]])</f>
        <v>171904.7</v>
      </c>
      <c r="Q20" s="160">
        <f>IFERROR(IF(compras_mes6[[#This Row],[CUIT]]="","-",VLOOKUP(compras_mes6[[#This Row],[CUIT]],Lista_CUIT[#All],3,0)),"CUIT NO CARGADO")</f>
        <v>0</v>
      </c>
      <c r="R20" s="160">
        <f>IFERROR(IF(compras_mes6[[#This Row],[CUIT]]="","-",VLOOKUP(compras_mes6[[#This Row],[CUIT]],Lista_CUIT[#All],4,0)),"CUIT NO CARGADO")</f>
        <v>0</v>
      </c>
    </row>
    <row r="21" spans="2:18" x14ac:dyDescent="0.3">
      <c r="B21" s="152">
        <v>45180</v>
      </c>
      <c r="C21" s="41">
        <v>1</v>
      </c>
      <c r="D21" s="153">
        <v>3</v>
      </c>
      <c r="E21" s="154">
        <v>7234</v>
      </c>
      <c r="F21" s="155">
        <v>30710212127</v>
      </c>
      <c r="G21" s="156" t="str">
        <f>IFERROR(IF(compras_mes6[[#This Row],[CUIT]]="","-",VLOOKUP(compras_mes6[[#This Row],[CUIT]],Lista_CUIT[#All],2,0)),"CUIT NO CARGADO")</f>
        <v>J Y M COMPONENTES ELECTRICOS S.A.</v>
      </c>
      <c r="H21" s="157">
        <v>913749.9</v>
      </c>
      <c r="I21" s="158">
        <f>IF(compras_mes6[[#This Row],[NETO GRAVADO]]="","",compras_mes6[[#This Row],[NETO GRAVADO]]*0.21)</f>
        <v>191887.47899999999</v>
      </c>
      <c r="J21" s="158"/>
      <c r="K21" s="158"/>
      <c r="L21" s="158"/>
      <c r="M21" s="158"/>
      <c r="N21" s="158"/>
      <c r="O21" s="158"/>
      <c r="P21" s="159">
        <f>SUM(compras_mes6[[#This Row],[NETO GRAVADO]:[Otros / No Grav.]])</f>
        <v>1105637.379</v>
      </c>
      <c r="Q21" s="160" t="str">
        <f>IFERROR(IF(compras_mes6[[#This Row],[CUIT]]="","-",VLOOKUP(compras_mes6[[#This Row],[CUIT]],Lista_CUIT[#All],3,0)),"CUIT NO CARGADO")</f>
        <v>INSUMO</v>
      </c>
      <c r="R21" s="160">
        <f>IFERROR(IF(compras_mes6[[#This Row],[CUIT]]="","-",VLOOKUP(compras_mes6[[#This Row],[CUIT]],Lista_CUIT[#All],4,0)),"CUIT NO CARGADO")</f>
        <v>0</v>
      </c>
    </row>
    <row r="22" spans="2:18" x14ac:dyDescent="0.3">
      <c r="B22" s="152">
        <v>45180</v>
      </c>
      <c r="C22" s="41">
        <v>1</v>
      </c>
      <c r="D22" s="153">
        <v>700</v>
      </c>
      <c r="E22" s="154">
        <v>567479</v>
      </c>
      <c r="F22" s="155">
        <v>30580111315</v>
      </c>
      <c r="G22" s="156" t="str">
        <f>IFERROR(IF(compras_mes6[[#This Row],[CUIT]]="","-",VLOOKUP(compras_mes6[[#This Row],[CUIT]],Lista_CUIT[#All],2,0)),"CUIT NO CARGADO")</f>
        <v>DHL EXPRESS (ARGENTINA) S.A.</v>
      </c>
      <c r="H22" s="157">
        <v>5117</v>
      </c>
      <c r="I22" s="158">
        <f>IF(compras_mes6[[#This Row],[NETO GRAVADO]]="","",compras_mes6[[#This Row],[NETO GRAVADO]]*0.21)</f>
        <v>1074.57</v>
      </c>
      <c r="J22" s="158"/>
      <c r="K22" s="158"/>
      <c r="L22" s="158"/>
      <c r="M22" s="158"/>
      <c r="N22" s="158"/>
      <c r="O22" s="158">
        <v>192790.285</v>
      </c>
      <c r="P22" s="159">
        <f>SUM(compras_mes6[[#This Row],[NETO GRAVADO]:[Otros / No Grav.]])</f>
        <v>198981.85500000001</v>
      </c>
      <c r="Q22" s="160" t="str">
        <f>IFERROR(IF(compras_mes6[[#This Row],[CUIT]]="","-",VLOOKUP(compras_mes6[[#This Row],[CUIT]],Lista_CUIT[#All],3,0)),"CUIT NO CARGADO")</f>
        <v>Gtos. Imp.</v>
      </c>
      <c r="R22" s="160">
        <f>IFERROR(IF(compras_mes6[[#This Row],[CUIT]]="","-",VLOOKUP(compras_mes6[[#This Row],[CUIT]],Lista_CUIT[#All],4,0)),"CUIT NO CARGADO")</f>
        <v>0</v>
      </c>
    </row>
    <row r="23" spans="2:18" ht="14.4" customHeight="1" x14ac:dyDescent="0.3">
      <c r="B23" s="152">
        <v>45180</v>
      </c>
      <c r="C23" s="41">
        <v>1</v>
      </c>
      <c r="D23" s="153">
        <v>700</v>
      </c>
      <c r="E23" s="154">
        <v>568450</v>
      </c>
      <c r="F23" s="155">
        <v>30580111315</v>
      </c>
      <c r="G23" s="156" t="str">
        <f>IFERROR(IF(compras_mes6[[#This Row],[CUIT]]="","-",VLOOKUP(compras_mes6[[#This Row],[CUIT]],Lista_CUIT[#All],2,0)),"CUIT NO CARGADO")</f>
        <v>DHL EXPRESS (ARGENTINA) S.A.</v>
      </c>
      <c r="H23" s="157">
        <v>0</v>
      </c>
      <c r="I23" s="158">
        <f>IF(compras_mes6[[#This Row],[NETO GRAVADO]]="","",compras_mes6[[#This Row],[NETO GRAVADO]]*0.21)</f>
        <v>0</v>
      </c>
      <c r="J23" s="158"/>
      <c r="K23" s="158"/>
      <c r="L23" s="158"/>
      <c r="M23" s="158"/>
      <c r="N23" s="158"/>
      <c r="O23" s="158">
        <v>71857.3</v>
      </c>
      <c r="P23" s="159">
        <f>SUM(compras_mes6[[#This Row],[NETO GRAVADO]:[Otros / No Grav.]])</f>
        <v>71857.3</v>
      </c>
      <c r="Q23" s="160" t="str">
        <f>IFERROR(IF(compras_mes6[[#This Row],[CUIT]]="","-",VLOOKUP(compras_mes6[[#This Row],[CUIT]],Lista_CUIT[#All],3,0)),"CUIT NO CARGADO")</f>
        <v>Gtos. Imp.</v>
      </c>
      <c r="R23" s="160">
        <f>IFERROR(IF(compras_mes6[[#This Row],[CUIT]]="","-",VLOOKUP(compras_mes6[[#This Row],[CUIT]],Lista_CUIT[#All],4,0)),"CUIT NO CARGADO")</f>
        <v>0</v>
      </c>
    </row>
    <row r="24" spans="2:18" ht="14.4" customHeight="1" x14ac:dyDescent="0.3">
      <c r="B24" s="218">
        <v>45180</v>
      </c>
      <c r="C24" s="208">
        <v>1</v>
      </c>
      <c r="D24" s="219">
        <v>2466</v>
      </c>
      <c r="E24" s="220">
        <v>554870</v>
      </c>
      <c r="F24" s="221">
        <v>30678814357</v>
      </c>
      <c r="G24" s="222" t="str">
        <f>IFERROR(IF(compras_mes6[[#This Row],[CUIT]]="","-",VLOOKUP(compras_mes6[[#This Row],[CUIT]],Lista_CUIT[#All],2,0)),"CUIT NO CARGADO")</f>
        <v>TELEFONICA MOVILES ARG</v>
      </c>
      <c r="H24" s="223">
        <v>5230</v>
      </c>
      <c r="I24" s="215"/>
      <c r="J24" s="215">
        <f>compras_mes6[[#This Row],[NETO GRAVADO]]*0.27</f>
        <v>1412.1000000000001</v>
      </c>
      <c r="K24" s="215"/>
      <c r="L24" s="215">
        <v>156.9</v>
      </c>
      <c r="M24" s="215"/>
      <c r="N24" s="215"/>
      <c r="O24" s="215">
        <v>275.26</v>
      </c>
      <c r="P24" s="224">
        <f>SUM(compras_mes6[[#This Row],[NETO GRAVADO]:[Otros / No Grav.]])</f>
        <v>7074.26</v>
      </c>
      <c r="Q24" s="225" t="str">
        <f>IFERROR(IF(compras_mes6[[#This Row],[CUIT]]="","-",VLOOKUP(compras_mes6[[#This Row],[CUIT]],Lista_CUIT[#All],3,0)),"CUIT NO CARGADO")</f>
        <v>SERVICIOS</v>
      </c>
      <c r="R24" s="225">
        <f>IFERROR(IF(compras_mes6[[#This Row],[CUIT]]="","-",VLOOKUP(compras_mes6[[#This Row],[CUIT]],Lista_CUIT[#All],4,0)),"CUIT NO CARGADO")</f>
        <v>0</v>
      </c>
    </row>
    <row r="25" spans="2:18" ht="15" customHeight="1" x14ac:dyDescent="0.3">
      <c r="B25" s="218">
        <v>45181</v>
      </c>
      <c r="C25" s="208">
        <v>1</v>
      </c>
      <c r="D25" s="219">
        <v>3</v>
      </c>
      <c r="E25" s="220">
        <v>559</v>
      </c>
      <c r="F25" s="221">
        <v>27424730608</v>
      </c>
      <c r="G25" s="222" t="str">
        <f>IFERROR(IF(compras_mes6[[#This Row],[CUIT]]="","-",VLOOKUP(compras_mes6[[#This Row],[CUIT]],Lista_CUIT[#All],2,0)),"CUIT NO CARGADO")</f>
        <v>VAZQUEZ CABRAL WANDA MILENA</v>
      </c>
      <c r="H25" s="223">
        <v>2314.0500000000002</v>
      </c>
      <c r="I25" s="215">
        <f>IF(compras_mes6[[#This Row],[NETO GRAVADO]]="","",compras_mes6[[#This Row],[NETO GRAVADO]]*0.21)</f>
        <v>485.95050000000003</v>
      </c>
      <c r="J25" s="215"/>
      <c r="K25" s="215"/>
      <c r="L25" s="215"/>
      <c r="M25" s="215"/>
      <c r="N25" s="215"/>
      <c r="O25" s="215"/>
      <c r="P25" s="224">
        <f>SUM(compras_mes6[[#This Row],[NETO GRAVADO]:[Otros / No Grav.]])</f>
        <v>2800.0005000000001</v>
      </c>
      <c r="Q25" s="225">
        <f>IFERROR(IF(compras_mes6[[#This Row],[CUIT]]="","-",VLOOKUP(compras_mes6[[#This Row],[CUIT]],Lista_CUIT[#All],3,0)),"CUIT NO CARGADO")</f>
        <v>0</v>
      </c>
      <c r="R25" s="225">
        <f>IFERROR(IF(compras_mes6[[#This Row],[CUIT]]="","-",VLOOKUP(compras_mes6[[#This Row],[CUIT]],Lista_CUIT[#All],4,0)),"CUIT NO CARGADO")</f>
        <v>0</v>
      </c>
    </row>
    <row r="26" spans="2:18" ht="15" customHeight="1" x14ac:dyDescent="0.3">
      <c r="B26" s="152">
        <v>45187</v>
      </c>
      <c r="C26" s="41">
        <v>1</v>
      </c>
      <c r="D26" s="153">
        <v>700</v>
      </c>
      <c r="E26" s="154">
        <v>571538</v>
      </c>
      <c r="F26" s="155">
        <v>30580111315</v>
      </c>
      <c r="G26" s="156" t="str">
        <f>IFERROR(IF(compras_mes6[[#This Row],[CUIT]]="","-",VLOOKUP(compras_mes6[[#This Row],[CUIT]],Lista_CUIT[#All],2,0)),"CUIT NO CARGADO")</f>
        <v>DHL EXPRESS (ARGENTINA) S.A.</v>
      </c>
      <c r="H26" s="157">
        <v>0</v>
      </c>
      <c r="I26" s="158">
        <f>IF(compras_mes6[[#This Row],[NETO GRAVADO]]="","",compras_mes6[[#This Row],[NETO GRAVADO]]*0.21)</f>
        <v>0</v>
      </c>
      <c r="J26" s="158"/>
      <c r="K26" s="158"/>
      <c r="L26" s="158"/>
      <c r="M26" s="158"/>
      <c r="N26" s="158"/>
      <c r="O26" s="158">
        <v>32463.71</v>
      </c>
      <c r="P26" s="159">
        <f>SUM(compras_mes6[[#This Row],[NETO GRAVADO]:[Otros / No Grav.]])</f>
        <v>32463.71</v>
      </c>
      <c r="Q26" s="160" t="str">
        <f>IFERROR(IF(compras_mes6[[#This Row],[CUIT]]="","-",VLOOKUP(compras_mes6[[#This Row],[CUIT]],Lista_CUIT[#All],3,0)),"CUIT NO CARGADO")</f>
        <v>Gtos. Imp.</v>
      </c>
      <c r="R26" s="160">
        <f>IFERROR(IF(compras_mes6[[#This Row],[CUIT]]="","-",VLOOKUP(compras_mes6[[#This Row],[CUIT]],Lista_CUIT[#All],4,0)),"CUIT NO CARGADO")</f>
        <v>0</v>
      </c>
    </row>
    <row r="27" spans="2:18" ht="15" customHeight="1" x14ac:dyDescent="0.3">
      <c r="B27" s="152">
        <v>45188</v>
      </c>
      <c r="C27" s="41">
        <v>1</v>
      </c>
      <c r="D27" s="153">
        <v>3</v>
      </c>
      <c r="E27" s="154">
        <v>296</v>
      </c>
      <c r="F27" s="155">
        <v>20921575743</v>
      </c>
      <c r="G27" s="156" t="str">
        <f>IFERROR(IF(compras_mes6[[#This Row],[CUIT]]="","-",VLOOKUP(compras_mes6[[#This Row],[CUIT]],Lista_CUIT[#All],2,0)),"CUIT NO CARGADO")</f>
        <v>RIOS GOMEZ JOSE ANTONIO</v>
      </c>
      <c r="H27" s="157">
        <v>1023400</v>
      </c>
      <c r="I27" s="158">
        <f>IF(compras_mes6[[#This Row],[NETO GRAVADO]]="","",compras_mes6[[#This Row],[NETO GRAVADO]]*0.21)</f>
        <v>214914</v>
      </c>
      <c r="J27" s="158"/>
      <c r="K27" s="158"/>
      <c r="L27" s="158"/>
      <c r="M27" s="158"/>
      <c r="N27" s="158"/>
      <c r="O27" s="158"/>
      <c r="P27" s="159">
        <f>SUM(compras_mes6[[#This Row],[NETO GRAVADO]:[Otros / No Grav.]])</f>
        <v>1238314</v>
      </c>
      <c r="Q27" s="160" t="str">
        <f>IFERROR(IF(compras_mes6[[#This Row],[CUIT]]="","-",VLOOKUP(compras_mes6[[#This Row],[CUIT]],Lista_CUIT[#All],3,0)),"CUIT NO CARGADO")</f>
        <v>Papeleria e Insumos</v>
      </c>
      <c r="R27" s="160">
        <f>IFERROR(IF(compras_mes6[[#This Row],[CUIT]]="","-",VLOOKUP(compras_mes6[[#This Row],[CUIT]],Lista_CUIT[#All],4,0)),"CUIT NO CARGADO")</f>
        <v>0</v>
      </c>
    </row>
    <row r="28" spans="2:18" ht="15" customHeight="1" x14ac:dyDescent="0.3">
      <c r="B28" s="218">
        <v>45189</v>
      </c>
      <c r="C28" s="208">
        <v>1</v>
      </c>
      <c r="D28" s="219">
        <v>3</v>
      </c>
      <c r="E28" s="220">
        <v>1642205</v>
      </c>
      <c r="F28" s="221">
        <v>30712019359</v>
      </c>
      <c r="G28" s="222" t="str">
        <f>IFERROR(IF(compras_mes6[[#This Row],[CUIT]]="","-",VLOOKUP(compras_mes6[[#This Row],[CUIT]],Lista_CUIT[#All],2,0)),"CUIT NO CARGADO")</f>
        <v>LINKEDSTORE ARGENTINA S.R.L.</v>
      </c>
      <c r="H28" s="223">
        <v>8759.5</v>
      </c>
      <c r="I28" s="215">
        <f>IF(compras_mes6[[#This Row],[NETO GRAVADO]]="","",compras_mes6[[#This Row],[NETO GRAVADO]]*0.21)</f>
        <v>1839.4949999999999</v>
      </c>
      <c r="J28" s="215"/>
      <c r="K28" s="215"/>
      <c r="L28" s="215"/>
      <c r="M28" s="215"/>
      <c r="N28" s="215"/>
      <c r="O28" s="215"/>
      <c r="P28" s="224">
        <f>SUM(compras_mes6[[#This Row],[NETO GRAVADO]:[Otros / No Grav.]])</f>
        <v>10598.994999999999</v>
      </c>
      <c r="Q28" s="225" t="str">
        <f>IFERROR(IF(compras_mes6[[#This Row],[CUIT]]="","-",VLOOKUP(compras_mes6[[#This Row],[CUIT]],Lista_CUIT[#All],3,0)),"CUIT NO CARGADO")</f>
        <v>Gastos Varios</v>
      </c>
      <c r="R28" s="225">
        <f>IFERROR(IF(compras_mes6[[#This Row],[CUIT]]="","-",VLOOKUP(compras_mes6[[#This Row],[CUIT]],Lista_CUIT[#All],4,0)),"CUIT NO CARGADO")</f>
        <v>0</v>
      </c>
    </row>
    <row r="29" spans="2:18" ht="15" customHeight="1" x14ac:dyDescent="0.3">
      <c r="B29" s="152">
        <v>45194</v>
      </c>
      <c r="C29" s="41">
        <v>1</v>
      </c>
      <c r="D29" s="153">
        <v>10</v>
      </c>
      <c r="E29" s="154">
        <v>13960</v>
      </c>
      <c r="F29" s="155">
        <v>30702073657</v>
      </c>
      <c r="G29" s="156" t="str">
        <f>IFERROR(IF(compras_mes6[[#This Row],[CUIT]]="","-",VLOOKUP(compras_mes6[[#This Row],[CUIT]],Lista_CUIT[#All],2,0)),"CUIT NO CARGADO")</f>
        <v>MICROELECTRONICA COMPONENTES S.R.L.</v>
      </c>
      <c r="H29" s="157">
        <v>25232.880000000001</v>
      </c>
      <c r="I29" s="158">
        <f>IF(compras_mes6[[#This Row],[NETO GRAVADO]]="","",compras_mes6[[#This Row],[NETO GRAVADO]]*0.21)</f>
        <v>5298.9048000000003</v>
      </c>
      <c r="J29" s="158"/>
      <c r="K29" s="158"/>
      <c r="L29" s="158"/>
      <c r="M29" s="158"/>
      <c r="N29" s="158"/>
      <c r="O29" s="158"/>
      <c r="P29" s="159">
        <f>SUM(compras_mes6[[#This Row],[NETO GRAVADO]:[Otros / No Grav.]])</f>
        <v>30531.784800000001</v>
      </c>
      <c r="Q29" s="160">
        <f>IFERROR(IF(compras_mes6[[#This Row],[CUIT]]="","-",VLOOKUP(compras_mes6[[#This Row],[CUIT]],Lista_CUIT[#All],3,0)),"CUIT NO CARGADO")</f>
        <v>0</v>
      </c>
      <c r="R29" s="160">
        <f>IFERROR(IF(compras_mes6[[#This Row],[CUIT]]="","-",VLOOKUP(compras_mes6[[#This Row],[CUIT]],Lista_CUIT[#All],4,0)),"CUIT NO CARGADO")</f>
        <v>0</v>
      </c>
    </row>
    <row r="30" spans="2:18" x14ac:dyDescent="0.3">
      <c r="B30" s="152">
        <v>45195</v>
      </c>
      <c r="C30" s="41">
        <v>1</v>
      </c>
      <c r="D30" s="153">
        <v>5</v>
      </c>
      <c r="E30" s="154">
        <v>30157</v>
      </c>
      <c r="F30" s="155">
        <v>30646938755</v>
      </c>
      <c r="G30" s="156" t="str">
        <f>IFERROR(IF(compras_mes6[[#This Row],[CUIT]]="","-",VLOOKUP(compras_mes6[[#This Row],[CUIT]],Lista_CUIT[#All],2,0)),"CUIT NO CARGADO")</f>
        <v>LASARTE HNOS SRL</v>
      </c>
      <c r="H30" s="157">
        <v>50000</v>
      </c>
      <c r="I30" s="158">
        <f>IF(compras_mes6[[#This Row],[NETO GRAVADO]]="","",compras_mes6[[#This Row],[NETO GRAVADO]]*0.21)</f>
        <v>10500</v>
      </c>
      <c r="J30" s="158"/>
      <c r="K30" s="158"/>
      <c r="L30" s="158"/>
      <c r="M30" s="158"/>
      <c r="N30" s="158"/>
      <c r="O30" s="158"/>
      <c r="P30" s="159">
        <f>SUM(compras_mes6[[#This Row],[NETO GRAVADO]:[Otros / No Grav.]])</f>
        <v>60500</v>
      </c>
      <c r="Q30" s="160">
        <f>IFERROR(IF(compras_mes6[[#This Row],[CUIT]]="","-",VLOOKUP(compras_mes6[[#This Row],[CUIT]],Lista_CUIT[#All],3,0)),"CUIT NO CARGADO")</f>
        <v>0</v>
      </c>
      <c r="R30" s="160">
        <f>IFERROR(IF(compras_mes6[[#This Row],[CUIT]]="","-",VLOOKUP(compras_mes6[[#This Row],[CUIT]],Lista_CUIT[#All],4,0)),"CUIT NO CARGADO")</f>
        <v>0</v>
      </c>
    </row>
    <row r="31" spans="2:18" x14ac:dyDescent="0.3">
      <c r="B31" s="152">
        <v>45196</v>
      </c>
      <c r="C31" s="41">
        <v>1</v>
      </c>
      <c r="D31" s="153">
        <v>2</v>
      </c>
      <c r="E31" s="154">
        <v>173</v>
      </c>
      <c r="F31" s="155">
        <v>33715793909</v>
      </c>
      <c r="G31" s="156" t="str">
        <f>IFERROR(IF(compras_mes6[[#This Row],[CUIT]]="","-",VLOOKUP(compras_mes6[[#This Row],[CUIT]],Lista_CUIT[#All],2,0)),"CUIT NO CARGADO")</f>
        <v>MERCURIUS S.A.S.</v>
      </c>
      <c r="H31" s="157">
        <v>668104.1</v>
      </c>
      <c r="I31" s="158"/>
      <c r="J31" s="158"/>
      <c r="K31" s="158">
        <f>compras_mes6[[#This Row],[NETO GRAVADO]]*0.105</f>
        <v>70150.930500000002</v>
      </c>
      <c r="L31" s="158"/>
      <c r="M31" s="158"/>
      <c r="N31" s="158"/>
      <c r="O31" s="158"/>
      <c r="P31" s="159">
        <f>SUM(compras_mes6[[#This Row],[NETO GRAVADO]:[Otros / No Grav.]])</f>
        <v>738255.03049999999</v>
      </c>
      <c r="Q31" s="160">
        <f>IFERROR(IF(compras_mes6[[#This Row],[CUIT]]="","-",VLOOKUP(compras_mes6[[#This Row],[CUIT]],Lista_CUIT[#All],3,0)),"CUIT NO CARGADO")</f>
        <v>0</v>
      </c>
      <c r="R31" s="160">
        <f>IFERROR(IF(compras_mes6[[#This Row],[CUIT]]="","-",VLOOKUP(compras_mes6[[#This Row],[CUIT]],Lista_CUIT[#All],4,0)),"CUIT NO CARGADO")</f>
        <v>0</v>
      </c>
    </row>
    <row r="32" spans="2:18" x14ac:dyDescent="0.3">
      <c r="B32" s="152">
        <v>45197</v>
      </c>
      <c r="C32" s="41">
        <v>1</v>
      </c>
      <c r="D32" s="153">
        <v>3</v>
      </c>
      <c r="E32" s="154">
        <v>24817</v>
      </c>
      <c r="F32" s="155">
        <v>30709511846</v>
      </c>
      <c r="G32" s="156" t="str">
        <f>IFERROR(IF(compras_mes6[[#This Row],[CUIT]]="","-",VLOOKUP(compras_mes6[[#This Row],[CUIT]],Lista_CUIT[#All],2,0)),"CUIT NO CARGADO")</f>
        <v>KURIABE S. A.</v>
      </c>
      <c r="H32" s="157">
        <v>15380.14</v>
      </c>
      <c r="I32" s="158">
        <v>1403.88</v>
      </c>
      <c r="J32" s="158"/>
      <c r="K32" s="158">
        <v>912.98</v>
      </c>
      <c r="L32" s="158"/>
      <c r="M32" s="158"/>
      <c r="N32" s="158"/>
      <c r="O32" s="158"/>
      <c r="P32" s="159">
        <f>SUM(compras_mes6[[#This Row],[NETO GRAVADO]:[Otros / No Grav.]])</f>
        <v>17697</v>
      </c>
      <c r="Q32" s="160" t="str">
        <f>IFERROR(IF(compras_mes6[[#This Row],[CUIT]]="","-",VLOOKUP(compras_mes6[[#This Row],[CUIT]],Lista_CUIT[#All],3,0)),"CUIT NO CARGADO")</f>
        <v>Gastos Varios</v>
      </c>
      <c r="R32" s="160">
        <f>IFERROR(IF(compras_mes6[[#This Row],[CUIT]]="","-",VLOOKUP(compras_mes6[[#This Row],[CUIT]],Lista_CUIT[#All],4,0)),"CUIT NO CARGADO")</f>
        <v>0</v>
      </c>
    </row>
    <row r="33" spans="2:19" x14ac:dyDescent="0.3">
      <c r="B33" s="218">
        <v>45198</v>
      </c>
      <c r="C33" s="208">
        <v>1</v>
      </c>
      <c r="D33" s="219">
        <v>6</v>
      </c>
      <c r="E33" s="220">
        <v>12816</v>
      </c>
      <c r="F33" s="221">
        <v>30707756434</v>
      </c>
      <c r="G33" s="222" t="str">
        <f>IFERROR(IF(compras_mes6[[#This Row],[CUIT]]="","-",VLOOKUP(compras_mes6[[#This Row],[CUIT]],Lista_CUIT[#All],2,0)),"CUIT NO CARGADO")</f>
        <v>SERVICIO INTEGRAL DE LIMPIEZA SRL</v>
      </c>
      <c r="H33" s="223">
        <v>52000</v>
      </c>
      <c r="I33" s="215">
        <f>IF(compras_mes6[[#This Row],[NETO GRAVADO]]="","",compras_mes6[[#This Row],[NETO GRAVADO]]*0.21)</f>
        <v>10920</v>
      </c>
      <c r="J33" s="215"/>
      <c r="K33" s="215"/>
      <c r="L33" s="215"/>
      <c r="M33" s="215"/>
      <c r="N33" s="215"/>
      <c r="O33" s="215"/>
      <c r="P33" s="224">
        <f>SUM(compras_mes6[[#This Row],[NETO GRAVADO]:[Otros / No Grav.]])</f>
        <v>62920</v>
      </c>
      <c r="Q33" s="225" t="str">
        <f>IFERROR(IF(compras_mes6[[#This Row],[CUIT]]="","-",VLOOKUP(compras_mes6[[#This Row],[CUIT]],Lista_CUIT[#All],3,0)),"CUIT NO CARGADO")</f>
        <v>Mantenimiento</v>
      </c>
      <c r="R33" s="225">
        <f>IFERROR(IF(compras_mes6[[#This Row],[CUIT]]="","-",VLOOKUP(compras_mes6[[#This Row],[CUIT]],Lista_CUIT[#All],4,0)),"CUIT NO CARGADO")</f>
        <v>0</v>
      </c>
    </row>
    <row r="34" spans="2:19" x14ac:dyDescent="0.3">
      <c r="B34" s="152">
        <v>45198</v>
      </c>
      <c r="C34" s="41">
        <v>1</v>
      </c>
      <c r="D34" s="153">
        <v>18</v>
      </c>
      <c r="E34" s="154">
        <v>3046</v>
      </c>
      <c r="F34" s="155">
        <v>30712325468</v>
      </c>
      <c r="G34" s="156" t="str">
        <f>IFERROR(IF(compras_mes6[[#This Row],[CUIT]]="","-",VLOOKUP(compras_mes6[[#This Row],[CUIT]],Lista_CUIT[#All],2,0)),"CUIT NO CARGADO")</f>
        <v>ESPACIO MARKETING S.R.L.</v>
      </c>
      <c r="H34" s="157">
        <v>31404.13</v>
      </c>
      <c r="I34" s="158">
        <f>IF(compras_mes6[[#This Row],[NETO GRAVADO]]="","",compras_mes6[[#This Row],[NETO GRAVADO]]*0.21)</f>
        <v>6594.8672999999999</v>
      </c>
      <c r="J34" s="158"/>
      <c r="K34" s="158"/>
      <c r="L34" s="158"/>
      <c r="M34" s="158"/>
      <c r="N34" s="158"/>
      <c r="O34" s="158"/>
      <c r="P34" s="159">
        <f>SUM(compras_mes6[[#This Row],[NETO GRAVADO]:[Otros / No Grav.]])</f>
        <v>37998.997300000003</v>
      </c>
      <c r="Q34" s="160">
        <f>IFERROR(IF(compras_mes6[[#This Row],[CUIT]]="","-",VLOOKUP(compras_mes6[[#This Row],[CUIT]],Lista_CUIT[#All],3,0)),"CUIT NO CARGADO")</f>
        <v>0</v>
      </c>
      <c r="R34" s="160">
        <f>IFERROR(IF(compras_mes6[[#This Row],[CUIT]]="","-",VLOOKUP(compras_mes6[[#This Row],[CUIT]],Lista_CUIT[#All],4,0)),"CUIT NO CARGADO")</f>
        <v>0</v>
      </c>
    </row>
    <row r="35" spans="2:19" x14ac:dyDescent="0.3">
      <c r="B35" s="152">
        <v>45198</v>
      </c>
      <c r="C35" s="41">
        <v>1</v>
      </c>
      <c r="D35" s="153">
        <v>2</v>
      </c>
      <c r="E35" s="154">
        <v>12206</v>
      </c>
      <c r="F35" s="155">
        <v>30714481513</v>
      </c>
      <c r="G35" s="156" t="str">
        <f>IFERROR(IF(compras_mes6[[#This Row],[CUIT]]="","-",VLOOKUP(compras_mes6[[#This Row],[CUIT]],Lista_CUIT[#All],2,0)),"CUIT NO CARGADO")</f>
        <v>NUBBEO S.R.L.</v>
      </c>
      <c r="H35" s="157">
        <v>10954.75</v>
      </c>
      <c r="I35" s="158"/>
      <c r="J35" s="158"/>
      <c r="K35" s="158">
        <f>compras_mes6[[#This Row],[NETO GRAVADO]]*0.105</f>
        <v>1150.24875</v>
      </c>
      <c r="L35" s="158"/>
      <c r="M35" s="158"/>
      <c r="N35" s="158"/>
      <c r="O35" s="158"/>
      <c r="P35" s="159">
        <f>SUM(compras_mes6[[#This Row],[NETO GRAVADO]:[Otros / No Grav.]])</f>
        <v>12104.998750000001</v>
      </c>
      <c r="Q35" s="160">
        <f>IFERROR(IF(compras_mes6[[#This Row],[CUIT]]="","-",VLOOKUP(compras_mes6[[#This Row],[CUIT]],Lista_CUIT[#All],3,0)),"CUIT NO CARGADO")</f>
        <v>0</v>
      </c>
      <c r="R35" s="160">
        <f>IFERROR(IF(compras_mes6[[#This Row],[CUIT]]="","-",VLOOKUP(compras_mes6[[#This Row],[CUIT]],Lista_CUIT[#All],4,0)),"CUIT NO CARGADO")</f>
        <v>0</v>
      </c>
    </row>
    <row r="36" spans="2:19" x14ac:dyDescent="0.3">
      <c r="B36" s="313">
        <v>45199</v>
      </c>
      <c r="C36" s="208">
        <v>1</v>
      </c>
      <c r="D36" s="314">
        <v>1</v>
      </c>
      <c r="E36" s="315">
        <v>677</v>
      </c>
      <c r="F36" s="316">
        <v>30715048066</v>
      </c>
      <c r="G36" s="317" t="str">
        <f>IFERROR(IF(compras_mes6[[#This Row],[CUIT]]="","-",VLOOKUP(compras_mes6[[#This Row],[CUIT]],Lista_CUIT[#All],2,0)),"CUIT NO CARGADO")</f>
        <v>ROLLS Y EMPANADAS SA</v>
      </c>
      <c r="H36" s="318">
        <v>205225</v>
      </c>
      <c r="I36" s="319">
        <f>IF(compras_mes6[[#This Row],[NETO GRAVADO]]="","",compras_mes6[[#This Row],[NETO GRAVADO]]*0.21)</f>
        <v>43097.25</v>
      </c>
      <c r="J36" s="319"/>
      <c r="K36" s="319"/>
      <c r="L36" s="319"/>
      <c r="M36" s="319"/>
      <c r="N36" s="319"/>
      <c r="O36" s="319"/>
      <c r="P36" s="282">
        <f>SUM(compras_mes6[[#This Row],[NETO GRAVADO]:[Otros / No Grav.]])</f>
        <v>248322.25</v>
      </c>
      <c r="Q36" s="320" t="str">
        <f>IFERROR(IF(compras_mes6[[#This Row],[CUIT]]="","-",VLOOKUP(compras_mes6[[#This Row],[CUIT]],Lista_CUIT[#All],3,0)),"CUIT NO CARGADO")</f>
        <v>CATERING</v>
      </c>
      <c r="R36" s="320">
        <f>IFERROR(IF(compras_mes6[[#This Row],[CUIT]]="","-",VLOOKUP(compras_mes6[[#This Row],[CUIT]],Lista_CUIT[#All],4,0)),"CUIT NO CARGADO")</f>
        <v>0</v>
      </c>
      <c r="S36" t="s">
        <v>1121</v>
      </c>
    </row>
    <row r="37" spans="2:19" x14ac:dyDescent="0.3">
      <c r="B37" s="96" t="s">
        <v>110</v>
      </c>
      <c r="C37" s="96"/>
      <c r="D37" s="96"/>
      <c r="E37" s="96"/>
      <c r="F37" s="96"/>
      <c r="G37" s="97"/>
      <c r="H37" s="98">
        <f>SUBTOTAL(109,compras_mes6[NETO GRAVADO])</f>
        <v>7734754.5099999988</v>
      </c>
      <c r="I37" s="98">
        <f>SUBTOTAL(109,compras_mes6[IVA 21 %])</f>
        <v>1448877.3017999998</v>
      </c>
      <c r="J37" s="98">
        <f>SUBTOTAL(109,compras_mes6[IVA 27%])</f>
        <v>1412.1000000000001</v>
      </c>
      <c r="K37" s="98">
        <f>SUBTOTAL(109,compras_mes6[IVA 10,5%])</f>
        <v>87161.427949999998</v>
      </c>
      <c r="L37" s="98">
        <f>SUBTOTAL(109,compras_mes6[PERC. IVA])</f>
        <v>156.9</v>
      </c>
      <c r="M37" s="98">
        <f>SUBTOTAL(109,compras_mes6[PERC IIBB 
BS AS])</f>
        <v>0</v>
      </c>
      <c r="N37" s="98">
        <f>SUBTOTAL(109,compras_mes6[PERC. IIBB CABA])</f>
        <v>0</v>
      </c>
      <c r="O37" s="98">
        <f>SUBTOTAL(109,compras_mes6[Otros / No Grav.])</f>
        <v>210484.75500000003</v>
      </c>
      <c r="P37" s="98">
        <f>SUBTOTAL(109,compras_mes6[TOTAL])</f>
        <v>9482846.9947499987</v>
      </c>
      <c r="Q37" s="96"/>
      <c r="R37" s="96"/>
    </row>
    <row r="38" spans="2:19" x14ac:dyDescent="0.3">
      <c r="B38" s="40"/>
      <c r="C38" s="41"/>
      <c r="D38" s="42"/>
      <c r="E38" s="43"/>
      <c r="F38" s="44"/>
      <c r="G38" s="45"/>
      <c r="H38" s="46"/>
      <c r="I38" s="47"/>
      <c r="J38" s="47"/>
      <c r="K38" s="47"/>
      <c r="L38" s="47"/>
      <c r="M38" s="47"/>
      <c r="N38" s="47"/>
      <c r="O38" s="47"/>
      <c r="P38" s="48"/>
      <c r="Q38" s="49"/>
      <c r="R38" s="49"/>
    </row>
    <row r="39" spans="2:19" x14ac:dyDescent="0.3">
      <c r="B39" s="40"/>
      <c r="C39" s="41"/>
      <c r="D39" s="42"/>
      <c r="E39" s="43"/>
      <c r="F39" s="44"/>
      <c r="G39" s="45"/>
      <c r="H39" s="46"/>
      <c r="I39" s="47">
        <f>SUM(compras_mes6[[#Totals],[IVA 21 %]:[IVA 10,5%]])</f>
        <v>1537450.8297499998</v>
      </c>
      <c r="J39" s="47"/>
      <c r="K39" s="47"/>
      <c r="L39" s="47"/>
      <c r="M39" s="47"/>
      <c r="N39" s="47"/>
      <c r="O39" s="47"/>
      <c r="P39" s="48"/>
      <c r="Q39" s="49"/>
      <c r="R39" s="49"/>
    </row>
    <row r="40" spans="2:19" x14ac:dyDescent="0.3">
      <c r="B40" s="40"/>
      <c r="C40" s="41"/>
      <c r="D40" s="42"/>
      <c r="E40" s="43"/>
      <c r="F40" s="44"/>
      <c r="G40" s="45"/>
      <c r="H40" s="46"/>
      <c r="J40" s="47"/>
      <c r="K40" s="47"/>
      <c r="L40" s="47"/>
      <c r="M40" s="47"/>
      <c r="N40" s="47"/>
      <c r="O40" s="47"/>
      <c r="P40" s="48"/>
      <c r="Q40" s="49"/>
      <c r="R40" s="49"/>
    </row>
    <row r="41" spans="2:19" x14ac:dyDescent="0.3">
      <c r="B41" s="40"/>
      <c r="C41" s="41"/>
      <c r="D41" s="42"/>
      <c r="E41" s="43"/>
      <c r="F41" s="44"/>
      <c r="G41" s="45"/>
      <c r="H41" s="46"/>
      <c r="I41" s="47"/>
      <c r="J41" s="47"/>
      <c r="K41" s="47"/>
      <c r="L41" s="47"/>
    </row>
    <row r="42" spans="2:19" ht="21" x14ac:dyDescent="0.3">
      <c r="D42" s="414" t="s">
        <v>15</v>
      </c>
      <c r="E42" s="414"/>
      <c r="F42" s="414"/>
      <c r="G42" s="414"/>
      <c r="H42" s="414"/>
      <c r="I42" s="414"/>
      <c r="J42" s="414"/>
      <c r="K42" s="414"/>
      <c r="L42" s="414"/>
    </row>
    <row r="43" spans="2:19" ht="15.6" x14ac:dyDescent="0.3">
      <c r="D43" s="73" t="s">
        <v>0</v>
      </c>
      <c r="E43" s="74" t="s">
        <v>26</v>
      </c>
      <c r="F43" s="74" t="s">
        <v>16</v>
      </c>
      <c r="G43" s="74" t="s">
        <v>5</v>
      </c>
      <c r="H43" s="74" t="s">
        <v>17</v>
      </c>
      <c r="I43" s="74" t="s">
        <v>7</v>
      </c>
      <c r="J43" s="75" t="s">
        <v>18</v>
      </c>
      <c r="K43" s="75" t="s">
        <v>19</v>
      </c>
      <c r="L43" s="76" t="s">
        <v>20</v>
      </c>
    </row>
    <row r="44" spans="2:19" s="56" customFormat="1" ht="18.600000000000001" customHeight="1" x14ac:dyDescent="0.3">
      <c r="B44"/>
      <c r="C44"/>
      <c r="D44" s="50">
        <v>45174</v>
      </c>
      <c r="E44" s="80">
        <v>977865000</v>
      </c>
      <c r="F44" s="80" t="s">
        <v>1243</v>
      </c>
      <c r="G44" s="81">
        <v>8750</v>
      </c>
      <c r="H44" s="81">
        <f>extracto_banco_mes6[[#This Row],[NETO]]*0.21</f>
        <v>1837.5</v>
      </c>
      <c r="I44" s="81"/>
      <c r="J44" s="81"/>
      <c r="K44" s="81">
        <v>262.5</v>
      </c>
      <c r="L44" s="81"/>
      <c r="M44"/>
      <c r="N44"/>
      <c r="O44"/>
      <c r="P44"/>
      <c r="Q44"/>
      <c r="R44"/>
    </row>
    <row r="45" spans="2:19" x14ac:dyDescent="0.3">
      <c r="D45" s="50">
        <v>45170</v>
      </c>
      <c r="E45" s="80">
        <v>1044841000</v>
      </c>
      <c r="F45" s="196" t="s">
        <v>1243</v>
      </c>
      <c r="G45" s="197">
        <v>8752.5</v>
      </c>
      <c r="H45" s="197">
        <f>extracto_banco_mes6[[#This Row],[NETO]]*0.21</f>
        <v>1838.0249999999999</v>
      </c>
      <c r="I45" s="197"/>
      <c r="J45" s="197"/>
      <c r="K45" s="197">
        <v>262.58</v>
      </c>
      <c r="L45" s="197"/>
    </row>
    <row r="46" spans="2:19" x14ac:dyDescent="0.3">
      <c r="D46" s="194">
        <v>45190</v>
      </c>
      <c r="E46" s="80">
        <v>21092023</v>
      </c>
      <c r="F46" s="80" t="s">
        <v>1276</v>
      </c>
      <c r="G46" s="197">
        <v>170</v>
      </c>
      <c r="H46" s="197">
        <f>extracto_banco_mes6[[#This Row],[NETO]]*0.21</f>
        <v>35.699999999999996</v>
      </c>
      <c r="I46" s="197"/>
      <c r="J46" s="197">
        <v>1.78</v>
      </c>
      <c r="K46" s="197"/>
      <c r="L46" s="197"/>
    </row>
    <row r="47" spans="2:19" x14ac:dyDescent="0.3">
      <c r="D47" s="50">
        <v>45199</v>
      </c>
      <c r="E47" s="80">
        <v>30092023</v>
      </c>
      <c r="F47" s="196" t="s">
        <v>1243</v>
      </c>
      <c r="G47" s="197">
        <f>150+150+35+150+2872.25+450+35+150+475+150+4300</f>
        <v>8917.25</v>
      </c>
      <c r="H47" s="197">
        <f>extracto_banco_mes6[[#This Row],[NETO]]*0.21</f>
        <v>1872.6224999999999</v>
      </c>
      <c r="I47" s="197"/>
      <c r="J47" s="197"/>
      <c r="K47" s="197">
        <f>86.17+129</f>
        <v>215.17000000000002</v>
      </c>
      <c r="L47" s="197"/>
    </row>
    <row r="48" spans="2:19" x14ac:dyDescent="0.3">
      <c r="D48" s="82" t="s">
        <v>110</v>
      </c>
      <c r="E48" s="80"/>
      <c r="F48" s="80"/>
      <c r="G48" s="83">
        <f>SUBTOTAL(109,extracto_banco_mes6[NETO])</f>
        <v>26589.75</v>
      </c>
      <c r="H48" s="83">
        <f>SUBTOTAL(109,extracto_banco_mes6[IVA 21%])</f>
        <v>5583.8474999999999</v>
      </c>
      <c r="I48" s="83">
        <f>SUBTOTAL(109,extracto_banco_mes6[IVA 10,5%])</f>
        <v>0</v>
      </c>
      <c r="J48" s="83">
        <f>SUBTOTAL(109,extracto_banco_mes6[RET IIBB CABA])</f>
        <v>1.78</v>
      </c>
      <c r="K48" s="83">
        <f>SUBTOTAL(109,extracto_banco_mes6[PERC IVA])</f>
        <v>740.25</v>
      </c>
      <c r="L48" s="83">
        <f>SUBTOTAL(109,extracto_banco_mes6[PERC IIBB])</f>
        <v>0</v>
      </c>
    </row>
    <row r="50" spans="4:11" ht="21" x14ac:dyDescent="0.3">
      <c r="D50" s="414" t="s">
        <v>25</v>
      </c>
      <c r="E50" s="414"/>
      <c r="F50" s="414"/>
      <c r="G50" s="414"/>
      <c r="H50" s="414"/>
      <c r="I50" s="414"/>
      <c r="J50" s="414"/>
      <c r="K50" s="414"/>
    </row>
    <row r="51" spans="4:11" x14ac:dyDescent="0.3">
      <c r="D51" s="51" t="s">
        <v>0</v>
      </c>
      <c r="E51" s="51" t="s">
        <v>2</v>
      </c>
      <c r="F51" s="51" t="s">
        <v>74</v>
      </c>
      <c r="G51" s="51" t="s">
        <v>3</v>
      </c>
      <c r="H51" s="51" t="s">
        <v>4</v>
      </c>
      <c r="I51" s="52" t="s">
        <v>10</v>
      </c>
      <c r="J51" s="51" t="s">
        <v>13</v>
      </c>
      <c r="K51" s="51" t="s">
        <v>38</v>
      </c>
    </row>
    <row r="52" spans="4:11" ht="18" customHeight="1" x14ac:dyDescent="0.3">
      <c r="D52" s="305">
        <v>45173</v>
      </c>
      <c r="E52" s="234">
        <v>3</v>
      </c>
      <c r="F52" s="234">
        <v>774</v>
      </c>
      <c r="G52" s="235">
        <v>20086277523</v>
      </c>
      <c r="H52" s="236" t="str">
        <f>IFERROR(IF(factura_c_mes6[[#This Row],[CUIT]]="","-",VLOOKUP(factura_c_mes6[[#This Row],[CUIT]],Lista_CUIT[#All],2,0)),"CUIT NO CARGADO")</f>
        <v>ESTUDIO BOTINDARI</v>
      </c>
      <c r="I52" s="237">
        <v>95500</v>
      </c>
      <c r="J52" s="238" t="str">
        <f>IFERROR(IF(factura_c_mes6[[#This Row],[CUIT]]="","-",VLOOKUP(factura_c_mes6[[#This Row],[CUIT]],Lista_CUIT[#All],3,0)),"CUIT NO CARGADO")</f>
        <v>HONORARIOS</v>
      </c>
      <c r="K52" s="238">
        <f>IFERROR(IF(factura_c_mes6[[#This Row],[CUIT]]="","-",VLOOKUP(factura_c_mes6[[#This Row],[CUIT]],Lista_CUIT[#All],4,0)),"CUIT NO CARGADO")</f>
        <v>0</v>
      </c>
    </row>
    <row r="53" spans="4:11" x14ac:dyDescent="0.3">
      <c r="D53" s="50">
        <v>45174</v>
      </c>
      <c r="E53" s="161">
        <v>1</v>
      </c>
      <c r="F53" s="161">
        <v>102</v>
      </c>
      <c r="G53" s="141">
        <v>20341465134</v>
      </c>
      <c r="H53" s="142" t="str">
        <f>IFERROR(IF(factura_c_mes6[[#This Row],[CUIT]]="","-",VLOOKUP(factura_c_mes6[[#This Row],[CUIT]],Lista_CUIT[#All],2,0)),"CUIT NO CARGADO")</f>
        <v>ABELEDO AGUSTIN ENRIQUE</v>
      </c>
      <c r="I53" s="162">
        <v>155500</v>
      </c>
      <c r="J53" s="163" t="str">
        <f>IFERROR(IF(factura_c_mes6[[#This Row],[CUIT]]="","-",VLOOKUP(factura_c_mes6[[#This Row],[CUIT]],Lista_CUIT[#All],3,0)),"CUIT NO CARGADO")</f>
        <v>Mantenimiento</v>
      </c>
      <c r="K53" s="163" t="str">
        <f>IFERROR(IF(factura_c_mes6[[#This Row],[CUIT]]="","-",VLOOKUP(factura_c_mes6[[#This Row],[CUIT]],Lista_CUIT[#All],4,0)),"CUIT NO CARGADO")</f>
        <v>CABA</v>
      </c>
    </row>
    <row r="54" spans="4:11" x14ac:dyDescent="0.3">
      <c r="D54" s="50">
        <v>45176</v>
      </c>
      <c r="E54" s="161">
        <v>4</v>
      </c>
      <c r="F54" s="161">
        <v>17</v>
      </c>
      <c r="G54" s="141">
        <v>20341462933</v>
      </c>
      <c r="H54" s="142" t="str">
        <f>IFERROR(IF(factura_c_mes6[[#This Row],[CUIT]]="","-",VLOOKUP(factura_c_mes6[[#This Row],[CUIT]],Lista_CUIT[#All],2,0)),"CUIT NO CARGADO")</f>
        <v>CASTIGLIONI MATIAS EZEQUIEL</v>
      </c>
      <c r="I54" s="162">
        <v>195000</v>
      </c>
      <c r="J54" s="163" t="str">
        <f>IFERROR(IF(factura_c_mes6[[#This Row],[CUIT]]="","-",VLOOKUP(factura_c_mes6[[#This Row],[CUIT]],Lista_CUIT[#All],3,0)),"CUIT NO CARGADO")</f>
        <v>ASESORAMIENTO</v>
      </c>
      <c r="K54" s="163" t="str">
        <f>IFERROR(IF(factura_c_mes6[[#This Row],[CUIT]]="","-",VLOOKUP(factura_c_mes6[[#This Row],[CUIT]],Lista_CUIT[#All],4,0)),"CUIT NO CARGADO")</f>
        <v>BUENOS AIRES</v>
      </c>
    </row>
    <row r="55" spans="4:11" x14ac:dyDescent="0.3">
      <c r="D55" s="50">
        <v>45177</v>
      </c>
      <c r="E55" s="161">
        <v>1</v>
      </c>
      <c r="F55" s="161">
        <v>213</v>
      </c>
      <c r="G55" s="141">
        <v>27925308868</v>
      </c>
      <c r="H55" s="142" t="str">
        <f>IFERROR(IF(factura_c_mes6[[#This Row],[CUIT]]="","-",VLOOKUP(factura_c_mes6[[#This Row],[CUIT]],Lista_CUIT[#All],2,0)),"CUIT NO CARGADO")</f>
        <v>LOPEZ MOLINA MARIA</v>
      </c>
      <c r="I55" s="162">
        <v>2000</v>
      </c>
      <c r="J55" s="163">
        <f>IFERROR(IF(factura_c_mes6[[#This Row],[CUIT]]="","-",VLOOKUP(factura_c_mes6[[#This Row],[CUIT]],Lista_CUIT[#All],3,0)),"CUIT NO CARGADO")</f>
        <v>0</v>
      </c>
      <c r="K55" s="163">
        <f>IFERROR(IF(factura_c_mes6[[#This Row],[CUIT]]="","-",VLOOKUP(factura_c_mes6[[#This Row],[CUIT]],Lista_CUIT[#All],4,0)),"CUIT NO CARGADO")</f>
        <v>0</v>
      </c>
    </row>
    <row r="56" spans="4:11" x14ac:dyDescent="0.3">
      <c r="D56" s="305">
        <v>45180</v>
      </c>
      <c r="E56" s="234">
        <v>2</v>
      </c>
      <c r="F56" s="234">
        <v>633</v>
      </c>
      <c r="G56" s="235">
        <v>20400104094</v>
      </c>
      <c r="H56" s="236" t="str">
        <f>IFERROR(IF(factura_c_mes6[[#This Row],[CUIT]]="","-",VLOOKUP(factura_c_mes6[[#This Row],[CUIT]],Lista_CUIT[#All],2,0)),"CUIT NO CARGADO")</f>
        <v>FEDERICO BOTINDARI</v>
      </c>
      <c r="I56" s="237">
        <v>20830</v>
      </c>
      <c r="J56" s="238" t="str">
        <f>IFERROR(IF(factura_c_mes6[[#This Row],[CUIT]]="","-",VLOOKUP(factura_c_mes6[[#This Row],[CUIT]],Lista_CUIT[#All],3,0)),"CUIT NO CARGADO")</f>
        <v>HONORARIOS</v>
      </c>
      <c r="K56" s="238">
        <f>IFERROR(IF(factura_c_mes6[[#This Row],[CUIT]]="","-",VLOOKUP(factura_c_mes6[[#This Row],[CUIT]],Lista_CUIT[#All],4,0)),"CUIT NO CARGADO")</f>
        <v>0</v>
      </c>
    </row>
    <row r="57" spans="4:11" x14ac:dyDescent="0.3">
      <c r="D57" s="305">
        <v>45183</v>
      </c>
      <c r="E57" s="234">
        <v>1</v>
      </c>
      <c r="F57" s="234">
        <v>224</v>
      </c>
      <c r="G57" s="235">
        <v>27925308868</v>
      </c>
      <c r="H57" s="236" t="str">
        <f>IFERROR(IF(factura_c_mes6[[#This Row],[CUIT]]="","-",VLOOKUP(factura_c_mes6[[#This Row],[CUIT]],Lista_CUIT[#All],2,0)),"CUIT NO CARGADO")</f>
        <v>LOPEZ MOLINA MARIA</v>
      </c>
      <c r="I57" s="237">
        <v>2000</v>
      </c>
      <c r="J57" s="238">
        <f>IFERROR(IF(factura_c_mes6[[#This Row],[CUIT]]="","-",VLOOKUP(factura_c_mes6[[#This Row],[CUIT]],Lista_CUIT[#All],3,0)),"CUIT NO CARGADO")</f>
        <v>0</v>
      </c>
      <c r="K57" s="238">
        <f>IFERROR(IF(factura_c_mes6[[#This Row],[CUIT]]="","-",VLOOKUP(factura_c_mes6[[#This Row],[CUIT]],Lista_CUIT[#All],4,0)),"CUIT NO CARGADO")</f>
        <v>0</v>
      </c>
    </row>
    <row r="58" spans="4:11" x14ac:dyDescent="0.3">
      <c r="D58" s="305">
        <v>45187</v>
      </c>
      <c r="E58" s="234">
        <v>3</v>
      </c>
      <c r="F58" s="234">
        <v>61</v>
      </c>
      <c r="G58" s="235">
        <v>20403931420</v>
      </c>
      <c r="H58" s="236" t="str">
        <f>IFERROR(IF(factura_c_mes6[[#This Row],[CUIT]]="","-",VLOOKUP(factura_c_mes6[[#This Row],[CUIT]],Lista_CUIT[#All],2,0)),"CUIT NO CARGADO")</f>
        <v>FIORENTINO JORGE IGNACIO</v>
      </c>
      <c r="I58" s="237">
        <v>177010</v>
      </c>
      <c r="J58" s="238" t="str">
        <f>IFERROR(IF(factura_c_mes6[[#This Row],[CUIT]]="","-",VLOOKUP(factura_c_mes6[[#This Row],[CUIT]],Lista_CUIT[#All],3,0)),"CUIT NO CARGADO")</f>
        <v>Hon. Admin.</v>
      </c>
      <c r="K58" s="238">
        <f>IFERROR(IF(factura_c_mes6[[#This Row],[CUIT]]="","-",VLOOKUP(factura_c_mes6[[#This Row],[CUIT]],Lista_CUIT[#All],4,0)),"CUIT NO CARGADO")</f>
        <v>0</v>
      </c>
    </row>
    <row r="59" spans="4:11" x14ac:dyDescent="0.3">
      <c r="D59" s="305">
        <v>45188</v>
      </c>
      <c r="E59" s="234">
        <v>2</v>
      </c>
      <c r="F59" s="234">
        <v>90</v>
      </c>
      <c r="G59" s="235">
        <v>20244271740</v>
      </c>
      <c r="H59" s="236" t="str">
        <f>IFERROR(IF(factura_c_mes6[[#This Row],[CUIT]]="","-",VLOOKUP(factura_c_mes6[[#This Row],[CUIT]],Lista_CUIT[#All],2,0)),"CUIT NO CARGADO")</f>
        <v>KENNEL SEBASTIAN</v>
      </c>
      <c r="I59" s="237">
        <v>190000</v>
      </c>
      <c r="J59" s="238" t="str">
        <f>IFERROR(IF(factura_c_mes6[[#This Row],[CUIT]]="","-",VLOOKUP(factura_c_mes6[[#This Row],[CUIT]],Lista_CUIT[#All],3,0)),"CUIT NO CARGADO")</f>
        <v>Software Mantenimiento</v>
      </c>
      <c r="K59" s="238">
        <f>IFERROR(IF(factura_c_mes6[[#This Row],[CUIT]]="","-",VLOOKUP(factura_c_mes6[[#This Row],[CUIT]],Lista_CUIT[#All],4,0)),"CUIT NO CARGADO")</f>
        <v>0</v>
      </c>
    </row>
    <row r="60" spans="4:11" x14ac:dyDescent="0.3">
      <c r="D60" s="50">
        <v>45189</v>
      </c>
      <c r="E60" s="161">
        <v>4</v>
      </c>
      <c r="F60" s="161">
        <v>53</v>
      </c>
      <c r="G60" s="141">
        <v>23214737914</v>
      </c>
      <c r="H60" s="142" t="str">
        <f>IFERROR(IF(factura_c_mes6[[#This Row],[CUIT]]="","-",VLOOKUP(factura_c_mes6[[#This Row],[CUIT]],Lista_CUIT[#All],2,0)),"CUIT NO CARGADO")</f>
        <v>SBARRA GABRIELA BEATRIZ</v>
      </c>
      <c r="I60" s="162">
        <v>449440</v>
      </c>
      <c r="J60" s="163">
        <f>IFERROR(IF(factura_c_mes6[[#This Row],[CUIT]]="","-",VLOOKUP(factura_c_mes6[[#This Row],[CUIT]],Lista_CUIT[#All],3,0)),"CUIT NO CARGADO")</f>
        <v>0</v>
      </c>
      <c r="K60" s="163">
        <f>IFERROR(IF(factura_c_mes6[[#This Row],[CUIT]]="","-",VLOOKUP(factura_c_mes6[[#This Row],[CUIT]],Lista_CUIT[#All],4,0)),"CUIT NO CARGADO")</f>
        <v>0</v>
      </c>
    </row>
    <row r="61" spans="4:11" x14ac:dyDescent="0.3">
      <c r="D61" s="50">
        <v>45196</v>
      </c>
      <c r="E61" s="161">
        <v>1</v>
      </c>
      <c r="F61" s="161">
        <v>14</v>
      </c>
      <c r="G61" s="141">
        <v>20338344695</v>
      </c>
      <c r="H61" s="142" t="str">
        <f>IFERROR(IF(factura_c_mes6[[#This Row],[CUIT]]="","-",VLOOKUP(factura_c_mes6[[#This Row],[CUIT]],Lista_CUIT[#All],2,0)),"CUIT NO CARGADO")</f>
        <v>FUERTES DAMIAN MATIAS</v>
      </c>
      <c r="I61" s="162">
        <v>32500</v>
      </c>
      <c r="J61" s="163" t="str">
        <f>IFERROR(IF(factura_c_mes6[[#This Row],[CUIT]]="","-",VLOOKUP(factura_c_mes6[[#This Row],[CUIT]],Lista_CUIT[#All],3,0)),"CUIT NO CARGADO")</f>
        <v>INSUMO</v>
      </c>
      <c r="K61" s="163">
        <f>IFERROR(IF(factura_c_mes6[[#This Row],[CUIT]]="","-",VLOOKUP(factura_c_mes6[[#This Row],[CUIT]],Lista_CUIT[#All],4,0)),"CUIT NO CARGADO")</f>
        <v>0</v>
      </c>
    </row>
    <row r="62" spans="4:11" x14ac:dyDescent="0.3">
      <c r="D62" s="50">
        <v>45196</v>
      </c>
      <c r="E62" s="161">
        <v>1</v>
      </c>
      <c r="F62" s="161">
        <v>28</v>
      </c>
      <c r="G62" s="141">
        <v>20365938688</v>
      </c>
      <c r="H62" s="142" t="str">
        <f>IFERROR(IF(factura_c_mes6[[#This Row],[CUIT]]="","-",VLOOKUP(factura_c_mes6[[#This Row],[CUIT]],Lista_CUIT[#All],2,0)),"CUIT NO CARGADO")</f>
        <v>LIPANOVICH JUAN CRUZ</v>
      </c>
      <c r="I62" s="162">
        <v>600000</v>
      </c>
      <c r="J62" s="163" t="str">
        <f>IFERROR(IF(factura_c_mes6[[#This Row],[CUIT]]="","-",VLOOKUP(factura_c_mes6[[#This Row],[CUIT]],Lista_CUIT[#All],3,0)),"CUIT NO CARGADO")</f>
        <v>SOFTWARE</v>
      </c>
      <c r="K62" s="163">
        <f>IFERROR(IF(factura_c_mes6[[#This Row],[CUIT]]="","-",VLOOKUP(factura_c_mes6[[#This Row],[CUIT]],Lista_CUIT[#All],4,0)),"CUIT NO CARGADO")</f>
        <v>0</v>
      </c>
    </row>
    <row r="63" spans="4:11" x14ac:dyDescent="0.3">
      <c r="D63" s="50">
        <v>45197</v>
      </c>
      <c r="E63" s="161">
        <v>1</v>
      </c>
      <c r="F63" s="161">
        <v>250</v>
      </c>
      <c r="G63" s="141">
        <v>27925308868</v>
      </c>
      <c r="H63" s="142" t="str">
        <f>IFERROR(IF(factura_c_mes6[[#This Row],[CUIT]]="","-",VLOOKUP(factura_c_mes6[[#This Row],[CUIT]],Lista_CUIT[#All],2,0)),"CUIT NO CARGADO")</f>
        <v>LOPEZ MOLINA MARIA</v>
      </c>
      <c r="I63" s="162">
        <v>2500</v>
      </c>
      <c r="J63" s="163">
        <f>IFERROR(IF(factura_c_mes6[[#This Row],[CUIT]]="","-",VLOOKUP(factura_c_mes6[[#This Row],[CUIT]],Lista_CUIT[#All],3,0)),"CUIT NO CARGADO")</f>
        <v>0</v>
      </c>
      <c r="K63" s="163">
        <f>IFERROR(IF(factura_c_mes6[[#This Row],[CUIT]]="","-",VLOOKUP(factura_c_mes6[[#This Row],[CUIT]],Lista_CUIT[#All],4,0)),"CUIT NO CARGADO")</f>
        <v>0</v>
      </c>
    </row>
    <row r="64" spans="4:11" x14ac:dyDescent="0.3">
      <c r="D64" s="50">
        <v>45174</v>
      </c>
      <c r="E64" s="161">
        <v>1</v>
      </c>
      <c r="F64" s="161">
        <v>248</v>
      </c>
      <c r="G64" s="141">
        <v>20330173387</v>
      </c>
      <c r="H64" s="142" t="str">
        <f>IFERROR(IF(factura_c_mes6[[#This Row],[CUIT]]="","-",VLOOKUP(factura_c_mes6[[#This Row],[CUIT]],Lista_CUIT[#All],2,0)),"CUIT NO CARGADO")</f>
        <v>CHERRO NICOLAS</v>
      </c>
      <c r="I64" s="162">
        <v>122500</v>
      </c>
      <c r="J64" s="163" t="str">
        <f>IFERROR(IF(factura_c_mes6[[#This Row],[CUIT]]="","-",VLOOKUP(factura_c_mes6[[#This Row],[CUIT]],Lista_CUIT[#All],3,0)),"CUIT NO CARGADO")</f>
        <v>HONORARIOS</v>
      </c>
      <c r="K64" s="163">
        <f>IFERROR(IF(factura_c_mes6[[#This Row],[CUIT]]="","-",VLOOKUP(factura_c_mes6[[#This Row],[CUIT]],Lista_CUIT[#All],4,0)),"CUIT NO CARGADO")</f>
        <v>0</v>
      </c>
    </row>
    <row r="65" spans="2:18" ht="17.25" customHeight="1" x14ac:dyDescent="0.3">
      <c r="D65" s="50">
        <v>45178</v>
      </c>
      <c r="E65" s="42">
        <v>2</v>
      </c>
      <c r="F65" s="43">
        <v>22262</v>
      </c>
      <c r="G65" s="44">
        <v>30710548680</v>
      </c>
      <c r="H65" s="53" t="str">
        <f>IFERROR(IF(factura_c_mes6[[#This Row],[CUIT]]="","-",VLOOKUP(factura_c_mes6[[#This Row],[CUIT]],Lista_CUIT[#All],2,0)),"CUIT NO CARGADO")</f>
        <v>BULONERA MITRE SA</v>
      </c>
      <c r="I65" s="81">
        <v>1890</v>
      </c>
      <c r="J65" s="54">
        <f>IFERROR(IF(factura_c_mes6[[#This Row],[CUIT]]="","-",VLOOKUP(factura_c_mes6[[#This Row],[CUIT]],Lista_CUIT[#All],3,0)),"CUIT NO CARGADO")</f>
        <v>0</v>
      </c>
      <c r="K65" s="54">
        <f>IFERROR(IF(factura_c_mes6[[#This Row],[CUIT]]="","-",VLOOKUP(factura_c_mes6[[#This Row],[CUIT]],Lista_CUIT[#All],4,0)),"CUIT NO CARGADO")</f>
        <v>0</v>
      </c>
    </row>
    <row r="66" spans="2:18" ht="31.5" customHeight="1" x14ac:dyDescent="0.3">
      <c r="D66" s="55" t="s">
        <v>110</v>
      </c>
      <c r="E66" s="55"/>
      <c r="F66" s="55"/>
      <c r="G66" s="55"/>
      <c r="H66" s="57"/>
      <c r="I66" s="58">
        <f>SUBTOTAL(109,factura_c_mes6[TOTAL])</f>
        <v>2046670</v>
      </c>
      <c r="J66" s="55"/>
      <c r="K66" s="55"/>
    </row>
    <row r="67" spans="2:18" x14ac:dyDescent="0.3">
      <c r="B67" s="56"/>
      <c r="C67" s="56"/>
      <c r="L67" s="56"/>
      <c r="M67" s="56"/>
      <c r="N67" s="56"/>
      <c r="O67" s="56"/>
      <c r="P67" s="56"/>
      <c r="Q67" s="56"/>
      <c r="R67" s="56"/>
    </row>
    <row r="72" spans="2:18" ht="25.8" x14ac:dyDescent="0.3">
      <c r="B72" s="430" t="s">
        <v>29</v>
      </c>
      <c r="C72" s="430"/>
      <c r="D72" s="430"/>
      <c r="E72" s="430"/>
      <c r="F72" s="430"/>
      <c r="G72" s="430"/>
      <c r="H72" s="430"/>
      <c r="I72" s="430"/>
      <c r="J72" s="430"/>
      <c r="K72" s="426">
        <f>N1</f>
        <v>45170</v>
      </c>
      <c r="L72" s="426"/>
      <c r="M72" s="426"/>
    </row>
    <row r="74" spans="2:18" ht="21" x14ac:dyDescent="0.3">
      <c r="B74" s="422" t="s">
        <v>30</v>
      </c>
      <c r="C74" s="422"/>
    </row>
    <row r="75" spans="2:18" ht="15.6" x14ac:dyDescent="0.3">
      <c r="B75" s="60" t="s">
        <v>0</v>
      </c>
      <c r="C75" s="61" t="s">
        <v>1</v>
      </c>
      <c r="D75" s="61" t="s">
        <v>21</v>
      </c>
      <c r="E75" s="61" t="s">
        <v>22</v>
      </c>
      <c r="F75" s="61" t="s">
        <v>3</v>
      </c>
      <c r="G75" s="61" t="s">
        <v>4</v>
      </c>
      <c r="H75" s="61" t="s">
        <v>23</v>
      </c>
      <c r="I75" s="61" t="s">
        <v>17</v>
      </c>
      <c r="J75" s="61" t="s">
        <v>7</v>
      </c>
      <c r="K75" s="61" t="s">
        <v>24</v>
      </c>
      <c r="L75" s="61" t="s">
        <v>10</v>
      </c>
      <c r="M75" s="62" t="s">
        <v>38</v>
      </c>
    </row>
    <row r="76" spans="2:18" ht="19.2" customHeight="1" x14ac:dyDescent="0.3">
      <c r="B76" s="40">
        <v>45174</v>
      </c>
      <c r="C76" s="41">
        <v>1</v>
      </c>
      <c r="D76" s="42">
        <v>3</v>
      </c>
      <c r="E76" s="43">
        <v>157</v>
      </c>
      <c r="F76" s="44">
        <v>30709581011</v>
      </c>
      <c r="G76" s="99" t="str">
        <f>IFERROR(IF(venta_a_mes6[[#This Row],[CUIT]]="","-",VLOOKUP(venta_a_mes6[[#This Row],[CUIT]],Lista_CUIT[#All],2,0)),"CUIT NO CARGADO")</f>
        <v>DI PALMA S.R.L.</v>
      </c>
      <c r="H76" s="100">
        <v>48300</v>
      </c>
      <c r="I76" s="101">
        <f>venta_a_mes6[[#This Row],[IMPORTE NETO]]*0.21</f>
        <v>10143</v>
      </c>
      <c r="J76" s="65"/>
      <c r="K76" s="65"/>
      <c r="L76" s="65">
        <f>SUM(venta_a_mes6[[#This Row],[IMPORTE NETO]:[EXENTO]])</f>
        <v>58443</v>
      </c>
      <c r="M76" s="59"/>
    </row>
    <row r="77" spans="2:18" x14ac:dyDescent="0.3">
      <c r="B77" s="40">
        <v>45176</v>
      </c>
      <c r="C77" s="41">
        <v>1</v>
      </c>
      <c r="D77" s="42">
        <v>3</v>
      </c>
      <c r="E77" s="43">
        <v>6</v>
      </c>
      <c r="F77" s="44">
        <v>30638318470</v>
      </c>
      <c r="G77" s="99" t="str">
        <f>IFERROR(IF(venta_a_mes6[[#This Row],[CUIT]]="","-",VLOOKUP(venta_a_mes6[[#This Row],[CUIT]],Lista_CUIT[#All],2,0)),"CUIT NO CARGADO")</f>
        <v>DELTA COMPRESION S R L</v>
      </c>
      <c r="H77" s="100">
        <v>11437079.9</v>
      </c>
      <c r="I77" s="101">
        <f>venta_a_mes6[[#This Row],[IMPORTE NETO]]*0.21</f>
        <v>2401786.7790000001</v>
      </c>
      <c r="J77" s="65"/>
      <c r="K77" s="65"/>
      <c r="L77" s="65">
        <f>SUM(venta_a_mes6[[#This Row],[IMPORTE NETO]:[EXENTO]])</f>
        <v>13838866.679000001</v>
      </c>
      <c r="M77" s="59"/>
    </row>
    <row r="78" spans="2:18" x14ac:dyDescent="0.3">
      <c r="B78" s="40">
        <v>45177</v>
      </c>
      <c r="C78" s="41">
        <v>1</v>
      </c>
      <c r="D78" s="42">
        <v>3</v>
      </c>
      <c r="E78" s="43">
        <v>159</v>
      </c>
      <c r="F78" s="44">
        <v>30638318470</v>
      </c>
      <c r="G78" s="99" t="str">
        <f>IFERROR(IF(venta_a_mes6[[#This Row],[CUIT]]="","-",VLOOKUP(venta_a_mes6[[#This Row],[CUIT]],Lista_CUIT[#All],2,0)),"CUIT NO CARGADO")</f>
        <v>DELTA COMPRESION S R L</v>
      </c>
      <c r="H78" s="100">
        <v>979860</v>
      </c>
      <c r="I78" s="101">
        <f>venta_a_mes6[[#This Row],[IMPORTE NETO]]*0.21</f>
        <v>205770.6</v>
      </c>
      <c r="J78" s="65"/>
      <c r="K78" s="65"/>
      <c r="L78" s="65">
        <f>SUM(venta_a_mes6[[#This Row],[IMPORTE NETO]:[EXENTO]])</f>
        <v>1185630.6000000001</v>
      </c>
      <c r="M78" s="59"/>
    </row>
    <row r="79" spans="2:18" x14ac:dyDescent="0.3">
      <c r="B79" s="40">
        <v>45194</v>
      </c>
      <c r="C79" s="41">
        <v>1</v>
      </c>
      <c r="D79" s="42">
        <v>3</v>
      </c>
      <c r="E79" s="43">
        <v>165</v>
      </c>
      <c r="F79" s="44">
        <v>30638318470</v>
      </c>
      <c r="G79" s="99" t="str">
        <f>IFERROR(IF(venta_a_mes6[[#This Row],[CUIT]]="","-",VLOOKUP(venta_a_mes6[[#This Row],[CUIT]],Lista_CUIT[#All],2,0)),"CUIT NO CARGADO")</f>
        <v>DELTA COMPRESION S R L</v>
      </c>
      <c r="H79" s="100">
        <v>9874910.5</v>
      </c>
      <c r="I79" s="101">
        <v>205829.4</v>
      </c>
      <c r="J79" s="65">
        <v>933950.90249999997</v>
      </c>
      <c r="K79" s="65"/>
      <c r="L79" s="65">
        <f>SUM(venta_a_mes6[[#This Row],[IMPORTE NETO]:[EXENTO]])</f>
        <v>11014690.8025</v>
      </c>
      <c r="M79" s="59"/>
    </row>
    <row r="80" spans="2:18" x14ac:dyDescent="0.3">
      <c r="B80" s="40">
        <v>45177</v>
      </c>
      <c r="C80" s="41">
        <v>1</v>
      </c>
      <c r="D80" s="42">
        <v>3</v>
      </c>
      <c r="E80" s="43">
        <v>158</v>
      </c>
      <c r="F80" s="44">
        <v>30716041596</v>
      </c>
      <c r="G80" s="99" t="str">
        <f>IFERROR(IF(venta_a_mes6[[#This Row],[CUIT]]="","-",VLOOKUP(venta_a_mes6[[#This Row],[CUIT]],Lista_CUIT[#All],2,0)),"CUIT NO CARGADO")</f>
        <v>EXA COMPRESION S.R.L.</v>
      </c>
      <c r="H80" s="100">
        <v>858925</v>
      </c>
      <c r="I80" s="101">
        <f>venta_a_mes6[[#This Row],[IMPORTE NETO]]*0.21</f>
        <v>180374.25</v>
      </c>
      <c r="J80" s="65"/>
      <c r="K80" s="65"/>
      <c r="L80" s="65">
        <f>SUM(venta_a_mes6[[#This Row],[IMPORTE NETO]:[EXENTO]])</f>
        <v>1039299.25</v>
      </c>
      <c r="M80" s="59"/>
    </row>
    <row r="81" spans="2:13" x14ac:dyDescent="0.3">
      <c r="B81" s="40">
        <v>45182</v>
      </c>
      <c r="C81" s="41">
        <v>1</v>
      </c>
      <c r="D81" s="42">
        <v>3</v>
      </c>
      <c r="E81" s="43">
        <v>160</v>
      </c>
      <c r="F81" s="44">
        <v>30638318470</v>
      </c>
      <c r="G81" s="99" t="str">
        <f>IFERROR(IF(venta_a_mes6[[#This Row],[CUIT]]="","-",VLOOKUP(venta_a_mes6[[#This Row],[CUIT]],Lista_CUIT[#All],2,0)),"CUIT NO CARGADO")</f>
        <v>DELTA COMPRESION S R L</v>
      </c>
      <c r="H81" s="100">
        <v>8892229.5</v>
      </c>
      <c r="I81" s="101"/>
      <c r="J81" s="65">
        <f>venta_a_mes6[[#This Row],[IMPORTE NETO]]*0.105</f>
        <v>933684.09749999992</v>
      </c>
      <c r="K81" s="65"/>
      <c r="L81" s="65">
        <f>SUM(venta_a_mes6[[#This Row],[IMPORTE NETO]:[EXENTO]])</f>
        <v>9825913.5975000001</v>
      </c>
      <c r="M81" s="59"/>
    </row>
    <row r="82" spans="2:13" x14ac:dyDescent="0.3">
      <c r="B82" s="40">
        <v>45190</v>
      </c>
      <c r="C82" s="41">
        <v>1</v>
      </c>
      <c r="D82" s="42">
        <v>3</v>
      </c>
      <c r="E82" s="43">
        <v>161</v>
      </c>
      <c r="F82" s="44">
        <v>33717088269</v>
      </c>
      <c r="G82" s="99" t="str">
        <f>IFERROR(IF(venta_a_mes6[[#This Row],[CUIT]]="","-",VLOOKUP(venta_a_mes6[[#This Row],[CUIT]],Lista_CUIT[#All],2,0)),"CUIT NO CARGADO")</f>
        <v>NEXT SERVICE GNC S.R.L.</v>
      </c>
      <c r="H82" s="100">
        <v>1127567.5</v>
      </c>
      <c r="I82" s="101">
        <f>venta_a_mes6[[#This Row],[IMPORTE NETO]]*0.21</f>
        <v>236789.17499999999</v>
      </c>
      <c r="J82" s="65"/>
      <c r="K82" s="65"/>
      <c r="L82" s="65">
        <f>SUM(venta_a_mes6[[#This Row],[IMPORTE NETO]:[EXENTO]])</f>
        <v>1364356.675</v>
      </c>
      <c r="M82" s="63"/>
    </row>
    <row r="83" spans="2:13" x14ac:dyDescent="0.3">
      <c r="B83" s="102">
        <v>45190</v>
      </c>
      <c r="C83" s="41">
        <v>1</v>
      </c>
      <c r="D83" s="104">
        <v>3</v>
      </c>
      <c r="E83" s="105">
        <v>162</v>
      </c>
      <c r="F83" s="106">
        <v>20124583463</v>
      </c>
      <c r="G83" s="99" t="str">
        <f>IFERROR(IF(venta_a_mes6[[#This Row],[CUIT]]="","-",VLOOKUP(venta_a_mes6[[#This Row],[CUIT]],Lista_CUIT[#All],2,0)),"CUIT NO CARGADO")</f>
        <v>LUCERO MARIO ALFREDO</v>
      </c>
      <c r="H83" s="107">
        <v>140717.5</v>
      </c>
      <c r="I83" s="108">
        <f>venta_a_mes6[[#This Row],[IMPORTE NETO]]*0.21</f>
        <v>29550.674999999999</v>
      </c>
      <c r="J83" s="72"/>
      <c r="K83" s="72"/>
      <c r="L83" s="72">
        <f>SUM(venta_a_mes6[[#This Row],[IMPORTE NETO]:[EXENTO]])</f>
        <v>170268.17499999999</v>
      </c>
      <c r="M83" s="63"/>
    </row>
    <row r="84" spans="2:13" x14ac:dyDescent="0.3">
      <c r="B84" s="109">
        <v>45191</v>
      </c>
      <c r="C84" s="41">
        <v>1</v>
      </c>
      <c r="D84" s="111">
        <v>3</v>
      </c>
      <c r="E84" s="112">
        <v>163</v>
      </c>
      <c r="F84" s="113">
        <v>30628274327</v>
      </c>
      <c r="G84" s="99" t="str">
        <f>IFERROR(IF(venta_a_mes6[[#This Row],[CUIT]]="","-",VLOOKUP(venta_a_mes6[[#This Row],[CUIT]],Lista_CUIT[#All],2,0)),"CUIT NO CARGADO")</f>
        <v>AGIRA  S A</v>
      </c>
      <c r="H84" s="100">
        <v>3754714.72</v>
      </c>
      <c r="I84" s="101">
        <v>17253.61</v>
      </c>
      <c r="J84" s="65">
        <v>385618.24</v>
      </c>
      <c r="K84" s="65"/>
      <c r="L84" s="65">
        <f>SUM(venta_a_mes6[[#This Row],[IMPORTE NETO]:[EXENTO]])</f>
        <v>4157586.5700000003</v>
      </c>
      <c r="M84" s="59"/>
    </row>
    <row r="85" spans="2:13" x14ac:dyDescent="0.3">
      <c r="B85" s="306">
        <v>45194</v>
      </c>
      <c r="C85" s="41">
        <v>1</v>
      </c>
      <c r="D85" s="307">
        <v>3</v>
      </c>
      <c r="E85" s="308">
        <v>164</v>
      </c>
      <c r="F85" s="267">
        <v>30628274327</v>
      </c>
      <c r="G85" s="309" t="str">
        <f>IFERROR(IF(venta_a_mes6[[#This Row],[CUIT]]="","-",VLOOKUP(venta_a_mes6[[#This Row],[CUIT]],Lista_CUIT[#All],2,0)),"CUIT NO CARGADO")</f>
        <v>AGIRA  S A</v>
      </c>
      <c r="H85" s="310">
        <v>1836277.33</v>
      </c>
      <c r="I85" s="311"/>
      <c r="J85" s="312">
        <f>venta_a_mes6[[#This Row],[IMPORTE NETO]]*0.105</f>
        <v>192809.11965000001</v>
      </c>
      <c r="K85" s="312"/>
      <c r="L85" s="312">
        <f>SUM(venta_a_mes6[[#This Row],[IMPORTE NETO]:[EXENTO]])</f>
        <v>2029086.4496500001</v>
      </c>
      <c r="M85" s="273"/>
    </row>
    <row r="86" spans="2:13" x14ac:dyDescent="0.3">
      <c r="B86" s="66" t="s">
        <v>110</v>
      </c>
      <c r="C86" s="67"/>
      <c r="D86" s="67"/>
      <c r="E86" s="67"/>
      <c r="F86" s="67"/>
      <c r="G86" s="67"/>
      <c r="H86" s="69">
        <f>SUBTOTAL(109,venta_a_mes6[IMPORTE NETO])</f>
        <v>38950581.949999996</v>
      </c>
      <c r="I86" s="70">
        <f>SUBTOTAL(109,venta_a_mes6[IVA 21%])</f>
        <v>3287497.4889999996</v>
      </c>
      <c r="J86" s="71">
        <f>SUBTOTAL(109,venta_a_mes6[IVA 10,5%])</f>
        <v>2446062.35965</v>
      </c>
      <c r="K86" s="71">
        <f>SUBTOTAL(109,venta_a_mes6[EXENTO])</f>
        <v>0</v>
      </c>
      <c r="L86" s="71">
        <f>SUBTOTAL(109,venta_a_mes6[TOTAL])</f>
        <v>44684141.798649997</v>
      </c>
      <c r="M86" s="68">
        <f>SUBTOTAL(103,venta_a_mes6[Provincia])</f>
        <v>0</v>
      </c>
    </row>
    <row r="88" spans="2:13" ht="21" x14ac:dyDescent="0.3">
      <c r="B88" s="422" t="s">
        <v>31</v>
      </c>
      <c r="C88" s="422"/>
    </row>
    <row r="89" spans="2:13" ht="15.6" x14ac:dyDescent="0.3">
      <c r="B89" s="60" t="s">
        <v>0</v>
      </c>
      <c r="C89" s="61" t="s">
        <v>1</v>
      </c>
      <c r="D89" s="61" t="s">
        <v>21</v>
      </c>
      <c r="E89" s="61" t="s">
        <v>22</v>
      </c>
      <c r="F89" s="61" t="s">
        <v>3</v>
      </c>
      <c r="G89" s="61" t="s">
        <v>4</v>
      </c>
      <c r="H89" s="61" t="s">
        <v>23</v>
      </c>
      <c r="I89" s="61" t="s">
        <v>17</v>
      </c>
      <c r="J89" s="61" t="s">
        <v>7</v>
      </c>
      <c r="K89" s="61" t="s">
        <v>24</v>
      </c>
      <c r="L89" s="61" t="s">
        <v>10</v>
      </c>
      <c r="M89" s="62" t="s">
        <v>38</v>
      </c>
    </row>
    <row r="90" spans="2:13" x14ac:dyDescent="0.3">
      <c r="B90" s="40"/>
      <c r="C90" s="41"/>
      <c r="D90" s="42"/>
      <c r="E90" s="43"/>
      <c r="F90" s="44"/>
      <c r="G90" s="1" t="str">
        <f>IFERROR(IF(ventas_b_mes6[[#This Row],[CUIT]]="","-",VLOOKUP(ventas_b_mes6[[#This Row],[CUIT]],Lista_CUIT[#All],2,0)),"CUIT NO CARGADO")</f>
        <v>-</v>
      </c>
      <c r="H90" s="64"/>
      <c r="I90" s="64"/>
      <c r="J90" s="64"/>
      <c r="K90" s="64"/>
      <c r="L90" s="64">
        <f>SUM(ventas_b_mes6[[#This Row],[IMPORTE NETO]:[EXENTO]])</f>
        <v>0</v>
      </c>
      <c r="M90" s="59"/>
    </row>
    <row r="91" spans="2:13" x14ac:dyDescent="0.3">
      <c r="B91" s="40"/>
      <c r="C91" s="41"/>
      <c r="D91" s="42"/>
      <c r="E91" s="43"/>
      <c r="F91" s="44"/>
      <c r="G91" s="1"/>
      <c r="H91" s="64"/>
      <c r="I91" s="64"/>
      <c r="J91" s="64"/>
      <c r="K91" s="64"/>
      <c r="L91" s="64">
        <f>SUM(ventas_b_mes6[[#This Row],[IMPORTE NETO]:[EXENTO]])</f>
        <v>0</v>
      </c>
      <c r="M91" s="59"/>
    </row>
    <row r="92" spans="2:13" x14ac:dyDescent="0.3">
      <c r="B92" s="40"/>
      <c r="C92" s="41"/>
      <c r="D92" s="42"/>
      <c r="E92" s="43"/>
      <c r="F92" s="44"/>
      <c r="G92" s="1"/>
      <c r="H92" s="64"/>
      <c r="I92" s="64"/>
      <c r="J92" s="64"/>
      <c r="K92" s="64"/>
      <c r="L92" s="64">
        <f>SUM(ventas_b_mes6[[#This Row],[IMPORTE NETO]:[EXENTO]])</f>
        <v>0</v>
      </c>
      <c r="M92" s="59"/>
    </row>
    <row r="93" spans="2:13" x14ac:dyDescent="0.3">
      <c r="B93" s="40"/>
      <c r="C93" s="41"/>
      <c r="D93" s="42"/>
      <c r="E93" s="43"/>
      <c r="F93" s="44"/>
      <c r="G93" s="1"/>
      <c r="H93" s="64"/>
      <c r="I93" s="64"/>
      <c r="J93" s="64"/>
      <c r="K93" s="64"/>
      <c r="L93" s="64">
        <f>SUM(ventas_b_mes6[[#This Row],[IMPORTE NETO]:[EXENTO]])</f>
        <v>0</v>
      </c>
      <c r="M93" s="59"/>
    </row>
    <row r="94" spans="2:13" x14ac:dyDescent="0.3">
      <c r="B94" s="40"/>
      <c r="C94" s="41"/>
      <c r="D94" s="42"/>
      <c r="E94" s="43"/>
      <c r="F94" s="44"/>
      <c r="G94" s="1"/>
      <c r="H94" s="64"/>
      <c r="I94" s="64"/>
      <c r="J94" s="64"/>
      <c r="K94" s="64"/>
      <c r="L94" s="64">
        <f>SUM(ventas_b_mes6[[#This Row],[IMPORTE NETO]:[EXENTO]])</f>
        <v>0</v>
      </c>
      <c r="M94" s="59"/>
    </row>
    <row r="95" spans="2:13" x14ac:dyDescent="0.3">
      <c r="B95" s="40"/>
      <c r="C95" s="41"/>
      <c r="D95" s="42"/>
      <c r="E95" s="43"/>
      <c r="F95" s="44"/>
      <c r="G95" s="1"/>
      <c r="H95" s="64"/>
      <c r="I95" s="64"/>
      <c r="J95" s="64"/>
      <c r="K95" s="64"/>
      <c r="L95" s="64">
        <f>SUM(ventas_b_mes6[[#This Row],[IMPORTE NETO]:[EXENTO]])</f>
        <v>0</v>
      </c>
      <c r="M95" s="59"/>
    </row>
    <row r="96" spans="2:13" x14ac:dyDescent="0.3">
      <c r="B96" s="66" t="s">
        <v>110</v>
      </c>
      <c r="C96" s="67"/>
      <c r="D96" s="67"/>
      <c r="E96" s="67"/>
      <c r="F96" s="67"/>
      <c r="G96" s="67"/>
      <c r="H96" s="77">
        <f>SUBTOTAL(109,ventas_b_mes6[IMPORTE NETO])</f>
        <v>0</v>
      </c>
      <c r="I96" s="77">
        <f>SUBTOTAL(109,ventas_b_mes6[IVA 21%])</f>
        <v>0</v>
      </c>
      <c r="J96" s="78">
        <f>SUBTOTAL(109,ventas_b_mes6[IVA 10,5%])</f>
        <v>0</v>
      </c>
      <c r="K96" s="78">
        <f>SUBTOTAL(109,ventas_b_mes6[EXENTO])</f>
        <v>0</v>
      </c>
      <c r="L96" s="78">
        <f>SUBTOTAL(109,ventas_b_mes6[TOTAL])</f>
        <v>0</v>
      </c>
      <c r="M96" s="68">
        <f>SUBTOTAL(103,ventas_b_mes6[Provincia])</f>
        <v>0</v>
      </c>
    </row>
    <row r="98" spans="2:13" ht="21" x14ac:dyDescent="0.3">
      <c r="B98" s="422" t="s">
        <v>1129</v>
      </c>
      <c r="C98" s="422"/>
    </row>
    <row r="99" spans="2:13" ht="15.6" x14ac:dyDescent="0.3">
      <c r="B99" s="60" t="s">
        <v>0</v>
      </c>
      <c r="C99" s="61" t="s">
        <v>1</v>
      </c>
      <c r="D99" s="61" t="s">
        <v>21</v>
      </c>
      <c r="E99" s="61" t="s">
        <v>22</v>
      </c>
      <c r="F99" s="61" t="s">
        <v>3</v>
      </c>
      <c r="G99" s="61" t="s">
        <v>4</v>
      </c>
      <c r="H99" s="61" t="s">
        <v>1130</v>
      </c>
      <c r="I99" s="61" t="s">
        <v>17</v>
      </c>
      <c r="J99" s="61" t="s">
        <v>112</v>
      </c>
      <c r="K99" s="61" t="s">
        <v>1131</v>
      </c>
      <c r="L99" s="61" t="s">
        <v>10</v>
      </c>
      <c r="M99" s="62" t="s">
        <v>1277</v>
      </c>
    </row>
    <row r="100" spans="2:13" x14ac:dyDescent="0.3">
      <c r="B100" s="40">
        <v>45176</v>
      </c>
      <c r="C100" s="41"/>
      <c r="D100" s="42">
        <v>30</v>
      </c>
      <c r="E100" s="43">
        <v>68</v>
      </c>
      <c r="F100" s="44">
        <v>55000002223</v>
      </c>
      <c r="G100" s="1" t="s">
        <v>1262</v>
      </c>
      <c r="H100" s="64">
        <v>350</v>
      </c>
      <c r="I100" s="64"/>
      <c r="J100" s="206"/>
      <c r="K100" s="64"/>
      <c r="L100" s="64">
        <v>197750</v>
      </c>
      <c r="M100" s="59"/>
    </row>
    <row r="101" spans="2:13" x14ac:dyDescent="0.3">
      <c r="B101" s="40"/>
      <c r="C101" s="41"/>
      <c r="D101" s="42"/>
      <c r="E101" s="43"/>
      <c r="F101" s="44"/>
      <c r="G101" s="1"/>
      <c r="H101" s="64"/>
      <c r="I101" s="64"/>
      <c r="J101" s="64"/>
      <c r="K101" s="64"/>
      <c r="L101" s="64"/>
      <c r="M101" s="59"/>
    </row>
    <row r="102" spans="2:13" x14ac:dyDescent="0.3">
      <c r="B102" s="66"/>
      <c r="C102" s="67"/>
      <c r="D102" s="67"/>
      <c r="E102" s="67"/>
      <c r="F102" s="67"/>
      <c r="G102" s="67"/>
      <c r="H102" s="77"/>
      <c r="I102" s="77"/>
      <c r="J102" s="78"/>
      <c r="K102" s="78"/>
      <c r="L102" s="78"/>
      <c r="M102" s="68">
        <f>SUBTOTAL(103,ventas_b_mes13[Provincia])</f>
        <v>0</v>
      </c>
    </row>
    <row r="103" spans="2:13" x14ac:dyDescent="0.3">
      <c r="B103" s="250" t="s">
        <v>110</v>
      </c>
      <c r="C103" s="251"/>
      <c r="D103" s="251"/>
      <c r="E103" s="251"/>
      <c r="F103" s="251"/>
      <c r="G103" s="251"/>
      <c r="H103" s="252">
        <f>SUBTOTAL(109,ventas_b_mes256[USD])</f>
        <v>350</v>
      </c>
      <c r="I103" s="252">
        <f>SUBTOTAL(109,ventas_b_mes256[IVA 21%])</f>
        <v>0</v>
      </c>
      <c r="J103" s="253">
        <f>SUBTOTAL(109,ventas_b_mes256[Columna1])</f>
        <v>0</v>
      </c>
      <c r="K103" s="253">
        <f>SUBTOTAL(109,ventas_b_mes256[TIPO DE CAMBIO2])</f>
        <v>0</v>
      </c>
      <c r="L103" s="253">
        <f>SUM(L100:L101)</f>
        <v>197750</v>
      </c>
      <c r="M103" s="254">
        <f>SUBTOTAL(103,ventas_b_mes256[PAIS])</f>
        <v>0</v>
      </c>
    </row>
    <row r="104" spans="2:13" ht="15" thickBot="1" x14ac:dyDescent="0.35">
      <c r="B104" s="256"/>
      <c r="C104" s="256"/>
      <c r="D104" s="256"/>
      <c r="E104" s="256"/>
      <c r="F104" s="256"/>
      <c r="G104" s="256"/>
      <c r="H104" s="257"/>
      <c r="I104" s="257"/>
      <c r="J104" s="258"/>
      <c r="K104" s="258"/>
      <c r="L104" s="258"/>
      <c r="M104" s="259"/>
    </row>
    <row r="105" spans="2:13" ht="15" thickTop="1" x14ac:dyDescent="0.3">
      <c r="C105" s="433" t="s">
        <v>66</v>
      </c>
      <c r="D105" s="433"/>
      <c r="E105" s="433"/>
      <c r="F105" s="433"/>
      <c r="G105" s="433"/>
      <c r="H105" s="32"/>
      <c r="I105" s="32"/>
      <c r="J105" s="32"/>
    </row>
    <row r="106" spans="2:13" ht="15.6" x14ac:dyDescent="0.3">
      <c r="C106" s="114" t="s">
        <v>67</v>
      </c>
      <c r="D106" s="115" t="s">
        <v>68</v>
      </c>
      <c r="E106" s="115" t="s">
        <v>112</v>
      </c>
      <c r="F106" s="115" t="s">
        <v>3</v>
      </c>
      <c r="G106" s="115" t="s">
        <v>4</v>
      </c>
      <c r="H106" s="116" t="s">
        <v>69</v>
      </c>
      <c r="I106" s="116" t="s">
        <v>70</v>
      </c>
      <c r="J106" s="116" t="s">
        <v>71</v>
      </c>
      <c r="K106" s="116" t="s">
        <v>72</v>
      </c>
      <c r="L106" s="116" t="s">
        <v>73</v>
      </c>
    </row>
    <row r="107" spans="2:13" x14ac:dyDescent="0.3">
      <c r="C107" s="117"/>
      <c r="D107" s="118">
        <v>11694</v>
      </c>
      <c r="E107" s="118"/>
      <c r="F107" s="119"/>
      <c r="G107" s="53" t="str">
        <f>IFERROR(IF(Retenciones_mes6[[#This Row],[CUIT]]="","-",VLOOKUP(Retenciones_mes6[[#This Row],[CUIT]],Lista_CUIT[#All],2,0)),"CUIT NO CARGADO")</f>
        <v>-</v>
      </c>
      <c r="H107" s="120"/>
      <c r="I107" s="120"/>
      <c r="J107" s="120"/>
      <c r="K107" s="120"/>
      <c r="L107" s="120"/>
    </row>
    <row r="108" spans="2:13" x14ac:dyDescent="0.3">
      <c r="C108" s="117"/>
      <c r="D108" s="118">
        <v>11695</v>
      </c>
      <c r="E108" s="118"/>
      <c r="F108" s="119"/>
      <c r="G108" s="53" t="str">
        <f>IFERROR(IF(Retenciones_mes6[[#This Row],[CUIT]]="","-",VLOOKUP(Retenciones_mes6[[#This Row],[CUIT]],Lista_CUIT[#All],2,0)),"CUIT NO CARGADO")</f>
        <v>-</v>
      </c>
      <c r="H108" s="120"/>
      <c r="I108" s="120"/>
      <c r="J108" s="120"/>
      <c r="K108" s="120"/>
      <c r="L108" s="120"/>
    </row>
    <row r="109" spans="2:13" x14ac:dyDescent="0.3">
      <c r="C109" s="117"/>
      <c r="D109" s="118">
        <v>11696</v>
      </c>
      <c r="E109" s="118"/>
      <c r="F109" s="119"/>
      <c r="G109" s="53" t="str">
        <f>IFERROR(IF(Retenciones_mes6[[#This Row],[CUIT]]="","-",VLOOKUP(Retenciones_mes6[[#This Row],[CUIT]],Lista_CUIT[#All],2,0)),"CUIT NO CARGADO")</f>
        <v>-</v>
      </c>
      <c r="H109" s="120"/>
      <c r="I109" s="120"/>
      <c r="J109" s="120"/>
      <c r="K109" s="120"/>
      <c r="L109" s="120"/>
    </row>
    <row r="110" spans="2:13" x14ac:dyDescent="0.3">
      <c r="C110" s="117"/>
      <c r="D110" s="118">
        <v>11697</v>
      </c>
      <c r="E110" s="118"/>
      <c r="F110" s="119"/>
      <c r="G110" s="53" t="str">
        <f>IFERROR(IF(Retenciones_mes6[[#This Row],[CUIT]]="","-",VLOOKUP(Retenciones_mes6[[#This Row],[CUIT]],Lista_CUIT[#All],2,0)),"CUIT NO CARGADO")</f>
        <v>-</v>
      </c>
      <c r="H110" s="120"/>
      <c r="I110" s="120"/>
      <c r="J110" s="120"/>
      <c r="K110" s="120"/>
      <c r="L110" s="120"/>
    </row>
    <row r="111" spans="2:13" x14ac:dyDescent="0.3">
      <c r="D111" s="118">
        <v>11698</v>
      </c>
      <c r="E111" s="118"/>
      <c r="G111" s="53" t="str">
        <f>IFERROR(IF(Retenciones_mes6[[#This Row],[CUIT]]="","-",VLOOKUP(Retenciones_mes6[[#This Row],[CUIT]],Lista_CUIT[#All],2,0)),"CUIT NO CARGADO")</f>
        <v>-</v>
      </c>
    </row>
    <row r="112" spans="2:13" x14ac:dyDescent="0.3">
      <c r="C112" s="33"/>
    </row>
  </sheetData>
  <mergeCells count="21">
    <mergeCell ref="C105:G105"/>
    <mergeCell ref="B4:E4"/>
    <mergeCell ref="G4:H4"/>
    <mergeCell ref="J4:K4"/>
    <mergeCell ref="M4:N4"/>
    <mergeCell ref="D50:K50"/>
    <mergeCell ref="B72:J72"/>
    <mergeCell ref="K72:M72"/>
    <mergeCell ref="B74:C74"/>
    <mergeCell ref="B88:C88"/>
    <mergeCell ref="B98:C98"/>
    <mergeCell ref="P4:R4"/>
    <mergeCell ref="D42:L42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whole" allowBlank="1" showInputMessage="1" showErrorMessage="1" sqref="D9:D36 E52:E65 D76:D85 D90:D95 D100:D101" xr:uid="{00000000-0002-0000-0600-000000000000}">
      <formula1>1</formula1>
      <formula2>9999</formula2>
    </dataValidation>
    <dataValidation type="whole" allowBlank="1" showInputMessage="1" showErrorMessage="1" sqref="E9:E36 F52:F65 E76:E85 E90:E95 E100:E101" xr:uid="{00000000-0002-0000-0600-000001000000}">
      <formula1>1</formula1>
      <formula2>99999999</formula2>
    </dataValidation>
    <dataValidation type="whole" allowBlank="1" showInputMessage="1" showErrorMessage="1" sqref="F9:F36 G52:G65 F76:F85 F90:F95 F100:F101" xr:uid="{00000000-0002-0000-0600-000002000000}">
      <formula1>20000000000</formula1>
      <formula2>33999999999</formula2>
    </dataValidation>
    <dataValidation type="date" allowBlank="1" showInputMessage="1" showErrorMessage="1" sqref="B9:B36 B76:B85 D52:D65 B38:B41 B90:B95 B100:B101 D44:D47" xr:uid="{00000000-0002-0000-0600-000003000000}">
      <formula1>40179</formula1>
      <formula2>TODAY()</formula2>
    </dataValidation>
    <dataValidation type="whole" allowBlank="1" showInputMessage="1" showErrorMessage="1" sqref="C38:C41 C9:C36 C76:C85" xr:uid="{00000000-0002-0000-0600-000004000000}">
      <formula1>1</formula1>
      <formula2>3</formula2>
    </dataValidation>
    <dataValidation type="custom" allowBlank="1" showInputMessage="1" showErrorMessage="1" sqref="H76:K76 H78:K78 H80:K80 H82:K82" xr:uid="{00000000-0002-0000-0600-000005000000}">
      <formula1>IF($C76=3,H76&lt;0,H76&gt;=0)</formula1>
    </dataValidation>
    <dataValidation type="whole" allowBlank="1" showInputMessage="1" showErrorMessage="1" sqref="C90:C95" xr:uid="{00000000-0002-0000-0600-000006000000}">
      <formula1>6</formula1>
      <formula2>8</formula2>
    </dataValidation>
    <dataValidation type="custom" allowBlank="1" showInputMessage="1" showErrorMessage="1" sqref="L76:L77" xr:uid="{00000000-0002-0000-0600-000007000000}">
      <formula1>IF($C9=3,L9&lt;0,L9&gt;=0)</formula1>
    </dataValidation>
    <dataValidation type="custom" allowBlank="1" showInputMessage="1" showErrorMessage="1" sqref="L78:L80" xr:uid="{00000000-0002-0000-0600-000008000000}">
      <formula1>IF($C13=3,L13&lt;0,L13&gt;=0)</formula1>
    </dataValidation>
    <dataValidation type="custom" allowBlank="1" showInputMessage="1" showErrorMessage="1" sqref="L81:L82" xr:uid="{00000000-0002-0000-0600-000009000000}">
      <formula1>IF($C37=3,L37&lt;0,L37&gt;=0)</formula1>
    </dataValidation>
    <dataValidation type="custom" allowBlank="1" showInputMessage="1" showErrorMessage="1" sqref="H90:L95 K100 H100:I100 H101:K101 L100:L101" xr:uid="{00000000-0002-0000-0600-00000A000000}">
      <formula1>IF($C90=8,H90&lt;0,H90&gt;=0)</formula1>
    </dataValidation>
    <dataValidation type="whole" allowBlank="1" showInputMessage="1" showErrorMessage="1" sqref="C100:C101" xr:uid="{00000000-0002-0000-0600-00000B000000}">
      <formula1>80</formula1>
      <formula2>80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36" xr:uid="{00000000-0002-0000-0600-00000C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>
    <tabColor theme="9" tint="0.79998168889431442"/>
  </sheetPr>
  <dimension ref="A1:Z100"/>
  <sheetViews>
    <sheetView showGridLines="0" topLeftCell="G7" zoomScale="80" zoomScaleNormal="80" workbookViewId="0">
      <selection activeCell="H28" sqref="H28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EDATE('Abr-23'!N1,7)</f>
        <v>45231</v>
      </c>
      <c r="O1" s="423"/>
      <c r="P1" s="423"/>
      <c r="Q1" s="423"/>
      <c r="R1" s="423"/>
    </row>
    <row r="2" spans="1:26" ht="15" customHeight="1" x14ac:dyDescent="0.3"/>
    <row r="3" spans="1:26" ht="26.4" customHeight="1" x14ac:dyDescent="0.3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2" customHeight="1" x14ac:dyDescent="0.4">
      <c r="B4" s="428">
        <f>SUM(compras_mes8[[#Totals],[NETO GRAVADO]])+extracto_banco_mes8[[#Totals],[NETO]]</f>
        <v>2760080.4620000008</v>
      </c>
      <c r="C4" s="428"/>
      <c r="D4" s="428"/>
      <c r="E4" s="428"/>
      <c r="F4" s="39"/>
      <c r="G4" s="429">
        <f>compras_mes8[[#Totals],[IVA 21 %]]+compras_mes8[[#Totals],[IVA 27%]]+compras_mes8[[#Totals],[IVA 10,5%]]+extracto_banco_mes8[[#Totals],[IVA 21%]]+extracto_banco_mes8[[#Totals],[IVA 10,5%]]</f>
        <v>575986.41872000019</v>
      </c>
      <c r="H4" s="429"/>
      <c r="I4" s="39"/>
      <c r="J4" s="416">
        <f>venta_a_mes8[[#Totals],[IMPORTE NETO]]+ventas_b_mes8[[#Totals],[IMPORTE NETO]]</f>
        <v>22868742.5</v>
      </c>
      <c r="K4" s="416"/>
      <c r="L4" s="39"/>
      <c r="M4" s="416">
        <f>venta_a_mes8[[#Totals],[IVA 21%]]+venta_a_mes8[[#Totals],[IVA 10,5%]]+ventas_b_mes8[[#Totals],[IVA 21%]]+ventas_b_mes8[[#Totals],[IVA 10,5%]]</f>
        <v>3712980.4249999998</v>
      </c>
      <c r="N4" s="416"/>
      <c r="O4" s="39"/>
      <c r="P4" s="431">
        <f>G4-M4</f>
        <v>-3136994.0062799994</v>
      </c>
      <c r="Q4" s="432"/>
      <c r="R4" s="432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335">
        <v>45247</v>
      </c>
      <c r="C9" s="208">
        <v>1</v>
      </c>
      <c r="D9" s="336">
        <v>1</v>
      </c>
      <c r="E9" s="337">
        <v>701</v>
      </c>
      <c r="F9" s="338">
        <v>30715048066</v>
      </c>
      <c r="G9" s="339" t="str">
        <f>IFERROR(IF(compras_mes8[[#This Row],[CUIT]]="","-",VLOOKUP(compras_mes8[[#This Row],[CUIT]],Lista_CUIT[#All],2,0)),"CUIT NO CARGADO")</f>
        <v>ROLLS Y EMPANADAS SA</v>
      </c>
      <c r="H9" s="340">
        <v>211160</v>
      </c>
      <c r="I9" s="341">
        <f>IF(compras_mes8[[#This Row],[NETO GRAVADO]]="","",compras_mes8[[#This Row],[NETO GRAVADO]]*0.21)</f>
        <v>44343.6</v>
      </c>
      <c r="J9" s="341"/>
      <c r="K9" s="341"/>
      <c r="L9" s="341"/>
      <c r="M9" s="341"/>
      <c r="N9" s="341"/>
      <c r="O9" s="341"/>
      <c r="P9" s="349">
        <f>SUM(compras_mes8[[#This Row],[NETO GRAVADO]:[Otros / No Grav.]])</f>
        <v>255503.6</v>
      </c>
      <c r="Q9" s="350" t="str">
        <f>IFERROR(IF(compras_mes8[[#This Row],[CUIT]]="","-",VLOOKUP(compras_mes8[[#This Row],[CUIT]],Lista_CUIT[#All],3,0)),"CUIT NO CARGADO")</f>
        <v>CATERING</v>
      </c>
      <c r="R9" s="350">
        <f>IFERROR(IF(compras_mes8[[#This Row],[CUIT]]="","-",VLOOKUP(compras_mes8[[#This Row],[CUIT]],Lista_CUIT[#All],4,0)),"CUIT NO CARGADO")</f>
        <v>0</v>
      </c>
    </row>
    <row r="10" spans="1:26" x14ac:dyDescent="0.3">
      <c r="B10" s="325">
        <v>45254</v>
      </c>
      <c r="C10" s="326">
        <v>1</v>
      </c>
      <c r="D10" s="327">
        <v>7002</v>
      </c>
      <c r="E10" s="328">
        <v>12012</v>
      </c>
      <c r="F10" s="329">
        <v>30678774495</v>
      </c>
      <c r="G10" s="330" t="str">
        <f>IFERROR(IF(compras_mes8[[#This Row],[CUIT]]="","-",VLOOKUP(compras_mes8[[#This Row],[CUIT]],Lista_CUIT[#All],2,0)),"CUIT NO CARGADO")</f>
        <v>OPER. DE EST. DE SERV. SA</v>
      </c>
      <c r="H10" s="331">
        <v>12871.98</v>
      </c>
      <c r="I10" s="332">
        <f>IF(compras_mes8[[#This Row],[NETO GRAVADO]]="","",compras_mes8[[#This Row],[NETO GRAVADO]]*0.21)</f>
        <v>2703.1157999999996</v>
      </c>
      <c r="J10" s="332"/>
      <c r="K10" s="332"/>
      <c r="L10" s="332"/>
      <c r="M10" s="332"/>
      <c r="N10" s="332"/>
      <c r="O10" s="332">
        <v>1626.09</v>
      </c>
      <c r="P10" s="333">
        <f>SUM(compras_mes8[[#This Row],[NETO GRAVADO]:[Otros / No Grav.]])</f>
        <v>17201.185799999999</v>
      </c>
      <c r="Q10" s="334" t="str">
        <f>IFERROR(IF(compras_mes8[[#This Row],[CUIT]]="","-",VLOOKUP(compras_mes8[[#This Row],[CUIT]],Lista_CUIT[#All],3,0)),"CUIT NO CARGADO")</f>
        <v>COMBUSTIBLE</v>
      </c>
      <c r="R10" s="334">
        <f>IFERROR(IF(compras_mes8[[#This Row],[CUIT]]="","-",VLOOKUP(compras_mes8[[#This Row],[CUIT]],Lista_CUIT[#All],4,0)),"CUIT NO CARGADO")</f>
        <v>0</v>
      </c>
    </row>
    <row r="11" spans="1:26" x14ac:dyDescent="0.3">
      <c r="B11" s="325">
        <v>45241</v>
      </c>
      <c r="C11" s="326">
        <v>1</v>
      </c>
      <c r="D11" s="327">
        <v>11</v>
      </c>
      <c r="E11" s="328">
        <v>15368</v>
      </c>
      <c r="F11" s="329">
        <v>30708622423</v>
      </c>
      <c r="G11" s="330" t="str">
        <f>IFERROR(IF(compras_mes8[[#This Row],[CUIT]]="","-",VLOOKUP(compras_mes8[[#This Row],[CUIT]],Lista_CUIT[#All],2,0)),"CUIT NO CARGADO")</f>
        <v>TERGEN SRL</v>
      </c>
      <c r="H11" s="331">
        <v>12040.1</v>
      </c>
      <c r="I11" s="332">
        <f>IF(compras_mes8[[#This Row],[NETO GRAVADO]]="","",compras_mes8[[#This Row],[NETO GRAVADO]]*0.21)</f>
        <v>2528.4209999999998</v>
      </c>
      <c r="J11" s="332"/>
      <c r="K11" s="332"/>
      <c r="L11" s="332"/>
      <c r="M11" s="332"/>
      <c r="N11" s="332"/>
      <c r="O11" s="332">
        <v>1431.9</v>
      </c>
      <c r="P11" s="333">
        <f>SUM(compras_mes8[[#This Row],[NETO GRAVADO]:[Otros / No Grav.]])</f>
        <v>16000.421</v>
      </c>
      <c r="Q11" s="334" t="str">
        <f>IFERROR(IF(compras_mes8[[#This Row],[CUIT]]="","-",VLOOKUP(compras_mes8[[#This Row],[CUIT]],Lista_CUIT[#All],3,0)),"CUIT NO CARGADO")</f>
        <v>COMBUSTIBLE</v>
      </c>
      <c r="R11" s="334">
        <f>IFERROR(IF(compras_mes8[[#This Row],[CUIT]]="","-",VLOOKUP(compras_mes8[[#This Row],[CUIT]],Lista_CUIT[#All],4,0)),"CUIT NO CARGADO")</f>
        <v>0</v>
      </c>
    </row>
    <row r="12" spans="1:26" x14ac:dyDescent="0.3">
      <c r="B12" s="325">
        <v>45231</v>
      </c>
      <c r="C12" s="326">
        <v>1</v>
      </c>
      <c r="D12" s="327">
        <v>3</v>
      </c>
      <c r="E12" s="328">
        <v>696</v>
      </c>
      <c r="F12" s="329">
        <v>30715402765</v>
      </c>
      <c r="G12" s="330" t="str">
        <f>IFERROR(IF(compras_mes8[[#This Row],[CUIT]]="","-",VLOOKUP(compras_mes8[[#This Row],[CUIT]],Lista_CUIT[#All],2,0)),"CUIT NO CARGADO")</f>
        <v>RIO 265 S.R.L.</v>
      </c>
      <c r="H12" s="331">
        <v>20247.95</v>
      </c>
      <c r="I12" s="332">
        <f>IF(compras_mes8[[#This Row],[NETO GRAVADO]]="","",compras_mes8[[#This Row],[NETO GRAVADO]]*0.21)</f>
        <v>4252.0694999999996</v>
      </c>
      <c r="J12" s="332"/>
      <c r="K12" s="332"/>
      <c r="L12" s="332"/>
      <c r="M12" s="332"/>
      <c r="N12" s="332"/>
      <c r="O12" s="332"/>
      <c r="P12" s="333">
        <f>SUM(compras_mes8[[#This Row],[NETO GRAVADO]:[Otros / No Grav.]])</f>
        <v>24500.019500000002</v>
      </c>
      <c r="Q12" s="334" t="str">
        <f>IFERROR(IF(compras_mes8[[#This Row],[CUIT]]="","-",VLOOKUP(compras_mes8[[#This Row],[CUIT]],Lista_CUIT[#All],3,0)),"CUIT NO CARGADO")</f>
        <v>Gastos Varios</v>
      </c>
      <c r="R12" s="334">
        <f>IFERROR(IF(compras_mes8[[#This Row],[CUIT]]="","-",VLOOKUP(compras_mes8[[#This Row],[CUIT]],Lista_CUIT[#All],4,0)),"CUIT NO CARGADO")</f>
        <v>0</v>
      </c>
    </row>
    <row r="13" spans="1:26" x14ac:dyDescent="0.3">
      <c r="B13" s="275">
        <v>45233</v>
      </c>
      <c r="C13" s="208">
        <v>1</v>
      </c>
      <c r="D13" s="276">
        <v>3</v>
      </c>
      <c r="E13" s="277">
        <v>630</v>
      </c>
      <c r="F13" s="278">
        <v>27424730608</v>
      </c>
      <c r="G13" s="279" t="str">
        <f>IFERROR(IF(compras_mes8[[#This Row],[CUIT]]="","-",VLOOKUP(compras_mes8[[#This Row],[CUIT]],Lista_CUIT[#All],2,0)),"CUIT NO CARGADO")</f>
        <v>VAZQUEZ CABRAL WANDA MILENA</v>
      </c>
      <c r="H13" s="280">
        <v>6611.57</v>
      </c>
      <c r="I13" s="281">
        <f>IF(compras_mes8[[#This Row],[NETO GRAVADO]]="","",compras_mes8[[#This Row],[NETO GRAVADO]]*0.21)</f>
        <v>1388.4296999999999</v>
      </c>
      <c r="J13" s="281"/>
      <c r="K13" s="281"/>
      <c r="L13" s="281"/>
      <c r="M13" s="281"/>
      <c r="N13" s="281"/>
      <c r="O13" s="281"/>
      <c r="P13" s="282">
        <f>SUM(compras_mes8[[#This Row],[NETO GRAVADO]:[Otros / No Grav.]])</f>
        <v>7999.9996999999994</v>
      </c>
      <c r="Q13" s="49" t="s">
        <v>1383</v>
      </c>
      <c r="R13" s="283">
        <f>IFERROR(IF(compras_mes8[[#This Row],[CUIT]]="","-",VLOOKUP(compras_mes8[[#This Row],[CUIT]],Lista_CUIT[#All],4,0)),"CUIT NO CARGADO")</f>
        <v>0</v>
      </c>
    </row>
    <row r="14" spans="1:26" x14ac:dyDescent="0.3">
      <c r="B14" s="325">
        <v>45236</v>
      </c>
      <c r="C14" s="326">
        <v>1</v>
      </c>
      <c r="D14" s="327">
        <v>7</v>
      </c>
      <c r="E14" s="328">
        <v>27602</v>
      </c>
      <c r="F14" s="329">
        <v>30712222499</v>
      </c>
      <c r="G14" s="330" t="str">
        <f>IFERROR(IF(compras_mes8[[#This Row],[CUIT]]="","-",VLOOKUP(compras_mes8[[#This Row],[CUIT]],Lista_CUIT[#All],2,0)),"CUIT NO CARGADO")</f>
        <v>LOS TRILLIZOS PERAZOLI S.R.L.</v>
      </c>
      <c r="H14" s="331">
        <v>4165.29</v>
      </c>
      <c r="I14" s="332">
        <f>IF(compras_mes8[[#This Row],[NETO GRAVADO]]="","",compras_mes8[[#This Row],[NETO GRAVADO]]*0.21)</f>
        <v>874.71089999999992</v>
      </c>
      <c r="J14" s="332"/>
      <c r="K14" s="332"/>
      <c r="L14" s="332"/>
      <c r="M14" s="332"/>
      <c r="N14" s="332"/>
      <c r="O14" s="332"/>
      <c r="P14" s="333">
        <f>SUM(compras_mes8[[#This Row],[NETO GRAVADO]:[Otros / No Grav.]])</f>
        <v>5040.0009</v>
      </c>
      <c r="Q14" s="49" t="s">
        <v>1383</v>
      </c>
      <c r="R14" s="334">
        <f>IFERROR(IF(compras_mes8[[#This Row],[CUIT]]="","-",VLOOKUP(compras_mes8[[#This Row],[CUIT]],Lista_CUIT[#All],4,0)),"CUIT NO CARGADO")</f>
        <v>0</v>
      </c>
    </row>
    <row r="15" spans="1:26" x14ac:dyDescent="0.3">
      <c r="B15" s="335">
        <v>45248</v>
      </c>
      <c r="C15" s="208">
        <v>1</v>
      </c>
      <c r="D15" s="336">
        <v>3</v>
      </c>
      <c r="E15" s="337">
        <v>1739766</v>
      </c>
      <c r="F15" s="338">
        <v>30712019359</v>
      </c>
      <c r="G15" s="339" t="str">
        <f>IFERROR(IF(compras_mes8[[#This Row],[CUIT]]="","-",VLOOKUP(compras_mes8[[#This Row],[CUIT]],Lista_CUIT[#All],2,0)),"CUIT NO CARGADO")</f>
        <v>LINKEDSTORE ARGENTINA S.R.L.</v>
      </c>
      <c r="H15" s="340">
        <v>11156.2</v>
      </c>
      <c r="I15" s="341">
        <f>IF(compras_mes8[[#This Row],[NETO GRAVADO]]="","",compras_mes8[[#This Row],[NETO GRAVADO]]*0.21)</f>
        <v>2342.8020000000001</v>
      </c>
      <c r="J15" s="341"/>
      <c r="K15" s="341"/>
      <c r="L15" s="341"/>
      <c r="M15" s="341"/>
      <c r="N15" s="341"/>
      <c r="O15" s="341"/>
      <c r="P15" s="349">
        <f>SUM(compras_mes8[[#This Row],[NETO GRAVADO]:[Otros / No Grav.]])</f>
        <v>13499.002</v>
      </c>
      <c r="Q15" s="350" t="str">
        <f>IFERROR(IF(compras_mes8[[#This Row],[CUIT]]="","-",VLOOKUP(compras_mes8[[#This Row],[CUIT]],Lista_CUIT[#All],3,0)),"CUIT NO CARGADO")</f>
        <v>Gastos Varios</v>
      </c>
      <c r="R15" s="350">
        <f>IFERROR(IF(compras_mes8[[#This Row],[CUIT]]="","-",VLOOKUP(compras_mes8[[#This Row],[CUIT]],Lista_CUIT[#All],4,0)),"CUIT NO CARGADO")</f>
        <v>0</v>
      </c>
    </row>
    <row r="16" spans="1:26" s="56" customFormat="1" ht="18.600000000000001" customHeight="1" x14ac:dyDescent="0.3">
      <c r="B16" s="335">
        <v>45259</v>
      </c>
      <c r="C16" s="208">
        <v>1</v>
      </c>
      <c r="D16" s="336">
        <v>5</v>
      </c>
      <c r="E16" s="337">
        <v>3205</v>
      </c>
      <c r="F16" s="338">
        <v>33715587969</v>
      </c>
      <c r="G16" s="339" t="str">
        <f>IFERROR(IF(compras_mes8[[#This Row],[CUIT]]="","-",VLOOKUP(compras_mes8[[#This Row],[CUIT]],Lista_CUIT[#All],2,0)),"CUIT NO CARGADO")</f>
        <v>MOCOROA SOCIEDAD ANONIMA</v>
      </c>
      <c r="H16" s="340">
        <v>23370.14</v>
      </c>
      <c r="I16" s="341"/>
      <c r="J16" s="341"/>
      <c r="K16" s="341">
        <v>2453.87</v>
      </c>
      <c r="L16" s="341"/>
      <c r="M16" s="341"/>
      <c r="N16" s="341"/>
      <c r="O16" s="341"/>
      <c r="P16" s="349">
        <f>SUM(compras_mes8[[#This Row],[NETO GRAVADO]:[Otros / No Grav.]])</f>
        <v>25824.01</v>
      </c>
      <c r="Q16" s="283" t="s">
        <v>79</v>
      </c>
      <c r="R16" s="350">
        <f>IFERROR(IF(compras_mes8[[#This Row],[CUIT]]="","-",VLOOKUP(compras_mes8[[#This Row],[CUIT]],Lista_CUIT[#All],4,0)),"CUIT NO CARGADO")</f>
        <v>0</v>
      </c>
    </row>
    <row r="17" spans="2:18" x14ac:dyDescent="0.3">
      <c r="B17" s="325">
        <v>45231</v>
      </c>
      <c r="C17" s="326">
        <v>1</v>
      </c>
      <c r="D17" s="327">
        <v>4</v>
      </c>
      <c r="E17" s="328">
        <v>7571</v>
      </c>
      <c r="F17" s="329">
        <v>30620415606</v>
      </c>
      <c r="G17" s="330" t="str">
        <f>IFERROR(IF(compras_mes8[[#This Row],[CUIT]]="","-",VLOOKUP(compras_mes8[[#This Row],[CUIT]],Lista_CUIT[#All],2,0)),"CUIT NO CARGADO")</f>
        <v>INTERCONTINENTAL CARGAS SRL</v>
      </c>
      <c r="H17" s="331">
        <v>312640.59999999998</v>
      </c>
      <c r="I17" s="332">
        <f>IF(compras_mes8[[#This Row],[NETO GRAVADO]]="","",compras_mes8[[#This Row],[NETO GRAVADO]]*0.21)</f>
        <v>65654.525999999998</v>
      </c>
      <c r="J17" s="332"/>
      <c r="K17" s="332"/>
      <c r="L17" s="332"/>
      <c r="M17" s="332"/>
      <c r="N17" s="332"/>
      <c r="O17" s="332">
        <v>321295.32</v>
      </c>
      <c r="P17" s="333">
        <f>SUM(compras_mes8[[#This Row],[NETO GRAVADO]:[Otros / No Grav.]])</f>
        <v>699590.446</v>
      </c>
      <c r="Q17" s="49" t="s">
        <v>1419</v>
      </c>
      <c r="R17" s="334">
        <f>IFERROR(IF(compras_mes8[[#This Row],[CUIT]]="","-",VLOOKUP(compras_mes8[[#This Row],[CUIT]],Lista_CUIT[#All],4,0)),"CUIT NO CARGADO")</f>
        <v>0</v>
      </c>
    </row>
    <row r="18" spans="2:18" x14ac:dyDescent="0.3">
      <c r="B18" s="325">
        <v>45246</v>
      </c>
      <c r="C18" s="326">
        <v>1</v>
      </c>
      <c r="D18" s="327">
        <v>106</v>
      </c>
      <c r="E18" s="328">
        <v>686360</v>
      </c>
      <c r="F18" s="329">
        <v>30594494187</v>
      </c>
      <c r="G18" s="330" t="str">
        <f>IFERROR(IF(compras_mes8[[#This Row],[CUIT]]="","-",VLOOKUP(compras_mes8[[#This Row],[CUIT]],Lista_CUIT[#All],2,0)),"CUIT NO CARGADO")</f>
        <v>FEDERAL EXPRESS CORPORATION</v>
      </c>
      <c r="H18" s="331">
        <v>0</v>
      </c>
      <c r="I18" s="332">
        <f>IF(compras_mes8[[#This Row],[NETO GRAVADO]]="","",compras_mes8[[#This Row],[NETO GRAVADO]]*0.21)</f>
        <v>0</v>
      </c>
      <c r="J18" s="332"/>
      <c r="K18" s="332"/>
      <c r="L18" s="332"/>
      <c r="M18" s="332"/>
      <c r="N18" s="332"/>
      <c r="O18" s="332">
        <v>233382.72</v>
      </c>
      <c r="P18" s="333">
        <f>SUM(compras_mes8[[#This Row],[NETO GRAVADO]:[Otros / No Grav.]])</f>
        <v>233382.72</v>
      </c>
      <c r="Q18" s="334" t="str">
        <f>IFERROR(IF(compras_mes8[[#This Row],[CUIT]]="","-",VLOOKUP(compras_mes8[[#This Row],[CUIT]],Lista_CUIT[#All],3,0)),"CUIT NO CARGADO")</f>
        <v>Gtos. Imp.</v>
      </c>
      <c r="R18" s="334">
        <f>IFERROR(IF(compras_mes8[[#This Row],[CUIT]]="","-",VLOOKUP(compras_mes8[[#This Row],[CUIT]],Lista_CUIT[#All],4,0)),"CUIT NO CARGADO")</f>
        <v>0</v>
      </c>
    </row>
    <row r="19" spans="2:18" x14ac:dyDescent="0.3">
      <c r="B19" s="325">
        <v>45257</v>
      </c>
      <c r="C19" s="326">
        <v>1</v>
      </c>
      <c r="D19" s="327">
        <v>700</v>
      </c>
      <c r="E19" s="328">
        <v>597821</v>
      </c>
      <c r="F19" s="329">
        <v>30580111315</v>
      </c>
      <c r="G19" s="330" t="str">
        <f>IFERROR(IF(compras_mes8[[#This Row],[CUIT]]="","-",VLOOKUP(compras_mes8[[#This Row],[CUIT]],Lista_CUIT[#All],2,0)),"CUIT NO CARGADO")</f>
        <v>DHL EXPRESS (ARGENTINA) S.A.</v>
      </c>
      <c r="H19" s="331">
        <v>5222</v>
      </c>
      <c r="I19" s="332">
        <f>IF(compras_mes8[[#This Row],[NETO GRAVADO]]="","",compras_mes8[[#This Row],[NETO GRAVADO]]*0.21)</f>
        <v>1096.6199999999999</v>
      </c>
      <c r="J19" s="332"/>
      <c r="K19" s="332"/>
      <c r="L19" s="332"/>
      <c r="M19" s="332"/>
      <c r="N19" s="332"/>
      <c r="O19" s="332">
        <v>208749.44999999998</v>
      </c>
      <c r="P19" s="333">
        <f>SUM(compras_mes8[[#This Row],[NETO GRAVADO]:[Otros / No Grav.]])</f>
        <v>215068.06999999998</v>
      </c>
      <c r="Q19" s="334" t="str">
        <f>IFERROR(IF(compras_mes8[[#This Row],[CUIT]]="","-",VLOOKUP(compras_mes8[[#This Row],[CUIT]],Lista_CUIT[#All],3,0)),"CUIT NO CARGADO")</f>
        <v>Gtos. Imp.</v>
      </c>
      <c r="R19" s="334">
        <f>IFERROR(IF(compras_mes8[[#This Row],[CUIT]]="","-",VLOOKUP(compras_mes8[[#This Row],[CUIT]],Lista_CUIT[#All],4,0)),"CUIT NO CARGADO")</f>
        <v>0</v>
      </c>
    </row>
    <row r="20" spans="2:18" ht="14.4" customHeight="1" x14ac:dyDescent="0.3">
      <c r="B20" s="325">
        <v>45246</v>
      </c>
      <c r="C20" s="326">
        <v>1</v>
      </c>
      <c r="D20" s="327">
        <v>280</v>
      </c>
      <c r="E20" s="328">
        <v>1467676</v>
      </c>
      <c r="F20" s="329">
        <v>30580111315</v>
      </c>
      <c r="G20" s="330" t="str">
        <f>IFERROR(IF(compras_mes8[[#This Row],[CUIT]]="","-",VLOOKUP(compras_mes8[[#This Row],[CUIT]],Lista_CUIT[#All],2,0)),"CUIT NO CARGADO")</f>
        <v>DHL EXPRESS (ARGENTINA) S.A.</v>
      </c>
      <c r="H20" s="331">
        <v>394231.03200000001</v>
      </c>
      <c r="I20" s="332">
        <f>IF(compras_mes8[[#This Row],[NETO GRAVADO]]="","",compras_mes8[[#This Row],[NETO GRAVADO]]*0.21)</f>
        <v>82788.51672</v>
      </c>
      <c r="J20" s="332"/>
      <c r="K20" s="332"/>
      <c r="L20" s="332"/>
      <c r="M20" s="332"/>
      <c r="N20" s="332"/>
      <c r="O20" s="332">
        <v>-322388.05949999997</v>
      </c>
      <c r="P20" s="333">
        <f>SUM(compras_mes8[[#This Row],[NETO GRAVADO]:[Otros / No Grav.]])</f>
        <v>154631.48922000005</v>
      </c>
      <c r="Q20" s="334" t="str">
        <f>IFERROR(IF(compras_mes8[[#This Row],[CUIT]]="","-",VLOOKUP(compras_mes8[[#This Row],[CUIT]],Lista_CUIT[#All],3,0)),"CUIT NO CARGADO")</f>
        <v>Gtos. Imp.</v>
      </c>
      <c r="R20" s="334">
        <f>IFERROR(IF(compras_mes8[[#This Row],[CUIT]]="","-",VLOOKUP(compras_mes8[[#This Row],[CUIT]],Lista_CUIT[#All],4,0)),"CUIT NO CARGADO")</f>
        <v>0</v>
      </c>
    </row>
    <row r="21" spans="2:18" x14ac:dyDescent="0.3">
      <c r="B21" s="325">
        <v>45238</v>
      </c>
      <c r="C21" s="326">
        <v>3</v>
      </c>
      <c r="D21" s="327">
        <v>280</v>
      </c>
      <c r="E21" s="328">
        <v>1466028</v>
      </c>
      <c r="F21" s="329">
        <v>30580111315</v>
      </c>
      <c r="G21" s="330" t="str">
        <f>IFERROR(IF(compras_mes8[[#This Row],[CUIT]]="","-",VLOOKUP(compras_mes8[[#This Row],[CUIT]],Lista_CUIT[#All],2,0)),"CUIT NO CARGADO")</f>
        <v>DHL EXPRESS (ARGENTINA) S.A.</v>
      </c>
      <c r="H21" s="331">
        <v>293933.5</v>
      </c>
      <c r="I21" s="332">
        <f>IF(compras_mes8[[#This Row],[NETO GRAVADO]]="","",compras_mes8[[#This Row],[NETO GRAVADO]]*0.21)</f>
        <v>61726.034999999996</v>
      </c>
      <c r="J21" s="332"/>
      <c r="K21" s="332"/>
      <c r="L21" s="332"/>
      <c r="M21" s="332"/>
      <c r="N21" s="332"/>
      <c r="O21" s="332">
        <v>-242252.5</v>
      </c>
      <c r="P21" s="333">
        <f>SUM(compras_mes8[[#This Row],[NETO GRAVADO]:[Otros / No Grav.]])</f>
        <v>113407.03499999997</v>
      </c>
      <c r="Q21" s="334" t="str">
        <f>IFERROR(IF(compras_mes8[[#This Row],[CUIT]]="","-",VLOOKUP(compras_mes8[[#This Row],[CUIT]],Lista_CUIT[#All],3,0)),"CUIT NO CARGADO")</f>
        <v>Gtos. Imp.</v>
      </c>
      <c r="R21" s="334">
        <f>IFERROR(IF(compras_mes8[[#This Row],[CUIT]]="","-",VLOOKUP(compras_mes8[[#This Row],[CUIT]],Lista_CUIT[#All],4,0)),"CUIT NO CARGADO")</f>
        <v>0</v>
      </c>
    </row>
    <row r="22" spans="2:18" ht="18" customHeight="1" x14ac:dyDescent="0.3">
      <c r="B22" s="325">
        <v>45235</v>
      </c>
      <c r="C22" s="326">
        <v>1</v>
      </c>
      <c r="D22" s="327">
        <v>2</v>
      </c>
      <c r="E22" s="328">
        <v>187</v>
      </c>
      <c r="F22" s="329">
        <v>20125142851</v>
      </c>
      <c r="G22" s="330" t="str">
        <f>IFERROR(IF(compras_mes8[[#This Row],[CUIT]]="","-",VLOOKUP(compras_mes8[[#This Row],[CUIT]],Lista_CUIT[#All],2,0)),"CUIT NO CARGADO")</f>
        <v>FEDERICI NICOLAS JOSE</v>
      </c>
      <c r="H22" s="331">
        <v>34224.050000000003</v>
      </c>
      <c r="I22" s="332">
        <f>IF(compras_mes8[[#This Row],[NETO GRAVADO]]="","",compras_mes8[[#This Row],[NETO GRAVADO]]*0.21)</f>
        <v>7187.0505000000003</v>
      </c>
      <c r="J22" s="332"/>
      <c r="K22" s="332"/>
      <c r="L22" s="332"/>
      <c r="M22" s="332"/>
      <c r="N22" s="332"/>
      <c r="O22" s="332"/>
      <c r="P22" s="333">
        <f>SUM(compras_mes8[[#This Row],[NETO GRAVADO]:[Otros / No Grav.]])</f>
        <v>41411.1005</v>
      </c>
      <c r="Q22" s="334" t="str">
        <f>IFERROR(IF(compras_mes8[[#This Row],[CUIT]]="","-",VLOOKUP(compras_mes8[[#This Row],[CUIT]],Lista_CUIT[#All],3,0)),"CUIT NO CARGADO")</f>
        <v>INSUMO</v>
      </c>
      <c r="R22" s="334">
        <f>IFERROR(IF(compras_mes8[[#This Row],[CUIT]]="","-",VLOOKUP(compras_mes8[[#This Row],[CUIT]],Lista_CUIT[#All],4,0)),"CUIT NO CARGADO")</f>
        <v>0</v>
      </c>
    </row>
    <row r="23" spans="2:18" ht="14.4" customHeight="1" x14ac:dyDescent="0.3">
      <c r="B23" s="325">
        <v>45239</v>
      </c>
      <c r="C23" s="326">
        <v>1</v>
      </c>
      <c r="D23" s="327">
        <v>2</v>
      </c>
      <c r="E23" s="328">
        <v>188</v>
      </c>
      <c r="F23" s="329">
        <v>20125142851</v>
      </c>
      <c r="G23" s="330" t="str">
        <f>IFERROR(IF(compras_mes8[[#This Row],[CUIT]]="","-",VLOOKUP(compras_mes8[[#This Row],[CUIT]],Lista_CUIT[#All],2,0)),"CUIT NO CARGADO")</f>
        <v>FEDERICI NICOLAS JOSE</v>
      </c>
      <c r="H23" s="331">
        <v>622242</v>
      </c>
      <c r="I23" s="332">
        <f>IF(compras_mes8[[#This Row],[NETO GRAVADO]]="","",compras_mes8[[#This Row],[NETO GRAVADO]]*0.21)</f>
        <v>130670.81999999999</v>
      </c>
      <c r="J23" s="332"/>
      <c r="K23" s="332"/>
      <c r="L23" s="332"/>
      <c r="M23" s="332"/>
      <c r="N23" s="332"/>
      <c r="O23" s="332"/>
      <c r="P23" s="333">
        <f>SUM(compras_mes8[[#This Row],[NETO GRAVADO]:[Otros / No Grav.]])</f>
        <v>752912.82</v>
      </c>
      <c r="Q23" s="334" t="str">
        <f>IFERROR(IF(compras_mes8[[#This Row],[CUIT]]="","-",VLOOKUP(compras_mes8[[#This Row],[CUIT]],Lista_CUIT[#All],3,0)),"CUIT NO CARGADO")</f>
        <v>INSUMO</v>
      </c>
      <c r="R23" s="334">
        <f>IFERROR(IF(compras_mes8[[#This Row],[CUIT]]="","-",VLOOKUP(compras_mes8[[#This Row],[CUIT]],Lista_CUIT[#All],4,0)),"CUIT NO CARGADO")</f>
        <v>0</v>
      </c>
    </row>
    <row r="24" spans="2:18" ht="14.4" customHeight="1" x14ac:dyDescent="0.3">
      <c r="B24" s="325">
        <v>45239</v>
      </c>
      <c r="C24" s="326">
        <v>1</v>
      </c>
      <c r="D24" s="327">
        <v>2</v>
      </c>
      <c r="E24" s="328">
        <v>189</v>
      </c>
      <c r="F24" s="329">
        <v>20125142851</v>
      </c>
      <c r="G24" s="330" t="str">
        <f>IFERROR(IF(compras_mes8[[#This Row],[CUIT]]="","-",VLOOKUP(compras_mes8[[#This Row],[CUIT]],Lista_CUIT[#All],2,0)),"CUIT NO CARGADO")</f>
        <v>FEDERICI NICOLAS JOSE</v>
      </c>
      <c r="H24" s="331">
        <v>48703.48</v>
      </c>
      <c r="I24" s="332">
        <f>IF(compras_mes8[[#This Row],[NETO GRAVADO]]="","",compras_mes8[[#This Row],[NETO GRAVADO]]*0.21)</f>
        <v>10227.730800000001</v>
      </c>
      <c r="J24" s="332"/>
      <c r="K24" s="332"/>
      <c r="L24" s="332"/>
      <c r="M24" s="332"/>
      <c r="N24" s="332"/>
      <c r="O24" s="332"/>
      <c r="P24" s="333">
        <f>SUM(compras_mes8[[#This Row],[NETO GRAVADO]:[Otros / No Grav.]])</f>
        <v>58931.210800000001</v>
      </c>
      <c r="Q24" s="334" t="str">
        <f>IFERROR(IF(compras_mes8[[#This Row],[CUIT]]="","-",VLOOKUP(compras_mes8[[#This Row],[CUIT]],Lista_CUIT[#All],3,0)),"CUIT NO CARGADO")</f>
        <v>INSUMO</v>
      </c>
      <c r="R24" s="334">
        <f>IFERROR(IF(compras_mes8[[#This Row],[CUIT]]="","-",VLOOKUP(compras_mes8[[#This Row],[CUIT]],Lista_CUIT[#All],4,0)),"CUIT NO CARGADO")</f>
        <v>0</v>
      </c>
    </row>
    <row r="25" spans="2:18" ht="15" customHeight="1" x14ac:dyDescent="0.3">
      <c r="B25" s="335">
        <v>45243</v>
      </c>
      <c r="C25" s="208">
        <v>1</v>
      </c>
      <c r="D25" s="336">
        <v>5</v>
      </c>
      <c r="E25" s="337">
        <v>18482</v>
      </c>
      <c r="F25" s="338">
        <v>30683088907</v>
      </c>
      <c r="G25" s="339" t="str">
        <f>IFERROR(IF(compras_mes8[[#This Row],[CUIT]]="","-",VLOOKUP(compras_mes8[[#This Row],[CUIT]],Lista_CUIT[#All],2,0)),"CUIT NO CARGADO")</f>
        <v>ACCESORIOS TEO SRL</v>
      </c>
      <c r="H25" s="340">
        <v>2644.62</v>
      </c>
      <c r="I25" s="341">
        <f>IF(compras_mes8[[#This Row],[NETO GRAVADO]]="","",compras_mes8[[#This Row],[NETO GRAVADO]]*0.21)</f>
        <v>555.37019999999995</v>
      </c>
      <c r="J25" s="341"/>
      <c r="K25" s="341"/>
      <c r="L25" s="341"/>
      <c r="M25" s="341"/>
      <c r="N25" s="341"/>
      <c r="O25" s="341"/>
      <c r="P25" s="349">
        <f>SUM(compras_mes8[[#This Row],[NETO GRAVADO]:[Otros / No Grav.]])</f>
        <v>3199.9901999999997</v>
      </c>
      <c r="Q25" s="283" t="s">
        <v>783</v>
      </c>
      <c r="R25" s="350">
        <f>IFERROR(IF(compras_mes8[[#This Row],[CUIT]]="","-",VLOOKUP(compras_mes8[[#This Row],[CUIT]],Lista_CUIT[#All],4,0)),"CUIT NO CARGADO")</f>
        <v>0</v>
      </c>
    </row>
    <row r="26" spans="2:18" ht="15" customHeight="1" x14ac:dyDescent="0.3">
      <c r="B26" s="325">
        <v>45244</v>
      </c>
      <c r="C26" s="326">
        <v>1</v>
      </c>
      <c r="D26" s="327">
        <v>2</v>
      </c>
      <c r="E26" s="328">
        <v>190</v>
      </c>
      <c r="F26" s="329">
        <v>20125142851</v>
      </c>
      <c r="G26" s="330" t="str">
        <f>IFERROR(IF(compras_mes8[[#This Row],[CUIT]]="","-",VLOOKUP(compras_mes8[[#This Row],[CUIT]],Lista_CUIT[#All],2,0)),"CUIT NO CARGADO")</f>
        <v>FEDERICI NICOLAS JOSE</v>
      </c>
      <c r="H26" s="331">
        <v>59233.95</v>
      </c>
      <c r="I26" s="332">
        <f>IF(compras_mes8[[#This Row],[NETO GRAVADO]]="","",compras_mes8[[#This Row],[NETO GRAVADO]]*0.21)</f>
        <v>12439.129499999999</v>
      </c>
      <c r="J26" s="332"/>
      <c r="K26" s="332"/>
      <c r="L26" s="332"/>
      <c r="M26" s="332"/>
      <c r="N26" s="332"/>
      <c r="O26" s="332"/>
      <c r="P26" s="333">
        <f>SUM(compras_mes8[[#This Row],[NETO GRAVADO]:[Otros / No Grav.]])</f>
        <v>71673.079499999993</v>
      </c>
      <c r="Q26" s="334" t="str">
        <f>IFERROR(IF(compras_mes8[[#This Row],[CUIT]]="","-",VLOOKUP(compras_mes8[[#This Row],[CUIT]],Lista_CUIT[#All],3,0)),"CUIT NO CARGADO")</f>
        <v>INSUMO</v>
      </c>
      <c r="R26" s="334">
        <f>IFERROR(IF(compras_mes8[[#This Row],[CUIT]]="","-",VLOOKUP(compras_mes8[[#This Row],[CUIT]],Lista_CUIT[#All],4,0)),"CUIT NO CARGADO")</f>
        <v>0</v>
      </c>
    </row>
    <row r="27" spans="2:18" ht="15" customHeight="1" x14ac:dyDescent="0.3">
      <c r="B27" s="335">
        <v>45245</v>
      </c>
      <c r="C27" s="208">
        <v>1</v>
      </c>
      <c r="D27" s="336">
        <v>1</v>
      </c>
      <c r="E27" s="337">
        <v>39310</v>
      </c>
      <c r="F27" s="338">
        <v>27332519633</v>
      </c>
      <c r="G27" s="339" t="str">
        <f>IFERROR(IF(compras_mes8[[#This Row],[CUIT]]="","-",VLOOKUP(compras_mes8[[#This Row],[CUIT]],Lista_CUIT[#All],2,0)),"CUIT NO CARGADO")</f>
        <v>BOJORGE ROMINA VALERIA</v>
      </c>
      <c r="H27" s="340">
        <v>15043.44</v>
      </c>
      <c r="I27" s="341"/>
      <c r="J27" s="341"/>
      <c r="K27" s="341">
        <v>1579.56</v>
      </c>
      <c r="L27" s="341"/>
      <c r="M27" s="341"/>
      <c r="N27" s="341"/>
      <c r="O27" s="341"/>
      <c r="P27" s="349">
        <f>SUM(compras_mes8[[#This Row],[NETO GRAVADO]:[Otros / No Grav.]])</f>
        <v>16623</v>
      </c>
      <c r="Q27" s="283" t="s">
        <v>1424</v>
      </c>
      <c r="R27" s="350">
        <f>IFERROR(IF(compras_mes8[[#This Row],[CUIT]]="","-",VLOOKUP(compras_mes8[[#This Row],[CUIT]],Lista_CUIT[#All],4,0)),"CUIT NO CARGADO")</f>
        <v>0</v>
      </c>
    </row>
    <row r="28" spans="2:18" ht="15" customHeight="1" x14ac:dyDescent="0.3">
      <c r="B28" s="313">
        <v>45260</v>
      </c>
      <c r="C28" s="208">
        <v>1</v>
      </c>
      <c r="D28" s="314">
        <v>10</v>
      </c>
      <c r="E28" s="315">
        <v>25863</v>
      </c>
      <c r="F28" s="316">
        <v>30528214483</v>
      </c>
      <c r="G28" s="317" t="str">
        <f>IFERROR(IF(compras_mes8[[#This Row],[CUIT]]="","-",VLOOKUP(compras_mes8[[#This Row],[CUIT]],Lista_CUIT[#All],2,0)),"CUIT NO CARGADO")</f>
        <v>D WEINSTOCK S R L</v>
      </c>
      <c r="H28" s="318">
        <v>9083.4699999999993</v>
      </c>
      <c r="I28" s="319">
        <f>IF(compras_mes8[[#This Row],[NETO GRAVADO]]="","",compras_mes8[[#This Row],[NETO GRAVADO]]*0.21)</f>
        <v>1907.5286999999998</v>
      </c>
      <c r="J28" s="319"/>
      <c r="K28" s="319"/>
      <c r="L28" s="319"/>
      <c r="M28" s="319"/>
      <c r="N28" s="319"/>
      <c r="O28" s="319"/>
      <c r="P28" s="348">
        <f>SUM(compras_mes8[[#This Row],[NETO GRAVADO]:[Otros / No Grav.]])</f>
        <v>10990.9987</v>
      </c>
      <c r="Q28" s="283" t="s">
        <v>1396</v>
      </c>
      <c r="R28" s="320">
        <f>IFERROR(IF(compras_mes8[[#This Row],[CUIT]]="","-",VLOOKUP(compras_mes8[[#This Row],[CUIT]],Lista_CUIT[#All],4,0)),"CUIT NO CARGADO")</f>
        <v>0</v>
      </c>
    </row>
    <row r="29" spans="2:18" ht="15" customHeight="1" x14ac:dyDescent="0.3">
      <c r="B29" s="325">
        <v>45260</v>
      </c>
      <c r="C29" s="326">
        <v>1</v>
      </c>
      <c r="D29" s="327">
        <v>6</v>
      </c>
      <c r="E29" s="328">
        <v>13266</v>
      </c>
      <c r="F29" s="329">
        <v>30707756434</v>
      </c>
      <c r="G29" s="330" t="str">
        <f>IFERROR(IF(compras_mes8[[#This Row],[CUIT]]="","-",VLOOKUP(compras_mes8[[#This Row],[CUIT]],Lista_CUIT[#All],2,0)),"CUIT NO CARGADO")</f>
        <v>SERVICIO INTEGRAL DE LIMPIEZA SRL</v>
      </c>
      <c r="H29" s="331">
        <v>68250</v>
      </c>
      <c r="I29" s="332">
        <f>IF(compras_mes8[[#This Row],[NETO GRAVADO]]="","",compras_mes8[[#This Row],[NETO GRAVADO]]*0.21)</f>
        <v>14332.5</v>
      </c>
      <c r="J29" s="332"/>
      <c r="K29" s="332"/>
      <c r="L29" s="332"/>
      <c r="M29" s="332"/>
      <c r="N29" s="332"/>
      <c r="O29" s="332"/>
      <c r="P29" s="333">
        <f>SUM(compras_mes8[[#This Row],[NETO GRAVADO]:[Otros / No Grav.]])</f>
        <v>82582.5</v>
      </c>
      <c r="Q29" s="334" t="str">
        <f>IFERROR(IF(compras_mes8[[#This Row],[CUIT]]="","-",VLOOKUP(compras_mes8[[#This Row],[CUIT]],Lista_CUIT[#All],3,0)),"CUIT NO CARGADO")</f>
        <v>Mantenimiento</v>
      </c>
      <c r="R29" s="334">
        <f>IFERROR(IF(compras_mes8[[#This Row],[CUIT]]="","-",VLOOKUP(compras_mes8[[#This Row],[CUIT]],Lista_CUIT[#All],4,0)),"CUIT NO CARGADO")</f>
        <v>0</v>
      </c>
    </row>
    <row r="30" spans="2:18" x14ac:dyDescent="0.3">
      <c r="B30" s="325">
        <v>45253</v>
      </c>
      <c r="C30" s="326">
        <v>1</v>
      </c>
      <c r="D30" s="327">
        <v>7</v>
      </c>
      <c r="E30" s="328">
        <v>8828</v>
      </c>
      <c r="F30" s="329">
        <v>27924079008</v>
      </c>
      <c r="G30" s="330" t="str">
        <f>IFERROR(IF(compras_mes8[[#This Row],[CUIT]]="","-",VLOOKUP(compras_mes8[[#This Row],[CUIT]],Lista_CUIT[#All],2,0)),"CUIT NO CARGADO")</f>
        <v>D'ALBENAS PEYRONEL SILVANA ELISABET</v>
      </c>
      <c r="H30" s="331">
        <v>424297.52</v>
      </c>
      <c r="I30" s="332">
        <f>IF(compras_mes8[[#This Row],[NETO GRAVADO]]="","",compras_mes8[[#This Row],[NETO GRAVADO]]*0.21)</f>
        <v>89102.479200000002</v>
      </c>
      <c r="J30" s="332"/>
      <c r="K30" s="332"/>
      <c r="L30" s="332"/>
      <c r="M30" s="332"/>
      <c r="N30" s="332"/>
      <c r="O30" s="332"/>
      <c r="P30" s="333">
        <f>SUM(compras_mes8[[#This Row],[NETO GRAVADO]:[Otros / No Grav.]])</f>
        <v>513399.99920000002</v>
      </c>
      <c r="Q30" s="49" t="s">
        <v>1422</v>
      </c>
      <c r="R30" s="334">
        <f>IFERROR(IF(compras_mes8[[#This Row],[CUIT]]="","-",VLOOKUP(compras_mes8[[#This Row],[CUIT]],Lista_CUIT[#All],4,0)),"CUIT NO CARGADO")</f>
        <v>0</v>
      </c>
    </row>
    <row r="31" spans="2:18" ht="18" customHeight="1" x14ac:dyDescent="0.3">
      <c r="B31" s="335">
        <v>45248</v>
      </c>
      <c r="C31" s="208">
        <v>1</v>
      </c>
      <c r="D31" s="336">
        <v>8</v>
      </c>
      <c r="E31" s="337">
        <v>17801</v>
      </c>
      <c r="F31" s="338">
        <v>30715267450</v>
      </c>
      <c r="G31" s="339" t="str">
        <f>IFERROR(IF(compras_mes8[[#This Row],[CUIT]]="","-",VLOOKUP(compras_mes8[[#This Row],[CUIT]],Lista_CUIT[#All],2,0)),"CUIT NO CARGADO")</f>
        <v>ARCHMAR S.R.L.</v>
      </c>
      <c r="H31" s="340">
        <v>3705.81</v>
      </c>
      <c r="I31" s="341">
        <f>IF(compras_mes8[[#This Row],[NETO GRAVADO]]="","",compras_mes8[[#This Row],[NETO GRAVADO]]*0.21)</f>
        <v>778.2201</v>
      </c>
      <c r="J31" s="341"/>
      <c r="K31" s="341"/>
      <c r="L31" s="341"/>
      <c r="M31" s="341"/>
      <c r="N31" s="341"/>
      <c r="O31" s="341"/>
      <c r="P31" s="349">
        <f>SUM(compras_mes8[[#This Row],[NETO GRAVADO]:[Otros / No Grav.]])</f>
        <v>4484.0300999999999</v>
      </c>
      <c r="Q31" s="283" t="s">
        <v>1423</v>
      </c>
      <c r="R31" s="350">
        <f>IFERROR(IF(compras_mes8[[#This Row],[CUIT]]="","-",VLOOKUP(compras_mes8[[#This Row],[CUIT]],Lista_CUIT[#All],4,0)),"CUIT NO CARGADO")</f>
        <v>0</v>
      </c>
    </row>
    <row r="32" spans="2:18" x14ac:dyDescent="0.3">
      <c r="B32" s="325">
        <v>45254</v>
      </c>
      <c r="C32" s="326">
        <v>1</v>
      </c>
      <c r="D32" s="327">
        <v>5</v>
      </c>
      <c r="E32" s="328">
        <v>53761</v>
      </c>
      <c r="F32" s="329">
        <v>30609968792</v>
      </c>
      <c r="G32" s="330" t="str">
        <f>IFERROR(IF(compras_mes8[[#This Row],[CUIT]]="","-",VLOOKUP(compras_mes8[[#This Row],[CUIT]],Lista_CUIT[#All],2,0)),"CUIT NO CARGADO")</f>
        <v>ABAC S R L</v>
      </c>
      <c r="H32" s="331">
        <v>127074.2</v>
      </c>
      <c r="I32" s="332">
        <f>IF(compras_mes8[[#This Row],[NETO GRAVADO]]="","",compras_mes8[[#This Row],[NETO GRAVADO]]*0.21)</f>
        <v>26685.581999999999</v>
      </c>
      <c r="J32" s="332"/>
      <c r="K32" s="332"/>
      <c r="L32" s="332"/>
      <c r="M32" s="332"/>
      <c r="N32" s="332"/>
      <c r="O32" s="332"/>
      <c r="P32" s="333">
        <f>SUM(compras_mes8[[#This Row],[NETO GRAVADO]:[Otros / No Grav.]])</f>
        <v>153759.78200000001</v>
      </c>
      <c r="Q32" s="49" t="s">
        <v>1418</v>
      </c>
      <c r="R32" s="334">
        <f>IFERROR(IF(compras_mes8[[#This Row],[CUIT]]="","-",VLOOKUP(compras_mes8[[#This Row],[CUIT]],Lista_CUIT[#All],4,0)),"CUIT NO CARGADO")</f>
        <v>0</v>
      </c>
    </row>
    <row r="33" spans="2:19" x14ac:dyDescent="0.3">
      <c r="B33" s="335">
        <v>45241</v>
      </c>
      <c r="C33" s="208">
        <v>1</v>
      </c>
      <c r="D33" s="336">
        <v>2466</v>
      </c>
      <c r="E33" s="337">
        <v>578177</v>
      </c>
      <c r="F33" s="338">
        <v>30678814357</v>
      </c>
      <c r="G33" s="339" t="str">
        <f>IFERROR(IF(compras_mes8[[#This Row],[CUIT]]="","-",VLOOKUP(compras_mes8[[#This Row],[CUIT]],Lista_CUIT[#All],2,0)),"CUIT NO CARGADO")</f>
        <v>TELEFONICA MOVILES ARG</v>
      </c>
      <c r="H33" s="340">
        <v>6715.65</v>
      </c>
      <c r="I33" s="341"/>
      <c r="J33" s="341">
        <v>1813.23</v>
      </c>
      <c r="K33" s="341"/>
      <c r="L33" s="341">
        <v>201.47</v>
      </c>
      <c r="M33" s="341"/>
      <c r="N33" s="341"/>
      <c r="O33" s="341">
        <v>336.05</v>
      </c>
      <c r="P33" s="349">
        <f>SUM(compras_mes8[[#This Row],[NETO GRAVADO]:[Otros / No Grav.]])</f>
        <v>9066.3999999999978</v>
      </c>
      <c r="Q33" s="350" t="str">
        <f>IFERROR(IF(compras_mes8[[#This Row],[CUIT]]="","-",VLOOKUP(compras_mes8[[#This Row],[CUIT]],Lista_CUIT[#All],3,0)),"CUIT NO CARGADO")</f>
        <v>SERVICIOS</v>
      </c>
      <c r="R33" s="350">
        <f>IFERROR(IF(compras_mes8[[#This Row],[CUIT]]="","-",VLOOKUP(compras_mes8[[#This Row],[CUIT]],Lista_CUIT[#All],4,0)),"CUIT NO CARGADO")</f>
        <v>0</v>
      </c>
      <c r="S33" t="s">
        <v>1302</v>
      </c>
    </row>
    <row r="34" spans="2:19" x14ac:dyDescent="0.3">
      <c r="B34" s="325">
        <v>45231</v>
      </c>
      <c r="C34" s="326">
        <v>1</v>
      </c>
      <c r="D34" s="327">
        <v>3</v>
      </c>
      <c r="E34" s="328">
        <v>209388</v>
      </c>
      <c r="F34" s="329">
        <v>30707135596</v>
      </c>
      <c r="G34" s="330" t="str">
        <f>IFERROR(IF(compras_mes8[[#This Row],[CUIT]]="","-",VLOOKUP(compras_mes8[[#This Row],[CUIT]],Lista_CUIT[#All],2,0)),"CUIT NO CARGADO")</f>
        <v>CITILAN ARGENTINA S.A.</v>
      </c>
      <c r="H34" s="331">
        <v>7706.66</v>
      </c>
      <c r="I34" s="332">
        <f>IF(compras_mes8[[#This Row],[NETO GRAVADO]]="","",compras_mes8[[#This Row],[NETO GRAVADO]]*0.21)</f>
        <v>1618.3986</v>
      </c>
      <c r="J34" s="332"/>
      <c r="K34" s="332"/>
      <c r="L34" s="332"/>
      <c r="M34" s="332"/>
      <c r="N34" s="332"/>
      <c r="O34" s="332"/>
      <c r="P34" s="333">
        <f>SUM(compras_mes8[[#This Row],[NETO GRAVADO]:[Otros / No Grav.]])</f>
        <v>9325.0586000000003</v>
      </c>
      <c r="Q34" s="334" t="str">
        <f>IFERROR(IF(compras_mes8[[#This Row],[CUIT]]="","-",VLOOKUP(compras_mes8[[#This Row],[CUIT]],Lista_CUIT[#All],3,0)),"CUIT NO CARGADO")</f>
        <v>Servicios Gas, Luz, Etc</v>
      </c>
      <c r="R34" s="334">
        <f>IFERROR(IF(compras_mes8[[#This Row],[CUIT]]="","-",VLOOKUP(compras_mes8[[#This Row],[CUIT]],Lista_CUIT[#All],4,0)),"CUIT NO CARGADO")</f>
        <v>0</v>
      </c>
      <c r="S34" t="s">
        <v>1302</v>
      </c>
    </row>
    <row r="35" spans="2:19" x14ac:dyDescent="0.3">
      <c r="B35" s="96" t="s">
        <v>110</v>
      </c>
      <c r="C35" s="96"/>
      <c r="D35" s="96"/>
      <c r="E35" s="96"/>
      <c r="F35" s="96"/>
      <c r="G35" s="97"/>
      <c r="H35" s="98">
        <f>SUBTOTAL(109,compras_mes8[NETO GRAVADO])</f>
        <v>2736575.2120000008</v>
      </c>
      <c r="I35" s="98">
        <f>SUBTOTAL(109,compras_mes8[IVA 21 %])</f>
        <v>565203.65622000012</v>
      </c>
      <c r="J35" s="98">
        <f>SUBTOTAL(109,compras_mes8[IVA 27%])</f>
        <v>1813.23</v>
      </c>
      <c r="K35" s="98">
        <f>SUBTOTAL(109,compras_mes8[IVA 10,5%])</f>
        <v>4033.43</v>
      </c>
      <c r="L35" s="98">
        <f>SUBTOTAL(109,compras_mes8[PERC. IVA])</f>
        <v>201.47</v>
      </c>
      <c r="M35" s="98">
        <f>SUBTOTAL(109,compras_mes8[PERC IIBB 
BS AS])</f>
        <v>0</v>
      </c>
      <c r="N35" s="98">
        <f>SUBTOTAL(109,compras_mes8[PERC. IIBB CABA])</f>
        <v>0</v>
      </c>
      <c r="O35" s="98">
        <f>SUBTOTAL(109,compras_mes8[Otros / No Grav.])</f>
        <v>202180.9705</v>
      </c>
      <c r="P35" s="98">
        <f>SUBTOTAL(109,compras_mes8[TOTAL])</f>
        <v>3510007.9687199998</v>
      </c>
      <c r="Q35" s="96"/>
      <c r="R35" s="96"/>
    </row>
    <row r="36" spans="2:19" x14ac:dyDescent="0.3">
      <c r="B36" s="40"/>
      <c r="C36" s="41"/>
      <c r="D36" s="42"/>
      <c r="E36" s="43"/>
      <c r="F36" s="44"/>
      <c r="G36" s="45"/>
      <c r="H36" s="46"/>
      <c r="I36" s="47"/>
      <c r="J36" s="47"/>
      <c r="K36" s="47"/>
      <c r="L36" s="47"/>
      <c r="M36" s="47"/>
      <c r="N36" s="47"/>
      <c r="O36" s="47"/>
      <c r="P36" s="48"/>
      <c r="Q36" s="49"/>
      <c r="R36" s="49"/>
    </row>
    <row r="37" spans="2:19" s="56" customFormat="1" ht="18.600000000000001" customHeight="1" x14ac:dyDescent="0.3">
      <c r="B37" s="40"/>
      <c r="C37" s="41"/>
      <c r="D37" s="42"/>
      <c r="E37" s="43"/>
      <c r="F37" s="44"/>
      <c r="G37" s="45"/>
      <c r="H37" s="46"/>
      <c r="I37" s="47"/>
      <c r="J37" s="47"/>
      <c r="K37" s="47"/>
      <c r="L37" s="47"/>
      <c r="M37" s="47"/>
      <c r="N37" s="47"/>
      <c r="O37" s="47"/>
      <c r="P37" s="48"/>
      <c r="Q37" s="49"/>
      <c r="R37" s="49"/>
    </row>
    <row r="38" spans="2:19" x14ac:dyDescent="0.3">
      <c r="B38" s="40"/>
      <c r="C38" s="41"/>
      <c r="D38" s="42"/>
      <c r="E38" s="43"/>
      <c r="F38" s="44"/>
      <c r="G38" s="45"/>
      <c r="H38" s="46"/>
      <c r="I38" s="47"/>
      <c r="J38" s="47"/>
      <c r="K38" s="47"/>
      <c r="L38" s="47"/>
      <c r="M38" s="47"/>
      <c r="N38" s="47"/>
      <c r="O38" s="47"/>
      <c r="P38" s="48"/>
      <c r="Q38" s="49"/>
      <c r="R38" s="49"/>
    </row>
    <row r="39" spans="2:19" x14ac:dyDescent="0.3">
      <c r="B39" s="40"/>
      <c r="C39" s="41"/>
      <c r="D39" s="42"/>
      <c r="E39" s="43"/>
      <c r="F39" s="44"/>
      <c r="G39" s="45"/>
      <c r="H39" s="46"/>
      <c r="I39" s="47"/>
      <c r="J39" s="47"/>
      <c r="K39" s="47"/>
      <c r="L39" s="47"/>
    </row>
    <row r="40" spans="2:19" ht="21" x14ac:dyDescent="0.3">
      <c r="D40" s="414" t="s">
        <v>15</v>
      </c>
      <c r="E40" s="414"/>
      <c r="F40" s="414"/>
      <c r="G40" s="414"/>
      <c r="H40" s="414"/>
      <c r="I40" s="414"/>
      <c r="J40" s="414"/>
      <c r="K40" s="414"/>
      <c r="L40" s="414"/>
    </row>
    <row r="41" spans="2:19" ht="15.6" x14ac:dyDescent="0.3">
      <c r="D41" s="73" t="s">
        <v>0</v>
      </c>
      <c r="E41" s="74" t="s">
        <v>26</v>
      </c>
      <c r="F41" s="74" t="s">
        <v>16</v>
      </c>
      <c r="G41" s="74" t="s">
        <v>5</v>
      </c>
      <c r="H41" s="74" t="s">
        <v>17</v>
      </c>
      <c r="I41" s="74" t="s">
        <v>7</v>
      </c>
      <c r="J41" s="75" t="s">
        <v>18</v>
      </c>
      <c r="K41" s="75" t="s">
        <v>19</v>
      </c>
      <c r="L41" s="76" t="s">
        <v>20</v>
      </c>
    </row>
    <row r="42" spans="2:19" x14ac:dyDescent="0.3">
      <c r="D42" s="50">
        <v>45243</v>
      </c>
      <c r="E42" s="80">
        <v>1052653000</v>
      </c>
      <c r="F42" s="80" t="s">
        <v>1301</v>
      </c>
      <c r="G42" s="81">
        <v>3499.5</v>
      </c>
      <c r="H42" s="81">
        <f>extracto_banco_mes8[[#This Row],[NETO]]*0.21</f>
        <v>734.89499999999998</v>
      </c>
      <c r="I42" s="81"/>
      <c r="J42" s="81"/>
      <c r="K42" s="81">
        <v>104.99</v>
      </c>
      <c r="L42" s="81"/>
    </row>
    <row r="43" spans="2:19" x14ac:dyDescent="0.3">
      <c r="D43" s="50">
        <v>45260</v>
      </c>
      <c r="E43" s="80">
        <v>30112023</v>
      </c>
      <c r="F43" s="80" t="s">
        <v>1300</v>
      </c>
      <c r="G43" s="81">
        <f>150+40+225+300+11390.75+150+1350+1800+4300+150+150</f>
        <v>20005.75</v>
      </c>
      <c r="H43" s="81">
        <f>extracto_banco_mes8[[#This Row],[NETO]]*0.21</f>
        <v>4201.2074999999995</v>
      </c>
      <c r="I43" s="81"/>
      <c r="J43" s="81"/>
      <c r="K43" s="81">
        <f>81+341.72+129</f>
        <v>551.72</v>
      </c>
      <c r="L43" s="81"/>
    </row>
    <row r="44" spans="2:19" ht="22.5" customHeight="1" x14ac:dyDescent="0.3">
      <c r="D44" s="50"/>
      <c r="E44" s="79"/>
      <c r="F44" s="80"/>
      <c r="G44" s="81"/>
      <c r="H44" s="81">
        <f>extracto_banco_mes8[[#This Row],[NETO]]*0.21</f>
        <v>0</v>
      </c>
      <c r="I44" s="81"/>
      <c r="J44" s="81"/>
      <c r="K44" s="81"/>
      <c r="L44" s="81"/>
    </row>
    <row r="45" spans="2:19" x14ac:dyDescent="0.3">
      <c r="D45" s="82" t="s">
        <v>110</v>
      </c>
      <c r="E45" s="80"/>
      <c r="F45" s="80"/>
      <c r="G45" s="83">
        <f>SUBTOTAL(109,extracto_banco_mes8[NETO])</f>
        <v>23505.25</v>
      </c>
      <c r="H45" s="83">
        <f>SUBTOTAL(109,extracto_banco_mes8[IVA 21%])</f>
        <v>4936.1024999999991</v>
      </c>
      <c r="I45" s="83">
        <f>SUBTOTAL(109,extracto_banco_mes8[IVA 10,5%])</f>
        <v>0</v>
      </c>
      <c r="J45" s="83">
        <f>SUBTOTAL(109,extracto_banco_mes8[RET IIBB CABA])</f>
        <v>0</v>
      </c>
      <c r="K45" s="83">
        <f>SUBTOTAL(109,extracto_banco_mes8[PERC IVA])</f>
        <v>656.71</v>
      </c>
      <c r="L45" s="83">
        <f>SUBTOTAL(109,extracto_banco_mes8[PERC IIBB])</f>
        <v>0</v>
      </c>
    </row>
    <row r="46" spans="2:19" ht="18" customHeight="1" x14ac:dyDescent="0.3"/>
    <row r="49" spans="2:18" ht="21" x14ac:dyDescent="0.3">
      <c r="D49" s="414" t="s">
        <v>25</v>
      </c>
      <c r="E49" s="414"/>
      <c r="F49" s="414"/>
      <c r="G49" s="414"/>
      <c r="H49" s="414"/>
      <c r="I49" s="414"/>
      <c r="J49" s="414"/>
      <c r="K49" s="414"/>
    </row>
    <row r="50" spans="2:18" x14ac:dyDescent="0.3">
      <c r="D50" s="51" t="s">
        <v>0</v>
      </c>
      <c r="E50" s="51" t="s">
        <v>2</v>
      </c>
      <c r="F50" s="51" t="s">
        <v>74</v>
      </c>
      <c r="G50" s="51" t="s">
        <v>3</v>
      </c>
      <c r="H50" s="51" t="s">
        <v>4</v>
      </c>
      <c r="I50" s="52" t="s">
        <v>10</v>
      </c>
      <c r="J50" s="51" t="s">
        <v>13</v>
      </c>
      <c r="K50" s="51" t="s">
        <v>38</v>
      </c>
    </row>
    <row r="51" spans="2:18" x14ac:dyDescent="0.3">
      <c r="D51" s="50">
        <v>45232</v>
      </c>
      <c r="E51" s="42">
        <v>3</v>
      </c>
      <c r="F51" s="43">
        <v>793</v>
      </c>
      <c r="G51" s="44">
        <v>20086277523</v>
      </c>
      <c r="H51" s="53" t="str">
        <f>IFERROR(IF(factura_c_mes8[[#This Row],[CUIT]]="","-",VLOOKUP(factura_c_mes8[[#This Row],[CUIT]],Lista_CUIT[#All],2,0)),"CUIT NO CARGADO")</f>
        <v>ESTUDIO BOTINDARI</v>
      </c>
      <c r="I51" s="81">
        <v>118500</v>
      </c>
      <c r="J51" s="54" t="str">
        <f>IFERROR(IF(factura_c_mes8[[#This Row],[CUIT]]="","-",VLOOKUP(factura_c_mes8[[#This Row],[CUIT]],Lista_CUIT[#All],3,0)),"CUIT NO CARGADO")</f>
        <v>HONORARIOS</v>
      </c>
      <c r="K51" s="54">
        <f>IFERROR(IF(factura_c_mes8[[#This Row],[CUIT]]="","-",VLOOKUP(factura_c_mes8[[#This Row],[CUIT]],Lista_CUIT[#All],4,0)),"CUIT NO CARGADO")</f>
        <v>0</v>
      </c>
    </row>
    <row r="52" spans="2:18" x14ac:dyDescent="0.3">
      <c r="D52" s="50">
        <v>45244</v>
      </c>
      <c r="E52" s="42">
        <v>2</v>
      </c>
      <c r="F52" s="43">
        <v>113</v>
      </c>
      <c r="G52" s="44">
        <v>27125997835</v>
      </c>
      <c r="H52" s="53" t="str">
        <f>IFERROR(IF(factura_c_mes8[[#This Row],[CUIT]]="","-",VLOOKUP(factura_c_mes8[[#This Row],[CUIT]],Lista_CUIT[#All],2,0)),"CUIT NO CARGADO")</f>
        <v>DANSKY ULLMANN VIVIANA EVA YOLANDA</v>
      </c>
      <c r="I52" s="81">
        <v>66000</v>
      </c>
      <c r="J52" s="54">
        <f>IFERROR(IF(factura_c_mes8[[#This Row],[CUIT]]="","-",VLOOKUP(factura_c_mes8[[#This Row],[CUIT]],Lista_CUIT[#All],3,0)),"CUIT NO CARGADO")</f>
        <v>0</v>
      </c>
      <c r="K52" s="54">
        <f>IFERROR(IF(factura_c_mes8[[#This Row],[CUIT]]="","-",VLOOKUP(factura_c_mes8[[#This Row],[CUIT]],Lista_CUIT[#All],4,0)),"CUIT NO CARGADO")</f>
        <v>0</v>
      </c>
    </row>
    <row r="53" spans="2:18" x14ac:dyDescent="0.3">
      <c r="D53" s="50">
        <v>45245</v>
      </c>
      <c r="E53" s="42">
        <v>4</v>
      </c>
      <c r="F53" s="43">
        <v>19</v>
      </c>
      <c r="G53" s="44">
        <v>20341462933</v>
      </c>
      <c r="H53" s="53" t="str">
        <f>IFERROR(IF(factura_c_mes8[[#This Row],[CUIT]]="","-",VLOOKUP(factura_c_mes8[[#This Row],[CUIT]],Lista_CUIT[#All],2,0)),"CUIT NO CARGADO")</f>
        <v>CASTIGLIONI MATIAS EZEQUIEL</v>
      </c>
      <c r="I53" s="81">
        <v>195000</v>
      </c>
      <c r="J53" s="54" t="str">
        <f>IFERROR(IF(factura_c_mes8[[#This Row],[CUIT]]="","-",VLOOKUP(factura_c_mes8[[#This Row],[CUIT]],Lista_CUIT[#All],3,0)),"CUIT NO CARGADO")</f>
        <v>ASESORAMIENTO</v>
      </c>
      <c r="K53" s="54" t="str">
        <f>IFERROR(IF(factura_c_mes8[[#This Row],[CUIT]]="","-",VLOOKUP(factura_c_mes8[[#This Row],[CUIT]],Lista_CUIT[#All],4,0)),"CUIT NO CARGADO")</f>
        <v>BUENOS AIRES</v>
      </c>
    </row>
    <row r="54" spans="2:18" x14ac:dyDescent="0.3">
      <c r="D54" s="50">
        <v>45247</v>
      </c>
      <c r="E54" s="42">
        <v>3</v>
      </c>
      <c r="F54" s="43">
        <v>65</v>
      </c>
      <c r="G54" s="44">
        <v>20403931420</v>
      </c>
      <c r="H54" s="53" t="str">
        <f>IFERROR(IF(factura_c_mes8[[#This Row],[CUIT]]="","-",VLOOKUP(factura_c_mes8[[#This Row],[CUIT]],Lista_CUIT[#All],2,0)),"CUIT NO CARGADO")</f>
        <v>FIORENTINO JORGE IGNACIO</v>
      </c>
      <c r="I54" s="81">
        <v>177690</v>
      </c>
      <c r="J54" s="54" t="str">
        <f>IFERROR(IF(factura_c_mes8[[#This Row],[CUIT]]="","-",VLOOKUP(factura_c_mes8[[#This Row],[CUIT]],Lista_CUIT[#All],3,0)),"CUIT NO CARGADO")</f>
        <v>Hon. Admin.</v>
      </c>
      <c r="K54" s="54">
        <f>IFERROR(IF(factura_c_mes8[[#This Row],[CUIT]]="","-",VLOOKUP(factura_c_mes8[[#This Row],[CUIT]],Lista_CUIT[#All],4,0)),"CUIT NO CARGADO")</f>
        <v>0</v>
      </c>
    </row>
    <row r="55" spans="2:18" x14ac:dyDescent="0.3">
      <c r="D55" s="50">
        <v>45251</v>
      </c>
      <c r="E55" s="42">
        <v>2</v>
      </c>
      <c r="F55" s="43">
        <v>670</v>
      </c>
      <c r="G55" s="44">
        <v>20400104094</v>
      </c>
      <c r="H55" s="321" t="str">
        <f>IFERROR(IF(factura_c_mes8[[#This Row],[CUIT]]="","-",VLOOKUP(factura_c_mes8[[#This Row],[CUIT]],Lista_CUIT[#All],2,0)),"CUIT NO CARGADO")</f>
        <v>FEDERICO BOTINDARI</v>
      </c>
      <c r="I55" s="347">
        <v>20830</v>
      </c>
      <c r="J55" s="322" t="str">
        <f>IFERROR(IF(factura_c_mes8[[#This Row],[CUIT]]="","-",VLOOKUP(factura_c_mes8[[#This Row],[CUIT]],Lista_CUIT[#All],3,0)),"CUIT NO CARGADO")</f>
        <v>HONORARIOS</v>
      </c>
      <c r="K55" s="322">
        <f>IFERROR(IF(factura_c_mes8[[#This Row],[CUIT]]="","-",VLOOKUP(factura_c_mes8[[#This Row],[CUIT]],Lista_CUIT[#All],4,0)),"CUIT NO CARGADO")</f>
        <v>0</v>
      </c>
    </row>
    <row r="56" spans="2:18" ht="25.95" customHeight="1" x14ac:dyDescent="0.3">
      <c r="B56" s="56"/>
      <c r="C56" s="56"/>
      <c r="D56" s="50">
        <v>45251</v>
      </c>
      <c r="E56" s="42">
        <v>4</v>
      </c>
      <c r="F56" s="43">
        <v>55</v>
      </c>
      <c r="G56" s="44">
        <v>23214737914</v>
      </c>
      <c r="H56" s="321" t="str">
        <f>IFERROR(IF(factura_c_mes8[[#This Row],[CUIT]]="","-",VLOOKUP(factura_c_mes8[[#This Row],[CUIT]],Lista_CUIT[#All],2,0)),"CUIT NO CARGADO")</f>
        <v>SBARRA GABRIELA BEATRIZ</v>
      </c>
      <c r="I56" s="347">
        <v>321820</v>
      </c>
      <c r="J56" s="322">
        <f>IFERROR(IF(factura_c_mes8[[#This Row],[CUIT]]="","-",VLOOKUP(factura_c_mes8[[#This Row],[CUIT]],Lista_CUIT[#All],3,0)),"CUIT NO CARGADO")</f>
        <v>0</v>
      </c>
      <c r="K56" s="322">
        <f>IFERROR(IF(factura_c_mes8[[#This Row],[CUIT]]="","-",VLOOKUP(factura_c_mes8[[#This Row],[CUIT]],Lista_CUIT[#All],4,0)),"CUIT NO CARGADO")</f>
        <v>0</v>
      </c>
      <c r="L56" s="56"/>
      <c r="M56" s="56"/>
      <c r="N56" s="56"/>
      <c r="O56" s="56"/>
      <c r="P56" s="56"/>
      <c r="Q56" s="56"/>
      <c r="R56" s="56"/>
    </row>
    <row r="57" spans="2:18" x14ac:dyDescent="0.3">
      <c r="D57" s="50">
        <v>45257</v>
      </c>
      <c r="E57" s="42">
        <v>1</v>
      </c>
      <c r="F57" s="43">
        <v>31</v>
      </c>
      <c r="G57" s="44">
        <v>20365938688</v>
      </c>
      <c r="H57" s="321" t="str">
        <f>IFERROR(IF(factura_c_mes8[[#This Row],[CUIT]]="","-",VLOOKUP(factura_c_mes8[[#This Row],[CUIT]],Lista_CUIT[#All],2,0)),"CUIT NO CARGADO")</f>
        <v>LIPANOVICH JUAN CRUZ</v>
      </c>
      <c r="I57" s="347">
        <v>600000</v>
      </c>
      <c r="J57" s="322" t="str">
        <f>IFERROR(IF(factura_c_mes8[[#This Row],[CUIT]]="","-",VLOOKUP(factura_c_mes8[[#This Row],[CUIT]],Lista_CUIT[#All],3,0)),"CUIT NO CARGADO")</f>
        <v>SOFTWARE</v>
      </c>
      <c r="K57" s="322">
        <f>IFERROR(IF(factura_c_mes8[[#This Row],[CUIT]]="","-",VLOOKUP(factura_c_mes8[[#This Row],[CUIT]],Lista_CUIT[#All],4,0)),"CUIT NO CARGADO")</f>
        <v>0</v>
      </c>
    </row>
    <row r="58" spans="2:18" ht="17.25" customHeight="1" x14ac:dyDescent="0.3">
      <c r="D58" s="55" t="s">
        <v>110</v>
      </c>
      <c r="E58" s="55"/>
      <c r="F58" s="55"/>
      <c r="G58" s="55"/>
      <c r="H58" s="57"/>
      <c r="I58" s="58">
        <f>SUBTOTAL(109,factura_c_mes8[TOTAL])</f>
        <v>1499840</v>
      </c>
      <c r="J58" s="55"/>
      <c r="K58" s="55"/>
    </row>
    <row r="59" spans="2:18" ht="31.5" customHeight="1" x14ac:dyDescent="0.3"/>
    <row r="61" spans="2:18" ht="25.8" x14ac:dyDescent="0.3">
      <c r="B61" s="430" t="s">
        <v>29</v>
      </c>
      <c r="C61" s="430"/>
      <c r="D61" s="430"/>
      <c r="E61" s="430"/>
      <c r="F61" s="430"/>
      <c r="G61" s="430"/>
      <c r="H61" s="430"/>
      <c r="I61" s="430"/>
      <c r="J61" s="430"/>
      <c r="K61" s="426">
        <f>N1</f>
        <v>45231</v>
      </c>
      <c r="L61" s="426"/>
      <c r="M61" s="426"/>
    </row>
    <row r="63" spans="2:18" ht="21" x14ac:dyDescent="0.3">
      <c r="B63" s="422" t="s">
        <v>30</v>
      </c>
      <c r="C63" s="422"/>
    </row>
    <row r="64" spans="2:18" ht="15.6" x14ac:dyDescent="0.3">
      <c r="B64" s="60" t="s">
        <v>0</v>
      </c>
      <c r="C64" s="61" t="s">
        <v>1</v>
      </c>
      <c r="D64" s="61" t="s">
        <v>21</v>
      </c>
      <c r="E64" s="61" t="s">
        <v>22</v>
      </c>
      <c r="F64" s="61" t="s">
        <v>3</v>
      </c>
      <c r="G64" s="61" t="s">
        <v>4</v>
      </c>
      <c r="H64" s="61" t="s">
        <v>23</v>
      </c>
      <c r="I64" s="61" t="s">
        <v>17</v>
      </c>
      <c r="J64" s="61" t="s">
        <v>7</v>
      </c>
      <c r="K64" s="61" t="s">
        <v>24</v>
      </c>
      <c r="L64" s="61" t="s">
        <v>10</v>
      </c>
      <c r="M64" s="62" t="s">
        <v>38</v>
      </c>
    </row>
    <row r="65" spans="2:13" x14ac:dyDescent="0.3">
      <c r="B65" s="40">
        <v>45231</v>
      </c>
      <c r="C65" s="41">
        <v>1</v>
      </c>
      <c r="D65" s="42">
        <v>3</v>
      </c>
      <c r="E65" s="43">
        <v>170</v>
      </c>
      <c r="F65" s="44">
        <v>30638318470</v>
      </c>
      <c r="G65" s="99" t="str">
        <f>IFERROR(IF(venta_a_mes8[[#This Row],[CUIT]]="","-",VLOOKUP(venta_a_mes8[[#This Row],[CUIT]],Lista_CUIT[#All],2,0)),"CUIT NO CARGADO")</f>
        <v>DELTA COMPRESION S R L</v>
      </c>
      <c r="H65" s="100">
        <v>11600750</v>
      </c>
      <c r="I65" s="101">
        <v>257250</v>
      </c>
      <c r="J65" s="65">
        <v>1089452</v>
      </c>
      <c r="K65" s="65"/>
      <c r="L65" s="65">
        <f>SUM(venta_a_mes8[[#This Row],[IMPORTE NETO]:[EXENTO]])</f>
        <v>12947452</v>
      </c>
      <c r="M65" s="59"/>
    </row>
    <row r="66" spans="2:13" x14ac:dyDescent="0.3">
      <c r="B66" s="40">
        <v>45258</v>
      </c>
      <c r="C66" s="41">
        <v>2</v>
      </c>
      <c r="D66" s="42">
        <v>3</v>
      </c>
      <c r="E66" s="43">
        <v>7</v>
      </c>
      <c r="F66" s="44">
        <v>30638318470</v>
      </c>
      <c r="G66" s="99" t="str">
        <f>IFERROR(IF(venta_a_mes8[[#This Row],[CUIT]]="","-",VLOOKUP(venta_a_mes8[[#This Row],[CUIT]],Lista_CUIT[#All],2,0)),"CUIT NO CARGADO")</f>
        <v>DELTA COMPRESION S R L</v>
      </c>
      <c r="H66" s="100">
        <v>11267992.5</v>
      </c>
      <c r="I66" s="101">
        <f>venta_a_mes8[[#This Row],[IMPORTE NETO]]*0.21</f>
        <v>2366278.4249999998</v>
      </c>
      <c r="J66" s="65"/>
      <c r="K66" s="65"/>
      <c r="L66" s="65">
        <f>SUM(venta_a_mes8[[#This Row],[IMPORTE NETO]:[EXENTO]])</f>
        <v>13634270.925000001</v>
      </c>
      <c r="M66" s="59"/>
    </row>
    <row r="67" spans="2:13" x14ac:dyDescent="0.3">
      <c r="B67" s="40"/>
      <c r="C67" s="41"/>
      <c r="D67" s="42"/>
      <c r="E67" s="43"/>
      <c r="F67" s="44"/>
      <c r="G67" s="99" t="str">
        <f>IFERROR(IF(venta_a_mes8[[#This Row],[CUIT]]="","-",VLOOKUP(venta_a_mes8[[#This Row],[CUIT]],Lista_CUIT[#All],2,0)),"CUIT NO CARGADO")</f>
        <v>-</v>
      </c>
      <c r="H67" s="100"/>
      <c r="I67" s="101">
        <f>venta_a_mes8[[#This Row],[IMPORTE NETO]]*0.21</f>
        <v>0</v>
      </c>
      <c r="J67" s="65"/>
      <c r="K67" s="65"/>
      <c r="L67" s="65">
        <f>SUM(venta_a_mes8[[#This Row],[IMPORTE NETO]:[EXENTO]])</f>
        <v>0</v>
      </c>
      <c r="M67" s="59"/>
    </row>
    <row r="68" spans="2:13" x14ac:dyDescent="0.3">
      <c r="B68" s="40"/>
      <c r="C68" s="41"/>
      <c r="D68" s="42"/>
      <c r="E68" s="43"/>
      <c r="F68" s="44"/>
      <c r="G68" s="99" t="str">
        <f>IFERROR(IF(venta_a_mes8[[#This Row],[CUIT]]="","-",VLOOKUP(venta_a_mes8[[#This Row],[CUIT]],Lista_CUIT[#All],2,0)),"CUIT NO CARGADO")</f>
        <v>-</v>
      </c>
      <c r="H68" s="100"/>
      <c r="I68" s="101">
        <f>venta_a_mes8[[#This Row],[IMPORTE NETO]]*0.21</f>
        <v>0</v>
      </c>
      <c r="J68" s="65"/>
      <c r="K68" s="65"/>
      <c r="L68" s="65">
        <f>SUM(venta_a_mes8[[#This Row],[IMPORTE NETO]:[EXENTO]])</f>
        <v>0</v>
      </c>
      <c r="M68" s="59"/>
    </row>
    <row r="69" spans="2:13" ht="19.2" customHeight="1" x14ac:dyDescent="0.3">
      <c r="B69" s="40"/>
      <c r="C69" s="41"/>
      <c r="D69" s="42"/>
      <c r="E69" s="43"/>
      <c r="F69" s="44"/>
      <c r="G69" s="99" t="str">
        <f>IFERROR(IF(venta_a_mes8[[#This Row],[CUIT]]="","-",VLOOKUP(venta_a_mes8[[#This Row],[CUIT]],Lista_CUIT[#All],2,0)),"CUIT NO CARGADO")</f>
        <v>-</v>
      </c>
      <c r="H69" s="100"/>
      <c r="I69" s="101">
        <f>venta_a_mes8[[#This Row],[IMPORTE NETO]]*0.21</f>
        <v>0</v>
      </c>
      <c r="J69" s="65"/>
      <c r="K69" s="65"/>
      <c r="L69" s="65">
        <f>SUM(venta_a_mes8[[#This Row],[IMPORTE NETO]:[EXENTO]])</f>
        <v>0</v>
      </c>
      <c r="M69" s="59"/>
    </row>
    <row r="70" spans="2:13" ht="28.95" customHeight="1" x14ac:dyDescent="0.3">
      <c r="B70" s="40"/>
      <c r="C70" s="41"/>
      <c r="D70" s="42"/>
      <c r="E70" s="43"/>
      <c r="F70" s="44"/>
      <c r="G70" s="99" t="str">
        <f>IFERROR(IF(venta_a_mes8[[#This Row],[CUIT]]="","-",VLOOKUP(venta_a_mes8[[#This Row],[CUIT]],Lista_CUIT[#All],2,0)),"CUIT NO CARGADO")</f>
        <v>-</v>
      </c>
      <c r="H70" s="100"/>
      <c r="I70" s="101">
        <f>venta_a_mes8[[#This Row],[IMPORTE NETO]]*0.21</f>
        <v>0</v>
      </c>
      <c r="J70" s="65"/>
      <c r="K70" s="65"/>
      <c r="L70" s="65">
        <f>SUM(venta_a_mes8[[#This Row],[IMPORTE NETO]:[EXENTO]])</f>
        <v>0</v>
      </c>
      <c r="M70" s="59"/>
    </row>
    <row r="71" spans="2:13" x14ac:dyDescent="0.3">
      <c r="B71" s="40"/>
      <c r="C71" s="41"/>
      <c r="D71" s="42"/>
      <c r="E71" s="43"/>
      <c r="F71" s="44"/>
      <c r="G71" s="99" t="str">
        <f>IFERROR(IF(venta_a_mes8[[#This Row],[CUIT]]="","-",VLOOKUP(venta_a_mes8[[#This Row],[CUIT]],Lista_CUIT[#All],2,0)),"CUIT NO CARGADO")</f>
        <v>-</v>
      </c>
      <c r="H71" s="100"/>
      <c r="I71" s="101">
        <f>venta_a_mes8[[#This Row],[IMPORTE NETO]]*0.21</f>
        <v>0</v>
      </c>
      <c r="J71" s="65"/>
      <c r="K71" s="65"/>
      <c r="L71" s="65">
        <f>SUM(venta_a_mes8[[#This Row],[IMPORTE NETO]:[EXENTO]])</f>
        <v>0</v>
      </c>
      <c r="M71" s="63"/>
    </row>
    <row r="72" spans="2:13" x14ac:dyDescent="0.3">
      <c r="B72" s="102"/>
      <c r="C72" s="103"/>
      <c r="D72" s="104"/>
      <c r="E72" s="105"/>
      <c r="F72" s="106"/>
      <c r="G72" s="99" t="str">
        <f>IFERROR(IF(venta_a_mes8[[#This Row],[CUIT]]="","-",VLOOKUP(venta_a_mes8[[#This Row],[CUIT]],Lista_CUIT[#All],2,0)),"CUIT NO CARGADO")</f>
        <v>-</v>
      </c>
      <c r="H72" s="107"/>
      <c r="I72" s="108">
        <f>venta_a_mes8[[#This Row],[IMPORTE NETO]]*0.21</f>
        <v>0</v>
      </c>
      <c r="J72" s="72"/>
      <c r="K72" s="72"/>
      <c r="L72" s="72">
        <f>SUM(venta_a_mes8[[#This Row],[IMPORTE NETO]:[EXENTO]])</f>
        <v>0</v>
      </c>
      <c r="M72" s="63"/>
    </row>
    <row r="73" spans="2:13" x14ac:dyDescent="0.3">
      <c r="B73" s="109"/>
      <c r="C73" s="110"/>
      <c r="D73" s="111"/>
      <c r="E73" s="112"/>
      <c r="F73" s="113"/>
      <c r="G73" s="99" t="str">
        <f>IFERROR(IF(venta_a_mes8[[#This Row],[CUIT]]="","-",VLOOKUP(venta_a_mes8[[#This Row],[CUIT]],Lista_CUIT[#All],2,0)),"CUIT NO CARGADO")</f>
        <v>-</v>
      </c>
      <c r="H73" s="100"/>
      <c r="I73" s="101">
        <f>venta_a_mes8[[#This Row],[IMPORTE NETO]]*0.21</f>
        <v>0</v>
      </c>
      <c r="J73" s="65"/>
      <c r="K73" s="65"/>
      <c r="L73" s="65">
        <f>SUM(venta_a_mes8[[#This Row],[IMPORTE NETO]:[EXENTO]])</f>
        <v>0</v>
      </c>
      <c r="M73" s="59"/>
    </row>
    <row r="74" spans="2:13" x14ac:dyDescent="0.3">
      <c r="B74" s="66" t="s">
        <v>110</v>
      </c>
      <c r="C74" s="67"/>
      <c r="D74" s="67"/>
      <c r="E74" s="67"/>
      <c r="F74" s="67"/>
      <c r="G74" s="67"/>
      <c r="H74" s="69">
        <f>SUBTOTAL(109,venta_a_mes8[IMPORTE NETO])</f>
        <v>22868742.5</v>
      </c>
      <c r="I74" s="70">
        <f>SUBTOTAL(109,venta_a_mes8[IVA 21%])</f>
        <v>2623528.4249999998</v>
      </c>
      <c r="J74" s="71">
        <f>SUBTOTAL(109,venta_a_mes8[IVA 10,5%])</f>
        <v>1089452</v>
      </c>
      <c r="K74" s="71">
        <f>SUBTOTAL(109,venta_a_mes8[EXENTO])</f>
        <v>0</v>
      </c>
      <c r="L74" s="71">
        <f>SUBTOTAL(109,venta_a_mes8[TOTAL])</f>
        <v>26581722.925000001</v>
      </c>
      <c r="M74" s="68">
        <f>SUBTOTAL(103,venta_a_mes8[Provincia])</f>
        <v>0</v>
      </c>
    </row>
    <row r="77" spans="2:13" ht="21" x14ac:dyDescent="0.3">
      <c r="B77" s="422" t="s">
        <v>31</v>
      </c>
      <c r="C77" s="422"/>
    </row>
    <row r="78" spans="2:13" ht="15.6" x14ac:dyDescent="0.3">
      <c r="B78" s="60" t="s">
        <v>0</v>
      </c>
      <c r="C78" s="61" t="s">
        <v>1</v>
      </c>
      <c r="D78" s="61" t="s">
        <v>21</v>
      </c>
      <c r="E78" s="61" t="s">
        <v>22</v>
      </c>
      <c r="F78" s="61" t="s">
        <v>3</v>
      </c>
      <c r="G78" s="61" t="s">
        <v>4</v>
      </c>
      <c r="H78" s="61" t="s">
        <v>23</v>
      </c>
      <c r="I78" s="61" t="s">
        <v>17</v>
      </c>
      <c r="J78" s="61" t="s">
        <v>7</v>
      </c>
      <c r="K78" s="61" t="s">
        <v>24</v>
      </c>
      <c r="L78" s="61" t="s">
        <v>10</v>
      </c>
      <c r="M78" s="62" t="s">
        <v>38</v>
      </c>
    </row>
    <row r="79" spans="2:13" x14ac:dyDescent="0.3">
      <c r="B79" s="40"/>
      <c r="C79" s="41"/>
      <c r="D79" s="42"/>
      <c r="E79" s="43"/>
      <c r="F79" s="44"/>
      <c r="G79" s="1" t="str">
        <f>IFERROR(IF(ventas_b_mes8[[#This Row],[CUIT]]="","-",VLOOKUP(ventas_b_mes8[[#This Row],[CUIT]],Lista_CUIT[#All],2,0)),"CUIT NO CARGADO")</f>
        <v>-</v>
      </c>
      <c r="H79" s="64"/>
      <c r="I79" s="64"/>
      <c r="J79" s="64"/>
      <c r="K79" s="64"/>
      <c r="L79" s="64">
        <f>SUM(ventas_b_mes8[[#This Row],[IMPORTE NETO]:[EXENTO]])</f>
        <v>0</v>
      </c>
      <c r="M79" s="59"/>
    </row>
    <row r="80" spans="2:13" x14ac:dyDescent="0.3">
      <c r="B80" s="40"/>
      <c r="C80" s="41"/>
      <c r="D80" s="42"/>
      <c r="E80" s="43"/>
      <c r="F80" s="44"/>
      <c r="G80" s="1"/>
      <c r="H80" s="64"/>
      <c r="I80" s="64"/>
      <c r="J80" s="64"/>
      <c r="K80" s="64"/>
      <c r="L80" s="64">
        <f>SUM(ventas_b_mes8[[#This Row],[IMPORTE NETO]:[EXENTO]])</f>
        <v>0</v>
      </c>
      <c r="M80" s="59"/>
    </row>
    <row r="81" spans="2:13" x14ac:dyDescent="0.3">
      <c r="B81" s="40"/>
      <c r="C81" s="41"/>
      <c r="D81" s="42"/>
      <c r="E81" s="43"/>
      <c r="F81" s="44"/>
      <c r="G81" s="1"/>
      <c r="H81" s="64"/>
      <c r="I81" s="64"/>
      <c r="J81" s="64"/>
      <c r="K81" s="64"/>
      <c r="L81" s="64">
        <f>SUM(ventas_b_mes8[[#This Row],[IMPORTE NETO]:[EXENTO]])</f>
        <v>0</v>
      </c>
      <c r="M81" s="59"/>
    </row>
    <row r="82" spans="2:13" x14ac:dyDescent="0.3">
      <c r="B82" s="40"/>
      <c r="C82" s="41"/>
      <c r="D82" s="42"/>
      <c r="E82" s="43"/>
      <c r="F82" s="44"/>
      <c r="G82" s="1"/>
      <c r="H82" s="64"/>
      <c r="I82" s="64"/>
      <c r="J82" s="64"/>
      <c r="K82" s="64"/>
      <c r="L82" s="64">
        <f>SUM(ventas_b_mes8[[#This Row],[IMPORTE NETO]:[EXENTO]])</f>
        <v>0</v>
      </c>
      <c r="M82" s="59"/>
    </row>
    <row r="83" spans="2:13" x14ac:dyDescent="0.3">
      <c r="B83" s="40"/>
      <c r="C83" s="41"/>
      <c r="D83" s="42"/>
      <c r="E83" s="43"/>
      <c r="F83" s="44"/>
      <c r="G83" s="1"/>
      <c r="H83" s="64"/>
      <c r="I83" s="64"/>
      <c r="J83" s="64"/>
      <c r="K83" s="64"/>
      <c r="L83" s="64">
        <f>SUM(ventas_b_mes8[[#This Row],[IMPORTE NETO]:[EXENTO]])</f>
        <v>0</v>
      </c>
      <c r="M83" s="59"/>
    </row>
    <row r="84" spans="2:13" x14ac:dyDescent="0.3">
      <c r="B84" s="40"/>
      <c r="C84" s="41"/>
      <c r="D84" s="42"/>
      <c r="E84" s="43"/>
      <c r="F84" s="44"/>
      <c r="G84" s="1"/>
      <c r="H84" s="64"/>
      <c r="I84" s="64"/>
      <c r="J84" s="64"/>
      <c r="K84" s="64"/>
      <c r="L84" s="64">
        <f>SUM(ventas_b_mes8[[#This Row],[IMPORTE NETO]:[EXENTO]])</f>
        <v>0</v>
      </c>
      <c r="M84" s="59"/>
    </row>
    <row r="85" spans="2:13" x14ac:dyDescent="0.3">
      <c r="B85" s="66" t="s">
        <v>110</v>
      </c>
      <c r="C85" s="67"/>
      <c r="D85" s="67"/>
      <c r="E85" s="67"/>
      <c r="F85" s="67"/>
      <c r="G85" s="67"/>
      <c r="H85" s="77">
        <f>SUBTOTAL(109,ventas_b_mes8[IMPORTE NETO])</f>
        <v>0</v>
      </c>
      <c r="I85" s="77">
        <f>SUBTOTAL(109,ventas_b_mes8[IVA 21%])</f>
        <v>0</v>
      </c>
      <c r="J85" s="78">
        <f>SUBTOTAL(109,ventas_b_mes8[IVA 10,5%])</f>
        <v>0</v>
      </c>
      <c r="K85" s="78">
        <f>SUBTOTAL(109,ventas_b_mes8[EXENTO])</f>
        <v>0</v>
      </c>
      <c r="L85" s="78">
        <f>SUBTOTAL(109,ventas_b_mes8[TOTAL])</f>
        <v>0</v>
      </c>
      <c r="M85" s="68">
        <f>SUBTOTAL(103,ventas_b_mes8[Provincia])</f>
        <v>0</v>
      </c>
    </row>
    <row r="92" spans="2:13" ht="15" thickBot="1" x14ac:dyDescent="0.35"/>
    <row r="93" spans="2:13" ht="15" thickTop="1" x14ac:dyDescent="0.3">
      <c r="C93" s="433" t="s">
        <v>66</v>
      </c>
      <c r="D93" s="433"/>
      <c r="E93" s="433"/>
      <c r="F93" s="433"/>
      <c r="G93" s="433"/>
      <c r="H93" s="32"/>
      <c r="I93" s="32"/>
      <c r="J93" s="32"/>
    </row>
    <row r="94" spans="2:13" ht="15.6" x14ac:dyDescent="0.3">
      <c r="C94" s="114" t="s">
        <v>67</v>
      </c>
      <c r="D94" s="115" t="s">
        <v>68</v>
      </c>
      <c r="E94" s="115" t="s">
        <v>112</v>
      </c>
      <c r="F94" s="115" t="s">
        <v>3</v>
      </c>
      <c r="G94" s="115" t="s">
        <v>4</v>
      </c>
      <c r="H94" s="116" t="s">
        <v>69</v>
      </c>
      <c r="I94" s="116" t="s">
        <v>70</v>
      </c>
      <c r="J94" s="116" t="s">
        <v>71</v>
      </c>
      <c r="K94" s="116" t="s">
        <v>72</v>
      </c>
      <c r="L94" s="116" t="s">
        <v>73</v>
      </c>
    </row>
    <row r="95" spans="2:13" x14ac:dyDescent="0.3">
      <c r="C95" s="117"/>
      <c r="D95" s="118">
        <v>11694</v>
      </c>
      <c r="E95" s="118"/>
      <c r="F95" s="119"/>
      <c r="G95" s="53" t="str">
        <f>IFERROR(IF(Retenciones_mes8[[#This Row],[CUIT]]="","-",VLOOKUP(Retenciones_mes8[[#This Row],[CUIT]],Lista_CUIT[#All],2,0)),"CUIT NO CARGADO")</f>
        <v>-</v>
      </c>
      <c r="H95" s="120"/>
      <c r="I95" s="120"/>
      <c r="J95" s="120"/>
      <c r="K95" s="120"/>
      <c r="L95" s="120"/>
    </row>
    <row r="96" spans="2:13" x14ac:dyDescent="0.3">
      <c r="C96" s="117"/>
      <c r="D96" s="118">
        <v>11695</v>
      </c>
      <c r="E96" s="118"/>
      <c r="F96" s="119"/>
      <c r="G96" s="53" t="str">
        <f>IFERROR(IF(Retenciones_mes8[[#This Row],[CUIT]]="","-",VLOOKUP(Retenciones_mes8[[#This Row],[CUIT]],Lista_CUIT[#All],2,0)),"CUIT NO CARGADO")</f>
        <v>-</v>
      </c>
      <c r="H96" s="120"/>
      <c r="I96" s="120"/>
      <c r="J96" s="120"/>
      <c r="K96" s="120"/>
      <c r="L96" s="120"/>
    </row>
    <row r="97" spans="3:12" x14ac:dyDescent="0.3">
      <c r="C97" s="117"/>
      <c r="D97" s="118">
        <v>11696</v>
      </c>
      <c r="E97" s="118"/>
      <c r="F97" s="119"/>
      <c r="G97" s="53" t="str">
        <f>IFERROR(IF(Retenciones_mes8[[#This Row],[CUIT]]="","-",VLOOKUP(Retenciones_mes8[[#This Row],[CUIT]],Lista_CUIT[#All],2,0)),"CUIT NO CARGADO")</f>
        <v>-</v>
      </c>
      <c r="H97" s="120"/>
      <c r="I97" s="120"/>
      <c r="J97" s="120"/>
      <c r="K97" s="120"/>
      <c r="L97" s="120"/>
    </row>
    <row r="98" spans="3:12" x14ac:dyDescent="0.3">
      <c r="C98" s="117"/>
      <c r="D98" s="118">
        <v>11697</v>
      </c>
      <c r="E98" s="118"/>
      <c r="F98" s="119"/>
      <c r="G98" s="53" t="str">
        <f>IFERROR(IF(Retenciones_mes8[[#This Row],[CUIT]]="","-",VLOOKUP(Retenciones_mes8[[#This Row],[CUIT]],Lista_CUIT[#All],2,0)),"CUIT NO CARGADO")</f>
        <v>-</v>
      </c>
      <c r="H98" s="120"/>
      <c r="I98" s="120"/>
      <c r="J98" s="120"/>
      <c r="K98" s="120"/>
      <c r="L98" s="120"/>
    </row>
    <row r="99" spans="3:12" x14ac:dyDescent="0.3">
      <c r="D99" s="118">
        <v>11698</v>
      </c>
      <c r="E99" s="118"/>
      <c r="G99" s="53" t="str">
        <f>IFERROR(IF(Retenciones_mes8[[#This Row],[CUIT]]="","-",VLOOKUP(Retenciones_mes8[[#This Row],[CUIT]],Lista_CUIT[#All],2,0)),"CUIT NO CARGADO")</f>
        <v>-</v>
      </c>
    </row>
    <row r="100" spans="3:12" x14ac:dyDescent="0.3">
      <c r="C100" s="33"/>
    </row>
  </sheetData>
  <mergeCells count="20">
    <mergeCell ref="C93:G93"/>
    <mergeCell ref="B4:E4"/>
    <mergeCell ref="G4:H4"/>
    <mergeCell ref="J4:K4"/>
    <mergeCell ref="M4:N4"/>
    <mergeCell ref="D49:K49"/>
    <mergeCell ref="B61:J61"/>
    <mergeCell ref="K61:M61"/>
    <mergeCell ref="B63:C63"/>
    <mergeCell ref="B77:C77"/>
    <mergeCell ref="P4:R4"/>
    <mergeCell ref="D40:L40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79:L84" xr:uid="{00000000-0002-0000-0800-000000000000}">
      <formula1>IF($C79=8,H79&lt;0,H79&gt;=0)</formula1>
    </dataValidation>
    <dataValidation type="custom" allowBlank="1" showInputMessage="1" showErrorMessage="1" sqref="L67:L69" xr:uid="{00000000-0002-0000-0800-000001000000}">
      <formula1>IF($C13=3,L13&lt;0,L13&gt;=0)</formula1>
    </dataValidation>
    <dataValidation type="custom" allowBlank="1" showInputMessage="1" showErrorMessage="1" sqref="L65:L66" xr:uid="{00000000-0002-0000-0800-000002000000}">
      <formula1>IF($C9=3,L9&lt;0,L9&gt;=0)</formula1>
    </dataValidation>
    <dataValidation type="whole" allowBlank="1" showInputMessage="1" showErrorMessage="1" sqref="C79:C84" xr:uid="{00000000-0002-0000-0800-000003000000}">
      <formula1>6</formula1>
      <formula2>8</formula2>
    </dataValidation>
    <dataValidation type="custom" allowBlank="1" showInputMessage="1" showErrorMessage="1" sqref="H65:K65 H67:K67 H69:K69 H71:K71" xr:uid="{00000000-0002-0000-0800-000004000000}">
      <formula1>IF($C65=3,H65&lt;0,H65&gt;=0)</formula1>
    </dataValidation>
    <dataValidation type="whole" allowBlank="1" showInputMessage="1" showErrorMessage="1" sqref="C36:C39 C65:C73 C9:C34" xr:uid="{00000000-0002-0000-0800-000005000000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34" xr:uid="{00000000-0002-0000-0800-000006000000}">
      <formula1>IF($C9=3,H9&lt;0,H9&gt;=0)</formula1>
    </dataValidation>
    <dataValidation type="date" allowBlank="1" showInputMessage="1" showErrorMessage="1" sqref="B9:B34 D42:D44 B65:B73 D51:D57 B36:B39 B79:B84" xr:uid="{00000000-0002-0000-0800-000007000000}">
      <formula1>40179</formula1>
      <formula2>TODAY()</formula2>
    </dataValidation>
    <dataValidation type="whole" allowBlank="1" showInputMessage="1" showErrorMessage="1" sqref="F79:F84 G51:G57 F65:F73 F9:F34" xr:uid="{00000000-0002-0000-0800-000008000000}">
      <formula1>20000000000</formula1>
      <formula2>33999999999</formula2>
    </dataValidation>
    <dataValidation type="whole" allowBlank="1" showInputMessage="1" showErrorMessage="1" sqref="E9:E34 F51:F57 E65:E73 E79:E84" xr:uid="{00000000-0002-0000-0800-000009000000}">
      <formula1>1</formula1>
      <formula2>99999999</formula2>
    </dataValidation>
    <dataValidation type="whole" allowBlank="1" showInputMessage="1" showErrorMessage="1" sqref="D9:D34 E51:E57 D65:D73 D79:D84" xr:uid="{00000000-0002-0000-0800-00000A000000}">
      <formula1>1</formula1>
      <formula2>9999</formula2>
    </dataValidation>
    <dataValidation type="custom" allowBlank="1" showInputMessage="1" showErrorMessage="1" sqref="L70:L71" xr:uid="{00000000-0002-0000-0800-00000B000000}">
      <formula1>IF($C35=3,L35&lt;0,L35&gt;=0)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>
    <tabColor theme="9" tint="0.79998168889431442"/>
  </sheetPr>
  <dimension ref="A1:Z120"/>
  <sheetViews>
    <sheetView showGridLines="0" topLeftCell="F10" zoomScale="85" zoomScaleNormal="85" workbookViewId="0">
      <selection activeCell="Q38" sqref="Q38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8.33203125" bestFit="1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2.6640625" customWidth="1"/>
    <col min="18" max="18" width="14.33203125" customWidth="1"/>
    <col min="19" max="19" width="10.441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EDATE('Abr-23'!N1,6)</f>
        <v>45200</v>
      </c>
      <c r="O1" s="423"/>
      <c r="P1" s="423"/>
      <c r="Q1" s="423"/>
      <c r="R1" s="423"/>
    </row>
    <row r="2" spans="1:26" ht="15" customHeight="1" x14ac:dyDescent="0.3"/>
    <row r="3" spans="1:26" ht="26.4" customHeight="1" x14ac:dyDescent="0.3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2" customHeight="1" x14ac:dyDescent="0.4">
      <c r="B4" s="428">
        <f>SUM(compras_mes7[[#Totals],[NETO GRAVADO]])+extracto_banco_mes7[[#Totals],[NETO]]</f>
        <v>7292881.664499999</v>
      </c>
      <c r="C4" s="428"/>
      <c r="D4" s="428"/>
      <c r="E4" s="428"/>
      <c r="F4" s="39"/>
      <c r="G4" s="429">
        <f>compras_mes7[[#Totals],[IVA 21 %]]+compras_mes7[[#Totals],[IVA 27%]]+compras_mes7[[#Totals],[IVA 10,5%]]+extracto_banco_mes7[[#Totals],[IVA 21%]]+extracto_banco_mes7[[#Totals],[IVA 10,5%]]</f>
        <v>1508236.6991999997</v>
      </c>
      <c r="H4" s="429"/>
      <c r="I4" s="39"/>
      <c r="J4" s="416">
        <f>venta_a_mes7[[#Totals],[IMPORTE NETO]]+ventas_b_mes7[[#Totals],[IMPORTE NETO]]</f>
        <v>24555299.559999999</v>
      </c>
      <c r="K4" s="416"/>
      <c r="L4" s="39"/>
      <c r="M4" s="416">
        <f>venta_a_mes7[[#Totals],[IVA 21%]]+venta_a_mes7[[#Totals],[IVA 10,5%]]+ventas_b_mes7[[#Totals],[IVA 21%]]+ventas_b_mes7[[#Totals],[IVA 10,5%]]</f>
        <v>2940785.7711</v>
      </c>
      <c r="N4" s="416"/>
      <c r="O4" s="39"/>
      <c r="P4" s="431">
        <f>G4-M4</f>
        <v>-1432549.0719000003</v>
      </c>
      <c r="Q4" s="432"/>
      <c r="R4" s="432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89"/>
      <c r="C9" s="90"/>
      <c r="D9" s="91"/>
      <c r="E9" s="92"/>
      <c r="F9" s="93"/>
      <c r="G9" s="94" t="str">
        <f>IFERROR(IF(compras_mes7[[#This Row],[CUIT]]="","-",VLOOKUP(compras_mes7[[#This Row],[CUIT]],Lista_CUIT[#All],2,0)),"CUIT NO CARGADO")</f>
        <v>-</v>
      </c>
      <c r="H9" s="95"/>
      <c r="I9" s="86" t="str">
        <f>IF(compras_mes7[[#This Row],[NETO GRAVADO]]="","",compras_mes7[[#This Row],[NETO GRAVADO]]*0.21)</f>
        <v/>
      </c>
      <c r="J9" s="86"/>
      <c r="K9" s="86"/>
      <c r="L9" s="86"/>
      <c r="M9" s="86"/>
      <c r="N9" s="86"/>
      <c r="O9" s="86"/>
      <c r="P9" s="87">
        <f>SUM(compras_mes7[[#This Row],[NETO GRAVADO]:[Otros / No Grav.]])</f>
        <v>0</v>
      </c>
      <c r="Q9" s="88" t="str">
        <f>IFERROR(IF(compras_mes7[[#This Row],[CUIT]]="","-",VLOOKUP(compras_mes7[[#This Row],[CUIT]],Lista_CUIT[#All],3,0)),"CUIT NO CARGADO")</f>
        <v>-</v>
      </c>
      <c r="R9" s="88" t="str">
        <f>IFERROR(IF(compras_mes7[[#This Row],[CUIT]]="","-",VLOOKUP(compras_mes7[[#This Row],[CUIT]],Lista_CUIT[#All],4,0)),"CUIT NO CARGADO")</f>
        <v>-</v>
      </c>
    </row>
    <row r="10" spans="1:26" x14ac:dyDescent="0.3">
      <c r="B10" s="89">
        <v>45210</v>
      </c>
      <c r="C10" s="90">
        <v>1</v>
      </c>
      <c r="D10" s="91">
        <v>42</v>
      </c>
      <c r="E10" s="92">
        <v>591</v>
      </c>
      <c r="F10" s="93">
        <v>30520201048</v>
      </c>
      <c r="G10" s="94" t="str">
        <f>IFERROR(IF(compras_mes7[[#This Row],[CUIT]]="","-",VLOOKUP(compras_mes7[[#This Row],[CUIT]],Lista_CUIT[#All],2,0)),"CUIT NO CARGADO")</f>
        <v>ASENSIO E HIJO Y PULLEY SOCIEDAD DE RESP</v>
      </c>
      <c r="H10" s="95">
        <v>6183.89</v>
      </c>
      <c r="I10" s="86">
        <f>IF(compras_mes7[[#This Row],[NETO GRAVADO]]="","",compras_mes7[[#This Row],[NETO GRAVADO]]*0.21)</f>
        <v>1298.6169</v>
      </c>
      <c r="J10" s="86"/>
      <c r="K10" s="86"/>
      <c r="L10" s="86"/>
      <c r="M10" s="86"/>
      <c r="N10" s="86"/>
      <c r="O10" s="86">
        <v>271.49</v>
      </c>
      <c r="P10" s="87">
        <f>SUM(compras_mes7[[#This Row],[NETO GRAVADO]:[Otros / No Grav.]])</f>
        <v>7753.9969000000001</v>
      </c>
      <c r="Q10" s="49" t="s">
        <v>1420</v>
      </c>
      <c r="R10" s="88">
        <f>IFERROR(IF(compras_mes7[[#This Row],[CUIT]]="","-",VLOOKUP(compras_mes7[[#This Row],[CUIT]],Lista_CUIT[#All],4,0)),"CUIT NO CARGADO")</f>
        <v>0</v>
      </c>
    </row>
    <row r="11" spans="1:26" x14ac:dyDescent="0.3">
      <c r="B11" s="89">
        <v>45210</v>
      </c>
      <c r="C11" s="90">
        <v>1</v>
      </c>
      <c r="D11" s="91">
        <v>42</v>
      </c>
      <c r="E11" s="92">
        <v>592</v>
      </c>
      <c r="F11" s="93">
        <v>30520201048</v>
      </c>
      <c r="G11" s="94" t="str">
        <f>IFERROR(IF(compras_mes7[[#This Row],[CUIT]]="","-",VLOOKUP(compras_mes7[[#This Row],[CUIT]],Lista_CUIT[#All],2,0)),"CUIT NO CARGADO")</f>
        <v>ASENSIO E HIJO Y PULLEY SOCIEDAD DE RESP</v>
      </c>
      <c r="H11" s="95">
        <v>950.41</v>
      </c>
      <c r="I11" s="86">
        <f>IF(compras_mes7[[#This Row],[NETO GRAVADO]]="","",compras_mes7[[#This Row],[NETO GRAVADO]]*0.21)</f>
        <v>199.58609999999999</v>
      </c>
      <c r="J11" s="86"/>
      <c r="K11" s="86"/>
      <c r="L11" s="86"/>
      <c r="M11" s="86"/>
      <c r="N11" s="86"/>
      <c r="O11" s="86"/>
      <c r="P11" s="87">
        <f>SUM(compras_mes7[[#This Row],[NETO GRAVADO]:[Otros / No Grav.]])</f>
        <v>1149.9960999999998</v>
      </c>
      <c r="Q11" s="49" t="s">
        <v>1420</v>
      </c>
      <c r="R11" s="88">
        <f>IFERROR(IF(compras_mes7[[#This Row],[CUIT]]="","-",VLOOKUP(compras_mes7[[#This Row],[CUIT]],Lista_CUIT[#All],4,0)),"CUIT NO CARGADO")</f>
        <v>0</v>
      </c>
    </row>
    <row r="12" spans="1:26" x14ac:dyDescent="0.3">
      <c r="B12" s="325">
        <v>45206</v>
      </c>
      <c r="C12" s="326">
        <v>1</v>
      </c>
      <c r="D12" s="327">
        <v>5</v>
      </c>
      <c r="E12" s="328">
        <v>25564</v>
      </c>
      <c r="F12" s="329">
        <v>20282837472</v>
      </c>
      <c r="G12" s="330" t="str">
        <f>IFERROR(IF(compras_mes7[[#This Row],[CUIT]]="","-",VLOOKUP(compras_mes7[[#This Row],[CUIT]],Lista_CUIT[#All],2,0)),"CUIT NO CARGADO")</f>
        <v>GONZALEZ MATIAS LIONEL</v>
      </c>
      <c r="H12" s="331">
        <v>20209.09</v>
      </c>
      <c r="I12" s="332">
        <f>IF(compras_mes7[[#This Row],[NETO GRAVADO]]="","",compras_mes7[[#This Row],[NETO GRAVADO]]*0.21)</f>
        <v>4243.9088999999994</v>
      </c>
      <c r="J12" s="332"/>
      <c r="K12" s="332"/>
      <c r="L12" s="332"/>
      <c r="M12" s="332"/>
      <c r="N12" s="332"/>
      <c r="O12" s="332"/>
      <c r="P12" s="333">
        <f>SUM(compras_mes7[[#This Row],[NETO GRAVADO]:[Otros / No Grav.]])</f>
        <v>24452.998899999999</v>
      </c>
      <c r="Q12" s="49" t="s">
        <v>76</v>
      </c>
      <c r="R12" s="334">
        <f>IFERROR(IF(compras_mes7[[#This Row],[CUIT]]="","-",VLOOKUP(compras_mes7[[#This Row],[CUIT]],Lista_CUIT[#All],4,0)),"CUIT NO CARGADO")</f>
        <v>0</v>
      </c>
    </row>
    <row r="13" spans="1:26" x14ac:dyDescent="0.3">
      <c r="B13" s="325">
        <v>45203</v>
      </c>
      <c r="C13" s="326">
        <v>1</v>
      </c>
      <c r="D13" s="327">
        <v>5</v>
      </c>
      <c r="E13" s="328">
        <v>6837</v>
      </c>
      <c r="F13" s="329">
        <v>27066610018</v>
      </c>
      <c r="G13" s="330" t="str">
        <f>IFERROR(IF(compras_mes7[[#This Row],[CUIT]]="","-",VLOOKUP(compras_mes7[[#This Row],[CUIT]],Lista_CUIT[#All],2,0)),"CUIT NO CARGADO")</f>
        <v>FRACCHIA GRACIELA LILIANA</v>
      </c>
      <c r="H13" s="331">
        <v>16681.82</v>
      </c>
      <c r="I13" s="332">
        <f>IF(compras_mes7[[#This Row],[NETO GRAVADO]]="","",compras_mes7[[#This Row],[NETO GRAVADO]]*0.21)</f>
        <v>3503.1821999999997</v>
      </c>
      <c r="J13" s="332"/>
      <c r="K13" s="332"/>
      <c r="L13" s="332"/>
      <c r="M13" s="332"/>
      <c r="N13" s="332"/>
      <c r="O13" s="332"/>
      <c r="P13" s="333">
        <f>SUM(compras_mes7[[#This Row],[NETO GRAVADO]:[Otros / No Grav.]])</f>
        <v>20185.002199999999</v>
      </c>
      <c r="Q13" s="49" t="s">
        <v>79</v>
      </c>
      <c r="R13" s="334">
        <f>IFERROR(IF(compras_mes7[[#This Row],[CUIT]]="","-",VLOOKUP(compras_mes7[[#This Row],[CUIT]],Lista_CUIT[#All],4,0)),"CUIT NO CARGADO")</f>
        <v>0</v>
      </c>
    </row>
    <row r="14" spans="1:26" x14ac:dyDescent="0.3">
      <c r="B14" s="335">
        <v>45222</v>
      </c>
      <c r="C14" s="208">
        <v>1</v>
      </c>
      <c r="D14" s="336">
        <v>1</v>
      </c>
      <c r="E14" s="337">
        <v>663</v>
      </c>
      <c r="F14" s="338">
        <v>27948597298</v>
      </c>
      <c r="G14" s="339" t="str">
        <f>IFERROR(IF(compras_mes7[[#This Row],[CUIT]]="","-",VLOOKUP(compras_mes7[[#This Row],[CUIT]],Lista_CUIT[#All],2,0)),"CUIT NO CARGADO")</f>
        <v>MORINIGO ESTELA MERCEDE</v>
      </c>
      <c r="H14" s="340">
        <v>2644.62</v>
      </c>
      <c r="I14" s="341">
        <f>IF(compras_mes7[[#This Row],[NETO GRAVADO]]="","",compras_mes7[[#This Row],[NETO GRAVADO]]*0.21)</f>
        <v>555.37019999999995</v>
      </c>
      <c r="J14" s="341"/>
      <c r="K14" s="341"/>
      <c r="L14" s="341"/>
      <c r="M14" s="341"/>
      <c r="N14" s="341"/>
      <c r="O14" s="341"/>
      <c r="P14" s="333">
        <f>SUM(compras_mes7[[#This Row],[NETO GRAVADO]:[Otros / No Grav.]])</f>
        <v>3199.9901999999997</v>
      </c>
      <c r="Q14" s="49" t="s">
        <v>79</v>
      </c>
      <c r="R14" s="334">
        <f>IFERROR(IF(compras_mes7[[#This Row],[CUIT]]="","-",VLOOKUP(compras_mes7[[#This Row],[CUIT]],Lista_CUIT[#All],4,0)),"CUIT NO CARGADO")</f>
        <v>0</v>
      </c>
    </row>
    <row r="15" spans="1:26" x14ac:dyDescent="0.3">
      <c r="B15" s="325">
        <v>45225</v>
      </c>
      <c r="C15" s="326">
        <v>1</v>
      </c>
      <c r="D15" s="327">
        <v>40</v>
      </c>
      <c r="E15" s="328">
        <v>2478657</v>
      </c>
      <c r="F15" s="329">
        <v>30710964277</v>
      </c>
      <c r="G15" s="330" t="str">
        <f>IFERROR(IF(compras_mes7[[#This Row],[CUIT]]="","-",VLOOKUP(compras_mes7[[#This Row],[CUIT]],Lista_CUIT[#All],2,0)),"CUIT NO CARGADO")</f>
        <v>LAKAUT S.A.</v>
      </c>
      <c r="H15" s="331">
        <v>8104.82</v>
      </c>
      <c r="I15" s="332">
        <f>IF(compras_mes7[[#This Row],[NETO GRAVADO]]="","",compras_mes7[[#This Row],[NETO GRAVADO]]*0.21)</f>
        <v>1702.0121999999999</v>
      </c>
      <c r="J15" s="332"/>
      <c r="K15" s="332"/>
      <c r="L15" s="332"/>
      <c r="M15" s="332"/>
      <c r="N15" s="332"/>
      <c r="O15" s="332"/>
      <c r="P15" s="333">
        <f>SUM(compras_mes7[[#This Row],[NETO GRAVADO]:[Otros / No Grav.]])</f>
        <v>9806.8321999999989</v>
      </c>
      <c r="Q15" s="49" t="s">
        <v>79</v>
      </c>
      <c r="R15" s="334">
        <f>IFERROR(IF(compras_mes7[[#This Row],[CUIT]]="","-",VLOOKUP(compras_mes7[[#This Row],[CUIT]],Lista_CUIT[#All],4,0)),"CUIT NO CARGADO")</f>
        <v>0</v>
      </c>
    </row>
    <row r="16" spans="1:26" x14ac:dyDescent="0.3">
      <c r="B16" s="325">
        <v>45200</v>
      </c>
      <c r="C16" s="326">
        <v>1</v>
      </c>
      <c r="D16" s="327">
        <v>3</v>
      </c>
      <c r="E16" s="328">
        <v>687</v>
      </c>
      <c r="F16" s="329">
        <v>30715402765</v>
      </c>
      <c r="G16" s="330" t="str">
        <f>IFERROR(IF(compras_mes7[[#This Row],[CUIT]]="","-",VLOOKUP(compras_mes7[[#This Row],[CUIT]],Lista_CUIT[#All],2,0)),"CUIT NO CARGADO")</f>
        <v>RIO 265 S.R.L.</v>
      </c>
      <c r="H16" s="331">
        <v>20247.95</v>
      </c>
      <c r="I16" s="332">
        <f>IF(compras_mes7[[#This Row],[NETO GRAVADO]]="","",compras_mes7[[#This Row],[NETO GRAVADO]]*0.21)</f>
        <v>4252.0694999999996</v>
      </c>
      <c r="J16" s="332"/>
      <c r="K16" s="332"/>
      <c r="L16" s="332"/>
      <c r="M16" s="332"/>
      <c r="N16" s="332"/>
      <c r="O16" s="332"/>
      <c r="P16" s="333">
        <f>SUM(compras_mes7[[#This Row],[NETO GRAVADO]:[Otros / No Grav.]])</f>
        <v>24500.019500000002</v>
      </c>
      <c r="Q16" s="334" t="str">
        <f>IFERROR(IF(compras_mes7[[#This Row],[CUIT]]="","-",VLOOKUP(compras_mes7[[#This Row],[CUIT]],Lista_CUIT[#All],3,0)),"CUIT NO CARGADO")</f>
        <v>Gastos Varios</v>
      </c>
      <c r="R16" s="334">
        <f>IFERROR(IF(compras_mes7[[#This Row],[CUIT]]="","-",VLOOKUP(compras_mes7[[#This Row],[CUIT]],Lista_CUIT[#All],4,0)),"CUIT NO CARGADO")</f>
        <v>0</v>
      </c>
    </row>
    <row r="17" spans="2:18" x14ac:dyDescent="0.3">
      <c r="B17" s="335">
        <v>45219</v>
      </c>
      <c r="C17" s="208">
        <v>1</v>
      </c>
      <c r="D17" s="336">
        <v>3</v>
      </c>
      <c r="E17" s="337">
        <v>1689929</v>
      </c>
      <c r="F17" s="338">
        <v>30712019359</v>
      </c>
      <c r="G17" s="339" t="str">
        <f>IFERROR(IF(compras_mes7[[#This Row],[CUIT]]="","-",VLOOKUP(compras_mes7[[#This Row],[CUIT]],Lista_CUIT[#All],2,0)),"CUIT NO CARGADO")</f>
        <v>LINKEDSTORE ARGENTINA S.R.L.</v>
      </c>
      <c r="H17" s="340">
        <v>11156.2</v>
      </c>
      <c r="I17" s="341">
        <f>IF(compras_mes7[[#This Row],[NETO GRAVADO]]="","",compras_mes7[[#This Row],[NETO GRAVADO]]*0.21)</f>
        <v>2342.8020000000001</v>
      </c>
      <c r="J17" s="341"/>
      <c r="K17" s="341"/>
      <c r="L17" s="341"/>
      <c r="M17" s="341"/>
      <c r="N17" s="341"/>
      <c r="O17" s="341"/>
      <c r="P17" s="333">
        <f>SUM(compras_mes7[[#This Row],[NETO GRAVADO]:[Otros / No Grav.]])</f>
        <v>13499.002</v>
      </c>
      <c r="Q17" s="334" t="str">
        <f>IFERROR(IF(compras_mes7[[#This Row],[CUIT]]="","-",VLOOKUP(compras_mes7[[#This Row],[CUIT]],Lista_CUIT[#All],3,0)),"CUIT NO CARGADO")</f>
        <v>Gastos Varios</v>
      </c>
      <c r="R17" s="334">
        <f>IFERROR(IF(compras_mes7[[#This Row],[CUIT]]="","-",VLOOKUP(compras_mes7[[#This Row],[CUIT]],Lista_CUIT[#All],4,0)),"CUIT NO CARGADO")</f>
        <v>0</v>
      </c>
    </row>
    <row r="18" spans="2:18" x14ac:dyDescent="0.3">
      <c r="B18" s="325">
        <v>45223</v>
      </c>
      <c r="C18" s="326">
        <v>1</v>
      </c>
      <c r="D18" s="327">
        <v>440</v>
      </c>
      <c r="E18" s="328">
        <v>1946432</v>
      </c>
      <c r="F18" s="329">
        <v>30696170580</v>
      </c>
      <c r="G18" s="330" t="str">
        <f>IFERROR(IF(compras_mes7[[#This Row],[CUIT]]="","-",VLOOKUP(compras_mes7[[#This Row],[CUIT]],Lista_CUIT[#All],2,0)),"CUIT NO CARGADO")</f>
        <v>AEROPUERTOS ARGENTINA 2000 S A</v>
      </c>
      <c r="H18" s="331">
        <v>241463.94</v>
      </c>
      <c r="I18" s="332">
        <f>IF(compras_mes7[[#This Row],[NETO GRAVADO]]="","",compras_mes7[[#This Row],[NETO GRAVADO]]*0.21)</f>
        <v>50707.4274</v>
      </c>
      <c r="J18" s="332"/>
      <c r="K18" s="332"/>
      <c r="L18" s="332"/>
      <c r="M18" s="332"/>
      <c r="N18" s="332">
        <v>19317.12</v>
      </c>
      <c r="O18" s="332"/>
      <c r="P18" s="333">
        <f>SUM(compras_mes7[[#This Row],[NETO GRAVADO]:[Otros / No Grav.]])</f>
        <v>311488.48739999998</v>
      </c>
      <c r="Q18" s="49" t="s">
        <v>1419</v>
      </c>
      <c r="R18" s="334">
        <f>IFERROR(IF(compras_mes7[[#This Row],[CUIT]]="","-",VLOOKUP(compras_mes7[[#This Row],[CUIT]],Lista_CUIT[#All],4,0)),"CUIT NO CARGADO")</f>
        <v>0</v>
      </c>
    </row>
    <row r="19" spans="2:18" x14ac:dyDescent="0.3">
      <c r="B19" s="325">
        <v>45208</v>
      </c>
      <c r="C19" s="326">
        <v>1</v>
      </c>
      <c r="D19" s="327">
        <v>700</v>
      </c>
      <c r="E19" s="328">
        <v>578677</v>
      </c>
      <c r="F19" s="329">
        <v>30580111315</v>
      </c>
      <c r="G19" s="330" t="str">
        <f>IFERROR(IF(compras_mes7[[#This Row],[CUIT]]="","-",VLOOKUP(compras_mes7[[#This Row],[CUIT]],Lista_CUIT[#All],2,0)),"CUIT NO CARGADO")</f>
        <v>DHL EXPRESS (ARGENTINA) S.A.</v>
      </c>
      <c r="H19" s="331">
        <v>5117</v>
      </c>
      <c r="I19" s="332">
        <f>IF(compras_mes7[[#This Row],[NETO GRAVADO]]="","",compras_mes7[[#This Row],[NETO GRAVADO]]*0.21)</f>
        <v>1074.57</v>
      </c>
      <c r="J19" s="332"/>
      <c r="K19" s="332"/>
      <c r="L19" s="332"/>
      <c r="M19" s="332"/>
      <c r="N19" s="332"/>
      <c r="O19" s="332">
        <v>152227.095</v>
      </c>
      <c r="P19" s="333">
        <f>SUM(compras_mes7[[#This Row],[NETO GRAVADO]:[Otros / No Grav.]])</f>
        <v>158418.66500000001</v>
      </c>
      <c r="Q19" s="334" t="str">
        <f>IFERROR(IF(compras_mes7[[#This Row],[CUIT]]="","-",VLOOKUP(compras_mes7[[#This Row],[CUIT]],Lista_CUIT[#All],3,0)),"CUIT NO CARGADO")</f>
        <v>Gtos. Imp.</v>
      </c>
      <c r="R19" s="334">
        <f>IFERROR(IF(compras_mes7[[#This Row],[CUIT]]="","-",VLOOKUP(compras_mes7[[#This Row],[CUIT]],Lista_CUIT[#All],4,0)),"CUIT NO CARGADO")</f>
        <v>0</v>
      </c>
    </row>
    <row r="20" spans="2:18" x14ac:dyDescent="0.3">
      <c r="B20" s="325">
        <v>45208</v>
      </c>
      <c r="C20" s="326">
        <v>1</v>
      </c>
      <c r="D20" s="327">
        <v>106</v>
      </c>
      <c r="E20" s="328">
        <v>675411</v>
      </c>
      <c r="F20" s="329">
        <v>30594494187</v>
      </c>
      <c r="G20" s="330" t="str">
        <f>IFERROR(IF(compras_mes7[[#This Row],[CUIT]]="","-",VLOOKUP(compras_mes7[[#This Row],[CUIT]],Lista_CUIT[#All],2,0)),"CUIT NO CARGADO")</f>
        <v>FEDERAL EXPRESS CORPORATION</v>
      </c>
      <c r="H20" s="331">
        <v>62158</v>
      </c>
      <c r="I20" s="332">
        <f>IF(compras_mes7[[#This Row],[NETO GRAVADO]]="","",compras_mes7[[#This Row],[NETO GRAVADO]]*0.21)</f>
        <v>13053.18</v>
      </c>
      <c r="J20" s="332"/>
      <c r="K20" s="332"/>
      <c r="L20" s="332"/>
      <c r="M20" s="332"/>
      <c r="N20" s="332"/>
      <c r="O20" s="332">
        <v>3653</v>
      </c>
      <c r="P20" s="333">
        <f>SUM(compras_mes7[[#This Row],[NETO GRAVADO]:[Otros / No Grav.]])</f>
        <v>78864.179999999993</v>
      </c>
      <c r="Q20" s="334" t="str">
        <f>IFERROR(IF(compras_mes7[[#This Row],[CUIT]]="","-",VLOOKUP(compras_mes7[[#This Row],[CUIT]],Lista_CUIT[#All],3,0)),"CUIT NO CARGADO")</f>
        <v>Gtos. Imp.</v>
      </c>
      <c r="R20" s="334">
        <f>IFERROR(IF(compras_mes7[[#This Row],[CUIT]]="","-",VLOOKUP(compras_mes7[[#This Row],[CUIT]],Lista_CUIT[#All],4,0)),"CUIT NO CARGADO")</f>
        <v>0</v>
      </c>
    </row>
    <row r="21" spans="2:18" x14ac:dyDescent="0.3">
      <c r="B21" s="335">
        <v>45210</v>
      </c>
      <c r="C21" s="208">
        <v>1</v>
      </c>
      <c r="D21" s="336">
        <v>122</v>
      </c>
      <c r="E21" s="337">
        <v>290372</v>
      </c>
      <c r="F21" s="338">
        <v>30594494187</v>
      </c>
      <c r="G21" s="339" t="str">
        <f>IFERROR(IF(compras_mes7[[#This Row],[CUIT]]="","-",VLOOKUP(compras_mes7[[#This Row],[CUIT]],Lista_CUIT[#All],2,0)),"CUIT NO CARGADO")</f>
        <v>FEDERAL EXPRESS CORPORATION</v>
      </c>
      <c r="H21" s="340">
        <v>29408.400000000001</v>
      </c>
      <c r="I21" s="341">
        <f>IF(compras_mes7[[#This Row],[NETO GRAVADO]]="","",compras_mes7[[#This Row],[NETO GRAVADO]]*0.21)</f>
        <v>6175.7640000000001</v>
      </c>
      <c r="J21" s="341"/>
      <c r="K21" s="341"/>
      <c r="L21" s="341"/>
      <c r="M21" s="341"/>
      <c r="N21" s="341"/>
      <c r="O21" s="341">
        <v>153851.44</v>
      </c>
      <c r="P21" s="333">
        <f>SUM(compras_mes7[[#This Row],[NETO GRAVADO]:[Otros / No Grav.]])</f>
        <v>189435.60399999999</v>
      </c>
      <c r="Q21" s="334" t="str">
        <f>IFERROR(IF(compras_mes7[[#This Row],[CUIT]]="","-",VLOOKUP(compras_mes7[[#This Row],[CUIT]],Lista_CUIT[#All],3,0)),"CUIT NO CARGADO")</f>
        <v>Gtos. Imp.</v>
      </c>
      <c r="R21" s="334">
        <f>IFERROR(IF(compras_mes7[[#This Row],[CUIT]]="","-",VLOOKUP(compras_mes7[[#This Row],[CUIT]],Lista_CUIT[#All],4,0)),"CUIT NO CARGADO")</f>
        <v>0</v>
      </c>
    </row>
    <row r="22" spans="2:18" x14ac:dyDescent="0.3">
      <c r="B22" s="275">
        <v>45211</v>
      </c>
      <c r="C22" s="208">
        <v>3</v>
      </c>
      <c r="D22" s="276">
        <v>122</v>
      </c>
      <c r="E22" s="277">
        <v>50638</v>
      </c>
      <c r="F22" s="278">
        <v>30594494187</v>
      </c>
      <c r="G22" s="279" t="str">
        <f>IFERROR(IF(compras_mes7[[#This Row],[CUIT]]="","-",VLOOKUP(compras_mes7[[#This Row],[CUIT]],Lista_CUIT[#All],2,0)),"CUIT NO CARGADO")</f>
        <v>FEDERAL EXPRESS CORPORATION</v>
      </c>
      <c r="H22" s="280">
        <v>-29408.400000000001</v>
      </c>
      <c r="I22" s="281">
        <f>IF(compras_mes7[[#This Row],[NETO GRAVADO]]="","",compras_mes7[[#This Row],[NETO GRAVADO]]*0.21)</f>
        <v>-6175.7640000000001</v>
      </c>
      <c r="J22" s="281"/>
      <c r="K22" s="281"/>
      <c r="L22" s="281"/>
      <c r="M22" s="281"/>
      <c r="N22" s="281"/>
      <c r="O22" s="281">
        <v>-153851.44</v>
      </c>
      <c r="P22" s="48">
        <f>SUM(compras_mes7[[#This Row],[NETO GRAVADO]:[Otros / No Grav.]])</f>
        <v>-189435.60399999999</v>
      </c>
      <c r="Q22" s="49" t="str">
        <f>IFERROR(IF(compras_mes7[[#This Row],[CUIT]]="","-",VLOOKUP(compras_mes7[[#This Row],[CUIT]],Lista_CUIT[#All],3,0)),"CUIT NO CARGADO")</f>
        <v>Gtos. Imp.</v>
      </c>
      <c r="R22" s="49">
        <f>IFERROR(IF(compras_mes7[[#This Row],[CUIT]]="","-",VLOOKUP(compras_mes7[[#This Row],[CUIT]],Lista_CUIT[#All],4,0)),"CUIT NO CARGADO")</f>
        <v>0</v>
      </c>
    </row>
    <row r="23" spans="2:18" x14ac:dyDescent="0.3">
      <c r="B23" s="325">
        <v>45216</v>
      </c>
      <c r="C23" s="326">
        <v>1</v>
      </c>
      <c r="D23" s="327">
        <v>106</v>
      </c>
      <c r="E23" s="328">
        <v>677582</v>
      </c>
      <c r="F23" s="329">
        <v>30594494187</v>
      </c>
      <c r="G23" s="330" t="str">
        <f>IFERROR(IF(compras_mes7[[#This Row],[CUIT]]="","-",VLOOKUP(compras_mes7[[#This Row],[CUIT]],Lista_CUIT[#All],2,0)),"CUIT NO CARGADO")</f>
        <v>FEDERAL EXPRESS CORPORATION</v>
      </c>
      <c r="H23" s="331">
        <v>0</v>
      </c>
      <c r="I23" s="332">
        <f>IF(compras_mes7[[#This Row],[NETO GRAVADO]]="","",compras_mes7[[#This Row],[NETO GRAVADO]]*0.21)</f>
        <v>0</v>
      </c>
      <c r="J23" s="332"/>
      <c r="K23" s="332"/>
      <c r="L23" s="332"/>
      <c r="M23" s="332"/>
      <c r="N23" s="332"/>
      <c r="O23" s="332">
        <v>545044.56999999995</v>
      </c>
      <c r="P23" s="333">
        <f>SUM(compras_mes7[[#This Row],[NETO GRAVADO]:[Otros / No Grav.]])</f>
        <v>545044.56999999995</v>
      </c>
      <c r="Q23" s="334" t="str">
        <f>IFERROR(IF(compras_mes7[[#This Row],[CUIT]]="","-",VLOOKUP(compras_mes7[[#This Row],[CUIT]],Lista_CUIT[#All],3,0)),"CUIT NO CARGADO")</f>
        <v>Gtos. Imp.</v>
      </c>
      <c r="R23" s="334">
        <f>IFERROR(IF(compras_mes7[[#This Row],[CUIT]]="","-",VLOOKUP(compras_mes7[[#This Row],[CUIT]],Lista_CUIT[#All],4,0)),"CUIT NO CARGADO")</f>
        <v>0</v>
      </c>
    </row>
    <row r="24" spans="2:18" x14ac:dyDescent="0.3">
      <c r="B24" s="325">
        <v>45216</v>
      </c>
      <c r="C24" s="41">
        <v>1</v>
      </c>
      <c r="D24" s="327">
        <v>106</v>
      </c>
      <c r="E24" s="328">
        <v>678019</v>
      </c>
      <c r="F24" s="329">
        <v>30594494187</v>
      </c>
      <c r="G24" s="330" t="str">
        <f>IFERROR(IF(compras_mes7[[#This Row],[CUIT]]="","-",VLOOKUP(compras_mes7[[#This Row],[CUIT]],Lista_CUIT[#All],2,0)),"CUIT NO CARGADO")</f>
        <v>FEDERAL EXPRESS CORPORATION</v>
      </c>
      <c r="H24" s="331">
        <v>30702</v>
      </c>
      <c r="I24" s="332">
        <f>IF(compras_mes7[[#This Row],[NETO GRAVADO]]="","",compras_mes7[[#This Row],[NETO GRAVADO]]*0.21)</f>
        <v>6447.42</v>
      </c>
      <c r="J24" s="332"/>
      <c r="K24" s="332"/>
      <c r="L24" s="332"/>
      <c r="M24" s="332"/>
      <c r="N24" s="332"/>
      <c r="O24" s="332">
        <v>153851.44</v>
      </c>
      <c r="P24" s="333">
        <f>SUM(compras_mes7[[#This Row],[NETO GRAVADO]:[Otros / No Grav.]])</f>
        <v>191000.86</v>
      </c>
      <c r="Q24" s="334" t="str">
        <f>IFERROR(IF(compras_mes7[[#This Row],[CUIT]]="","-",VLOOKUP(compras_mes7[[#This Row],[CUIT]],Lista_CUIT[#All],3,0)),"CUIT NO CARGADO")</f>
        <v>Gtos. Imp.</v>
      </c>
      <c r="R24" s="334">
        <f>IFERROR(IF(compras_mes7[[#This Row],[CUIT]]="","-",VLOOKUP(compras_mes7[[#This Row],[CUIT]],Lista_CUIT[#All],4,0)),"CUIT NO CARGADO")</f>
        <v>0</v>
      </c>
    </row>
    <row r="25" spans="2:18" x14ac:dyDescent="0.3">
      <c r="B25" s="89">
        <v>45220</v>
      </c>
      <c r="C25" s="90">
        <v>1</v>
      </c>
      <c r="D25" s="91">
        <v>280</v>
      </c>
      <c r="E25" s="92">
        <v>1462574</v>
      </c>
      <c r="F25" s="93">
        <v>30580111315</v>
      </c>
      <c r="G25" s="94" t="str">
        <f>IFERROR(IF(compras_mes7[[#This Row],[CUIT]]="","-",VLOOKUP(compras_mes7[[#This Row],[CUIT]],Lista_CUIT[#All],2,0)),"CUIT NO CARGADO")</f>
        <v>DHL EXPRESS (ARGENTINA) S.A.</v>
      </c>
      <c r="H25" s="95">
        <v>347328.87449999998</v>
      </c>
      <c r="I25" s="86">
        <v>68362.732499999998</v>
      </c>
      <c r="J25" s="86"/>
      <c r="K25" s="86">
        <v>2285.1734999999999</v>
      </c>
      <c r="L25" s="86"/>
      <c r="M25" s="86"/>
      <c r="N25" s="86"/>
      <c r="O25" s="86">
        <v>-280173.46950000001</v>
      </c>
      <c r="P25" s="87">
        <f>SUM(compras_mes7[[#This Row],[NETO GRAVADO]:[Otros / No Grav.]])</f>
        <v>137803.31099999993</v>
      </c>
      <c r="Q25" s="88" t="str">
        <f>IFERROR(IF(compras_mes7[[#This Row],[CUIT]]="","-",VLOOKUP(compras_mes7[[#This Row],[CUIT]],Lista_CUIT[#All],3,0)),"CUIT NO CARGADO")</f>
        <v>Gtos. Imp.</v>
      </c>
      <c r="R25" s="88">
        <f>IFERROR(IF(compras_mes7[[#This Row],[CUIT]]="","-",VLOOKUP(compras_mes7[[#This Row],[CUIT]],Lista_CUIT[#All],4,0)),"CUIT NO CARGADO")</f>
        <v>0</v>
      </c>
    </row>
    <row r="26" spans="2:18" x14ac:dyDescent="0.3">
      <c r="B26" s="325">
        <v>45222</v>
      </c>
      <c r="C26" s="326">
        <v>1</v>
      </c>
      <c r="D26" s="327">
        <v>700</v>
      </c>
      <c r="E26" s="328">
        <v>584044</v>
      </c>
      <c r="F26" s="329">
        <v>30580111315</v>
      </c>
      <c r="G26" s="330" t="str">
        <f>IFERROR(IF(compras_mes7[[#This Row],[CUIT]]="","-",VLOOKUP(compras_mes7[[#This Row],[CUIT]],Lista_CUIT[#All],2,0)),"CUIT NO CARGADO")</f>
        <v>DHL EXPRESS (ARGENTINA) S.A.</v>
      </c>
      <c r="H26" s="331">
        <v>5117</v>
      </c>
      <c r="I26" s="332">
        <f>IF(compras_mes7[[#This Row],[NETO GRAVADO]]="","",compras_mes7[[#This Row],[NETO GRAVADO]]*0.21)</f>
        <v>1074.57</v>
      </c>
      <c r="J26" s="332"/>
      <c r="K26" s="332"/>
      <c r="L26" s="332"/>
      <c r="M26" s="332"/>
      <c r="N26" s="332"/>
      <c r="O26" s="332">
        <v>202870.77499999999</v>
      </c>
      <c r="P26" s="333">
        <f>SUM(compras_mes7[[#This Row],[NETO GRAVADO]:[Otros / No Grav.]])</f>
        <v>209062.345</v>
      </c>
      <c r="Q26" s="334" t="str">
        <f>IFERROR(IF(compras_mes7[[#This Row],[CUIT]]="","-",VLOOKUP(compras_mes7[[#This Row],[CUIT]],Lista_CUIT[#All],3,0)),"CUIT NO CARGADO")</f>
        <v>Gtos. Imp.</v>
      </c>
      <c r="R26" s="334">
        <f>IFERROR(IF(compras_mes7[[#This Row],[CUIT]]="","-",VLOOKUP(compras_mes7[[#This Row],[CUIT]],Lista_CUIT[#All],4,0)),"CUIT NO CARGADO")</f>
        <v>0</v>
      </c>
    </row>
    <row r="27" spans="2:18" x14ac:dyDescent="0.3">
      <c r="B27" s="325">
        <v>45201</v>
      </c>
      <c r="C27" s="326">
        <v>1</v>
      </c>
      <c r="D27" s="327">
        <v>2</v>
      </c>
      <c r="E27" s="328">
        <v>184</v>
      </c>
      <c r="F27" s="329">
        <v>20125142851</v>
      </c>
      <c r="G27" s="330" t="str">
        <f>IFERROR(IF(compras_mes7[[#This Row],[CUIT]]="","-",VLOOKUP(compras_mes7[[#This Row],[CUIT]],Lista_CUIT[#All],2,0)),"CUIT NO CARGADO")</f>
        <v>FEDERICI NICOLAS JOSE</v>
      </c>
      <c r="H27" s="331">
        <v>75127.33</v>
      </c>
      <c r="I27" s="332">
        <f>IF(compras_mes7[[#This Row],[NETO GRAVADO]]="","",compras_mes7[[#This Row],[NETO GRAVADO]]*0.21)</f>
        <v>15776.739299999999</v>
      </c>
      <c r="J27" s="332"/>
      <c r="K27" s="332"/>
      <c r="L27" s="332"/>
      <c r="M27" s="332"/>
      <c r="N27" s="332"/>
      <c r="O27" s="332"/>
      <c r="P27" s="333">
        <f>SUM(compras_mes7[[#This Row],[NETO GRAVADO]:[Otros / No Grav.]])</f>
        <v>90904.069300000003</v>
      </c>
      <c r="Q27" s="334" t="str">
        <f>IFERROR(IF(compras_mes7[[#This Row],[CUIT]]="","-",VLOOKUP(compras_mes7[[#This Row],[CUIT]],Lista_CUIT[#All],3,0)),"CUIT NO CARGADO")</f>
        <v>INSUMO</v>
      </c>
      <c r="R27" s="334">
        <f>IFERROR(IF(compras_mes7[[#This Row],[CUIT]]="","-",VLOOKUP(compras_mes7[[#This Row],[CUIT]],Lista_CUIT[#All],4,0)),"CUIT NO CARGADO")</f>
        <v>0</v>
      </c>
    </row>
    <row r="28" spans="2:18" x14ac:dyDescent="0.3">
      <c r="B28" s="325">
        <v>45201</v>
      </c>
      <c r="C28" s="326">
        <v>1</v>
      </c>
      <c r="D28" s="327">
        <v>2</v>
      </c>
      <c r="E28" s="328">
        <v>185</v>
      </c>
      <c r="F28" s="329">
        <v>20125142851</v>
      </c>
      <c r="G28" s="330" t="str">
        <f>IFERROR(IF(compras_mes7[[#This Row],[CUIT]]="","-",VLOOKUP(compras_mes7[[#This Row],[CUIT]],Lista_CUIT[#All],2,0)),"CUIT NO CARGADO")</f>
        <v>FEDERICI NICOLAS JOSE</v>
      </c>
      <c r="H28" s="331">
        <v>218140.81</v>
      </c>
      <c r="I28" s="332">
        <f>IF(compras_mes7[[#This Row],[NETO GRAVADO]]="","",compras_mes7[[#This Row],[NETO GRAVADO]]*0.21)</f>
        <v>45809.570099999997</v>
      </c>
      <c r="J28" s="332"/>
      <c r="K28" s="332"/>
      <c r="L28" s="332"/>
      <c r="M28" s="332"/>
      <c r="N28" s="332"/>
      <c r="O28" s="332"/>
      <c r="P28" s="333">
        <f>SUM(compras_mes7[[#This Row],[NETO GRAVADO]:[Otros / No Grav.]])</f>
        <v>263950.38010000001</v>
      </c>
      <c r="Q28" s="334" t="str">
        <f>IFERROR(IF(compras_mes7[[#This Row],[CUIT]]="","-",VLOOKUP(compras_mes7[[#This Row],[CUIT]],Lista_CUIT[#All],3,0)),"CUIT NO CARGADO")</f>
        <v>INSUMO</v>
      </c>
      <c r="R28" s="334">
        <f>IFERROR(IF(compras_mes7[[#This Row],[CUIT]]="","-",VLOOKUP(compras_mes7[[#This Row],[CUIT]],Lista_CUIT[#All],4,0)),"CUIT NO CARGADO")</f>
        <v>0</v>
      </c>
    </row>
    <row r="29" spans="2:18" x14ac:dyDescent="0.3">
      <c r="B29" s="325">
        <v>45225</v>
      </c>
      <c r="C29" s="326">
        <v>1</v>
      </c>
      <c r="D29" s="327">
        <v>9</v>
      </c>
      <c r="E29" s="328">
        <v>1754</v>
      </c>
      <c r="F29" s="329">
        <v>30631047145</v>
      </c>
      <c r="G29" s="330" t="str">
        <f>IFERROR(IF(compras_mes7[[#This Row],[CUIT]]="","-",VLOOKUP(compras_mes7[[#This Row],[CUIT]],Lista_CUIT[#All],2,0)),"CUIT NO CARGADO")</f>
        <v>SEMICONDUC. Y COMPON. SRL</v>
      </c>
      <c r="H29" s="331">
        <v>216060.16</v>
      </c>
      <c r="I29" s="332">
        <v>5959.83</v>
      </c>
      <c r="J29" s="332"/>
      <c r="K29" s="332">
        <v>19706.400000000001</v>
      </c>
      <c r="L29" s="332"/>
      <c r="M29" s="332"/>
      <c r="N29" s="332"/>
      <c r="O29" s="332"/>
      <c r="P29" s="333">
        <f>SUM(compras_mes7[[#This Row],[NETO GRAVADO]:[Otros / No Grav.]])</f>
        <v>241726.38999999998</v>
      </c>
      <c r="Q29" s="334" t="str">
        <f>IFERROR(IF(compras_mes7[[#This Row],[CUIT]]="","-",VLOOKUP(compras_mes7[[#This Row],[CUIT]],Lista_CUIT[#All],3,0)),"CUIT NO CARGADO")</f>
        <v>INSUMO</v>
      </c>
      <c r="R29" s="334">
        <f>IFERROR(IF(compras_mes7[[#This Row],[CUIT]]="","-",VLOOKUP(compras_mes7[[#This Row],[CUIT]],Lista_CUIT[#All],4,0)),"CUIT NO CARGADO")</f>
        <v>0</v>
      </c>
    </row>
    <row r="30" spans="2:18" x14ac:dyDescent="0.3">
      <c r="B30" s="325">
        <v>45229</v>
      </c>
      <c r="C30" s="326">
        <v>1</v>
      </c>
      <c r="D30" s="327">
        <v>2</v>
      </c>
      <c r="E30" s="328">
        <v>186</v>
      </c>
      <c r="F30" s="329">
        <v>20125142851</v>
      </c>
      <c r="G30" s="330" t="str">
        <f>IFERROR(IF(compras_mes7[[#This Row],[CUIT]]="","-",VLOOKUP(compras_mes7[[#This Row],[CUIT]],Lista_CUIT[#All],2,0)),"CUIT NO CARGADO")</f>
        <v>FEDERICI NICOLAS JOSE</v>
      </c>
      <c r="H30" s="331">
        <v>11846.81</v>
      </c>
      <c r="I30" s="332">
        <f>IF(compras_mes7[[#This Row],[NETO GRAVADO]]="","",compras_mes7[[#This Row],[NETO GRAVADO]]*0.21)</f>
        <v>2487.8300999999997</v>
      </c>
      <c r="J30" s="332"/>
      <c r="K30" s="332"/>
      <c r="L30" s="332"/>
      <c r="M30" s="332"/>
      <c r="N30" s="332"/>
      <c r="O30" s="332"/>
      <c r="P30" s="333">
        <f>SUM(compras_mes7[[#This Row],[NETO GRAVADO]:[Otros / No Grav.]])</f>
        <v>14334.640099999999</v>
      </c>
      <c r="Q30" s="334" t="str">
        <f>IFERROR(IF(compras_mes7[[#This Row],[CUIT]]="","-",VLOOKUP(compras_mes7[[#This Row],[CUIT]],Lista_CUIT[#All],3,0)),"CUIT NO CARGADO")</f>
        <v>INSUMO</v>
      </c>
      <c r="R30" s="334">
        <f>IFERROR(IF(compras_mes7[[#This Row],[CUIT]]="","-",VLOOKUP(compras_mes7[[#This Row],[CUIT]],Lista_CUIT[#All],4,0)),"CUIT NO CARGADO")</f>
        <v>0</v>
      </c>
    </row>
    <row r="31" spans="2:18" x14ac:dyDescent="0.3">
      <c r="B31" s="325">
        <v>45229</v>
      </c>
      <c r="C31" s="326">
        <v>1</v>
      </c>
      <c r="D31" s="327">
        <v>10</v>
      </c>
      <c r="E31" s="328">
        <v>7823</v>
      </c>
      <c r="F31" s="329">
        <v>30715357255</v>
      </c>
      <c r="G31" s="330" t="str">
        <f>IFERROR(IF(compras_mes7[[#This Row],[CUIT]]="","-",VLOOKUP(compras_mes7[[#This Row],[CUIT]],Lista_CUIT[#All],2,0)),"CUIT NO CARGADO")</f>
        <v>LIBECOM S.R.L</v>
      </c>
      <c r="H31" s="331">
        <v>15383.71</v>
      </c>
      <c r="I31" s="332"/>
      <c r="J31" s="332"/>
      <c r="K31" s="332">
        <v>1615.29</v>
      </c>
      <c r="L31" s="332"/>
      <c r="M31" s="332"/>
      <c r="N31" s="332"/>
      <c r="O31" s="332"/>
      <c r="P31" s="333">
        <f>SUM(compras_mes7[[#This Row],[NETO GRAVADO]:[Otros / No Grav.]])</f>
        <v>16999</v>
      </c>
      <c r="Q31" s="49" t="s">
        <v>1421</v>
      </c>
      <c r="R31" s="334">
        <f>IFERROR(IF(compras_mes7[[#This Row],[CUIT]]="","-",VLOOKUP(compras_mes7[[#This Row],[CUIT]],Lista_CUIT[#All],4,0)),"CUIT NO CARGADO")</f>
        <v>0</v>
      </c>
    </row>
    <row r="32" spans="2:18" x14ac:dyDescent="0.3">
      <c r="B32" s="325">
        <v>45230</v>
      </c>
      <c r="C32" s="326">
        <v>1</v>
      </c>
      <c r="D32" s="327">
        <v>6</v>
      </c>
      <c r="E32" s="328">
        <v>13068</v>
      </c>
      <c r="F32" s="329">
        <v>30707756434</v>
      </c>
      <c r="G32" s="330" t="str">
        <f>IFERROR(IF(compras_mes7[[#This Row],[CUIT]]="","-",VLOOKUP(compras_mes7[[#This Row],[CUIT]],Lista_CUIT[#All],2,0)),"CUIT NO CARGADO")</f>
        <v>SERVICIO INTEGRAL DE LIMPIEZA SRL</v>
      </c>
      <c r="H32" s="331">
        <v>52000</v>
      </c>
      <c r="I32" s="332">
        <f>IF(compras_mes7[[#This Row],[NETO GRAVADO]]="","",compras_mes7[[#This Row],[NETO GRAVADO]]*0.21)</f>
        <v>10920</v>
      </c>
      <c r="J32" s="332"/>
      <c r="K32" s="332"/>
      <c r="L32" s="332"/>
      <c r="M32" s="332"/>
      <c r="N32" s="332"/>
      <c r="O32" s="332"/>
      <c r="P32" s="333">
        <f>SUM(compras_mes7[[#This Row],[NETO GRAVADO]:[Otros / No Grav.]])</f>
        <v>62920</v>
      </c>
      <c r="Q32" s="334" t="str">
        <f>IFERROR(IF(compras_mes7[[#This Row],[CUIT]]="","-",VLOOKUP(compras_mes7[[#This Row],[CUIT]],Lista_CUIT[#All],3,0)),"CUIT NO CARGADO")</f>
        <v>Mantenimiento</v>
      </c>
      <c r="R32" s="334">
        <f>IFERROR(IF(compras_mes7[[#This Row],[CUIT]]="","-",VLOOKUP(compras_mes7[[#This Row],[CUIT]],Lista_CUIT[#All],4,0)),"CUIT NO CARGADO")</f>
        <v>0</v>
      </c>
    </row>
    <row r="33" spans="2:19" x14ac:dyDescent="0.3">
      <c r="B33" s="325">
        <v>45205</v>
      </c>
      <c r="C33" s="326">
        <v>1</v>
      </c>
      <c r="D33" s="327">
        <v>4</v>
      </c>
      <c r="E33" s="328">
        <v>1347</v>
      </c>
      <c r="F33" s="329">
        <v>30714356360</v>
      </c>
      <c r="G33" s="330" t="str">
        <f>IFERROR(IF(compras_mes7[[#This Row],[CUIT]]="","-",VLOOKUP(compras_mes7[[#This Row],[CUIT]],Lista_CUIT[#All],2,0)),"CUIT NO CARGADO")</f>
        <v>IMPRENTA24 S.R.L.</v>
      </c>
      <c r="H33" s="331">
        <v>7851.24</v>
      </c>
      <c r="I33" s="332">
        <f>IF(compras_mes7[[#This Row],[NETO GRAVADO]]="","",compras_mes7[[#This Row],[NETO GRAVADO]]*0.21)</f>
        <v>1648.7603999999999</v>
      </c>
      <c r="J33" s="332"/>
      <c r="K33" s="332"/>
      <c r="L33" s="332"/>
      <c r="M33" s="332"/>
      <c r="N33" s="332"/>
      <c r="O33" s="332"/>
      <c r="P33" s="333">
        <f>SUM(compras_mes7[[#This Row],[NETO GRAVADO]:[Otros / No Grav.]])</f>
        <v>9500.000399999999</v>
      </c>
      <c r="Q33" s="49" t="s">
        <v>1417</v>
      </c>
      <c r="R33" s="334">
        <f>IFERROR(IF(compras_mes7[[#This Row],[CUIT]]="","-",VLOOKUP(compras_mes7[[#This Row],[CUIT]],Lista_CUIT[#All],4,0)),"CUIT NO CARGADO")</f>
        <v>0</v>
      </c>
    </row>
    <row r="34" spans="2:19" x14ac:dyDescent="0.3">
      <c r="B34" s="325">
        <v>45210</v>
      </c>
      <c r="C34" s="326">
        <v>1</v>
      </c>
      <c r="D34" s="327">
        <v>3</v>
      </c>
      <c r="E34" s="328">
        <v>301</v>
      </c>
      <c r="F34" s="329">
        <v>20921575743</v>
      </c>
      <c r="G34" s="330" t="str">
        <f>IFERROR(IF(compras_mes7[[#This Row],[CUIT]]="","-",VLOOKUP(compras_mes7[[#This Row],[CUIT]],Lista_CUIT[#All],2,0)),"CUIT NO CARGADO")</f>
        <v>RIOS GOMEZ JOSE ANTONIO</v>
      </c>
      <c r="H34" s="331">
        <v>1149278.19</v>
      </c>
      <c r="I34" s="332">
        <f>IF(compras_mes7[[#This Row],[NETO GRAVADO]]="","",compras_mes7[[#This Row],[NETO GRAVADO]]*0.21)</f>
        <v>241348.41989999998</v>
      </c>
      <c r="J34" s="332"/>
      <c r="K34" s="332"/>
      <c r="L34" s="332"/>
      <c r="M34" s="332"/>
      <c r="N34" s="332"/>
      <c r="O34" s="332"/>
      <c r="P34" s="333">
        <f>SUM(compras_mes7[[#This Row],[NETO GRAVADO]:[Otros / No Grav.]])</f>
        <v>1390626.6099</v>
      </c>
      <c r="Q34" s="334" t="str">
        <f>IFERROR(IF(compras_mes7[[#This Row],[CUIT]]="","-",VLOOKUP(compras_mes7[[#This Row],[CUIT]],Lista_CUIT[#All],3,0)),"CUIT NO CARGADO")</f>
        <v>Papeleria e Insumos</v>
      </c>
      <c r="R34" s="334">
        <f>IFERROR(IF(compras_mes7[[#This Row],[CUIT]]="","-",VLOOKUP(compras_mes7[[#This Row],[CUIT]],Lista_CUIT[#All],4,0)),"CUIT NO CARGADO")</f>
        <v>0</v>
      </c>
    </row>
    <row r="35" spans="2:19" x14ac:dyDescent="0.3">
      <c r="B35" s="325">
        <v>45211</v>
      </c>
      <c r="C35" s="326">
        <v>1</v>
      </c>
      <c r="D35" s="327">
        <v>2</v>
      </c>
      <c r="E35" s="328">
        <v>3312</v>
      </c>
      <c r="F35" s="329">
        <v>30710878974</v>
      </c>
      <c r="G35" s="330" t="str">
        <f>IFERROR(IF(compras_mes7[[#This Row],[CUIT]]="","-",VLOOKUP(compras_mes7[[#This Row],[CUIT]],Lista_CUIT[#All],2,0)),"CUIT NO CARGADO")</f>
        <v>TEBY SRL</v>
      </c>
      <c r="H35" s="331">
        <v>592430</v>
      </c>
      <c r="I35" s="332">
        <f>IF(compras_mes7[[#This Row],[NETO GRAVADO]]="","",compras_mes7[[#This Row],[NETO GRAVADO]]*0.21)</f>
        <v>124410.29999999999</v>
      </c>
      <c r="J35" s="332"/>
      <c r="K35" s="332"/>
      <c r="L35" s="332"/>
      <c r="M35" s="332"/>
      <c r="N35" s="332"/>
      <c r="O35" s="332"/>
      <c r="P35" s="333">
        <f>SUM(compras_mes7[[#This Row],[NETO GRAVADO]:[Otros / No Grav.]])</f>
        <v>716840.3</v>
      </c>
      <c r="Q35" s="49" t="s">
        <v>1418</v>
      </c>
      <c r="R35" s="334">
        <f>IFERROR(IF(compras_mes7[[#This Row],[CUIT]]="","-",VLOOKUP(compras_mes7[[#This Row],[CUIT]],Lista_CUIT[#All],4,0)),"CUIT NO CARGADO")</f>
        <v>0</v>
      </c>
    </row>
    <row r="36" spans="2:19" x14ac:dyDescent="0.3">
      <c r="B36" s="325">
        <v>45216</v>
      </c>
      <c r="C36" s="326">
        <v>1</v>
      </c>
      <c r="D36" s="327">
        <v>5</v>
      </c>
      <c r="E36" s="328">
        <v>7912</v>
      </c>
      <c r="F36" s="329">
        <v>30684105597</v>
      </c>
      <c r="G36" s="330" t="str">
        <f>IFERROR(IF(compras_mes7[[#This Row],[CUIT]]="","-",VLOOKUP(compras_mes7[[#This Row],[CUIT]],Lista_CUIT[#All],2,0)),"CUIT NO CARGADO")</f>
        <v>GUSU S A</v>
      </c>
      <c r="H36" s="331">
        <v>1061570.25</v>
      </c>
      <c r="I36" s="332">
        <f>IF(compras_mes7[[#This Row],[NETO GRAVADO]]="","",compras_mes7[[#This Row],[NETO GRAVADO]]*0.21)</f>
        <v>222929.7525</v>
      </c>
      <c r="J36" s="332"/>
      <c r="K36" s="332"/>
      <c r="L36" s="332"/>
      <c r="M36" s="332"/>
      <c r="N36" s="332"/>
      <c r="O36" s="332"/>
      <c r="P36" s="333">
        <f>SUM(compras_mes7[[#This Row],[NETO GRAVADO]:[Otros / No Grav.]])</f>
        <v>1284500.0024999999</v>
      </c>
      <c r="Q36" s="49" t="s">
        <v>1418</v>
      </c>
      <c r="R36" s="334">
        <f>IFERROR(IF(compras_mes7[[#This Row],[CUIT]]="","-",VLOOKUP(compras_mes7[[#This Row],[CUIT]],Lista_CUIT[#All],4,0)),"CUIT NO CARGADO")</f>
        <v>0</v>
      </c>
    </row>
    <row r="37" spans="2:19" x14ac:dyDescent="0.3">
      <c r="B37" s="325">
        <v>45223</v>
      </c>
      <c r="C37" s="326">
        <v>1</v>
      </c>
      <c r="D37" s="327">
        <v>2</v>
      </c>
      <c r="E37" s="328">
        <v>3322</v>
      </c>
      <c r="F37" s="329">
        <v>30710878974</v>
      </c>
      <c r="G37" s="330" t="str">
        <f>IFERROR(IF(compras_mes7[[#This Row],[CUIT]]="","-",VLOOKUP(compras_mes7[[#This Row],[CUIT]],Lista_CUIT[#All],2,0)),"CUIT NO CARGADO")</f>
        <v>TEBY SRL</v>
      </c>
      <c r="H37" s="331">
        <v>102950</v>
      </c>
      <c r="I37" s="332">
        <f>IF(compras_mes7[[#This Row],[NETO GRAVADO]]="","",compras_mes7[[#This Row],[NETO GRAVADO]]*0.21)</f>
        <v>21619.5</v>
      </c>
      <c r="J37" s="332"/>
      <c r="K37" s="332"/>
      <c r="L37" s="332"/>
      <c r="M37" s="332"/>
      <c r="N37" s="332"/>
      <c r="O37" s="332"/>
      <c r="P37" s="333">
        <f>SUM(compras_mes7[[#This Row],[NETO GRAVADO]:[Otros / No Grav.]])</f>
        <v>124569.5</v>
      </c>
      <c r="Q37" s="49" t="s">
        <v>1418</v>
      </c>
      <c r="R37" s="334">
        <f>IFERROR(IF(compras_mes7[[#This Row],[CUIT]]="","-",VLOOKUP(compras_mes7[[#This Row],[CUIT]],Lista_CUIT[#All],4,0)),"CUIT NO CARGADO")</f>
        <v>0</v>
      </c>
    </row>
    <row r="38" spans="2:19" x14ac:dyDescent="0.3">
      <c r="B38" s="325">
        <v>45201</v>
      </c>
      <c r="C38" s="326">
        <v>1</v>
      </c>
      <c r="D38" s="327">
        <v>3</v>
      </c>
      <c r="E38" s="328">
        <v>88</v>
      </c>
      <c r="F38" s="329">
        <v>20297899830</v>
      </c>
      <c r="G38" s="330" t="str">
        <f>IFERROR(IF(compras_mes7[[#This Row],[CUIT]]="","-",VLOOKUP(compras_mes7[[#This Row],[CUIT]],Lista_CUIT[#All],2,0)),"CUIT NO CARGADO")</f>
        <v>FUNK MATIAS NICOLAS</v>
      </c>
      <c r="H38" s="331">
        <v>867526.04999999993</v>
      </c>
      <c r="I38" s="332">
        <f>IF(compras_mes7[[#This Row],[NETO GRAVADO]]="","",compras_mes7[[#This Row],[NETO GRAVADO]]*0.21)</f>
        <v>182180.47049999997</v>
      </c>
      <c r="J38" s="332"/>
      <c r="K38" s="332"/>
      <c r="L38" s="332"/>
      <c r="M38" s="332"/>
      <c r="N38" s="332"/>
      <c r="O38" s="332"/>
      <c r="P38" s="333">
        <f>SUM(compras_mes7[[#This Row],[NETO GRAVADO]:[Otros / No Grav.]])</f>
        <v>1049706.5204999999</v>
      </c>
      <c r="Q38" s="334" t="str">
        <f>IFERROR(IF(compras_mes7[[#This Row],[CUIT]]="","-",VLOOKUP(compras_mes7[[#This Row],[CUIT]],Lista_CUIT[#All],3,0)),"CUIT NO CARGADO")</f>
        <v>Servicios</v>
      </c>
      <c r="R38" s="334">
        <f>IFERROR(IF(compras_mes7[[#This Row],[CUIT]]="","-",VLOOKUP(compras_mes7[[#This Row],[CUIT]],Lista_CUIT[#All],4,0)),"CUIT NO CARGADO")</f>
        <v>0</v>
      </c>
      <c r="S38" t="s">
        <v>1290</v>
      </c>
    </row>
    <row r="39" spans="2:19" x14ac:dyDescent="0.3">
      <c r="B39" s="325">
        <v>45209</v>
      </c>
      <c r="C39" s="326">
        <v>1</v>
      </c>
      <c r="D39" s="327">
        <v>3</v>
      </c>
      <c r="E39" s="328">
        <v>90</v>
      </c>
      <c r="F39" s="329">
        <v>20297899830</v>
      </c>
      <c r="G39" s="330" t="str">
        <f>IFERROR(IF(compras_mes7[[#This Row],[CUIT]]="","-",VLOOKUP(compras_mes7[[#This Row],[CUIT]],Lista_CUIT[#All],2,0)),"CUIT NO CARGADO")</f>
        <v>FUNK MATIAS NICOLAS</v>
      </c>
      <c r="H39" s="331">
        <v>2098499.4</v>
      </c>
      <c r="I39" s="332">
        <f>IF(compras_mes7[[#This Row],[NETO GRAVADO]]="","",compras_mes7[[#This Row],[NETO GRAVADO]]*0.21)</f>
        <v>440684.87399999995</v>
      </c>
      <c r="J39" s="332"/>
      <c r="K39" s="332"/>
      <c r="L39" s="332"/>
      <c r="M39" s="332"/>
      <c r="N39" s="332"/>
      <c r="O39" s="332"/>
      <c r="P39" s="333">
        <f>SUM(compras_mes7[[#This Row],[NETO GRAVADO]:[Otros / No Grav.]])</f>
        <v>2539184.2739999997</v>
      </c>
      <c r="Q39" s="334" t="str">
        <f>IFERROR(IF(compras_mes7[[#This Row],[CUIT]]="","-",VLOOKUP(compras_mes7[[#This Row],[CUIT]],Lista_CUIT[#All],3,0)),"CUIT NO CARGADO")</f>
        <v>Servicios</v>
      </c>
      <c r="R39" s="334">
        <f>IFERROR(IF(compras_mes7[[#This Row],[CUIT]]="","-",VLOOKUP(compras_mes7[[#This Row],[CUIT]],Lista_CUIT[#All],4,0)),"CUIT NO CARGADO")</f>
        <v>0</v>
      </c>
      <c r="S39" t="s">
        <v>1290</v>
      </c>
    </row>
    <row r="40" spans="2:19" x14ac:dyDescent="0.3">
      <c r="B40" s="335">
        <v>45210</v>
      </c>
      <c r="C40" s="208">
        <v>1</v>
      </c>
      <c r="D40" s="336">
        <v>2466</v>
      </c>
      <c r="E40" s="337">
        <v>566607</v>
      </c>
      <c r="F40" s="338">
        <v>30678814357</v>
      </c>
      <c r="G40" s="339" t="str">
        <f>IFERROR(IF(compras_mes7[[#This Row],[CUIT]]="","-",VLOOKUP(compras_mes7[[#This Row],[CUIT]],Lista_CUIT[#All],2,0)),"CUIT NO CARGADO")</f>
        <v>TELEFONICA MOVILES ARG</v>
      </c>
      <c r="H40" s="340">
        <v>5740</v>
      </c>
      <c r="I40" s="341"/>
      <c r="J40" s="341">
        <v>1549.8</v>
      </c>
      <c r="K40" s="341"/>
      <c r="L40" s="341">
        <v>172.2</v>
      </c>
      <c r="M40" s="341"/>
      <c r="N40" s="341"/>
      <c r="O40" s="341">
        <v>302.10000000000002</v>
      </c>
      <c r="P40" s="333">
        <f>SUM(compras_mes7[[#This Row],[NETO GRAVADO]:[Otros / No Grav.]])</f>
        <v>7764.1</v>
      </c>
      <c r="Q40" s="334" t="str">
        <f>IFERROR(IF(compras_mes7[[#This Row],[CUIT]]="","-",VLOOKUP(compras_mes7[[#This Row],[CUIT]],Lista_CUIT[#All],3,0)),"CUIT NO CARGADO")</f>
        <v>SERVICIOS</v>
      </c>
      <c r="R40" s="334">
        <f>IFERROR(IF(compras_mes7[[#This Row],[CUIT]]="","-",VLOOKUP(compras_mes7[[#This Row],[CUIT]],Lista_CUIT[#All],4,0)),"CUIT NO CARGADO")</f>
        <v>0</v>
      </c>
      <c r="S40" t="s">
        <v>1121</v>
      </c>
    </row>
    <row r="41" spans="2:19" s="56" customFormat="1" ht="18.600000000000001" customHeight="1" x14ac:dyDescent="0.3">
      <c r="B41" s="325">
        <v>45200</v>
      </c>
      <c r="C41" s="326">
        <v>1</v>
      </c>
      <c r="D41" s="327">
        <v>3</v>
      </c>
      <c r="E41" s="328">
        <v>205355</v>
      </c>
      <c r="F41" s="329">
        <v>30707135596</v>
      </c>
      <c r="G41" s="330" t="str">
        <f>IFERROR(IF(compras_mes7[[#This Row],[CUIT]]="","-",VLOOKUP(compras_mes7[[#This Row],[CUIT]],Lista_CUIT[#All],2,0)),"CUIT NO CARGADO")</f>
        <v>CITILAN ARGENTINA S.A.</v>
      </c>
      <c r="H41" s="331">
        <v>7686.86</v>
      </c>
      <c r="I41" s="332">
        <f>IF(compras_mes7[[#This Row],[NETO GRAVADO]]="","",compras_mes7[[#This Row],[NETO GRAVADO]]*0.21)</f>
        <v>1614.2405999999999</v>
      </c>
      <c r="J41" s="332"/>
      <c r="K41" s="332"/>
      <c r="L41" s="332"/>
      <c r="M41" s="332"/>
      <c r="N41" s="332"/>
      <c r="O41" s="332"/>
      <c r="P41" s="48">
        <f>SUM(compras_mes7[[#This Row],[NETO GRAVADO]:[Otros / No Grav.]])</f>
        <v>9301.1005999999998</v>
      </c>
      <c r="Q41" s="49" t="str">
        <f>IFERROR(IF(compras_mes7[[#This Row],[CUIT]]="","-",VLOOKUP(compras_mes7[[#This Row],[CUIT]],Lista_CUIT[#All],3,0)),"CUIT NO CARGADO")</f>
        <v>Servicios Gas, Luz, Etc</v>
      </c>
      <c r="R41" s="49">
        <f>IFERROR(IF(compras_mes7[[#This Row],[CUIT]]="","-",VLOOKUP(compras_mes7[[#This Row],[CUIT]],Lista_CUIT[#All],4,0)),"CUIT NO CARGADO")</f>
        <v>0</v>
      </c>
    </row>
    <row r="42" spans="2:19" x14ac:dyDescent="0.3">
      <c r="B42" s="96" t="s">
        <v>110</v>
      </c>
      <c r="C42" s="96"/>
      <c r="D42" s="96"/>
      <c r="E42" s="96"/>
      <c r="F42" s="96"/>
      <c r="G42" s="97"/>
      <c r="H42" s="98">
        <f>SUBTOTAL(109,compras_mes7[NETO GRAVADO])</f>
        <v>7260156.4244999988</v>
      </c>
      <c r="I42" s="98">
        <f>SUBTOTAL(109,compras_mes7[IVA 21 %])</f>
        <v>1476207.7352999996</v>
      </c>
      <c r="J42" s="98">
        <f>SUBTOTAL(109,compras_mes7[IVA 27%])</f>
        <v>1549.8</v>
      </c>
      <c r="K42" s="98">
        <f>SUBTOTAL(109,compras_mes7[IVA 10,5%])</f>
        <v>23606.863500000003</v>
      </c>
      <c r="L42" s="98">
        <f>SUBTOTAL(109,compras_mes7[PERC. IVA])</f>
        <v>172.2</v>
      </c>
      <c r="M42" s="98">
        <f>SUBTOTAL(109,compras_mes7[PERC IIBB 
BS AS])</f>
        <v>0</v>
      </c>
      <c r="N42" s="98">
        <f>SUBTOTAL(109,compras_mes7[PERC. IIBB CABA])</f>
        <v>19317.12</v>
      </c>
      <c r="O42" s="98">
        <f>SUBTOTAL(109,compras_mes7[Otros / No Grav.])</f>
        <v>778047.00049999997</v>
      </c>
      <c r="P42" s="98">
        <f>SUBTOTAL(109,compras_mes7[TOTAL])</f>
        <v>9559057.1437999979</v>
      </c>
      <c r="Q42" s="96"/>
      <c r="R42" s="96"/>
    </row>
    <row r="43" spans="2:19" x14ac:dyDescent="0.3">
      <c r="B43" s="40"/>
      <c r="C43" s="41"/>
      <c r="D43" s="42"/>
      <c r="E43" s="43"/>
      <c r="F43" s="44"/>
      <c r="G43" s="45"/>
      <c r="H43" s="46"/>
      <c r="I43" s="47"/>
      <c r="J43" s="47"/>
      <c r="K43" s="47"/>
      <c r="L43" s="47"/>
      <c r="M43" s="47"/>
      <c r="N43" s="47"/>
      <c r="O43" s="47"/>
      <c r="P43" s="48"/>
      <c r="Q43" s="49"/>
      <c r="R43" s="49"/>
    </row>
    <row r="44" spans="2:19" x14ac:dyDescent="0.3">
      <c r="B44" s="40"/>
      <c r="C44" s="41"/>
      <c r="D44" s="42"/>
      <c r="E44" s="43"/>
      <c r="F44" s="44"/>
      <c r="G44" s="45"/>
      <c r="H44" s="46"/>
      <c r="I44" s="47">
        <v>-1429218.28</v>
      </c>
      <c r="J44" s="47"/>
      <c r="K44" s="47"/>
      <c r="L44" s="47"/>
      <c r="M44" s="47"/>
      <c r="N44" s="47"/>
      <c r="O44" s="47"/>
      <c r="P44" s="48"/>
      <c r="Q44" s="49"/>
      <c r="R44" s="49"/>
    </row>
    <row r="45" spans="2:19" ht="14.4" customHeight="1" x14ac:dyDescent="0.3">
      <c r="B45" s="40"/>
      <c r="C45" s="41"/>
      <c r="D45" s="42"/>
      <c r="E45" s="43"/>
      <c r="F45" s="44"/>
      <c r="G45" s="45"/>
      <c r="H45" s="46"/>
      <c r="I45" s="47"/>
      <c r="J45" s="47"/>
      <c r="K45" s="47"/>
      <c r="L45" s="47"/>
      <c r="M45" s="47"/>
      <c r="N45" s="47"/>
      <c r="O45" s="47"/>
      <c r="P45" s="48"/>
      <c r="Q45" s="49"/>
      <c r="R45" s="49"/>
    </row>
    <row r="46" spans="2:19" ht="22.95" customHeight="1" x14ac:dyDescent="0.3">
      <c r="B46" s="40"/>
      <c r="C46" s="41"/>
      <c r="D46" s="42"/>
      <c r="E46" s="43"/>
      <c r="F46" s="44"/>
      <c r="G46" s="45"/>
      <c r="H46" s="46"/>
      <c r="I46" s="47"/>
      <c r="J46" s="47"/>
      <c r="K46" s="47"/>
      <c r="L46" s="47"/>
    </row>
    <row r="47" spans="2:19" ht="25.95" customHeight="1" x14ac:dyDescent="0.3">
      <c r="D47" s="414" t="s">
        <v>15</v>
      </c>
      <c r="E47" s="414"/>
      <c r="F47" s="414"/>
      <c r="G47" s="414"/>
      <c r="H47" s="414"/>
      <c r="I47" s="414"/>
      <c r="J47" s="414"/>
      <c r="K47" s="414"/>
      <c r="L47" s="414"/>
    </row>
    <row r="48" spans="2:19" ht="14.4" customHeight="1" x14ac:dyDescent="0.3">
      <c r="D48" s="73" t="s">
        <v>0</v>
      </c>
      <c r="E48" s="74" t="s">
        <v>26</v>
      </c>
      <c r="F48" s="74" t="s">
        <v>16</v>
      </c>
      <c r="G48" s="74" t="s">
        <v>5</v>
      </c>
      <c r="H48" s="74" t="s">
        <v>17</v>
      </c>
      <c r="I48" s="74" t="s">
        <v>7</v>
      </c>
      <c r="J48" s="75" t="s">
        <v>18</v>
      </c>
      <c r="K48" s="75" t="s">
        <v>19</v>
      </c>
      <c r="L48" s="76" t="s">
        <v>20</v>
      </c>
    </row>
    <row r="49" spans="4:12" ht="14.4" customHeight="1" x14ac:dyDescent="0.3">
      <c r="D49" s="50">
        <v>45223</v>
      </c>
      <c r="E49" s="80">
        <v>1050340000</v>
      </c>
      <c r="F49" s="80" t="s">
        <v>1288</v>
      </c>
      <c r="G49" s="81">
        <v>8748.75</v>
      </c>
      <c r="H49" s="81">
        <f>extracto_banco_mes7[[#This Row],[NETO]]*0.21</f>
        <v>1837.2375</v>
      </c>
      <c r="I49" s="81"/>
      <c r="J49" s="81"/>
      <c r="K49" s="81">
        <v>222.46</v>
      </c>
      <c r="L49" s="81"/>
    </row>
    <row r="50" spans="4:12" ht="15" customHeight="1" x14ac:dyDescent="0.3">
      <c r="D50" s="50">
        <v>45218</v>
      </c>
      <c r="E50" s="80">
        <v>660095000</v>
      </c>
      <c r="F50" s="80" t="s">
        <v>1289</v>
      </c>
      <c r="G50" s="81">
        <v>8748.75</v>
      </c>
      <c r="H50" s="81">
        <f>extracto_banco_mes7[[#This Row],[NETO]]*0.21</f>
        <v>1837.2375</v>
      </c>
      <c r="I50" s="81"/>
      <c r="J50" s="81"/>
      <c r="K50" s="81">
        <v>262.45999999999998</v>
      </c>
      <c r="L50" s="81"/>
    </row>
    <row r="51" spans="4:12" ht="15" customHeight="1" x14ac:dyDescent="0.3">
      <c r="D51" s="50">
        <v>45230</v>
      </c>
      <c r="E51" s="80">
        <v>31102023</v>
      </c>
      <c r="F51" s="80" t="s">
        <v>1292</v>
      </c>
      <c r="G51" s="81">
        <f>150+225+2909.34+150+40+2025+35+25+2178.4+150+40+1125+150+150+40+765+150+300+4300+150</f>
        <v>15057.74</v>
      </c>
      <c r="H51" s="81">
        <f>extracto_banco_mes7[[#This Row],[NETO]]*0.21</f>
        <v>3162.1253999999999</v>
      </c>
      <c r="I51" s="81"/>
      <c r="J51" s="81"/>
      <c r="K51" s="81">
        <f>60.75+65.35</f>
        <v>126.1</v>
      </c>
      <c r="L51" s="342"/>
    </row>
    <row r="52" spans="4:12" ht="15" customHeight="1" x14ac:dyDescent="0.3">
      <c r="D52" s="50">
        <v>45218</v>
      </c>
      <c r="E52" s="80">
        <v>19102023</v>
      </c>
      <c r="F52" s="80" t="s">
        <v>1293</v>
      </c>
      <c r="G52" s="81">
        <v>170</v>
      </c>
      <c r="H52" s="81">
        <f>extracto_banco_mes7[[#This Row],[NETO]]*0.21</f>
        <v>35.699999999999996</v>
      </c>
      <c r="I52" s="81"/>
      <c r="J52" s="81"/>
      <c r="K52" s="81"/>
      <c r="L52" s="81"/>
    </row>
    <row r="53" spans="4:12" ht="15" customHeight="1" x14ac:dyDescent="0.3">
      <c r="D53" s="82" t="s">
        <v>110</v>
      </c>
      <c r="E53" s="80"/>
      <c r="F53" s="80"/>
      <c r="G53" s="83">
        <f>SUBTOTAL(109,extracto_banco_mes7[NETO])</f>
        <v>32725.239999999998</v>
      </c>
      <c r="H53" s="83">
        <f>SUBTOTAL(109,extracto_banco_mes7[IVA 21%])</f>
        <v>6872.3003999999992</v>
      </c>
      <c r="I53" s="83">
        <f>SUBTOTAL(109,extracto_banco_mes7[IVA 10,5%])</f>
        <v>0</v>
      </c>
      <c r="J53" s="83">
        <f>SUBTOTAL(109,extracto_banco_mes7[RET IIBB CABA])</f>
        <v>0</v>
      </c>
      <c r="K53" s="83">
        <f>SUBTOTAL(109,extracto_banco_mes7[PERC IVA])</f>
        <v>611.02</v>
      </c>
      <c r="L53" s="83">
        <f>SUBTOTAL(109,extracto_banco_mes7[PERC IIBB])</f>
        <v>0</v>
      </c>
    </row>
    <row r="54" spans="4:12" ht="15" customHeight="1" x14ac:dyDescent="0.3"/>
    <row r="55" spans="4:12" ht="15" customHeight="1" x14ac:dyDescent="0.3"/>
    <row r="56" spans="4:12" ht="23.4" customHeight="1" x14ac:dyDescent="0.3"/>
    <row r="57" spans="4:12" ht="38.4" customHeight="1" x14ac:dyDescent="0.3">
      <c r="D57" s="414" t="s">
        <v>25</v>
      </c>
      <c r="E57" s="414"/>
      <c r="F57" s="414"/>
      <c r="G57" s="414"/>
      <c r="H57" s="414"/>
      <c r="I57" s="414"/>
      <c r="J57" s="414"/>
      <c r="K57" s="414"/>
    </row>
    <row r="58" spans="4:12" x14ac:dyDescent="0.3">
      <c r="D58" s="51" t="s">
        <v>0</v>
      </c>
      <c r="E58" s="51" t="s">
        <v>2</v>
      </c>
      <c r="F58" s="51" t="s">
        <v>74</v>
      </c>
      <c r="G58" s="51" t="s">
        <v>3</v>
      </c>
      <c r="H58" s="51" t="s">
        <v>4</v>
      </c>
      <c r="I58" s="52" t="s">
        <v>10</v>
      </c>
      <c r="J58" s="51" t="s">
        <v>13</v>
      </c>
      <c r="K58" s="51" t="s">
        <v>38</v>
      </c>
    </row>
    <row r="59" spans="4:12" x14ac:dyDescent="0.3">
      <c r="D59" s="50">
        <v>45200</v>
      </c>
      <c r="E59" s="42">
        <v>1</v>
      </c>
      <c r="F59" s="343">
        <v>15</v>
      </c>
      <c r="G59" s="44">
        <v>27387896150</v>
      </c>
      <c r="H59" s="321" t="str">
        <f>IFERROR(IF(factura_c_mes7[[#This Row],[CUIT]]="","-",VLOOKUP(factura_c_mes7[[#This Row],[CUIT]],Lista_CUIT[#All],2,0)),"CUIT NO CARGADO")</f>
        <v>LIPANOVICH MARIA SOL</v>
      </c>
      <c r="I59" s="323">
        <v>400000</v>
      </c>
      <c r="J59" s="322" t="str">
        <f>IFERROR(IF(factura_c_mes7[[#This Row],[CUIT]]="","-",VLOOKUP(factura_c_mes7[[#This Row],[CUIT]],Lista_CUIT[#All],3,0)),"CUIT NO CARGADO")</f>
        <v>consultoria informatica</v>
      </c>
      <c r="K59" s="322">
        <f>IFERROR(IF(factura_c_mes7[[#This Row],[CUIT]]="","-",VLOOKUP(factura_c_mes7[[#This Row],[CUIT]],Lista_CUIT[#All],4,0)),"CUIT NO CARGADO")</f>
        <v>0</v>
      </c>
    </row>
    <row r="60" spans="4:12" x14ac:dyDescent="0.3">
      <c r="D60" s="50">
        <v>45223</v>
      </c>
      <c r="E60" s="42">
        <v>2</v>
      </c>
      <c r="F60" s="43">
        <v>108</v>
      </c>
      <c r="G60" s="44">
        <v>27125997835</v>
      </c>
      <c r="H60" s="321" t="str">
        <f>IFERROR(IF(factura_c_mes7[[#This Row],[CUIT]]="","-",VLOOKUP(factura_c_mes7[[#This Row],[CUIT]],Lista_CUIT[#All],2,0)),"CUIT NO CARGADO")</f>
        <v>DANSKY ULLMANN VIVIANA EVA YOLANDA</v>
      </c>
      <c r="I60" s="323">
        <v>44000</v>
      </c>
      <c r="J60" s="322">
        <f>IFERROR(IF(factura_c_mes7[[#This Row],[CUIT]]="","-",VLOOKUP(factura_c_mes7[[#This Row],[CUIT]],Lista_CUIT[#All],3,0)),"CUIT NO CARGADO")</f>
        <v>0</v>
      </c>
      <c r="K60" s="322">
        <f>IFERROR(IF(factura_c_mes7[[#This Row],[CUIT]]="","-",VLOOKUP(factura_c_mes7[[#This Row],[CUIT]],Lista_CUIT[#All],4,0)),"CUIT NO CARGADO")</f>
        <v>0</v>
      </c>
    </row>
    <row r="61" spans="4:12" x14ac:dyDescent="0.3">
      <c r="D61" s="50">
        <v>45230</v>
      </c>
      <c r="E61" s="42">
        <v>4</v>
      </c>
      <c r="F61" s="43">
        <v>54</v>
      </c>
      <c r="G61" s="44">
        <v>23214737914</v>
      </c>
      <c r="H61" s="321" t="str">
        <f>IFERROR(IF(factura_c_mes7[[#This Row],[CUIT]]="","-",VLOOKUP(factura_c_mes7[[#This Row],[CUIT]],Lista_CUIT[#All],2,0)),"CUIT NO CARGADO")</f>
        <v>SBARRA GABRIELA BEATRIZ</v>
      </c>
      <c r="I61" s="323">
        <v>404770</v>
      </c>
      <c r="J61" s="322">
        <f>IFERROR(IF(factura_c_mes7[[#This Row],[CUIT]]="","-",VLOOKUP(factura_c_mes7[[#This Row],[CUIT]],Lista_CUIT[#All],3,0)),"CUIT NO CARGADO")</f>
        <v>0</v>
      </c>
      <c r="K61" s="322">
        <f>IFERROR(IF(factura_c_mes7[[#This Row],[CUIT]]="","-",VLOOKUP(factura_c_mes7[[#This Row],[CUIT]],Lista_CUIT[#All],4,0)),"CUIT NO CARGADO")</f>
        <v>0</v>
      </c>
    </row>
    <row r="62" spans="4:12" x14ac:dyDescent="0.3">
      <c r="D62" s="50">
        <v>45201</v>
      </c>
      <c r="E62" s="42">
        <v>3</v>
      </c>
      <c r="F62" s="343">
        <v>784</v>
      </c>
      <c r="G62" s="44">
        <v>20086277523</v>
      </c>
      <c r="H62" s="321" t="str">
        <f>IFERROR(IF(factura_c_mes7[[#This Row],[CUIT]]="","-",VLOOKUP(factura_c_mes7[[#This Row],[CUIT]],Lista_CUIT[#All],2,0)),"CUIT NO CARGADO")</f>
        <v>ESTUDIO BOTINDARI</v>
      </c>
      <c r="I62" s="323">
        <v>95500</v>
      </c>
      <c r="J62" s="322" t="str">
        <f>IFERROR(IF(factura_c_mes7[[#This Row],[CUIT]]="","-",VLOOKUP(factura_c_mes7[[#This Row],[CUIT]],Lista_CUIT[#All],3,0)),"CUIT NO CARGADO")</f>
        <v>HONORARIOS</v>
      </c>
      <c r="K62" s="322">
        <f>IFERROR(IF(factura_c_mes7[[#This Row],[CUIT]]="","-",VLOOKUP(factura_c_mes7[[#This Row],[CUIT]],Lista_CUIT[#All],4,0)),"CUIT NO CARGADO")</f>
        <v>0</v>
      </c>
    </row>
    <row r="63" spans="4:12" x14ac:dyDescent="0.3">
      <c r="D63" s="50">
        <v>45202</v>
      </c>
      <c r="E63" s="42">
        <v>1</v>
      </c>
      <c r="F63" s="343">
        <v>15</v>
      </c>
      <c r="G63" s="44">
        <v>20338344695</v>
      </c>
      <c r="H63" s="321" t="str">
        <f>IFERROR(IF(factura_c_mes7[[#This Row],[CUIT]]="","-",VLOOKUP(factura_c_mes7[[#This Row],[CUIT]],Lista_CUIT[#All],2,0)),"CUIT NO CARGADO")</f>
        <v>FUERTES DAMIAN MATIAS</v>
      </c>
      <c r="I63" s="323">
        <v>90900</v>
      </c>
      <c r="J63" s="322" t="str">
        <f>IFERROR(IF(factura_c_mes7[[#This Row],[CUIT]]="","-",VLOOKUP(factura_c_mes7[[#This Row],[CUIT]],Lista_CUIT[#All],3,0)),"CUIT NO CARGADO")</f>
        <v>INSUMO</v>
      </c>
      <c r="K63" s="322">
        <f>IFERROR(IF(factura_c_mes7[[#This Row],[CUIT]]="","-",VLOOKUP(factura_c_mes7[[#This Row],[CUIT]],Lista_CUIT[#All],4,0)),"CUIT NO CARGADO")</f>
        <v>0</v>
      </c>
    </row>
    <row r="64" spans="4:12" x14ac:dyDescent="0.3">
      <c r="D64" s="50">
        <v>45208</v>
      </c>
      <c r="E64" s="42">
        <v>4</v>
      </c>
      <c r="F64" s="343">
        <v>18</v>
      </c>
      <c r="G64" s="44">
        <v>20341462933</v>
      </c>
      <c r="H64" s="321" t="str">
        <f>IFERROR(IF(factura_c_mes7[[#This Row],[CUIT]]="","-",VLOOKUP(factura_c_mes7[[#This Row],[CUIT]],Lista_CUIT[#All],2,0)),"CUIT NO CARGADO")</f>
        <v>CASTIGLIONI MATIAS EZEQUIEL</v>
      </c>
      <c r="I64" s="323">
        <v>195000</v>
      </c>
      <c r="J64" s="322" t="str">
        <f>IFERROR(IF(factura_c_mes7[[#This Row],[CUIT]]="","-",VLOOKUP(factura_c_mes7[[#This Row],[CUIT]],Lista_CUIT[#All],3,0)),"CUIT NO CARGADO")</f>
        <v>ASESORAMIENTO</v>
      </c>
      <c r="K64" s="322" t="str">
        <f>IFERROR(IF(factura_c_mes7[[#This Row],[CUIT]]="","-",VLOOKUP(factura_c_mes7[[#This Row],[CUIT]],Lista_CUIT[#All],4,0)),"CUIT NO CARGADO")</f>
        <v>BUENOS AIRES</v>
      </c>
    </row>
    <row r="65" spans="2:18" x14ac:dyDescent="0.3">
      <c r="D65" s="50">
        <v>45211</v>
      </c>
      <c r="E65" s="42">
        <v>9</v>
      </c>
      <c r="F65" s="43">
        <v>3994367</v>
      </c>
      <c r="G65" s="44">
        <v>33715179119</v>
      </c>
      <c r="H65" s="321" t="str">
        <f>IFERROR(IF(factura_c_mes7[[#This Row],[CUIT]]="","-",VLOOKUP(factura_c_mes7[[#This Row],[CUIT]],Lista_CUIT[#All],2,0)),"CUIT NO CARGADO")</f>
        <v>FONDO DE COOPERACION TECNICA Y FINANCIERA - CECBA - SL Y T - LEY 23.412</v>
      </c>
      <c r="I65" s="323">
        <v>855</v>
      </c>
      <c r="J65" s="322">
        <f>IFERROR(IF(factura_c_mes7[[#This Row],[CUIT]]="","-",VLOOKUP(factura_c_mes7[[#This Row],[CUIT]],Lista_CUIT[#All],3,0)),"CUIT NO CARGADO")</f>
        <v>0</v>
      </c>
      <c r="K65" s="322">
        <f>IFERROR(IF(factura_c_mes7[[#This Row],[CUIT]]="","-",VLOOKUP(factura_c_mes7[[#This Row],[CUIT]],Lista_CUIT[#All],4,0)),"CUIT NO CARGADO")</f>
        <v>0</v>
      </c>
    </row>
    <row r="66" spans="2:18" x14ac:dyDescent="0.3">
      <c r="D66" s="50">
        <v>45218</v>
      </c>
      <c r="E66" s="42">
        <v>2</v>
      </c>
      <c r="F66" s="343">
        <v>652</v>
      </c>
      <c r="G66" s="44">
        <v>20400104094</v>
      </c>
      <c r="H66" s="321" t="str">
        <f>IFERROR(IF(factura_c_mes7[[#This Row],[CUIT]]="","-",VLOOKUP(factura_c_mes7[[#This Row],[CUIT]],Lista_CUIT[#All],2,0)),"CUIT NO CARGADO")</f>
        <v>FEDERICO BOTINDARI</v>
      </c>
      <c r="I66" s="323">
        <v>20830</v>
      </c>
      <c r="J66" s="322" t="str">
        <f>IFERROR(IF(factura_c_mes7[[#This Row],[CUIT]]="","-",VLOOKUP(factura_c_mes7[[#This Row],[CUIT]],Lista_CUIT[#All],3,0)),"CUIT NO CARGADO")</f>
        <v>HONORARIOS</v>
      </c>
      <c r="K66" s="322">
        <f>IFERROR(IF(factura_c_mes7[[#This Row],[CUIT]]="","-",VLOOKUP(factura_c_mes7[[#This Row],[CUIT]],Lista_CUIT[#All],4,0)),"CUIT NO CARGADO")</f>
        <v>0</v>
      </c>
    </row>
    <row r="67" spans="2:18" x14ac:dyDescent="0.3">
      <c r="D67" s="50">
        <v>45222</v>
      </c>
      <c r="E67" s="42">
        <v>2</v>
      </c>
      <c r="F67" s="43">
        <v>92</v>
      </c>
      <c r="G67" s="44">
        <v>20244271740</v>
      </c>
      <c r="H67" s="321" t="str">
        <f>IFERROR(IF(factura_c_mes7[[#This Row],[CUIT]]="","-",VLOOKUP(factura_c_mes7[[#This Row],[CUIT]],Lista_CUIT[#All],2,0)),"CUIT NO CARGADO")</f>
        <v>KENNEL SEBASTIAN</v>
      </c>
      <c r="I67" s="323">
        <v>171000</v>
      </c>
      <c r="J67" s="322" t="str">
        <f>IFERROR(IF(factura_c_mes7[[#This Row],[CUIT]]="","-",VLOOKUP(factura_c_mes7[[#This Row],[CUIT]],Lista_CUIT[#All],3,0)),"CUIT NO CARGADO")</f>
        <v>Software Mantenimiento</v>
      </c>
      <c r="K67" s="322">
        <f>IFERROR(IF(factura_c_mes7[[#This Row],[CUIT]]="","-",VLOOKUP(factura_c_mes7[[#This Row],[CUIT]],Lista_CUIT[#All],4,0)),"CUIT NO CARGADO")</f>
        <v>0</v>
      </c>
    </row>
    <row r="68" spans="2:18" x14ac:dyDescent="0.3">
      <c r="D68" s="50">
        <v>45223</v>
      </c>
      <c r="E68" s="42">
        <v>1</v>
      </c>
      <c r="F68" s="43">
        <v>30</v>
      </c>
      <c r="G68" s="44">
        <v>20365938688</v>
      </c>
      <c r="H68" s="321" t="str">
        <f>IFERROR(IF(factura_c_mes7[[#This Row],[CUIT]]="","-",VLOOKUP(factura_c_mes7[[#This Row],[CUIT]],Lista_CUIT[#All],2,0)),"CUIT NO CARGADO")</f>
        <v>LIPANOVICH JUAN CRUZ</v>
      </c>
      <c r="I68" s="323">
        <v>600000</v>
      </c>
      <c r="J68" s="322" t="str">
        <f>IFERROR(IF(factura_c_mes7[[#This Row],[CUIT]]="","-",VLOOKUP(factura_c_mes7[[#This Row],[CUIT]],Lista_CUIT[#All],3,0)),"CUIT NO CARGADO")</f>
        <v>SOFTWARE</v>
      </c>
      <c r="K68" s="322">
        <f>IFERROR(IF(factura_c_mes7[[#This Row],[CUIT]]="","-",VLOOKUP(factura_c_mes7[[#This Row],[CUIT]],Lista_CUIT[#All],4,0)),"CUIT NO CARGADO")</f>
        <v>0</v>
      </c>
    </row>
    <row r="69" spans="2:18" x14ac:dyDescent="0.3">
      <c r="D69" s="50">
        <v>45226</v>
      </c>
      <c r="E69" s="42">
        <v>3</v>
      </c>
      <c r="F69" s="43">
        <v>63</v>
      </c>
      <c r="G69" s="44">
        <v>20403931420</v>
      </c>
      <c r="H69" s="321" t="str">
        <f>IFERROR(IF(factura_c_mes7[[#This Row],[CUIT]]="","-",VLOOKUP(factura_c_mes7[[#This Row],[CUIT]],Lista_CUIT[#All],2,0)),"CUIT NO CARGADO")</f>
        <v>FIORENTINO JORGE IGNACIO</v>
      </c>
      <c r="I69" s="323">
        <v>177130</v>
      </c>
      <c r="J69" s="322" t="str">
        <f>IFERROR(IF(factura_c_mes7[[#This Row],[CUIT]]="","-",VLOOKUP(factura_c_mes7[[#This Row],[CUIT]],Lista_CUIT[#All],3,0)),"CUIT NO CARGADO")</f>
        <v>Hon. Admin.</v>
      </c>
      <c r="K69" s="322">
        <f>IFERROR(IF(factura_c_mes7[[#This Row],[CUIT]]="","-",VLOOKUP(factura_c_mes7[[#This Row],[CUIT]],Lista_CUIT[#All],4,0)),"CUIT NO CARGADO")</f>
        <v>0</v>
      </c>
    </row>
    <row r="70" spans="2:18" x14ac:dyDescent="0.3">
      <c r="D70" s="50">
        <v>45228</v>
      </c>
      <c r="E70" s="42">
        <v>1</v>
      </c>
      <c r="F70" s="343">
        <v>296</v>
      </c>
      <c r="G70" s="44">
        <v>27925308868</v>
      </c>
      <c r="H70" s="321" t="str">
        <f>IFERROR(IF(factura_c_mes7[[#This Row],[CUIT]]="","-",VLOOKUP(factura_c_mes7[[#This Row],[CUIT]],Lista_CUIT[#All],2,0)),"CUIT NO CARGADO")</f>
        <v>LOPEZ MOLINA MARIA</v>
      </c>
      <c r="I70" s="323">
        <v>5000</v>
      </c>
      <c r="J70" s="322">
        <f>IFERROR(IF(factura_c_mes7[[#This Row],[CUIT]]="","-",VLOOKUP(factura_c_mes7[[#This Row],[CUIT]],Lista_CUIT[#All],3,0)),"CUIT NO CARGADO")</f>
        <v>0</v>
      </c>
      <c r="K70" s="322">
        <f>IFERROR(IF(factura_c_mes7[[#This Row],[CUIT]]="","-",VLOOKUP(factura_c_mes7[[#This Row],[CUIT]],Lista_CUIT[#All],4,0)),"CUIT NO CARGADO")</f>
        <v>0</v>
      </c>
    </row>
    <row r="71" spans="2:18" x14ac:dyDescent="0.3">
      <c r="D71" s="50">
        <v>45229</v>
      </c>
      <c r="E71" s="42">
        <v>2</v>
      </c>
      <c r="F71" s="343">
        <v>157</v>
      </c>
      <c r="G71" s="44">
        <v>20136544625</v>
      </c>
      <c r="H71" s="53" t="str">
        <f>IFERROR(IF(factura_c_mes7[[#This Row],[CUIT]]="","-",VLOOKUP(factura_c_mes7[[#This Row],[CUIT]],Lista_CUIT[#All],2,0)),"CUIT NO CARGADO")</f>
        <v>RODRIGUEZ DE LA FUEN HECTOR MARCELO</v>
      </c>
      <c r="I71" s="324">
        <v>100000</v>
      </c>
      <c r="J71" s="54" t="str">
        <f>IFERROR(IF(factura_c_mes7[[#This Row],[CUIT]]="","-",VLOOKUP(factura_c_mes7[[#This Row],[CUIT]],Lista_CUIT[#All],3,0)),"CUIT NO CARGADO")</f>
        <v>Hon. Admin.</v>
      </c>
      <c r="K71" s="54">
        <f>IFERROR(IF(factura_c_mes7[[#This Row],[CUIT]]="","-",VLOOKUP(factura_c_mes7[[#This Row],[CUIT]],Lista_CUIT[#All],4,0)),"CUIT NO CARGADO")</f>
        <v>0</v>
      </c>
    </row>
    <row r="72" spans="2:18" x14ac:dyDescent="0.3">
      <c r="D72" s="50">
        <v>45230</v>
      </c>
      <c r="E72" s="42">
        <v>1</v>
      </c>
      <c r="F72" s="343">
        <v>17</v>
      </c>
      <c r="G72" s="44">
        <v>27387896150</v>
      </c>
      <c r="H72" s="53" t="str">
        <f>IFERROR(IF(factura_c_mes7[[#This Row],[CUIT]]="","-",VLOOKUP(factura_c_mes7[[#This Row],[CUIT]],Lista_CUIT[#All],2,0)),"CUIT NO CARGADO")</f>
        <v>LIPANOVICH MARIA SOL</v>
      </c>
      <c r="I72" s="324">
        <v>400000</v>
      </c>
      <c r="J72" s="54" t="str">
        <f>IFERROR(IF(factura_c_mes7[[#This Row],[CUIT]]="","-",VLOOKUP(factura_c_mes7[[#This Row],[CUIT]],Lista_CUIT[#All],3,0)),"CUIT NO CARGADO")</f>
        <v>consultoria informatica</v>
      </c>
      <c r="K72" s="54">
        <f>IFERROR(IF(factura_c_mes7[[#This Row],[CUIT]]="","-",VLOOKUP(factura_c_mes7[[#This Row],[CUIT]],Lista_CUIT[#All],4,0)),"CUIT NO CARGADO")</f>
        <v>0</v>
      </c>
    </row>
    <row r="73" spans="2:18" x14ac:dyDescent="0.3">
      <c r="D73" s="50"/>
      <c r="E73" s="42"/>
      <c r="F73" s="43"/>
      <c r="G73" s="44"/>
      <c r="H73" s="53" t="str">
        <f>IFERROR(IF(factura_c_mes7[[#This Row],[CUIT]]="","-",VLOOKUP(factura_c_mes7[[#This Row],[CUIT]],Lista_CUIT[#All],2,0)),"CUIT NO CARGADO")</f>
        <v>-</v>
      </c>
      <c r="I73" s="81"/>
      <c r="J73" s="54" t="str">
        <f>IFERROR(IF(factura_c_mes7[[#This Row],[CUIT]]="","-",VLOOKUP(factura_c_mes7[[#This Row],[CUIT]],Lista_CUIT[#All],3,0)),"CUIT NO CARGADO")</f>
        <v>-</v>
      </c>
      <c r="K73" s="54" t="str">
        <f>IFERROR(IF(factura_c_mes7[[#This Row],[CUIT]]="","-",VLOOKUP(factura_c_mes7[[#This Row],[CUIT]],Lista_CUIT[#All],4,0)),"CUIT NO CARGADO")</f>
        <v>-</v>
      </c>
    </row>
    <row r="74" spans="2:18" x14ac:dyDescent="0.3">
      <c r="D74" s="50"/>
      <c r="E74" s="42"/>
      <c r="F74" s="43"/>
      <c r="G74" s="44"/>
      <c r="H74" s="53" t="str">
        <f>IFERROR(IF(factura_c_mes7[[#This Row],[CUIT]]="","-",VLOOKUP(factura_c_mes7[[#This Row],[CUIT]],Lista_CUIT[#All],2,0)),"CUIT NO CARGADO")</f>
        <v>-</v>
      </c>
      <c r="I74" s="81"/>
      <c r="J74" s="54" t="str">
        <f>IFERROR(IF(factura_c_mes7[[#This Row],[CUIT]]="","-",VLOOKUP(factura_c_mes7[[#This Row],[CUIT]],Lista_CUIT[#All],3,0)),"CUIT NO CARGADO")</f>
        <v>-</v>
      </c>
      <c r="K74" s="54" t="str">
        <f>IFERROR(IF(factura_c_mes7[[#This Row],[CUIT]]="","-",VLOOKUP(factura_c_mes7[[#This Row],[CUIT]],Lista_CUIT[#All],4,0)),"CUIT NO CARGADO")</f>
        <v>-</v>
      </c>
    </row>
    <row r="75" spans="2:18" s="56" customFormat="1" ht="18.600000000000001" customHeight="1" x14ac:dyDescent="0.3">
      <c r="B75"/>
      <c r="C75"/>
      <c r="D75" s="55" t="s">
        <v>110</v>
      </c>
      <c r="E75" s="55"/>
      <c r="F75" s="55"/>
      <c r="G75" s="55"/>
      <c r="H75" s="57"/>
      <c r="I75" s="58">
        <f>SUBTOTAL(109,factura_c_mes7[TOTAL])</f>
        <v>2704985</v>
      </c>
      <c r="J75" s="55"/>
      <c r="K75" s="55"/>
      <c r="L75"/>
      <c r="M75"/>
      <c r="N75"/>
      <c r="O75"/>
      <c r="P75"/>
      <c r="Q75"/>
      <c r="R75"/>
    </row>
    <row r="76" spans="2:18" x14ac:dyDescent="0.3">
      <c r="B76" s="56"/>
      <c r="C76" s="56"/>
      <c r="L76" s="56"/>
      <c r="M76" s="56"/>
      <c r="N76" s="56"/>
      <c r="O76" s="56"/>
      <c r="P76" s="56"/>
      <c r="Q76" s="56"/>
      <c r="R76" s="56"/>
    </row>
    <row r="81" spans="2:13" ht="25.8" x14ac:dyDescent="0.3">
      <c r="B81" s="430" t="s">
        <v>29</v>
      </c>
      <c r="C81" s="430"/>
      <c r="D81" s="430"/>
      <c r="E81" s="430"/>
      <c r="F81" s="430"/>
      <c r="G81" s="430"/>
      <c r="H81" s="430"/>
      <c r="I81" s="430"/>
      <c r="J81" s="430"/>
      <c r="K81" s="426">
        <f>N1</f>
        <v>45200</v>
      </c>
      <c r="L81" s="426"/>
      <c r="M81" s="426"/>
    </row>
    <row r="82" spans="2:13" ht="22.5" customHeight="1" x14ac:dyDescent="0.3"/>
    <row r="83" spans="2:13" ht="21" x14ac:dyDescent="0.3">
      <c r="B83" s="422" t="s">
        <v>30</v>
      </c>
      <c r="C83" s="422"/>
    </row>
    <row r="84" spans="2:13" ht="18" customHeight="1" x14ac:dyDescent="0.3">
      <c r="B84" s="60" t="s">
        <v>0</v>
      </c>
      <c r="C84" s="61" t="s">
        <v>1</v>
      </c>
      <c r="D84" s="61" t="s">
        <v>21</v>
      </c>
      <c r="E84" s="61" t="s">
        <v>22</v>
      </c>
      <c r="F84" s="61" t="s">
        <v>3</v>
      </c>
      <c r="G84" s="61" t="s">
        <v>4</v>
      </c>
      <c r="H84" s="61" t="s">
        <v>23</v>
      </c>
      <c r="I84" s="61" t="s">
        <v>17</v>
      </c>
      <c r="J84" s="61" t="s">
        <v>7</v>
      </c>
      <c r="K84" s="61" t="s">
        <v>24</v>
      </c>
      <c r="L84" s="61" t="s">
        <v>10</v>
      </c>
      <c r="M84" s="62" t="s">
        <v>38</v>
      </c>
    </row>
    <row r="85" spans="2:13" x14ac:dyDescent="0.3">
      <c r="B85" s="40">
        <v>45201</v>
      </c>
      <c r="C85" s="41">
        <v>1</v>
      </c>
      <c r="D85" s="42">
        <v>3</v>
      </c>
      <c r="E85" s="43">
        <v>166</v>
      </c>
      <c r="F85" s="44">
        <v>30638318470</v>
      </c>
      <c r="G85" s="99" t="str">
        <f>IFERROR(IF(venta_a_mes7[[#This Row],[CUIT]]="","-",VLOOKUP(venta_a_mes7[[#This Row],[CUIT]],Lista_CUIT[#All],2,0)),"CUIT NO CARGADO")</f>
        <v>DELTA COMPRESION S R L</v>
      </c>
      <c r="H85" s="100">
        <v>10374267.75</v>
      </c>
      <c r="I85" s="101"/>
      <c r="J85" s="65">
        <v>1089296.3639999998</v>
      </c>
      <c r="K85" s="65"/>
      <c r="L85" s="65">
        <f>SUM(venta_a_mes7[[#This Row],[IMPORTE NETO]:[EXENTO]])</f>
        <v>11463564.114</v>
      </c>
      <c r="M85" s="59"/>
    </row>
    <row r="86" spans="2:13" x14ac:dyDescent="0.3">
      <c r="B86" s="40">
        <v>45201</v>
      </c>
      <c r="C86" s="41">
        <v>1</v>
      </c>
      <c r="D86" s="42">
        <v>3</v>
      </c>
      <c r="E86" s="43">
        <v>167</v>
      </c>
      <c r="F86" s="44">
        <v>30638318470</v>
      </c>
      <c r="G86" s="99" t="str">
        <f>IFERROR(IF(venta_a_mes7[[#This Row],[CUIT]]="","-",VLOOKUP(venta_a_mes7[[#This Row],[CUIT]],Lista_CUIT[#All],2,0)),"CUIT NO CARGADO")</f>
        <v>DELTA COMPRESION S R L</v>
      </c>
      <c r="H86" s="100">
        <v>2311769.6999999997</v>
      </c>
      <c r="I86" s="101">
        <f>venta_a_mes7[[#This Row],[IMPORTE NETO]]*0.21</f>
        <v>485471.63699999993</v>
      </c>
      <c r="J86" s="65"/>
      <c r="K86" s="65"/>
      <c r="L86" s="65">
        <f>SUM(venta_a_mes7[[#This Row],[IMPORTE NETO]:[EXENTO]])</f>
        <v>2797241.3369999998</v>
      </c>
      <c r="M86" s="59"/>
    </row>
    <row r="87" spans="2:13" x14ac:dyDescent="0.3">
      <c r="B87" s="40">
        <v>45217</v>
      </c>
      <c r="C87" s="41">
        <v>1</v>
      </c>
      <c r="D87" s="42">
        <v>3</v>
      </c>
      <c r="E87" s="43">
        <v>169</v>
      </c>
      <c r="F87" s="44">
        <v>33717088269</v>
      </c>
      <c r="G87" s="99" t="str">
        <f>IFERROR(IF(venta_a_mes7[[#This Row],[CUIT]]="","-",VLOOKUP(venta_a_mes7[[#This Row],[CUIT]],Lista_CUIT[#All],2,0)),"CUIT NO CARGADO")</f>
        <v>NEXT SERVICE GNC S.R.L.</v>
      </c>
      <c r="H87" s="100">
        <v>1140447.6100000001</v>
      </c>
      <c r="I87" s="101">
        <f>venta_a_mes7[[#This Row],[IMPORTE NETO]]*0.21</f>
        <v>239493.99810000003</v>
      </c>
      <c r="J87" s="65"/>
      <c r="K87" s="65"/>
      <c r="L87" s="65">
        <f>SUM(venta_a_mes7[[#This Row],[IMPORTE NETO]:[EXENTO]])</f>
        <v>1379941.6081000001</v>
      </c>
      <c r="M87" s="59"/>
    </row>
    <row r="88" spans="2:13" x14ac:dyDescent="0.3">
      <c r="B88" s="40">
        <v>45217</v>
      </c>
      <c r="C88" s="41">
        <v>1</v>
      </c>
      <c r="D88" s="42">
        <v>3</v>
      </c>
      <c r="E88" s="43">
        <v>168</v>
      </c>
      <c r="F88" s="44">
        <v>30638318470</v>
      </c>
      <c r="G88" s="99" t="str">
        <f>IFERROR(IF(venta_a_mes7[[#This Row],[CUIT]]="","-",VLOOKUP(venta_a_mes7[[#This Row],[CUIT]],Lista_CUIT[#All],2,0)),"CUIT NO CARGADO")</f>
        <v>DELTA COMPRESION S R L</v>
      </c>
      <c r="H88" s="100">
        <v>10728814.5</v>
      </c>
      <c r="I88" s="101"/>
      <c r="J88" s="65">
        <v>1126523.7720000001</v>
      </c>
      <c r="K88" s="65"/>
      <c r="L88" s="65">
        <f>SUM(venta_a_mes7[[#This Row],[IMPORTE NETO]:[EXENTO]])</f>
        <v>11855338.272</v>
      </c>
      <c r="M88" s="59"/>
    </row>
    <row r="89" spans="2:13" x14ac:dyDescent="0.3">
      <c r="B89" s="40"/>
      <c r="C89" s="41"/>
      <c r="D89" s="42"/>
      <c r="E89" s="43"/>
      <c r="F89" s="44"/>
      <c r="G89" s="99" t="str">
        <f>IFERROR(IF(venta_a_mes7[[#This Row],[CUIT]]="","-",VLOOKUP(venta_a_mes7[[#This Row],[CUIT]],Lista_CUIT[#All],2,0)),"CUIT NO CARGADO")</f>
        <v>-</v>
      </c>
      <c r="H89" s="100"/>
      <c r="I89" s="101">
        <f>venta_a_mes7[[#This Row],[IMPORTE NETO]]*0.21</f>
        <v>0</v>
      </c>
      <c r="J89" s="65"/>
      <c r="K89" s="65"/>
      <c r="L89" s="65">
        <f>SUM(venta_a_mes7[[#This Row],[IMPORTE NETO]:[EXENTO]])</f>
        <v>0</v>
      </c>
      <c r="M89" s="59"/>
    </row>
    <row r="90" spans="2:13" x14ac:dyDescent="0.3">
      <c r="B90" s="40"/>
      <c r="C90" s="41"/>
      <c r="D90" s="42"/>
      <c r="E90" s="43"/>
      <c r="F90" s="44"/>
      <c r="G90" s="99" t="str">
        <f>IFERROR(IF(venta_a_mes7[[#This Row],[CUIT]]="","-",VLOOKUP(venta_a_mes7[[#This Row],[CUIT]],Lista_CUIT[#All],2,0)),"CUIT NO CARGADO")</f>
        <v>-</v>
      </c>
      <c r="H90" s="100"/>
      <c r="I90" s="101">
        <f>venta_a_mes7[[#This Row],[IMPORTE NETO]]*0.21</f>
        <v>0</v>
      </c>
      <c r="J90" s="65"/>
      <c r="K90" s="65"/>
      <c r="L90" s="65">
        <f>SUM(venta_a_mes7[[#This Row],[IMPORTE NETO]:[EXENTO]])</f>
        <v>0</v>
      </c>
      <c r="M90" s="59"/>
    </row>
    <row r="91" spans="2:13" x14ac:dyDescent="0.3">
      <c r="B91" s="40"/>
      <c r="C91" s="41"/>
      <c r="D91" s="42"/>
      <c r="E91" s="43"/>
      <c r="F91" s="44"/>
      <c r="G91" s="99" t="str">
        <f>IFERROR(IF(venta_a_mes7[[#This Row],[CUIT]]="","-",VLOOKUP(venta_a_mes7[[#This Row],[CUIT]],Lista_CUIT[#All],2,0)),"CUIT NO CARGADO")</f>
        <v>-</v>
      </c>
      <c r="H91" s="100"/>
      <c r="I91" s="101">
        <f>venta_a_mes7[[#This Row],[IMPORTE NETO]]*0.21</f>
        <v>0</v>
      </c>
      <c r="J91" s="65"/>
      <c r="K91" s="65"/>
      <c r="L91" s="65">
        <f>SUM(venta_a_mes7[[#This Row],[IMPORTE NETO]:[EXENTO]])</f>
        <v>0</v>
      </c>
      <c r="M91" s="63"/>
    </row>
    <row r="92" spans="2:13" x14ac:dyDescent="0.3">
      <c r="B92" s="102"/>
      <c r="C92" s="103"/>
      <c r="D92" s="104"/>
      <c r="E92" s="105"/>
      <c r="F92" s="106"/>
      <c r="G92" s="99" t="str">
        <f>IFERROR(IF(venta_a_mes7[[#This Row],[CUIT]]="","-",VLOOKUP(venta_a_mes7[[#This Row],[CUIT]],Lista_CUIT[#All],2,0)),"CUIT NO CARGADO")</f>
        <v>-</v>
      </c>
      <c r="H92" s="107"/>
      <c r="I92" s="108">
        <f>venta_a_mes7[[#This Row],[IMPORTE NETO]]*0.21</f>
        <v>0</v>
      </c>
      <c r="J92" s="72"/>
      <c r="K92" s="72"/>
      <c r="L92" s="72">
        <f>SUM(venta_a_mes7[[#This Row],[IMPORTE NETO]:[EXENTO]])</f>
        <v>0</v>
      </c>
      <c r="M92" s="63"/>
    </row>
    <row r="93" spans="2:13" x14ac:dyDescent="0.3">
      <c r="B93" s="109"/>
      <c r="C93" s="110"/>
      <c r="D93" s="111"/>
      <c r="E93" s="112"/>
      <c r="F93" s="113"/>
      <c r="G93" s="99" t="str">
        <f>IFERROR(IF(venta_a_mes7[[#This Row],[CUIT]]="","-",VLOOKUP(venta_a_mes7[[#This Row],[CUIT]],Lista_CUIT[#All],2,0)),"CUIT NO CARGADO")</f>
        <v>-</v>
      </c>
      <c r="H93" s="100"/>
      <c r="I93" s="101">
        <f>venta_a_mes7[[#This Row],[IMPORTE NETO]]*0.21</f>
        <v>0</v>
      </c>
      <c r="J93" s="65"/>
      <c r="K93" s="65"/>
      <c r="L93" s="65">
        <f>SUM(venta_a_mes7[[#This Row],[IMPORTE NETO]:[EXENTO]])</f>
        <v>0</v>
      </c>
      <c r="M93" s="59"/>
    </row>
    <row r="94" spans="2:13" ht="25.95" customHeight="1" x14ac:dyDescent="0.3">
      <c r="B94" s="66" t="s">
        <v>110</v>
      </c>
      <c r="C94" s="67"/>
      <c r="D94" s="67"/>
      <c r="E94" s="67"/>
      <c r="F94" s="67"/>
      <c r="G94" s="67"/>
      <c r="H94" s="345">
        <f>SUBTOTAL(109,venta_a_mes7[IMPORTE NETO])</f>
        <v>24555299.559999999</v>
      </c>
      <c r="I94" s="346">
        <f>SUBTOTAL(109,venta_a_mes7[IVA 21%])</f>
        <v>724965.63509999996</v>
      </c>
      <c r="J94" s="344">
        <f>SUBTOTAL(109,venta_a_mes7[IVA 10,5%])</f>
        <v>2215820.1359999999</v>
      </c>
      <c r="K94" s="344">
        <f>SUBTOTAL(109,venta_a_mes7[EXENTO])</f>
        <v>0</v>
      </c>
      <c r="L94" s="344">
        <f>SUBTOTAL(109,venta_a_mes7[TOTAL])</f>
        <v>27496085.331100002</v>
      </c>
      <c r="M94" s="68">
        <f>SUBTOTAL(103,venta_a_mes7[Provincia])</f>
        <v>0</v>
      </c>
    </row>
    <row r="96" spans="2:13" ht="17.25" customHeight="1" x14ac:dyDescent="0.3"/>
    <row r="97" spans="2:14" ht="31.5" customHeight="1" x14ac:dyDescent="0.3">
      <c r="B97" s="422" t="s">
        <v>1129</v>
      </c>
      <c r="C97" s="422"/>
    </row>
    <row r="98" spans="2:14" ht="15.6" x14ac:dyDescent="0.3">
      <c r="B98" s="60" t="s">
        <v>0</v>
      </c>
      <c r="C98" s="61" t="s">
        <v>1</v>
      </c>
      <c r="D98" s="61" t="s">
        <v>21</v>
      </c>
      <c r="E98" s="61" t="s">
        <v>22</v>
      </c>
      <c r="F98" s="61" t="s">
        <v>3</v>
      </c>
      <c r="G98" s="61" t="s">
        <v>4</v>
      </c>
      <c r="H98" s="61" t="s">
        <v>23</v>
      </c>
      <c r="I98" s="61" t="s">
        <v>17</v>
      </c>
      <c r="J98" s="61" t="s">
        <v>7</v>
      </c>
      <c r="K98" s="61" t="s">
        <v>24</v>
      </c>
      <c r="L98" s="61" t="s">
        <v>10</v>
      </c>
      <c r="M98" s="62" t="s">
        <v>38</v>
      </c>
    </row>
    <row r="99" spans="2:14" x14ac:dyDescent="0.3">
      <c r="B99" s="40">
        <v>45216</v>
      </c>
      <c r="C99" s="41">
        <v>6</v>
      </c>
      <c r="D99" s="42">
        <v>30</v>
      </c>
      <c r="E99" s="43">
        <v>70</v>
      </c>
      <c r="F99" s="44">
        <v>55000002053</v>
      </c>
      <c r="G99" s="1" t="str">
        <f>IFERROR(IF(ventas_b_mes7[[#This Row],[CUIT]]="","-",VLOOKUP(ventas_b_mes7[[#This Row],[CUIT]],Lista_CUIT[#All],2,0)),"CUIT NO CARGADO")</f>
        <v>DELTAGAS SA</v>
      </c>
      <c r="H99" s="64"/>
      <c r="I99" s="64"/>
      <c r="J99" s="64"/>
      <c r="K99" s="64">
        <v>3943936.5</v>
      </c>
      <c r="L99" s="64">
        <f>SUM(ventas_b_mes7[[#This Row],[IMPORTE NETO]:[EXENTO]])</f>
        <v>3943936.5</v>
      </c>
      <c r="M99" s="59"/>
    </row>
    <row r="100" spans="2:14" x14ac:dyDescent="0.3">
      <c r="B100" s="40">
        <v>45216</v>
      </c>
      <c r="C100" s="41">
        <v>6</v>
      </c>
      <c r="D100" s="42">
        <v>30</v>
      </c>
      <c r="E100" s="43">
        <v>69</v>
      </c>
      <c r="F100" s="44">
        <v>55000002053</v>
      </c>
      <c r="G100" s="1" t="str">
        <f>IFERROR(IF(ventas_b_mes7[[#This Row],[CUIT]]="","-",VLOOKUP(ventas_b_mes7[[#This Row],[CUIT]],Lista_CUIT[#All],2,0)),"CUIT NO CARGADO")</f>
        <v>DELTAGAS SA</v>
      </c>
      <c r="H100" s="64"/>
      <c r="I100" s="64"/>
      <c r="J100" s="64"/>
      <c r="K100" s="64">
        <v>3943936.5</v>
      </c>
      <c r="L100" s="64">
        <f>SUM(ventas_b_mes7[[#This Row],[IMPORTE NETO]:[EXENTO]])</f>
        <v>3943936.5</v>
      </c>
      <c r="M100" s="59"/>
    </row>
    <row r="101" spans="2:14" x14ac:dyDescent="0.3">
      <c r="B101" s="40">
        <v>45216</v>
      </c>
      <c r="C101" s="41">
        <v>8</v>
      </c>
      <c r="D101" s="42">
        <v>30</v>
      </c>
      <c r="E101" s="43">
        <v>17</v>
      </c>
      <c r="F101" s="44">
        <v>55000002053</v>
      </c>
      <c r="G101" s="1" t="str">
        <f>IFERROR(IF(ventas_b_mes7[[#This Row],[CUIT]]="","-",VLOOKUP(ventas_b_mes7[[#This Row],[CUIT]],Lista_CUIT[#All],2,0)),"CUIT NO CARGADO")</f>
        <v>DELTAGAS SA</v>
      </c>
      <c r="H101" s="64"/>
      <c r="I101" s="64"/>
      <c r="J101" s="64"/>
      <c r="K101" s="64">
        <v>-3943936.5</v>
      </c>
      <c r="L101" s="64">
        <f>SUM(ventas_b_mes7[[#This Row],[IMPORTE NETO]:[EXENTO]])</f>
        <v>-3943936.5</v>
      </c>
      <c r="M101" s="59"/>
      <c r="N101" t="s">
        <v>1287</v>
      </c>
    </row>
    <row r="102" spans="2:14" x14ac:dyDescent="0.3">
      <c r="B102" s="40"/>
      <c r="C102" s="41"/>
      <c r="D102" s="42"/>
      <c r="E102" s="43"/>
      <c r="F102" s="44"/>
      <c r="G102" s="1"/>
      <c r="H102" s="64"/>
      <c r="I102" s="64"/>
      <c r="J102" s="64"/>
      <c r="K102" s="64"/>
      <c r="L102" s="64">
        <f>SUM(ventas_b_mes7[[#This Row],[IMPORTE NETO]:[EXENTO]])</f>
        <v>0</v>
      </c>
      <c r="M102" s="59"/>
    </row>
    <row r="103" spans="2:14" x14ac:dyDescent="0.3">
      <c r="B103" s="40"/>
      <c r="C103" s="41"/>
      <c r="D103" s="42"/>
      <c r="E103" s="43"/>
      <c r="F103" s="44"/>
      <c r="G103" s="1"/>
      <c r="H103" s="64"/>
      <c r="I103" s="64"/>
      <c r="J103" s="64"/>
      <c r="K103" s="64"/>
      <c r="L103" s="64">
        <f>SUM(ventas_b_mes7[[#This Row],[IMPORTE NETO]:[EXENTO]])</f>
        <v>0</v>
      </c>
      <c r="M103" s="59"/>
    </row>
    <row r="104" spans="2:14" x14ac:dyDescent="0.3">
      <c r="B104" s="40"/>
      <c r="C104" s="41"/>
      <c r="D104" s="42"/>
      <c r="E104" s="43"/>
      <c r="F104" s="44"/>
      <c r="G104" s="1"/>
      <c r="H104" s="64"/>
      <c r="I104" s="64"/>
      <c r="J104" s="64"/>
      <c r="K104" s="64"/>
      <c r="L104" s="64">
        <f>SUM(ventas_b_mes7[[#This Row],[IMPORTE NETO]:[EXENTO]])</f>
        <v>0</v>
      </c>
      <c r="M104" s="59"/>
    </row>
    <row r="105" spans="2:14" x14ac:dyDescent="0.3">
      <c r="B105" s="66" t="s">
        <v>110</v>
      </c>
      <c r="C105" s="67"/>
      <c r="D105" s="67"/>
      <c r="E105" s="67"/>
      <c r="F105" s="67"/>
      <c r="G105" s="67"/>
      <c r="H105" s="77">
        <f>SUBTOTAL(109,ventas_b_mes7[IMPORTE NETO])</f>
        <v>0</v>
      </c>
      <c r="I105" s="77">
        <f>SUBTOTAL(109,ventas_b_mes7[IVA 21%])</f>
        <v>0</v>
      </c>
      <c r="J105" s="78">
        <f>SUBTOTAL(109,ventas_b_mes7[IVA 10,5%])</f>
        <v>0</v>
      </c>
      <c r="K105" s="78">
        <f>SUBTOTAL(109,ventas_b_mes7[EXENTO])</f>
        <v>3943936.5</v>
      </c>
      <c r="L105" s="78">
        <f>SUBTOTAL(109,ventas_b_mes7[TOTAL])</f>
        <v>3943936.5</v>
      </c>
      <c r="M105" s="68">
        <f>SUBTOTAL(103,ventas_b_mes7[Provincia])</f>
        <v>0</v>
      </c>
    </row>
    <row r="107" spans="2:14" ht="19.2" customHeight="1" x14ac:dyDescent="0.3"/>
    <row r="108" spans="2:14" ht="28.95" customHeight="1" x14ac:dyDescent="0.3"/>
    <row r="112" spans="2:14" ht="15" thickBot="1" x14ac:dyDescent="0.35"/>
    <row r="113" spans="3:12" ht="15" thickTop="1" x14ac:dyDescent="0.3">
      <c r="C113" s="433" t="s">
        <v>66</v>
      </c>
      <c r="D113" s="433"/>
      <c r="E113" s="433"/>
      <c r="F113" s="433"/>
      <c r="G113" s="433"/>
      <c r="H113" s="32"/>
      <c r="I113" s="32"/>
      <c r="J113" s="32"/>
    </row>
    <row r="114" spans="3:12" ht="15.6" x14ac:dyDescent="0.3">
      <c r="C114" s="114" t="s">
        <v>67</v>
      </c>
      <c r="D114" s="115" t="s">
        <v>68</v>
      </c>
      <c r="E114" s="115" t="s">
        <v>112</v>
      </c>
      <c r="F114" s="115" t="s">
        <v>3</v>
      </c>
      <c r="G114" s="115" t="s">
        <v>4</v>
      </c>
      <c r="H114" s="116" t="s">
        <v>69</v>
      </c>
      <c r="I114" s="116" t="s">
        <v>70</v>
      </c>
      <c r="J114" s="116" t="s">
        <v>71</v>
      </c>
      <c r="K114" s="116" t="s">
        <v>72</v>
      </c>
      <c r="L114" s="116" t="s">
        <v>73</v>
      </c>
    </row>
    <row r="115" spans="3:12" x14ac:dyDescent="0.3">
      <c r="C115" s="117"/>
      <c r="D115" s="118"/>
      <c r="E115" s="118"/>
      <c r="F115" s="119"/>
      <c r="G115" s="53" t="str">
        <f>IFERROR(IF(Retenciones_mes7[[#This Row],[CUIT]]="","-",VLOOKUP(Retenciones_mes7[[#This Row],[CUIT]],Lista_CUIT[#All],2,0)),"CUIT NO CARGADO")</f>
        <v>-</v>
      </c>
      <c r="H115" s="120"/>
      <c r="I115" s="120"/>
      <c r="J115" s="120"/>
      <c r="K115" s="120"/>
      <c r="L115" s="120"/>
    </row>
    <row r="116" spans="3:12" x14ac:dyDescent="0.3">
      <c r="C116" s="117"/>
      <c r="D116" s="118"/>
      <c r="E116" s="118"/>
      <c r="F116" s="119"/>
      <c r="G116" s="53" t="str">
        <f>IFERROR(IF(Retenciones_mes7[[#This Row],[CUIT]]="","-",VLOOKUP(Retenciones_mes7[[#This Row],[CUIT]],Lista_CUIT[#All],2,0)),"CUIT NO CARGADO")</f>
        <v>-</v>
      </c>
      <c r="H116" s="120"/>
      <c r="I116" s="120"/>
      <c r="J116" s="120"/>
      <c r="K116" s="120"/>
      <c r="L116" s="120"/>
    </row>
    <row r="117" spans="3:12" x14ac:dyDescent="0.3">
      <c r="C117" s="117"/>
      <c r="D117" s="118"/>
      <c r="E117" s="118"/>
      <c r="F117" s="119"/>
      <c r="G117" s="53" t="str">
        <f>IFERROR(IF(Retenciones_mes7[[#This Row],[CUIT]]="","-",VLOOKUP(Retenciones_mes7[[#This Row],[CUIT]],Lista_CUIT[#All],2,0)),"CUIT NO CARGADO")</f>
        <v>-</v>
      </c>
      <c r="H117" s="120"/>
      <c r="I117" s="120"/>
      <c r="J117" s="120"/>
      <c r="K117" s="120"/>
      <c r="L117" s="120"/>
    </row>
    <row r="118" spans="3:12" x14ac:dyDescent="0.3">
      <c r="C118" s="117"/>
      <c r="D118" s="118"/>
      <c r="E118" s="118"/>
      <c r="F118" s="119"/>
      <c r="G118" s="53" t="str">
        <f>IFERROR(IF(Retenciones_mes7[[#This Row],[CUIT]]="","-",VLOOKUP(Retenciones_mes7[[#This Row],[CUIT]],Lista_CUIT[#All],2,0)),"CUIT NO CARGADO")</f>
        <v>-</v>
      </c>
      <c r="H118" s="120"/>
      <c r="I118" s="120"/>
      <c r="J118" s="120"/>
      <c r="K118" s="120"/>
      <c r="L118" s="120"/>
    </row>
    <row r="119" spans="3:12" x14ac:dyDescent="0.3">
      <c r="D119" s="118"/>
      <c r="E119" s="118"/>
      <c r="G119" s="53" t="str">
        <f>IFERROR(IF(Retenciones_mes7[[#This Row],[CUIT]]="","-",VLOOKUP(Retenciones_mes7[[#This Row],[CUIT]],Lista_CUIT[#All],2,0)),"CUIT NO CARGADO")</f>
        <v>-</v>
      </c>
    </row>
    <row r="120" spans="3:12" x14ac:dyDescent="0.3">
      <c r="C120" s="33"/>
    </row>
  </sheetData>
  <mergeCells count="20">
    <mergeCell ref="C113:G113"/>
    <mergeCell ref="B4:E4"/>
    <mergeCell ref="G4:H4"/>
    <mergeCell ref="J4:K4"/>
    <mergeCell ref="M4:N4"/>
    <mergeCell ref="D57:K57"/>
    <mergeCell ref="B81:J81"/>
    <mergeCell ref="K81:M81"/>
    <mergeCell ref="B83:C83"/>
    <mergeCell ref="B97:C97"/>
    <mergeCell ref="P4:R4"/>
    <mergeCell ref="D47:L47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3">
    <dataValidation type="whole" allowBlank="1" showInputMessage="1" showErrorMessage="1" sqref="E59:E74 D85:D93 D99:D104 D9:D41" xr:uid="{00000000-0002-0000-0700-000000000000}">
      <formula1>1</formula1>
      <formula2>9999</formula2>
    </dataValidation>
    <dataValidation type="whole" allowBlank="1" showInputMessage="1" showErrorMessage="1" sqref="F59:F74 E85:E93 E99:E104 E9:E41" xr:uid="{00000000-0002-0000-0700-000001000000}">
      <formula1>1</formula1>
      <formula2>99999999</formula2>
    </dataValidation>
    <dataValidation type="whole" allowBlank="1" showInputMessage="1" showErrorMessage="1" sqref="F99:F104 G59:G74 F85:F93 F9:F41" xr:uid="{00000000-0002-0000-0700-000002000000}">
      <formula1>20000000000</formula1>
      <formula2>33999999999</formula2>
    </dataValidation>
    <dataValidation type="date" allowBlank="1" showInputMessage="1" showErrorMessage="1" sqref="D49:D52 B85:B93 D59:D74 B43:B46 B99:B104 B9:B41" xr:uid="{00000000-0002-0000-0700-000003000000}">
      <formula1>40179</formula1>
      <formula2>TODAY()</formula2>
    </dataValidation>
    <dataValidation type="whole" allowBlank="1" showInputMessage="1" showErrorMessage="1" sqref="C43:C46 C85:C93 C9:C41" xr:uid="{00000000-0002-0000-0700-000004000000}">
      <formula1>1</formula1>
      <formula2>3</formula2>
    </dataValidation>
    <dataValidation type="custom" allowBlank="1" showInputMessage="1" showErrorMessage="1" sqref="H85:K85 H87:K87 H89:K89 H91:K91" xr:uid="{00000000-0002-0000-0700-000005000000}">
      <formula1>IF($C85=3,H85&lt;0,H85&gt;=0)</formula1>
    </dataValidation>
    <dataValidation type="whole" allowBlank="1" showInputMessage="1" showErrorMessage="1" sqref="C99:C104" xr:uid="{00000000-0002-0000-0700-000006000000}">
      <formula1>6</formula1>
      <formula2>8</formula2>
    </dataValidation>
    <dataValidation type="custom" allowBlank="1" showInputMessage="1" showErrorMessage="1" sqref="L87:L89" xr:uid="{00000000-0002-0000-0700-000007000000}">
      <formula1>IF(#REF!=3,#REF!&lt;0,#REF!&gt;=0)</formula1>
    </dataValidation>
    <dataValidation type="custom" allowBlank="1" showInputMessage="1" showErrorMessage="1" sqref="L90:L91" xr:uid="{00000000-0002-0000-0700-000008000000}">
      <formula1>IF($C42=3,L42&lt;0,L42&gt;=0)</formula1>
    </dataValidation>
    <dataValidation type="custom" allowBlank="1" showInputMessage="1" showErrorMessage="1" sqref="H99:L104" xr:uid="{00000000-0002-0000-0700-000009000000}">
      <formula1>IF($C99=8,H99&lt;0,H99&gt;=0)</formula1>
    </dataValidation>
    <dataValidation type="custom" allowBlank="1" showInputMessage="1" showErrorMessage="1" sqref="L85" xr:uid="{00000000-0002-0000-0700-00000A000000}">
      <formula1>IF($C9=3,L9&lt;0,L9&gt;=0)</formula1>
    </dataValidation>
    <dataValidation type="custom" allowBlank="1" showInputMessage="1" showErrorMessage="1" sqref="L86" xr:uid="{00000000-0002-0000-0700-00000B000000}">
      <formula1>IF($C37=3,L37&lt;0,L37&gt;=0)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41" xr:uid="{00000000-0002-0000-0700-00000C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5">
    <tabColor theme="9" tint="0.79998168889431442"/>
  </sheetPr>
  <dimension ref="A1:Z123"/>
  <sheetViews>
    <sheetView showGridLines="0" topLeftCell="G10" zoomScale="80" zoomScaleNormal="80" workbookViewId="0">
      <selection activeCell="H28" sqref="H25:H28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7.88671875" customWidth="1"/>
    <col min="11" max="11" width="20.3320312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EDATE('Abr-23'!N1,8)</f>
        <v>45261</v>
      </c>
      <c r="O1" s="423"/>
      <c r="P1" s="423"/>
      <c r="Q1" s="423"/>
      <c r="R1" s="423"/>
    </row>
    <row r="2" spans="1:26" ht="15" customHeight="1" x14ac:dyDescent="0.3"/>
    <row r="3" spans="1:26" ht="26.4" customHeight="1" x14ac:dyDescent="0.3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2" customHeight="1" x14ac:dyDescent="0.4">
      <c r="B4" s="428">
        <f>SUM(compras_mes9[[#Totals],[NETO GRAVADO]])+extracto_banco_mes9[[#Totals],[NETO]]</f>
        <v>2995538.3428571424</v>
      </c>
      <c r="C4" s="428"/>
      <c r="D4" s="428"/>
      <c r="E4" s="428"/>
      <c r="F4" s="39"/>
      <c r="G4" s="429">
        <f>compras_mes9[[#Totals],[IVA 21 %]]+compras_mes9[[#Totals],[IVA 27%]]+compras_mes9[[#Totals],[IVA 10,5%]]+extracto_banco_mes9[[#Totals],[IVA 21%]]+extracto_banco_mes9[[#Totals],[IVA 10,5%]]</f>
        <v>628206.45339999977</v>
      </c>
      <c r="H4" s="429"/>
      <c r="I4" s="39"/>
      <c r="J4" s="416">
        <f>venta_a_mes9[[#Totals],[IMPORTE NETO]]+ventas_b_mes9[[#Totals],[IMPORTE NETO]]</f>
        <v>18126319</v>
      </c>
      <c r="K4" s="416"/>
      <c r="L4" s="39"/>
      <c r="M4" s="416">
        <f>venta_a_mes9[[#Totals],[IVA 21%]]+venta_a_mes9[[#Totals],[IVA 10,5%]]+ventas_b_mes9[[#Totals],[IVA 21%]]+ventas_b_mes9[[#Totals],[IVA 10,5%]]</f>
        <v>2173759.77</v>
      </c>
      <c r="N4" s="416"/>
      <c r="O4" s="39"/>
      <c r="P4" s="431">
        <f>G4-M4</f>
        <v>-1545553.3166000003</v>
      </c>
      <c r="Q4" s="432"/>
      <c r="R4" s="432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335" t="s">
        <v>1309</v>
      </c>
      <c r="C9" s="208">
        <v>1</v>
      </c>
      <c r="D9" s="336">
        <v>1</v>
      </c>
      <c r="E9" s="337">
        <v>711</v>
      </c>
      <c r="F9" s="338">
        <v>30715048066</v>
      </c>
      <c r="G9" s="339" t="str">
        <f>IFERROR(IF(compras_mes9[[#This Row],[CUIT]]="","-",VLOOKUP(compras_mes9[[#This Row],[CUIT]],Lista_CUIT[#All],2,0)),"CUIT NO CARGADO")</f>
        <v>ROLLS Y EMPANADAS SA</v>
      </c>
      <c r="H9" s="340">
        <v>222660</v>
      </c>
      <c r="I9" s="341">
        <f>IF(compras_mes9[[#This Row],[NETO GRAVADO]]="","",compras_mes9[[#This Row],[NETO GRAVADO]]*0.21)</f>
        <v>46758.6</v>
      </c>
      <c r="J9" s="341"/>
      <c r="K9" s="341"/>
      <c r="L9" s="341"/>
      <c r="M9" s="341"/>
      <c r="N9" s="341"/>
      <c r="O9" s="341"/>
      <c r="P9" s="349">
        <f>SUM(compras_mes9[[#This Row],[NETO GRAVADO]:[Otros / No Grav.]])</f>
        <v>269418.59999999998</v>
      </c>
      <c r="Q9" s="350" t="str">
        <f>IFERROR(IF(compras_mes9[[#This Row],[CUIT]]="","-",VLOOKUP(compras_mes9[[#This Row],[CUIT]],Lista_CUIT[#All],3,0)),"CUIT NO CARGADO")</f>
        <v>CATERING</v>
      </c>
      <c r="R9" s="350">
        <f>IFERROR(IF(compras_mes9[[#This Row],[CUIT]]="","-",VLOOKUP(compras_mes9[[#This Row],[CUIT]],Lista_CUIT[#All],4,0)),"CUIT NO CARGADO")</f>
        <v>0</v>
      </c>
    </row>
    <row r="10" spans="1:26" x14ac:dyDescent="0.3">
      <c r="B10" s="335" t="s">
        <v>1310</v>
      </c>
      <c r="C10" s="208">
        <v>1</v>
      </c>
      <c r="D10" s="336">
        <v>2</v>
      </c>
      <c r="E10" s="337">
        <v>27086</v>
      </c>
      <c r="F10" s="338">
        <v>30615304944</v>
      </c>
      <c r="G10" s="339" t="str">
        <f>IFERROR(IF(compras_mes9[[#This Row],[CUIT]]="","-",VLOOKUP(compras_mes9[[#This Row],[CUIT]],Lista_CUIT[#All],2,0)),"CUIT NO CARGADO")</f>
        <v>O A FERNANDEZ E HIJOS SRL</v>
      </c>
      <c r="H10" s="340">
        <v>16149.02</v>
      </c>
      <c r="I10" s="341">
        <v>730.66</v>
      </c>
      <c r="J10" s="341"/>
      <c r="K10" s="341">
        <v>1330.32</v>
      </c>
      <c r="L10" s="341"/>
      <c r="M10" s="341"/>
      <c r="N10" s="341"/>
      <c r="O10" s="341"/>
      <c r="P10" s="349">
        <f>SUM(compras_mes9[[#This Row],[NETO GRAVADO]:[Otros / No Grav.]])</f>
        <v>18210</v>
      </c>
      <c r="Q10" s="283" t="s">
        <v>1420</v>
      </c>
      <c r="R10" s="350">
        <f>IFERROR(IF(compras_mes9[[#This Row],[CUIT]]="","-",VLOOKUP(compras_mes9[[#This Row],[CUIT]],Lista_CUIT[#All],4,0)),"CUIT NO CARGADO")</f>
        <v>0</v>
      </c>
    </row>
    <row r="11" spans="1:26" x14ac:dyDescent="0.3">
      <c r="B11" s="335" t="s">
        <v>1310</v>
      </c>
      <c r="C11" s="208">
        <v>1</v>
      </c>
      <c r="D11" s="336">
        <v>7002</v>
      </c>
      <c r="E11" s="337">
        <v>12534</v>
      </c>
      <c r="F11" s="338">
        <v>30678774495</v>
      </c>
      <c r="G11" s="339" t="str">
        <f>IFERROR(IF(compras_mes9[[#This Row],[CUIT]]="","-",VLOOKUP(compras_mes9[[#This Row],[CUIT]],Lista_CUIT[#All],2,0)),"CUIT NO CARGADO")</f>
        <v>OPER. DE EST. DE SERV. SA</v>
      </c>
      <c r="H11" s="340">
        <v>27099.200000000001</v>
      </c>
      <c r="I11" s="341">
        <f>IF(compras_mes9[[#This Row],[NETO GRAVADO]]="","",compras_mes9[[#This Row],[NETO GRAVADO]]*0.21)</f>
        <v>5690.8320000000003</v>
      </c>
      <c r="J11" s="341"/>
      <c r="K11" s="341"/>
      <c r="L11" s="341"/>
      <c r="M11" s="341"/>
      <c r="N11" s="341"/>
      <c r="O11" s="341">
        <v>1209.97</v>
      </c>
      <c r="P11" s="349">
        <f>SUM(compras_mes9[[#This Row],[NETO GRAVADO]:[Otros / No Grav.]])</f>
        <v>34000.002</v>
      </c>
      <c r="Q11" s="350" t="str">
        <f>IFERROR(IF(compras_mes9[[#This Row],[CUIT]]="","-",VLOOKUP(compras_mes9[[#This Row],[CUIT]],Lista_CUIT[#All],3,0)),"CUIT NO CARGADO")</f>
        <v>COMBUSTIBLE</v>
      </c>
      <c r="R11" s="350">
        <f>IFERROR(IF(compras_mes9[[#This Row],[CUIT]]="","-",VLOOKUP(compras_mes9[[#This Row],[CUIT]],Lista_CUIT[#All],4,0)),"CUIT NO CARGADO")</f>
        <v>0</v>
      </c>
    </row>
    <row r="12" spans="1:26" x14ac:dyDescent="0.3">
      <c r="B12" s="335" t="s">
        <v>1321</v>
      </c>
      <c r="C12" s="208">
        <v>1</v>
      </c>
      <c r="D12" s="336">
        <v>2</v>
      </c>
      <c r="E12" s="337">
        <v>11150</v>
      </c>
      <c r="F12" s="338">
        <v>30712179909</v>
      </c>
      <c r="G12" s="339" t="str">
        <f>IFERROR(IF(compras_mes9[[#This Row],[CUIT]]="","-",VLOOKUP(compras_mes9[[#This Row],[CUIT]],Lista_CUIT[#All],2,0)),"CUIT NO CARGADO")</f>
        <v>LEPORT SH DE PORTELA JORGE FERNANDO Y LEAL JORGE ANGEL</v>
      </c>
      <c r="H12" s="340">
        <v>292250</v>
      </c>
      <c r="I12" s="341">
        <f>IF(compras_mes9[[#This Row],[NETO GRAVADO]]="","",compras_mes9[[#This Row],[NETO GRAVADO]]*0.21)</f>
        <v>61372.5</v>
      </c>
      <c r="J12" s="341"/>
      <c r="K12" s="341"/>
      <c r="L12" s="341"/>
      <c r="M12" s="341"/>
      <c r="N12" s="341"/>
      <c r="O12" s="341"/>
      <c r="P12" s="349">
        <f>SUM(compras_mes9[[#This Row],[NETO GRAVADO]:[Otros / No Grav.]])</f>
        <v>353622.5</v>
      </c>
      <c r="Q12" s="350" t="str">
        <f>IFERROR(IF(compras_mes9[[#This Row],[CUIT]]="","-",VLOOKUP(compras_mes9[[#This Row],[CUIT]],Lista_CUIT[#All],3,0)),"CUIT NO CARGADO")</f>
        <v>FLETE-LOGISTICA</v>
      </c>
      <c r="R12" s="350">
        <f>IFERROR(IF(compras_mes9[[#This Row],[CUIT]]="","-",VLOOKUP(compras_mes9[[#This Row],[CUIT]],Lista_CUIT[#All],4,0)),"CUIT NO CARGADO")</f>
        <v>0</v>
      </c>
    </row>
    <row r="13" spans="1:26" x14ac:dyDescent="0.3">
      <c r="B13" s="40" t="s">
        <v>1305</v>
      </c>
      <c r="C13" s="41">
        <v>1</v>
      </c>
      <c r="D13" s="42">
        <v>3</v>
      </c>
      <c r="E13" s="43">
        <v>706</v>
      </c>
      <c r="F13" s="44">
        <v>30715402765</v>
      </c>
      <c r="G13" s="45" t="str">
        <f>IFERROR(IF(compras_mes9[[#This Row],[CUIT]]="","-",VLOOKUP(compras_mes9[[#This Row],[CUIT]],Lista_CUIT[#All],2,0)),"CUIT NO CARGADO")</f>
        <v>RIO 265 S.R.L.</v>
      </c>
      <c r="H13" s="46">
        <v>25371.9</v>
      </c>
      <c r="I13" s="85">
        <f>IF(compras_mes9[[#This Row],[NETO GRAVADO]]="","",compras_mes9[[#This Row],[NETO GRAVADO]]*0.21)</f>
        <v>5328.0990000000002</v>
      </c>
      <c r="J13" s="85"/>
      <c r="K13" s="85"/>
      <c r="L13" s="85"/>
      <c r="M13" s="85"/>
      <c r="N13" s="85"/>
      <c r="O13" s="85"/>
      <c r="P13" s="48">
        <f>SUM(compras_mes9[[#This Row],[NETO GRAVADO]:[Otros / No Grav.]])</f>
        <v>30699.999000000003</v>
      </c>
      <c r="Q13" s="49" t="str">
        <f>IFERROR(IF(compras_mes9[[#This Row],[CUIT]]="","-",VLOOKUP(compras_mes9[[#This Row],[CUIT]],Lista_CUIT[#All],3,0)),"CUIT NO CARGADO")</f>
        <v>Gastos Varios</v>
      </c>
      <c r="R13" s="49">
        <f>IFERROR(IF(compras_mes9[[#This Row],[CUIT]]="","-",VLOOKUP(compras_mes9[[#This Row],[CUIT]],Lista_CUIT[#All],4,0)),"CUIT NO CARGADO")</f>
        <v>0</v>
      </c>
    </row>
    <row r="14" spans="1:26" x14ac:dyDescent="0.3">
      <c r="B14" s="275" t="s">
        <v>1315</v>
      </c>
      <c r="C14" s="208">
        <v>1</v>
      </c>
      <c r="D14" s="276">
        <v>8</v>
      </c>
      <c r="E14" s="277">
        <v>16392</v>
      </c>
      <c r="F14" s="278">
        <v>30709953482</v>
      </c>
      <c r="G14" s="279" t="str">
        <f>IFERROR(IF(compras_mes9[[#This Row],[CUIT]]="","-",VLOOKUP(compras_mes9[[#This Row],[CUIT]],Lista_CUIT[#All],2,0)),"CUIT NO CARGADO")</f>
        <v>HONRE S.A</v>
      </c>
      <c r="H14" s="280">
        <v>6097.91</v>
      </c>
      <c r="I14" s="281">
        <f>IF(compras_mes9[[#This Row],[NETO GRAVADO]]="","",compras_mes9[[#This Row],[NETO GRAVADO]]*0.21)</f>
        <v>1280.5610999999999</v>
      </c>
      <c r="J14" s="281"/>
      <c r="K14" s="281"/>
      <c r="L14" s="281"/>
      <c r="M14" s="281"/>
      <c r="N14" s="281"/>
      <c r="O14" s="281"/>
      <c r="P14" s="282">
        <f>SUM(compras_mes9[[#This Row],[NETO GRAVADO]:[Otros / No Grav.]])</f>
        <v>7378.4710999999998</v>
      </c>
      <c r="Q14" s="283" t="str">
        <f>IFERROR(IF(compras_mes9[[#This Row],[CUIT]]="","-",VLOOKUP(compras_mes9[[#This Row],[CUIT]],Lista_CUIT[#All],3,0)),"CUIT NO CARGADO")</f>
        <v>Gastos Varios</v>
      </c>
      <c r="R14" s="283">
        <f>IFERROR(IF(compras_mes9[[#This Row],[CUIT]]="","-",VLOOKUP(compras_mes9[[#This Row],[CUIT]],Lista_CUIT[#All],4,0)),"CUIT NO CARGADO")</f>
        <v>0</v>
      </c>
    </row>
    <row r="15" spans="1:26" x14ac:dyDescent="0.3">
      <c r="B15" s="313" t="s">
        <v>1308</v>
      </c>
      <c r="C15" s="208">
        <v>1</v>
      </c>
      <c r="D15" s="314">
        <v>8</v>
      </c>
      <c r="E15" s="315">
        <v>76041</v>
      </c>
      <c r="F15" s="316">
        <v>30586172308</v>
      </c>
      <c r="G15" s="317" t="str">
        <f>IFERROR(IF(compras_mes9[[#This Row],[CUIT]]="","-",VLOOKUP(compras_mes9[[#This Row],[CUIT]],Lista_CUIT[#All],2,0)),"CUIT NO CARGADO")</f>
        <v>SANTA FE COMERCIAL SOCIEDAD DE RESPONSABILIDAD LIMITADA</v>
      </c>
      <c r="H15" s="318">
        <v>2066.11</v>
      </c>
      <c r="I15" s="319">
        <f>IF(compras_mes9[[#This Row],[NETO GRAVADO]]="","",compras_mes9[[#This Row],[NETO GRAVADO]]*0.21)</f>
        <v>433.88310000000001</v>
      </c>
      <c r="J15" s="319"/>
      <c r="K15" s="319"/>
      <c r="L15" s="319"/>
      <c r="M15" s="319"/>
      <c r="N15" s="319"/>
      <c r="O15" s="319"/>
      <c r="P15" s="348">
        <f>SUM(compras_mes9[[#This Row],[NETO GRAVADO]:[Otros / No Grav.]])</f>
        <v>2499.9931000000001</v>
      </c>
      <c r="Q15" s="283" t="s">
        <v>79</v>
      </c>
      <c r="R15" s="320">
        <f>IFERROR(IF(compras_mes9[[#This Row],[CUIT]]="","-",VLOOKUP(compras_mes9[[#This Row],[CUIT]],Lista_CUIT[#All],4,0)),"CUIT NO CARGADO")</f>
        <v>0</v>
      </c>
    </row>
    <row r="16" spans="1:26" s="56" customFormat="1" ht="18.600000000000001" customHeight="1" x14ac:dyDescent="0.3">
      <c r="B16" s="335" t="s">
        <v>1311</v>
      </c>
      <c r="C16" s="208">
        <v>1</v>
      </c>
      <c r="D16" s="336">
        <v>2</v>
      </c>
      <c r="E16" s="337">
        <v>1338</v>
      </c>
      <c r="F16" s="338">
        <v>33718184989</v>
      </c>
      <c r="G16" s="339" t="str">
        <f>IFERROR(IF(compras_mes9[[#This Row],[CUIT]]="","-",VLOOKUP(compras_mes9[[#This Row],[CUIT]],Lista_CUIT[#All],2,0)),"CUIT NO CARGADO")</f>
        <v>DESSINS CARTELERIA S.R.L.</v>
      </c>
      <c r="H16" s="340">
        <v>13305.79</v>
      </c>
      <c r="I16" s="341">
        <f>IF(compras_mes9[[#This Row],[NETO GRAVADO]]="","",compras_mes9[[#This Row],[NETO GRAVADO]]*0.21)</f>
        <v>2794.2159000000001</v>
      </c>
      <c r="J16" s="341"/>
      <c r="K16" s="341"/>
      <c r="L16" s="341"/>
      <c r="M16" s="341"/>
      <c r="N16" s="341"/>
      <c r="O16" s="341"/>
      <c r="P16" s="349">
        <f>SUM(compras_mes9[[#This Row],[NETO GRAVADO]:[Otros / No Grav.]])</f>
        <v>16100.0059</v>
      </c>
      <c r="Q16" s="283" t="s">
        <v>79</v>
      </c>
      <c r="R16" s="350">
        <f>IFERROR(IF(compras_mes9[[#This Row],[CUIT]]="","-",VLOOKUP(compras_mes9[[#This Row],[CUIT]],Lista_CUIT[#All],4,0)),"CUIT NO CARGADO")</f>
        <v>0</v>
      </c>
    </row>
    <row r="17" spans="2:18" x14ac:dyDescent="0.3">
      <c r="B17" s="335" t="s">
        <v>1311</v>
      </c>
      <c r="C17" s="208">
        <v>1</v>
      </c>
      <c r="D17" s="336">
        <v>3</v>
      </c>
      <c r="E17" s="337">
        <v>1792240</v>
      </c>
      <c r="F17" s="338">
        <v>30712019359</v>
      </c>
      <c r="G17" s="339" t="str">
        <f>IFERROR(IF(compras_mes9[[#This Row],[CUIT]]="","-",VLOOKUP(compras_mes9[[#This Row],[CUIT]],Lista_CUIT[#All],2,0)),"CUIT NO CARGADO")</f>
        <v>LINKEDSTORE ARGENTINA S.R.L.</v>
      </c>
      <c r="H17" s="340">
        <v>11156.2</v>
      </c>
      <c r="I17" s="341">
        <f>IF(compras_mes9[[#This Row],[NETO GRAVADO]]="","",compras_mes9[[#This Row],[NETO GRAVADO]]*0.21)</f>
        <v>2342.8020000000001</v>
      </c>
      <c r="J17" s="341"/>
      <c r="K17" s="341"/>
      <c r="L17" s="341"/>
      <c r="M17" s="341"/>
      <c r="N17" s="341"/>
      <c r="O17" s="341"/>
      <c r="P17" s="349">
        <f>SUM(compras_mes9[[#This Row],[NETO GRAVADO]:[Otros / No Grav.]])</f>
        <v>13499.002</v>
      </c>
      <c r="Q17" s="350" t="str">
        <f>IFERROR(IF(compras_mes9[[#This Row],[CUIT]]="","-",VLOOKUP(compras_mes9[[#This Row],[CUIT]],Lista_CUIT[#All],3,0)),"CUIT NO CARGADO")</f>
        <v>Gastos Varios</v>
      </c>
      <c r="R17" s="350">
        <f>IFERROR(IF(compras_mes9[[#This Row],[CUIT]]="","-",VLOOKUP(compras_mes9[[#This Row],[CUIT]],Lista_CUIT[#All],4,0)),"CUIT NO CARGADO")</f>
        <v>0</v>
      </c>
    </row>
    <row r="18" spans="2:18" x14ac:dyDescent="0.3">
      <c r="B18" s="325" t="s">
        <v>1320</v>
      </c>
      <c r="C18" s="41">
        <v>1</v>
      </c>
      <c r="D18" s="327">
        <v>1</v>
      </c>
      <c r="E18" s="328">
        <v>9394</v>
      </c>
      <c r="F18" s="329">
        <v>30715368346</v>
      </c>
      <c r="G18" s="330" t="str">
        <f>IFERROR(IF(compras_mes9[[#This Row],[CUIT]]="","-",VLOOKUP(compras_mes9[[#This Row],[CUIT]],Lista_CUIT[#All],2,0)),"CUIT NO CARGADO")</f>
        <v>SK DISTRIBUTORS S.R.L.</v>
      </c>
      <c r="H18" s="331">
        <v>10192.56</v>
      </c>
      <c r="I18" s="332">
        <f>IF(compras_mes9[[#This Row],[NETO GRAVADO]]="","",compras_mes9[[#This Row],[NETO GRAVADO]]*0.21)</f>
        <v>2140.4375999999997</v>
      </c>
      <c r="J18" s="332"/>
      <c r="K18" s="332"/>
      <c r="L18" s="332"/>
      <c r="M18" s="332"/>
      <c r="N18" s="332"/>
      <c r="O18" s="332"/>
      <c r="P18" s="333">
        <f>SUM(compras_mes9[[#This Row],[NETO GRAVADO]:[Otros / No Grav.]])</f>
        <v>12332.997599999999</v>
      </c>
      <c r="Q18" s="49" t="s">
        <v>79</v>
      </c>
      <c r="R18" s="334">
        <f>IFERROR(IF(compras_mes9[[#This Row],[CUIT]]="","-",VLOOKUP(compras_mes9[[#This Row],[CUIT]],Lista_CUIT[#All],4,0)),"CUIT NO CARGADO")</f>
        <v>0</v>
      </c>
    </row>
    <row r="19" spans="2:18" x14ac:dyDescent="0.3">
      <c r="B19" s="89" t="s">
        <v>1303</v>
      </c>
      <c r="C19" s="41">
        <v>1</v>
      </c>
      <c r="D19" s="91">
        <v>1</v>
      </c>
      <c r="E19" s="92">
        <v>5720</v>
      </c>
      <c r="F19" s="93">
        <v>30716872463</v>
      </c>
      <c r="G19" s="94" t="str">
        <f>IFERROR(IF(compras_mes9[[#This Row],[CUIT]]="","-",VLOOKUP(compras_mes9[[#This Row],[CUIT]],Lista_CUIT[#All],2,0)),"CUIT NO CARGADO")</f>
        <v>COMERCIAL MGM S.R.L</v>
      </c>
      <c r="H19" s="95">
        <v>11896.69</v>
      </c>
      <c r="I19" s="86">
        <f>IF(compras_mes9[[#This Row],[NETO GRAVADO]]="","",compras_mes9[[#This Row],[NETO GRAVADO]]*0.21)</f>
        <v>2498.3049000000001</v>
      </c>
      <c r="J19" s="86"/>
      <c r="K19" s="86"/>
      <c r="L19" s="86"/>
      <c r="M19" s="86"/>
      <c r="N19" s="86"/>
      <c r="O19" s="86"/>
      <c r="P19" s="87">
        <f>SUM(compras_mes9[[#This Row],[NETO GRAVADO]:[Otros / No Grav.]])</f>
        <v>14394.994900000002</v>
      </c>
      <c r="Q19" s="49" t="s">
        <v>1426</v>
      </c>
      <c r="R19" s="88">
        <f>IFERROR(IF(compras_mes9[[#This Row],[CUIT]]="","-",VLOOKUP(compras_mes9[[#This Row],[CUIT]],Lista_CUIT[#All],4,0)),"CUIT NO CARGADO")</f>
        <v>0</v>
      </c>
    </row>
    <row r="20" spans="2:18" ht="14.4" customHeight="1" x14ac:dyDescent="0.3">
      <c r="B20" s="325" t="s">
        <v>1317</v>
      </c>
      <c r="C20" s="41">
        <v>1</v>
      </c>
      <c r="D20" s="327">
        <v>9</v>
      </c>
      <c r="E20" s="328">
        <v>4703</v>
      </c>
      <c r="F20" s="329">
        <v>20214656575</v>
      </c>
      <c r="G20" s="330" t="str">
        <f>IFERROR(IF(compras_mes9[[#This Row],[CUIT]]="","-",VLOOKUP(compras_mes9[[#This Row],[CUIT]],Lista_CUIT[#All],2,0)),"CUIT NO CARGADO")</f>
        <v>SANCHEZ DI MARE DANIEL FERNANDO</v>
      </c>
      <c r="H20" s="331">
        <v>20962.810000000001</v>
      </c>
      <c r="I20" s="332">
        <f>IF(compras_mes9[[#This Row],[NETO GRAVADO]]="","",compras_mes9[[#This Row],[NETO GRAVADO]]*0.21)</f>
        <v>4402.1900999999998</v>
      </c>
      <c r="J20" s="332"/>
      <c r="K20" s="332"/>
      <c r="L20" s="332"/>
      <c r="M20" s="332"/>
      <c r="N20" s="332"/>
      <c r="O20" s="332"/>
      <c r="P20" s="333">
        <f>SUM(compras_mes9[[#This Row],[NETO GRAVADO]:[Otros / No Grav.]])</f>
        <v>25365.000100000001</v>
      </c>
      <c r="Q20" s="49" t="s">
        <v>1426</v>
      </c>
      <c r="R20" s="334">
        <f>IFERROR(IF(compras_mes9[[#This Row],[CUIT]]="","-",VLOOKUP(compras_mes9[[#This Row],[CUIT]],Lista_CUIT[#All],4,0)),"CUIT NO CARGADO")</f>
        <v>0</v>
      </c>
    </row>
    <row r="21" spans="2:18" x14ac:dyDescent="0.3">
      <c r="B21" s="325" t="s">
        <v>1317</v>
      </c>
      <c r="C21" s="41">
        <v>1</v>
      </c>
      <c r="D21" s="327">
        <v>9</v>
      </c>
      <c r="E21" s="328">
        <v>4704</v>
      </c>
      <c r="F21" s="329">
        <v>20214656575</v>
      </c>
      <c r="G21" s="330" t="str">
        <f>IFERROR(IF(compras_mes9[[#This Row],[CUIT]]="","-",VLOOKUP(compras_mes9[[#This Row],[CUIT]],Lista_CUIT[#All],2,0)),"CUIT NO CARGADO")</f>
        <v>SANCHEZ DI MARE DANIEL FERNANDO</v>
      </c>
      <c r="H21" s="331">
        <v>20923.14</v>
      </c>
      <c r="I21" s="332">
        <f>IF(compras_mes9[[#This Row],[NETO GRAVADO]]="","",compras_mes9[[#This Row],[NETO GRAVADO]]*0.21)</f>
        <v>4393.8593999999994</v>
      </c>
      <c r="J21" s="332"/>
      <c r="K21" s="332"/>
      <c r="L21" s="332"/>
      <c r="M21" s="332"/>
      <c r="N21" s="332"/>
      <c r="O21" s="332"/>
      <c r="P21" s="333">
        <f>SUM(compras_mes9[[#This Row],[NETO GRAVADO]:[Otros / No Grav.]])</f>
        <v>25316.999400000001</v>
      </c>
      <c r="Q21" s="49" t="s">
        <v>1427</v>
      </c>
      <c r="R21" s="334">
        <f>IFERROR(IF(compras_mes9[[#This Row],[CUIT]]="","-",VLOOKUP(compras_mes9[[#This Row],[CUIT]],Lista_CUIT[#All],4,0)),"CUIT NO CARGADO")</f>
        <v>0</v>
      </c>
    </row>
    <row r="22" spans="2:18" x14ac:dyDescent="0.3">
      <c r="B22" s="40" t="s">
        <v>1315</v>
      </c>
      <c r="C22" s="41">
        <v>1</v>
      </c>
      <c r="D22" s="42">
        <v>700</v>
      </c>
      <c r="E22" s="43">
        <v>603751</v>
      </c>
      <c r="F22" s="44">
        <v>30580111315</v>
      </c>
      <c r="G22" s="45" t="str">
        <f>IFERROR(IF(compras_mes9[[#This Row],[CUIT]]="","-",VLOOKUP(compras_mes9[[#This Row],[CUIT]],Lista_CUIT[#All],2,0)),"CUIT NO CARGADO")</f>
        <v>DHL EXPRESS (ARGENTINA) S.A.</v>
      </c>
      <c r="H22" s="46">
        <v>0</v>
      </c>
      <c r="I22" s="85">
        <f>IF(compras_mes9[[#This Row],[NETO GRAVADO]]="","",compras_mes9[[#This Row],[NETO GRAVADO]]*0.21)</f>
        <v>0</v>
      </c>
      <c r="J22" s="85"/>
      <c r="K22" s="85"/>
      <c r="L22" s="85"/>
      <c r="M22" s="85"/>
      <c r="N22" s="85"/>
      <c r="O22" s="85">
        <v>33694.064999999995</v>
      </c>
      <c r="P22" s="48">
        <f>SUM(compras_mes9[[#This Row],[NETO GRAVADO]:[Otros / No Grav.]])</f>
        <v>33694.064999999995</v>
      </c>
      <c r="Q22" s="49" t="str">
        <f>IFERROR(IF(compras_mes9[[#This Row],[CUIT]]="","-",VLOOKUP(compras_mes9[[#This Row],[CUIT]],Lista_CUIT[#All],3,0)),"CUIT NO CARGADO")</f>
        <v>Gtos. Imp.</v>
      </c>
      <c r="R22" s="49">
        <f>IFERROR(IF(compras_mes9[[#This Row],[CUIT]]="","-",VLOOKUP(compras_mes9[[#This Row],[CUIT]],Lista_CUIT[#All],4,0)),"CUIT NO CARGADO")</f>
        <v>0</v>
      </c>
    </row>
    <row r="23" spans="2:18" ht="14.4" customHeight="1" x14ac:dyDescent="0.3">
      <c r="B23" s="335" t="s">
        <v>1310</v>
      </c>
      <c r="C23" s="208">
        <v>1</v>
      </c>
      <c r="D23" s="336">
        <v>106</v>
      </c>
      <c r="E23" s="337">
        <v>695117</v>
      </c>
      <c r="F23" s="338">
        <v>30594494187</v>
      </c>
      <c r="G23" s="339" t="str">
        <f>IFERROR(IF(compras_mes9[[#This Row],[CUIT]]="","-",VLOOKUP(compras_mes9[[#This Row],[CUIT]],Lista_CUIT[#All],2,0)),"CUIT NO CARGADO")</f>
        <v>FEDERAL EXPRESS CORPORATION</v>
      </c>
      <c r="H23" s="340">
        <v>0</v>
      </c>
      <c r="I23" s="341">
        <f>IF(compras_mes9[[#This Row],[NETO GRAVADO]]="","",compras_mes9[[#This Row],[NETO GRAVADO]]*0.21)</f>
        <v>0</v>
      </c>
      <c r="J23" s="341"/>
      <c r="K23" s="341"/>
      <c r="L23" s="341"/>
      <c r="M23" s="341"/>
      <c r="N23" s="341"/>
      <c r="O23" s="341">
        <v>374965.89</v>
      </c>
      <c r="P23" s="349">
        <f>SUM(compras_mes9[[#This Row],[NETO GRAVADO]:[Otros / No Grav.]])</f>
        <v>374965.89</v>
      </c>
      <c r="Q23" s="350" t="str">
        <f>IFERROR(IF(compras_mes9[[#This Row],[CUIT]]="","-",VLOOKUP(compras_mes9[[#This Row],[CUIT]],Lista_CUIT[#All],3,0)),"CUIT NO CARGADO")</f>
        <v>Gtos. Imp.</v>
      </c>
      <c r="R23" s="350">
        <f>IFERROR(IF(compras_mes9[[#This Row],[CUIT]]="","-",VLOOKUP(compras_mes9[[#This Row],[CUIT]],Lista_CUIT[#All],4,0)),"CUIT NO CARGADO")</f>
        <v>0</v>
      </c>
    </row>
    <row r="24" spans="2:18" ht="14.4" customHeight="1" x14ac:dyDescent="0.3">
      <c r="B24" s="335" t="s">
        <v>1323</v>
      </c>
      <c r="C24" s="208">
        <v>1</v>
      </c>
      <c r="D24" s="336">
        <v>122</v>
      </c>
      <c r="E24" s="337">
        <v>299149</v>
      </c>
      <c r="F24" s="338">
        <v>30594494187</v>
      </c>
      <c r="G24" s="339" t="str">
        <f>IFERROR(IF(compras_mes9[[#This Row],[CUIT]]="","-",VLOOKUP(compras_mes9[[#This Row],[CUIT]],Lista_CUIT[#All],2,0)),"CUIT NO CARGADO")</f>
        <v>FEDERAL EXPRESS CORPORATION</v>
      </c>
      <c r="H24" s="340">
        <v>67909.8</v>
      </c>
      <c r="I24" s="341">
        <f>IF(compras_mes9[[#This Row],[NETO GRAVADO]]="","",compras_mes9[[#This Row],[NETO GRAVADO]]*0.21)</f>
        <v>14261.058000000001</v>
      </c>
      <c r="J24" s="341"/>
      <c r="K24" s="341"/>
      <c r="L24" s="341"/>
      <c r="M24" s="341"/>
      <c r="N24" s="341"/>
      <c r="O24" s="341">
        <v>323630.63</v>
      </c>
      <c r="P24" s="349">
        <f>SUM(compras_mes9[[#This Row],[NETO GRAVADO]:[Otros / No Grav.]])</f>
        <v>405801.48800000001</v>
      </c>
      <c r="Q24" s="350" t="str">
        <f>IFERROR(IF(compras_mes9[[#This Row],[CUIT]]="","-",VLOOKUP(compras_mes9[[#This Row],[CUIT]],Lista_CUIT[#All],3,0)),"CUIT NO CARGADO")</f>
        <v>Gtos. Imp.</v>
      </c>
      <c r="R24" s="350">
        <f>IFERROR(IF(compras_mes9[[#This Row],[CUIT]]="","-",VLOOKUP(compras_mes9[[#This Row],[CUIT]],Lista_CUIT[#All],4,0)),"CUIT NO CARGADO")</f>
        <v>0</v>
      </c>
    </row>
    <row r="25" spans="2:18" ht="15" customHeight="1" x14ac:dyDescent="0.3">
      <c r="B25" s="325" t="s">
        <v>1316</v>
      </c>
      <c r="C25" s="41">
        <v>1</v>
      </c>
      <c r="D25" s="327">
        <v>5</v>
      </c>
      <c r="E25" s="328">
        <v>8268</v>
      </c>
      <c r="F25" s="329">
        <v>33711557119</v>
      </c>
      <c r="G25" s="330" t="str">
        <f>IFERROR(IF(compras_mes9[[#This Row],[CUIT]]="","-",VLOOKUP(compras_mes9[[#This Row],[CUIT]],Lista_CUIT[#All],2,0)),"CUIT NO CARGADO")</f>
        <v>ELECTROMINGO S.R.L.</v>
      </c>
      <c r="H25" s="331">
        <v>3268.6</v>
      </c>
      <c r="I25" s="332">
        <f>IF(compras_mes9[[#This Row],[NETO GRAVADO]]="","",compras_mes9[[#This Row],[NETO GRAVADO]]*0.21)</f>
        <v>686.40599999999995</v>
      </c>
      <c r="J25" s="332"/>
      <c r="K25" s="332"/>
      <c r="L25" s="332"/>
      <c r="M25" s="332"/>
      <c r="N25" s="332"/>
      <c r="O25" s="332"/>
      <c r="P25" s="333">
        <f>SUM(compras_mes9[[#This Row],[NETO GRAVADO]:[Otros / No Grav.]])</f>
        <v>3955.0059999999999</v>
      </c>
      <c r="Q25" s="334" t="str">
        <f>IFERROR(IF(compras_mes9[[#This Row],[CUIT]]="","-",VLOOKUP(compras_mes9[[#This Row],[CUIT]],Lista_CUIT[#All],3,0)),"CUIT NO CARGADO")</f>
        <v>INSUMO</v>
      </c>
      <c r="R25" s="334" t="str">
        <f>IFERROR(IF(compras_mes9[[#This Row],[CUIT]]="","-",VLOOKUP(compras_mes9[[#This Row],[CUIT]],Lista_CUIT[#All],4,0)),"CUIT NO CARGADO")</f>
        <v>BUENOS AIRES</v>
      </c>
    </row>
    <row r="26" spans="2:18" ht="15" customHeight="1" x14ac:dyDescent="0.3">
      <c r="B26" s="325" t="s">
        <v>1309</v>
      </c>
      <c r="C26" s="41">
        <v>1</v>
      </c>
      <c r="D26" s="327">
        <v>2</v>
      </c>
      <c r="E26" s="328">
        <v>191</v>
      </c>
      <c r="F26" s="329">
        <v>20125142851</v>
      </c>
      <c r="G26" s="330" t="str">
        <f>IFERROR(IF(compras_mes9[[#This Row],[CUIT]]="","-",VLOOKUP(compras_mes9[[#This Row],[CUIT]],Lista_CUIT[#All],2,0)),"CUIT NO CARGADO")</f>
        <v>FEDERICI NICOLAS JOSE</v>
      </c>
      <c r="H26" s="331">
        <v>639266.38</v>
      </c>
      <c r="I26" s="332">
        <f>IF(compras_mes9[[#This Row],[NETO GRAVADO]]="","",compras_mes9[[#This Row],[NETO GRAVADO]]*0.21)</f>
        <v>134245.93979999999</v>
      </c>
      <c r="J26" s="332"/>
      <c r="K26" s="332"/>
      <c r="L26" s="332"/>
      <c r="M26" s="332"/>
      <c r="N26" s="332"/>
      <c r="O26" s="332"/>
      <c r="P26" s="333">
        <f>SUM(compras_mes9[[#This Row],[NETO GRAVADO]:[Otros / No Grav.]])</f>
        <v>773512.31979999994</v>
      </c>
      <c r="Q26" s="334" t="str">
        <f>IFERROR(IF(compras_mes9[[#This Row],[CUIT]]="","-",VLOOKUP(compras_mes9[[#This Row],[CUIT]],Lista_CUIT[#All],3,0)),"CUIT NO CARGADO")</f>
        <v>INSUMO</v>
      </c>
      <c r="R26" s="334">
        <f>IFERROR(IF(compras_mes9[[#This Row],[CUIT]]="","-",VLOOKUP(compras_mes9[[#This Row],[CUIT]],Lista_CUIT[#All],4,0)),"CUIT NO CARGADO")</f>
        <v>0</v>
      </c>
    </row>
    <row r="27" spans="2:18" ht="15" customHeight="1" x14ac:dyDescent="0.3">
      <c r="B27" s="335" t="s">
        <v>1310</v>
      </c>
      <c r="C27" s="208">
        <v>1</v>
      </c>
      <c r="D27" s="336">
        <v>5</v>
      </c>
      <c r="E27" s="337">
        <v>8287</v>
      </c>
      <c r="F27" s="338">
        <v>33711557119</v>
      </c>
      <c r="G27" s="339" t="str">
        <f>IFERROR(IF(compras_mes9[[#This Row],[CUIT]]="","-",VLOOKUP(compras_mes9[[#This Row],[CUIT]],Lista_CUIT[#All],2,0)),"CUIT NO CARGADO")</f>
        <v>ELECTROMINGO S.R.L.</v>
      </c>
      <c r="H27" s="340">
        <v>5826.45</v>
      </c>
      <c r="I27" s="341">
        <f>IF(compras_mes9[[#This Row],[NETO GRAVADO]]="","",compras_mes9[[#This Row],[NETO GRAVADO]]*0.21)</f>
        <v>1223.5545</v>
      </c>
      <c r="J27" s="341"/>
      <c r="K27" s="341"/>
      <c r="L27" s="341"/>
      <c r="M27" s="341"/>
      <c r="N27" s="341"/>
      <c r="O27" s="341"/>
      <c r="P27" s="349">
        <f>SUM(compras_mes9[[#This Row],[NETO GRAVADO]:[Otros / No Grav.]])</f>
        <v>7050.0045</v>
      </c>
      <c r="Q27" s="350" t="str">
        <f>IFERROR(IF(compras_mes9[[#This Row],[CUIT]]="","-",VLOOKUP(compras_mes9[[#This Row],[CUIT]],Lista_CUIT[#All],3,0)),"CUIT NO CARGADO")</f>
        <v>INSUMO</v>
      </c>
      <c r="R27" s="350" t="str">
        <f>IFERROR(IF(compras_mes9[[#This Row],[CUIT]]="","-",VLOOKUP(compras_mes9[[#This Row],[CUIT]],Lista_CUIT[#All],4,0)),"CUIT NO CARGADO")</f>
        <v>BUENOS AIRES</v>
      </c>
    </row>
    <row r="28" spans="2:18" ht="15" customHeight="1" x14ac:dyDescent="0.3">
      <c r="B28" s="325" t="s">
        <v>1311</v>
      </c>
      <c r="C28" s="41">
        <v>1</v>
      </c>
      <c r="D28" s="327">
        <v>2</v>
      </c>
      <c r="E28" s="328">
        <v>192</v>
      </c>
      <c r="F28" s="329">
        <v>20125142851</v>
      </c>
      <c r="G28" s="330" t="str">
        <f>IFERROR(IF(compras_mes9[[#This Row],[CUIT]]="","-",VLOOKUP(compras_mes9[[#This Row],[CUIT]],Lista_CUIT[#All],2,0)),"CUIT NO CARGADO")</f>
        <v>FEDERICI NICOLAS JOSE</v>
      </c>
      <c r="H28" s="331">
        <v>117628.19</v>
      </c>
      <c r="I28" s="332">
        <f>IF(compras_mes9[[#This Row],[NETO GRAVADO]]="","",compras_mes9[[#This Row],[NETO GRAVADO]]*0.21)</f>
        <v>24701.919900000001</v>
      </c>
      <c r="J28" s="332"/>
      <c r="K28" s="332"/>
      <c r="L28" s="332"/>
      <c r="M28" s="332"/>
      <c r="N28" s="332"/>
      <c r="O28" s="332"/>
      <c r="P28" s="333">
        <f>SUM(compras_mes9[[#This Row],[NETO GRAVADO]:[Otros / No Grav.]])</f>
        <v>142330.10990000001</v>
      </c>
      <c r="Q28" s="334" t="str">
        <f>IFERROR(IF(compras_mes9[[#This Row],[CUIT]]="","-",VLOOKUP(compras_mes9[[#This Row],[CUIT]],Lista_CUIT[#All],3,0)),"CUIT NO CARGADO")</f>
        <v>INSUMO</v>
      </c>
      <c r="R28" s="334">
        <f>IFERROR(IF(compras_mes9[[#This Row],[CUIT]]="","-",VLOOKUP(compras_mes9[[#This Row],[CUIT]],Lista_CUIT[#All],4,0)),"CUIT NO CARGADO")</f>
        <v>0</v>
      </c>
    </row>
    <row r="29" spans="2:18" ht="15" customHeight="1" x14ac:dyDescent="0.3">
      <c r="B29" s="89" t="s">
        <v>1303</v>
      </c>
      <c r="C29" s="41">
        <v>1</v>
      </c>
      <c r="D29" s="91">
        <v>5</v>
      </c>
      <c r="E29" s="92">
        <v>8302</v>
      </c>
      <c r="F29" s="93">
        <v>27066610018</v>
      </c>
      <c r="G29" s="94" t="str">
        <f>IFERROR(IF(compras_mes9[[#This Row],[CUIT]]="","-",VLOOKUP(compras_mes9[[#This Row],[CUIT]],Lista_CUIT[#All],2,0)),"CUIT NO CARGADO")</f>
        <v>FRACCHIA GRACIELA LILIANA</v>
      </c>
      <c r="H29" s="95">
        <v>26643.64</v>
      </c>
      <c r="I29" s="86">
        <f>IF(compras_mes9[[#This Row],[NETO GRAVADO]]="","",compras_mes9[[#This Row],[NETO GRAVADO]]*0.21)</f>
        <v>5595.1643999999997</v>
      </c>
      <c r="J29" s="86"/>
      <c r="K29" s="86"/>
      <c r="L29" s="86"/>
      <c r="M29" s="86"/>
      <c r="N29" s="86"/>
      <c r="O29" s="86"/>
      <c r="P29" s="87">
        <f>SUM(compras_mes9[[#This Row],[NETO GRAVADO]:[Otros / No Grav.]])</f>
        <v>32238.804400000001</v>
      </c>
      <c r="Q29" s="49" t="s">
        <v>1421</v>
      </c>
      <c r="R29" s="88">
        <f>IFERROR(IF(compras_mes9[[#This Row],[CUIT]]="","-",VLOOKUP(compras_mes9[[#This Row],[CUIT]],Lista_CUIT[#All],4,0)),"CUIT NO CARGADO")</f>
        <v>0</v>
      </c>
    </row>
    <row r="30" spans="2:18" x14ac:dyDescent="0.3">
      <c r="B30" s="325" t="s">
        <v>1318</v>
      </c>
      <c r="C30" s="41">
        <v>1</v>
      </c>
      <c r="D30" s="327">
        <v>7</v>
      </c>
      <c r="E30" s="328">
        <v>55706</v>
      </c>
      <c r="F30" s="329">
        <v>30686489325</v>
      </c>
      <c r="G30" s="330" t="str">
        <f>IFERROR(IF(compras_mes9[[#This Row],[CUIT]]="","-",VLOOKUP(compras_mes9[[#This Row],[CUIT]],Lista_CUIT[#All],2,0)),"CUIT NO CARGADO")</f>
        <v>ELECTRICIDAD AREV S R L</v>
      </c>
      <c r="H30" s="331">
        <v>28400.04</v>
      </c>
      <c r="I30" s="332">
        <f>IF(compras_mes9[[#This Row],[NETO GRAVADO]]="","",compras_mes9[[#This Row],[NETO GRAVADO]]*0.21)</f>
        <v>5964.0083999999997</v>
      </c>
      <c r="J30" s="332"/>
      <c r="K30" s="332"/>
      <c r="L30" s="332"/>
      <c r="M30" s="332"/>
      <c r="N30" s="332"/>
      <c r="O30" s="332"/>
      <c r="P30" s="333">
        <f>SUM(compras_mes9[[#This Row],[NETO GRAVADO]:[Otros / No Grav.]])</f>
        <v>34364.0484</v>
      </c>
      <c r="Q30" s="49" t="s">
        <v>1421</v>
      </c>
      <c r="R30" s="334">
        <f>IFERROR(IF(compras_mes9[[#This Row],[CUIT]]="","-",VLOOKUP(compras_mes9[[#This Row],[CUIT]],Lista_CUIT[#All],4,0)),"CUIT NO CARGADO")</f>
        <v>0</v>
      </c>
    </row>
    <row r="31" spans="2:18" x14ac:dyDescent="0.3">
      <c r="B31" s="325" t="s">
        <v>1310</v>
      </c>
      <c r="C31" s="41">
        <v>1</v>
      </c>
      <c r="D31" s="327">
        <v>50</v>
      </c>
      <c r="E31" s="328">
        <v>53459</v>
      </c>
      <c r="F31" s="329">
        <v>30710730845</v>
      </c>
      <c r="G31" s="330" t="str">
        <f>IFERROR(IF(compras_mes9[[#This Row],[CUIT]]="","-",VLOOKUP(compras_mes9[[#This Row],[CUIT]],Lista_CUIT[#All],2,0)),"CUIT NO CARGADO")</f>
        <v>D LED SOCIEDAD DE HECHO DE DIEGO NICOLAS BARSKY Y DAMIAN DANEL SPIVAK</v>
      </c>
      <c r="H31" s="331">
        <v>22768</v>
      </c>
      <c r="I31" s="332">
        <f>IF(compras_mes9[[#This Row],[NETO GRAVADO]]="","",compras_mes9[[#This Row],[NETO GRAVADO]]*0.21)</f>
        <v>4781.28</v>
      </c>
      <c r="J31" s="332"/>
      <c r="K31" s="332"/>
      <c r="L31" s="332"/>
      <c r="M31" s="332"/>
      <c r="N31" s="332"/>
      <c r="O31" s="332"/>
      <c r="P31" s="333">
        <f>SUM(compras_mes9[[#This Row],[NETO GRAVADO]:[Otros / No Grav.]])</f>
        <v>27549.279999999999</v>
      </c>
      <c r="Q31" s="49" t="s">
        <v>1421</v>
      </c>
      <c r="R31" s="334">
        <f>IFERROR(IF(compras_mes9[[#This Row],[CUIT]]="","-",VLOOKUP(compras_mes9[[#This Row],[CUIT]],Lista_CUIT[#All],4,0)),"CUIT NO CARGADO")</f>
        <v>0</v>
      </c>
    </row>
    <row r="32" spans="2:18" x14ac:dyDescent="0.3">
      <c r="B32" s="325" t="s">
        <v>1322</v>
      </c>
      <c r="C32" s="41">
        <v>1</v>
      </c>
      <c r="D32" s="327">
        <v>6</v>
      </c>
      <c r="E32" s="328">
        <v>13607</v>
      </c>
      <c r="F32" s="329">
        <v>30707756434</v>
      </c>
      <c r="G32" s="330" t="str">
        <f>IFERROR(IF(compras_mes9[[#This Row],[CUIT]]="","-",VLOOKUP(compras_mes9[[#This Row],[CUIT]],Lista_CUIT[#All],2,0)),"CUIT NO CARGADO")</f>
        <v>SERVICIO INTEGRAL DE LIMPIEZA SRL</v>
      </c>
      <c r="H32" s="331">
        <v>54600</v>
      </c>
      <c r="I32" s="332">
        <f>IF(compras_mes9[[#This Row],[NETO GRAVADO]]="","",compras_mes9[[#This Row],[NETO GRAVADO]]*0.21)</f>
        <v>11466</v>
      </c>
      <c r="J32" s="332"/>
      <c r="K32" s="332"/>
      <c r="L32" s="332"/>
      <c r="M32" s="332"/>
      <c r="N32" s="332"/>
      <c r="O32" s="332"/>
      <c r="P32" s="333">
        <f>SUM(compras_mes9[[#This Row],[NETO GRAVADO]:[Otros / No Grav.]])</f>
        <v>66066</v>
      </c>
      <c r="Q32" s="334" t="str">
        <f>IFERROR(IF(compras_mes9[[#This Row],[CUIT]]="","-",VLOOKUP(compras_mes9[[#This Row],[CUIT]],Lista_CUIT[#All],3,0)),"CUIT NO CARGADO")</f>
        <v>Mantenimiento</v>
      </c>
      <c r="R32" s="334">
        <f>IFERROR(IF(compras_mes9[[#This Row],[CUIT]]="","-",VLOOKUP(compras_mes9[[#This Row],[CUIT]],Lista_CUIT[#All],4,0)),"CUIT NO CARGADO")</f>
        <v>0</v>
      </c>
    </row>
    <row r="33" spans="2:18" x14ac:dyDescent="0.3">
      <c r="B33" s="335" t="s">
        <v>1308</v>
      </c>
      <c r="C33" s="208">
        <v>1</v>
      </c>
      <c r="D33" s="336">
        <v>2</v>
      </c>
      <c r="E33" s="337">
        <v>699</v>
      </c>
      <c r="F33" s="338">
        <v>20296550184</v>
      </c>
      <c r="G33" s="339" t="str">
        <f>IFERROR(IF(compras_mes9[[#This Row],[CUIT]]="","-",VLOOKUP(compras_mes9[[#This Row],[CUIT]],Lista_CUIT[#All],2,0)),"CUIT NO CARGADO")</f>
        <v>COSTA DIEGO ALEJANDRO</v>
      </c>
      <c r="H33" s="340">
        <v>269010</v>
      </c>
      <c r="I33" s="341">
        <f>IF(compras_mes9[[#This Row],[NETO GRAVADO]]="","",compras_mes9[[#This Row],[NETO GRAVADO]]*0.21)</f>
        <v>56492.1</v>
      </c>
      <c r="J33" s="341"/>
      <c r="K33" s="341"/>
      <c r="L33" s="341"/>
      <c r="M33" s="341"/>
      <c r="N33" s="341"/>
      <c r="O33" s="341"/>
      <c r="P33" s="349">
        <f>SUM(compras_mes9[[#This Row],[NETO GRAVADO]:[Otros / No Grav.]])</f>
        <v>325502.09999999998</v>
      </c>
      <c r="Q33" s="350" t="str">
        <f>IFERROR(IF(compras_mes9[[#This Row],[CUIT]]="","-",VLOOKUP(compras_mes9[[#This Row],[CUIT]],Lista_CUIT[#All],3,0)),"CUIT NO CARGADO")</f>
        <v>Mat. Prima</v>
      </c>
      <c r="R33" s="350">
        <f>IFERROR(IF(compras_mes9[[#This Row],[CUIT]]="","-",VLOOKUP(compras_mes9[[#This Row],[CUIT]],Lista_CUIT[#All],4,0)),"CUIT NO CARGADO")</f>
        <v>0</v>
      </c>
    </row>
    <row r="34" spans="2:18" x14ac:dyDescent="0.3">
      <c r="B34" s="325" t="s">
        <v>1311</v>
      </c>
      <c r="C34" s="41">
        <v>1</v>
      </c>
      <c r="D34" s="327">
        <v>2</v>
      </c>
      <c r="E34" s="328">
        <v>704</v>
      </c>
      <c r="F34" s="329">
        <v>20296550184</v>
      </c>
      <c r="G34" s="330" t="str">
        <f>IFERROR(IF(compras_mes9[[#This Row],[CUIT]]="","-",VLOOKUP(compras_mes9[[#This Row],[CUIT]],Lista_CUIT[#All],2,0)),"CUIT NO CARGADO")</f>
        <v>COSTA DIEGO ALEJANDRO</v>
      </c>
      <c r="H34" s="331">
        <v>255550</v>
      </c>
      <c r="I34" s="332">
        <f>IF(compras_mes9[[#This Row],[NETO GRAVADO]]="","",compras_mes9[[#This Row],[NETO GRAVADO]]*0.21)</f>
        <v>53665.5</v>
      </c>
      <c r="J34" s="332"/>
      <c r="K34" s="332"/>
      <c r="L34" s="332"/>
      <c r="M34" s="332"/>
      <c r="N34" s="332"/>
      <c r="O34" s="332"/>
      <c r="P34" s="333">
        <f>SUM(compras_mes9[[#This Row],[NETO GRAVADO]:[Otros / No Grav.]])</f>
        <v>309215.5</v>
      </c>
      <c r="Q34" s="334" t="str">
        <f>IFERROR(IF(compras_mes9[[#This Row],[CUIT]]="","-",VLOOKUP(compras_mes9[[#This Row],[CUIT]],Lista_CUIT[#All],3,0)),"CUIT NO CARGADO")</f>
        <v>Mat. Prima</v>
      </c>
      <c r="R34" s="334">
        <f>IFERROR(IF(compras_mes9[[#This Row],[CUIT]]="","-",VLOOKUP(compras_mes9[[#This Row],[CUIT]],Lista_CUIT[#All],4,0)),"CUIT NO CARGADO")</f>
        <v>0</v>
      </c>
    </row>
    <row r="35" spans="2:18" x14ac:dyDescent="0.3">
      <c r="B35" s="325" t="s">
        <v>1319</v>
      </c>
      <c r="C35" s="41">
        <v>1</v>
      </c>
      <c r="D35" s="327">
        <v>1</v>
      </c>
      <c r="E35" s="328">
        <v>198</v>
      </c>
      <c r="F35" s="329">
        <v>30717518566</v>
      </c>
      <c r="G35" s="330" t="str">
        <f>IFERROR(IF(compras_mes9[[#This Row],[CUIT]]="","-",VLOOKUP(compras_mes9[[#This Row],[CUIT]],Lista_CUIT[#All],2,0)),"CUIT NO CARGADO")</f>
        <v>CDP AUTOMATION  S.R.L.</v>
      </c>
      <c r="H35" s="331">
        <v>13723.05</v>
      </c>
      <c r="I35" s="332">
        <f>IF(compras_mes9[[#This Row],[NETO GRAVADO]]="","",compras_mes9[[#This Row],[NETO GRAVADO]]*0.21)</f>
        <v>2881.8404999999998</v>
      </c>
      <c r="J35" s="332"/>
      <c r="K35" s="332"/>
      <c r="L35" s="332"/>
      <c r="M35" s="332"/>
      <c r="N35" s="332"/>
      <c r="O35" s="332"/>
      <c r="P35" s="333">
        <f>SUM(compras_mes9[[#This Row],[NETO GRAVADO]:[Otros / No Grav.]])</f>
        <v>16604.890499999998</v>
      </c>
      <c r="Q35" s="49" t="s">
        <v>1428</v>
      </c>
      <c r="R35" s="334">
        <f>IFERROR(IF(compras_mes9[[#This Row],[CUIT]]="","-",VLOOKUP(compras_mes9[[#This Row],[CUIT]],Lista_CUIT[#All],4,0)),"CUIT NO CARGADO")</f>
        <v>0</v>
      </c>
    </row>
    <row r="36" spans="2:18" x14ac:dyDescent="0.3">
      <c r="B36" s="325" t="s">
        <v>1320</v>
      </c>
      <c r="C36" s="41">
        <v>1</v>
      </c>
      <c r="D36" s="327">
        <v>7</v>
      </c>
      <c r="E36" s="328">
        <v>14804</v>
      </c>
      <c r="F36" s="329">
        <v>30604413482</v>
      </c>
      <c r="G36" s="330" t="str">
        <f>IFERROR(IF(compras_mes9[[#This Row],[CUIT]]="","-",VLOOKUP(compras_mes9[[#This Row],[CUIT]],Lista_CUIT[#All],2,0)),"CUIT NO CARGADO")</f>
        <v>BULONERA VIETRI SOCIEDAD DE RESPONSABILIDAD LIMITADA</v>
      </c>
      <c r="H36" s="331">
        <v>204972</v>
      </c>
      <c r="I36" s="332">
        <f>IF(compras_mes9[[#This Row],[NETO GRAVADO]]="","",compras_mes9[[#This Row],[NETO GRAVADO]]*0.21)</f>
        <v>43044.119999999995</v>
      </c>
      <c r="J36" s="332"/>
      <c r="K36" s="332"/>
      <c r="L36" s="332"/>
      <c r="M36" s="332"/>
      <c r="N36" s="332"/>
      <c r="O36" s="332"/>
      <c r="P36" s="333">
        <f>SUM(compras_mes9[[#This Row],[NETO GRAVADO]:[Otros / No Grav.]])</f>
        <v>248016.12</v>
      </c>
      <c r="Q36" s="49" t="s">
        <v>1428</v>
      </c>
      <c r="R36" s="334">
        <f>IFERROR(IF(compras_mes9[[#This Row],[CUIT]]="","-",VLOOKUP(compras_mes9[[#This Row],[CUIT]],Lista_CUIT[#All],4,0)),"CUIT NO CARGADO")</f>
        <v>0</v>
      </c>
    </row>
    <row r="37" spans="2:18" x14ac:dyDescent="0.3">
      <c r="B37" s="325" t="s">
        <v>1308</v>
      </c>
      <c r="C37" s="41">
        <v>1</v>
      </c>
      <c r="D37" s="327">
        <v>7</v>
      </c>
      <c r="E37" s="328">
        <v>9067</v>
      </c>
      <c r="F37" s="329">
        <v>27924079008</v>
      </c>
      <c r="G37" s="330" t="str">
        <f>IFERROR(IF(compras_mes9[[#This Row],[CUIT]]="","-",VLOOKUP(compras_mes9[[#This Row],[CUIT]],Lista_CUIT[#All],2,0)),"CUIT NO CARGADO")</f>
        <v>D'ALBENAS PEYRONEL SILVANA ELISABET</v>
      </c>
      <c r="H37" s="331">
        <v>558595.04</v>
      </c>
      <c r="I37" s="332">
        <f>IF(compras_mes9[[#This Row],[NETO GRAVADO]]="","",compras_mes9[[#This Row],[NETO GRAVADO]]*0.21)</f>
        <v>117304.9584</v>
      </c>
      <c r="J37" s="332"/>
      <c r="K37" s="332"/>
      <c r="L37" s="332"/>
      <c r="M37" s="332"/>
      <c r="N37" s="332"/>
      <c r="O37" s="332"/>
      <c r="P37" s="333">
        <f>SUM(compras_mes9[[#This Row],[NETO GRAVADO]:[Otros / No Grav.]])</f>
        <v>675899.99840000004</v>
      </c>
      <c r="Q37" s="49" t="s">
        <v>1425</v>
      </c>
      <c r="R37" s="334">
        <f>IFERROR(IF(compras_mes9[[#This Row],[CUIT]]="","-",VLOOKUP(compras_mes9[[#This Row],[CUIT]],Lista_CUIT[#All],4,0)),"CUIT NO CARGADO")</f>
        <v>0</v>
      </c>
    </row>
    <row r="38" spans="2:18" x14ac:dyDescent="0.3">
      <c r="B38" s="275" t="s">
        <v>1315</v>
      </c>
      <c r="C38" s="208">
        <v>1</v>
      </c>
      <c r="D38" s="276">
        <v>2466</v>
      </c>
      <c r="E38" s="277">
        <v>589768</v>
      </c>
      <c r="F38" s="278">
        <v>30678814357</v>
      </c>
      <c r="G38" s="279" t="str">
        <f>IFERROR(IF(compras_mes9[[#This Row],[CUIT]]="","-",VLOOKUP(compras_mes9[[#This Row],[CUIT]],Lista_CUIT[#All],2,0)),"CUIT NO CARGADO")</f>
        <v>TELEFONICA MOVILES ARG</v>
      </c>
      <c r="H38" s="280">
        <v>7895.26</v>
      </c>
      <c r="I38" s="281"/>
      <c r="J38" s="281">
        <f>compras_mes9[[#This Row],[NETO GRAVADO]]*0.27</f>
        <v>2131.7202000000002</v>
      </c>
      <c r="K38" s="281"/>
      <c r="L38" s="281">
        <v>236.86</v>
      </c>
      <c r="M38" s="281"/>
      <c r="N38" s="281"/>
      <c r="O38" s="281">
        <v>398.15</v>
      </c>
      <c r="P38" s="282">
        <f>SUM(compras_mes9[[#This Row],[NETO GRAVADO]:[Otros / No Grav.]])</f>
        <v>10661.9902</v>
      </c>
      <c r="Q38" s="283" t="str">
        <f>IFERROR(IF(compras_mes9[[#This Row],[CUIT]]="","-",VLOOKUP(compras_mes9[[#This Row],[CUIT]],Lista_CUIT[#All],3,0)),"CUIT NO CARGADO")</f>
        <v>SERVICIOS</v>
      </c>
      <c r="R38" s="283">
        <f>IFERROR(IF(compras_mes9[[#This Row],[CUIT]]="","-",VLOOKUP(compras_mes9[[#This Row],[CUIT]],Lista_CUIT[#All],4,0)),"CUIT NO CARGADO")</f>
        <v>0</v>
      </c>
    </row>
    <row r="39" spans="2:18" x14ac:dyDescent="0.3">
      <c r="B39" s="40" t="s">
        <v>1305</v>
      </c>
      <c r="C39" s="41">
        <v>1</v>
      </c>
      <c r="D39" s="42">
        <v>3</v>
      </c>
      <c r="E39" s="43">
        <v>210052</v>
      </c>
      <c r="F39" s="44">
        <v>30707135596</v>
      </c>
      <c r="G39" s="45" t="str">
        <f>IFERROR(IF(compras_mes9[[#This Row],[CUIT]]="","-",VLOOKUP(compras_mes9[[#This Row],[CUIT]],Lista_CUIT[#All],2,0)),"CUIT NO CARGADO")</f>
        <v>CITILAN ARGENTINA S.A.</v>
      </c>
      <c r="H39" s="46">
        <v>7662.74</v>
      </c>
      <c r="I39" s="85">
        <f>IF(compras_mes9[[#This Row],[NETO GRAVADO]]="","",compras_mes9[[#This Row],[NETO GRAVADO]]*0.21)</f>
        <v>1609.1753999999999</v>
      </c>
      <c r="J39" s="85"/>
      <c r="K39" s="85"/>
      <c r="L39" s="85"/>
      <c r="M39" s="85"/>
      <c r="N39" s="85"/>
      <c r="O39" s="85"/>
      <c r="P39" s="48">
        <f>SUM(compras_mes9[[#This Row],[NETO GRAVADO]:[Otros / No Grav.]])</f>
        <v>9271.9153999999999</v>
      </c>
      <c r="Q39" s="49" t="str">
        <f>IFERROR(IF(compras_mes9[[#This Row],[CUIT]]="","-",VLOOKUP(compras_mes9[[#This Row],[CUIT]],Lista_CUIT[#All],3,0)),"CUIT NO CARGADO")</f>
        <v>Servicios Gas, Luz, Etc</v>
      </c>
      <c r="R39" s="49">
        <f>IFERROR(IF(compras_mes9[[#This Row],[CUIT]]="","-",VLOOKUP(compras_mes9[[#This Row],[CUIT]],Lista_CUIT[#All],4,0)),"CUIT NO CARGADO")</f>
        <v>0</v>
      </c>
    </row>
    <row r="40" spans="2:18" x14ac:dyDescent="0.3">
      <c r="B40" s="96" t="s">
        <v>110</v>
      </c>
      <c r="C40" s="96"/>
      <c r="D40" s="96"/>
      <c r="E40" s="96"/>
      <c r="F40" s="96"/>
      <c r="G40" s="97"/>
      <c r="H40" s="98">
        <f>SUBTOTAL(109,compras_mes9[NETO GRAVADO])</f>
        <v>2963850.5199999996</v>
      </c>
      <c r="I40" s="98">
        <f>SUBTOTAL(109,compras_mes9[IVA 21 %])</f>
        <v>618089.97039999987</v>
      </c>
      <c r="J40" s="98">
        <f>SUBTOTAL(109,compras_mes9[IVA 27%])</f>
        <v>2131.7202000000002</v>
      </c>
      <c r="K40" s="98">
        <f>SUBTOTAL(109,compras_mes9[IVA 10,5%])</f>
        <v>1330.32</v>
      </c>
      <c r="L40" s="98">
        <f>SUBTOTAL(109,compras_mes9[PERC. IVA])</f>
        <v>236.86</v>
      </c>
      <c r="M40" s="98">
        <f>SUBTOTAL(109,compras_mes9[PERC IIBB 
BS AS])</f>
        <v>0</v>
      </c>
      <c r="N40" s="98">
        <f>SUBTOTAL(109,compras_mes9[PERC. IIBB CABA])</f>
        <v>0</v>
      </c>
      <c r="O40" s="98">
        <f>SUBTOTAL(109,compras_mes9[Otros / No Grav.])</f>
        <v>733898.70499999996</v>
      </c>
      <c r="P40" s="98">
        <f>SUBTOTAL(109,compras_mes9[TOTAL])</f>
        <v>4319538.0956000006</v>
      </c>
      <c r="Q40" s="96"/>
      <c r="R40" s="96"/>
    </row>
    <row r="41" spans="2:18" x14ac:dyDescent="0.3">
      <c r="B41" s="40"/>
      <c r="C41" s="41"/>
      <c r="D41" s="42"/>
      <c r="E41" s="43"/>
      <c r="F41" s="44"/>
      <c r="G41" s="45"/>
      <c r="H41" s="46"/>
      <c r="I41" s="47"/>
      <c r="J41" s="47"/>
      <c r="K41" s="47"/>
      <c r="L41" s="47"/>
      <c r="M41" s="47"/>
      <c r="N41" s="47"/>
      <c r="O41" s="47"/>
      <c r="P41" s="48"/>
      <c r="Q41" s="49"/>
      <c r="R41" s="49"/>
    </row>
    <row r="42" spans="2:18" x14ac:dyDescent="0.3">
      <c r="B42" s="40"/>
      <c r="C42" s="41"/>
      <c r="D42" s="42"/>
      <c r="E42" s="43"/>
      <c r="F42" s="44"/>
      <c r="G42" s="45"/>
      <c r="H42" s="46"/>
      <c r="I42" s="47"/>
      <c r="J42" s="47"/>
      <c r="K42" s="47"/>
      <c r="L42" s="47"/>
      <c r="M42" s="47"/>
      <c r="N42" s="47"/>
      <c r="O42" s="47"/>
      <c r="P42" s="48"/>
      <c r="Q42" s="49"/>
      <c r="R42" s="49"/>
    </row>
    <row r="43" spans="2:18" x14ac:dyDescent="0.3">
      <c r="B43" s="40"/>
      <c r="C43" s="41"/>
      <c r="D43" s="42"/>
      <c r="E43" s="43"/>
      <c r="F43" s="44"/>
      <c r="G43" s="45"/>
      <c r="H43" s="46"/>
      <c r="I43" s="47"/>
      <c r="J43" s="47"/>
      <c r="K43" s="47"/>
      <c r="L43" s="47"/>
      <c r="M43" s="47"/>
      <c r="N43" s="47"/>
      <c r="O43" s="47"/>
      <c r="P43" s="48"/>
      <c r="Q43" s="49"/>
      <c r="R43" s="49"/>
    </row>
    <row r="44" spans="2:18" x14ac:dyDescent="0.3">
      <c r="B44" s="40"/>
      <c r="C44" s="41"/>
      <c r="D44" s="42"/>
      <c r="E44" s="43"/>
      <c r="F44" s="44"/>
      <c r="G44" s="45"/>
      <c r="H44" s="46"/>
      <c r="I44" s="47"/>
      <c r="J44" s="47"/>
      <c r="K44" s="47"/>
      <c r="L44" s="47"/>
    </row>
    <row r="45" spans="2:18" ht="21" x14ac:dyDescent="0.3">
      <c r="D45" s="414" t="s">
        <v>15</v>
      </c>
      <c r="E45" s="414"/>
      <c r="F45" s="414"/>
      <c r="G45" s="414"/>
      <c r="H45" s="414"/>
      <c r="I45" s="414"/>
      <c r="J45" s="414"/>
      <c r="K45" s="414"/>
      <c r="L45" s="414"/>
    </row>
    <row r="46" spans="2:18" ht="25.95" customHeight="1" x14ac:dyDescent="0.3">
      <c r="D46" s="73" t="s">
        <v>0</v>
      </c>
      <c r="E46" s="74" t="s">
        <v>26</v>
      </c>
      <c r="F46" s="74" t="s">
        <v>16</v>
      </c>
      <c r="G46" s="74" t="s">
        <v>5</v>
      </c>
      <c r="H46" s="74" t="s">
        <v>17</v>
      </c>
      <c r="I46" s="74" t="s">
        <v>7</v>
      </c>
      <c r="J46" s="75" t="s">
        <v>18</v>
      </c>
      <c r="K46" s="75" t="s">
        <v>19</v>
      </c>
      <c r="L46" s="76" t="s">
        <v>20</v>
      </c>
    </row>
    <row r="47" spans="2:18" x14ac:dyDescent="0.3">
      <c r="D47" s="50"/>
      <c r="E47" s="79"/>
      <c r="F47" s="80" t="s">
        <v>1331</v>
      </c>
      <c r="G47" s="81">
        <v>6418.3228571428572</v>
      </c>
      <c r="H47" s="81">
        <f>extracto_banco_mes9[[#This Row],[NETO]]*0.21</f>
        <v>1347.8478</v>
      </c>
      <c r="I47" s="81"/>
      <c r="J47" s="81"/>
      <c r="K47" s="81">
        <v>192.54</v>
      </c>
      <c r="L47" s="81"/>
    </row>
    <row r="48" spans="2:18" ht="17.25" customHeight="1" x14ac:dyDescent="0.3">
      <c r="D48" s="50"/>
      <c r="E48" s="79"/>
      <c r="F48" s="80" t="s">
        <v>1243</v>
      </c>
      <c r="G48" s="81">
        <v>25099.5</v>
      </c>
      <c r="H48" s="81">
        <f>extracto_banco_mes9[[#This Row],[NETO]]*0.21</f>
        <v>5270.8949999999995</v>
      </c>
      <c r="I48" s="81"/>
      <c r="J48" s="81"/>
      <c r="K48" s="81">
        <v>628.19000000000005</v>
      </c>
      <c r="L48" s="81"/>
    </row>
    <row r="49" spans="4:12" x14ac:dyDescent="0.3">
      <c r="D49" s="50"/>
      <c r="E49" s="79"/>
      <c r="F49" s="80" t="s">
        <v>1332</v>
      </c>
      <c r="G49" s="81">
        <v>170</v>
      </c>
      <c r="H49" s="81">
        <f>extracto_banco_mes9[[#This Row],[NETO]]*0.21</f>
        <v>35.699999999999996</v>
      </c>
      <c r="I49" s="81"/>
      <c r="J49" s="81">
        <v>1.78</v>
      </c>
      <c r="K49" s="81"/>
      <c r="L49" s="81"/>
    </row>
    <row r="50" spans="4:12" x14ac:dyDescent="0.3">
      <c r="D50" s="82" t="s">
        <v>110</v>
      </c>
      <c r="E50" s="80"/>
      <c r="F50" s="80"/>
      <c r="G50" s="83">
        <f>SUBTOTAL(109,extracto_banco_mes9[NETO])</f>
        <v>31687.822857142855</v>
      </c>
      <c r="H50" s="83">
        <f>SUBTOTAL(109,extracto_banco_mes9[IVA 21%])</f>
        <v>6654.4427999999998</v>
      </c>
      <c r="I50" s="83">
        <f>SUBTOTAL(109,extracto_banco_mes9[IVA 10,5%])</f>
        <v>0</v>
      </c>
      <c r="J50" s="83">
        <f>SUBTOTAL(109,extracto_banco_mes9[RET IIBB CABA])</f>
        <v>1.78</v>
      </c>
      <c r="K50" s="83">
        <f>SUBTOTAL(109,extracto_banco_mes9[PERC IVA])</f>
        <v>820.73</v>
      </c>
      <c r="L50" s="83">
        <f>SUBTOTAL(109,extracto_banco_mes9[PERC IIBB])</f>
        <v>0</v>
      </c>
    </row>
    <row r="54" spans="4:12" ht="21" x14ac:dyDescent="0.3">
      <c r="D54" s="414" t="s">
        <v>25</v>
      </c>
      <c r="E54" s="414"/>
      <c r="F54" s="414"/>
      <c r="G54" s="414"/>
      <c r="H54" s="414"/>
      <c r="I54" s="414"/>
      <c r="J54" s="414"/>
      <c r="K54" s="414"/>
    </row>
    <row r="55" spans="4:12" x14ac:dyDescent="0.3">
      <c r="D55" s="51" t="s">
        <v>0</v>
      </c>
      <c r="E55" s="51" t="s">
        <v>2</v>
      </c>
      <c r="F55" s="51" t="s">
        <v>74</v>
      </c>
      <c r="G55" s="51" t="s">
        <v>3</v>
      </c>
      <c r="H55" s="51" t="s">
        <v>4</v>
      </c>
      <c r="I55" s="52" t="s">
        <v>10</v>
      </c>
      <c r="J55" s="51" t="s">
        <v>13</v>
      </c>
      <c r="K55" s="51" t="s">
        <v>38</v>
      </c>
    </row>
    <row r="56" spans="4:12" x14ac:dyDescent="0.3">
      <c r="D56" s="305" t="s">
        <v>1306</v>
      </c>
      <c r="E56" s="276">
        <v>1</v>
      </c>
      <c r="F56" s="277">
        <v>1207</v>
      </c>
      <c r="G56" s="278">
        <v>20254823105</v>
      </c>
      <c r="H56" s="354" t="str">
        <f>IFERROR(IF(factura_c_mes9[[#This Row],[CUIT]]="","-",VLOOKUP(factura_c_mes9[[#This Row],[CUIT]],Lista_CUIT[#All],2,0)),"CUIT NO CARGADO")</f>
        <v>DELFINO LUIS ADOLFO</v>
      </c>
      <c r="I56" s="355">
        <v>9999</v>
      </c>
      <c r="J56" s="356">
        <f>IFERROR(IF(factura_c_mes9[[#This Row],[CUIT]]="","-",VLOOKUP(factura_c_mes9[[#This Row],[CUIT]],Lista_CUIT[#All],3,0)),"CUIT NO CARGADO")</f>
        <v>0</v>
      </c>
      <c r="K56" s="356">
        <f>IFERROR(IF(factura_c_mes9[[#This Row],[CUIT]]="","-",VLOOKUP(factura_c_mes9[[#This Row],[CUIT]],Lista_CUIT[#All],4,0)),"CUIT NO CARGADO")</f>
        <v>0</v>
      </c>
    </row>
    <row r="57" spans="4:12" x14ac:dyDescent="0.3">
      <c r="D57" s="352" t="s">
        <v>1303</v>
      </c>
      <c r="E57" s="352">
        <v>1</v>
      </c>
      <c r="F57" s="352">
        <v>19</v>
      </c>
      <c r="G57" s="353">
        <v>27387896150</v>
      </c>
      <c r="H57" s="321" t="str">
        <f>IFERROR(IF(factura_c_mes9[[#This Row],[CUIT]]="","-",VLOOKUP(factura_c_mes9[[#This Row],[CUIT]],Lista_CUIT[#All],2,0)),"CUIT NO CARGADO")</f>
        <v>LIPANOVICH MARIA SOL</v>
      </c>
      <c r="I57" s="347">
        <v>400000</v>
      </c>
      <c r="J57" s="322" t="str">
        <f>IFERROR(IF(factura_c_mes9[[#This Row],[CUIT]]="","-",VLOOKUP(factura_c_mes9[[#This Row],[CUIT]],Lista_CUIT[#All],3,0)),"CUIT NO CARGADO")</f>
        <v>consultoria informatica</v>
      </c>
      <c r="K57" s="322">
        <f>IFERROR(IF(factura_c_mes9[[#This Row],[CUIT]]="","-",VLOOKUP(factura_c_mes9[[#This Row],[CUIT]],Lista_CUIT[#All],4,0)),"CUIT NO CARGADO")</f>
        <v>0</v>
      </c>
    </row>
    <row r="58" spans="4:12" x14ac:dyDescent="0.3">
      <c r="D58" s="357" t="s">
        <v>1303</v>
      </c>
      <c r="E58" s="357">
        <v>3</v>
      </c>
      <c r="F58" s="357">
        <v>802</v>
      </c>
      <c r="G58" s="358">
        <v>20086277523</v>
      </c>
      <c r="H58" s="359" t="str">
        <f>IFERROR(IF(factura_c_mes9[[#This Row],[CUIT]]="","-",VLOOKUP(factura_c_mes9[[#This Row],[CUIT]],Lista_CUIT[#All],2,0)),"CUIT NO CARGADO")</f>
        <v>ESTUDIO BOTINDARI</v>
      </c>
      <c r="I58" s="360">
        <v>118500</v>
      </c>
      <c r="J58" s="361" t="str">
        <f>IFERROR(IF(factura_c_mes9[[#This Row],[CUIT]]="","-",VLOOKUP(factura_c_mes9[[#This Row],[CUIT]],Lista_CUIT[#All],3,0)),"CUIT NO CARGADO")</f>
        <v>HONORARIOS</v>
      </c>
      <c r="K58" s="361">
        <f>IFERROR(IF(factura_c_mes9[[#This Row],[CUIT]]="","-",VLOOKUP(factura_c_mes9[[#This Row],[CUIT]],Lista_CUIT[#All],4,0)),"CUIT NO CARGADO")</f>
        <v>0</v>
      </c>
    </row>
    <row r="59" spans="4:12" x14ac:dyDescent="0.3">
      <c r="D59" s="357" t="s">
        <v>1307</v>
      </c>
      <c r="E59" s="357">
        <v>2</v>
      </c>
      <c r="F59" s="357">
        <v>91459</v>
      </c>
      <c r="G59" s="358">
        <v>30554466806</v>
      </c>
      <c r="H59" s="359" t="str">
        <f>IFERROR(IF(factura_c_mes9[[#This Row],[CUIT]]="","-",VLOOKUP(factura_c_mes9[[#This Row],[CUIT]],Lista_CUIT[#All],2,0)),"CUIT NO CARGADO")</f>
        <v>ASOCIACION DE IMPORTADORES Y EXPORTADORES DE LA REPUBLICA ARGENTINA</v>
      </c>
      <c r="I59" s="360">
        <v>5200</v>
      </c>
      <c r="J59" s="361" t="str">
        <f>IFERROR(IF(factura_c_mes9[[#This Row],[CUIT]]="","-",VLOOKUP(factura_c_mes9[[#This Row],[CUIT]],Lista_CUIT[#All],3,0)),"CUIT NO CARGADO")</f>
        <v>FLETE-LOGISTICA</v>
      </c>
      <c r="K59" s="361">
        <f>IFERROR(IF(factura_c_mes9[[#This Row],[CUIT]]="","-",VLOOKUP(factura_c_mes9[[#This Row],[CUIT]],Lista_CUIT[#All],4,0)),"CUIT NO CARGADO")</f>
        <v>0</v>
      </c>
    </row>
    <row r="60" spans="4:12" x14ac:dyDescent="0.3">
      <c r="D60" s="357" t="s">
        <v>1307</v>
      </c>
      <c r="E60" s="357">
        <v>2</v>
      </c>
      <c r="F60" s="357">
        <v>117</v>
      </c>
      <c r="G60" s="358">
        <v>27125997835</v>
      </c>
      <c r="H60" s="359" t="str">
        <f>IFERROR(IF(factura_c_mes9[[#This Row],[CUIT]]="","-",VLOOKUP(factura_c_mes9[[#This Row],[CUIT]],Lista_CUIT[#All],2,0)),"CUIT NO CARGADO")</f>
        <v>DANSKY ULLMANN VIVIANA EVA YOLANDA</v>
      </c>
      <c r="I60" s="360">
        <v>43000</v>
      </c>
      <c r="J60" s="361">
        <f>IFERROR(IF(factura_c_mes9[[#This Row],[CUIT]]="","-",VLOOKUP(factura_c_mes9[[#This Row],[CUIT]],Lista_CUIT[#All],3,0)),"CUIT NO CARGADO")</f>
        <v>0</v>
      </c>
      <c r="K60" s="361">
        <f>IFERROR(IF(factura_c_mes9[[#This Row],[CUIT]]="","-",VLOOKUP(factura_c_mes9[[#This Row],[CUIT]],Lista_CUIT[#All],4,0)),"CUIT NO CARGADO")</f>
        <v>0</v>
      </c>
    </row>
    <row r="61" spans="4:12" x14ac:dyDescent="0.3">
      <c r="D61" s="352" t="s">
        <v>1308</v>
      </c>
      <c r="E61" s="352">
        <v>3</v>
      </c>
      <c r="F61" s="352">
        <v>803</v>
      </c>
      <c r="G61" s="353">
        <v>20086277523</v>
      </c>
      <c r="H61" s="321" t="str">
        <f>IFERROR(IF(factura_c_mes9[[#This Row],[CUIT]]="","-",VLOOKUP(factura_c_mes9[[#This Row],[CUIT]],Lista_CUIT[#All],2,0)),"CUIT NO CARGADO")</f>
        <v>ESTUDIO BOTINDARI</v>
      </c>
      <c r="I61" s="347">
        <v>380000</v>
      </c>
      <c r="J61" s="322" t="str">
        <f>IFERROR(IF(factura_c_mes9[[#This Row],[CUIT]]="","-",VLOOKUP(factura_c_mes9[[#This Row],[CUIT]],Lista_CUIT[#All],3,0)),"CUIT NO CARGADO")</f>
        <v>HONORARIOS</v>
      </c>
      <c r="K61" s="322">
        <f>IFERROR(IF(factura_c_mes9[[#This Row],[CUIT]]="","-",VLOOKUP(factura_c_mes9[[#This Row],[CUIT]],Lista_CUIT[#All],4,0)),"CUIT NO CARGADO")</f>
        <v>0</v>
      </c>
    </row>
    <row r="62" spans="4:12" x14ac:dyDescent="0.3">
      <c r="D62" s="352" t="s">
        <v>1308</v>
      </c>
      <c r="E62" s="352">
        <v>4</v>
      </c>
      <c r="F62" s="352">
        <v>20</v>
      </c>
      <c r="G62" s="353">
        <v>20341462933</v>
      </c>
      <c r="H62" s="321" t="str">
        <f>IFERROR(IF(factura_c_mes9[[#This Row],[CUIT]]="","-",VLOOKUP(factura_c_mes9[[#This Row],[CUIT]],Lista_CUIT[#All],2,0)),"CUIT NO CARGADO")</f>
        <v>CASTIGLIONI MATIAS EZEQUIEL</v>
      </c>
      <c r="I62" s="347">
        <v>200000</v>
      </c>
      <c r="J62" s="322" t="str">
        <f>IFERROR(IF(factura_c_mes9[[#This Row],[CUIT]]="","-",VLOOKUP(factura_c_mes9[[#This Row],[CUIT]],Lista_CUIT[#All],3,0)),"CUIT NO CARGADO")</f>
        <v>ASESORAMIENTO</v>
      </c>
      <c r="K62" s="322" t="str">
        <f>IFERROR(IF(factura_c_mes9[[#This Row],[CUIT]]="","-",VLOOKUP(factura_c_mes9[[#This Row],[CUIT]],Lista_CUIT[#All],4,0)),"CUIT NO CARGADO")</f>
        <v>BUENOS AIRES</v>
      </c>
    </row>
    <row r="63" spans="4:12" x14ac:dyDescent="0.3">
      <c r="D63" s="357" t="s">
        <v>1309</v>
      </c>
      <c r="E63" s="357">
        <v>2</v>
      </c>
      <c r="F63" s="357">
        <v>691</v>
      </c>
      <c r="G63" s="358">
        <v>20400104094</v>
      </c>
      <c r="H63" s="359" t="str">
        <f>IFERROR(IF(factura_c_mes9[[#This Row],[CUIT]]="","-",VLOOKUP(factura_c_mes9[[#This Row],[CUIT]],Lista_CUIT[#All],2,0)),"CUIT NO CARGADO")</f>
        <v>FEDERICO BOTINDARI</v>
      </c>
      <c r="I63" s="360">
        <v>28700</v>
      </c>
      <c r="J63" s="361" t="str">
        <f>IFERROR(IF(factura_c_mes9[[#This Row],[CUIT]]="","-",VLOOKUP(factura_c_mes9[[#This Row],[CUIT]],Lista_CUIT[#All],3,0)),"CUIT NO CARGADO")</f>
        <v>HONORARIOS</v>
      </c>
      <c r="K63" s="361">
        <f>IFERROR(IF(factura_c_mes9[[#This Row],[CUIT]]="","-",VLOOKUP(factura_c_mes9[[#This Row],[CUIT]],Lista_CUIT[#All],4,0)),"CUIT NO CARGADO")</f>
        <v>0</v>
      </c>
    </row>
    <row r="64" spans="4:12" x14ac:dyDescent="0.3">
      <c r="D64" s="357" t="s">
        <v>1310</v>
      </c>
      <c r="E64" s="357">
        <v>3</v>
      </c>
      <c r="F64" s="357">
        <v>70</v>
      </c>
      <c r="G64" s="358">
        <v>20403931420</v>
      </c>
      <c r="H64" s="359" t="str">
        <f>IFERROR(IF(factura_c_mes9[[#This Row],[CUIT]]="","-",VLOOKUP(factura_c_mes9[[#This Row],[CUIT]],Lista_CUIT[#All],2,0)),"CUIT NO CARGADO")</f>
        <v>FIORENTINO JORGE IGNACIO</v>
      </c>
      <c r="I64" s="360">
        <v>177560</v>
      </c>
      <c r="J64" s="361" t="str">
        <f>IFERROR(IF(factura_c_mes9[[#This Row],[CUIT]]="","-",VLOOKUP(factura_c_mes9[[#This Row],[CUIT]],Lista_CUIT[#All],3,0)),"CUIT NO CARGADO")</f>
        <v>Hon. Admin.</v>
      </c>
      <c r="K64" s="361">
        <f>IFERROR(IF(factura_c_mes9[[#This Row],[CUIT]]="","-",VLOOKUP(factura_c_mes9[[#This Row],[CUIT]],Lista_CUIT[#All],4,0)),"CUIT NO CARGADO")</f>
        <v>0</v>
      </c>
    </row>
    <row r="65" spans="2:18" x14ac:dyDescent="0.3">
      <c r="D65" s="357" t="s">
        <v>1310</v>
      </c>
      <c r="E65" s="357">
        <v>4</v>
      </c>
      <c r="F65" s="357">
        <v>57</v>
      </c>
      <c r="G65" s="358">
        <v>23214737914</v>
      </c>
      <c r="H65" s="359" t="str">
        <f>IFERROR(IF(factura_c_mes9[[#This Row],[CUIT]]="","-",VLOOKUP(factura_c_mes9[[#This Row],[CUIT]],Lista_CUIT[#All],2,0)),"CUIT NO CARGADO")</f>
        <v>SBARRA GABRIELA BEATRIZ</v>
      </c>
      <c r="I65" s="360">
        <v>404710</v>
      </c>
      <c r="J65" s="361">
        <f>IFERROR(IF(factura_c_mes9[[#This Row],[CUIT]]="","-",VLOOKUP(factura_c_mes9[[#This Row],[CUIT]],Lista_CUIT[#All],3,0)),"CUIT NO CARGADO")</f>
        <v>0</v>
      </c>
      <c r="K65" s="361">
        <f>IFERROR(IF(factura_c_mes9[[#This Row],[CUIT]]="","-",VLOOKUP(factura_c_mes9[[#This Row],[CUIT]],Lista_CUIT[#All],4,0)),"CUIT NO CARGADO")</f>
        <v>0</v>
      </c>
    </row>
    <row r="66" spans="2:18" x14ac:dyDescent="0.3">
      <c r="D66" s="352" t="s">
        <v>1311</v>
      </c>
      <c r="E66" s="352">
        <v>1</v>
      </c>
      <c r="F66" s="352">
        <v>217</v>
      </c>
      <c r="G66" s="353">
        <v>27925308884</v>
      </c>
      <c r="H66" s="321" t="str">
        <f>IFERROR(IF(factura_c_mes9[[#This Row],[CUIT]]="","-",VLOOKUP(factura_c_mes9[[#This Row],[CUIT]],Lista_CUIT[#All],2,0)),"CUIT NO CARGADO")</f>
        <v>LOPEZ LOPEZ FLAVIA</v>
      </c>
      <c r="I66" s="347">
        <v>6000</v>
      </c>
      <c r="J66" s="322">
        <f>IFERROR(IF(factura_c_mes9[[#This Row],[CUIT]]="","-",VLOOKUP(factura_c_mes9[[#This Row],[CUIT]],Lista_CUIT[#All],3,0)),"CUIT NO CARGADO")</f>
        <v>0</v>
      </c>
      <c r="K66" s="322">
        <f>IFERROR(IF(factura_c_mes9[[#This Row],[CUIT]]="","-",VLOOKUP(factura_c_mes9[[#This Row],[CUIT]],Lista_CUIT[#All],4,0)),"CUIT NO CARGADO")</f>
        <v>0</v>
      </c>
    </row>
    <row r="67" spans="2:18" x14ac:dyDescent="0.3">
      <c r="D67" s="352" t="s">
        <v>1311</v>
      </c>
      <c r="E67" s="352">
        <v>1</v>
      </c>
      <c r="F67" s="352">
        <v>16</v>
      </c>
      <c r="G67" s="353">
        <v>20338344695</v>
      </c>
      <c r="H67" s="321" t="str">
        <f>IFERROR(IF(factura_c_mes9[[#This Row],[CUIT]]="","-",VLOOKUP(factura_c_mes9[[#This Row],[CUIT]],Lista_CUIT[#All],2,0)),"CUIT NO CARGADO")</f>
        <v>FUERTES DAMIAN MATIAS</v>
      </c>
      <c r="I67" s="347">
        <v>91000</v>
      </c>
      <c r="J67" s="322" t="str">
        <f>IFERROR(IF(factura_c_mes9[[#This Row],[CUIT]]="","-",VLOOKUP(factura_c_mes9[[#This Row],[CUIT]],Lista_CUIT[#All],3,0)),"CUIT NO CARGADO")</f>
        <v>INSUMO</v>
      </c>
      <c r="K67" s="322">
        <f>IFERROR(IF(factura_c_mes9[[#This Row],[CUIT]]="","-",VLOOKUP(factura_c_mes9[[#This Row],[CUIT]],Lista_CUIT[#All],4,0)),"CUIT NO CARGADO")</f>
        <v>0</v>
      </c>
    </row>
    <row r="68" spans="2:18" x14ac:dyDescent="0.3">
      <c r="D68" s="352" t="s">
        <v>1312</v>
      </c>
      <c r="E68" s="352">
        <v>1</v>
      </c>
      <c r="F68" s="352">
        <v>32</v>
      </c>
      <c r="G68" s="353">
        <v>20365938688</v>
      </c>
      <c r="H68" s="321" t="str">
        <f>IFERROR(IF(factura_c_mes9[[#This Row],[CUIT]]="","-",VLOOKUP(factura_c_mes9[[#This Row],[CUIT]],Lista_CUIT[#All],2,0)),"CUIT NO CARGADO")</f>
        <v>LIPANOVICH JUAN CRUZ</v>
      </c>
      <c r="I68" s="347">
        <v>600000</v>
      </c>
      <c r="J68" s="322" t="str">
        <f>IFERROR(IF(factura_c_mes9[[#This Row],[CUIT]]="","-",VLOOKUP(factura_c_mes9[[#This Row],[CUIT]],Lista_CUIT[#All],3,0)),"CUIT NO CARGADO")</f>
        <v>SOFTWARE</v>
      </c>
      <c r="K68" s="322">
        <f>IFERROR(IF(factura_c_mes9[[#This Row],[CUIT]]="","-",VLOOKUP(factura_c_mes9[[#This Row],[CUIT]],Lista_CUIT[#All],4,0)),"CUIT NO CARGADO")</f>
        <v>0</v>
      </c>
    </row>
    <row r="69" spans="2:18" x14ac:dyDescent="0.3">
      <c r="D69" s="50">
        <v>45264</v>
      </c>
      <c r="E69" s="42">
        <v>3</v>
      </c>
      <c r="F69" s="43">
        <v>801</v>
      </c>
      <c r="G69" s="44">
        <v>20086277523</v>
      </c>
      <c r="H69" s="53" t="str">
        <f>IFERROR(IF(factura_c_mes9[[#This Row],[CUIT]]="","-",VLOOKUP(factura_c_mes9[[#This Row],[CUIT]],Lista_CUIT[#All],2,0)),"CUIT NO CARGADO")</f>
        <v>ESTUDIO BOTINDARI</v>
      </c>
      <c r="I69" s="81">
        <v>42500</v>
      </c>
      <c r="J69" s="54" t="str">
        <f>IFERROR(IF(factura_c_mes9[[#This Row],[CUIT]]="","-",VLOOKUP(factura_c_mes9[[#This Row],[CUIT]],Lista_CUIT[#All],3,0)),"CUIT NO CARGADO")</f>
        <v>HONORARIOS</v>
      </c>
      <c r="K69" s="54">
        <f>IFERROR(IF(factura_c_mes9[[#This Row],[CUIT]]="","-",VLOOKUP(factura_c_mes9[[#This Row],[CUIT]],Lista_CUIT[#All],4,0)),"CUIT NO CARGADO")</f>
        <v>0</v>
      </c>
    </row>
    <row r="70" spans="2:18" x14ac:dyDescent="0.3">
      <c r="D70" s="50"/>
      <c r="E70" s="42"/>
      <c r="F70" s="43"/>
      <c r="G70" s="44"/>
      <c r="H70" s="53" t="str">
        <f>IFERROR(IF(factura_c_mes9[[#This Row],[CUIT]]="","-",VLOOKUP(factura_c_mes9[[#This Row],[CUIT]],Lista_CUIT[#All],2,0)),"CUIT NO CARGADO")</f>
        <v>-</v>
      </c>
      <c r="I70" s="81"/>
      <c r="J70" s="54" t="str">
        <f>IFERROR(IF(factura_c_mes9[[#This Row],[CUIT]]="","-",VLOOKUP(factura_c_mes9[[#This Row],[CUIT]],Lista_CUIT[#All],3,0)),"CUIT NO CARGADO")</f>
        <v>-</v>
      </c>
      <c r="K70" s="54" t="str">
        <f>IFERROR(IF(factura_c_mes9[[#This Row],[CUIT]]="","-",VLOOKUP(factura_c_mes9[[#This Row],[CUIT]],Lista_CUIT[#All],4,0)),"CUIT NO CARGADO")</f>
        <v>-</v>
      </c>
    </row>
    <row r="71" spans="2:18" x14ac:dyDescent="0.3">
      <c r="D71" s="50"/>
      <c r="E71" s="42"/>
      <c r="F71" s="43"/>
      <c r="G71" s="44"/>
      <c r="H71" s="53" t="str">
        <f>IFERROR(IF(factura_c_mes9[[#This Row],[CUIT]]="","-",VLOOKUP(factura_c_mes9[[#This Row],[CUIT]],Lista_CUIT[#All],2,0)),"CUIT NO CARGADO")</f>
        <v>-</v>
      </c>
      <c r="I71" s="81"/>
      <c r="J71" s="54" t="str">
        <f>IFERROR(IF(factura_c_mes9[[#This Row],[CUIT]]="","-",VLOOKUP(factura_c_mes9[[#This Row],[CUIT]],Lista_CUIT[#All],3,0)),"CUIT NO CARGADO")</f>
        <v>-</v>
      </c>
      <c r="K71" s="54" t="str">
        <f>IFERROR(IF(factura_c_mes9[[#This Row],[CUIT]]="","-",VLOOKUP(factura_c_mes9[[#This Row],[CUIT]],Lista_CUIT[#All],4,0)),"CUIT NO CARGADO")</f>
        <v>-</v>
      </c>
    </row>
    <row r="72" spans="2:18" x14ac:dyDescent="0.3">
      <c r="D72" s="55" t="s">
        <v>110</v>
      </c>
      <c r="E72" s="55"/>
      <c r="F72" s="55"/>
      <c r="G72" s="55"/>
      <c r="H72" s="57"/>
      <c r="I72" s="58">
        <f>SUBTOTAL(109,factura_c_mes9[TOTAL])</f>
        <v>2507169</v>
      </c>
      <c r="J72" s="55"/>
      <c r="K72" s="55"/>
    </row>
    <row r="73" spans="2:18" x14ac:dyDescent="0.3">
      <c r="B73" s="56"/>
      <c r="C73" s="56"/>
      <c r="L73" s="56"/>
      <c r="M73" s="56"/>
      <c r="N73" s="56"/>
      <c r="O73" s="56"/>
      <c r="P73" s="56"/>
      <c r="Q73" s="56"/>
      <c r="R73" s="56"/>
    </row>
    <row r="78" spans="2:18" ht="25.8" x14ac:dyDescent="0.3">
      <c r="B78" s="430" t="s">
        <v>29</v>
      </c>
      <c r="C78" s="430"/>
      <c r="D78" s="430"/>
      <c r="E78" s="430"/>
      <c r="F78" s="430"/>
      <c r="G78" s="430"/>
      <c r="H78" s="430"/>
      <c r="I78" s="430"/>
      <c r="J78" s="430"/>
      <c r="K78" s="426">
        <f>N1</f>
        <v>45261</v>
      </c>
      <c r="L78" s="426"/>
      <c r="M78" s="426"/>
    </row>
    <row r="80" spans="2:18" ht="21" x14ac:dyDescent="0.3">
      <c r="B80" s="422" t="s">
        <v>30</v>
      </c>
      <c r="C80" s="422"/>
    </row>
    <row r="81" spans="2:13" ht="15.6" x14ac:dyDescent="0.3">
      <c r="B81" s="60" t="s">
        <v>0</v>
      </c>
      <c r="C81" s="61" t="s">
        <v>1</v>
      </c>
      <c r="D81" s="61" t="s">
        <v>21</v>
      </c>
      <c r="E81" s="61" t="s">
        <v>22</v>
      </c>
      <c r="F81" s="61" t="s">
        <v>3</v>
      </c>
      <c r="G81" s="61" t="s">
        <v>4</v>
      </c>
      <c r="H81" s="61" t="s">
        <v>23</v>
      </c>
      <c r="I81" s="61" t="s">
        <v>17</v>
      </c>
      <c r="J81" s="61" t="s">
        <v>7</v>
      </c>
      <c r="K81" s="61" t="s">
        <v>24</v>
      </c>
      <c r="L81" s="61" t="s">
        <v>10</v>
      </c>
      <c r="M81" s="62" t="s">
        <v>38</v>
      </c>
    </row>
    <row r="82" spans="2:13" x14ac:dyDescent="0.3">
      <c r="B82" s="40" t="s">
        <v>1303</v>
      </c>
      <c r="C82" s="41">
        <v>1</v>
      </c>
      <c r="D82" s="42">
        <v>3</v>
      </c>
      <c r="E82" s="43">
        <v>171</v>
      </c>
      <c r="F82" s="44">
        <v>30638318470</v>
      </c>
      <c r="G82" s="99" t="str">
        <f>IFERROR(IF(venta_a_mes9[[#This Row],[CUIT]]="","-",VLOOKUP(venta_a_mes9[[#This Row],[CUIT]],Lista_CUIT[#All],2,0)),"CUIT NO CARGADO")</f>
        <v>DELTA COMPRESION S R L</v>
      </c>
      <c r="H82" s="100">
        <v>18061974</v>
      </c>
      <c r="I82" s="101">
        <v>527480.1</v>
      </c>
      <c r="J82" s="65">
        <v>1632767.22</v>
      </c>
      <c r="K82" s="65"/>
      <c r="L82" s="65">
        <f>SUM(venta_a_mes9[[#This Row],[IMPORTE NETO]:[EXENTO]])</f>
        <v>20222221.32</v>
      </c>
      <c r="M82" s="59"/>
    </row>
    <row r="83" spans="2:13" x14ac:dyDescent="0.3">
      <c r="B83" s="40" t="s">
        <v>1304</v>
      </c>
      <c r="C83" s="41">
        <v>1</v>
      </c>
      <c r="D83" s="42">
        <v>3</v>
      </c>
      <c r="E83" s="43">
        <v>172</v>
      </c>
      <c r="F83" s="44">
        <v>30638318470</v>
      </c>
      <c r="G83" s="99" t="str">
        <f>IFERROR(IF(venta_a_mes9[[#This Row],[CUIT]]="","-",VLOOKUP(venta_a_mes9[[#This Row],[CUIT]],Lista_CUIT[#All],2,0)),"CUIT NO CARGADO")</f>
        <v>DELTA COMPRESION S R L</v>
      </c>
      <c r="H83" s="100">
        <v>64345</v>
      </c>
      <c r="I83" s="101">
        <f>venta_a_mes9[[#This Row],[IMPORTE NETO]]*0.21</f>
        <v>13512.449999999999</v>
      </c>
      <c r="J83" s="65"/>
      <c r="K83" s="65"/>
      <c r="L83" s="65">
        <f>SUM(venta_a_mes9[[#This Row],[IMPORTE NETO]:[EXENTO]])</f>
        <v>77857.45</v>
      </c>
      <c r="M83" s="59"/>
    </row>
    <row r="84" spans="2:13" x14ac:dyDescent="0.3">
      <c r="B84" s="40"/>
      <c r="C84" s="41"/>
      <c r="D84" s="42"/>
      <c r="E84" s="43"/>
      <c r="F84" s="44"/>
      <c r="G84" s="99" t="str">
        <f>IFERROR(IF(venta_a_mes9[[#This Row],[CUIT]]="","-",VLOOKUP(venta_a_mes9[[#This Row],[CUIT]],Lista_CUIT[#All],2,0)),"CUIT NO CARGADO")</f>
        <v>-</v>
      </c>
      <c r="H84" s="100"/>
      <c r="I84" s="101">
        <f>venta_a_mes9[[#This Row],[IMPORTE NETO]]*0.21</f>
        <v>0</v>
      </c>
      <c r="J84" s="65"/>
      <c r="K84" s="65"/>
      <c r="L84" s="65">
        <f>SUM(venta_a_mes9[[#This Row],[IMPORTE NETO]:[EXENTO]])</f>
        <v>0</v>
      </c>
      <c r="M84" s="59"/>
    </row>
    <row r="85" spans="2:13" x14ac:dyDescent="0.3">
      <c r="B85" s="40"/>
      <c r="C85" s="41"/>
      <c r="D85" s="42"/>
      <c r="E85" s="43"/>
      <c r="F85" s="44"/>
      <c r="G85" s="99" t="str">
        <f>IFERROR(IF(venta_a_mes9[[#This Row],[CUIT]]="","-",VLOOKUP(venta_a_mes9[[#This Row],[CUIT]],Lista_CUIT[#All],2,0)),"CUIT NO CARGADO")</f>
        <v>-</v>
      </c>
      <c r="H85" s="100"/>
      <c r="I85" s="101">
        <f>venta_a_mes9[[#This Row],[IMPORTE NETO]]*0.21</f>
        <v>0</v>
      </c>
      <c r="J85" s="65"/>
      <c r="K85" s="65"/>
      <c r="L85" s="65">
        <f>SUM(venta_a_mes9[[#This Row],[IMPORTE NETO]:[EXENTO]])</f>
        <v>0</v>
      </c>
      <c r="M85" s="59"/>
    </row>
    <row r="86" spans="2:13" x14ac:dyDescent="0.3">
      <c r="B86" s="40"/>
      <c r="C86" s="41"/>
      <c r="D86" s="42"/>
      <c r="E86" s="43"/>
      <c r="F86" s="44"/>
      <c r="G86" s="99" t="str">
        <f>IFERROR(IF(venta_a_mes9[[#This Row],[CUIT]]="","-",VLOOKUP(venta_a_mes9[[#This Row],[CUIT]],Lista_CUIT[#All],2,0)),"CUIT NO CARGADO")</f>
        <v>-</v>
      </c>
      <c r="H86" s="100"/>
      <c r="I86" s="101">
        <f>venta_a_mes9[[#This Row],[IMPORTE NETO]]*0.21</f>
        <v>0</v>
      </c>
      <c r="J86" s="65"/>
      <c r="K86" s="65"/>
      <c r="L86" s="65">
        <f>SUM(venta_a_mes9[[#This Row],[IMPORTE NETO]:[EXENTO]])</f>
        <v>0</v>
      </c>
      <c r="M86" s="59"/>
    </row>
    <row r="87" spans="2:13" x14ac:dyDescent="0.3">
      <c r="B87" s="40"/>
      <c r="C87" s="41"/>
      <c r="D87" s="42"/>
      <c r="E87" s="43"/>
      <c r="F87" s="44"/>
      <c r="G87" s="99" t="str">
        <f>IFERROR(IF(venta_a_mes9[[#This Row],[CUIT]]="","-",VLOOKUP(venta_a_mes9[[#This Row],[CUIT]],Lista_CUIT[#All],2,0)),"CUIT NO CARGADO")</f>
        <v>-</v>
      </c>
      <c r="H87" s="100"/>
      <c r="I87" s="101">
        <f>venta_a_mes9[[#This Row],[IMPORTE NETO]]*0.21</f>
        <v>0</v>
      </c>
      <c r="J87" s="65"/>
      <c r="K87" s="65"/>
      <c r="L87" s="65">
        <f>SUM(venta_a_mes9[[#This Row],[IMPORTE NETO]:[EXENTO]])</f>
        <v>0</v>
      </c>
      <c r="M87" s="59"/>
    </row>
    <row r="88" spans="2:13" x14ac:dyDescent="0.3">
      <c r="B88" s="40"/>
      <c r="C88" s="41"/>
      <c r="D88" s="42"/>
      <c r="E88" s="43"/>
      <c r="F88" s="44"/>
      <c r="G88" s="99" t="str">
        <f>IFERROR(IF(venta_a_mes9[[#This Row],[CUIT]]="","-",VLOOKUP(venta_a_mes9[[#This Row],[CUIT]],Lista_CUIT[#All],2,0)),"CUIT NO CARGADO")</f>
        <v>-</v>
      </c>
      <c r="H88" s="100"/>
      <c r="I88" s="101">
        <f>venta_a_mes9[[#This Row],[IMPORTE NETO]]*0.21</f>
        <v>0</v>
      </c>
      <c r="J88" s="65"/>
      <c r="K88" s="65"/>
      <c r="L88" s="65">
        <f>SUM(venta_a_mes9[[#This Row],[IMPORTE NETO]:[EXENTO]])</f>
        <v>0</v>
      </c>
      <c r="M88" s="63"/>
    </row>
    <row r="89" spans="2:13" x14ac:dyDescent="0.3">
      <c r="B89" s="102"/>
      <c r="C89" s="103"/>
      <c r="D89" s="104"/>
      <c r="E89" s="105"/>
      <c r="F89" s="106"/>
      <c r="G89" s="99" t="str">
        <f>IFERROR(IF(venta_a_mes9[[#This Row],[CUIT]]="","-",VLOOKUP(venta_a_mes9[[#This Row],[CUIT]],Lista_CUIT[#All],2,0)),"CUIT NO CARGADO")</f>
        <v>-</v>
      </c>
      <c r="H89" s="107"/>
      <c r="I89" s="108">
        <f>venta_a_mes9[[#This Row],[IMPORTE NETO]]*0.21</f>
        <v>0</v>
      </c>
      <c r="J89" s="72"/>
      <c r="K89" s="72"/>
      <c r="L89" s="72">
        <f>SUM(venta_a_mes9[[#This Row],[IMPORTE NETO]:[EXENTO]])</f>
        <v>0</v>
      </c>
      <c r="M89" s="63"/>
    </row>
    <row r="90" spans="2:13" x14ac:dyDescent="0.3">
      <c r="B90" s="109"/>
      <c r="C90" s="110"/>
      <c r="D90" s="111"/>
      <c r="E90" s="112"/>
      <c r="F90" s="113"/>
      <c r="G90" s="99" t="str">
        <f>IFERROR(IF(venta_a_mes9[[#This Row],[CUIT]]="","-",VLOOKUP(venta_a_mes9[[#This Row],[CUIT]],Lista_CUIT[#All],2,0)),"CUIT NO CARGADO")</f>
        <v>-</v>
      </c>
      <c r="H90" s="100"/>
      <c r="I90" s="101">
        <f>venta_a_mes9[[#This Row],[IMPORTE NETO]]*0.21</f>
        <v>0</v>
      </c>
      <c r="J90" s="65"/>
      <c r="K90" s="65"/>
      <c r="L90" s="65">
        <f>SUM(venta_a_mes9[[#This Row],[IMPORTE NETO]:[EXENTO]])</f>
        <v>0</v>
      </c>
      <c r="M90" s="59"/>
    </row>
    <row r="91" spans="2:13" x14ac:dyDescent="0.3">
      <c r="B91" s="66" t="s">
        <v>110</v>
      </c>
      <c r="C91" s="67"/>
      <c r="D91" s="67"/>
      <c r="E91" s="67"/>
      <c r="F91" s="67"/>
      <c r="G91" s="67"/>
      <c r="H91" s="69">
        <f>SUBTOTAL(109,venta_a_mes9[IMPORTE NETO])</f>
        <v>18126319</v>
      </c>
      <c r="I91" s="70">
        <f>SUBTOTAL(109,venta_a_mes9[IVA 21%])</f>
        <v>540992.54999999993</v>
      </c>
      <c r="J91" s="71">
        <f>SUBTOTAL(109,venta_a_mes9[IVA 10,5%])</f>
        <v>1632767.22</v>
      </c>
      <c r="K91" s="71">
        <f>SUBTOTAL(109,venta_a_mes9[EXENTO])</f>
        <v>0</v>
      </c>
      <c r="L91" s="71">
        <f>SUBTOTAL(109,venta_a_mes9[TOTAL])</f>
        <v>20300078.77</v>
      </c>
      <c r="M91" s="68">
        <f>SUBTOTAL(103,venta_a_mes9[Provincia])</f>
        <v>0</v>
      </c>
    </row>
    <row r="94" spans="2:13" ht="21" x14ac:dyDescent="0.3">
      <c r="B94" s="422" t="s">
        <v>31</v>
      </c>
      <c r="C94" s="422"/>
    </row>
    <row r="95" spans="2:13" ht="15.6" x14ac:dyDescent="0.3">
      <c r="B95" s="60" t="s">
        <v>0</v>
      </c>
      <c r="C95" s="61" t="s">
        <v>1</v>
      </c>
      <c r="D95" s="61" t="s">
        <v>21</v>
      </c>
      <c r="E95" s="61" t="s">
        <v>22</v>
      </c>
      <c r="F95" s="61" t="s">
        <v>3</v>
      </c>
      <c r="G95" s="61" t="s">
        <v>4</v>
      </c>
      <c r="H95" s="61" t="s">
        <v>23</v>
      </c>
      <c r="I95" s="61" t="s">
        <v>17</v>
      </c>
      <c r="J95" s="61" t="s">
        <v>7</v>
      </c>
      <c r="K95" s="61" t="s">
        <v>24</v>
      </c>
      <c r="L95" s="61" t="s">
        <v>10</v>
      </c>
      <c r="M95" s="62" t="s">
        <v>38</v>
      </c>
    </row>
    <row r="96" spans="2:13" x14ac:dyDescent="0.3">
      <c r="B96" s="40"/>
      <c r="C96" s="41"/>
      <c r="D96" s="42"/>
      <c r="E96" s="43"/>
      <c r="F96" s="44"/>
      <c r="G96" s="1" t="str">
        <f>IFERROR(IF(ventas_b_mes9[[#This Row],[CUIT]]="","-",VLOOKUP(ventas_b_mes9[[#This Row],[CUIT]],Lista_CUIT[#All],2,0)),"CUIT NO CARGADO")</f>
        <v>-</v>
      </c>
      <c r="H96" s="64"/>
      <c r="I96" s="64"/>
      <c r="J96" s="64"/>
      <c r="K96" s="64"/>
      <c r="L96" s="64">
        <f>SUM(ventas_b_mes9[[#This Row],[IMPORTE NETO]:[EXENTO]])</f>
        <v>0</v>
      </c>
      <c r="M96" s="59"/>
    </row>
    <row r="97" spans="2:13" x14ac:dyDescent="0.3">
      <c r="B97" s="40"/>
      <c r="C97" s="41"/>
      <c r="D97" s="42"/>
      <c r="E97" s="43"/>
      <c r="F97" s="44"/>
      <c r="G97" s="1" t="str">
        <f>IFERROR(IF(ventas_b_mes9[[#This Row],[CUIT]]="","-",VLOOKUP(ventas_b_mes9[[#This Row],[CUIT]],Lista_CUIT[#All],2,0)),"CUIT NO CARGADO")</f>
        <v>-</v>
      </c>
      <c r="H97" s="64"/>
      <c r="I97" s="64"/>
      <c r="J97" s="64"/>
      <c r="K97" s="64"/>
      <c r="L97" s="64">
        <f>SUM(ventas_b_mes9[[#This Row],[IMPORTE NETO]:[EXENTO]])</f>
        <v>0</v>
      </c>
      <c r="M97" s="59"/>
    </row>
    <row r="98" spans="2:13" x14ac:dyDescent="0.3">
      <c r="B98" s="40"/>
      <c r="C98" s="41"/>
      <c r="D98" s="42"/>
      <c r="E98" s="43"/>
      <c r="F98" s="44"/>
      <c r="G98" s="1" t="str">
        <f>IFERROR(IF(ventas_b_mes9[[#This Row],[CUIT]]="","-",VLOOKUP(ventas_b_mes9[[#This Row],[CUIT]],Lista_CUIT[#All],2,0)),"CUIT NO CARGADO")</f>
        <v>-</v>
      </c>
      <c r="H98" s="64"/>
      <c r="I98" s="64"/>
      <c r="J98" s="64"/>
      <c r="K98" s="64"/>
      <c r="L98" s="64">
        <f>SUM(ventas_b_mes9[[#This Row],[IMPORTE NETO]:[EXENTO]])</f>
        <v>0</v>
      </c>
      <c r="M98" s="59"/>
    </row>
    <row r="99" spans="2:13" x14ac:dyDescent="0.3">
      <c r="B99" s="40"/>
      <c r="C99" s="41"/>
      <c r="D99" s="42"/>
      <c r="E99" s="43"/>
      <c r="F99" s="44"/>
      <c r="G99" s="1" t="str">
        <f>IFERROR(IF(ventas_b_mes9[[#This Row],[CUIT]]="","-",VLOOKUP(ventas_b_mes9[[#This Row],[CUIT]],Lista_CUIT[#All],2,0)),"CUIT NO CARGADO")</f>
        <v>-</v>
      </c>
      <c r="H99" s="64"/>
      <c r="I99" s="64"/>
      <c r="J99" s="64"/>
      <c r="K99" s="64"/>
      <c r="L99" s="64">
        <f>SUM(ventas_b_mes9[[#This Row],[IMPORTE NETO]:[EXENTO]])</f>
        <v>0</v>
      </c>
      <c r="M99" s="59"/>
    </row>
    <row r="100" spans="2:13" x14ac:dyDescent="0.3">
      <c r="B100" s="40"/>
      <c r="C100" s="41"/>
      <c r="D100" s="42"/>
      <c r="E100" s="43"/>
      <c r="F100" s="44"/>
      <c r="G100" s="1" t="str">
        <f>IFERROR(IF(ventas_b_mes9[[#This Row],[CUIT]]="","-",VLOOKUP(ventas_b_mes9[[#This Row],[CUIT]],Lista_CUIT[#All],2,0)),"CUIT NO CARGADO")</f>
        <v>-</v>
      </c>
      <c r="H100" s="64"/>
      <c r="I100" s="64"/>
      <c r="J100" s="64"/>
      <c r="K100" s="64"/>
      <c r="L100" s="64">
        <f>SUM(ventas_b_mes9[[#This Row],[IMPORTE NETO]:[EXENTO]])</f>
        <v>0</v>
      </c>
      <c r="M100" s="59"/>
    </row>
    <row r="101" spans="2:13" x14ac:dyDescent="0.3">
      <c r="B101" s="40"/>
      <c r="C101" s="41"/>
      <c r="D101" s="42"/>
      <c r="E101" s="43"/>
      <c r="F101" s="44"/>
      <c r="G101" s="1" t="str">
        <f>IFERROR(IF(ventas_b_mes9[[#This Row],[CUIT]]="","-",VLOOKUP(ventas_b_mes9[[#This Row],[CUIT]],Lista_CUIT[#All],2,0)),"CUIT NO CARGADO")</f>
        <v>-</v>
      </c>
      <c r="H101" s="64"/>
      <c r="I101" s="64"/>
      <c r="J101" s="64"/>
      <c r="K101" s="64"/>
      <c r="L101" s="64">
        <f>SUM(ventas_b_mes9[[#This Row],[IMPORTE NETO]:[EXENTO]])</f>
        <v>0</v>
      </c>
      <c r="M101" s="59"/>
    </row>
    <row r="102" spans="2:13" x14ac:dyDescent="0.3">
      <c r="B102" s="66" t="s">
        <v>110</v>
      </c>
      <c r="C102" s="67"/>
      <c r="D102" s="67"/>
      <c r="E102" s="67"/>
      <c r="F102" s="67"/>
      <c r="G102" s="67"/>
      <c r="H102" s="77">
        <f>SUBTOTAL(109,ventas_b_mes9[IMPORTE NETO])</f>
        <v>0</v>
      </c>
      <c r="I102" s="77">
        <f>SUBTOTAL(109,ventas_b_mes9[IVA 21%])</f>
        <v>0</v>
      </c>
      <c r="J102" s="78">
        <f>SUBTOTAL(109,ventas_b_mes9[IVA 10,5%])</f>
        <v>0</v>
      </c>
      <c r="K102" s="78">
        <f>SUBTOTAL(109,ventas_b_mes9[EXENTO])</f>
        <v>0</v>
      </c>
      <c r="L102" s="78">
        <f>SUBTOTAL(109,ventas_b_mes9[TOTAL])</f>
        <v>0</v>
      </c>
      <c r="M102" s="68">
        <f>SUBTOTAL(103,ventas_b_mes9[Provincia])</f>
        <v>0</v>
      </c>
    </row>
    <row r="104" spans="2:13" ht="21" x14ac:dyDescent="0.3">
      <c r="B104" s="422" t="s">
        <v>1129</v>
      </c>
      <c r="C104" s="422"/>
    </row>
    <row r="105" spans="2:13" ht="15.6" x14ac:dyDescent="0.3">
      <c r="B105" s="60" t="s">
        <v>0</v>
      </c>
      <c r="C105" s="61" t="s">
        <v>1</v>
      </c>
      <c r="D105" s="61" t="s">
        <v>21</v>
      </c>
      <c r="E105" s="61" t="s">
        <v>22</v>
      </c>
      <c r="F105" s="61" t="s">
        <v>3</v>
      </c>
      <c r="G105" s="61" t="s">
        <v>4</v>
      </c>
      <c r="H105" s="61" t="s">
        <v>1130</v>
      </c>
      <c r="I105" s="61" t="s">
        <v>17</v>
      </c>
      <c r="J105" s="61" t="s">
        <v>112</v>
      </c>
      <c r="K105" s="61" t="s">
        <v>1131</v>
      </c>
      <c r="L105" s="61" t="s">
        <v>10</v>
      </c>
      <c r="M105" s="62" t="s">
        <v>1277</v>
      </c>
    </row>
    <row r="106" spans="2:13" x14ac:dyDescent="0.3">
      <c r="B106" s="40" t="s">
        <v>1305</v>
      </c>
      <c r="C106" s="41"/>
      <c r="D106" s="42">
        <v>30</v>
      </c>
      <c r="E106" s="43">
        <v>71</v>
      </c>
      <c r="F106" s="44">
        <v>55000000050</v>
      </c>
      <c r="G106" s="1" t="str">
        <f>IFERROR(IF(ventas_b_mes25655[[#This Row],[CUIT]]="","-",VLOOKUP(ventas_b_mes25655[[#This Row],[CUIT]],Lista_CUIT[#All],2,0)),"CUIT NO CARGADO")</f>
        <v>GAS FUTURO SISTEMAS DE COMPRESSÃO LTDA</v>
      </c>
      <c r="H106" s="64">
        <v>360.5</v>
      </c>
      <c r="I106" s="64"/>
      <c r="J106" s="206"/>
      <c r="K106" s="64"/>
      <c r="L106" s="64">
        <v>6600</v>
      </c>
      <c r="M106" s="59"/>
    </row>
    <row r="107" spans="2:13" x14ac:dyDescent="0.3">
      <c r="B107" s="40"/>
      <c r="C107" s="41"/>
      <c r="D107" s="42"/>
      <c r="E107" s="43"/>
      <c r="F107" s="44"/>
      <c r="G107" s="1" t="str">
        <f>IFERROR(IF(ventas_b_mes25655[[#This Row],[CUIT]]="","-",VLOOKUP(ventas_b_mes25655[[#This Row],[CUIT]],Lista_CUIT[#All],2,0)),"CUIT NO CARGADO")</f>
        <v>-</v>
      </c>
      <c r="H107" s="64"/>
      <c r="I107" s="64"/>
      <c r="J107" s="64"/>
      <c r="K107" s="64"/>
      <c r="L107" s="64"/>
      <c r="M107" s="59"/>
    </row>
    <row r="108" spans="2:13" x14ac:dyDescent="0.3">
      <c r="B108" s="66"/>
      <c r="C108" s="67"/>
      <c r="D108" s="67"/>
      <c r="E108" s="67"/>
      <c r="F108" s="67"/>
      <c r="G108" s="351" t="str">
        <f>IFERROR(IF(ventas_b_mes25655[[#This Row],[CUIT]]="","-",VLOOKUP(ventas_b_mes25655[[#This Row],[CUIT]],Lista_CUIT[#All],2,0)),"CUIT NO CARGADO")</f>
        <v>-</v>
      </c>
      <c r="H108" s="77"/>
      <c r="I108" s="77"/>
      <c r="J108" s="78"/>
      <c r="K108" s="78"/>
      <c r="L108" s="78"/>
      <c r="M108" s="68">
        <f>SUBTOTAL(103,ventas_b_mes13[Provincia])</f>
        <v>0</v>
      </c>
    </row>
    <row r="109" spans="2:13" x14ac:dyDescent="0.3">
      <c r="B109" s="66" t="s">
        <v>110</v>
      </c>
      <c r="C109" s="67"/>
      <c r="D109" s="67"/>
      <c r="E109" s="67"/>
      <c r="F109" s="67"/>
      <c r="G109" s="67"/>
      <c r="H109" s="77">
        <f>SUBTOTAL(109,ventas_b_mes25655[USD])</f>
        <v>360.5</v>
      </c>
      <c r="I109" s="77">
        <f>SUBTOTAL(109,ventas_b_mes25655[IVA 21%])</f>
        <v>0</v>
      </c>
      <c r="J109" s="78">
        <f>SUBTOTAL(109,ventas_b_mes25655[Columna1])</f>
        <v>0</v>
      </c>
      <c r="K109" s="78">
        <f>SUBTOTAL(109,ventas_b_mes25655[TIPO DE CAMBIO2])</f>
        <v>0</v>
      </c>
      <c r="L109" s="78">
        <f>SUM(L106:L107)</f>
        <v>6600</v>
      </c>
      <c r="M109" s="68">
        <f>SUBTOTAL(103,ventas_b_mes25655[PAIS])</f>
        <v>0</v>
      </c>
    </row>
    <row r="115" spans="3:12" ht="15" thickBot="1" x14ac:dyDescent="0.35"/>
    <row r="116" spans="3:12" ht="15" thickTop="1" x14ac:dyDescent="0.3">
      <c r="C116" s="433" t="s">
        <v>66</v>
      </c>
      <c r="D116" s="433"/>
      <c r="E116" s="433"/>
      <c r="F116" s="433"/>
      <c r="G116" s="433"/>
      <c r="H116" s="32"/>
      <c r="I116" s="32"/>
      <c r="J116" s="32"/>
    </row>
    <row r="117" spans="3:12" ht="15.6" x14ac:dyDescent="0.3">
      <c r="C117" s="114" t="s">
        <v>67</v>
      </c>
      <c r="D117" s="115" t="s">
        <v>68</v>
      </c>
      <c r="E117" s="115" t="s">
        <v>112</v>
      </c>
      <c r="F117" s="115" t="s">
        <v>3</v>
      </c>
      <c r="G117" s="115" t="s">
        <v>4</v>
      </c>
      <c r="H117" s="116" t="s">
        <v>69</v>
      </c>
      <c r="I117" s="116" t="s">
        <v>70</v>
      </c>
      <c r="J117" s="116" t="s">
        <v>71</v>
      </c>
      <c r="K117" s="116" t="s">
        <v>72</v>
      </c>
      <c r="L117" s="116" t="s">
        <v>73</v>
      </c>
    </row>
    <row r="118" spans="3:12" x14ac:dyDescent="0.3">
      <c r="C118" s="117">
        <v>44691</v>
      </c>
      <c r="D118" s="118">
        <v>11694</v>
      </c>
      <c r="E118" s="118"/>
      <c r="F118" s="119">
        <v>30506730038</v>
      </c>
      <c r="G118" s="53" t="str">
        <f>IFERROR(IF(Retenciones_mes9[[#This Row],[CUIT]]="","-",VLOOKUP(Retenciones_mes9[[#This Row],[CUIT]],Lista_CUIT[#All],2,0)),"CUIT NO CARGADO")</f>
        <v>S.A. IMP. Y EXPO.  PATAGONIA</v>
      </c>
      <c r="H118" s="120"/>
      <c r="I118" s="120">
        <v>9597.94</v>
      </c>
      <c r="J118" s="120">
        <v>914.09</v>
      </c>
      <c r="K118" s="120"/>
      <c r="L118" s="120"/>
    </row>
    <row r="119" spans="3:12" x14ac:dyDescent="0.3">
      <c r="C119" s="117"/>
      <c r="D119" s="118">
        <v>11695</v>
      </c>
      <c r="E119" s="118"/>
      <c r="F119" s="119"/>
      <c r="G119" s="53" t="str">
        <f>IFERROR(IF(Retenciones_mes9[[#This Row],[CUIT]]="","-",VLOOKUP(Retenciones_mes9[[#This Row],[CUIT]],Lista_CUIT[#All],2,0)),"CUIT NO CARGADO")</f>
        <v>-</v>
      </c>
      <c r="H119" s="120"/>
      <c r="I119" s="120"/>
      <c r="J119" s="120"/>
      <c r="K119" s="120"/>
      <c r="L119" s="120"/>
    </row>
    <row r="120" spans="3:12" x14ac:dyDescent="0.3">
      <c r="C120" s="117"/>
      <c r="D120" s="118">
        <v>11696</v>
      </c>
      <c r="E120" s="118"/>
      <c r="F120" s="119"/>
      <c r="G120" s="53" t="str">
        <f>IFERROR(IF(Retenciones_mes9[[#This Row],[CUIT]]="","-",VLOOKUP(Retenciones_mes9[[#This Row],[CUIT]],Lista_CUIT[#All],2,0)),"CUIT NO CARGADO")</f>
        <v>-</v>
      </c>
      <c r="H120" s="120"/>
      <c r="I120" s="120"/>
      <c r="J120" s="120"/>
      <c r="K120" s="120"/>
      <c r="L120" s="120"/>
    </row>
    <row r="121" spans="3:12" x14ac:dyDescent="0.3">
      <c r="C121" s="117"/>
      <c r="D121" s="118">
        <v>11697</v>
      </c>
      <c r="E121" s="118"/>
      <c r="F121" s="119"/>
      <c r="G121" s="53" t="str">
        <f>IFERROR(IF(Retenciones_mes9[[#This Row],[CUIT]]="","-",VLOOKUP(Retenciones_mes9[[#This Row],[CUIT]],Lista_CUIT[#All],2,0)),"CUIT NO CARGADO")</f>
        <v>-</v>
      </c>
      <c r="H121" s="120"/>
      <c r="I121" s="120"/>
      <c r="J121" s="120"/>
      <c r="K121" s="120"/>
      <c r="L121" s="120"/>
    </row>
    <row r="122" spans="3:12" x14ac:dyDescent="0.3">
      <c r="D122" s="118">
        <v>11698</v>
      </c>
      <c r="E122" s="118"/>
      <c r="G122" s="53" t="str">
        <f>IFERROR(IF(Retenciones_mes9[[#This Row],[CUIT]]="","-",VLOOKUP(Retenciones_mes9[[#This Row],[CUIT]],Lista_CUIT[#All],2,0)),"CUIT NO CARGADO")</f>
        <v>-</v>
      </c>
    </row>
    <row r="123" spans="3:12" x14ac:dyDescent="0.3">
      <c r="C123" s="33"/>
    </row>
  </sheetData>
  <mergeCells count="21">
    <mergeCell ref="C116:G116"/>
    <mergeCell ref="B4:E4"/>
    <mergeCell ref="G4:H4"/>
    <mergeCell ref="J4:K4"/>
    <mergeCell ref="M4:N4"/>
    <mergeCell ref="D54:K54"/>
    <mergeCell ref="B78:J78"/>
    <mergeCell ref="K78:M78"/>
    <mergeCell ref="B80:C80"/>
    <mergeCell ref="B94:C94"/>
    <mergeCell ref="B104:C104"/>
    <mergeCell ref="P4:R4"/>
    <mergeCell ref="D45:L45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96:L101 K106 H106:I106 H107:K107 L106:L107" xr:uid="{00000000-0002-0000-0900-000000000000}">
      <formula1>IF($C96=8,H96&lt;0,H96&gt;=0)</formula1>
    </dataValidation>
    <dataValidation type="custom" allowBlank="1" showInputMessage="1" showErrorMessage="1" sqref="L87:L88" xr:uid="{00000000-0002-0000-0900-000001000000}">
      <formula1>IF($C40=3,L40&lt;0,L40&gt;=0)</formula1>
    </dataValidation>
    <dataValidation type="custom" allowBlank="1" showInputMessage="1" showErrorMessage="1" sqref="L84:L86" xr:uid="{00000000-0002-0000-0900-000002000000}">
      <formula1>IF($C13=3,L13&lt;0,L13&gt;=0)</formula1>
    </dataValidation>
    <dataValidation type="custom" allowBlank="1" showInputMessage="1" showErrorMessage="1" sqref="L82:L83" xr:uid="{00000000-0002-0000-0900-000003000000}">
      <formula1>IF($C9=3,L9&lt;0,L9&gt;=0)</formula1>
    </dataValidation>
    <dataValidation type="whole" allowBlank="1" showInputMessage="1" showErrorMessage="1" sqref="C96:C101" xr:uid="{00000000-0002-0000-0900-000004000000}">
      <formula1>6</formula1>
      <formula2>8</formula2>
    </dataValidation>
    <dataValidation type="custom" allowBlank="1" showInputMessage="1" showErrorMessage="1" sqref="H82:K82 H84:K84 H86:K86 H88:K88" xr:uid="{00000000-0002-0000-0900-000005000000}">
      <formula1>IF($C82=3,H82&lt;0,H82&gt;=0)</formula1>
    </dataValidation>
    <dataValidation type="whole" allowBlank="1" showInputMessage="1" showErrorMessage="1" sqref="C41:C44 C82:C90 C9:C39" xr:uid="{00000000-0002-0000-0900-000006000000}">
      <formula1>1</formula1>
      <formula2>3</formula2>
    </dataValidation>
    <dataValidation type="date" allowBlank="1" showInputMessage="1" showErrorMessage="1" sqref="B9:B39 D47:D49 B82:B90 D56:D71 B41:B44 B96:B101 B106:B107" xr:uid="{00000000-0002-0000-0900-000008000000}">
      <formula1>40179</formula1>
      <formula2>TODAY()</formula2>
    </dataValidation>
    <dataValidation type="whole" allowBlank="1" showInputMessage="1" showErrorMessage="1" sqref="F9:F39 G56:G71 F82:F90 F96:F101 F106:F107" xr:uid="{00000000-0002-0000-0900-000009000000}">
      <formula1>20000000000</formula1>
      <formula2>33999999999</formula2>
    </dataValidation>
    <dataValidation type="whole" allowBlank="1" showInputMessage="1" showErrorMessage="1" sqref="E9:E39 F56:F71 E82:E90 E96:E101 E106:E107" xr:uid="{00000000-0002-0000-0900-00000A000000}">
      <formula1>1</formula1>
      <formula2>99999999</formula2>
    </dataValidation>
    <dataValidation type="whole" allowBlank="1" showInputMessage="1" showErrorMessage="1" sqref="D9:D39 E56:E71 D82:D90 D96:D101 D106:D107" xr:uid="{00000000-0002-0000-0900-00000B000000}">
      <formula1>1</formula1>
      <formula2>9999</formula2>
    </dataValidation>
    <dataValidation type="whole" allowBlank="1" showInputMessage="1" showErrorMessage="1" sqref="C106:C107" xr:uid="{0D53F834-FBB9-4B07-946B-60CAEDFB1D9F}">
      <formula1>80</formula1>
      <formula2>80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39" xr:uid="{00000000-0002-0000-0900-000007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>
    <tabColor theme="9" tint="0.79998168889431442"/>
  </sheetPr>
  <dimension ref="A1:Z126"/>
  <sheetViews>
    <sheetView showGridLines="0" topLeftCell="G25" zoomScale="90" zoomScaleNormal="90" workbookViewId="0">
      <selection activeCell="H38" sqref="H38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1" width="15.77734375" customWidth="1"/>
    <col min="12" max="12" width="18.33203125" bestFit="1" customWidth="1"/>
    <col min="13" max="13" width="15.88671875" customWidth="1"/>
    <col min="14" max="14" width="20.6640625" customWidth="1"/>
    <col min="15" max="15" width="18.554687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EDATE('Abr-23'!N1,9)</f>
        <v>45292</v>
      </c>
      <c r="O1" s="423"/>
      <c r="P1" s="423"/>
      <c r="Q1" s="423"/>
      <c r="R1" s="423"/>
    </row>
    <row r="2" spans="1:26" ht="15" customHeight="1" x14ac:dyDescent="0.3"/>
    <row r="3" spans="1:26" ht="26.4" customHeight="1" x14ac:dyDescent="0.3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2" customHeight="1" x14ac:dyDescent="0.4">
      <c r="B4" s="428">
        <f>SUM(compras_mes10[[#Totals],[NETO GRAVADO]])+extracto_banco_mes10[[#Totals],[NETO]]</f>
        <v>5276334.3250000002</v>
      </c>
      <c r="C4" s="428"/>
      <c r="D4" s="428"/>
      <c r="E4" s="428"/>
      <c r="F4" s="39"/>
      <c r="G4" s="429">
        <f>compras_mes10[[#Totals],[IVA 21 %]]+compras_mes10[[#Totals],[IVA 27%]]+compras_mes10[[#Totals],[IVA 10,5%]]+extracto_banco_mes10[[#Totals],[IVA 21%]]+extracto_banco_mes10[[#Totals],[IVA 10,5%]]</f>
        <v>1097763.93845</v>
      </c>
      <c r="H4" s="429"/>
      <c r="I4" s="39"/>
      <c r="J4" s="416">
        <f>venta_a_mes10[[#Totals],[IMPORTE NETO]]+ventas_b_mes10[[#Totals],[IMPORTE NETO]]</f>
        <v>2689767.4875000003</v>
      </c>
      <c r="K4" s="416"/>
      <c r="L4" s="39"/>
      <c r="M4" s="416">
        <f>venta_a_mes10[[#Totals],[IVA 21%]]+venta_a_mes10[[#Totals],[IVA 10,5%]]+ventas_b_mes10[[#Totals],[IVA 21%]]+ventas_b_mes10[[#Totals],[IVA 10,5%]]</f>
        <v>297507.96750000003</v>
      </c>
      <c r="N4" s="416"/>
      <c r="O4" s="39"/>
      <c r="P4" s="431">
        <f>G4-M4</f>
        <v>800255.97094999999</v>
      </c>
      <c r="Q4" s="432"/>
      <c r="R4" s="432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>
        <v>45322</v>
      </c>
      <c r="C9" s="41">
        <v>1</v>
      </c>
      <c r="D9" s="42">
        <v>1</v>
      </c>
      <c r="E9" s="43">
        <v>724</v>
      </c>
      <c r="F9" s="44">
        <v>30715048066</v>
      </c>
      <c r="G9" s="45" t="str">
        <f>IFERROR(IF(compras_mes10[[#This Row],[CUIT]]="","-",VLOOKUP(compras_mes10[[#This Row],[CUIT]],Lista_CUIT[#All],2,0)),"CUIT NO CARGADO")</f>
        <v>ROLLS Y EMPANADAS SA</v>
      </c>
      <c r="H9" s="46">
        <v>363655</v>
      </c>
      <c r="I9" s="85">
        <f>IF(compras_mes10[[#This Row],[NETO GRAVADO]]="","",compras_mes10[[#This Row],[NETO GRAVADO]]*0.21)</f>
        <v>76367.55</v>
      </c>
      <c r="J9" s="85"/>
      <c r="K9" s="85"/>
      <c r="L9" s="85"/>
      <c r="M9" s="85"/>
      <c r="N9" s="85"/>
      <c r="O9" s="85"/>
      <c r="P9" s="48">
        <f>SUM(compras_mes10[[#This Row],[NETO GRAVADO]:[Otros / No Grav.]])</f>
        <v>440022.55</v>
      </c>
      <c r="Q9" s="49" t="str">
        <f>IFERROR(IF(compras_mes10[[#This Row],[CUIT]]="","-",VLOOKUP(compras_mes10[[#This Row],[CUIT]],Lista_CUIT[#All],3,0)),"CUIT NO CARGADO")</f>
        <v>CATERING</v>
      </c>
      <c r="R9" s="49">
        <f>IFERROR(IF(compras_mes10[[#This Row],[CUIT]]="","-",VLOOKUP(compras_mes10[[#This Row],[CUIT]],Lista_CUIT[#All],4,0)),"CUIT NO CARGADO")</f>
        <v>0</v>
      </c>
    </row>
    <row r="10" spans="1:26" x14ac:dyDescent="0.3">
      <c r="B10" s="275">
        <v>45304</v>
      </c>
      <c r="C10" s="208">
        <v>1</v>
      </c>
      <c r="D10" s="276">
        <v>6992</v>
      </c>
      <c r="E10" s="277">
        <v>20553</v>
      </c>
      <c r="F10" s="278">
        <v>30678774495</v>
      </c>
      <c r="G10" s="279" t="str">
        <f>IFERROR(IF(compras_mes10[[#This Row],[CUIT]]="","-",VLOOKUP(compras_mes10[[#This Row],[CUIT]],Lista_CUIT[#All],2,0)),"CUIT NO CARGADO")</f>
        <v>OPER. DE EST. DE SERV. SA</v>
      </c>
      <c r="H10" s="280">
        <v>30844.17</v>
      </c>
      <c r="I10" s="281">
        <f>IF(compras_mes10[[#This Row],[NETO GRAVADO]]="","",compras_mes10[[#This Row],[NETO GRAVADO]]*0.21)</f>
        <v>6477.2756999999992</v>
      </c>
      <c r="J10" s="281"/>
      <c r="K10" s="281"/>
      <c r="L10" s="281"/>
      <c r="M10" s="281"/>
      <c r="N10" s="281"/>
      <c r="O10" s="281">
        <v>1084.53</v>
      </c>
      <c r="P10" s="282">
        <f>SUM(compras_mes10[[#This Row],[NETO GRAVADO]:[Otros / No Grav.]])</f>
        <v>38405.975699999995</v>
      </c>
      <c r="Q10" s="283" t="str">
        <f>IFERROR(IF(compras_mes10[[#This Row],[CUIT]]="","-",VLOOKUP(compras_mes10[[#This Row],[CUIT]],Lista_CUIT[#All],3,0)),"CUIT NO CARGADO")</f>
        <v>COMBUSTIBLE</v>
      </c>
      <c r="R10" s="283">
        <f>IFERROR(IF(compras_mes10[[#This Row],[CUIT]]="","-",VLOOKUP(compras_mes10[[#This Row],[CUIT]],Lista_CUIT[#All],4,0)),"CUIT NO CARGADO")</f>
        <v>0</v>
      </c>
    </row>
    <row r="11" spans="1:26" x14ac:dyDescent="0.3">
      <c r="B11" s="275">
        <v>45306</v>
      </c>
      <c r="C11" s="208">
        <v>1</v>
      </c>
      <c r="D11" s="276">
        <v>7</v>
      </c>
      <c r="E11" s="277">
        <v>99485</v>
      </c>
      <c r="F11" s="278">
        <v>20181426846</v>
      </c>
      <c r="G11" s="279" t="str">
        <f>IFERROR(IF(compras_mes10[[#This Row],[CUIT]]="","-",VLOOKUP(compras_mes10[[#This Row],[CUIT]],Lista_CUIT[#All],2,0)),"CUIT NO CARGADO")</f>
        <v>GRIDEL WALTER DIEGO</v>
      </c>
      <c r="H11" s="280">
        <v>8176.36</v>
      </c>
      <c r="I11" s="281">
        <f>IF(compras_mes10[[#This Row],[NETO GRAVADO]]="","",compras_mes10[[#This Row],[NETO GRAVADO]]*0.21)</f>
        <v>1717.0355999999999</v>
      </c>
      <c r="J11" s="281"/>
      <c r="K11" s="281"/>
      <c r="L11" s="281"/>
      <c r="M11" s="281"/>
      <c r="N11" s="281"/>
      <c r="O11" s="281"/>
      <c r="P11" s="282">
        <f>SUM(compras_mes10[[#This Row],[NETO GRAVADO]:[Otros / No Grav.]])</f>
        <v>9893.3955999999998</v>
      </c>
      <c r="Q11" s="283" t="s">
        <v>1420</v>
      </c>
      <c r="R11" s="283">
        <f>IFERROR(IF(compras_mes10[[#This Row],[CUIT]]="","-",VLOOKUP(compras_mes10[[#This Row],[CUIT]],Lista_CUIT[#All],4,0)),"CUIT NO CARGADO")</f>
        <v>0</v>
      </c>
    </row>
    <row r="12" spans="1:26" x14ac:dyDescent="0.3">
      <c r="B12" s="40">
        <v>45292</v>
      </c>
      <c r="C12" s="41">
        <v>1</v>
      </c>
      <c r="D12" s="42">
        <v>3</v>
      </c>
      <c r="E12" s="43">
        <v>715</v>
      </c>
      <c r="F12" s="44">
        <v>30715402765</v>
      </c>
      <c r="G12" s="45" t="str">
        <f>IFERROR(IF(compras_mes10[[#This Row],[CUIT]]="","-",VLOOKUP(compras_mes10[[#This Row],[CUIT]],Lista_CUIT[#All],2,0)),"CUIT NO CARGADO")</f>
        <v>RIO 265 S.R.L.</v>
      </c>
      <c r="H12" s="46">
        <v>30578.52</v>
      </c>
      <c r="I12" s="85">
        <f>IF(compras_mes10[[#This Row],[NETO GRAVADO]]="","",compras_mes10[[#This Row],[NETO GRAVADO]]*0.21)</f>
        <v>6421.4892</v>
      </c>
      <c r="J12" s="85"/>
      <c r="K12" s="85"/>
      <c r="L12" s="85"/>
      <c r="M12" s="85"/>
      <c r="N12" s="85"/>
      <c r="O12" s="85"/>
      <c r="P12" s="48">
        <f>SUM(compras_mes10[[#This Row],[NETO GRAVADO]:[Otros / No Grav.]])</f>
        <v>37000.0092</v>
      </c>
      <c r="Q12" s="49" t="str">
        <f>IFERROR(IF(compras_mes10[[#This Row],[CUIT]]="","-",VLOOKUP(compras_mes10[[#This Row],[CUIT]],Lista_CUIT[#All],3,0)),"CUIT NO CARGADO")</f>
        <v>Gastos Varios</v>
      </c>
      <c r="R12" s="49">
        <f>IFERROR(IF(compras_mes10[[#This Row],[CUIT]]="","-",VLOOKUP(compras_mes10[[#This Row],[CUIT]],Lista_CUIT[#All],4,0)),"CUIT NO CARGADO")</f>
        <v>0</v>
      </c>
    </row>
    <row r="13" spans="1:26" x14ac:dyDescent="0.3">
      <c r="B13" s="335">
        <v>45308</v>
      </c>
      <c r="C13" s="208">
        <v>1</v>
      </c>
      <c r="D13" s="336">
        <v>3</v>
      </c>
      <c r="E13" s="337">
        <v>1838671</v>
      </c>
      <c r="F13" s="338">
        <v>30712019359</v>
      </c>
      <c r="G13" s="339" t="str">
        <f>IFERROR(IF(compras_mes10[[#This Row],[CUIT]]="","-",VLOOKUP(compras_mes10[[#This Row],[CUIT]],Lista_CUIT[#All],2,0)),"CUIT NO CARGADO")</f>
        <v>LINKEDSTORE ARGENTINA S.R.L.</v>
      </c>
      <c r="H13" s="340">
        <v>18180.990000000002</v>
      </c>
      <c r="I13" s="341">
        <f>IF(compras_mes10[[#This Row],[NETO GRAVADO]]="","",compras_mes10[[#This Row],[NETO GRAVADO]]*0.21)</f>
        <v>3818.0079000000001</v>
      </c>
      <c r="J13" s="341"/>
      <c r="K13" s="341"/>
      <c r="L13" s="341"/>
      <c r="M13" s="341"/>
      <c r="N13" s="341"/>
      <c r="O13" s="341"/>
      <c r="P13" s="349">
        <f>SUM(compras_mes10[[#This Row],[NETO GRAVADO]:[Otros / No Grav.]])</f>
        <v>21998.997900000002</v>
      </c>
      <c r="Q13" s="350" t="str">
        <f>IFERROR(IF(compras_mes10[[#This Row],[CUIT]]="","-",VLOOKUP(compras_mes10[[#This Row],[CUIT]],Lista_CUIT[#All],3,0)),"CUIT NO CARGADO")</f>
        <v>Gastos Varios</v>
      </c>
      <c r="R13" s="350">
        <f>IFERROR(IF(compras_mes10[[#This Row],[CUIT]]="","-",VLOOKUP(compras_mes10[[#This Row],[CUIT]],Lista_CUIT[#All],4,0)),"CUIT NO CARGADO")</f>
        <v>0</v>
      </c>
    </row>
    <row r="14" spans="1:26" x14ac:dyDescent="0.3">
      <c r="B14" s="335">
        <v>45313</v>
      </c>
      <c r="C14" s="208">
        <v>1</v>
      </c>
      <c r="D14" s="336">
        <v>3</v>
      </c>
      <c r="E14" s="337">
        <v>25997</v>
      </c>
      <c r="F14" s="338">
        <v>30709511846</v>
      </c>
      <c r="G14" s="339" t="str">
        <f>IFERROR(IF(compras_mes10[[#This Row],[CUIT]]="","-",VLOOKUP(compras_mes10[[#This Row],[CUIT]],Lista_CUIT[#All],2,0)),"CUIT NO CARGADO")</f>
        <v>KURIABE S. A.</v>
      </c>
      <c r="H14" s="340">
        <v>12396.38</v>
      </c>
      <c r="I14" s="341"/>
      <c r="J14" s="341"/>
      <c r="K14" s="341">
        <v>1301.6199999999999</v>
      </c>
      <c r="L14" s="341"/>
      <c r="M14" s="341"/>
      <c r="N14" s="341"/>
      <c r="O14" s="341"/>
      <c r="P14" s="349">
        <f>SUM(compras_mes10[[#This Row],[NETO GRAVADO]:[Otros / No Grav.]])</f>
        <v>13698</v>
      </c>
      <c r="Q14" s="350" t="str">
        <f>IFERROR(IF(compras_mes10[[#This Row],[CUIT]]="","-",VLOOKUP(compras_mes10[[#This Row],[CUIT]],Lista_CUIT[#All],3,0)),"CUIT NO CARGADO")</f>
        <v>Gastos Varios</v>
      </c>
      <c r="R14" s="350">
        <f>IFERROR(IF(compras_mes10[[#This Row],[CUIT]]="","-",VLOOKUP(compras_mes10[[#This Row],[CUIT]],Lista_CUIT[#All],4,0)),"CUIT NO CARGADO")</f>
        <v>0</v>
      </c>
    </row>
    <row r="15" spans="1:26" x14ac:dyDescent="0.3">
      <c r="B15" s="275">
        <v>45320</v>
      </c>
      <c r="C15" s="208">
        <v>1</v>
      </c>
      <c r="D15" s="276">
        <v>9</v>
      </c>
      <c r="E15" s="277">
        <v>6096</v>
      </c>
      <c r="F15" s="278">
        <v>30709953482</v>
      </c>
      <c r="G15" s="279" t="str">
        <f>IFERROR(IF(compras_mes10[[#This Row],[CUIT]]="","-",VLOOKUP(compras_mes10[[#This Row],[CUIT]],Lista_CUIT[#All],2,0)),"CUIT NO CARGADO")</f>
        <v>HONRE S.A</v>
      </c>
      <c r="H15" s="280">
        <v>24647.02</v>
      </c>
      <c r="I15" s="281">
        <f>IF(compras_mes10[[#This Row],[NETO GRAVADO]]="","",compras_mes10[[#This Row],[NETO GRAVADO]]*0.21)</f>
        <v>5175.8742000000002</v>
      </c>
      <c r="J15" s="281"/>
      <c r="K15" s="281"/>
      <c r="L15" s="281"/>
      <c r="M15" s="281"/>
      <c r="N15" s="281"/>
      <c r="O15" s="281"/>
      <c r="P15" s="282">
        <f>SUM(compras_mes10[[#This Row],[NETO GRAVADO]:[Otros / No Grav.]])</f>
        <v>29822.894200000002</v>
      </c>
      <c r="Q15" s="283" t="str">
        <f>IFERROR(IF(compras_mes10[[#This Row],[CUIT]]="","-",VLOOKUP(compras_mes10[[#This Row],[CUIT]],Lista_CUIT[#All],3,0)),"CUIT NO CARGADO")</f>
        <v>Gastos Varios</v>
      </c>
      <c r="R15" s="283">
        <f>IFERROR(IF(compras_mes10[[#This Row],[CUIT]]="","-",VLOOKUP(compras_mes10[[#This Row],[CUIT]],Lista_CUIT[#All],4,0)),"CUIT NO CARGADO")</f>
        <v>0</v>
      </c>
    </row>
    <row r="16" spans="1:26" x14ac:dyDescent="0.3">
      <c r="B16" s="275">
        <v>45296</v>
      </c>
      <c r="C16" s="208">
        <v>1</v>
      </c>
      <c r="D16" s="276">
        <v>2</v>
      </c>
      <c r="E16" s="277">
        <v>8525</v>
      </c>
      <c r="F16" s="278">
        <v>30711726019</v>
      </c>
      <c r="G16" s="279" t="str">
        <f>IFERROR(IF(compras_mes10[[#This Row],[CUIT]]="","-",VLOOKUP(compras_mes10[[#This Row],[CUIT]],Lista_CUIT[#All],2,0)),"CUIT NO CARGADO")</f>
        <v>MAV GROUP S.A.</v>
      </c>
      <c r="H16" s="280">
        <v>145200</v>
      </c>
      <c r="I16" s="281">
        <f>IF(compras_mes10[[#This Row],[NETO GRAVADO]]="","",compras_mes10[[#This Row],[NETO GRAVADO]]*0.21)</f>
        <v>30492</v>
      </c>
      <c r="J16" s="281"/>
      <c r="K16" s="281"/>
      <c r="L16" s="281"/>
      <c r="M16" s="281"/>
      <c r="N16" s="281"/>
      <c r="O16" s="281">
        <v>363127.5</v>
      </c>
      <c r="P16" s="282">
        <f>SUM(compras_mes10[[#This Row],[NETO GRAVADO]:[Otros / No Grav.]])</f>
        <v>538819.5</v>
      </c>
      <c r="Q16" s="283" t="s">
        <v>1419</v>
      </c>
      <c r="R16" s="283">
        <f>IFERROR(IF(compras_mes10[[#This Row],[CUIT]]="","-",VLOOKUP(compras_mes10[[#This Row],[CUIT]],Lista_CUIT[#All],4,0)),"CUIT NO CARGADO")</f>
        <v>0</v>
      </c>
    </row>
    <row r="17" spans="2:18" x14ac:dyDescent="0.3">
      <c r="B17" s="40">
        <v>45296</v>
      </c>
      <c r="C17" s="41">
        <v>1</v>
      </c>
      <c r="D17" s="42">
        <v>4</v>
      </c>
      <c r="E17" s="43">
        <v>5403</v>
      </c>
      <c r="F17" s="44">
        <v>24273099685</v>
      </c>
      <c r="G17" s="45" t="str">
        <f>IFERROR(IF(compras_mes10[[#This Row],[CUIT]]="","-",VLOOKUP(compras_mes10[[#This Row],[CUIT]],Lista_CUIT[#All],2,0)),"CUIT NO CARGADO")</f>
        <v>GARCIA JUAN IGNACIO</v>
      </c>
      <c r="H17" s="46">
        <v>14876.03</v>
      </c>
      <c r="I17" s="85">
        <f>IF(compras_mes10[[#This Row],[NETO GRAVADO]]="","",compras_mes10[[#This Row],[NETO GRAVADO]]*0.21)</f>
        <v>3123.9663</v>
      </c>
      <c r="J17" s="85"/>
      <c r="K17" s="85"/>
      <c r="L17" s="85"/>
      <c r="M17" s="85"/>
      <c r="N17" s="85"/>
      <c r="O17" s="85"/>
      <c r="P17" s="48">
        <f>SUM(compras_mes10[[#This Row],[NETO GRAVADO]:[Otros / No Grav.]])</f>
        <v>17999.996299999999</v>
      </c>
      <c r="Q17" s="49" t="s">
        <v>1426</v>
      </c>
      <c r="R17" s="49">
        <f>IFERROR(IF(compras_mes10[[#This Row],[CUIT]]="","-",VLOOKUP(compras_mes10[[#This Row],[CUIT]],Lista_CUIT[#All],4,0)),"CUIT NO CARGADO")</f>
        <v>0</v>
      </c>
    </row>
    <row r="18" spans="2:18" x14ac:dyDescent="0.3">
      <c r="B18" s="275">
        <v>45299</v>
      </c>
      <c r="C18" s="208">
        <v>1</v>
      </c>
      <c r="D18" s="276">
        <v>3</v>
      </c>
      <c r="E18" s="277">
        <v>1831</v>
      </c>
      <c r="F18" s="278">
        <v>27329924713</v>
      </c>
      <c r="G18" s="279" t="str">
        <f>IFERROR(IF(compras_mes10[[#This Row],[CUIT]]="","-",VLOOKUP(compras_mes10[[#This Row],[CUIT]],Lista_CUIT[#All],2,0)),"CUIT NO CARGADO")</f>
        <v>GRILLI ROMINA WANDA</v>
      </c>
      <c r="H18" s="280">
        <v>18037.189999999999</v>
      </c>
      <c r="I18" s="281">
        <f>IF(compras_mes10[[#This Row],[NETO GRAVADO]]="","",compras_mes10[[#This Row],[NETO GRAVADO]]*0.21)</f>
        <v>3787.8098999999997</v>
      </c>
      <c r="J18" s="281"/>
      <c r="K18" s="281"/>
      <c r="L18" s="281"/>
      <c r="M18" s="281"/>
      <c r="N18" s="281"/>
      <c r="O18" s="281"/>
      <c r="P18" s="282">
        <f>SUM(compras_mes10[[#This Row],[NETO GRAVADO]:[Otros / No Grav.]])</f>
        <v>21824.999899999999</v>
      </c>
      <c r="Q18" s="283" t="s">
        <v>1426</v>
      </c>
      <c r="R18" s="283">
        <f>IFERROR(IF(compras_mes10[[#This Row],[CUIT]]="","-",VLOOKUP(compras_mes10[[#This Row],[CUIT]],Lista_CUIT[#All],4,0)),"CUIT NO CARGADO")</f>
        <v>0</v>
      </c>
    </row>
    <row r="19" spans="2:18" x14ac:dyDescent="0.3">
      <c r="B19" s="40">
        <v>45300</v>
      </c>
      <c r="C19" s="41">
        <v>1</v>
      </c>
      <c r="D19" s="42">
        <v>2</v>
      </c>
      <c r="E19" s="43">
        <v>3966</v>
      </c>
      <c r="F19" s="44">
        <v>27271779289</v>
      </c>
      <c r="G19" s="45" t="str">
        <f>IFERROR(IF(compras_mes10[[#This Row],[CUIT]]="","-",VLOOKUP(compras_mes10[[#This Row],[CUIT]],Lista_CUIT[#All],2,0)),"CUIT NO CARGADO")</f>
        <v>BRACCO ROSANA</v>
      </c>
      <c r="H19" s="46">
        <v>46000</v>
      </c>
      <c r="I19" s="85">
        <f>IF(compras_mes10[[#This Row],[NETO GRAVADO]]="","",compras_mes10[[#This Row],[NETO GRAVADO]]*0.21)</f>
        <v>9660</v>
      </c>
      <c r="J19" s="85"/>
      <c r="K19" s="85"/>
      <c r="L19" s="85"/>
      <c r="M19" s="85"/>
      <c r="N19" s="85"/>
      <c r="O19" s="85">
        <v>17001.599999999999</v>
      </c>
      <c r="P19" s="48">
        <f>SUM(compras_mes10[[#This Row],[NETO GRAVADO]:[Otros / No Grav.]])</f>
        <v>72661.600000000006</v>
      </c>
      <c r="Q19" s="283" t="s">
        <v>1426</v>
      </c>
      <c r="R19" s="49">
        <f>IFERROR(IF(compras_mes10[[#This Row],[CUIT]]="","-",VLOOKUP(compras_mes10[[#This Row],[CUIT]],Lista_CUIT[#All],4,0)),"CUIT NO CARGADO")</f>
        <v>0</v>
      </c>
    </row>
    <row r="20" spans="2:18" x14ac:dyDescent="0.3">
      <c r="B20" s="275">
        <v>45300</v>
      </c>
      <c r="C20" s="208">
        <v>1</v>
      </c>
      <c r="D20" s="276">
        <v>4</v>
      </c>
      <c r="E20" s="277">
        <v>9581</v>
      </c>
      <c r="F20" s="278">
        <v>20161299937</v>
      </c>
      <c r="G20" s="279" t="str">
        <f>IFERROR(IF(compras_mes10[[#This Row],[CUIT]]="","-",VLOOKUP(compras_mes10[[#This Row],[CUIT]],Lista_CUIT[#All],2,0)),"CUIT NO CARGADO")</f>
        <v>SOSTRE FERNANDO</v>
      </c>
      <c r="H20" s="280">
        <v>9801.85</v>
      </c>
      <c r="I20" s="281">
        <f>IF(compras_mes10[[#This Row],[NETO GRAVADO]]="","",compras_mes10[[#This Row],[NETO GRAVADO]]*0.21)</f>
        <v>2058.3885</v>
      </c>
      <c r="J20" s="281"/>
      <c r="K20" s="281"/>
      <c r="L20" s="281"/>
      <c r="M20" s="281"/>
      <c r="N20" s="281"/>
      <c r="O20" s="281"/>
      <c r="P20" s="282">
        <f>SUM(compras_mes10[[#This Row],[NETO GRAVADO]:[Otros / No Grav.]])</f>
        <v>11860.238499999999</v>
      </c>
      <c r="Q20" s="283" t="s">
        <v>1426</v>
      </c>
      <c r="R20" s="283">
        <f>IFERROR(IF(compras_mes10[[#This Row],[CUIT]]="","-",VLOOKUP(compras_mes10[[#This Row],[CUIT]],Lista_CUIT[#All],4,0)),"CUIT NO CARGADO")</f>
        <v>0</v>
      </c>
    </row>
    <row r="21" spans="2:18" x14ac:dyDescent="0.3">
      <c r="B21" s="275">
        <v>45307</v>
      </c>
      <c r="C21" s="208">
        <v>1</v>
      </c>
      <c r="D21" s="276">
        <v>3</v>
      </c>
      <c r="E21" s="277">
        <v>1849</v>
      </c>
      <c r="F21" s="278">
        <v>27329924713</v>
      </c>
      <c r="G21" s="279" t="str">
        <f>IFERROR(IF(compras_mes10[[#This Row],[CUIT]]="","-",VLOOKUP(compras_mes10[[#This Row],[CUIT]],Lista_CUIT[#All],2,0)),"CUIT NO CARGADO")</f>
        <v>GRILLI ROMINA WANDA</v>
      </c>
      <c r="H21" s="280">
        <v>18037.189999999999</v>
      </c>
      <c r="I21" s="281">
        <f>IF(compras_mes10[[#This Row],[NETO GRAVADO]]="","",compras_mes10[[#This Row],[NETO GRAVADO]]*0.21)</f>
        <v>3787.8098999999997</v>
      </c>
      <c r="J21" s="281"/>
      <c r="K21" s="281"/>
      <c r="L21" s="281"/>
      <c r="M21" s="281"/>
      <c r="N21" s="281"/>
      <c r="O21" s="281"/>
      <c r="P21" s="282">
        <f>SUM(compras_mes10[[#This Row],[NETO GRAVADO]:[Otros / No Grav.]])</f>
        <v>21824.999899999999</v>
      </c>
      <c r="Q21" s="283" t="s">
        <v>1426</v>
      </c>
      <c r="R21" s="283">
        <f>IFERROR(IF(compras_mes10[[#This Row],[CUIT]]="","-",VLOOKUP(compras_mes10[[#This Row],[CUIT]],Lista_CUIT[#All],4,0)),"CUIT NO CARGADO")</f>
        <v>0</v>
      </c>
    </row>
    <row r="22" spans="2:18" x14ac:dyDescent="0.3">
      <c r="B22" s="335">
        <v>45313</v>
      </c>
      <c r="C22" s="208">
        <v>1</v>
      </c>
      <c r="D22" s="336">
        <v>5</v>
      </c>
      <c r="E22" s="337">
        <v>840</v>
      </c>
      <c r="F22" s="338">
        <v>23136956159</v>
      </c>
      <c r="G22" s="339" t="str">
        <f>IFERROR(IF(compras_mes10[[#This Row],[CUIT]]="","-",VLOOKUP(compras_mes10[[#This Row],[CUIT]],Lista_CUIT[#All],2,0)),"CUIT NO CARGADO")</f>
        <v>DE GISI ANTONIO LUIS</v>
      </c>
      <c r="H22" s="340">
        <v>4041.07</v>
      </c>
      <c r="I22" s="341">
        <f>IF(compras_mes10[[#This Row],[NETO GRAVADO]]="","",compras_mes10[[#This Row],[NETO GRAVADO]]*0.21)</f>
        <v>848.62469999999996</v>
      </c>
      <c r="J22" s="341"/>
      <c r="K22" s="341"/>
      <c r="L22" s="341"/>
      <c r="M22" s="341"/>
      <c r="N22" s="341"/>
      <c r="O22" s="341"/>
      <c r="P22" s="349">
        <f>SUM(compras_mes10[[#This Row],[NETO GRAVADO]:[Otros / No Grav.]])</f>
        <v>4889.6947</v>
      </c>
      <c r="Q22" s="283" t="s">
        <v>1426</v>
      </c>
      <c r="R22" s="350">
        <f>IFERROR(IF(compras_mes10[[#This Row],[CUIT]]="","-",VLOOKUP(compras_mes10[[#This Row],[CUIT]],Lista_CUIT[#All],4,0)),"CUIT NO CARGADO")</f>
        <v>0</v>
      </c>
    </row>
    <row r="23" spans="2:18" x14ac:dyDescent="0.3">
      <c r="B23" s="335">
        <v>45314</v>
      </c>
      <c r="C23" s="208">
        <v>1</v>
      </c>
      <c r="D23" s="336">
        <v>4</v>
      </c>
      <c r="E23" s="337">
        <v>12697</v>
      </c>
      <c r="F23" s="338">
        <v>33716493119</v>
      </c>
      <c r="G23" s="339" t="str">
        <f>IFERROR(IF(compras_mes10[[#This Row],[CUIT]]="","-",VLOOKUP(compras_mes10[[#This Row],[CUIT]],Lista_CUIT[#All],2,0)),"CUIT NO CARGADO")</f>
        <v>N2M SOCIEDAD DE RESPONSABILIDAD LIMITADA</v>
      </c>
      <c r="H23" s="340">
        <v>8982.64</v>
      </c>
      <c r="I23" s="341">
        <f>IF(compras_mes10[[#This Row],[NETO GRAVADO]]="","",compras_mes10[[#This Row],[NETO GRAVADO]]*0.21)</f>
        <v>1886.3543999999997</v>
      </c>
      <c r="J23" s="341"/>
      <c r="K23" s="341"/>
      <c r="L23" s="341"/>
      <c r="M23" s="341"/>
      <c r="N23" s="341"/>
      <c r="O23" s="341"/>
      <c r="P23" s="349">
        <f>SUM(compras_mes10[[#This Row],[NETO GRAVADO]:[Otros / No Grav.]])</f>
        <v>10868.9944</v>
      </c>
      <c r="Q23" s="283" t="s">
        <v>1426</v>
      </c>
      <c r="R23" s="350">
        <f>IFERROR(IF(compras_mes10[[#This Row],[CUIT]]="","-",VLOOKUP(compras_mes10[[#This Row],[CUIT]],Lista_CUIT[#All],4,0)),"CUIT NO CARGADO")</f>
        <v>0</v>
      </c>
    </row>
    <row r="24" spans="2:18" x14ac:dyDescent="0.3">
      <c r="B24" s="335">
        <v>45315</v>
      </c>
      <c r="C24" s="208">
        <v>1</v>
      </c>
      <c r="D24" s="336">
        <v>3</v>
      </c>
      <c r="E24" s="337">
        <v>764</v>
      </c>
      <c r="F24" s="338">
        <v>27424730608</v>
      </c>
      <c r="G24" s="339" t="str">
        <f>IFERROR(IF(compras_mes10[[#This Row],[CUIT]]="","-",VLOOKUP(compras_mes10[[#This Row],[CUIT]],Lista_CUIT[#All],2,0)),"CUIT NO CARGADO")</f>
        <v>VAZQUEZ CABRAL WANDA MILENA</v>
      </c>
      <c r="H24" s="340">
        <v>23140.5</v>
      </c>
      <c r="I24" s="341">
        <f>IF(compras_mes10[[#This Row],[NETO GRAVADO]]="","",compras_mes10[[#This Row],[NETO GRAVADO]]*0.21)</f>
        <v>4859.5050000000001</v>
      </c>
      <c r="J24" s="341"/>
      <c r="K24" s="341"/>
      <c r="L24" s="341"/>
      <c r="M24" s="341"/>
      <c r="N24" s="341"/>
      <c r="O24" s="341"/>
      <c r="P24" s="349">
        <f>SUM(compras_mes10[[#This Row],[NETO GRAVADO]:[Otros / No Grav.]])</f>
        <v>28000.005000000001</v>
      </c>
      <c r="Q24" s="283" t="s">
        <v>1426</v>
      </c>
      <c r="R24" s="350">
        <f>IFERROR(IF(compras_mes10[[#This Row],[CUIT]]="","-",VLOOKUP(compras_mes10[[#This Row],[CUIT]],Lista_CUIT[#All],4,0)),"CUIT NO CARGADO")</f>
        <v>0</v>
      </c>
    </row>
    <row r="25" spans="2:18" x14ac:dyDescent="0.3">
      <c r="B25" s="335">
        <v>45315</v>
      </c>
      <c r="C25" s="208">
        <v>1</v>
      </c>
      <c r="D25" s="336">
        <v>15</v>
      </c>
      <c r="E25" s="337">
        <v>7042</v>
      </c>
      <c r="F25" s="338">
        <v>30708003316</v>
      </c>
      <c r="G25" s="339" t="str">
        <f>IFERROR(IF(compras_mes10[[#This Row],[CUIT]]="","-",VLOOKUP(compras_mes10[[#This Row],[CUIT]],Lista_CUIT[#All],2,0)),"CUIT NO CARGADO")</f>
        <v>LOMIR SA</v>
      </c>
      <c r="H25" s="340">
        <v>27271.9</v>
      </c>
      <c r="I25" s="341">
        <f>IF(compras_mes10[[#This Row],[NETO GRAVADO]]="","",compras_mes10[[#This Row],[NETO GRAVADO]]*0.21)</f>
        <v>5727.0990000000002</v>
      </c>
      <c r="J25" s="341"/>
      <c r="K25" s="341"/>
      <c r="L25" s="341"/>
      <c r="M25" s="341"/>
      <c r="N25" s="341"/>
      <c r="O25" s="341"/>
      <c r="P25" s="349">
        <f>SUM(compras_mes10[[#This Row],[NETO GRAVADO]:[Otros / No Grav.]])</f>
        <v>32998.999000000003</v>
      </c>
      <c r="Q25" s="283" t="s">
        <v>1426</v>
      </c>
      <c r="R25" s="350">
        <f>IFERROR(IF(compras_mes10[[#This Row],[CUIT]]="","-",VLOOKUP(compras_mes10[[#This Row],[CUIT]],Lista_CUIT[#All],4,0)),"CUIT NO CARGADO")</f>
        <v>0</v>
      </c>
    </row>
    <row r="26" spans="2:18" x14ac:dyDescent="0.3">
      <c r="B26" s="275">
        <v>45316</v>
      </c>
      <c r="C26" s="208">
        <v>1</v>
      </c>
      <c r="D26" s="276">
        <v>10</v>
      </c>
      <c r="E26" s="277">
        <v>15014</v>
      </c>
      <c r="F26" s="278">
        <v>20357254435</v>
      </c>
      <c r="G26" s="279" t="str">
        <f>IFERROR(IF(compras_mes10[[#This Row],[CUIT]]="","-",VLOOKUP(compras_mes10[[#This Row],[CUIT]],Lista_CUIT[#All],2,0)),"CUIT NO CARGADO")</f>
        <v>FIDALGO LA FALCE EZEQUIEL ERNESTO</v>
      </c>
      <c r="H26" s="280">
        <v>22440.5</v>
      </c>
      <c r="I26" s="281">
        <f>IF(compras_mes10[[#This Row],[NETO GRAVADO]]="","",compras_mes10[[#This Row],[NETO GRAVADO]]*0.21)</f>
        <v>4712.5050000000001</v>
      </c>
      <c r="J26" s="281"/>
      <c r="K26" s="281"/>
      <c r="L26" s="281"/>
      <c r="M26" s="281"/>
      <c r="N26" s="281"/>
      <c r="O26" s="281"/>
      <c r="P26" s="282">
        <f>SUM(compras_mes10[[#This Row],[NETO GRAVADO]:[Otros / No Grav.]])</f>
        <v>27153.005000000001</v>
      </c>
      <c r="Q26" s="283" t="s">
        <v>1426</v>
      </c>
      <c r="R26" s="283">
        <f>IFERROR(IF(compras_mes10[[#This Row],[CUIT]]="","-",VLOOKUP(compras_mes10[[#This Row],[CUIT]],Lista_CUIT[#All],4,0)),"CUIT NO CARGADO")</f>
        <v>0</v>
      </c>
    </row>
    <row r="27" spans="2:18" x14ac:dyDescent="0.3">
      <c r="B27" s="275">
        <v>45318</v>
      </c>
      <c r="C27" s="208">
        <v>1</v>
      </c>
      <c r="D27" s="276">
        <v>15</v>
      </c>
      <c r="E27" s="277">
        <v>7220</v>
      </c>
      <c r="F27" s="278">
        <v>30708003316</v>
      </c>
      <c r="G27" s="279" t="str">
        <f>IFERROR(IF(compras_mes10[[#This Row],[CUIT]]="","-",VLOOKUP(compras_mes10[[#This Row],[CUIT]],Lista_CUIT[#All],2,0)),"CUIT NO CARGADO")</f>
        <v>LOMIR SA</v>
      </c>
      <c r="H27" s="280">
        <v>21485.95</v>
      </c>
      <c r="I27" s="281">
        <f>IF(compras_mes10[[#This Row],[NETO GRAVADO]]="","",compras_mes10[[#This Row],[NETO GRAVADO]]*0.21)</f>
        <v>4512.0495000000001</v>
      </c>
      <c r="J27" s="281"/>
      <c r="K27" s="281"/>
      <c r="L27" s="281"/>
      <c r="M27" s="281"/>
      <c r="N27" s="281"/>
      <c r="O27" s="281"/>
      <c r="P27" s="282">
        <f>SUM(compras_mes10[[#This Row],[NETO GRAVADO]:[Otros / No Grav.]])</f>
        <v>25997.999500000002</v>
      </c>
      <c r="Q27" s="283" t="s">
        <v>1426</v>
      </c>
      <c r="R27" s="283">
        <f>IFERROR(IF(compras_mes10[[#This Row],[CUIT]]="","-",VLOOKUP(compras_mes10[[#This Row],[CUIT]],Lista_CUIT[#All],4,0)),"CUIT NO CARGADO")</f>
        <v>0</v>
      </c>
    </row>
    <row r="28" spans="2:18" x14ac:dyDescent="0.3">
      <c r="B28" s="275">
        <v>45320</v>
      </c>
      <c r="C28" s="208">
        <v>1</v>
      </c>
      <c r="D28" s="276">
        <v>6</v>
      </c>
      <c r="E28" s="277">
        <v>3107</v>
      </c>
      <c r="F28" s="278">
        <v>30707591168</v>
      </c>
      <c r="G28" s="279" t="str">
        <f>IFERROR(IF(compras_mes10[[#This Row],[CUIT]]="","-",VLOOKUP(compras_mes10[[#This Row],[CUIT]],Lista_CUIT[#All],2,0)),"CUIT NO CARGADO")</f>
        <v>VICDA ARGENTINA S R L</v>
      </c>
      <c r="H28" s="280">
        <v>12674.045</v>
      </c>
      <c r="I28" s="281">
        <f>IF(compras_mes10[[#This Row],[NETO GRAVADO]]="","",compras_mes10[[#This Row],[NETO GRAVADO]]*0.21)</f>
        <v>2661.54945</v>
      </c>
      <c r="J28" s="281"/>
      <c r="K28" s="281"/>
      <c r="L28" s="281"/>
      <c r="M28" s="281"/>
      <c r="N28" s="281"/>
      <c r="O28" s="281"/>
      <c r="P28" s="282">
        <f>SUM(compras_mes10[[#This Row],[NETO GRAVADO]:[Otros / No Grav.]])</f>
        <v>15335.594450000001</v>
      </c>
      <c r="Q28" s="283" t="s">
        <v>1426</v>
      </c>
      <c r="R28" s="283">
        <f>IFERROR(IF(compras_mes10[[#This Row],[CUIT]]="","-",VLOOKUP(compras_mes10[[#This Row],[CUIT]],Lista_CUIT[#All],4,0)),"CUIT NO CARGADO")</f>
        <v>0</v>
      </c>
    </row>
    <row r="29" spans="2:18" x14ac:dyDescent="0.3">
      <c r="B29" s="275">
        <v>45321</v>
      </c>
      <c r="C29" s="208">
        <v>1</v>
      </c>
      <c r="D29" s="276">
        <v>3</v>
      </c>
      <c r="E29" s="277">
        <v>4469</v>
      </c>
      <c r="F29" s="278">
        <v>30710585411</v>
      </c>
      <c r="G29" s="279" t="str">
        <f>IFERROR(IF(compras_mes10[[#This Row],[CUIT]]="","-",VLOOKUP(compras_mes10[[#This Row],[CUIT]],Lista_CUIT[#All],2,0)),"CUIT NO CARGADO")</f>
        <v>POSITIF PLANIFIER S.A.</v>
      </c>
      <c r="H29" s="280">
        <v>22601.65</v>
      </c>
      <c r="I29" s="281">
        <f>IF(compras_mes10[[#This Row],[NETO GRAVADO]]="","",compras_mes10[[#This Row],[NETO GRAVADO]]*0.21)</f>
        <v>4746.3465000000006</v>
      </c>
      <c r="J29" s="281"/>
      <c r="K29" s="281"/>
      <c r="L29" s="281"/>
      <c r="M29" s="281"/>
      <c r="N29" s="281"/>
      <c r="O29" s="281"/>
      <c r="P29" s="282">
        <f>SUM(compras_mes10[[#This Row],[NETO GRAVADO]:[Otros / No Grav.]])</f>
        <v>27347.996500000001</v>
      </c>
      <c r="Q29" s="283" t="s">
        <v>1426</v>
      </c>
      <c r="R29" s="283">
        <f>IFERROR(IF(compras_mes10[[#This Row],[CUIT]]="","-",VLOOKUP(compras_mes10[[#This Row],[CUIT]],Lista_CUIT[#All],4,0)),"CUIT NO CARGADO")</f>
        <v>0</v>
      </c>
    </row>
    <row r="30" spans="2:18" x14ac:dyDescent="0.3">
      <c r="B30" s="40">
        <v>45292</v>
      </c>
      <c r="C30" s="41">
        <v>1</v>
      </c>
      <c r="D30" s="42">
        <v>700</v>
      </c>
      <c r="E30" s="43">
        <v>612168</v>
      </c>
      <c r="F30" s="44">
        <v>30580111315</v>
      </c>
      <c r="G30" s="45" t="str">
        <f>IFERROR(IF(compras_mes10[[#This Row],[CUIT]]="","-",VLOOKUP(compras_mes10[[#This Row],[CUIT]],Lista_CUIT[#All],2,0)),"CUIT NO CARGADO")</f>
        <v>DHL EXPRESS (ARGENTINA) S.A.</v>
      </c>
      <c r="H30" s="46">
        <v>11595.5</v>
      </c>
      <c r="I30" s="85">
        <v>2435.0549999999998</v>
      </c>
      <c r="J30" s="85"/>
      <c r="K30" s="85"/>
      <c r="L30" s="85"/>
      <c r="M30" s="85"/>
      <c r="N30" s="85"/>
      <c r="O30" s="85">
        <v>457815.1875</v>
      </c>
      <c r="P30" s="48">
        <f>SUM(compras_mes10[[#This Row],[NETO GRAVADO]:[Otros / No Grav.]])</f>
        <v>471845.74249999999</v>
      </c>
      <c r="Q30" s="49" t="str">
        <f>IFERROR(IF(compras_mes10[[#This Row],[CUIT]]="","-",VLOOKUP(compras_mes10[[#This Row],[CUIT]],Lista_CUIT[#All],3,0)),"CUIT NO CARGADO")</f>
        <v>Gtos. Imp.</v>
      </c>
      <c r="R30" s="49">
        <f>IFERROR(IF(compras_mes10[[#This Row],[CUIT]]="","-",VLOOKUP(compras_mes10[[#This Row],[CUIT]],Lista_CUIT[#All],4,0)),"CUIT NO CARGADO")</f>
        <v>0</v>
      </c>
    </row>
    <row r="31" spans="2:18" x14ac:dyDescent="0.3">
      <c r="B31" s="275">
        <v>45294</v>
      </c>
      <c r="C31" s="208">
        <v>3</v>
      </c>
      <c r="D31" s="276">
        <v>122</v>
      </c>
      <c r="E31" s="277">
        <v>53102</v>
      </c>
      <c r="F31" s="278">
        <v>30594494187</v>
      </c>
      <c r="G31" s="279" t="str">
        <f>IFERROR(IF(compras_mes10[[#This Row],[CUIT]]="","-",VLOOKUP(compras_mes10[[#This Row],[CUIT]],Lista_CUIT[#All],2,0)),"CUIT NO CARGADO")</f>
        <v>FEDERAL EXPRESS CORPORATION</v>
      </c>
      <c r="H31" s="280">
        <v>-67909.8</v>
      </c>
      <c r="I31" s="281">
        <f>IF(compras_mes10[[#This Row],[NETO GRAVADO]]="","",compras_mes10[[#This Row],[NETO GRAVADO]]*0.21)</f>
        <v>-14261.058000000001</v>
      </c>
      <c r="J31" s="281"/>
      <c r="K31" s="281"/>
      <c r="L31" s="281"/>
      <c r="M31" s="281"/>
      <c r="N31" s="281"/>
      <c r="O31" s="281">
        <v>-323630.63</v>
      </c>
      <c r="P31" s="282">
        <f>SUM(compras_mes10[[#This Row],[NETO GRAVADO]:[Otros / No Grav.]])</f>
        <v>-405801.48800000001</v>
      </c>
      <c r="Q31" s="283" t="str">
        <f>IFERROR(IF(compras_mes10[[#This Row],[CUIT]]="","-",VLOOKUP(compras_mes10[[#This Row],[CUIT]],Lista_CUIT[#All],3,0)),"CUIT NO CARGADO")</f>
        <v>Gtos. Imp.</v>
      </c>
      <c r="R31" s="283">
        <f>IFERROR(IF(compras_mes10[[#This Row],[CUIT]]="","-",VLOOKUP(compras_mes10[[#This Row],[CUIT]],Lista_CUIT[#All],4,0)),"CUIT NO CARGADO")</f>
        <v>0</v>
      </c>
    </row>
    <row r="32" spans="2:18" x14ac:dyDescent="0.3">
      <c r="B32" s="275">
        <v>45299</v>
      </c>
      <c r="C32" s="208">
        <v>1</v>
      </c>
      <c r="D32" s="276">
        <v>106</v>
      </c>
      <c r="E32" s="277">
        <v>700842</v>
      </c>
      <c r="F32" s="278">
        <v>30594494187</v>
      </c>
      <c r="G32" s="279" t="str">
        <f>IFERROR(IF(compras_mes10[[#This Row],[CUIT]]="","-",VLOOKUP(compras_mes10[[#This Row],[CUIT]],Lista_CUIT[#All],2,0)),"CUIT NO CARGADO")</f>
        <v>FEDERAL EXPRESS CORPORATION</v>
      </c>
      <c r="H32" s="280">
        <v>59832</v>
      </c>
      <c r="I32" s="281">
        <f>IF(compras_mes10[[#This Row],[NETO GRAVADO]]="","",compras_mes10[[#This Row],[NETO GRAVADO]]*0.21)</f>
        <v>12564.72</v>
      </c>
      <c r="J32" s="281"/>
      <c r="K32" s="281"/>
      <c r="L32" s="281"/>
      <c r="M32" s="281"/>
      <c r="N32" s="281"/>
      <c r="O32" s="281">
        <v>323630.63</v>
      </c>
      <c r="P32" s="282">
        <f>SUM(compras_mes10[[#This Row],[NETO GRAVADO]:[Otros / No Grav.]])</f>
        <v>396027.35</v>
      </c>
      <c r="Q32" s="283" t="str">
        <f>IFERROR(IF(compras_mes10[[#This Row],[CUIT]]="","-",VLOOKUP(compras_mes10[[#This Row],[CUIT]],Lista_CUIT[#All],3,0)),"CUIT NO CARGADO")</f>
        <v>Gtos. Imp.</v>
      </c>
      <c r="R32" s="283">
        <f>IFERROR(IF(compras_mes10[[#This Row],[CUIT]]="","-",VLOOKUP(compras_mes10[[#This Row],[CUIT]],Lista_CUIT[#All],4,0)),"CUIT NO CARGADO")</f>
        <v>0</v>
      </c>
    </row>
    <row r="33" spans="2:18" x14ac:dyDescent="0.3">
      <c r="B33" s="40">
        <v>45306</v>
      </c>
      <c r="C33" s="41">
        <v>1</v>
      </c>
      <c r="D33" s="42">
        <v>700</v>
      </c>
      <c r="E33" s="43">
        <v>616330</v>
      </c>
      <c r="F33" s="44">
        <v>30580111315</v>
      </c>
      <c r="G33" s="45" t="str">
        <f>IFERROR(IF(compras_mes10[[#This Row],[CUIT]]="","-",VLOOKUP(compras_mes10[[#This Row],[CUIT]],Lista_CUIT[#All],2,0)),"CUIT NO CARGADO")</f>
        <v>DHL EXPRESS (ARGENTINA) S.A.</v>
      </c>
      <c r="H33" s="46">
        <v>0</v>
      </c>
      <c r="I33" s="85">
        <f>IF(compras_mes10[[#This Row],[NETO GRAVADO]]="","",compras_mes10[[#This Row],[NETO GRAVADO]]*0.21)</f>
        <v>0</v>
      </c>
      <c r="J33" s="85"/>
      <c r="K33" s="85"/>
      <c r="L33" s="85"/>
      <c r="M33" s="85"/>
      <c r="N33" s="85"/>
      <c r="O33" s="85">
        <v>97427.654999999999</v>
      </c>
      <c r="P33" s="48">
        <f>SUM(compras_mes10[[#This Row],[NETO GRAVADO]:[Otros / No Grav.]])</f>
        <v>97427.654999999999</v>
      </c>
      <c r="Q33" s="49" t="str">
        <f>IFERROR(IF(compras_mes10[[#This Row],[CUIT]]="","-",VLOOKUP(compras_mes10[[#This Row],[CUIT]],Lista_CUIT[#All],3,0)),"CUIT NO CARGADO")</f>
        <v>Gtos. Imp.</v>
      </c>
      <c r="R33" s="49">
        <f>IFERROR(IF(compras_mes10[[#This Row],[CUIT]]="","-",VLOOKUP(compras_mes10[[#This Row],[CUIT]],Lista_CUIT[#All],4,0)),"CUIT NO CARGADO")</f>
        <v>0</v>
      </c>
    </row>
    <row r="34" spans="2:18" x14ac:dyDescent="0.3">
      <c r="B34" s="40">
        <v>45307</v>
      </c>
      <c r="C34" s="41">
        <v>1</v>
      </c>
      <c r="D34" s="42">
        <v>106</v>
      </c>
      <c r="E34" s="43">
        <v>703013</v>
      </c>
      <c r="F34" s="44">
        <v>30594494187</v>
      </c>
      <c r="G34" s="45" t="str">
        <f>IFERROR(IF(compras_mes10[[#This Row],[CUIT]]="","-",VLOOKUP(compras_mes10[[#This Row],[CUIT]],Lista_CUIT[#All],2,0)),"CUIT NO CARGADO")</f>
        <v>FEDERAL EXPRESS CORPORATION</v>
      </c>
      <c r="H34" s="46">
        <v>0</v>
      </c>
      <c r="I34" s="85">
        <f>IF(compras_mes10[[#This Row],[NETO GRAVADO]]="","",compras_mes10[[#This Row],[NETO GRAVADO]]*0.21)</f>
        <v>0</v>
      </c>
      <c r="J34" s="85"/>
      <c r="K34" s="85"/>
      <c r="L34" s="85"/>
      <c r="M34" s="85"/>
      <c r="N34" s="85"/>
      <c r="O34" s="85">
        <v>132343.20000000001</v>
      </c>
      <c r="P34" s="48">
        <f>SUM(compras_mes10[[#This Row],[NETO GRAVADO]:[Otros / No Grav.]])</f>
        <v>132343.20000000001</v>
      </c>
      <c r="Q34" s="49" t="str">
        <f>IFERROR(IF(compras_mes10[[#This Row],[CUIT]]="","-",VLOOKUP(compras_mes10[[#This Row],[CUIT]],Lista_CUIT[#All],3,0)),"CUIT NO CARGADO")</f>
        <v>Gtos. Imp.</v>
      </c>
      <c r="R34" s="49">
        <f>IFERROR(IF(compras_mes10[[#This Row],[CUIT]]="","-",VLOOKUP(compras_mes10[[#This Row],[CUIT]],Lista_CUIT[#All],4,0)),"CUIT NO CARGADO")</f>
        <v>0</v>
      </c>
    </row>
    <row r="35" spans="2:18" x14ac:dyDescent="0.3">
      <c r="B35" s="40">
        <v>45310</v>
      </c>
      <c r="C35" s="41">
        <v>2</v>
      </c>
      <c r="D35" s="42">
        <v>755</v>
      </c>
      <c r="E35" s="43">
        <v>11250</v>
      </c>
      <c r="F35" s="44">
        <v>30580111315</v>
      </c>
      <c r="G35" s="45" t="str">
        <f>IFERROR(IF(compras_mes10[[#This Row],[CUIT]]="","-",VLOOKUP(compras_mes10[[#This Row],[CUIT]],Lista_CUIT[#All],2,0)),"CUIT NO CARGADO")</f>
        <v>DHL EXPRESS (ARGENTINA) S.A.</v>
      </c>
      <c r="H35" s="46">
        <v>0</v>
      </c>
      <c r="I35" s="85">
        <f>IF(compras_mes10[[#This Row],[NETO GRAVADO]]="","",compras_mes10[[#This Row],[NETO GRAVADO]]*0.21)</f>
        <v>0</v>
      </c>
      <c r="J35" s="85"/>
      <c r="K35" s="85"/>
      <c r="L35" s="85"/>
      <c r="M35" s="85"/>
      <c r="N35" s="85"/>
      <c r="O35" s="85">
        <v>36470.35</v>
      </c>
      <c r="P35" s="48">
        <f>SUM(compras_mes10[[#This Row],[NETO GRAVADO]:[Otros / No Grav.]])</f>
        <v>36470.35</v>
      </c>
      <c r="Q35" s="49" t="str">
        <f>IFERROR(IF(compras_mes10[[#This Row],[CUIT]]="","-",VLOOKUP(compras_mes10[[#This Row],[CUIT]],Lista_CUIT[#All],3,0)),"CUIT NO CARGADO")</f>
        <v>Gtos. Imp.</v>
      </c>
      <c r="R35" s="49">
        <f>IFERROR(IF(compras_mes10[[#This Row],[CUIT]]="","-",VLOOKUP(compras_mes10[[#This Row],[CUIT]],Lista_CUIT[#All],4,0)),"CUIT NO CARGADO")</f>
        <v>0</v>
      </c>
    </row>
    <row r="36" spans="2:18" x14ac:dyDescent="0.3">
      <c r="B36" s="40">
        <v>45310</v>
      </c>
      <c r="C36" s="41">
        <v>2</v>
      </c>
      <c r="D36" s="42">
        <v>755</v>
      </c>
      <c r="E36" s="43">
        <v>11249</v>
      </c>
      <c r="F36" s="44">
        <v>30580111315</v>
      </c>
      <c r="G36" s="45" t="str">
        <f>IFERROR(IF(compras_mes10[[#This Row],[CUIT]]="","-",VLOOKUP(compras_mes10[[#This Row],[CUIT]],Lista_CUIT[#All],2,0)),"CUIT NO CARGADO")</f>
        <v>DHL EXPRESS (ARGENTINA) S.A.</v>
      </c>
      <c r="H36" s="46">
        <v>0</v>
      </c>
      <c r="I36" s="85">
        <f>IF(compras_mes10[[#This Row],[NETO GRAVADO]]="","",compras_mes10[[#This Row],[NETO GRAVADO]]*0.21)</f>
        <v>0</v>
      </c>
      <c r="J36" s="85"/>
      <c r="K36" s="85"/>
      <c r="L36" s="85"/>
      <c r="M36" s="85"/>
      <c r="N36" s="85"/>
      <c r="O36" s="85">
        <v>265807.99</v>
      </c>
      <c r="P36" s="48">
        <f>SUM(compras_mes10[[#This Row],[NETO GRAVADO]:[Otros / No Grav.]])</f>
        <v>265807.99</v>
      </c>
      <c r="Q36" s="49" t="str">
        <f>IFERROR(IF(compras_mes10[[#This Row],[CUIT]]="","-",VLOOKUP(compras_mes10[[#This Row],[CUIT]],Lista_CUIT[#All],3,0)),"CUIT NO CARGADO")</f>
        <v>Gtos. Imp.</v>
      </c>
      <c r="R36" s="49">
        <f>IFERROR(IF(compras_mes10[[#This Row],[CUIT]]="","-",VLOOKUP(compras_mes10[[#This Row],[CUIT]],Lista_CUIT[#All],4,0)),"CUIT NO CARGADO")</f>
        <v>0</v>
      </c>
    </row>
    <row r="37" spans="2:18" x14ac:dyDescent="0.3">
      <c r="B37" s="275">
        <v>45299</v>
      </c>
      <c r="C37" s="208">
        <v>1</v>
      </c>
      <c r="D37" s="276">
        <v>7</v>
      </c>
      <c r="E37" s="277">
        <v>56599</v>
      </c>
      <c r="F37" s="278">
        <v>30711379246</v>
      </c>
      <c r="G37" s="279" t="str">
        <f>IFERROR(IF(compras_mes10[[#This Row],[CUIT]]="","-",VLOOKUP(compras_mes10[[#This Row],[CUIT]],Lista_CUIT[#All],2,0)),"CUIT NO CARGADO")</f>
        <v>HAPPY BUY ARGENTINA S.R.L.</v>
      </c>
      <c r="H37" s="280">
        <v>9090.9</v>
      </c>
      <c r="I37" s="281">
        <f>IF(compras_mes10[[#This Row],[NETO GRAVADO]]="","",compras_mes10[[#This Row],[NETO GRAVADO]]*0.21)</f>
        <v>1909.0889999999999</v>
      </c>
      <c r="J37" s="281"/>
      <c r="K37" s="281"/>
      <c r="L37" s="281"/>
      <c r="M37" s="281"/>
      <c r="N37" s="281"/>
      <c r="O37" s="281"/>
      <c r="P37" s="282">
        <f>SUM(compras_mes10[[#This Row],[NETO GRAVADO]:[Otros / No Grav.]])</f>
        <v>10999.989</v>
      </c>
      <c r="Q37" s="283" t="s">
        <v>1429</v>
      </c>
      <c r="R37" s="283">
        <f>IFERROR(IF(compras_mes10[[#This Row],[CUIT]]="","-",VLOOKUP(compras_mes10[[#This Row],[CUIT]],Lista_CUIT[#All],4,0)),"CUIT NO CARGADO")</f>
        <v>0</v>
      </c>
    </row>
    <row r="38" spans="2:18" x14ac:dyDescent="0.3">
      <c r="B38" s="275">
        <v>45302</v>
      </c>
      <c r="C38" s="208">
        <v>1</v>
      </c>
      <c r="D38" s="276">
        <v>8</v>
      </c>
      <c r="E38" s="277">
        <v>127472</v>
      </c>
      <c r="F38" s="278">
        <v>30714295957</v>
      </c>
      <c r="G38" s="279" t="str">
        <f>IFERROR(IF(compras_mes10[[#This Row],[CUIT]]="","-",VLOOKUP(compras_mes10[[#This Row],[CUIT]],Lista_CUIT[#All],2,0)),"CUIT NO CARGADO")</f>
        <v>IT BROKERS S.A.</v>
      </c>
      <c r="H38" s="280">
        <v>61529.41</v>
      </c>
      <c r="I38" s="281"/>
      <c r="J38" s="281"/>
      <c r="K38" s="281">
        <v>6460.59</v>
      </c>
      <c r="L38" s="281"/>
      <c r="M38" s="281"/>
      <c r="N38" s="281"/>
      <c r="O38" s="281"/>
      <c r="P38" s="282">
        <f>SUM(compras_mes10[[#This Row],[NETO GRAVADO]:[Otros / No Grav.]])</f>
        <v>67990</v>
      </c>
      <c r="Q38" s="283" t="s">
        <v>1429</v>
      </c>
      <c r="R38" s="283">
        <f>IFERROR(IF(compras_mes10[[#This Row],[CUIT]]="","-",VLOOKUP(compras_mes10[[#This Row],[CUIT]],Lista_CUIT[#All],4,0)),"CUIT NO CARGADO")</f>
        <v>0</v>
      </c>
    </row>
    <row r="39" spans="2:18" x14ac:dyDescent="0.3">
      <c r="B39" s="40">
        <v>45307</v>
      </c>
      <c r="C39" s="41">
        <v>1</v>
      </c>
      <c r="D39" s="42">
        <v>5</v>
      </c>
      <c r="E39" s="43">
        <v>8520</v>
      </c>
      <c r="F39" s="44">
        <v>33711557119</v>
      </c>
      <c r="G39" s="45" t="str">
        <f>IFERROR(IF(compras_mes10[[#This Row],[CUIT]]="","-",VLOOKUP(compras_mes10[[#This Row],[CUIT]],Lista_CUIT[#All],2,0)),"CUIT NO CARGADO")</f>
        <v>ELECTROMINGO S.R.L.</v>
      </c>
      <c r="H39" s="46">
        <v>24347.11</v>
      </c>
      <c r="I39" s="85">
        <f>IF(compras_mes10[[#This Row],[NETO GRAVADO]]="","",compras_mes10[[#This Row],[NETO GRAVADO]]*0.21)</f>
        <v>5112.8931000000002</v>
      </c>
      <c r="J39" s="85"/>
      <c r="K39" s="85"/>
      <c r="L39" s="85"/>
      <c r="M39" s="85"/>
      <c r="N39" s="85"/>
      <c r="O39" s="85"/>
      <c r="P39" s="48">
        <f>SUM(compras_mes10[[#This Row],[NETO GRAVADO]:[Otros / No Grav.]])</f>
        <v>29460.003100000002</v>
      </c>
      <c r="Q39" s="49" t="str">
        <f>IFERROR(IF(compras_mes10[[#This Row],[CUIT]]="","-",VLOOKUP(compras_mes10[[#This Row],[CUIT]],Lista_CUIT[#All],3,0)),"CUIT NO CARGADO")</f>
        <v>INSUMO</v>
      </c>
      <c r="R39" s="49" t="str">
        <f>IFERROR(IF(compras_mes10[[#This Row],[CUIT]]="","-",VLOOKUP(compras_mes10[[#This Row],[CUIT]],Lista_CUIT[#All],4,0)),"CUIT NO CARGADO")</f>
        <v>BUENOS AIRES</v>
      </c>
    </row>
    <row r="40" spans="2:18" x14ac:dyDescent="0.3">
      <c r="B40" s="325">
        <v>45309</v>
      </c>
      <c r="C40" s="41">
        <v>1</v>
      </c>
      <c r="D40" s="327">
        <v>5</v>
      </c>
      <c r="E40" s="328">
        <v>8547</v>
      </c>
      <c r="F40" s="329">
        <v>33711557119</v>
      </c>
      <c r="G40" s="330" t="str">
        <f>IFERROR(IF(compras_mes10[[#This Row],[CUIT]]="","-",VLOOKUP(compras_mes10[[#This Row],[CUIT]],Lista_CUIT[#All],2,0)),"CUIT NO CARGADO")</f>
        <v>ELECTROMINGO S.R.L.</v>
      </c>
      <c r="H40" s="331">
        <v>1960.72</v>
      </c>
      <c r="I40" s="332">
        <v>169.82</v>
      </c>
      <c r="J40" s="332"/>
      <c r="K40" s="332">
        <v>120.96</v>
      </c>
      <c r="L40" s="332"/>
      <c r="M40" s="332"/>
      <c r="N40" s="332"/>
      <c r="O40" s="332"/>
      <c r="P40" s="333">
        <f>SUM(compras_mes10[[#This Row],[NETO GRAVADO]:[Otros / No Grav.]])</f>
        <v>2251.5</v>
      </c>
      <c r="Q40" s="334" t="str">
        <f>IFERROR(IF(compras_mes10[[#This Row],[CUIT]]="","-",VLOOKUP(compras_mes10[[#This Row],[CUIT]],Lista_CUIT[#All],3,0)),"CUIT NO CARGADO")</f>
        <v>INSUMO</v>
      </c>
      <c r="R40" s="334" t="str">
        <f>IFERROR(IF(compras_mes10[[#This Row],[CUIT]]="","-",VLOOKUP(compras_mes10[[#This Row],[CUIT]],Lista_CUIT[#All],4,0)),"CUIT NO CARGADO")</f>
        <v>BUENOS AIRES</v>
      </c>
    </row>
    <row r="41" spans="2:18" x14ac:dyDescent="0.3">
      <c r="B41" s="325">
        <v>45314</v>
      </c>
      <c r="C41" s="41">
        <v>1</v>
      </c>
      <c r="D41" s="327">
        <v>2</v>
      </c>
      <c r="E41" s="328">
        <v>193</v>
      </c>
      <c r="F41" s="329">
        <v>20125142851</v>
      </c>
      <c r="G41" s="330" t="str">
        <f>IFERROR(IF(compras_mes10[[#This Row],[CUIT]]="","-",VLOOKUP(compras_mes10[[#This Row],[CUIT]],Lista_CUIT[#All],2,0)),"CUIT NO CARGADO")</f>
        <v>FEDERICI NICOLAS JOSE</v>
      </c>
      <c r="H41" s="331">
        <v>1202065.8999999999</v>
      </c>
      <c r="I41" s="332">
        <f>IF(compras_mes10[[#This Row],[NETO GRAVADO]]="","",compras_mes10[[#This Row],[NETO GRAVADO]]*0.21)</f>
        <v>252433.83899999998</v>
      </c>
      <c r="J41" s="332"/>
      <c r="K41" s="332"/>
      <c r="L41" s="332"/>
      <c r="M41" s="332"/>
      <c r="N41" s="332"/>
      <c r="O41" s="332"/>
      <c r="P41" s="333">
        <f>SUM(compras_mes10[[#This Row],[NETO GRAVADO]:[Otros / No Grav.]])</f>
        <v>1454499.7389999998</v>
      </c>
      <c r="Q41" s="334" t="str">
        <f>IFERROR(IF(compras_mes10[[#This Row],[CUIT]]="","-",VLOOKUP(compras_mes10[[#This Row],[CUIT]],Lista_CUIT[#All],3,0)),"CUIT NO CARGADO")</f>
        <v>INSUMO</v>
      </c>
      <c r="R41" s="334">
        <f>IFERROR(IF(compras_mes10[[#This Row],[CUIT]]="","-",VLOOKUP(compras_mes10[[#This Row],[CUIT]],Lista_CUIT[#All],4,0)),"CUIT NO CARGADO")</f>
        <v>0</v>
      </c>
    </row>
    <row r="42" spans="2:18" x14ac:dyDescent="0.3">
      <c r="B42" s="335">
        <v>45315</v>
      </c>
      <c r="C42" s="208">
        <v>1</v>
      </c>
      <c r="D42" s="336">
        <v>15</v>
      </c>
      <c r="E42" s="337">
        <v>30887</v>
      </c>
      <c r="F42" s="338">
        <v>33708907869</v>
      </c>
      <c r="G42" s="339" t="str">
        <f>IFERROR(IF(compras_mes10[[#This Row],[CUIT]]="","-",VLOOKUP(compras_mes10[[#This Row],[CUIT]],Lista_CUIT[#All],2,0)),"CUIT NO CARGADO")</f>
        <v>SERCAP INSUMOS S.R.L.</v>
      </c>
      <c r="H42" s="340">
        <v>30154.87</v>
      </c>
      <c r="I42" s="341">
        <v>497.75</v>
      </c>
      <c r="J42" s="341"/>
      <c r="K42" s="341">
        <v>2917.38</v>
      </c>
      <c r="L42" s="341"/>
      <c r="M42" s="341"/>
      <c r="N42" s="341"/>
      <c r="O42" s="341"/>
      <c r="P42" s="349">
        <f>SUM(compras_mes10[[#This Row],[NETO GRAVADO]:[Otros / No Grav.]])</f>
        <v>33570</v>
      </c>
      <c r="Q42" s="350" t="str">
        <f>IFERROR(IF(compras_mes10[[#This Row],[CUIT]]="","-",VLOOKUP(compras_mes10[[#This Row],[CUIT]],Lista_CUIT[#All],3,0)),"CUIT NO CARGADO")</f>
        <v>INSUMO</v>
      </c>
      <c r="R42" s="350" t="str">
        <f>IFERROR(IF(compras_mes10[[#This Row],[CUIT]]="","-",VLOOKUP(compras_mes10[[#This Row],[CUIT]],Lista_CUIT[#All],4,0)),"CUIT NO CARGADO")</f>
        <v xml:space="preserve"> </v>
      </c>
    </row>
    <row r="43" spans="2:18" x14ac:dyDescent="0.3">
      <c r="B43" s="275">
        <v>45317</v>
      </c>
      <c r="C43" s="208">
        <v>1</v>
      </c>
      <c r="D43" s="276">
        <v>15</v>
      </c>
      <c r="E43" s="277">
        <v>31173</v>
      </c>
      <c r="F43" s="278">
        <v>33708907869</v>
      </c>
      <c r="G43" s="279" t="str">
        <f>IFERROR(IF(compras_mes10[[#This Row],[CUIT]]="","-",VLOOKUP(compras_mes10[[#This Row],[CUIT]],Lista_CUIT[#All],2,0)),"CUIT NO CARGADO")</f>
        <v>SERCAP INSUMOS S.R.L.</v>
      </c>
      <c r="H43" s="280">
        <v>11851.24</v>
      </c>
      <c r="I43" s="281">
        <f>IF(compras_mes10[[#This Row],[NETO GRAVADO]]="","",compras_mes10[[#This Row],[NETO GRAVADO]]*0.21)</f>
        <v>2488.7603999999997</v>
      </c>
      <c r="J43" s="281"/>
      <c r="K43" s="281"/>
      <c r="L43" s="281"/>
      <c r="M43" s="281"/>
      <c r="N43" s="281"/>
      <c r="O43" s="281"/>
      <c r="P43" s="282">
        <f>SUM(compras_mes10[[#This Row],[NETO GRAVADO]:[Otros / No Grav.]])</f>
        <v>14340.000399999999</v>
      </c>
      <c r="Q43" s="283" t="str">
        <f>IFERROR(IF(compras_mes10[[#This Row],[CUIT]]="","-",VLOOKUP(compras_mes10[[#This Row],[CUIT]],Lista_CUIT[#All],3,0)),"CUIT NO CARGADO")</f>
        <v>INSUMO</v>
      </c>
      <c r="R43" s="283" t="str">
        <f>IFERROR(IF(compras_mes10[[#This Row],[CUIT]]="","-",VLOOKUP(compras_mes10[[#This Row],[CUIT]],Lista_CUIT[#All],4,0)),"CUIT NO CARGADO")</f>
        <v xml:space="preserve"> </v>
      </c>
    </row>
    <row r="44" spans="2:18" x14ac:dyDescent="0.3">
      <c r="B44" s="275">
        <v>45317</v>
      </c>
      <c r="C44" s="208">
        <v>1</v>
      </c>
      <c r="D44" s="276">
        <v>2</v>
      </c>
      <c r="E44" s="277">
        <v>2707</v>
      </c>
      <c r="F44" s="278">
        <v>30715162497</v>
      </c>
      <c r="G44" s="279" t="str">
        <f>IFERROR(IF(compras_mes10[[#This Row],[CUIT]]="","-",VLOOKUP(compras_mes10[[#This Row],[CUIT]],Lista_CUIT[#All],2,0)),"CUIT NO CARGADO")</f>
        <v>SYS IMPORTACIONES S.R.L.</v>
      </c>
      <c r="H44" s="280">
        <v>10742.98</v>
      </c>
      <c r="I44" s="281">
        <f>IF(compras_mes10[[#This Row],[NETO GRAVADO]]="","",compras_mes10[[#This Row],[NETO GRAVADO]]*0.21)</f>
        <v>2256.0257999999999</v>
      </c>
      <c r="J44" s="281"/>
      <c r="K44" s="281"/>
      <c r="L44" s="281"/>
      <c r="M44" s="281"/>
      <c r="N44" s="281"/>
      <c r="O44" s="281"/>
      <c r="P44" s="282">
        <f>SUM(compras_mes10[[#This Row],[NETO GRAVADO]:[Otros / No Grav.]])</f>
        <v>12999.005799999999</v>
      </c>
      <c r="Q44" s="283" t="s">
        <v>783</v>
      </c>
      <c r="R44" s="283">
        <f>IFERROR(IF(compras_mes10[[#This Row],[CUIT]]="","-",VLOOKUP(compras_mes10[[#This Row],[CUIT]],Lista_CUIT[#All],4,0)),"CUIT NO CARGADO")</f>
        <v>0</v>
      </c>
    </row>
    <row r="45" spans="2:18" x14ac:dyDescent="0.3">
      <c r="B45" s="275">
        <v>45308</v>
      </c>
      <c r="C45" s="208">
        <v>1</v>
      </c>
      <c r="D45" s="276">
        <v>8</v>
      </c>
      <c r="E45" s="277">
        <v>610</v>
      </c>
      <c r="F45" s="278">
        <v>30716091216</v>
      </c>
      <c r="G45" s="279" t="str">
        <f>IFERROR(IF(compras_mes10[[#This Row],[CUIT]]="","-",VLOOKUP(compras_mes10[[#This Row],[CUIT]],Lista_CUIT[#All],2,0)),"CUIT NO CARGADO")</f>
        <v>2001 GRUPO ELECTRO S.R.L.</v>
      </c>
      <c r="H45" s="280">
        <v>58714.879999999997</v>
      </c>
      <c r="I45" s="281">
        <f>IF(compras_mes10[[#This Row],[NETO GRAVADO]]="","",compras_mes10[[#This Row],[NETO GRAVADO]]*0.21)</f>
        <v>12330.1248</v>
      </c>
      <c r="J45" s="281"/>
      <c r="K45" s="281"/>
      <c r="L45" s="281"/>
      <c r="M45" s="281"/>
      <c r="N45" s="281"/>
      <c r="O45" s="281"/>
      <c r="P45" s="282">
        <f>SUM(compras_mes10[[#This Row],[NETO GRAVADO]:[Otros / No Grav.]])</f>
        <v>71045.004799999995</v>
      </c>
      <c r="Q45" s="283" t="s">
        <v>1430</v>
      </c>
      <c r="R45" s="283">
        <f>IFERROR(IF(compras_mes10[[#This Row],[CUIT]]="","-",VLOOKUP(compras_mes10[[#This Row],[CUIT]],Lista_CUIT[#All],4,0)),"CUIT NO CARGADO")</f>
        <v>0</v>
      </c>
    </row>
    <row r="46" spans="2:18" x14ac:dyDescent="0.3">
      <c r="B46" s="40">
        <v>45322</v>
      </c>
      <c r="C46" s="41">
        <v>1</v>
      </c>
      <c r="D46" s="42">
        <v>6</v>
      </c>
      <c r="E46" s="43">
        <v>13879</v>
      </c>
      <c r="F46" s="44">
        <v>30707756434</v>
      </c>
      <c r="G46" s="45" t="str">
        <f>IFERROR(IF(compras_mes10[[#This Row],[CUIT]]="","-",VLOOKUP(compras_mes10[[#This Row],[CUIT]],Lista_CUIT[#All],2,0)),"CUIT NO CARGADO")</f>
        <v>SERVICIO INTEGRAL DE LIMPIEZA SRL</v>
      </c>
      <c r="H46" s="46">
        <v>85500</v>
      </c>
      <c r="I46" s="85">
        <f>IF(compras_mes10[[#This Row],[NETO GRAVADO]]="","",compras_mes10[[#This Row],[NETO GRAVADO]]*0.21)</f>
        <v>17955</v>
      </c>
      <c r="J46" s="85"/>
      <c r="K46" s="85"/>
      <c r="L46" s="85"/>
      <c r="M46" s="85"/>
      <c r="N46" s="85"/>
      <c r="O46" s="85"/>
      <c r="P46" s="48">
        <f>SUM(compras_mes10[[#This Row],[NETO GRAVADO]:[Otros / No Grav.]])</f>
        <v>103455</v>
      </c>
      <c r="Q46" s="49" t="str">
        <f>IFERROR(IF(compras_mes10[[#This Row],[CUIT]]="","-",VLOOKUP(compras_mes10[[#This Row],[CUIT]],Lista_CUIT[#All],3,0)),"CUIT NO CARGADO")</f>
        <v>Mantenimiento</v>
      </c>
      <c r="R46" s="49">
        <f>IFERROR(IF(compras_mes10[[#This Row],[CUIT]]="","-",VLOOKUP(compras_mes10[[#This Row],[CUIT]],Lista_CUIT[#All],4,0)),"CUIT NO CARGADO")</f>
        <v>0</v>
      </c>
    </row>
    <row r="47" spans="2:18" x14ac:dyDescent="0.3">
      <c r="B47" s="40">
        <v>45309</v>
      </c>
      <c r="C47" s="41">
        <v>1</v>
      </c>
      <c r="D47" s="42">
        <v>1</v>
      </c>
      <c r="E47" s="43">
        <v>3863</v>
      </c>
      <c r="F47" s="44">
        <v>30716831198</v>
      </c>
      <c r="G47" s="45" t="str">
        <f>IFERROR(IF(compras_mes10[[#This Row],[CUIT]]="","-",VLOOKUP(compras_mes10[[#This Row],[CUIT]],Lista_CUIT[#All],2,0)),"CUIT NO CARGADO")</f>
        <v>PINTURERIAS YANINA SA</v>
      </c>
      <c r="H47" s="46">
        <v>37417.72</v>
      </c>
      <c r="I47" s="85">
        <f>IF(compras_mes10[[#This Row],[NETO GRAVADO]]="","",compras_mes10[[#This Row],[NETO GRAVADO]]*0.21)</f>
        <v>7857.7212</v>
      </c>
      <c r="J47" s="85"/>
      <c r="K47" s="85"/>
      <c r="L47" s="85"/>
      <c r="M47" s="85"/>
      <c r="N47" s="85"/>
      <c r="O47" s="85"/>
      <c r="P47" s="48">
        <f>SUM(compras_mes10[[#This Row],[NETO GRAVADO]:[Otros / No Grav.]])</f>
        <v>45275.441200000001</v>
      </c>
      <c r="Q47" s="49" t="s">
        <v>1428</v>
      </c>
      <c r="R47" s="49">
        <f>IFERROR(IF(compras_mes10[[#This Row],[CUIT]]="","-",VLOOKUP(compras_mes10[[#This Row],[CUIT]],Lista_CUIT[#All],4,0)),"CUIT NO CARGADO")</f>
        <v>0</v>
      </c>
    </row>
    <row r="48" spans="2:18" x14ac:dyDescent="0.3">
      <c r="B48" s="40">
        <v>45317</v>
      </c>
      <c r="C48" s="41">
        <v>1</v>
      </c>
      <c r="D48" s="42">
        <v>2</v>
      </c>
      <c r="E48" s="43">
        <v>931</v>
      </c>
      <c r="F48" s="44">
        <v>30500805222</v>
      </c>
      <c r="G48" s="45" t="str">
        <f>IFERROR(IF(compras_mes10[[#This Row],[CUIT]]="","-",VLOOKUP(compras_mes10[[#This Row],[CUIT]],Lista_CUIT[#All],2,0)),"CUIT NO CARGADO")</f>
        <v>KAVCIC SRL</v>
      </c>
      <c r="H48" s="46">
        <v>2253000</v>
      </c>
      <c r="I48" s="85">
        <f>IF(compras_mes10[[#This Row],[NETO GRAVADO]]="","",compras_mes10[[#This Row],[NETO GRAVADO]]*0.21)</f>
        <v>473130</v>
      </c>
      <c r="J48" s="85"/>
      <c r="K48" s="85"/>
      <c r="L48" s="85"/>
      <c r="M48" s="85"/>
      <c r="N48" s="85"/>
      <c r="O48" s="85"/>
      <c r="P48" s="48">
        <f>SUM(compras_mes10[[#This Row],[NETO GRAVADO]:[Otros / No Grav.]])</f>
        <v>2726130</v>
      </c>
      <c r="Q48" s="49" t="str">
        <f>IFERROR(IF(compras_mes10[[#This Row],[CUIT]]="","-",VLOOKUP(compras_mes10[[#This Row],[CUIT]],Lista_CUIT[#All],3,0)),"CUIT NO CARGADO")</f>
        <v>Mercaderia</v>
      </c>
      <c r="R48" s="49">
        <f>IFERROR(IF(compras_mes10[[#This Row],[CUIT]]="","-",VLOOKUP(compras_mes10[[#This Row],[CUIT]],Lista_CUIT[#All],4,0)),"CUIT NO CARGADO")</f>
        <v>0</v>
      </c>
    </row>
    <row r="49" spans="2:18" x14ac:dyDescent="0.3">
      <c r="B49" s="40">
        <v>45321</v>
      </c>
      <c r="C49" s="41">
        <v>1</v>
      </c>
      <c r="D49" s="42">
        <v>7</v>
      </c>
      <c r="E49" s="43">
        <v>9532</v>
      </c>
      <c r="F49" s="44">
        <v>27924079008</v>
      </c>
      <c r="G49" s="45" t="str">
        <f>IFERROR(IF(compras_mes10[[#This Row],[CUIT]]="","-",VLOOKUP(compras_mes10[[#This Row],[CUIT]],Lista_CUIT[#All],2,0)),"CUIT NO CARGADO")</f>
        <v>D'ALBENAS PEYRONEL SILVANA ELISABET</v>
      </c>
      <c r="H49" s="46">
        <v>542892.56000000006</v>
      </c>
      <c r="I49" s="85">
        <f>IF(compras_mes10[[#This Row],[NETO GRAVADO]]="","",compras_mes10[[#This Row],[NETO GRAVADO]]*0.21)</f>
        <v>114007.4376</v>
      </c>
      <c r="J49" s="85"/>
      <c r="K49" s="85"/>
      <c r="L49" s="85"/>
      <c r="M49" s="85"/>
      <c r="N49" s="85"/>
      <c r="O49" s="85"/>
      <c r="P49" s="48">
        <f>SUM(compras_mes10[[#This Row],[NETO GRAVADO]:[Otros / No Grav.]])</f>
        <v>656899.99760000012</v>
      </c>
      <c r="Q49" s="49" t="s">
        <v>1431</v>
      </c>
      <c r="R49" s="49">
        <f>IFERROR(IF(compras_mes10[[#This Row],[CUIT]]="","-",VLOOKUP(compras_mes10[[#This Row],[CUIT]],Lista_CUIT[#All],4,0)),"CUIT NO CARGADO")</f>
        <v>0</v>
      </c>
    </row>
    <row r="50" spans="2:18" x14ac:dyDescent="0.3">
      <c r="B50" s="275">
        <v>45302</v>
      </c>
      <c r="C50" s="208">
        <v>1</v>
      </c>
      <c r="D50" s="276">
        <v>2466</v>
      </c>
      <c r="E50" s="277">
        <v>601379</v>
      </c>
      <c r="F50" s="278">
        <v>30678814357</v>
      </c>
      <c r="G50" s="279" t="str">
        <f>IFERROR(IF(compras_mes10[[#This Row],[CUIT]]="","-",VLOOKUP(compras_mes10[[#This Row],[CUIT]],Lista_CUIT[#All],2,0)),"CUIT NO CARGADO")</f>
        <v>TELEFONICA MOVILES ARG</v>
      </c>
      <c r="H50" s="280">
        <v>8905</v>
      </c>
      <c r="I50" s="281"/>
      <c r="J50" s="281">
        <v>2404.35</v>
      </c>
      <c r="K50" s="281"/>
      <c r="L50" s="281">
        <v>267.14999999999998</v>
      </c>
      <c r="M50" s="281"/>
      <c r="N50" s="281"/>
      <c r="O50" s="281">
        <v>468.68</v>
      </c>
      <c r="P50" s="282">
        <f>SUM(compras_mes10[[#This Row],[NETO GRAVADO]:[Otros / No Grav.]])</f>
        <v>12045.18</v>
      </c>
      <c r="Q50" s="283" t="str">
        <f>IFERROR(IF(compras_mes10[[#This Row],[CUIT]]="","-",VLOOKUP(compras_mes10[[#This Row],[CUIT]],Lista_CUIT[#All],3,0)),"CUIT NO CARGADO")</f>
        <v>SERVICIOS</v>
      </c>
      <c r="R50" s="283">
        <f>IFERROR(IF(compras_mes10[[#This Row],[CUIT]]="","-",VLOOKUP(compras_mes10[[#This Row],[CUIT]],Lista_CUIT[#All],4,0)),"CUIT NO CARGADO")</f>
        <v>0</v>
      </c>
    </row>
    <row r="51" spans="2:18" x14ac:dyDescent="0.3">
      <c r="B51" s="40">
        <v>45292</v>
      </c>
      <c r="C51" s="41">
        <v>1</v>
      </c>
      <c r="D51" s="42">
        <v>3</v>
      </c>
      <c r="E51" s="43">
        <v>214413</v>
      </c>
      <c r="F51" s="44">
        <v>30707135596</v>
      </c>
      <c r="G51" s="45" t="str">
        <f>IFERROR(IF(compras_mes10[[#This Row],[CUIT]]="","-",VLOOKUP(compras_mes10[[#This Row],[CUIT]],Lista_CUIT[#All],2,0)),"CUIT NO CARGADO")</f>
        <v>CITILAN ARGENTINA S.A.</v>
      </c>
      <c r="H51" s="46">
        <v>10194.379999999999</v>
      </c>
      <c r="I51" s="85">
        <f>IF(compras_mes10[[#This Row],[NETO GRAVADO]]="","",compras_mes10[[#This Row],[NETO GRAVADO]]*0.21)</f>
        <v>2140.8197999999998</v>
      </c>
      <c r="J51" s="85"/>
      <c r="K51" s="85"/>
      <c r="L51" s="85"/>
      <c r="M51" s="85"/>
      <c r="N51" s="85"/>
      <c r="O51" s="85"/>
      <c r="P51" s="48">
        <f>SUM(compras_mes10[[#This Row],[NETO GRAVADO]:[Otros / No Grav.]])</f>
        <v>12335.199799999999</v>
      </c>
      <c r="Q51" s="49" t="str">
        <f>IFERROR(IF(compras_mes10[[#This Row],[CUIT]]="","-",VLOOKUP(compras_mes10[[#This Row],[CUIT]],Lista_CUIT[#All],3,0)),"CUIT NO CARGADO")</f>
        <v>Servicios Gas, Luz, Etc</v>
      </c>
      <c r="R51" s="49">
        <f>IFERROR(IF(compras_mes10[[#This Row],[CUIT]]="","-",VLOOKUP(compras_mes10[[#This Row],[CUIT]],Lista_CUIT[#All],4,0)),"CUIT NO CARGADO")</f>
        <v>0</v>
      </c>
    </row>
    <row r="52" spans="2:18" x14ac:dyDescent="0.3">
      <c r="B52" s="96" t="s">
        <v>110</v>
      </c>
      <c r="C52" s="96"/>
      <c r="D52" s="96"/>
      <c r="E52" s="96"/>
      <c r="F52" s="96"/>
      <c r="G52" s="97"/>
      <c r="H52" s="98">
        <f>SUBTOTAL(109,compras_mes10[NETO GRAVADO])</f>
        <v>5234954.3250000002</v>
      </c>
      <c r="I52" s="98">
        <f>SUBTOTAL(109,compras_mes10[IVA 21 %])</f>
        <v>1075869.2384499998</v>
      </c>
      <c r="J52" s="98">
        <f>SUBTOTAL(109,compras_mes10[IVA 27%])</f>
        <v>2404.35</v>
      </c>
      <c r="K52" s="98">
        <f>SUBTOTAL(109,compras_mes10[IVA 10,5%])</f>
        <v>10800.55</v>
      </c>
      <c r="L52" s="98">
        <f>SUBTOTAL(109,compras_mes10[PERC. IVA])</f>
        <v>267.14999999999998</v>
      </c>
      <c r="M52" s="98">
        <f>SUBTOTAL(109,compras_mes10[PERC IIBB 
BS AS])</f>
        <v>0</v>
      </c>
      <c r="N52" s="98">
        <f>SUBTOTAL(109,compras_mes10[PERC. IIBB CABA])</f>
        <v>0</v>
      </c>
      <c r="O52" s="98">
        <f>SUBTOTAL(109,compras_mes10[Otros / No Grav.])</f>
        <v>1371546.6925000001</v>
      </c>
      <c r="P52" s="98">
        <f>SUBTOTAL(109,compras_mes10[TOTAL])</f>
        <v>7695842.305949999</v>
      </c>
      <c r="Q52" s="96"/>
      <c r="R52" s="96"/>
    </row>
    <row r="53" spans="2:18" x14ac:dyDescent="0.3">
      <c r="B53" s="40"/>
      <c r="C53" s="41"/>
      <c r="D53" s="42"/>
      <c r="E53" s="43"/>
      <c r="F53" s="44"/>
      <c r="G53" s="45"/>
      <c r="H53" s="46"/>
      <c r="I53" s="47"/>
      <c r="J53" s="47"/>
      <c r="K53" s="47"/>
      <c r="L53" s="47"/>
      <c r="M53" s="47"/>
      <c r="N53" s="47"/>
      <c r="O53" s="47"/>
      <c r="P53" s="48"/>
      <c r="Q53" s="49"/>
      <c r="R53" s="49"/>
    </row>
    <row r="54" spans="2:18" x14ac:dyDescent="0.3">
      <c r="B54" s="40"/>
      <c r="C54" s="41"/>
      <c r="D54" s="42"/>
      <c r="E54" s="43"/>
      <c r="F54" s="44"/>
      <c r="G54" s="45"/>
      <c r="H54" s="46"/>
      <c r="I54" s="47"/>
      <c r="J54" s="47"/>
      <c r="K54" s="47"/>
      <c r="L54" s="47"/>
      <c r="M54" s="47"/>
      <c r="N54" s="47"/>
      <c r="O54" s="47"/>
      <c r="P54" s="48"/>
      <c r="Q54" s="49"/>
      <c r="R54" s="49"/>
    </row>
    <row r="55" spans="2:18" ht="14.4" customHeight="1" x14ac:dyDescent="0.3">
      <c r="B55" s="40"/>
      <c r="C55" s="41"/>
      <c r="D55" s="42"/>
      <c r="E55" s="43"/>
      <c r="F55" s="44"/>
      <c r="G55" s="45"/>
      <c r="H55" s="46"/>
      <c r="I55" s="47"/>
      <c r="J55" s="47"/>
      <c r="K55" s="47"/>
      <c r="L55" s="47"/>
      <c r="M55" s="47"/>
      <c r="N55" s="47"/>
      <c r="O55" s="47"/>
      <c r="P55" s="48"/>
      <c r="Q55" s="49"/>
      <c r="R55" s="49"/>
    </row>
    <row r="56" spans="2:18" ht="22.95" customHeight="1" x14ac:dyDescent="0.3">
      <c r="B56" s="40"/>
      <c r="C56" s="41"/>
      <c r="D56" s="42"/>
      <c r="E56" s="43"/>
      <c r="F56" s="44"/>
      <c r="G56" s="45"/>
      <c r="H56" s="46"/>
      <c r="I56" s="47"/>
      <c r="J56" s="47"/>
      <c r="K56" s="47"/>
      <c r="L56" s="47"/>
    </row>
    <row r="57" spans="2:18" ht="25.95" customHeight="1" x14ac:dyDescent="0.3">
      <c r="D57" s="414" t="s">
        <v>15</v>
      </c>
      <c r="E57" s="414"/>
      <c r="F57" s="414"/>
      <c r="G57" s="414"/>
      <c r="H57" s="414"/>
      <c r="I57" s="414"/>
      <c r="J57" s="414"/>
      <c r="K57" s="414"/>
      <c r="L57" s="414"/>
    </row>
    <row r="58" spans="2:18" ht="14.4" customHeight="1" x14ac:dyDescent="0.3">
      <c r="D58" s="73" t="s">
        <v>0</v>
      </c>
      <c r="E58" s="74" t="s">
        <v>26</v>
      </c>
      <c r="F58" s="74" t="s">
        <v>16</v>
      </c>
      <c r="G58" s="74" t="s">
        <v>5</v>
      </c>
      <c r="H58" s="74" t="s">
        <v>17</v>
      </c>
      <c r="I58" s="74" t="s">
        <v>7</v>
      </c>
      <c r="J58" s="75" t="s">
        <v>18</v>
      </c>
      <c r="K58" s="75" t="s">
        <v>19</v>
      </c>
      <c r="L58" s="76" t="s">
        <v>20</v>
      </c>
    </row>
    <row r="59" spans="2:18" ht="14.4" customHeight="1" x14ac:dyDescent="0.3">
      <c r="D59" s="50">
        <v>45322</v>
      </c>
      <c r="E59" s="80">
        <v>31012024</v>
      </c>
      <c r="F59" s="80" t="s">
        <v>1300</v>
      </c>
      <c r="G59" s="81">
        <f t="shared" ref="G59" si="0">900+150+150+150+175+19250+150+150</f>
        <v>21075</v>
      </c>
      <c r="H59" s="81">
        <f>extracto_banco_mes10[[#This Row],[NETO]]*0.21</f>
        <v>4425.75</v>
      </c>
      <c r="I59" s="81"/>
      <c r="J59" s="81"/>
      <c r="K59" s="81">
        <v>129</v>
      </c>
      <c r="L59" s="81"/>
    </row>
    <row r="60" spans="2:18" ht="15" customHeight="1" x14ac:dyDescent="0.3">
      <c r="D60" s="50">
        <v>45296</v>
      </c>
      <c r="E60" s="80">
        <v>1058920</v>
      </c>
      <c r="F60" s="80" t="s">
        <v>1346</v>
      </c>
      <c r="G60" s="81">
        <v>20305</v>
      </c>
      <c r="H60" s="81">
        <f>extracto_banco_mes10[[#This Row],[NETO]]*0.21</f>
        <v>4264.05</v>
      </c>
      <c r="I60" s="81"/>
      <c r="J60" s="81"/>
      <c r="K60" s="81">
        <v>609.15</v>
      </c>
      <c r="L60" s="81"/>
    </row>
    <row r="61" spans="2:18" ht="15" customHeight="1" x14ac:dyDescent="0.3">
      <c r="D61" s="50"/>
      <c r="E61" s="79"/>
      <c r="F61" s="80" t="s">
        <v>1332</v>
      </c>
      <c r="G61" s="81"/>
      <c r="H61" s="81">
        <f>extracto_banco_mes10[[#This Row],[NETO]]*0.21</f>
        <v>0</v>
      </c>
      <c r="I61" s="81"/>
      <c r="J61" s="81"/>
      <c r="K61" s="81"/>
      <c r="L61" s="81"/>
    </row>
    <row r="62" spans="2:18" ht="15" customHeight="1" x14ac:dyDescent="0.3">
      <c r="D62" s="82" t="s">
        <v>110</v>
      </c>
      <c r="E62" s="80"/>
      <c r="F62" s="80"/>
      <c r="G62" s="83">
        <f>SUBTOTAL(109,extracto_banco_mes10[NETO])</f>
        <v>41380</v>
      </c>
      <c r="H62" s="83">
        <f>SUBTOTAL(109,extracto_banco_mes10[IVA 21%])</f>
        <v>8689.7999999999993</v>
      </c>
      <c r="I62" s="83">
        <f>SUBTOTAL(109,extracto_banco_mes10[IVA 10,5%])</f>
        <v>0</v>
      </c>
      <c r="J62" s="83">
        <f>SUBTOTAL(109,extracto_banco_mes10[RET IIBB CABA])</f>
        <v>0</v>
      </c>
      <c r="K62" s="83">
        <f>SUBTOTAL(109,extracto_banco_mes10[PERC IVA])</f>
        <v>738.15</v>
      </c>
      <c r="L62" s="83">
        <f>SUBTOTAL(109,extracto_banco_mes10[PERC IIBB])</f>
        <v>0</v>
      </c>
    </row>
    <row r="63" spans="2:18" ht="15" customHeight="1" x14ac:dyDescent="0.3"/>
    <row r="64" spans="2:18" ht="15" customHeight="1" x14ac:dyDescent="0.3"/>
    <row r="65" spans="4:11" ht="23.4" customHeight="1" x14ac:dyDescent="0.3"/>
    <row r="66" spans="4:11" ht="38.4" customHeight="1" x14ac:dyDescent="0.3">
      <c r="D66" s="414" t="s">
        <v>25</v>
      </c>
      <c r="E66" s="414"/>
      <c r="F66" s="414"/>
      <c r="G66" s="414"/>
      <c r="H66" s="414"/>
      <c r="I66" s="414"/>
      <c r="J66" s="414"/>
      <c r="K66" s="414"/>
    </row>
    <row r="67" spans="4:11" x14ac:dyDescent="0.3">
      <c r="D67" s="51" t="s">
        <v>0</v>
      </c>
      <c r="E67" s="51" t="s">
        <v>2</v>
      </c>
      <c r="F67" s="51" t="s">
        <v>74</v>
      </c>
      <c r="G67" s="51" t="s">
        <v>3</v>
      </c>
      <c r="H67" s="51" t="s">
        <v>4</v>
      </c>
      <c r="I67" s="52" t="s">
        <v>10</v>
      </c>
      <c r="J67" s="51" t="s">
        <v>13</v>
      </c>
      <c r="K67" s="51" t="s">
        <v>38</v>
      </c>
    </row>
    <row r="68" spans="4:11" x14ac:dyDescent="0.3">
      <c r="D68" s="50">
        <v>45293</v>
      </c>
      <c r="E68" s="42">
        <v>3</v>
      </c>
      <c r="F68" s="43">
        <v>812</v>
      </c>
      <c r="G68" s="44">
        <v>20086277523</v>
      </c>
      <c r="H68" s="53" t="str">
        <f>IFERROR(IF(factura_c_mes10[[#This Row],[CUIT]]="","-",VLOOKUP(factura_c_mes10[[#This Row],[CUIT]],Lista_CUIT[#All],2,0)),"CUIT NO CARGADO")</f>
        <v>ESTUDIO BOTINDARI</v>
      </c>
      <c r="I68" s="81">
        <v>118500</v>
      </c>
      <c r="J68" s="54" t="str">
        <f>IFERROR(IF(factura_c_mes10[[#This Row],[CUIT]]="","-",VLOOKUP(factura_c_mes10[[#This Row],[CUIT]],Lista_CUIT[#All],3,0)),"CUIT NO CARGADO")</f>
        <v>HONORARIOS</v>
      </c>
      <c r="K68" s="54">
        <f>IFERROR(IF(factura_c_mes10[[#This Row],[CUIT]]="","-",VLOOKUP(factura_c_mes10[[#This Row],[CUIT]],Lista_CUIT[#All],4,0)),"CUIT NO CARGADO")</f>
        <v>0</v>
      </c>
    </row>
    <row r="69" spans="4:11" x14ac:dyDescent="0.3">
      <c r="D69" s="50">
        <v>45293</v>
      </c>
      <c r="E69" s="42">
        <v>1</v>
      </c>
      <c r="F69" s="43">
        <v>20</v>
      </c>
      <c r="G69" s="44">
        <v>27387896150</v>
      </c>
      <c r="H69" s="53" t="str">
        <f>IFERROR(IF(factura_c_mes10[[#This Row],[CUIT]]="","-",VLOOKUP(factura_c_mes10[[#This Row],[CUIT]],Lista_CUIT[#All],2,0)),"CUIT NO CARGADO")</f>
        <v>LIPANOVICH MARIA SOL</v>
      </c>
      <c r="I69" s="81">
        <v>650000</v>
      </c>
      <c r="J69" s="54" t="str">
        <f>IFERROR(IF(factura_c_mes10[[#This Row],[CUIT]]="","-",VLOOKUP(factura_c_mes10[[#This Row],[CUIT]],Lista_CUIT[#All],3,0)),"CUIT NO CARGADO")</f>
        <v>consultoria informatica</v>
      </c>
      <c r="K69" s="54">
        <f>IFERROR(IF(factura_c_mes10[[#This Row],[CUIT]]="","-",VLOOKUP(factura_c_mes10[[#This Row],[CUIT]],Lista_CUIT[#All],4,0)),"CUIT NO CARGADO")</f>
        <v>0</v>
      </c>
    </row>
    <row r="70" spans="4:11" x14ac:dyDescent="0.3">
      <c r="D70" s="50">
        <v>45300</v>
      </c>
      <c r="E70" s="42">
        <v>4</v>
      </c>
      <c r="F70" s="43">
        <v>21</v>
      </c>
      <c r="G70" s="44">
        <v>20341462933</v>
      </c>
      <c r="H70" s="53" t="str">
        <f>IFERROR(IF(factura_c_mes10[[#This Row],[CUIT]]="","-",VLOOKUP(factura_c_mes10[[#This Row],[CUIT]],Lista_CUIT[#All],2,0)),"CUIT NO CARGADO")</f>
        <v>CASTIGLIONI MATIAS EZEQUIEL</v>
      </c>
      <c r="I70" s="81">
        <v>345000</v>
      </c>
      <c r="J70" s="54" t="str">
        <f>IFERROR(IF(factura_c_mes10[[#This Row],[CUIT]]="","-",VLOOKUP(factura_c_mes10[[#This Row],[CUIT]],Lista_CUIT[#All],3,0)),"CUIT NO CARGADO")</f>
        <v>ASESORAMIENTO</v>
      </c>
      <c r="K70" s="54" t="str">
        <f>IFERROR(IF(factura_c_mes10[[#This Row],[CUIT]]="","-",VLOOKUP(factura_c_mes10[[#This Row],[CUIT]],Lista_CUIT[#All],4,0)),"CUIT NO CARGADO")</f>
        <v>BUENOS AIRES</v>
      </c>
    </row>
    <row r="71" spans="4:11" x14ac:dyDescent="0.3">
      <c r="D71" s="50">
        <v>45302</v>
      </c>
      <c r="E71" s="42">
        <v>2</v>
      </c>
      <c r="F71" s="43">
        <v>709</v>
      </c>
      <c r="G71" s="44">
        <v>20400104094</v>
      </c>
      <c r="H71" s="53" t="str">
        <f>IFERROR(IF(factura_c_mes10[[#This Row],[CUIT]]="","-",VLOOKUP(factura_c_mes10[[#This Row],[CUIT]],Lista_CUIT[#All],2,0)),"CUIT NO CARGADO")</f>
        <v>FEDERICO BOTINDARI</v>
      </c>
      <c r="I71" s="81">
        <v>28700</v>
      </c>
      <c r="J71" s="54" t="str">
        <f>IFERROR(IF(factura_c_mes10[[#This Row],[CUIT]]="","-",VLOOKUP(factura_c_mes10[[#This Row],[CUIT]],Lista_CUIT[#All],3,0)),"CUIT NO CARGADO")</f>
        <v>HONORARIOS</v>
      </c>
      <c r="K71" s="54">
        <f>IFERROR(IF(factura_c_mes10[[#This Row],[CUIT]]="","-",VLOOKUP(factura_c_mes10[[#This Row],[CUIT]],Lista_CUIT[#All],4,0)),"CUIT NO CARGADO")</f>
        <v>0</v>
      </c>
    </row>
    <row r="72" spans="4:11" x14ac:dyDescent="0.3">
      <c r="D72" s="50">
        <v>45313</v>
      </c>
      <c r="E72" s="42">
        <v>2</v>
      </c>
      <c r="F72" s="43">
        <v>165</v>
      </c>
      <c r="G72" s="44">
        <v>20136544625</v>
      </c>
      <c r="H72" s="53" t="str">
        <f>IFERROR(IF(factura_c_mes10[[#This Row],[CUIT]]="","-",VLOOKUP(factura_c_mes10[[#This Row],[CUIT]],Lista_CUIT[#All],2,0)),"CUIT NO CARGADO")</f>
        <v>RODRIGUEZ DE LA FUEN HECTOR MARCELO</v>
      </c>
      <c r="I72" s="81">
        <v>650000</v>
      </c>
      <c r="J72" s="54" t="str">
        <f>IFERROR(IF(factura_c_mes10[[#This Row],[CUIT]]="","-",VLOOKUP(factura_c_mes10[[#This Row],[CUIT]],Lista_CUIT[#All],3,0)),"CUIT NO CARGADO")</f>
        <v>Hon. Admin.</v>
      </c>
      <c r="K72" s="54">
        <f>IFERROR(IF(factura_c_mes10[[#This Row],[CUIT]]="","-",VLOOKUP(factura_c_mes10[[#This Row],[CUIT]],Lista_CUIT[#All],4,0)),"CUIT NO CARGADO")</f>
        <v>0</v>
      </c>
    </row>
    <row r="73" spans="4:11" x14ac:dyDescent="0.3">
      <c r="D73" s="305">
        <v>45314</v>
      </c>
      <c r="E73" s="276">
        <v>11</v>
      </c>
      <c r="F73" s="277">
        <v>73969</v>
      </c>
      <c r="G73" s="278">
        <v>30714867322</v>
      </c>
      <c r="H73" s="354" t="str">
        <f>IFERROR(IF(factura_c_mes10[[#This Row],[CUIT]]="","-",VLOOKUP(factura_c_mes10[[#This Row],[CUIT]],Lista_CUIT[#All],2,0)),"CUIT NO CARGADO")</f>
        <v>INITIUM SRL</v>
      </c>
      <c r="I73" s="355">
        <v>34999</v>
      </c>
      <c r="J73" s="356">
        <f>IFERROR(IF(factura_c_mes10[[#This Row],[CUIT]]="","-",VLOOKUP(factura_c_mes10[[#This Row],[CUIT]],Lista_CUIT[#All],3,0)),"CUIT NO CARGADO")</f>
        <v>0</v>
      </c>
      <c r="K73" s="356">
        <f>IFERROR(IF(factura_c_mes10[[#This Row],[CUIT]]="","-",VLOOKUP(factura_c_mes10[[#This Row],[CUIT]],Lista_CUIT[#All],4,0)),"CUIT NO CARGADO")</f>
        <v>0</v>
      </c>
    </row>
    <row r="74" spans="4:11" x14ac:dyDescent="0.3">
      <c r="D74" s="50">
        <v>45315</v>
      </c>
      <c r="E74" s="42">
        <v>4</v>
      </c>
      <c r="F74" s="43">
        <v>58</v>
      </c>
      <c r="G74" s="44">
        <v>23214737914</v>
      </c>
      <c r="H74" s="53" t="str">
        <f>IFERROR(IF(factura_c_mes10[[#This Row],[CUIT]]="","-",VLOOKUP(factura_c_mes10[[#This Row],[CUIT]],Lista_CUIT[#All],2,0)),"CUIT NO CARGADO")</f>
        <v>SBARRA GABRIELA BEATRIZ</v>
      </c>
      <c r="I74" s="81">
        <v>747820</v>
      </c>
      <c r="J74" s="54">
        <f>IFERROR(IF(factura_c_mes10[[#This Row],[CUIT]]="","-",VLOOKUP(factura_c_mes10[[#This Row],[CUIT]],Lista_CUIT[#All],3,0)),"CUIT NO CARGADO")</f>
        <v>0</v>
      </c>
      <c r="K74" s="54">
        <f>IFERROR(IF(factura_c_mes10[[#This Row],[CUIT]]="","-",VLOOKUP(factura_c_mes10[[#This Row],[CUIT]],Lista_CUIT[#All],4,0)),"CUIT NO CARGADO")</f>
        <v>0</v>
      </c>
    </row>
    <row r="75" spans="4:11" x14ac:dyDescent="0.3">
      <c r="D75" s="305">
        <v>45315</v>
      </c>
      <c r="E75" s="276">
        <v>1</v>
      </c>
      <c r="F75" s="277">
        <v>909</v>
      </c>
      <c r="G75" s="278">
        <v>20279429347</v>
      </c>
      <c r="H75" s="354" t="str">
        <f>IFERROR(IF(factura_c_mes10[[#This Row],[CUIT]]="","-",VLOOKUP(factura_c_mes10[[#This Row],[CUIT]],Lista_CUIT[#All],2,0)),"CUIT NO CARGADO")</f>
        <v>GIMENEZ DAMIAN ANGEL</v>
      </c>
      <c r="I75" s="355">
        <v>22900</v>
      </c>
      <c r="J75" s="356">
        <f>IFERROR(IF(factura_c_mes10[[#This Row],[CUIT]]="","-",VLOOKUP(factura_c_mes10[[#This Row],[CUIT]],Lista_CUIT[#All],3,0)),"CUIT NO CARGADO")</f>
        <v>0</v>
      </c>
      <c r="K75" s="356">
        <f>IFERROR(IF(factura_c_mes10[[#This Row],[CUIT]]="","-",VLOOKUP(factura_c_mes10[[#This Row],[CUIT]],Lista_CUIT[#All],4,0)),"CUIT NO CARGADO")</f>
        <v>0</v>
      </c>
    </row>
    <row r="76" spans="4:11" x14ac:dyDescent="0.3">
      <c r="D76" s="50">
        <v>45316</v>
      </c>
      <c r="E76" s="42">
        <v>1</v>
      </c>
      <c r="F76" s="43">
        <v>266</v>
      </c>
      <c r="G76" s="44">
        <v>27925308884</v>
      </c>
      <c r="H76" s="53" t="str">
        <f>IFERROR(IF(factura_c_mes10[[#This Row],[CUIT]]="","-",VLOOKUP(factura_c_mes10[[#This Row],[CUIT]],Lista_CUIT[#All],2,0)),"CUIT NO CARGADO")</f>
        <v>LOPEZ LOPEZ FLAVIA</v>
      </c>
      <c r="I76" s="81">
        <v>19000</v>
      </c>
      <c r="J76" s="54">
        <f>IFERROR(IF(factura_c_mes10[[#This Row],[CUIT]]="","-",VLOOKUP(factura_c_mes10[[#This Row],[CUIT]],Lista_CUIT[#All],3,0)),"CUIT NO CARGADO")</f>
        <v>0</v>
      </c>
      <c r="K76" s="54">
        <f>IFERROR(IF(factura_c_mes10[[#This Row],[CUIT]]="","-",VLOOKUP(factura_c_mes10[[#This Row],[CUIT]],Lista_CUIT[#All],4,0)),"CUIT NO CARGADO")</f>
        <v>0</v>
      </c>
    </row>
    <row r="77" spans="4:11" x14ac:dyDescent="0.3">
      <c r="D77" s="305">
        <v>45316</v>
      </c>
      <c r="E77" s="276">
        <v>2</v>
      </c>
      <c r="F77" s="277">
        <v>121</v>
      </c>
      <c r="G77" s="278">
        <v>27125997835</v>
      </c>
      <c r="H77" s="354" t="str">
        <f>IFERROR(IF(factura_c_mes10[[#This Row],[CUIT]]="","-",VLOOKUP(factura_c_mes10[[#This Row],[CUIT]],Lista_CUIT[#All],2,0)),"CUIT NO CARGADO")</f>
        <v>DANSKY ULLMANN VIVIANA EVA YOLANDA</v>
      </c>
      <c r="I77" s="355">
        <v>50000</v>
      </c>
      <c r="J77" s="356">
        <f>IFERROR(IF(factura_c_mes10[[#This Row],[CUIT]]="","-",VLOOKUP(factura_c_mes10[[#This Row],[CUIT]],Lista_CUIT[#All],3,0)),"CUIT NO CARGADO")</f>
        <v>0</v>
      </c>
      <c r="K77" s="356">
        <f>IFERROR(IF(factura_c_mes10[[#This Row],[CUIT]]="","-",VLOOKUP(factura_c_mes10[[#This Row],[CUIT]],Lista_CUIT[#All],4,0)),"CUIT NO CARGADO")</f>
        <v>0</v>
      </c>
    </row>
    <row r="78" spans="4:11" x14ac:dyDescent="0.3">
      <c r="D78" s="50">
        <v>45322</v>
      </c>
      <c r="E78" s="42">
        <v>1</v>
      </c>
      <c r="F78" s="43">
        <v>33</v>
      </c>
      <c r="G78" s="44">
        <v>20365938688</v>
      </c>
      <c r="H78" s="53" t="str">
        <f>IFERROR(IF(factura_c_mes10[[#This Row],[CUIT]]="","-",VLOOKUP(factura_c_mes10[[#This Row],[CUIT]],Lista_CUIT[#All],2,0)),"CUIT NO CARGADO")</f>
        <v>LIPANOVICH JUAN CRUZ</v>
      </c>
      <c r="I78" s="81">
        <v>750000</v>
      </c>
      <c r="J78" s="54" t="str">
        <f>IFERROR(IF(factura_c_mes10[[#This Row],[CUIT]]="","-",VLOOKUP(factura_c_mes10[[#This Row],[CUIT]],Lista_CUIT[#All],3,0)),"CUIT NO CARGADO")</f>
        <v>SOFTWARE</v>
      </c>
      <c r="K78" s="54">
        <f>IFERROR(IF(factura_c_mes10[[#This Row],[CUIT]]="","-",VLOOKUP(factura_c_mes10[[#This Row],[CUIT]],Lista_CUIT[#All],4,0)),"CUIT NO CARGADO")</f>
        <v>0</v>
      </c>
    </row>
    <row r="79" spans="4:11" x14ac:dyDescent="0.3">
      <c r="D79" s="50">
        <v>45322</v>
      </c>
      <c r="E79" s="42">
        <v>1</v>
      </c>
      <c r="F79" s="43">
        <v>21</v>
      </c>
      <c r="G79" s="44">
        <v>27387896150</v>
      </c>
      <c r="H79" s="53" t="str">
        <f>IFERROR(IF(factura_c_mes10[[#This Row],[CUIT]]="","-",VLOOKUP(factura_c_mes10[[#This Row],[CUIT]],Lista_CUIT[#All],2,0)),"CUIT NO CARGADO")</f>
        <v>LIPANOVICH MARIA SOL</v>
      </c>
      <c r="I79" s="81">
        <v>750000</v>
      </c>
      <c r="J79" s="54" t="str">
        <f>IFERROR(IF(factura_c_mes10[[#This Row],[CUIT]]="","-",VLOOKUP(factura_c_mes10[[#This Row],[CUIT]],Lista_CUIT[#All],3,0)),"CUIT NO CARGADO")</f>
        <v>consultoria informatica</v>
      </c>
      <c r="K79" s="54">
        <f>IFERROR(IF(factura_c_mes10[[#This Row],[CUIT]]="","-",VLOOKUP(factura_c_mes10[[#This Row],[CUIT]],Lista_CUIT[#All],4,0)),"CUIT NO CARGADO")</f>
        <v>0</v>
      </c>
    </row>
    <row r="80" spans="4:11" x14ac:dyDescent="0.3">
      <c r="D80" s="50"/>
      <c r="E80" s="42"/>
      <c r="F80" s="43"/>
      <c r="G80" s="44"/>
      <c r="H80" s="53" t="str">
        <f>IFERROR(IF(factura_c_mes10[[#This Row],[CUIT]]="","-",VLOOKUP(factura_c_mes10[[#This Row],[CUIT]],Lista_CUIT[#All],2,0)),"CUIT NO CARGADO")</f>
        <v>-</v>
      </c>
      <c r="I80" s="81"/>
      <c r="J80" s="54" t="str">
        <f>IFERROR(IF(factura_c_mes10[[#This Row],[CUIT]]="","-",VLOOKUP(factura_c_mes10[[#This Row],[CUIT]],Lista_CUIT[#All],3,0)),"CUIT NO CARGADO")</f>
        <v>-</v>
      </c>
      <c r="K80" s="54" t="str">
        <f>IFERROR(IF(factura_c_mes10[[#This Row],[CUIT]]="","-",VLOOKUP(factura_c_mes10[[#This Row],[CUIT]],Lista_CUIT[#All],4,0)),"CUIT NO CARGADO")</f>
        <v>-</v>
      </c>
    </row>
    <row r="81" spans="2:18" s="56" customFormat="1" ht="18.600000000000001" customHeight="1" x14ac:dyDescent="0.3">
      <c r="B81"/>
      <c r="C81"/>
      <c r="D81" s="55" t="s">
        <v>110</v>
      </c>
      <c r="E81" s="55"/>
      <c r="F81" s="55"/>
      <c r="G81" s="55"/>
      <c r="H81" s="57"/>
      <c r="I81" s="58">
        <f>SUBTOTAL(109,factura_c_mes10[TOTAL])</f>
        <v>4166919</v>
      </c>
      <c r="J81" s="55"/>
      <c r="K81" s="55"/>
      <c r="L81"/>
      <c r="M81"/>
      <c r="N81"/>
      <c r="O81"/>
      <c r="P81"/>
      <c r="Q81"/>
      <c r="R81"/>
    </row>
    <row r="82" spans="2:18" x14ac:dyDescent="0.3">
      <c r="B82" s="56"/>
      <c r="C82" s="56"/>
      <c r="L82" s="56"/>
      <c r="M82" s="56"/>
      <c r="N82" s="56"/>
      <c r="O82" s="56"/>
      <c r="P82" s="56"/>
      <c r="Q82" s="56"/>
      <c r="R82" s="56"/>
    </row>
    <row r="87" spans="2:18" ht="25.8" x14ac:dyDescent="0.3">
      <c r="B87" s="430" t="s">
        <v>29</v>
      </c>
      <c r="C87" s="430"/>
      <c r="D87" s="430"/>
      <c r="E87" s="430"/>
      <c r="F87" s="430"/>
      <c r="G87" s="430"/>
      <c r="H87" s="430"/>
      <c r="I87" s="430"/>
      <c r="J87" s="430"/>
      <c r="K87" s="426">
        <f>N1</f>
        <v>45292</v>
      </c>
      <c r="L87" s="426"/>
      <c r="M87" s="426"/>
    </row>
    <row r="88" spans="2:18" ht="22.5" customHeight="1" x14ac:dyDescent="0.3"/>
    <row r="89" spans="2:18" ht="21" x14ac:dyDescent="0.3">
      <c r="B89" s="422" t="s">
        <v>30</v>
      </c>
      <c r="C89" s="422"/>
    </row>
    <row r="90" spans="2:18" ht="18" customHeight="1" x14ac:dyDescent="0.3">
      <c r="B90" s="60" t="s">
        <v>0</v>
      </c>
      <c r="C90" s="61" t="s">
        <v>1</v>
      </c>
      <c r="D90" s="61" t="s">
        <v>21</v>
      </c>
      <c r="E90" s="61" t="s">
        <v>22</v>
      </c>
      <c r="F90" s="61" t="s">
        <v>3</v>
      </c>
      <c r="G90" s="61" t="s">
        <v>4</v>
      </c>
      <c r="H90" s="61" t="s">
        <v>23</v>
      </c>
      <c r="I90" s="61" t="s">
        <v>17</v>
      </c>
      <c r="J90" s="61" t="s">
        <v>7</v>
      </c>
      <c r="K90" s="61" t="s">
        <v>24</v>
      </c>
      <c r="L90" s="61" t="s">
        <v>10</v>
      </c>
      <c r="M90" s="62" t="s">
        <v>38</v>
      </c>
    </row>
    <row r="91" spans="2:18" x14ac:dyDescent="0.3">
      <c r="B91" s="40">
        <v>45316</v>
      </c>
      <c r="C91" s="41">
        <v>1</v>
      </c>
      <c r="D91" s="42">
        <v>3</v>
      </c>
      <c r="E91" s="43">
        <v>173</v>
      </c>
      <c r="F91" s="44">
        <v>30638318470</v>
      </c>
      <c r="G91" s="99" t="str">
        <f>IFERROR(IF(venta_a_mes10[[#This Row],[CUIT]]="","-",VLOOKUP(venta_a_mes10[[#This Row],[CUIT]],Lista_CUIT[#All],2,0)),"CUIT NO CARGADO")</f>
        <v>DELTA COMPRESION S R L</v>
      </c>
      <c r="H91" s="100">
        <v>2689767.4875000003</v>
      </c>
      <c r="I91" s="101">
        <f>35.82*842.25</f>
        <v>30169.395</v>
      </c>
      <c r="J91" s="65">
        <f>317.41*842.25</f>
        <v>267338.57250000001</v>
      </c>
      <c r="K91" s="65"/>
      <c r="L91" s="65">
        <f>SUM(venta_a_mes10[[#This Row],[IMPORTE NETO]:[EXENTO]])</f>
        <v>2987275.4550000001</v>
      </c>
      <c r="M91" s="59"/>
    </row>
    <row r="92" spans="2:18" x14ac:dyDescent="0.3">
      <c r="B92" s="40"/>
      <c r="C92" s="41"/>
      <c r="D92" s="42"/>
      <c r="E92" s="43"/>
      <c r="F92" s="44"/>
      <c r="G92" s="99" t="str">
        <f>IFERROR(IF(venta_a_mes10[[#This Row],[CUIT]]="","-",VLOOKUP(venta_a_mes10[[#This Row],[CUIT]],Lista_CUIT[#All],2,0)),"CUIT NO CARGADO")</f>
        <v>-</v>
      </c>
      <c r="H92" s="100"/>
      <c r="I92" s="101">
        <f>venta_a_mes10[[#This Row],[IMPORTE NETO]]*0.21</f>
        <v>0</v>
      </c>
      <c r="J92" s="65"/>
      <c r="K92" s="65"/>
      <c r="L92" s="65">
        <f>SUM(venta_a_mes10[[#This Row],[IMPORTE NETO]:[EXENTO]])</f>
        <v>0</v>
      </c>
      <c r="M92" s="59"/>
    </row>
    <row r="93" spans="2:18" x14ac:dyDescent="0.3">
      <c r="B93" s="40"/>
      <c r="C93" s="41"/>
      <c r="D93" s="42"/>
      <c r="E93" s="43"/>
      <c r="F93" s="44"/>
      <c r="G93" s="99" t="str">
        <f>IFERROR(IF(venta_a_mes10[[#This Row],[CUIT]]="","-",VLOOKUP(venta_a_mes10[[#This Row],[CUIT]],Lista_CUIT[#All],2,0)),"CUIT NO CARGADO")</f>
        <v>-</v>
      </c>
      <c r="H93" s="100"/>
      <c r="I93" s="101">
        <f>venta_a_mes10[[#This Row],[IMPORTE NETO]]*0.21</f>
        <v>0</v>
      </c>
      <c r="J93" s="65"/>
      <c r="K93" s="65"/>
      <c r="L93" s="65">
        <f>SUM(venta_a_mes10[[#This Row],[IMPORTE NETO]:[EXENTO]])</f>
        <v>0</v>
      </c>
      <c r="M93" s="59"/>
    </row>
    <row r="94" spans="2:18" x14ac:dyDescent="0.3">
      <c r="B94" s="40"/>
      <c r="C94" s="41"/>
      <c r="D94" s="42"/>
      <c r="E94" s="43"/>
      <c r="F94" s="44"/>
      <c r="G94" s="99" t="str">
        <f>IFERROR(IF(venta_a_mes10[[#This Row],[CUIT]]="","-",VLOOKUP(venta_a_mes10[[#This Row],[CUIT]],Lista_CUIT[#All],2,0)),"CUIT NO CARGADO")</f>
        <v>-</v>
      </c>
      <c r="H94" s="100"/>
      <c r="I94" s="101">
        <f>venta_a_mes10[[#This Row],[IMPORTE NETO]]*0.21</f>
        <v>0</v>
      </c>
      <c r="J94" s="65"/>
      <c r="K94" s="65"/>
      <c r="L94" s="65">
        <f>SUM(venta_a_mes10[[#This Row],[IMPORTE NETO]:[EXENTO]])</f>
        <v>0</v>
      </c>
      <c r="M94" s="59"/>
    </row>
    <row r="95" spans="2:18" x14ac:dyDescent="0.3">
      <c r="B95" s="40"/>
      <c r="C95" s="41"/>
      <c r="D95" s="42"/>
      <c r="E95" s="43"/>
      <c r="F95" s="44"/>
      <c r="G95" s="99" t="str">
        <f>IFERROR(IF(venta_a_mes10[[#This Row],[CUIT]]="","-",VLOOKUP(venta_a_mes10[[#This Row],[CUIT]],Lista_CUIT[#All],2,0)),"CUIT NO CARGADO")</f>
        <v>-</v>
      </c>
      <c r="H95" s="100"/>
      <c r="I95" s="101">
        <f>venta_a_mes10[[#This Row],[IMPORTE NETO]]*0.21</f>
        <v>0</v>
      </c>
      <c r="J95" s="65"/>
      <c r="K95" s="65"/>
      <c r="L95" s="65">
        <f>SUM(venta_a_mes10[[#This Row],[IMPORTE NETO]:[EXENTO]])</f>
        <v>0</v>
      </c>
      <c r="M95" s="59"/>
    </row>
    <row r="96" spans="2:18" x14ac:dyDescent="0.3">
      <c r="B96" s="40"/>
      <c r="C96" s="41"/>
      <c r="D96" s="42"/>
      <c r="E96" s="43"/>
      <c r="F96" s="44"/>
      <c r="G96" s="99" t="str">
        <f>IFERROR(IF(venta_a_mes10[[#This Row],[CUIT]]="","-",VLOOKUP(venta_a_mes10[[#This Row],[CUIT]],Lista_CUIT[#All],2,0)),"CUIT NO CARGADO")</f>
        <v>-</v>
      </c>
      <c r="H96" s="100"/>
      <c r="I96" s="101">
        <f>venta_a_mes10[[#This Row],[IMPORTE NETO]]*0.21</f>
        <v>0</v>
      </c>
      <c r="J96" s="65"/>
      <c r="K96" s="65"/>
      <c r="L96" s="65">
        <f>SUM(venta_a_mes10[[#This Row],[IMPORTE NETO]:[EXENTO]])</f>
        <v>0</v>
      </c>
      <c r="M96" s="59"/>
    </row>
    <row r="97" spans="2:13" x14ac:dyDescent="0.3">
      <c r="B97" s="40"/>
      <c r="C97" s="41"/>
      <c r="D97" s="42"/>
      <c r="E97" s="43"/>
      <c r="F97" s="44"/>
      <c r="G97" s="99" t="str">
        <f>IFERROR(IF(venta_a_mes10[[#This Row],[CUIT]]="","-",VLOOKUP(venta_a_mes10[[#This Row],[CUIT]],Lista_CUIT[#All],2,0)),"CUIT NO CARGADO")</f>
        <v>-</v>
      </c>
      <c r="H97" s="100"/>
      <c r="I97" s="101">
        <f>venta_a_mes10[[#This Row],[IMPORTE NETO]]*0.21</f>
        <v>0</v>
      </c>
      <c r="J97" s="65"/>
      <c r="K97" s="65"/>
      <c r="L97" s="65">
        <f>SUM(venta_a_mes10[[#This Row],[IMPORTE NETO]:[EXENTO]])</f>
        <v>0</v>
      </c>
      <c r="M97" s="63"/>
    </row>
    <row r="98" spans="2:13" x14ac:dyDescent="0.3">
      <c r="B98" s="102"/>
      <c r="C98" s="103"/>
      <c r="D98" s="104"/>
      <c r="E98" s="105"/>
      <c r="F98" s="106"/>
      <c r="G98" s="99" t="str">
        <f>IFERROR(IF(venta_a_mes10[[#This Row],[CUIT]]="","-",VLOOKUP(venta_a_mes10[[#This Row],[CUIT]],Lista_CUIT[#All],2,0)),"CUIT NO CARGADO")</f>
        <v>-</v>
      </c>
      <c r="H98" s="107"/>
      <c r="I98" s="108">
        <f>venta_a_mes10[[#This Row],[IMPORTE NETO]]*0.21</f>
        <v>0</v>
      </c>
      <c r="J98" s="72"/>
      <c r="K98" s="72"/>
      <c r="L98" s="72">
        <f>SUM(venta_a_mes10[[#This Row],[IMPORTE NETO]:[EXENTO]])</f>
        <v>0</v>
      </c>
      <c r="M98" s="63"/>
    </row>
    <row r="99" spans="2:13" x14ac:dyDescent="0.3">
      <c r="B99" s="109"/>
      <c r="C99" s="110"/>
      <c r="D99" s="111"/>
      <c r="E99" s="112"/>
      <c r="F99" s="113"/>
      <c r="G99" s="99" t="str">
        <f>IFERROR(IF(venta_a_mes10[[#This Row],[CUIT]]="","-",VLOOKUP(venta_a_mes10[[#This Row],[CUIT]],Lista_CUIT[#All],2,0)),"CUIT NO CARGADO")</f>
        <v>-</v>
      </c>
      <c r="H99" s="100"/>
      <c r="I99" s="101">
        <f>venta_a_mes10[[#This Row],[IMPORTE NETO]]*0.21</f>
        <v>0</v>
      </c>
      <c r="J99" s="65"/>
      <c r="K99" s="65"/>
      <c r="L99" s="65">
        <f>SUM(venta_a_mes10[[#This Row],[IMPORTE NETO]:[EXENTO]])</f>
        <v>0</v>
      </c>
      <c r="M99" s="59"/>
    </row>
    <row r="100" spans="2:13" ht="25.95" customHeight="1" x14ac:dyDescent="0.3">
      <c r="B100" s="66" t="s">
        <v>110</v>
      </c>
      <c r="C100" s="67"/>
      <c r="D100" s="67"/>
      <c r="E100" s="67"/>
      <c r="F100" s="67"/>
      <c r="G100" s="67"/>
      <c r="H100" s="69">
        <f>SUBTOTAL(109,venta_a_mes10[IMPORTE NETO])</f>
        <v>2689767.4875000003</v>
      </c>
      <c r="I100" s="70">
        <f>SUBTOTAL(109,venta_a_mes10[IVA 21%])</f>
        <v>30169.395</v>
      </c>
      <c r="J100" s="70">
        <f>SUBTOTAL(109,venta_a_mes10[IVA 10,5%])</f>
        <v>267338.57250000001</v>
      </c>
      <c r="K100" s="70">
        <f>SUBTOTAL(109,venta_a_mes10[EXENTO])</f>
        <v>0</v>
      </c>
      <c r="L100" s="70">
        <f>SUBTOTAL(109,venta_a_mes10[TOTAL])</f>
        <v>2987275.4550000001</v>
      </c>
      <c r="M100" s="70">
        <f>SUBTOTAL(103,venta_a_mes10[Provincia])</f>
        <v>0</v>
      </c>
    </row>
    <row r="102" spans="2:13" ht="17.25" customHeight="1" x14ac:dyDescent="0.3"/>
    <row r="103" spans="2:13" ht="31.5" customHeight="1" x14ac:dyDescent="0.3">
      <c r="B103" s="422" t="s">
        <v>31</v>
      </c>
      <c r="C103" s="422"/>
    </row>
    <row r="104" spans="2:13" ht="15.6" x14ac:dyDescent="0.3">
      <c r="B104" s="60" t="s">
        <v>0</v>
      </c>
      <c r="C104" s="61" t="s">
        <v>1</v>
      </c>
      <c r="D104" s="61" t="s">
        <v>21</v>
      </c>
      <c r="E104" s="61" t="s">
        <v>22</v>
      </c>
      <c r="F104" s="61" t="s">
        <v>3</v>
      </c>
      <c r="G104" s="61" t="s">
        <v>4</v>
      </c>
      <c r="H104" s="61" t="s">
        <v>23</v>
      </c>
      <c r="I104" s="61" t="s">
        <v>17</v>
      </c>
      <c r="J104" s="61" t="s">
        <v>7</v>
      </c>
      <c r="K104" s="61" t="s">
        <v>24</v>
      </c>
      <c r="L104" s="61" t="s">
        <v>10</v>
      </c>
      <c r="M104" s="62" t="s">
        <v>38</v>
      </c>
    </row>
    <row r="105" spans="2:13" x14ac:dyDescent="0.3">
      <c r="B105" s="40"/>
      <c r="C105" s="41"/>
      <c r="D105" s="42"/>
      <c r="E105" s="43"/>
      <c r="F105" s="44"/>
      <c r="G105" s="1" t="str">
        <f>IFERROR(IF(ventas_b_mes10[[#This Row],[CUIT]]="","-",VLOOKUP(ventas_b_mes10[[#This Row],[CUIT]],Lista_CUIT[#All],2,0)),"CUIT NO CARGADO")</f>
        <v>-</v>
      </c>
      <c r="H105" s="64"/>
      <c r="I105" s="64"/>
      <c r="J105" s="64"/>
      <c r="K105" s="64"/>
      <c r="L105" s="64">
        <f>SUM(ventas_b_mes10[[#This Row],[IMPORTE NETO]:[EXENTO]])</f>
        <v>0</v>
      </c>
      <c r="M105" s="59"/>
    </row>
    <row r="106" spans="2:13" x14ac:dyDescent="0.3">
      <c r="B106" s="40"/>
      <c r="C106" s="41"/>
      <c r="D106" s="42"/>
      <c r="E106" s="43"/>
      <c r="F106" s="44"/>
      <c r="G106" s="1"/>
      <c r="H106" s="64"/>
      <c r="I106" s="64"/>
      <c r="J106" s="64"/>
      <c r="K106" s="64"/>
      <c r="L106" s="64">
        <f>SUM(ventas_b_mes10[[#This Row],[IMPORTE NETO]:[EXENTO]])</f>
        <v>0</v>
      </c>
      <c r="M106" s="59"/>
    </row>
    <row r="107" spans="2:13" x14ac:dyDescent="0.3">
      <c r="B107" s="40"/>
      <c r="C107" s="41"/>
      <c r="D107" s="42"/>
      <c r="E107" s="43"/>
      <c r="F107" s="44"/>
      <c r="G107" s="1"/>
      <c r="H107" s="64"/>
      <c r="I107" s="64"/>
      <c r="J107" s="64"/>
      <c r="K107" s="64"/>
      <c r="L107" s="64">
        <f>SUM(ventas_b_mes10[[#This Row],[IMPORTE NETO]:[EXENTO]])</f>
        <v>0</v>
      </c>
      <c r="M107" s="59"/>
    </row>
    <row r="108" spans="2:13" x14ac:dyDescent="0.3">
      <c r="B108" s="40"/>
      <c r="C108" s="41"/>
      <c r="D108" s="42"/>
      <c r="E108" s="43"/>
      <c r="F108" s="44"/>
      <c r="G108" s="1"/>
      <c r="H108" s="64"/>
      <c r="I108" s="64"/>
      <c r="J108" s="64"/>
      <c r="K108" s="64"/>
      <c r="L108" s="64">
        <f>SUM(ventas_b_mes10[[#This Row],[IMPORTE NETO]:[EXENTO]])</f>
        <v>0</v>
      </c>
      <c r="M108" s="59"/>
    </row>
    <row r="109" spans="2:13" x14ac:dyDescent="0.3">
      <c r="B109" s="40"/>
      <c r="C109" s="41"/>
      <c r="D109" s="42"/>
      <c r="E109" s="43"/>
      <c r="F109" s="44"/>
      <c r="G109" s="1"/>
      <c r="H109" s="64"/>
      <c r="I109" s="64"/>
      <c r="J109" s="64"/>
      <c r="K109" s="64"/>
      <c r="L109" s="64">
        <f>SUM(ventas_b_mes10[[#This Row],[IMPORTE NETO]:[EXENTO]])</f>
        <v>0</v>
      </c>
      <c r="M109" s="59"/>
    </row>
    <row r="110" spans="2:13" x14ac:dyDescent="0.3">
      <c r="B110" s="40"/>
      <c r="C110" s="41"/>
      <c r="D110" s="42"/>
      <c r="E110" s="43"/>
      <c r="F110" s="44"/>
      <c r="G110" s="1"/>
      <c r="H110" s="64"/>
      <c r="I110" s="64"/>
      <c r="J110" s="64"/>
      <c r="K110" s="64"/>
      <c r="L110" s="64">
        <f>SUM(ventas_b_mes10[[#This Row],[IMPORTE NETO]:[EXENTO]])</f>
        <v>0</v>
      </c>
      <c r="M110" s="59"/>
    </row>
    <row r="111" spans="2:13" x14ac:dyDescent="0.3">
      <c r="B111" s="66" t="s">
        <v>110</v>
      </c>
      <c r="C111" s="67"/>
      <c r="D111" s="67"/>
      <c r="E111" s="67"/>
      <c r="F111" s="67"/>
      <c r="G111" s="67"/>
      <c r="H111" s="77">
        <f>SUBTOTAL(109,ventas_b_mes10[IMPORTE NETO])</f>
        <v>0</v>
      </c>
      <c r="I111" s="77">
        <f>SUBTOTAL(109,ventas_b_mes10[IVA 21%])</f>
        <v>0</v>
      </c>
      <c r="J111" s="78">
        <f>SUBTOTAL(109,ventas_b_mes10[IVA 10,5%])</f>
        <v>0</v>
      </c>
      <c r="K111" s="78">
        <f>SUBTOTAL(109,ventas_b_mes10[EXENTO])</f>
        <v>0</v>
      </c>
      <c r="L111" s="78">
        <f>SUBTOTAL(109,ventas_b_mes10[TOTAL])</f>
        <v>0</v>
      </c>
      <c r="M111" s="68">
        <f>SUBTOTAL(103,ventas_b_mes10[Provincia])</f>
        <v>0</v>
      </c>
    </row>
    <row r="113" spans="3:12" ht="19.2" customHeight="1" x14ac:dyDescent="0.3"/>
    <row r="114" spans="3:12" ht="28.95" customHeight="1" x14ac:dyDescent="0.3"/>
    <row r="118" spans="3:12" ht="15" thickBot="1" x14ac:dyDescent="0.35"/>
    <row r="119" spans="3:12" ht="15" thickTop="1" x14ac:dyDescent="0.3">
      <c r="C119" s="433" t="s">
        <v>66</v>
      </c>
      <c r="D119" s="433"/>
      <c r="E119" s="433"/>
      <c r="F119" s="433"/>
      <c r="G119" s="433"/>
      <c r="H119" s="32"/>
      <c r="I119" s="32"/>
      <c r="J119" s="32"/>
    </row>
    <row r="120" spans="3:12" ht="15.6" x14ac:dyDescent="0.3">
      <c r="C120" s="114" t="s">
        <v>67</v>
      </c>
      <c r="D120" s="115" t="s">
        <v>68</v>
      </c>
      <c r="E120" s="115" t="s">
        <v>112</v>
      </c>
      <c r="F120" s="115" t="s">
        <v>3</v>
      </c>
      <c r="G120" s="115" t="s">
        <v>4</v>
      </c>
      <c r="H120" s="116" t="s">
        <v>69</v>
      </c>
      <c r="I120" s="116" t="s">
        <v>70</v>
      </c>
      <c r="J120" s="116" t="s">
        <v>71</v>
      </c>
      <c r="K120" s="116" t="s">
        <v>72</v>
      </c>
      <c r="L120" s="116" t="s">
        <v>73</v>
      </c>
    </row>
    <row r="121" spans="3:12" x14ac:dyDescent="0.3">
      <c r="C121" s="117">
        <v>44691</v>
      </c>
      <c r="D121" s="118">
        <v>11694</v>
      </c>
      <c r="E121" s="118"/>
      <c r="F121" s="119">
        <v>30506730038</v>
      </c>
      <c r="G121" s="53" t="str">
        <f>IFERROR(IF(Retenciones_mes10[[#This Row],[CUIT]]="","-",VLOOKUP(Retenciones_mes10[[#This Row],[CUIT]],Lista_CUIT[#All],2,0)),"CUIT NO CARGADO")</f>
        <v>S.A. IMP. Y EXPO.  PATAGONIA</v>
      </c>
      <c r="H121" s="120"/>
      <c r="I121" s="120">
        <v>9597.94</v>
      </c>
      <c r="J121" s="120">
        <v>914.09</v>
      </c>
      <c r="K121" s="120"/>
      <c r="L121" s="120"/>
    </row>
    <row r="122" spans="3:12" x14ac:dyDescent="0.3">
      <c r="C122" s="117"/>
      <c r="D122" s="118">
        <v>11695</v>
      </c>
      <c r="E122" s="118"/>
      <c r="F122" s="119"/>
      <c r="G122" s="53" t="str">
        <f>IFERROR(IF(Retenciones_mes10[[#This Row],[CUIT]]="","-",VLOOKUP(Retenciones_mes10[[#This Row],[CUIT]],Lista_CUIT[#All],2,0)),"CUIT NO CARGADO")</f>
        <v>-</v>
      </c>
      <c r="H122" s="120"/>
      <c r="I122" s="120"/>
      <c r="J122" s="120"/>
      <c r="K122" s="120"/>
      <c r="L122" s="120"/>
    </row>
    <row r="123" spans="3:12" x14ac:dyDescent="0.3">
      <c r="C123" s="117"/>
      <c r="D123" s="118">
        <v>11696</v>
      </c>
      <c r="E123" s="118"/>
      <c r="F123" s="119"/>
      <c r="G123" s="53" t="str">
        <f>IFERROR(IF(Retenciones_mes10[[#This Row],[CUIT]]="","-",VLOOKUP(Retenciones_mes10[[#This Row],[CUIT]],Lista_CUIT[#All],2,0)),"CUIT NO CARGADO")</f>
        <v>-</v>
      </c>
      <c r="H123" s="120"/>
      <c r="I123" s="120"/>
      <c r="J123" s="120"/>
      <c r="K123" s="120"/>
      <c r="L123" s="120"/>
    </row>
    <row r="124" spans="3:12" x14ac:dyDescent="0.3">
      <c r="C124" s="117"/>
      <c r="D124" s="118">
        <v>11697</v>
      </c>
      <c r="E124" s="118"/>
      <c r="F124" s="119"/>
      <c r="G124" s="53" t="str">
        <f>IFERROR(IF(Retenciones_mes10[[#This Row],[CUIT]]="","-",VLOOKUP(Retenciones_mes10[[#This Row],[CUIT]],Lista_CUIT[#All],2,0)),"CUIT NO CARGADO")</f>
        <v>-</v>
      </c>
      <c r="H124" s="120"/>
      <c r="I124" s="120"/>
      <c r="J124" s="120"/>
      <c r="K124" s="120"/>
      <c r="L124" s="120"/>
    </row>
    <row r="125" spans="3:12" x14ac:dyDescent="0.3">
      <c r="D125" s="118">
        <v>11698</v>
      </c>
      <c r="E125" s="118"/>
      <c r="G125" s="53" t="str">
        <f>IFERROR(IF(Retenciones_mes10[[#This Row],[CUIT]]="","-",VLOOKUP(Retenciones_mes10[[#This Row],[CUIT]],Lista_CUIT[#All],2,0)),"CUIT NO CARGADO")</f>
        <v>-</v>
      </c>
    </row>
    <row r="126" spans="3:12" x14ac:dyDescent="0.3">
      <c r="C126" s="33"/>
    </row>
  </sheetData>
  <mergeCells count="20">
    <mergeCell ref="C119:G119"/>
    <mergeCell ref="B4:E4"/>
    <mergeCell ref="G4:H4"/>
    <mergeCell ref="J4:K4"/>
    <mergeCell ref="M4:N4"/>
    <mergeCell ref="D66:K66"/>
    <mergeCell ref="B87:J87"/>
    <mergeCell ref="K87:M87"/>
    <mergeCell ref="B89:C89"/>
    <mergeCell ref="B103:C103"/>
    <mergeCell ref="P4:R4"/>
    <mergeCell ref="D57:L57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105:L110" xr:uid="{272FDF69-4343-4989-B6C3-E36F0A71EABE}">
      <formula1>IF($C105=8,H105&lt;0,H105&gt;=0)</formula1>
    </dataValidation>
    <dataValidation type="custom" allowBlank="1" showInputMessage="1" showErrorMessage="1" sqref="L96:L97" xr:uid="{D03746FF-B60B-4725-A4FD-90761FB72A0F}">
      <formula1>IF($C52=3,L52&lt;0,L52&gt;=0)</formula1>
    </dataValidation>
    <dataValidation type="custom" allowBlank="1" showInputMessage="1" showErrorMessage="1" sqref="L93:L95" xr:uid="{379FD1EE-E3B8-4358-8C8F-4544CD6E78C9}">
      <formula1>IF($C50=3,L50&lt;0,L50&gt;=0)</formula1>
    </dataValidation>
    <dataValidation type="whole" allowBlank="1" showInputMessage="1" showErrorMessage="1" sqref="C105:C110" xr:uid="{89EEEBB3-2517-46F3-8957-6C7008503031}">
      <formula1>6</formula1>
      <formula2>8</formula2>
    </dataValidation>
    <dataValidation type="custom" allowBlank="1" showInputMessage="1" showErrorMessage="1" sqref="H91:K91 H93:K93 H95:K95 H97:K97" xr:uid="{0A9EBEC5-9679-473E-984A-142B20F02F89}">
      <formula1>IF($C91=3,H91&lt;0,H91&gt;=0)</formula1>
    </dataValidation>
    <dataValidation type="whole" allowBlank="1" showInputMessage="1" showErrorMessage="1" sqref="C53:C56 C91:C99 C9:C51" xr:uid="{0C3196CF-BC41-4DFD-8E69-0C13EB2BC571}">
      <formula1>1</formula1>
      <formula2>3</formula2>
    </dataValidation>
    <dataValidation type="date" allowBlank="1" showInputMessage="1" showErrorMessage="1" sqref="B9:B51 D59:D61 B91:B99 D68:D80 B53:B56 B105:B110" xr:uid="{F392A66A-5018-432B-943B-19069264ECC3}">
      <formula1>40179</formula1>
      <formula2>TODAY()</formula2>
    </dataValidation>
    <dataValidation type="whole" allowBlank="1" showInputMessage="1" showErrorMessage="1" sqref="F9:F51 G68:G80 F91:F99 F105:F110" xr:uid="{1117C71D-934D-48FC-AFDC-395DF3E4DE71}">
      <formula1>20000000000</formula1>
      <formula2>33999999999</formula2>
    </dataValidation>
    <dataValidation type="whole" allowBlank="1" showInputMessage="1" showErrorMessage="1" sqref="E9:E51 F68:F80 E91:E99 E105:E110" xr:uid="{2B6684A0-4A4C-4785-98CA-CC094A17636F}">
      <formula1>1</formula1>
      <formula2>99999999</formula2>
    </dataValidation>
    <dataValidation type="whole" allowBlank="1" showInputMessage="1" showErrorMessage="1" sqref="D9:D51 E68:E80 D91:D99 D105:D110" xr:uid="{4A3911E1-0164-4528-AF97-7F64EB7CFEE3}">
      <formula1>1</formula1>
      <formula2>9999</formula2>
    </dataValidation>
    <dataValidation type="custom" allowBlank="1" showInputMessage="1" showErrorMessage="1" sqref="L91" xr:uid="{F6111C0F-7B01-4352-87BD-B17CF6CC31D4}">
      <formula1>IF($C9=3,L9&lt;0,L9&gt;=0)</formula1>
    </dataValidation>
    <dataValidation type="custom" allowBlank="1" showInputMessage="1" showErrorMessage="1" sqref="L92" xr:uid="{1E813DA4-C64F-428B-8321-DCFB024230C9}">
      <formula1>IF($C47=3,L47&lt;0,L47&gt;=0)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51" xr:uid="{B93749E5-AEEF-40F5-B9D6-F92A6E8E9A1E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7">
    <tabColor theme="9" tint="0.79998168889431442"/>
  </sheetPr>
  <dimension ref="A1:Z116"/>
  <sheetViews>
    <sheetView showGridLines="0" topLeftCell="G16" zoomScaleNormal="100" workbookViewId="0">
      <selection activeCell="P36" sqref="P36"/>
    </sheetView>
  </sheetViews>
  <sheetFormatPr baseColWidth="10" defaultColWidth="0" defaultRowHeight="14.4" x14ac:dyDescent="0.3"/>
  <cols>
    <col min="1" max="1" width="1.6640625" customWidth="1"/>
    <col min="2" max="2" width="10.33203125" customWidth="1"/>
    <col min="3" max="3" width="9.5546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4" customWidth="1"/>
    <col min="11" max="11" width="12.5546875" customWidth="1"/>
    <col min="12" max="12" width="15.77734375" customWidth="1"/>
    <col min="13" max="13" width="12" customWidth="1"/>
    <col min="14" max="14" width="11.44140625" customWidth="1"/>
    <col min="15" max="15" width="15.44140625" customWidth="1"/>
    <col min="16" max="16" width="23.109375" customWidth="1"/>
    <col min="17" max="17" width="16.6640625" customWidth="1"/>
    <col min="18" max="18" width="14.33203125" customWidth="1"/>
    <col min="19" max="19" width="7.664062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EDATE('Abr-23'!N1,10)</f>
        <v>45323</v>
      </c>
      <c r="O1" s="423"/>
      <c r="P1" s="423"/>
      <c r="Q1" s="423"/>
      <c r="R1" s="423"/>
    </row>
    <row r="2" spans="1:26" ht="15" customHeight="1" x14ac:dyDescent="0.3"/>
    <row r="3" spans="1:26" ht="26.4" customHeight="1" x14ac:dyDescent="0.3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2" customHeight="1" x14ac:dyDescent="0.4">
      <c r="B4" s="428">
        <f>SUM(compras_mes11[[#Totals],[NETO GRAVADO]])+extracto_banco_mes11[[#Totals],[NETO]]</f>
        <v>16314361.375714287</v>
      </c>
      <c r="C4" s="428"/>
      <c r="D4" s="428"/>
      <c r="E4" s="428"/>
      <c r="F4" s="39"/>
      <c r="G4" s="429">
        <f>compras_mes11[[#Totals],[IVA 21 %]]+compras_mes11[[#Totals],[IVA 27%]]+compras_mes11[[#Totals],[IVA 10,5%]]+extracto_banco_mes11[[#Totals],[IVA 21%]]+extracto_banco_mes11[[#Totals],[IVA 10,5%]]</f>
        <v>3369442.0537</v>
      </c>
      <c r="H4" s="429"/>
      <c r="I4" s="39"/>
      <c r="J4" s="416">
        <f>venta_a_mes11[[#Totals],[IMPORTE NETO]]+ventas_b_mes11[[#Totals],[IMPORTE NETO]]</f>
        <v>10002080</v>
      </c>
      <c r="K4" s="416"/>
      <c r="L4" s="39"/>
      <c r="M4" s="416">
        <f>venta_a_mes11[[#Totals],[IVA 21%]]+venta_a_mes11[[#Totals],[IVA 10,5%]]+ventas_b_mes11[[#Totals],[IVA 21%]]+ventas_b_mes11[[#Totals],[IVA 10,5%]]</f>
        <v>1448822.55</v>
      </c>
      <c r="N4" s="416"/>
      <c r="O4" s="39"/>
      <c r="P4" s="431">
        <f>G4-M4</f>
        <v>1920619.5037</v>
      </c>
      <c r="Q4" s="432"/>
      <c r="R4" s="432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3">
      <c r="B9" s="40"/>
      <c r="C9" s="41"/>
      <c r="D9" s="42"/>
      <c r="E9" s="43"/>
      <c r="F9" s="44"/>
      <c r="G9" s="45" t="str">
        <f>IFERROR(IF(compras_mes11[[#This Row],[CUIT]]="","-",VLOOKUP(compras_mes11[[#This Row],[CUIT]],Lista_CUIT[#All],2,0)),"CUIT NO CARGADO")</f>
        <v>-</v>
      </c>
      <c r="H9" s="46"/>
      <c r="I9" s="85" t="str">
        <f>IF(compras_mes11[[#This Row],[NETO GRAVADO]]="","",compras_mes11[[#This Row],[NETO GRAVADO]]*0.21)</f>
        <v/>
      </c>
      <c r="J9" s="85"/>
      <c r="K9" s="85"/>
      <c r="L9" s="85"/>
      <c r="M9" s="85"/>
      <c r="N9" s="85"/>
      <c r="O9" s="85"/>
      <c r="P9" s="48">
        <f>SUM(compras_mes11[[#This Row],[NETO GRAVADO]:[Otros / No Grav.]])</f>
        <v>0</v>
      </c>
      <c r="Q9" s="49" t="str">
        <f>IFERROR(IF(compras_mes11[[#This Row],[CUIT]]="","-",VLOOKUP(compras_mes11[[#This Row],[CUIT]],Lista_CUIT[#All],3,0)),"CUIT NO CARGADO")</f>
        <v>-</v>
      </c>
      <c r="R9" s="49" t="str">
        <f>IFERROR(IF(compras_mes11[[#This Row],[CUIT]]="","-",VLOOKUP(compras_mes11[[#This Row],[CUIT]],Lista_CUIT[#All],4,0)),"CUIT NO CARGADO")</f>
        <v>-</v>
      </c>
    </row>
    <row r="10" spans="1:26" x14ac:dyDescent="0.3">
      <c r="B10" s="40"/>
      <c r="C10" s="41"/>
      <c r="D10" s="42"/>
      <c r="E10" s="43"/>
      <c r="F10" s="44"/>
      <c r="G10" s="45" t="str">
        <f>IFERROR(IF(compras_mes11[[#This Row],[CUIT]]="","-",VLOOKUP(compras_mes11[[#This Row],[CUIT]],Lista_CUIT[#All],2,0)),"CUIT NO CARGADO")</f>
        <v>-</v>
      </c>
      <c r="H10" s="46"/>
      <c r="I10" s="85" t="str">
        <f>IF(compras_mes11[[#This Row],[NETO GRAVADO]]="","",compras_mes11[[#This Row],[NETO GRAVADO]]*0.21)</f>
        <v/>
      </c>
      <c r="J10" s="85"/>
      <c r="K10" s="85"/>
      <c r="L10" s="85"/>
      <c r="M10" s="85"/>
      <c r="N10" s="85"/>
      <c r="O10" s="85"/>
      <c r="P10" s="48">
        <f>SUM(compras_mes11[[#This Row],[NETO GRAVADO]:[Otros / No Grav.]])</f>
        <v>0</v>
      </c>
      <c r="Q10" s="49" t="str">
        <f>IFERROR(IF(compras_mes11[[#This Row],[CUIT]]="","-",VLOOKUP(compras_mes11[[#This Row],[CUIT]],Lista_CUIT[#All],3,0)),"CUIT NO CARGADO")</f>
        <v>-</v>
      </c>
      <c r="R10" s="49" t="str">
        <f>IFERROR(IF(compras_mes11[[#This Row],[CUIT]]="","-",VLOOKUP(compras_mes11[[#This Row],[CUIT]],Lista_CUIT[#All],4,0)),"CUIT NO CARGADO")</f>
        <v>-</v>
      </c>
    </row>
    <row r="11" spans="1:26" x14ac:dyDescent="0.3">
      <c r="B11" s="275">
        <v>45344</v>
      </c>
      <c r="C11" s="208">
        <v>1</v>
      </c>
      <c r="D11" s="276">
        <v>1</v>
      </c>
      <c r="E11" s="277">
        <v>744</v>
      </c>
      <c r="F11" s="278">
        <v>30715048066</v>
      </c>
      <c r="G11" s="279" t="str">
        <f>IFERROR(IF(compras_mes11[[#This Row],[CUIT]]="","-",VLOOKUP(compras_mes11[[#This Row],[CUIT]],Lista_CUIT[#All],2,0)),"CUIT NO CARGADO")</f>
        <v>ROLLS Y EMPANADAS SA</v>
      </c>
      <c r="H11" s="280">
        <v>538800</v>
      </c>
      <c r="I11" s="281">
        <f>IF(compras_mes11[[#This Row],[NETO GRAVADO]]="","",compras_mes11[[#This Row],[NETO GRAVADO]]*0.21)</f>
        <v>113148</v>
      </c>
      <c r="J11" s="281"/>
      <c r="K11" s="281"/>
      <c r="L11" s="281"/>
      <c r="M11" s="281"/>
      <c r="N11" s="281"/>
      <c r="O11" s="281"/>
      <c r="P11" s="282">
        <f>SUM(compras_mes11[[#This Row],[NETO GRAVADO]:[Otros / No Grav.]])</f>
        <v>651948</v>
      </c>
      <c r="Q11" s="283" t="str">
        <f>IFERROR(IF(compras_mes11[[#This Row],[CUIT]]="","-",VLOOKUP(compras_mes11[[#This Row],[CUIT]],Lista_CUIT[#All],3,0)),"CUIT NO CARGADO")</f>
        <v>CATERING</v>
      </c>
      <c r="R11" s="283">
        <f>IFERROR(IF(compras_mes11[[#This Row],[CUIT]]="","-",VLOOKUP(compras_mes11[[#This Row],[CUIT]],Lista_CUIT[#All],4,0)),"CUIT NO CARGADO")</f>
        <v>0</v>
      </c>
    </row>
    <row r="12" spans="1:26" x14ac:dyDescent="0.3">
      <c r="B12" s="40">
        <v>45323</v>
      </c>
      <c r="C12" s="41">
        <v>1</v>
      </c>
      <c r="D12" s="42">
        <v>3</v>
      </c>
      <c r="E12" s="43">
        <v>725</v>
      </c>
      <c r="F12" s="44">
        <v>30715402765</v>
      </c>
      <c r="G12" s="45" t="str">
        <f>IFERROR(IF(compras_mes11[[#This Row],[CUIT]]="","-",VLOOKUP(compras_mes11[[#This Row],[CUIT]],Lista_CUIT[#All],2,0)),"CUIT NO CARGADO")</f>
        <v>RIO 265 S.R.L.</v>
      </c>
      <c r="H12" s="46">
        <v>34710.76</v>
      </c>
      <c r="I12" s="85">
        <f>IF(compras_mes11[[#This Row],[NETO GRAVADO]]="","",compras_mes11[[#This Row],[NETO GRAVADO]]*0.21)</f>
        <v>7289.2596000000003</v>
      </c>
      <c r="J12" s="85"/>
      <c r="K12" s="85"/>
      <c r="L12" s="85"/>
      <c r="M12" s="85"/>
      <c r="N12" s="85"/>
      <c r="O12" s="85"/>
      <c r="P12" s="48">
        <f>SUM(compras_mes11[[#This Row],[NETO GRAVADO]:[Otros / No Grav.]])</f>
        <v>42000.0196</v>
      </c>
      <c r="Q12" s="49" t="str">
        <f>IFERROR(IF(compras_mes11[[#This Row],[CUIT]]="","-",VLOOKUP(compras_mes11[[#This Row],[CUIT]],Lista_CUIT[#All],3,0)),"CUIT NO CARGADO")</f>
        <v>Gastos Varios</v>
      </c>
      <c r="R12" s="49">
        <f>IFERROR(IF(compras_mes11[[#This Row],[CUIT]]="","-",VLOOKUP(compras_mes11[[#This Row],[CUIT]],Lista_CUIT[#All],4,0)),"CUIT NO CARGADO")</f>
        <v>0</v>
      </c>
    </row>
    <row r="13" spans="1:26" x14ac:dyDescent="0.3">
      <c r="B13" s="40">
        <v>45342</v>
      </c>
      <c r="C13" s="41">
        <v>1</v>
      </c>
      <c r="D13" s="42">
        <v>4</v>
      </c>
      <c r="E13" s="43">
        <v>11474</v>
      </c>
      <c r="F13" s="44">
        <v>30717193926</v>
      </c>
      <c r="G13" s="45" t="str">
        <f>IFERROR(IF(compras_mes11[[#This Row],[CUIT]]="","-",VLOOKUP(compras_mes11[[#This Row],[CUIT]],Lista_CUIT[#All],2,0)),"CUIT NO CARGADO")</f>
        <v>WORLD ONE TRADE</v>
      </c>
      <c r="H13" s="46">
        <v>19626.53</v>
      </c>
      <c r="I13" s="85">
        <f>IF(compras_mes11[[#This Row],[NETO GRAVADO]]="","",compras_mes11[[#This Row],[NETO GRAVADO]]*0.21)</f>
        <v>4121.5712999999996</v>
      </c>
      <c r="J13" s="85"/>
      <c r="K13" s="85"/>
      <c r="L13" s="85"/>
      <c r="M13" s="85"/>
      <c r="N13" s="85"/>
      <c r="O13" s="85"/>
      <c r="P13" s="48">
        <f>SUM(compras_mes11[[#This Row],[NETO GRAVADO]:[Otros / No Grav.]])</f>
        <v>23748.101299999998</v>
      </c>
      <c r="Q13" s="49" t="s">
        <v>1432</v>
      </c>
      <c r="R13" s="49">
        <f>IFERROR(IF(compras_mes11[[#This Row],[CUIT]]="","-",VLOOKUP(compras_mes11[[#This Row],[CUIT]],Lista_CUIT[#All],4,0)),"CUIT NO CARGADO")</f>
        <v>0</v>
      </c>
    </row>
    <row r="14" spans="1:26" x14ac:dyDescent="0.3">
      <c r="B14" s="275">
        <v>45323</v>
      </c>
      <c r="C14" s="208">
        <v>1</v>
      </c>
      <c r="D14" s="276">
        <v>5</v>
      </c>
      <c r="E14" s="277">
        <v>4233</v>
      </c>
      <c r="F14" s="278">
        <v>23287538839</v>
      </c>
      <c r="G14" s="279" t="str">
        <f>IFERROR(IF(compras_mes11[[#This Row],[CUIT]]="","-",VLOOKUP(compras_mes11[[#This Row],[CUIT]],Lista_CUIT[#All],2,0)),"CUIT NO CARGADO")</f>
        <v>MEIJOMIN PABLO MARTIN</v>
      </c>
      <c r="H14" s="280">
        <v>19628.099999999999</v>
      </c>
      <c r="I14" s="281">
        <f>IF(compras_mes11[[#This Row],[NETO GRAVADO]]="","",compras_mes11[[#This Row],[NETO GRAVADO]]*0.21)</f>
        <v>4121.9009999999998</v>
      </c>
      <c r="J14" s="281"/>
      <c r="K14" s="281"/>
      <c r="L14" s="281"/>
      <c r="M14" s="281"/>
      <c r="N14" s="281"/>
      <c r="O14" s="281"/>
      <c r="P14" s="282">
        <f>SUM(compras_mes11[[#This Row],[NETO GRAVADO]:[Otros / No Grav.]])</f>
        <v>23750.000999999997</v>
      </c>
      <c r="Q14" s="283" t="s">
        <v>1426</v>
      </c>
      <c r="R14" s="283">
        <f>IFERROR(IF(compras_mes11[[#This Row],[CUIT]]="","-",VLOOKUP(compras_mes11[[#This Row],[CUIT]],Lista_CUIT[#All],4,0)),"CUIT NO CARGADO")</f>
        <v>0</v>
      </c>
    </row>
    <row r="15" spans="1:26" x14ac:dyDescent="0.3">
      <c r="B15" s="275">
        <v>45323</v>
      </c>
      <c r="C15" s="208">
        <v>1</v>
      </c>
      <c r="D15" s="276">
        <v>10</v>
      </c>
      <c r="E15" s="277">
        <v>17654</v>
      </c>
      <c r="F15" s="278">
        <v>20341013691</v>
      </c>
      <c r="G15" s="279" t="str">
        <f>IFERROR(IF(compras_mes11[[#This Row],[CUIT]]="","-",VLOOKUP(compras_mes11[[#This Row],[CUIT]],Lista_CUIT[#All],2,0)),"CUIT NO CARGADO")</f>
        <v>RAIMONDI FACUNDO ALBERTO</v>
      </c>
      <c r="H15" s="280">
        <v>13590.9</v>
      </c>
      <c r="I15" s="281">
        <f>IF(compras_mes11[[#This Row],[NETO GRAVADO]]="","",compras_mes11[[#This Row],[NETO GRAVADO]]*0.21)</f>
        <v>2854.0889999999999</v>
      </c>
      <c r="J15" s="281"/>
      <c r="K15" s="281"/>
      <c r="L15" s="281"/>
      <c r="M15" s="281"/>
      <c r="N15" s="281"/>
      <c r="O15" s="281"/>
      <c r="P15" s="282">
        <f>SUM(compras_mes11[[#This Row],[NETO GRAVADO]:[Otros / No Grav.]])</f>
        <v>16444.989000000001</v>
      </c>
      <c r="Q15" s="283" t="s">
        <v>1426</v>
      </c>
      <c r="R15" s="283">
        <f>IFERROR(IF(compras_mes11[[#This Row],[CUIT]]="","-",VLOOKUP(compras_mes11[[#This Row],[CUIT]],Lista_CUIT[#All],4,0)),"CUIT NO CARGADO")</f>
        <v>0</v>
      </c>
    </row>
    <row r="16" spans="1:26" x14ac:dyDescent="0.3">
      <c r="B16" s="275">
        <v>45337</v>
      </c>
      <c r="C16" s="208">
        <v>1</v>
      </c>
      <c r="D16" s="276">
        <v>1090</v>
      </c>
      <c r="E16" s="277">
        <v>5653</v>
      </c>
      <c r="F16" s="278">
        <v>30711379521</v>
      </c>
      <c r="G16" s="279" t="str">
        <f>IFERROR(IF(compras_mes11[[#This Row],[CUIT]]="","-",VLOOKUP(compras_mes11[[#This Row],[CUIT]],Lista_CUIT[#All],2,0)),"CUIT NO CARGADO")</f>
        <v>ROVLAN S.A.</v>
      </c>
      <c r="H16" s="280">
        <v>46280.17</v>
      </c>
      <c r="I16" s="281">
        <f>IF(compras_mes11[[#This Row],[NETO GRAVADO]]="","",compras_mes11[[#This Row],[NETO GRAVADO]]*0.21)</f>
        <v>9718.8356999999996</v>
      </c>
      <c r="J16" s="281"/>
      <c r="K16" s="281"/>
      <c r="L16" s="281"/>
      <c r="M16" s="281"/>
      <c r="N16" s="281"/>
      <c r="O16" s="281"/>
      <c r="P16" s="282">
        <f>SUM(compras_mes11[[#This Row],[NETO GRAVADO]:[Otros / No Grav.]])</f>
        <v>55999.005699999994</v>
      </c>
      <c r="Q16" s="283" t="s">
        <v>1426</v>
      </c>
      <c r="R16" s="283">
        <f>IFERROR(IF(compras_mes11[[#This Row],[CUIT]]="","-",VLOOKUP(compras_mes11[[#This Row],[CUIT]],Lista_CUIT[#All],4,0)),"CUIT NO CARGADO")</f>
        <v>0</v>
      </c>
    </row>
    <row r="17" spans="2:18" x14ac:dyDescent="0.3">
      <c r="B17" s="40">
        <v>45339</v>
      </c>
      <c r="C17" s="41">
        <v>1</v>
      </c>
      <c r="D17" s="42">
        <v>5</v>
      </c>
      <c r="E17" s="43">
        <v>6421</v>
      </c>
      <c r="F17" s="44">
        <v>20294907174</v>
      </c>
      <c r="G17" s="45" t="str">
        <f>IFERROR(IF(compras_mes11[[#This Row],[CUIT]]="","-",VLOOKUP(compras_mes11[[#This Row],[CUIT]],Lista_CUIT[#All],2,0)),"CUIT NO CARGADO")</f>
        <v>ORTUÑO ALVAREZ HECTOR MANUEL</v>
      </c>
      <c r="H17" s="46">
        <v>21942.15</v>
      </c>
      <c r="I17" s="85">
        <f>IF(compras_mes11[[#This Row],[NETO GRAVADO]]="","",compras_mes11[[#This Row],[NETO GRAVADO]]*0.21)</f>
        <v>4607.8514999999998</v>
      </c>
      <c r="J17" s="85"/>
      <c r="K17" s="85"/>
      <c r="L17" s="85"/>
      <c r="M17" s="85"/>
      <c r="N17" s="85"/>
      <c r="O17" s="85"/>
      <c r="P17" s="48">
        <f>SUM(compras_mes11[[#This Row],[NETO GRAVADO]:[Otros / No Grav.]])</f>
        <v>26550.001500000002</v>
      </c>
      <c r="Q17" s="283" t="s">
        <v>1426</v>
      </c>
      <c r="R17" s="49">
        <f>IFERROR(IF(compras_mes11[[#This Row],[CUIT]]="","-",VLOOKUP(compras_mes11[[#This Row],[CUIT]],Lista_CUIT[#All],4,0)),"CUIT NO CARGADO")</f>
        <v>0</v>
      </c>
    </row>
    <row r="18" spans="2:18" x14ac:dyDescent="0.3">
      <c r="B18" s="40">
        <v>45341</v>
      </c>
      <c r="C18" s="41">
        <v>1</v>
      </c>
      <c r="D18" s="42">
        <v>4</v>
      </c>
      <c r="E18" s="43">
        <v>2613</v>
      </c>
      <c r="F18" s="44">
        <v>30716809893</v>
      </c>
      <c r="G18" s="45" t="str">
        <f>IFERROR(IF(compras_mes11[[#This Row],[CUIT]]="","-",VLOOKUP(compras_mes11[[#This Row],[CUIT]],Lista_CUIT[#All],2,0)),"CUIT NO CARGADO")</f>
        <v>BROCATTO SRL</v>
      </c>
      <c r="H18" s="46">
        <v>19337.36</v>
      </c>
      <c r="I18" s="85">
        <f>IF(compras_mes11[[#This Row],[NETO GRAVADO]]="","",compras_mes11[[#This Row],[NETO GRAVADO]]*0.21)</f>
        <v>4060.8456000000001</v>
      </c>
      <c r="J18" s="85"/>
      <c r="K18" s="85"/>
      <c r="L18" s="85"/>
      <c r="M18" s="85"/>
      <c r="N18" s="85"/>
      <c r="O18" s="85"/>
      <c r="P18" s="48">
        <f>SUM(compras_mes11[[#This Row],[NETO GRAVADO]:[Otros / No Grav.]])</f>
        <v>23398.205600000001</v>
      </c>
      <c r="Q18" s="283" t="s">
        <v>1426</v>
      </c>
      <c r="R18" s="49">
        <f>IFERROR(IF(compras_mes11[[#This Row],[CUIT]]="","-",VLOOKUP(compras_mes11[[#This Row],[CUIT]],Lista_CUIT[#All],4,0)),"CUIT NO CARGADO")</f>
        <v>0</v>
      </c>
    </row>
    <row r="19" spans="2:18" x14ac:dyDescent="0.3">
      <c r="B19" s="40">
        <v>45338</v>
      </c>
      <c r="C19" s="41">
        <v>1</v>
      </c>
      <c r="D19" s="42">
        <v>9</v>
      </c>
      <c r="E19" s="43">
        <v>1822</v>
      </c>
      <c r="F19" s="44">
        <v>30631047145</v>
      </c>
      <c r="G19" s="45" t="str">
        <f>IFERROR(IF(compras_mes11[[#This Row],[CUIT]]="","-",VLOOKUP(compras_mes11[[#This Row],[CUIT]],Lista_CUIT[#All],2,0)),"CUIT NO CARGADO")</f>
        <v>SEMICONDUC. Y COMPON. SRL</v>
      </c>
      <c r="H19" s="46">
        <v>582402.38</v>
      </c>
      <c r="I19" s="85">
        <v>17306.310000000001</v>
      </c>
      <c r="J19" s="85"/>
      <c r="K19" s="85">
        <v>52499.09</v>
      </c>
      <c r="L19" s="85"/>
      <c r="M19" s="85"/>
      <c r="N19" s="85"/>
      <c r="O19" s="85"/>
      <c r="P19" s="48">
        <f>SUM(compras_mes11[[#This Row],[NETO GRAVADO]:[Otros / No Grav.]])</f>
        <v>652207.78</v>
      </c>
      <c r="Q19" s="49" t="str">
        <f>IFERROR(IF(compras_mes11[[#This Row],[CUIT]]="","-",VLOOKUP(compras_mes11[[#This Row],[CUIT]],Lista_CUIT[#All],3,0)),"CUIT NO CARGADO")</f>
        <v>INSUMO</v>
      </c>
      <c r="R19" s="49">
        <f>IFERROR(IF(compras_mes11[[#This Row],[CUIT]]="","-",VLOOKUP(compras_mes11[[#This Row],[CUIT]],Lista_CUIT[#All],4,0)),"CUIT NO CARGADO")</f>
        <v>0</v>
      </c>
    </row>
    <row r="20" spans="2:18" x14ac:dyDescent="0.3">
      <c r="B20" s="40">
        <v>45350</v>
      </c>
      <c r="C20" s="41">
        <v>1</v>
      </c>
      <c r="D20" s="42">
        <v>2</v>
      </c>
      <c r="E20" s="43">
        <v>194</v>
      </c>
      <c r="F20" s="44">
        <v>20125142851</v>
      </c>
      <c r="G20" s="45" t="str">
        <f>IFERROR(IF(compras_mes11[[#This Row],[CUIT]]="","-",VLOOKUP(compras_mes11[[#This Row],[CUIT]],Lista_CUIT[#All],2,0)),"CUIT NO CARGADO")</f>
        <v>FEDERICI NICOLAS JOSE</v>
      </c>
      <c r="H20" s="46">
        <v>235512.81</v>
      </c>
      <c r="I20" s="85">
        <f>IF(compras_mes11[[#This Row],[NETO GRAVADO]]="","",compras_mes11[[#This Row],[NETO GRAVADO]]*0.21)</f>
        <v>49457.6901</v>
      </c>
      <c r="J20" s="85"/>
      <c r="K20" s="85"/>
      <c r="L20" s="85"/>
      <c r="M20" s="85"/>
      <c r="N20" s="85"/>
      <c r="O20" s="85"/>
      <c r="P20" s="48">
        <f>SUM(compras_mes11[[#This Row],[NETO GRAVADO]:[Otros / No Grav.]])</f>
        <v>284970.5001</v>
      </c>
      <c r="Q20" s="49" t="str">
        <f>IFERROR(IF(compras_mes11[[#This Row],[CUIT]]="","-",VLOOKUP(compras_mes11[[#This Row],[CUIT]],Lista_CUIT[#All],3,0)),"CUIT NO CARGADO")</f>
        <v>INSUMO</v>
      </c>
      <c r="R20" s="49">
        <f>IFERROR(IF(compras_mes11[[#This Row],[CUIT]]="","-",VLOOKUP(compras_mes11[[#This Row],[CUIT]],Lista_CUIT[#All],4,0)),"CUIT NO CARGADO")</f>
        <v>0</v>
      </c>
    </row>
    <row r="21" spans="2:18" x14ac:dyDescent="0.3">
      <c r="B21" s="40">
        <v>45323</v>
      </c>
      <c r="C21" s="41">
        <v>1</v>
      </c>
      <c r="D21" s="42">
        <v>5</v>
      </c>
      <c r="E21" s="43">
        <v>8648</v>
      </c>
      <c r="F21" s="44">
        <v>33711557119</v>
      </c>
      <c r="G21" s="45" t="str">
        <f>IFERROR(IF(compras_mes11[[#This Row],[CUIT]]="","-",VLOOKUP(compras_mes11[[#This Row],[CUIT]],Lista_CUIT[#All],2,0)),"CUIT NO CARGADO")</f>
        <v>ELECTROMINGO S.R.L.</v>
      </c>
      <c r="H21" s="46">
        <v>16735.54</v>
      </c>
      <c r="I21" s="85">
        <f>IF(compras_mes11[[#This Row],[NETO GRAVADO]]="","",compras_mes11[[#This Row],[NETO GRAVADO]]*0.21)</f>
        <v>3514.4634000000001</v>
      </c>
      <c r="J21" s="85"/>
      <c r="K21" s="85"/>
      <c r="L21" s="85"/>
      <c r="M21" s="85"/>
      <c r="N21" s="85"/>
      <c r="O21" s="85"/>
      <c r="P21" s="48">
        <f>SUM(compras_mes11[[#This Row],[NETO GRAVADO]:[Otros / No Grav.]])</f>
        <v>20250.003400000001</v>
      </c>
      <c r="Q21" s="49" t="s">
        <v>1433</v>
      </c>
      <c r="R21" s="49" t="str">
        <f>IFERROR(IF(compras_mes11[[#This Row],[CUIT]]="","-",VLOOKUP(compras_mes11[[#This Row],[CUIT]],Lista_CUIT[#All],4,0)),"CUIT NO CARGADO")</f>
        <v>BUENOS AIRES</v>
      </c>
    </row>
    <row r="22" spans="2:18" x14ac:dyDescent="0.3">
      <c r="B22" s="275">
        <v>45348</v>
      </c>
      <c r="C22" s="208">
        <v>1</v>
      </c>
      <c r="D22" s="276">
        <v>9456</v>
      </c>
      <c r="E22" s="277">
        <v>210</v>
      </c>
      <c r="F22" s="278">
        <v>30711569843</v>
      </c>
      <c r="G22" s="279" t="str">
        <f>IFERROR(IF(compras_mes11[[#This Row],[CUIT]]="","-",VLOOKUP(compras_mes11[[#This Row],[CUIT]],Lista_CUIT[#All],2,0)),"CUIT NO CARGADO")</f>
        <v>ELECTRO IND S.R.L</v>
      </c>
      <c r="H22" s="280">
        <v>28471.07</v>
      </c>
      <c r="I22" s="281">
        <f>IF(compras_mes11[[#This Row],[NETO GRAVADO]]="","",compras_mes11[[#This Row],[NETO GRAVADO]]*0.21)</f>
        <v>5978.9246999999996</v>
      </c>
      <c r="J22" s="281"/>
      <c r="K22" s="281"/>
      <c r="L22" s="281"/>
      <c r="M22" s="281"/>
      <c r="N22" s="281"/>
      <c r="O22" s="281"/>
      <c r="P22" s="282">
        <f>SUM(compras_mes11[[#This Row],[NETO GRAVADO]:[Otros / No Grav.]])</f>
        <v>34449.994699999996</v>
      </c>
      <c r="Q22" s="283" t="s">
        <v>1433</v>
      </c>
      <c r="R22" s="283">
        <f>IFERROR(IF(compras_mes11[[#This Row],[CUIT]]="","-",VLOOKUP(compras_mes11[[#This Row],[CUIT]],Lista_CUIT[#All],4,0)),"CUIT NO CARGADO")</f>
        <v>0</v>
      </c>
    </row>
    <row r="23" spans="2:18" x14ac:dyDescent="0.3">
      <c r="B23" s="40">
        <v>45338</v>
      </c>
      <c r="C23" s="41">
        <v>1</v>
      </c>
      <c r="D23" s="42">
        <v>3</v>
      </c>
      <c r="E23" s="43">
        <v>20549</v>
      </c>
      <c r="F23" s="44">
        <v>30707468161</v>
      </c>
      <c r="G23" s="45" t="str">
        <f>IFERROR(IF(compras_mes11[[#This Row],[CUIT]]="","-",VLOOKUP(compras_mes11[[#This Row],[CUIT]],Lista_CUIT[#All],2,0)),"CUIT NO CARGADO")</f>
        <v>LASERTEC INGENIERIA SOCIEDAD ANONIMA</v>
      </c>
      <c r="H23" s="46">
        <v>298725</v>
      </c>
      <c r="I23" s="85">
        <f>IF(compras_mes11[[#This Row],[NETO GRAVADO]]="","",compras_mes11[[#This Row],[NETO GRAVADO]]*0.21)</f>
        <v>62732.25</v>
      </c>
      <c r="J23" s="85"/>
      <c r="K23" s="85"/>
      <c r="L23" s="85"/>
      <c r="M23" s="85"/>
      <c r="N23" s="85"/>
      <c r="O23" s="85"/>
      <c r="P23" s="48">
        <f>SUM(compras_mes11[[#This Row],[NETO GRAVADO]:[Otros / No Grav.]])</f>
        <v>361457.25</v>
      </c>
      <c r="Q23" s="49" t="s">
        <v>1396</v>
      </c>
      <c r="R23" s="49">
        <f>IFERROR(IF(compras_mes11[[#This Row],[CUIT]]="","-",VLOOKUP(compras_mes11[[#This Row],[CUIT]],Lista_CUIT[#All],4,0)),"CUIT NO CARGADO")</f>
        <v>0</v>
      </c>
    </row>
    <row r="24" spans="2:18" x14ac:dyDescent="0.3">
      <c r="B24" s="40">
        <v>45343</v>
      </c>
      <c r="C24" s="41">
        <v>1</v>
      </c>
      <c r="D24" s="42">
        <v>11</v>
      </c>
      <c r="E24" s="43">
        <v>4932</v>
      </c>
      <c r="F24" s="44">
        <v>30710184816</v>
      </c>
      <c r="G24" s="45" t="str">
        <f>IFERROR(IF(compras_mes11[[#This Row],[CUIT]]="","-",VLOOKUP(compras_mes11[[#This Row],[CUIT]],Lista_CUIT[#All],2,0)),"CUIT NO CARGADO")</f>
        <v>INSUMOS SERVICOMP S.A.</v>
      </c>
      <c r="H24" s="46">
        <v>7862.8</v>
      </c>
      <c r="I24" s="85">
        <f>IF(compras_mes11[[#This Row],[NETO GRAVADO]]="","",compras_mes11[[#This Row],[NETO GRAVADO]]*0.21)</f>
        <v>1651.1879999999999</v>
      </c>
      <c r="J24" s="85"/>
      <c r="K24" s="85"/>
      <c r="L24" s="85"/>
      <c r="M24" s="85"/>
      <c r="N24" s="85"/>
      <c r="O24" s="85"/>
      <c r="P24" s="48">
        <f>SUM(compras_mes11[[#This Row],[NETO GRAVADO]:[Otros / No Grav.]])</f>
        <v>9513.9879999999994</v>
      </c>
      <c r="Q24" s="49" t="s">
        <v>1396</v>
      </c>
      <c r="R24" s="49">
        <f>IFERROR(IF(compras_mes11[[#This Row],[CUIT]]="","-",VLOOKUP(compras_mes11[[#This Row],[CUIT]],Lista_CUIT[#All],4,0)),"CUIT NO CARGADO")</f>
        <v>0</v>
      </c>
    </row>
    <row r="25" spans="2:18" x14ac:dyDescent="0.3">
      <c r="B25" s="40">
        <v>45351</v>
      </c>
      <c r="C25" s="41">
        <v>1</v>
      </c>
      <c r="D25" s="42">
        <v>6</v>
      </c>
      <c r="E25" s="43">
        <v>14117</v>
      </c>
      <c r="F25" s="44">
        <v>30707756434</v>
      </c>
      <c r="G25" s="45" t="str">
        <f>IFERROR(IF(compras_mes11[[#This Row],[CUIT]]="","-",VLOOKUP(compras_mes11[[#This Row],[CUIT]],Lista_CUIT[#All],2,0)),"CUIT NO CARGADO")</f>
        <v>SERVICIO INTEGRAL DE LIMPIEZA SRL</v>
      </c>
      <c r="H25" s="46">
        <v>153600</v>
      </c>
      <c r="I25" s="85">
        <f>IF(compras_mes11[[#This Row],[NETO GRAVADO]]="","",compras_mes11[[#This Row],[NETO GRAVADO]]*0.21)</f>
        <v>32256</v>
      </c>
      <c r="J25" s="85"/>
      <c r="K25" s="85"/>
      <c r="L25" s="85"/>
      <c r="M25" s="85"/>
      <c r="N25" s="85"/>
      <c r="O25" s="85"/>
      <c r="P25" s="48">
        <f>SUM(compras_mes11[[#This Row],[NETO GRAVADO]:[Otros / No Grav.]])</f>
        <v>185856</v>
      </c>
      <c r="Q25" s="49" t="str">
        <f>IFERROR(IF(compras_mes11[[#This Row],[CUIT]]="","-",VLOOKUP(compras_mes11[[#This Row],[CUIT]],Lista_CUIT[#All],3,0)),"CUIT NO CARGADO")</f>
        <v>Mantenimiento</v>
      </c>
      <c r="R25" s="49">
        <f>IFERROR(IF(compras_mes11[[#This Row],[CUIT]]="","-",VLOOKUP(compras_mes11[[#This Row],[CUIT]],Lista_CUIT[#All],4,0)),"CUIT NO CARGADO")</f>
        <v>0</v>
      </c>
    </row>
    <row r="26" spans="2:18" x14ac:dyDescent="0.3">
      <c r="B26" s="40">
        <v>45345</v>
      </c>
      <c r="C26" s="41">
        <v>1</v>
      </c>
      <c r="D26" s="42">
        <v>4</v>
      </c>
      <c r="E26" s="43">
        <v>100076</v>
      </c>
      <c r="F26" s="44">
        <v>30559932236</v>
      </c>
      <c r="G26" s="45" t="str">
        <f>IFERROR(IF(compras_mes11[[#This Row],[CUIT]]="","-",VLOOKUP(compras_mes11[[#This Row],[CUIT]],Lista_CUIT[#All],2,0)),"CUIT NO CARGADO")</f>
        <v>ELECTRONICA ELEMON S A</v>
      </c>
      <c r="H26" s="46">
        <v>209987.24</v>
      </c>
      <c r="I26" s="85">
        <v>36065.56</v>
      </c>
      <c r="J26" s="85"/>
      <c r="K26" s="85">
        <v>4015.88</v>
      </c>
      <c r="L26" s="85"/>
      <c r="M26" s="85"/>
      <c r="N26" s="85"/>
      <c r="O26" s="85"/>
      <c r="P26" s="48">
        <f>SUM(compras_mes11[[#This Row],[NETO GRAVADO]:[Otros / No Grav.]])</f>
        <v>250068.68</v>
      </c>
      <c r="Q26" s="49" t="str">
        <f>IFERROR(IF(compras_mes11[[#This Row],[CUIT]]="","-",VLOOKUP(compras_mes11[[#This Row],[CUIT]],Lista_CUIT[#All],3,0)),"CUIT NO CARGADO")</f>
        <v>Mat. Prima</v>
      </c>
      <c r="R26" s="49">
        <f>IFERROR(IF(compras_mes11[[#This Row],[CUIT]]="","-",VLOOKUP(compras_mes11[[#This Row],[CUIT]],Lista_CUIT[#All],4,0)),"CUIT NO CARGADO")</f>
        <v>0</v>
      </c>
    </row>
    <row r="27" spans="2:18" x14ac:dyDescent="0.3">
      <c r="B27" s="40">
        <v>45351</v>
      </c>
      <c r="C27" s="41">
        <v>1</v>
      </c>
      <c r="D27" s="42">
        <v>3</v>
      </c>
      <c r="E27" s="43">
        <v>5398</v>
      </c>
      <c r="F27" s="44">
        <v>30709665967</v>
      </c>
      <c r="G27" s="45" t="str">
        <f>IFERROR(IF(compras_mes11[[#This Row],[CUIT]]="","-",VLOOKUP(compras_mes11[[#This Row],[CUIT]],Lista_CUIT[#All],2,0)),"CUIT NO CARGADO")</f>
        <v>INDUSTRIAS FEMAN S.R.L.</v>
      </c>
      <c r="H27" s="46">
        <v>5832800</v>
      </c>
      <c r="I27" s="85">
        <f>IF(compras_mes11[[#This Row],[NETO GRAVADO]]="","",compras_mes11[[#This Row],[NETO GRAVADO]]*0.21)</f>
        <v>1224888</v>
      </c>
      <c r="J27" s="85"/>
      <c r="K27" s="85"/>
      <c r="L27" s="85"/>
      <c r="M27" s="85"/>
      <c r="N27" s="85"/>
      <c r="O27" s="85"/>
      <c r="P27" s="48">
        <f>SUM(compras_mes11[[#This Row],[NETO GRAVADO]:[Otros / No Grav.]])</f>
        <v>7057688</v>
      </c>
      <c r="Q27" s="49" t="str">
        <f>IFERROR(IF(compras_mes11[[#This Row],[CUIT]]="","-",VLOOKUP(compras_mes11[[#This Row],[CUIT]],Lista_CUIT[#All],3,0)),"CUIT NO CARGADO")</f>
        <v>Mat. Prima</v>
      </c>
      <c r="R27" s="49">
        <f>IFERROR(IF(compras_mes11[[#This Row],[CUIT]]="","-",VLOOKUP(compras_mes11[[#This Row],[CUIT]],Lista_CUIT[#All],4,0)),"CUIT NO CARGADO")</f>
        <v>0</v>
      </c>
    </row>
    <row r="28" spans="2:18" x14ac:dyDescent="0.3">
      <c r="B28" s="40">
        <v>45324</v>
      </c>
      <c r="C28" s="41">
        <v>1</v>
      </c>
      <c r="D28" s="42">
        <v>4</v>
      </c>
      <c r="E28" s="43">
        <v>46</v>
      </c>
      <c r="F28" s="44">
        <v>23205683399</v>
      </c>
      <c r="G28" s="45" t="str">
        <f>IFERROR(IF(compras_mes11[[#This Row],[CUIT]]="","-",VLOOKUP(compras_mes11[[#This Row],[CUIT]],Lista_CUIT[#All],2,0)),"CUIT NO CARGADO")</f>
        <v>MAGGESE JORGE LUIS</v>
      </c>
      <c r="H28" s="46">
        <v>24794</v>
      </c>
      <c r="I28" s="85">
        <f>IF(compras_mes11[[#This Row],[NETO GRAVADO]]="","",compras_mes11[[#This Row],[NETO GRAVADO]]*0.21)</f>
        <v>5206.74</v>
      </c>
      <c r="J28" s="85"/>
      <c r="K28" s="85"/>
      <c r="L28" s="85"/>
      <c r="M28" s="85"/>
      <c r="N28" s="85"/>
      <c r="O28" s="85"/>
      <c r="P28" s="48">
        <f>SUM(compras_mes11[[#This Row],[NETO GRAVADO]:[Otros / No Grav.]])</f>
        <v>30000.739999999998</v>
      </c>
      <c r="Q28" s="49" t="s">
        <v>1428</v>
      </c>
      <c r="R28" s="49">
        <f>IFERROR(IF(compras_mes11[[#This Row],[CUIT]]="","-",VLOOKUP(compras_mes11[[#This Row],[CUIT]],Lista_CUIT[#All],4,0)),"CUIT NO CARGADO")</f>
        <v>0</v>
      </c>
    </row>
    <row r="29" spans="2:18" x14ac:dyDescent="0.3">
      <c r="B29" s="40">
        <v>45324</v>
      </c>
      <c r="C29" s="41">
        <v>1</v>
      </c>
      <c r="D29" s="42">
        <v>2</v>
      </c>
      <c r="E29" s="43">
        <v>16362</v>
      </c>
      <c r="F29" s="44">
        <v>30624684628</v>
      </c>
      <c r="G29" s="45" t="str">
        <f>IFERROR(IF(compras_mes11[[#This Row],[CUIT]]="","-",VLOOKUP(compras_mes11[[#This Row],[CUIT]],Lista_CUIT[#All],2,0)),"CUIT NO CARGADO")</f>
        <v>MITSUKO ARGENTINA S R L</v>
      </c>
      <c r="H29" s="46">
        <v>563160</v>
      </c>
      <c r="I29" s="85">
        <f>IF(compras_mes11[[#This Row],[NETO GRAVADO]]="","",compras_mes11[[#This Row],[NETO GRAVADO]]*0.21)</f>
        <v>118263.59999999999</v>
      </c>
      <c r="J29" s="85"/>
      <c r="K29" s="85"/>
      <c r="L29" s="85"/>
      <c r="M29" s="85"/>
      <c r="N29" s="85"/>
      <c r="O29" s="85"/>
      <c r="P29" s="48">
        <f>SUM(compras_mes11[[#This Row],[NETO GRAVADO]:[Otros / No Grav.]])</f>
        <v>681423.6</v>
      </c>
      <c r="Q29" s="49" t="s">
        <v>1428</v>
      </c>
      <c r="R29" s="49">
        <f>IFERROR(IF(compras_mes11[[#This Row],[CUIT]]="","-",VLOOKUP(compras_mes11[[#This Row],[CUIT]],Lista_CUIT[#All],4,0)),"CUIT NO CARGADO")</f>
        <v>0</v>
      </c>
    </row>
    <row r="30" spans="2:18" x14ac:dyDescent="0.3">
      <c r="B30" s="275">
        <v>45327</v>
      </c>
      <c r="C30" s="208">
        <v>1</v>
      </c>
      <c r="D30" s="276">
        <v>6</v>
      </c>
      <c r="E30" s="277">
        <v>4083</v>
      </c>
      <c r="F30" s="278">
        <v>27325155804</v>
      </c>
      <c r="G30" s="279" t="str">
        <f>IFERROR(IF(compras_mes11[[#This Row],[CUIT]]="","-",VLOOKUP(compras_mes11[[#This Row],[CUIT]],Lista_CUIT[#All],2,0)),"CUIT NO CARGADO")</f>
        <v>ACOSTA MARIA EUGENIA</v>
      </c>
      <c r="H30" s="280">
        <v>51654.05</v>
      </c>
      <c r="I30" s="281">
        <f>IF(compras_mes11[[#This Row],[NETO GRAVADO]]="","",compras_mes11[[#This Row],[NETO GRAVADO]]*0.21)</f>
        <v>10847.3505</v>
      </c>
      <c r="J30" s="281"/>
      <c r="K30" s="281"/>
      <c r="L30" s="281"/>
      <c r="M30" s="281"/>
      <c r="N30" s="281"/>
      <c r="O30" s="281"/>
      <c r="P30" s="282">
        <f>SUM(compras_mes11[[#This Row],[NETO GRAVADO]:[Otros / No Grav.]])</f>
        <v>62501.400500000003</v>
      </c>
      <c r="Q30" s="283" t="s">
        <v>1428</v>
      </c>
      <c r="R30" s="283">
        <f>IFERROR(IF(compras_mes11[[#This Row],[CUIT]]="","-",VLOOKUP(compras_mes11[[#This Row],[CUIT]],Lista_CUIT[#All],4,0)),"CUIT NO CARGADO")</f>
        <v>0</v>
      </c>
    </row>
    <row r="31" spans="2:18" x14ac:dyDescent="0.3">
      <c r="B31" s="40">
        <v>45328</v>
      </c>
      <c r="C31" s="41">
        <v>1</v>
      </c>
      <c r="D31" s="42">
        <v>3</v>
      </c>
      <c r="E31" s="43">
        <v>112</v>
      </c>
      <c r="F31" s="44">
        <v>20297899830</v>
      </c>
      <c r="G31" s="45" t="str">
        <f>IFERROR(IF(compras_mes11[[#This Row],[CUIT]]="","-",VLOOKUP(compras_mes11[[#This Row],[CUIT]],Lista_CUIT[#All],2,0)),"CUIT NO CARGADO")</f>
        <v>FUNK MATIAS NICOLAS</v>
      </c>
      <c r="H31" s="46">
        <v>5626199</v>
      </c>
      <c r="I31" s="85">
        <f>IF(compras_mes11[[#This Row],[NETO GRAVADO]]="","",compras_mes11[[#This Row],[NETO GRAVADO]]*0.21)</f>
        <v>1181501.79</v>
      </c>
      <c r="J31" s="85"/>
      <c r="K31" s="85"/>
      <c r="L31" s="85"/>
      <c r="M31" s="85"/>
      <c r="N31" s="85"/>
      <c r="O31" s="85"/>
      <c r="P31" s="48">
        <f>SUM(compras_mes11[[#This Row],[NETO GRAVADO]:[Otros / No Grav.]])</f>
        <v>6807700.79</v>
      </c>
      <c r="Q31" s="49" t="s">
        <v>1428</v>
      </c>
      <c r="R31" s="49">
        <f>IFERROR(IF(compras_mes11[[#This Row],[CUIT]]="","-",VLOOKUP(compras_mes11[[#This Row],[CUIT]],Lista_CUIT[#All],4,0)),"CUIT NO CARGADO")</f>
        <v>0</v>
      </c>
    </row>
    <row r="32" spans="2:18" x14ac:dyDescent="0.3">
      <c r="B32" s="275">
        <v>45344</v>
      </c>
      <c r="C32" s="208">
        <v>1</v>
      </c>
      <c r="D32" s="276">
        <v>9</v>
      </c>
      <c r="E32" s="277">
        <v>2513</v>
      </c>
      <c r="F32" s="278">
        <v>33711308429</v>
      </c>
      <c r="G32" s="279" t="str">
        <f>IFERROR(IF(compras_mes11[[#This Row],[CUIT]]="","-",VLOOKUP(compras_mes11[[#This Row],[CUIT]],Lista_CUIT[#All],2,0)),"CUIT NO CARGADO")</f>
        <v>MOTORES ELECTROMECANICA ATLAS S.A.</v>
      </c>
      <c r="H32" s="280">
        <v>148000</v>
      </c>
      <c r="I32" s="281">
        <f>IF(compras_mes11[[#This Row],[NETO GRAVADO]]="","",compras_mes11[[#This Row],[NETO GRAVADO]]*0.21)</f>
        <v>31080</v>
      </c>
      <c r="J32" s="281"/>
      <c r="K32" s="281"/>
      <c r="L32" s="281"/>
      <c r="M32" s="281"/>
      <c r="N32" s="281"/>
      <c r="O32" s="281"/>
      <c r="P32" s="282">
        <f>SUM(compras_mes11[[#This Row],[NETO GRAVADO]:[Otros / No Grav.]])</f>
        <v>179080</v>
      </c>
      <c r="Q32" s="283" t="s">
        <v>1428</v>
      </c>
      <c r="R32" s="283">
        <f>IFERROR(IF(compras_mes11[[#This Row],[CUIT]]="","-",VLOOKUP(compras_mes11[[#This Row],[CUIT]],Lista_CUIT[#All],4,0)),"CUIT NO CARGADO")</f>
        <v>0</v>
      </c>
    </row>
    <row r="33" spans="2:18" x14ac:dyDescent="0.3">
      <c r="B33" s="40">
        <v>45345</v>
      </c>
      <c r="C33" s="41">
        <v>1</v>
      </c>
      <c r="D33" s="42">
        <v>5</v>
      </c>
      <c r="E33" s="43">
        <v>70958</v>
      </c>
      <c r="F33" s="44">
        <v>30692857611</v>
      </c>
      <c r="G33" s="45" t="str">
        <f>IFERROR(IF(compras_mes11[[#This Row],[CUIT]]="","-",VLOOKUP(compras_mes11[[#This Row],[CUIT]],Lista_CUIT[#All],2,0)),"CUIT NO CARGADO")</f>
        <v>BAGUI S A</v>
      </c>
      <c r="H33" s="46">
        <v>1691409.72</v>
      </c>
      <c r="I33" s="85">
        <f>IF(compras_mes11[[#This Row],[NETO GRAVADO]]="","",compras_mes11[[#This Row],[NETO GRAVADO]]*0.21)</f>
        <v>355196.04119999998</v>
      </c>
      <c r="J33" s="85"/>
      <c r="K33" s="85"/>
      <c r="L33" s="85"/>
      <c r="M33" s="85"/>
      <c r="N33" s="85"/>
      <c r="O33" s="85"/>
      <c r="P33" s="48">
        <f>SUM(compras_mes11[[#This Row],[NETO GRAVADO]:[Otros / No Grav.]])</f>
        <v>2046605.7612000001</v>
      </c>
      <c r="Q33" s="49" t="s">
        <v>119</v>
      </c>
      <c r="R33" s="49">
        <f>IFERROR(IF(compras_mes11[[#This Row],[CUIT]]="","-",VLOOKUP(compras_mes11[[#This Row],[CUIT]],Lista_CUIT[#All],4,0)),"CUIT NO CARGADO")</f>
        <v>0</v>
      </c>
    </row>
    <row r="34" spans="2:18" x14ac:dyDescent="0.3">
      <c r="B34" s="40">
        <v>45333</v>
      </c>
      <c r="C34" s="41">
        <v>1</v>
      </c>
      <c r="D34" s="42">
        <v>2466</v>
      </c>
      <c r="E34" s="43">
        <v>612908</v>
      </c>
      <c r="F34" s="44">
        <v>30678814357</v>
      </c>
      <c r="G34" s="45" t="str">
        <f>IFERROR(IF(compras_mes11[[#This Row],[CUIT]]="","-",VLOOKUP(compras_mes11[[#This Row],[CUIT]],Lista_CUIT[#All],2,0)),"CUIT NO CARGADO")</f>
        <v>TELEFONICA MOVILES ARG</v>
      </c>
      <c r="H34" s="46">
        <v>11567</v>
      </c>
      <c r="I34" s="85"/>
      <c r="J34" s="85">
        <v>3123.09</v>
      </c>
      <c r="K34" s="85"/>
      <c r="L34" s="85">
        <v>347.01</v>
      </c>
      <c r="M34" s="85"/>
      <c r="N34" s="85"/>
      <c r="O34" s="85">
        <v>608.78</v>
      </c>
      <c r="P34" s="48">
        <f>SUM(compras_mes11[[#This Row],[NETO GRAVADO]:[Otros / No Grav.]])</f>
        <v>15645.880000000001</v>
      </c>
      <c r="Q34" s="49" t="str">
        <f>IFERROR(IF(compras_mes11[[#This Row],[CUIT]]="","-",VLOOKUP(compras_mes11[[#This Row],[CUIT]],Lista_CUIT[#All],3,0)),"CUIT NO CARGADO")</f>
        <v>SERVICIOS</v>
      </c>
      <c r="R34" s="49">
        <f>IFERROR(IF(compras_mes11[[#This Row],[CUIT]]="","-",VLOOKUP(compras_mes11[[#This Row],[CUIT]],Lista_CUIT[#All],4,0)),"CUIT NO CARGADO")</f>
        <v>0</v>
      </c>
    </row>
    <row r="35" spans="2:18" s="56" customFormat="1" ht="18.600000000000001" customHeight="1" x14ac:dyDescent="0.3">
      <c r="B35" s="40">
        <v>45323</v>
      </c>
      <c r="C35" s="41">
        <v>1</v>
      </c>
      <c r="D35" s="42">
        <v>3</v>
      </c>
      <c r="E35" s="43">
        <v>217815</v>
      </c>
      <c r="F35" s="44">
        <v>30707135596</v>
      </c>
      <c r="G35" s="45" t="str">
        <f>IFERROR(IF(compras_mes11[[#This Row],[CUIT]]="","-",VLOOKUP(compras_mes11[[#This Row],[CUIT]],Lista_CUIT[#All],2,0)),"CUIT NO CARGADO")</f>
        <v>CITILAN ARGENTINA S.A.</v>
      </c>
      <c r="H35" s="46">
        <v>12400.51</v>
      </c>
      <c r="I35" s="85">
        <f>IF(compras_mes11[[#This Row],[NETO GRAVADO]]="","",compras_mes11[[#This Row],[NETO GRAVADO]]*0.21)</f>
        <v>2604.1071000000002</v>
      </c>
      <c r="J35" s="85"/>
      <c r="K35" s="85"/>
      <c r="L35" s="85"/>
      <c r="M35" s="85"/>
      <c r="N35" s="85"/>
      <c r="O35" s="85"/>
      <c r="P35" s="48">
        <f>SUM(compras_mes11[[#This Row],[NETO GRAVADO]:[Otros / No Grav.]])</f>
        <v>15004.617099999999</v>
      </c>
      <c r="Q35" s="49" t="str">
        <f>IFERROR(IF(compras_mes11[[#This Row],[CUIT]]="","-",VLOOKUP(compras_mes11[[#This Row],[CUIT]],Lista_CUIT[#All],3,0)),"CUIT NO CARGADO")</f>
        <v>Servicios Gas, Luz, Etc</v>
      </c>
      <c r="R35" s="49">
        <f>IFERROR(IF(compras_mes11[[#This Row],[CUIT]]="","-",VLOOKUP(compras_mes11[[#This Row],[CUIT]],Lista_CUIT[#All],4,0)),"CUIT NO CARGADO")</f>
        <v>0</v>
      </c>
    </row>
    <row r="36" spans="2:18" x14ac:dyDescent="0.3">
      <c r="B36" s="96" t="s">
        <v>110</v>
      </c>
      <c r="C36" s="96"/>
      <c r="D36" s="96"/>
      <c r="E36" s="96"/>
      <c r="F36" s="96"/>
      <c r="G36" s="97"/>
      <c r="H36" s="98">
        <f>SUBTOTAL(109,compras_mes11[NETO GRAVADO])</f>
        <v>16209197.090000002</v>
      </c>
      <c r="I36" s="98">
        <f>SUBTOTAL(109,compras_mes11[IVA 21 %])</f>
        <v>3288472.3687</v>
      </c>
      <c r="J36" s="98">
        <f>SUBTOTAL(109,compras_mes11[IVA 27%])</f>
        <v>3123.09</v>
      </c>
      <c r="K36" s="98">
        <f>SUBTOTAL(109,compras_mes11[IVA 10,5%])</f>
        <v>56514.969999999994</v>
      </c>
      <c r="L36" s="98">
        <f>SUBTOTAL(109,compras_mes11[PERC. IVA])</f>
        <v>347.01</v>
      </c>
      <c r="M36" s="98">
        <f>SUBTOTAL(109,compras_mes11[PERC IIBB 
BS AS])</f>
        <v>0</v>
      </c>
      <c r="N36" s="98">
        <f>SUBTOTAL(109,compras_mes11[PERC. IIBB CABA])</f>
        <v>0</v>
      </c>
      <c r="O36" s="98">
        <f>SUBTOTAL(109,compras_mes11[Otros / No Grav.])</f>
        <v>608.78</v>
      </c>
      <c r="P36" s="98">
        <f>SUBTOTAL(109,compras_mes11[TOTAL])</f>
        <v>19558263.308699999</v>
      </c>
      <c r="Q36" s="96"/>
      <c r="R36" s="96"/>
    </row>
    <row r="37" spans="2:18" x14ac:dyDescent="0.3">
      <c r="B37" s="40"/>
      <c r="C37" s="41"/>
      <c r="D37" s="42"/>
      <c r="E37" s="43"/>
      <c r="F37" s="44"/>
      <c r="G37" s="45"/>
      <c r="H37" s="46"/>
      <c r="I37" s="47"/>
      <c r="J37" s="47"/>
      <c r="K37" s="47"/>
      <c r="L37" s="47"/>
      <c r="M37" s="47"/>
      <c r="N37" s="47"/>
      <c r="O37" s="47"/>
      <c r="P37" s="48"/>
      <c r="Q37" s="49"/>
      <c r="R37" s="49"/>
    </row>
    <row r="38" spans="2:18" x14ac:dyDescent="0.3">
      <c r="B38" s="40"/>
      <c r="C38" s="41"/>
      <c r="D38" s="42"/>
      <c r="E38" s="43"/>
      <c r="F38" s="44"/>
      <c r="G38" s="45"/>
      <c r="H38" s="46"/>
      <c r="I38" s="47"/>
      <c r="J38" s="47"/>
      <c r="K38" s="47"/>
      <c r="L38" s="47"/>
      <c r="M38" s="47"/>
      <c r="N38" s="47"/>
      <c r="O38" s="47"/>
      <c r="P38" s="48"/>
      <c r="Q38" s="49"/>
      <c r="R38" s="49"/>
    </row>
    <row r="39" spans="2:18" ht="14.4" customHeight="1" x14ac:dyDescent="0.3">
      <c r="B39" s="40"/>
      <c r="C39" s="41"/>
      <c r="D39" s="42"/>
      <c r="E39" s="43"/>
      <c r="F39" s="44"/>
      <c r="G39" s="45"/>
      <c r="H39" s="46"/>
      <c r="I39" s="47"/>
      <c r="J39" s="47"/>
      <c r="K39" s="47"/>
      <c r="L39" s="47"/>
      <c r="M39" s="47"/>
      <c r="N39" s="47"/>
      <c r="O39" s="47"/>
      <c r="P39" s="48"/>
      <c r="Q39" s="49"/>
      <c r="R39" s="49"/>
    </row>
    <row r="40" spans="2:18" ht="22.95" customHeight="1" x14ac:dyDescent="0.3">
      <c r="B40" s="40"/>
      <c r="C40" s="41"/>
      <c r="D40" s="42"/>
      <c r="E40" s="43"/>
      <c r="F40" s="44"/>
      <c r="G40" s="45"/>
      <c r="H40" s="46"/>
      <c r="I40" s="47"/>
      <c r="J40" s="47"/>
      <c r="K40" s="47"/>
      <c r="L40" s="47"/>
    </row>
    <row r="41" spans="2:18" ht="25.95" customHeight="1" x14ac:dyDescent="0.3">
      <c r="D41" s="414" t="s">
        <v>15</v>
      </c>
      <c r="E41" s="414"/>
      <c r="F41" s="414"/>
      <c r="G41" s="414"/>
      <c r="H41" s="414"/>
      <c r="I41" s="414"/>
      <c r="J41" s="414"/>
      <c r="K41" s="414"/>
      <c r="L41" s="414"/>
    </row>
    <row r="42" spans="2:18" ht="14.4" customHeight="1" x14ac:dyDescent="0.3">
      <c r="D42" s="73" t="s">
        <v>0</v>
      </c>
      <c r="E42" s="74" t="s">
        <v>26</v>
      </c>
      <c r="F42" s="74" t="s">
        <v>16</v>
      </c>
      <c r="G42" s="74" t="s">
        <v>5</v>
      </c>
      <c r="H42" s="74" t="s">
        <v>17</v>
      </c>
      <c r="I42" s="74" t="s">
        <v>7</v>
      </c>
      <c r="J42" s="75" t="s">
        <v>18</v>
      </c>
      <c r="K42" s="75" t="s">
        <v>19</v>
      </c>
      <c r="L42" s="76" t="s">
        <v>20</v>
      </c>
    </row>
    <row r="43" spans="2:18" ht="14.4" customHeight="1" x14ac:dyDescent="0.3">
      <c r="D43" s="50"/>
      <c r="E43" s="79"/>
      <c r="F43" s="80" t="s">
        <v>1332</v>
      </c>
      <c r="G43" s="81">
        <f>(extracto_banco_mes11[[#This Row],[IVA 21%]]*100/21)+extracto_banco_mes11[[#This Row],[IVA 10,5%]]*100/10.5</f>
        <v>7470.2857142857147</v>
      </c>
      <c r="H43" s="81">
        <v>63</v>
      </c>
      <c r="I43" s="81">
        <v>752.88</v>
      </c>
      <c r="J43" s="81">
        <v>1.78</v>
      </c>
      <c r="K43" s="81">
        <v>107.55</v>
      </c>
      <c r="L43" s="81"/>
    </row>
    <row r="44" spans="2:18" ht="15" customHeight="1" x14ac:dyDescent="0.3">
      <c r="D44" s="50"/>
      <c r="E44" s="79"/>
      <c r="F44" s="80" t="s">
        <v>1243</v>
      </c>
      <c r="G44" s="81">
        <v>34821.5</v>
      </c>
      <c r="H44" s="81">
        <f>extracto_banco_mes11[[#This Row],[NETO]]*0.21</f>
        <v>7312.5149999999994</v>
      </c>
      <c r="I44" s="81"/>
      <c r="J44" s="81"/>
      <c r="K44" s="81">
        <f>810.65+180</f>
        <v>990.65</v>
      </c>
      <c r="L44" s="81"/>
    </row>
    <row r="45" spans="2:18" ht="15" customHeight="1" x14ac:dyDescent="0.3">
      <c r="D45" s="50">
        <v>45345</v>
      </c>
      <c r="E45" s="79" t="s">
        <v>1360</v>
      </c>
      <c r="F45" s="80" t="s">
        <v>1249</v>
      </c>
      <c r="G45" s="81">
        <v>62872.5</v>
      </c>
      <c r="H45" s="81">
        <v>13203.23</v>
      </c>
      <c r="I45" s="81"/>
      <c r="J45" s="81">
        <v>1886.18</v>
      </c>
      <c r="K45" s="81"/>
      <c r="L45" s="81"/>
    </row>
    <row r="46" spans="2:18" ht="15" customHeight="1" x14ac:dyDescent="0.3">
      <c r="D46" s="82" t="s">
        <v>110</v>
      </c>
      <c r="E46" s="80"/>
      <c r="F46" s="80"/>
      <c r="G46" s="83">
        <f>SUBTOTAL(109,extracto_banco_mes11[NETO])</f>
        <v>105164.28571428571</v>
      </c>
      <c r="H46" s="83">
        <f>SUBTOTAL(109,extracto_banco_mes11[IVA 21%])</f>
        <v>20578.744999999999</v>
      </c>
      <c r="I46" s="83">
        <f>SUBTOTAL(109,extracto_banco_mes11[IVA 10,5%])</f>
        <v>752.88</v>
      </c>
      <c r="J46" s="83">
        <f>SUBTOTAL(109,extracto_banco_mes11[RET IIBB CABA])</f>
        <v>1887.96</v>
      </c>
      <c r="K46" s="83">
        <f>SUBTOTAL(109,extracto_banco_mes11[PERC IVA])</f>
        <v>1098.2</v>
      </c>
      <c r="L46" s="83">
        <f>SUBTOTAL(109,extracto_banco_mes11[PERC IIBB])</f>
        <v>0</v>
      </c>
    </row>
    <row r="47" spans="2:18" ht="15" customHeight="1" x14ac:dyDescent="0.3"/>
    <row r="48" spans="2:18" ht="15" customHeight="1" x14ac:dyDescent="0.3"/>
    <row r="49" spans="4:11" ht="23.4" customHeight="1" x14ac:dyDescent="0.3"/>
    <row r="50" spans="4:11" ht="38.4" customHeight="1" x14ac:dyDescent="0.3">
      <c r="D50" s="414" t="s">
        <v>25</v>
      </c>
      <c r="E50" s="414"/>
      <c r="F50" s="414"/>
      <c r="G50" s="414"/>
      <c r="H50" s="414"/>
      <c r="I50" s="414"/>
      <c r="J50" s="414"/>
      <c r="K50" s="414"/>
    </row>
    <row r="51" spans="4:11" x14ac:dyDescent="0.3">
      <c r="D51" s="51" t="s">
        <v>0</v>
      </c>
      <c r="E51" s="51" t="s">
        <v>2</v>
      </c>
      <c r="F51" s="51" t="s">
        <v>74</v>
      </c>
      <c r="G51" s="51" t="s">
        <v>3</v>
      </c>
      <c r="H51" s="51" t="s">
        <v>4</v>
      </c>
      <c r="I51" s="52" t="s">
        <v>10</v>
      </c>
      <c r="J51" s="51" t="s">
        <v>13</v>
      </c>
      <c r="K51" s="51" t="s">
        <v>38</v>
      </c>
    </row>
    <row r="52" spans="4:11" x14ac:dyDescent="0.3">
      <c r="D52" s="50">
        <v>45327</v>
      </c>
      <c r="E52" s="42">
        <v>3</v>
      </c>
      <c r="F52" s="43">
        <v>822</v>
      </c>
      <c r="G52" s="44">
        <v>20086277523</v>
      </c>
      <c r="H52" s="53" t="str">
        <f>IFERROR(IF(factura_c_mes11[[#This Row],[CUIT]]="","-",VLOOKUP(factura_c_mes11[[#This Row],[CUIT]],Lista_CUIT[#All],2,0)),"CUIT NO CARGADO")</f>
        <v>ESTUDIO BOTINDARI</v>
      </c>
      <c r="I52" s="81">
        <v>160000</v>
      </c>
      <c r="J52" s="54" t="str">
        <f>IFERROR(IF(factura_c_mes11[[#This Row],[CUIT]]="","-",VLOOKUP(factura_c_mes11[[#This Row],[CUIT]],Lista_CUIT[#All],3,0)),"CUIT NO CARGADO")</f>
        <v>HONORARIOS</v>
      </c>
      <c r="K52" s="54">
        <f>IFERROR(IF(factura_c_mes11[[#This Row],[CUIT]]="","-",VLOOKUP(factura_c_mes11[[#This Row],[CUIT]],Lista_CUIT[#All],4,0)),"CUIT NO CARGADO")</f>
        <v>0</v>
      </c>
    </row>
    <row r="53" spans="4:11" x14ac:dyDescent="0.3">
      <c r="D53" s="50">
        <v>45328</v>
      </c>
      <c r="E53" s="42">
        <v>1</v>
      </c>
      <c r="F53" s="43">
        <v>278</v>
      </c>
      <c r="G53" s="44">
        <v>27925308884</v>
      </c>
      <c r="H53" s="53" t="str">
        <f>IFERROR(IF(factura_c_mes11[[#This Row],[CUIT]]="","-",VLOOKUP(factura_c_mes11[[#This Row],[CUIT]],Lista_CUIT[#All],2,0)),"CUIT NO CARGADO")</f>
        <v>LOPEZ LOPEZ FLAVIA</v>
      </c>
      <c r="I53" s="81">
        <v>12000</v>
      </c>
      <c r="J53" s="54">
        <f>IFERROR(IF(factura_c_mes11[[#This Row],[CUIT]]="","-",VLOOKUP(factura_c_mes11[[#This Row],[CUIT]],Lista_CUIT[#All],3,0)),"CUIT NO CARGADO")</f>
        <v>0</v>
      </c>
      <c r="K53" s="54">
        <f>IFERROR(IF(factura_c_mes11[[#This Row],[CUIT]]="","-",VLOOKUP(factura_c_mes11[[#This Row],[CUIT]],Lista_CUIT[#All],4,0)),"CUIT NO CARGADO")</f>
        <v>0</v>
      </c>
    </row>
    <row r="54" spans="4:11" x14ac:dyDescent="0.3">
      <c r="D54" s="50">
        <v>45328</v>
      </c>
      <c r="E54" s="42">
        <v>4</v>
      </c>
      <c r="F54" s="43">
        <v>22</v>
      </c>
      <c r="G54" s="44">
        <v>20341462933</v>
      </c>
      <c r="H54" s="53" t="str">
        <f>IFERROR(IF(factura_c_mes11[[#This Row],[CUIT]]="","-",VLOOKUP(factura_c_mes11[[#This Row],[CUIT]],Lista_CUIT[#All],2,0)),"CUIT NO CARGADO")</f>
        <v>CASTIGLIONI MATIAS EZEQUIEL</v>
      </c>
      <c r="I54" s="81">
        <v>630000</v>
      </c>
      <c r="J54" s="54" t="str">
        <f>IFERROR(IF(factura_c_mes11[[#This Row],[CUIT]]="","-",VLOOKUP(factura_c_mes11[[#This Row],[CUIT]],Lista_CUIT[#All],3,0)),"CUIT NO CARGADO")</f>
        <v>ASESORAMIENTO</v>
      </c>
      <c r="K54" s="54" t="str">
        <f>IFERROR(IF(factura_c_mes11[[#This Row],[CUIT]]="","-",VLOOKUP(factura_c_mes11[[#This Row],[CUIT]],Lista_CUIT[#All],4,0)),"CUIT NO CARGADO")</f>
        <v>BUENOS AIRES</v>
      </c>
    </row>
    <row r="55" spans="4:11" x14ac:dyDescent="0.3">
      <c r="D55" s="305">
        <v>45329</v>
      </c>
      <c r="E55" s="276">
        <v>2</v>
      </c>
      <c r="F55" s="277">
        <v>126</v>
      </c>
      <c r="G55" s="278">
        <v>27125997835</v>
      </c>
      <c r="H55" s="354" t="str">
        <f>IFERROR(IF(factura_c_mes11[[#This Row],[CUIT]]="","-",VLOOKUP(factura_c_mes11[[#This Row],[CUIT]],Lista_CUIT[#All],2,0)),"CUIT NO CARGADO")</f>
        <v>DANSKY ULLMANN VIVIANA EVA YOLANDA</v>
      </c>
      <c r="I55" s="355">
        <v>76000</v>
      </c>
      <c r="J55" s="356">
        <f>IFERROR(IF(factura_c_mes11[[#This Row],[CUIT]]="","-",VLOOKUP(factura_c_mes11[[#This Row],[CUIT]],Lista_CUIT[#All],3,0)),"CUIT NO CARGADO")</f>
        <v>0</v>
      </c>
      <c r="K55" s="356">
        <f>IFERROR(IF(factura_c_mes11[[#This Row],[CUIT]]="","-",VLOOKUP(factura_c_mes11[[#This Row],[CUIT]],Lista_CUIT[#All],4,0)),"CUIT NO CARGADO")</f>
        <v>0</v>
      </c>
    </row>
    <row r="56" spans="4:11" x14ac:dyDescent="0.3">
      <c r="D56" s="50">
        <v>45330</v>
      </c>
      <c r="E56" s="42">
        <v>4</v>
      </c>
      <c r="F56" s="43">
        <v>23</v>
      </c>
      <c r="G56" s="44">
        <v>20341462933</v>
      </c>
      <c r="H56" s="53" t="str">
        <f>IFERROR(IF(factura_c_mes11[[#This Row],[CUIT]]="","-",VLOOKUP(factura_c_mes11[[#This Row],[CUIT]],Lista_CUIT[#All],2,0)),"CUIT NO CARGADO")</f>
        <v>CASTIGLIONI MATIAS EZEQUIEL</v>
      </c>
      <c r="I56" s="81">
        <v>570000</v>
      </c>
      <c r="J56" s="54" t="str">
        <f>IFERROR(IF(factura_c_mes11[[#This Row],[CUIT]]="","-",VLOOKUP(factura_c_mes11[[#This Row],[CUIT]],Lista_CUIT[#All],3,0)),"CUIT NO CARGADO")</f>
        <v>ASESORAMIENTO</v>
      </c>
      <c r="K56" s="54" t="str">
        <f>IFERROR(IF(factura_c_mes11[[#This Row],[CUIT]]="","-",VLOOKUP(factura_c_mes11[[#This Row],[CUIT]],Lista_CUIT[#All],4,0)),"CUIT NO CARGADO")</f>
        <v>BUENOS AIRES</v>
      </c>
    </row>
    <row r="57" spans="4:11" x14ac:dyDescent="0.3">
      <c r="D57" s="50">
        <v>45336</v>
      </c>
      <c r="E57" s="42">
        <v>2</v>
      </c>
      <c r="F57" s="43">
        <v>232</v>
      </c>
      <c r="G57" s="44">
        <v>27173820866</v>
      </c>
      <c r="H57" s="53" t="str">
        <f>IFERROR(IF(factura_c_mes11[[#This Row],[CUIT]]="","-",VLOOKUP(factura_c_mes11[[#This Row],[CUIT]],Lista_CUIT[#All],2,0)),"CUIT NO CARGADO")</f>
        <v>FREIER SANDRA DANIELA</v>
      </c>
      <c r="I57" s="81">
        <v>500000</v>
      </c>
      <c r="J57" s="54" t="str">
        <f>IFERROR(IF(factura_c_mes11[[#This Row],[CUIT]]="","-",VLOOKUP(factura_c_mes11[[#This Row],[CUIT]],Lista_CUIT[#All],3,0)),"CUIT NO CARGADO")</f>
        <v>HONORARIOS</v>
      </c>
      <c r="K57" s="54">
        <f>IFERROR(IF(factura_c_mes11[[#This Row],[CUIT]]="","-",VLOOKUP(factura_c_mes11[[#This Row],[CUIT]],Lista_CUIT[#All],4,0)),"CUIT NO CARGADO")</f>
        <v>0</v>
      </c>
    </row>
    <row r="58" spans="4:11" x14ac:dyDescent="0.3">
      <c r="D58" s="305">
        <v>45342</v>
      </c>
      <c r="E58" s="276">
        <v>2</v>
      </c>
      <c r="F58" s="277">
        <v>726</v>
      </c>
      <c r="G58" s="278">
        <v>20400104094</v>
      </c>
      <c r="H58" s="354" t="str">
        <f>IFERROR(IF(factura_c_mes11[[#This Row],[CUIT]]="","-",VLOOKUP(factura_c_mes11[[#This Row],[CUIT]],Lista_CUIT[#All],2,0)),"CUIT NO CARGADO")</f>
        <v>FEDERICO BOTINDARI</v>
      </c>
      <c r="I58" s="355">
        <v>38745</v>
      </c>
      <c r="J58" s="356" t="str">
        <f>IFERROR(IF(factura_c_mes11[[#This Row],[CUIT]]="","-",VLOOKUP(factura_c_mes11[[#This Row],[CUIT]],Lista_CUIT[#All],3,0)),"CUIT NO CARGADO")</f>
        <v>HONORARIOS</v>
      </c>
      <c r="K58" s="356">
        <f>IFERROR(IF(factura_c_mes11[[#This Row],[CUIT]]="","-",VLOOKUP(factura_c_mes11[[#This Row],[CUIT]],Lista_CUIT[#All],4,0)),"CUIT NO CARGADO")</f>
        <v>0</v>
      </c>
    </row>
    <row r="59" spans="4:11" x14ac:dyDescent="0.3">
      <c r="D59" s="50">
        <v>45342</v>
      </c>
      <c r="E59" s="42">
        <v>2</v>
      </c>
      <c r="F59" s="43">
        <v>167</v>
      </c>
      <c r="G59" s="44">
        <v>20136544625</v>
      </c>
      <c r="H59" s="53" t="str">
        <f>IFERROR(IF(factura_c_mes11[[#This Row],[CUIT]]="","-",VLOOKUP(factura_c_mes11[[#This Row],[CUIT]],Lista_CUIT[#All],2,0)),"CUIT NO CARGADO")</f>
        <v>RODRIGUEZ DE LA FUEN HECTOR MARCELO</v>
      </c>
      <c r="I59" s="81">
        <v>500000</v>
      </c>
      <c r="J59" s="54" t="str">
        <f>IFERROR(IF(factura_c_mes11[[#This Row],[CUIT]]="","-",VLOOKUP(factura_c_mes11[[#This Row],[CUIT]],Lista_CUIT[#All],3,0)),"CUIT NO CARGADO")</f>
        <v>Hon. Admin.</v>
      </c>
      <c r="K59" s="54">
        <f>IFERROR(IF(factura_c_mes11[[#This Row],[CUIT]]="","-",VLOOKUP(factura_c_mes11[[#This Row],[CUIT]],Lista_CUIT[#All],4,0)),"CUIT NO CARGADO")</f>
        <v>0</v>
      </c>
    </row>
    <row r="60" spans="4:11" x14ac:dyDescent="0.3">
      <c r="D60" s="50">
        <v>45344</v>
      </c>
      <c r="E60" s="42">
        <v>4</v>
      </c>
      <c r="F60" s="43">
        <v>59</v>
      </c>
      <c r="G60" s="44">
        <v>23214737914</v>
      </c>
      <c r="H60" s="53" t="str">
        <f>IFERROR(IF(factura_c_mes11[[#This Row],[CUIT]]="","-",VLOOKUP(factura_c_mes11[[#This Row],[CUIT]],Lista_CUIT[#All],2,0)),"CUIT NO CARGADO")</f>
        <v>SBARRA GABRIELA BEATRIZ</v>
      </c>
      <c r="I60" s="81">
        <v>815740</v>
      </c>
      <c r="J60" s="54">
        <f>IFERROR(IF(factura_c_mes11[[#This Row],[CUIT]]="","-",VLOOKUP(factura_c_mes11[[#This Row],[CUIT]],Lista_CUIT[#All],3,0)),"CUIT NO CARGADO")</f>
        <v>0</v>
      </c>
      <c r="K60" s="54">
        <f>IFERROR(IF(factura_c_mes11[[#This Row],[CUIT]]="","-",VLOOKUP(factura_c_mes11[[#This Row],[CUIT]],Lista_CUIT[#All],4,0)),"CUIT NO CARGADO")</f>
        <v>0</v>
      </c>
    </row>
    <row r="61" spans="4:11" x14ac:dyDescent="0.3">
      <c r="D61" s="50">
        <v>45349</v>
      </c>
      <c r="E61" s="42">
        <v>1</v>
      </c>
      <c r="F61" s="43">
        <v>322</v>
      </c>
      <c r="G61" s="44">
        <v>27925308868</v>
      </c>
      <c r="H61" s="53" t="str">
        <f>IFERROR(IF(factura_c_mes11[[#This Row],[CUIT]]="","-",VLOOKUP(factura_c_mes11[[#This Row],[CUIT]],Lista_CUIT[#All],2,0)),"CUIT NO CARGADO")</f>
        <v>LOPEZ MOLINA MARIA</v>
      </c>
      <c r="I61" s="81">
        <v>4000</v>
      </c>
      <c r="J61" s="54">
        <f>IFERROR(IF(factura_c_mes11[[#This Row],[CUIT]]="","-",VLOOKUP(factura_c_mes11[[#This Row],[CUIT]],Lista_CUIT[#All],3,0)),"CUIT NO CARGADO")</f>
        <v>0</v>
      </c>
      <c r="K61" s="54">
        <f>IFERROR(IF(factura_c_mes11[[#This Row],[CUIT]]="","-",VLOOKUP(factura_c_mes11[[#This Row],[CUIT]],Lista_CUIT[#All],4,0)),"CUIT NO CARGADO")</f>
        <v>0</v>
      </c>
    </row>
    <row r="62" spans="4:11" x14ac:dyDescent="0.3">
      <c r="D62" s="50">
        <v>45349</v>
      </c>
      <c r="E62" s="42">
        <v>1</v>
      </c>
      <c r="F62" s="43">
        <v>19</v>
      </c>
      <c r="G62" s="44">
        <v>20338344695</v>
      </c>
      <c r="H62" s="53" t="str">
        <f>IFERROR(IF(factura_c_mes11[[#This Row],[CUIT]]="","-",VLOOKUP(factura_c_mes11[[#This Row],[CUIT]],Lista_CUIT[#All],2,0)),"CUIT NO CARGADO")</f>
        <v>FUERTES DAMIAN MATIAS</v>
      </c>
      <c r="I62" s="81">
        <v>118400</v>
      </c>
      <c r="J62" s="54" t="str">
        <f>IFERROR(IF(factura_c_mes11[[#This Row],[CUIT]]="","-",VLOOKUP(factura_c_mes11[[#This Row],[CUIT]],Lista_CUIT[#All],3,0)),"CUIT NO CARGADO")</f>
        <v>INSUMO</v>
      </c>
      <c r="K62" s="54">
        <f>IFERROR(IF(factura_c_mes11[[#This Row],[CUIT]]="","-",VLOOKUP(factura_c_mes11[[#This Row],[CUIT]],Lista_CUIT[#All],4,0)),"CUIT NO CARGADO")</f>
        <v>0</v>
      </c>
    </row>
    <row r="63" spans="4:11" x14ac:dyDescent="0.3">
      <c r="D63" s="305">
        <v>45350</v>
      </c>
      <c r="E63" s="276">
        <v>2</v>
      </c>
      <c r="F63" s="277">
        <v>141</v>
      </c>
      <c r="G63" s="278">
        <v>20413948968</v>
      </c>
      <c r="H63" s="354" t="str">
        <f>IFERROR(IF(factura_c_mes11[[#This Row],[CUIT]]="","-",VLOOKUP(factura_c_mes11[[#This Row],[CUIT]],Lista_CUIT[#All],2,0)),"CUIT NO CARGADO")</f>
        <v>MOSCOSO SANTIAGO JULIAN</v>
      </c>
      <c r="I63" s="355">
        <v>28000</v>
      </c>
      <c r="J63" s="356">
        <f>IFERROR(IF(factura_c_mes11[[#This Row],[CUIT]]="","-",VLOOKUP(factura_c_mes11[[#This Row],[CUIT]],Lista_CUIT[#All],3,0)),"CUIT NO CARGADO")</f>
        <v>0</v>
      </c>
      <c r="K63" s="356">
        <f>IFERROR(IF(factura_c_mes11[[#This Row],[CUIT]]="","-",VLOOKUP(factura_c_mes11[[#This Row],[CUIT]],Lista_CUIT[#All],4,0)),"CUIT NO CARGADO")</f>
        <v>0</v>
      </c>
    </row>
    <row r="64" spans="4:11" x14ac:dyDescent="0.3">
      <c r="D64" s="50"/>
      <c r="E64" s="42"/>
      <c r="F64" s="43"/>
      <c r="G64" s="44"/>
      <c r="H64" s="53" t="str">
        <f>IFERROR(IF(factura_c_mes11[[#This Row],[CUIT]]="","-",VLOOKUP(factura_c_mes11[[#This Row],[CUIT]],Lista_CUIT[#All],2,0)),"CUIT NO CARGADO")</f>
        <v>-</v>
      </c>
      <c r="I64" s="81"/>
      <c r="J64" s="54" t="str">
        <f>IFERROR(IF(factura_c_mes11[[#This Row],[CUIT]]="","-",VLOOKUP(factura_c_mes11[[#This Row],[CUIT]],Lista_CUIT[#All],3,0)),"CUIT NO CARGADO")</f>
        <v>-</v>
      </c>
      <c r="K64" s="54" t="str">
        <f>IFERROR(IF(factura_c_mes11[[#This Row],[CUIT]]="","-",VLOOKUP(factura_c_mes11[[#This Row],[CUIT]],Lista_CUIT[#All],4,0)),"CUIT NO CARGADO")</f>
        <v>-</v>
      </c>
    </row>
    <row r="65" spans="2:18" s="56" customFormat="1" ht="18.600000000000001" customHeight="1" x14ac:dyDescent="0.3">
      <c r="B65"/>
      <c r="C65"/>
      <c r="D65" s="55" t="s">
        <v>110</v>
      </c>
      <c r="E65" s="55"/>
      <c r="F65" s="55"/>
      <c r="G65" s="55"/>
      <c r="H65" s="57"/>
      <c r="I65" s="58">
        <f>SUBTOTAL(109,factura_c_mes11[TOTAL])</f>
        <v>3452885</v>
      </c>
      <c r="J65" s="55"/>
      <c r="K65" s="55"/>
      <c r="L65"/>
      <c r="M65"/>
      <c r="N65"/>
      <c r="O65"/>
      <c r="P65"/>
      <c r="Q65"/>
      <c r="R65"/>
    </row>
    <row r="66" spans="2:18" x14ac:dyDescent="0.3">
      <c r="B66" s="56"/>
      <c r="C66" s="56"/>
      <c r="L66" s="56"/>
      <c r="M66" s="56"/>
      <c r="N66" s="56"/>
      <c r="O66" s="56"/>
      <c r="P66" s="56"/>
      <c r="Q66" s="56"/>
      <c r="R66" s="56"/>
    </row>
    <row r="71" spans="2:18" ht="25.8" x14ac:dyDescent="0.3">
      <c r="B71" s="430" t="s">
        <v>29</v>
      </c>
      <c r="C71" s="430"/>
      <c r="D71" s="430"/>
      <c r="E71" s="430"/>
      <c r="F71" s="430"/>
      <c r="G71" s="430"/>
      <c r="H71" s="430"/>
      <c r="I71" s="430"/>
      <c r="J71" s="430"/>
      <c r="K71" s="426">
        <f>N1</f>
        <v>45323</v>
      </c>
      <c r="L71" s="426"/>
      <c r="M71" s="426"/>
    </row>
    <row r="72" spans="2:18" ht="22.5" customHeight="1" x14ac:dyDescent="0.3"/>
    <row r="73" spans="2:18" ht="21" x14ac:dyDescent="0.3">
      <c r="B73" s="422" t="s">
        <v>30</v>
      </c>
      <c r="C73" s="422"/>
    </row>
    <row r="74" spans="2:18" ht="18" customHeight="1" x14ac:dyDescent="0.3">
      <c r="B74" s="60" t="s">
        <v>0</v>
      </c>
      <c r="C74" s="61" t="s">
        <v>1</v>
      </c>
      <c r="D74" s="61" t="s">
        <v>21</v>
      </c>
      <c r="E74" s="61" t="s">
        <v>22</v>
      </c>
      <c r="F74" s="61" t="s">
        <v>3</v>
      </c>
      <c r="G74" s="61" t="s">
        <v>4</v>
      </c>
      <c r="H74" s="61" t="s">
        <v>23</v>
      </c>
      <c r="I74" s="61" t="s">
        <v>17</v>
      </c>
      <c r="J74" s="61" t="s">
        <v>7</v>
      </c>
      <c r="K74" s="61" t="s">
        <v>24</v>
      </c>
      <c r="L74" s="61" t="s">
        <v>10</v>
      </c>
      <c r="M74" s="62" t="s">
        <v>38</v>
      </c>
    </row>
    <row r="75" spans="2:18" x14ac:dyDescent="0.3">
      <c r="B75" s="40">
        <v>45329</v>
      </c>
      <c r="C75" s="41">
        <v>1</v>
      </c>
      <c r="D75" s="42">
        <v>3</v>
      </c>
      <c r="E75" s="43">
        <v>174</v>
      </c>
      <c r="F75" s="44">
        <v>30711569843</v>
      </c>
      <c r="G75" s="99" t="str">
        <f>IFERROR(IF(venta_a_mes11[[#This Row],[CUIT]]="","-",VLOOKUP(venta_a_mes11[[#This Row],[CUIT]],Lista_CUIT[#All],2,0)),"CUIT NO CARGADO")</f>
        <v>ELECTRO IND S.R.L</v>
      </c>
      <c r="H75" s="100">
        <v>1867800</v>
      </c>
      <c r="I75" s="101">
        <f>venta_a_mes11[[#This Row],[IMPORTE NETO]]*0.21</f>
        <v>392238</v>
      </c>
      <c r="J75" s="65"/>
      <c r="K75" s="65"/>
      <c r="L75" s="65">
        <f>SUM(venta_a_mes11[[#This Row],[IMPORTE NETO]:[EXENTO]])</f>
        <v>2260038</v>
      </c>
      <c r="M75" s="59"/>
    </row>
    <row r="76" spans="2:18" x14ac:dyDescent="0.3">
      <c r="B76" s="40">
        <v>45331</v>
      </c>
      <c r="C76" s="41">
        <v>1</v>
      </c>
      <c r="D76" s="42">
        <v>3</v>
      </c>
      <c r="E76" s="43">
        <v>175</v>
      </c>
      <c r="F76" s="44">
        <v>30559088923</v>
      </c>
      <c r="G76" s="99" t="str">
        <f>IFERROR(IF(venta_a_mes11[[#This Row],[CUIT]]="","-",VLOOKUP(venta_a_mes11[[#This Row],[CUIT]],Lista_CUIT[#All],2,0)),"CUIT NO CARGADO")</f>
        <v>BASSO HNOS S. A.</v>
      </c>
      <c r="H76" s="100">
        <v>5181950</v>
      </c>
      <c r="I76" s="101">
        <f>168*849.5</f>
        <v>142716</v>
      </c>
      <c r="J76" s="65">
        <f>556.5*849.5</f>
        <v>472746.75</v>
      </c>
      <c r="K76" s="65"/>
      <c r="L76" s="65">
        <f>SUM(venta_a_mes11[[#This Row],[IMPORTE NETO]:[EXENTO]])</f>
        <v>5797412.75</v>
      </c>
      <c r="M76" s="59"/>
    </row>
    <row r="77" spans="2:18" x14ac:dyDescent="0.3">
      <c r="B77" s="40">
        <v>45331</v>
      </c>
      <c r="C77" s="41">
        <v>1</v>
      </c>
      <c r="D77" s="42">
        <v>3</v>
      </c>
      <c r="E77" s="43">
        <v>176</v>
      </c>
      <c r="F77" s="44">
        <v>30716041596</v>
      </c>
      <c r="G77" s="99" t="str">
        <f>IFERROR(IF(venta_a_mes11[[#This Row],[CUIT]]="","-",VLOOKUP(venta_a_mes11[[#This Row],[CUIT]],Lista_CUIT[#All],2,0)),"CUIT NO CARGADO")</f>
        <v>EXA COMPRESION S.R.L.</v>
      </c>
      <c r="H77" s="100">
        <v>850000</v>
      </c>
      <c r="I77" s="101"/>
      <c r="J77" s="65">
        <f>105*850</f>
        <v>89250</v>
      </c>
      <c r="K77" s="65"/>
      <c r="L77" s="65">
        <f>SUM(venta_a_mes11[[#This Row],[IMPORTE NETO]:[EXENTO]])</f>
        <v>939250</v>
      </c>
      <c r="M77" s="59"/>
    </row>
    <row r="78" spans="2:18" x14ac:dyDescent="0.3">
      <c r="B78" s="40">
        <v>45336</v>
      </c>
      <c r="C78" s="41">
        <v>1</v>
      </c>
      <c r="D78" s="42">
        <v>3</v>
      </c>
      <c r="E78" s="43">
        <v>177</v>
      </c>
      <c r="F78" s="44">
        <v>30716041596</v>
      </c>
      <c r="G78" s="99" t="str">
        <f>IFERROR(IF(venta_a_mes11[[#This Row],[CUIT]]="","-",VLOOKUP(venta_a_mes11[[#This Row],[CUIT]],Lista_CUIT[#All],2,0)),"CUIT NO CARGADO")</f>
        <v>EXA COMPRESION S.R.L.</v>
      </c>
      <c r="H78" s="100">
        <v>264430</v>
      </c>
      <c r="I78" s="101">
        <f>venta_a_mes11[[#This Row],[IMPORTE NETO]]*0.21</f>
        <v>55530.299999999996</v>
      </c>
      <c r="J78" s="65"/>
      <c r="K78" s="65"/>
      <c r="L78" s="65">
        <f>SUM(venta_a_mes11[[#This Row],[IMPORTE NETO]:[EXENTO]])</f>
        <v>319960.3</v>
      </c>
      <c r="M78" s="59"/>
    </row>
    <row r="79" spans="2:18" x14ac:dyDescent="0.3">
      <c r="B79" s="40">
        <v>45337</v>
      </c>
      <c r="C79" s="41">
        <v>1</v>
      </c>
      <c r="D79" s="42">
        <v>3</v>
      </c>
      <c r="E79" s="43">
        <v>178</v>
      </c>
      <c r="F79" s="44">
        <v>30716041596</v>
      </c>
      <c r="G79" s="99" t="str">
        <f>IFERROR(IF(venta_a_mes11[[#This Row],[CUIT]]="","-",VLOOKUP(venta_a_mes11[[#This Row],[CUIT]],Lista_CUIT[#All],2,0)),"CUIT NO CARGADO")</f>
        <v>EXA COMPRESION S.R.L.</v>
      </c>
      <c r="H79" s="100">
        <v>853500</v>
      </c>
      <c r="I79" s="101"/>
      <c r="J79" s="65">
        <f>105*853.5</f>
        <v>89617.5</v>
      </c>
      <c r="K79" s="65"/>
      <c r="L79" s="65">
        <f>SUM(venta_a_mes11[[#This Row],[IMPORTE NETO]:[EXENTO]])</f>
        <v>943117.5</v>
      </c>
      <c r="M79" s="59"/>
    </row>
    <row r="80" spans="2:18" x14ac:dyDescent="0.3">
      <c r="B80" s="40">
        <v>45342</v>
      </c>
      <c r="C80" s="41">
        <v>1</v>
      </c>
      <c r="D80" s="42">
        <v>3</v>
      </c>
      <c r="E80" s="43">
        <v>179</v>
      </c>
      <c r="F80" s="44">
        <v>20228469492</v>
      </c>
      <c r="G80" s="99" t="str">
        <f>IFERROR(IF(venta_a_mes11[[#This Row],[CUIT]]="","-",VLOOKUP(venta_a_mes11[[#This Row],[CUIT]],Lista_CUIT[#All],2,0)),"CUIT NO CARGADO")</f>
        <v>DOMINGUEZ LAGANA GONZALO FABIAN</v>
      </c>
      <c r="H80" s="100">
        <v>984400</v>
      </c>
      <c r="I80" s="101">
        <f>venta_a_mes11[[#This Row],[IMPORTE NETO]]*0.21</f>
        <v>206724</v>
      </c>
      <c r="J80" s="65"/>
      <c r="K80" s="65"/>
      <c r="L80" s="65">
        <f>SUM(venta_a_mes11[[#This Row],[IMPORTE NETO]:[EXENTO]])</f>
        <v>1191124</v>
      </c>
      <c r="M80" s="59"/>
    </row>
    <row r="81" spans="2:13" x14ac:dyDescent="0.3">
      <c r="B81" s="40"/>
      <c r="C81" s="41"/>
      <c r="D81" s="42"/>
      <c r="E81" s="43"/>
      <c r="F81" s="44"/>
      <c r="G81" s="99" t="str">
        <f>IFERROR(IF(venta_a_mes11[[#This Row],[CUIT]]="","-",VLOOKUP(venta_a_mes11[[#This Row],[CUIT]],Lista_CUIT[#All],2,0)),"CUIT NO CARGADO")</f>
        <v>-</v>
      </c>
      <c r="H81" s="100"/>
      <c r="I81" s="101">
        <f>venta_a_mes11[[#This Row],[IMPORTE NETO]]*0.21</f>
        <v>0</v>
      </c>
      <c r="J81" s="65"/>
      <c r="K81" s="65"/>
      <c r="L81" s="65">
        <f>SUM(venta_a_mes11[[#This Row],[IMPORTE NETO]:[EXENTO]])</f>
        <v>0</v>
      </c>
      <c r="M81" s="63"/>
    </row>
    <row r="82" spans="2:13" x14ac:dyDescent="0.3">
      <c r="B82" s="102"/>
      <c r="C82" s="103"/>
      <c r="D82" s="104"/>
      <c r="E82" s="105"/>
      <c r="F82" s="106"/>
      <c r="G82" s="99" t="str">
        <f>IFERROR(IF(venta_a_mes11[[#This Row],[CUIT]]="","-",VLOOKUP(venta_a_mes11[[#This Row],[CUIT]],Lista_CUIT[#All],2,0)),"CUIT NO CARGADO")</f>
        <v>-</v>
      </c>
      <c r="H82" s="107"/>
      <c r="I82" s="108">
        <f>venta_a_mes11[[#This Row],[IMPORTE NETO]]*0.21</f>
        <v>0</v>
      </c>
      <c r="J82" s="72"/>
      <c r="K82" s="72"/>
      <c r="L82" s="72">
        <f>SUM(venta_a_mes11[[#This Row],[IMPORTE NETO]:[EXENTO]])</f>
        <v>0</v>
      </c>
      <c r="M82" s="63"/>
    </row>
    <row r="83" spans="2:13" x14ac:dyDescent="0.3">
      <c r="B83" s="109"/>
      <c r="C83" s="110"/>
      <c r="D83" s="111"/>
      <c r="E83" s="112"/>
      <c r="F83" s="113"/>
      <c r="G83" s="99" t="str">
        <f>IFERROR(IF(venta_a_mes11[[#This Row],[CUIT]]="","-",VLOOKUP(venta_a_mes11[[#This Row],[CUIT]],Lista_CUIT[#All],2,0)),"CUIT NO CARGADO")</f>
        <v>-</v>
      </c>
      <c r="H83" s="100"/>
      <c r="I83" s="101">
        <f>venta_a_mes11[[#This Row],[IMPORTE NETO]]*0.21</f>
        <v>0</v>
      </c>
      <c r="J83" s="65"/>
      <c r="K83" s="65"/>
      <c r="L83" s="65">
        <f>SUM(venta_a_mes11[[#This Row],[IMPORTE NETO]:[EXENTO]])</f>
        <v>0</v>
      </c>
      <c r="M83" s="59"/>
    </row>
    <row r="84" spans="2:13" ht="25.95" customHeight="1" x14ac:dyDescent="0.3">
      <c r="B84" s="66" t="s">
        <v>110</v>
      </c>
      <c r="C84" s="67"/>
      <c r="D84" s="67"/>
      <c r="E84" s="67"/>
      <c r="F84" s="67"/>
      <c r="G84" s="67"/>
      <c r="H84" s="69">
        <f>SUBTOTAL(109,venta_a_mes11[IMPORTE NETO])</f>
        <v>10002080</v>
      </c>
      <c r="I84" s="70">
        <f>SUBTOTAL(109,venta_a_mes11[IVA 21%])</f>
        <v>797208.3</v>
      </c>
      <c r="J84" s="71">
        <f>SUBTOTAL(109,venta_a_mes11[IVA 10,5%])</f>
        <v>651614.25</v>
      </c>
      <c r="K84" s="71">
        <f>SUBTOTAL(109,venta_a_mes11[EXENTO])</f>
        <v>0</v>
      </c>
      <c r="L84" s="71">
        <f>SUBTOTAL(109,venta_a_mes11[TOTAL])</f>
        <v>11450902.550000001</v>
      </c>
      <c r="M84" s="68">
        <f>SUBTOTAL(103,venta_a_mes11[Provincia])</f>
        <v>0</v>
      </c>
    </row>
    <row r="86" spans="2:13" ht="17.25" customHeight="1" x14ac:dyDescent="0.3"/>
    <row r="87" spans="2:13" ht="31.5" customHeight="1" x14ac:dyDescent="0.3">
      <c r="B87" s="422" t="s">
        <v>31</v>
      </c>
      <c r="C87" s="422"/>
    </row>
    <row r="88" spans="2:13" ht="15.6" x14ac:dyDescent="0.3">
      <c r="B88" s="60" t="s">
        <v>0</v>
      </c>
      <c r="C88" s="61" t="s">
        <v>1</v>
      </c>
      <c r="D88" s="61" t="s">
        <v>21</v>
      </c>
      <c r="E88" s="61" t="s">
        <v>22</v>
      </c>
      <c r="F88" s="61" t="s">
        <v>3</v>
      </c>
      <c r="G88" s="61" t="s">
        <v>4</v>
      </c>
      <c r="H88" s="61" t="s">
        <v>23</v>
      </c>
      <c r="I88" s="61" t="s">
        <v>17</v>
      </c>
      <c r="J88" s="61" t="s">
        <v>7</v>
      </c>
      <c r="K88" s="61" t="s">
        <v>24</v>
      </c>
      <c r="L88" s="61" t="s">
        <v>10</v>
      </c>
      <c r="M88" s="62" t="s">
        <v>38</v>
      </c>
    </row>
    <row r="89" spans="2:13" x14ac:dyDescent="0.3">
      <c r="B89" s="40"/>
      <c r="C89" s="41"/>
      <c r="D89" s="42"/>
      <c r="E89" s="43"/>
      <c r="F89" s="44"/>
      <c r="G89" s="1" t="str">
        <f>IFERROR(IF(ventas_b_mes11[[#This Row],[CUIT]]="","-",VLOOKUP(ventas_b_mes11[[#This Row],[CUIT]],Lista_CUIT[#All],2,0)),"CUIT NO CARGADO")</f>
        <v>-</v>
      </c>
      <c r="H89" s="64"/>
      <c r="I89" s="64"/>
      <c r="J89" s="64"/>
      <c r="K89" s="64"/>
      <c r="L89" s="64">
        <f>SUM(ventas_b_mes11[[#This Row],[IMPORTE NETO]:[EXENTO]])</f>
        <v>0</v>
      </c>
      <c r="M89" s="59"/>
    </row>
    <row r="90" spans="2:13" x14ac:dyDescent="0.3">
      <c r="B90" s="40"/>
      <c r="C90" s="41"/>
      <c r="D90" s="42"/>
      <c r="E90" s="43"/>
      <c r="F90" s="44"/>
      <c r="G90" s="1"/>
      <c r="H90" s="64"/>
      <c r="I90" s="64"/>
      <c r="J90" s="64"/>
      <c r="K90" s="64"/>
      <c r="L90" s="64">
        <f>SUM(ventas_b_mes11[[#This Row],[IMPORTE NETO]:[EXENTO]])</f>
        <v>0</v>
      </c>
      <c r="M90" s="59"/>
    </row>
    <row r="91" spans="2:13" x14ac:dyDescent="0.3">
      <c r="B91" s="40"/>
      <c r="C91" s="41"/>
      <c r="D91" s="42"/>
      <c r="E91" s="43"/>
      <c r="F91" s="44"/>
      <c r="G91" s="1"/>
      <c r="H91" s="64"/>
      <c r="I91" s="64"/>
      <c r="J91" s="64"/>
      <c r="K91" s="64"/>
      <c r="L91" s="64">
        <f>SUM(ventas_b_mes11[[#This Row],[IMPORTE NETO]:[EXENTO]])</f>
        <v>0</v>
      </c>
      <c r="M91" s="59"/>
    </row>
    <row r="92" spans="2:13" x14ac:dyDescent="0.3">
      <c r="B92" s="40"/>
      <c r="C92" s="41"/>
      <c r="D92" s="42"/>
      <c r="E92" s="43"/>
      <c r="F92" s="44"/>
      <c r="G92" s="1"/>
      <c r="H92" s="64"/>
      <c r="I92" s="64"/>
      <c r="J92" s="64"/>
      <c r="K92" s="64"/>
      <c r="L92" s="64">
        <f>SUM(ventas_b_mes11[[#This Row],[IMPORTE NETO]:[EXENTO]])</f>
        <v>0</v>
      </c>
      <c r="M92" s="59"/>
    </row>
    <row r="93" spans="2:13" x14ac:dyDescent="0.3">
      <c r="B93" s="40"/>
      <c r="C93" s="41"/>
      <c r="D93" s="42"/>
      <c r="E93" s="43"/>
      <c r="F93" s="44"/>
      <c r="G93" s="1"/>
      <c r="H93" s="64"/>
      <c r="I93" s="64"/>
      <c r="J93" s="64"/>
      <c r="K93" s="64"/>
      <c r="L93" s="64">
        <f>SUM(ventas_b_mes11[[#This Row],[IMPORTE NETO]:[EXENTO]])</f>
        <v>0</v>
      </c>
      <c r="M93" s="59"/>
    </row>
    <row r="94" spans="2:13" x14ac:dyDescent="0.3">
      <c r="B94" s="40"/>
      <c r="C94" s="41"/>
      <c r="D94" s="42"/>
      <c r="E94" s="43"/>
      <c r="F94" s="44"/>
      <c r="G94" s="1"/>
      <c r="H94" s="64"/>
      <c r="I94" s="64"/>
      <c r="J94" s="64"/>
      <c r="K94" s="64"/>
      <c r="L94" s="64">
        <f>SUM(ventas_b_mes11[[#This Row],[IMPORTE NETO]:[EXENTO]])</f>
        <v>0</v>
      </c>
      <c r="M94" s="59"/>
    </row>
    <row r="95" spans="2:13" x14ac:dyDescent="0.3">
      <c r="B95" s="66" t="s">
        <v>110</v>
      </c>
      <c r="C95" s="67"/>
      <c r="D95" s="67"/>
      <c r="E95" s="67"/>
      <c r="F95" s="67"/>
      <c r="G95" s="67"/>
      <c r="H95" s="77">
        <f>SUBTOTAL(109,ventas_b_mes11[IMPORTE NETO])</f>
        <v>0</v>
      </c>
      <c r="I95" s="77">
        <f>SUBTOTAL(109,ventas_b_mes11[IVA 21%])</f>
        <v>0</v>
      </c>
      <c r="J95" s="78">
        <f>SUBTOTAL(109,ventas_b_mes11[IVA 10,5%])</f>
        <v>0</v>
      </c>
      <c r="K95" s="78">
        <f>SUBTOTAL(109,ventas_b_mes11[EXENTO])</f>
        <v>0</v>
      </c>
      <c r="L95" s="78">
        <f>SUBTOTAL(109,ventas_b_mes11[TOTAL])</f>
        <v>0</v>
      </c>
      <c r="M95" s="68">
        <f>SUBTOTAL(103,ventas_b_mes11[Provincia])</f>
        <v>0</v>
      </c>
    </row>
    <row r="97" spans="2:13" ht="19.2" customHeight="1" x14ac:dyDescent="0.3"/>
    <row r="98" spans="2:13" ht="28.95" customHeight="1" x14ac:dyDescent="0.3"/>
    <row r="99" spans="2:13" ht="21" x14ac:dyDescent="0.3">
      <c r="B99" s="422" t="s">
        <v>1129</v>
      </c>
      <c r="C99" s="422"/>
    </row>
    <row r="100" spans="2:13" ht="15.6" x14ac:dyDescent="0.3">
      <c r="B100" s="60" t="s">
        <v>0</v>
      </c>
      <c r="C100" s="61" t="s">
        <v>1</v>
      </c>
      <c r="D100" s="61" t="s">
        <v>21</v>
      </c>
      <c r="E100" s="61" t="s">
        <v>22</v>
      </c>
      <c r="F100" s="61" t="s">
        <v>3</v>
      </c>
      <c r="G100" s="61" t="s">
        <v>4</v>
      </c>
      <c r="H100" s="61" t="s">
        <v>1130</v>
      </c>
      <c r="I100" s="61" t="s">
        <v>17</v>
      </c>
      <c r="J100" s="61" t="s">
        <v>112</v>
      </c>
      <c r="K100" s="61" t="s">
        <v>1131</v>
      </c>
      <c r="L100" s="61" t="s">
        <v>10</v>
      </c>
      <c r="M100" s="62" t="s">
        <v>1277</v>
      </c>
    </row>
    <row r="101" spans="2:13" x14ac:dyDescent="0.3">
      <c r="B101" s="40">
        <v>45342</v>
      </c>
      <c r="C101" s="41"/>
      <c r="D101" s="42">
        <v>30</v>
      </c>
      <c r="E101" s="43">
        <v>72</v>
      </c>
      <c r="F101" s="44">
        <v>55000000050</v>
      </c>
      <c r="G101" s="1" t="str">
        <f>IFERROR(IF(ventas_b_mes2565557[[#This Row],[CUIT]]="","-",VLOOKUP(ventas_b_mes2565557[[#This Row],[CUIT]],Lista_CUIT[#All],2,0)),"CUIT NO CARGADO")</f>
        <v>GAS FUTURO SISTEMAS DE COMPRESSÃO LTDA</v>
      </c>
      <c r="H101" s="64">
        <v>14400</v>
      </c>
      <c r="I101" s="64"/>
      <c r="J101" s="206"/>
      <c r="K101" s="64">
        <v>836.7</v>
      </c>
      <c r="L101" s="64">
        <f>ventas_b_mes2565557[[#This Row],[USD]]*ventas_b_mes2565557[[#This Row],[TIPO DE CAMBIO2]]</f>
        <v>12048480</v>
      </c>
      <c r="M101" s="59"/>
    </row>
    <row r="102" spans="2:13" x14ac:dyDescent="0.3">
      <c r="B102" s="40">
        <v>45348</v>
      </c>
      <c r="C102" s="41"/>
      <c r="D102" s="42">
        <v>30</v>
      </c>
      <c r="E102" s="43">
        <v>73</v>
      </c>
      <c r="F102" s="44">
        <v>55000002223</v>
      </c>
      <c r="G102" s="1" t="str">
        <f>IFERROR(IF(ventas_b_mes2565557[[#This Row],[CUIT]]="","-",VLOOKUP(ventas_b_mes2565557[[#This Row],[CUIT]],Lista_CUIT[#All],2,0)),"CUIT NO CARGADO")</f>
        <v>Solution Supply SAC</v>
      </c>
      <c r="H102" s="64">
        <v>5316.8</v>
      </c>
      <c r="I102" s="64"/>
      <c r="J102" s="64"/>
      <c r="K102" s="64">
        <v>838.9</v>
      </c>
      <c r="L102" s="64">
        <f>ventas_b_mes2565557[[#This Row],[USD]]*ventas_b_mes2565557[[#This Row],[TIPO DE CAMBIO2]]</f>
        <v>4460263.5200000005</v>
      </c>
      <c r="M102" s="59"/>
    </row>
    <row r="103" spans="2:13" x14ac:dyDescent="0.3">
      <c r="B103" s="66"/>
      <c r="C103" s="67"/>
      <c r="D103" s="67"/>
      <c r="E103" s="67"/>
      <c r="F103" s="67"/>
      <c r="G103" s="351" t="str">
        <f>IFERROR(IF(ventas_b_mes2565557[[#This Row],[CUIT]]="","-",VLOOKUP(ventas_b_mes2565557[[#This Row],[CUIT]],Lista_CUIT[#All],2,0)),"CUIT NO CARGADO")</f>
        <v>-</v>
      </c>
      <c r="H103" s="77"/>
      <c r="I103" s="77"/>
      <c r="J103" s="78"/>
      <c r="K103" s="78"/>
      <c r="L103" s="78"/>
      <c r="M103" s="68">
        <f>SUBTOTAL(103,ventas_b_mes13[Provincia])</f>
        <v>0</v>
      </c>
    </row>
    <row r="104" spans="2:13" x14ac:dyDescent="0.3">
      <c r="B104" s="66" t="s">
        <v>110</v>
      </c>
      <c r="C104" s="67"/>
      <c r="D104" s="67"/>
      <c r="E104" s="67"/>
      <c r="F104" s="67"/>
      <c r="G104" s="67"/>
      <c r="H104" s="77">
        <f>SUBTOTAL(109,ventas_b_mes2565557[USD])</f>
        <v>19716.8</v>
      </c>
      <c r="I104" s="77">
        <f>SUBTOTAL(109,ventas_b_mes2565557[IVA 21%])</f>
        <v>0</v>
      </c>
      <c r="J104" s="78">
        <f>SUBTOTAL(109,ventas_b_mes2565557[Columna1])</f>
        <v>0</v>
      </c>
      <c r="K104" s="78">
        <f>SUBTOTAL(109,ventas_b_mes2565557[TIPO DE CAMBIO2])</f>
        <v>1675.6</v>
      </c>
      <c r="L104" s="78">
        <f>SUM(L101:L102)</f>
        <v>16508743.52</v>
      </c>
      <c r="M104" s="68">
        <f>SUBTOTAL(103,ventas_b_mes2565557[PAIS])</f>
        <v>0</v>
      </c>
    </row>
    <row r="108" spans="2:13" ht="15" thickBot="1" x14ac:dyDescent="0.35"/>
    <row r="109" spans="2:13" ht="15" thickTop="1" x14ac:dyDescent="0.3">
      <c r="C109" s="433" t="s">
        <v>66</v>
      </c>
      <c r="D109" s="433"/>
      <c r="E109" s="433"/>
      <c r="F109" s="433"/>
      <c r="G109" s="433"/>
      <c r="H109" s="32"/>
      <c r="I109" s="32"/>
      <c r="J109" s="32"/>
    </row>
    <row r="110" spans="2:13" ht="15.6" x14ac:dyDescent="0.3">
      <c r="C110" s="114" t="s">
        <v>67</v>
      </c>
      <c r="D110" s="115" t="s">
        <v>68</v>
      </c>
      <c r="E110" s="115" t="s">
        <v>112</v>
      </c>
      <c r="F110" s="115" t="s">
        <v>3</v>
      </c>
      <c r="G110" s="115" t="s">
        <v>4</v>
      </c>
      <c r="H110" s="116" t="s">
        <v>69</v>
      </c>
      <c r="I110" s="116" t="s">
        <v>70</v>
      </c>
      <c r="J110" s="116" t="s">
        <v>71</v>
      </c>
      <c r="K110" s="116" t="s">
        <v>72</v>
      </c>
      <c r="L110" s="116" t="s">
        <v>73</v>
      </c>
    </row>
    <row r="111" spans="2:13" x14ac:dyDescent="0.3">
      <c r="C111" s="117">
        <v>44691</v>
      </c>
      <c r="D111" s="118">
        <v>11694</v>
      </c>
      <c r="E111" s="118"/>
      <c r="F111" s="119">
        <v>30506730038</v>
      </c>
      <c r="G111" s="53" t="str">
        <f>IFERROR(IF(Retenciones_mes11[[#This Row],[CUIT]]="","-",VLOOKUP(Retenciones_mes11[[#This Row],[CUIT]],Lista_CUIT[#All],2,0)),"CUIT NO CARGADO")</f>
        <v>S.A. IMP. Y EXPO.  PATAGONIA</v>
      </c>
      <c r="H111" s="120"/>
      <c r="I111" s="120">
        <v>9597.94</v>
      </c>
      <c r="J111" s="120">
        <v>914.09</v>
      </c>
      <c r="K111" s="120"/>
      <c r="L111" s="120"/>
    </row>
    <row r="112" spans="2:13" x14ac:dyDescent="0.3">
      <c r="C112" s="117"/>
      <c r="D112" s="118">
        <v>11695</v>
      </c>
      <c r="E112" s="118"/>
      <c r="F112" s="119"/>
      <c r="G112" s="53" t="str">
        <f>IFERROR(IF(Retenciones_mes11[[#This Row],[CUIT]]="","-",VLOOKUP(Retenciones_mes11[[#This Row],[CUIT]],Lista_CUIT[#All],2,0)),"CUIT NO CARGADO")</f>
        <v>-</v>
      </c>
      <c r="H112" s="120"/>
      <c r="I112" s="120"/>
      <c r="J112" s="120"/>
      <c r="K112" s="120"/>
      <c r="L112" s="120"/>
    </row>
    <row r="113" spans="3:12" x14ac:dyDescent="0.3">
      <c r="C113" s="117"/>
      <c r="D113" s="118">
        <v>11696</v>
      </c>
      <c r="E113" s="118"/>
      <c r="F113" s="119"/>
      <c r="G113" s="53" t="str">
        <f>IFERROR(IF(Retenciones_mes11[[#This Row],[CUIT]]="","-",VLOOKUP(Retenciones_mes11[[#This Row],[CUIT]],Lista_CUIT[#All],2,0)),"CUIT NO CARGADO")</f>
        <v>-</v>
      </c>
      <c r="H113" s="120"/>
      <c r="I113" s="120"/>
      <c r="J113" s="120"/>
      <c r="K113" s="120"/>
      <c r="L113" s="120"/>
    </row>
    <row r="114" spans="3:12" x14ac:dyDescent="0.3">
      <c r="C114" s="117"/>
      <c r="D114" s="118">
        <v>11697</v>
      </c>
      <c r="E114" s="118"/>
      <c r="F114" s="119"/>
      <c r="G114" s="53" t="str">
        <f>IFERROR(IF(Retenciones_mes11[[#This Row],[CUIT]]="","-",VLOOKUP(Retenciones_mes11[[#This Row],[CUIT]],Lista_CUIT[#All],2,0)),"CUIT NO CARGADO")</f>
        <v>-</v>
      </c>
      <c r="H114" s="120"/>
      <c r="I114" s="120"/>
      <c r="J114" s="120"/>
      <c r="K114" s="120"/>
      <c r="L114" s="120"/>
    </row>
    <row r="115" spans="3:12" x14ac:dyDescent="0.3">
      <c r="D115" s="118">
        <v>11698</v>
      </c>
      <c r="E115" s="118"/>
      <c r="G115" s="53" t="str">
        <f>IFERROR(IF(Retenciones_mes11[[#This Row],[CUIT]]="","-",VLOOKUP(Retenciones_mes11[[#This Row],[CUIT]],Lista_CUIT[#All],2,0)),"CUIT NO CARGADO")</f>
        <v>-</v>
      </c>
    </row>
    <row r="116" spans="3:12" x14ac:dyDescent="0.3">
      <c r="C116" s="33"/>
    </row>
  </sheetData>
  <mergeCells count="21">
    <mergeCell ref="C109:G109"/>
    <mergeCell ref="B4:E4"/>
    <mergeCell ref="G4:H4"/>
    <mergeCell ref="J4:K4"/>
    <mergeCell ref="M4:N4"/>
    <mergeCell ref="D50:K50"/>
    <mergeCell ref="B71:J71"/>
    <mergeCell ref="K71:M71"/>
    <mergeCell ref="B73:C73"/>
    <mergeCell ref="B87:C87"/>
    <mergeCell ref="B99:C99"/>
    <mergeCell ref="P4:R4"/>
    <mergeCell ref="D41:L41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whole" allowBlank="1" showInputMessage="1" showErrorMessage="1" sqref="E52:E64 D75:D83 D89:D94 D9:D35 D101:D102" xr:uid="{00000000-0002-0000-0B00-000000000000}">
      <formula1>1</formula1>
      <formula2>9999</formula2>
    </dataValidation>
    <dataValidation type="whole" allowBlank="1" showInputMessage="1" showErrorMessage="1" sqref="F52:F64 E75:E83 E89:E94 E9:E35 E101:E102" xr:uid="{00000000-0002-0000-0B00-000001000000}">
      <formula1>1</formula1>
      <formula2>99999999</formula2>
    </dataValidation>
    <dataValidation type="whole" allowBlank="1" showInputMessage="1" showErrorMessage="1" sqref="G52:G64 F75:F83 F89:F94 F9:F35 F101:F102" xr:uid="{00000000-0002-0000-0B00-000002000000}">
      <formula1>20000000000</formula1>
      <formula2>33999999999</formula2>
    </dataValidation>
    <dataValidation type="date" allowBlank="1" showInputMessage="1" showErrorMessage="1" sqref="D43:D45 B75:B83 D52:D64 B37:B40 B89:B94 B9:B35 B101:B102" xr:uid="{00000000-0002-0000-0B00-000003000000}">
      <formula1>40179</formula1>
      <formula2>TODAY()</formula2>
    </dataValidation>
    <dataValidation type="whole" allowBlank="1" showInputMessage="1" showErrorMessage="1" sqref="C37:C40 C75:C83 C9:C35" xr:uid="{00000000-0002-0000-0B00-000005000000}">
      <formula1>1</formula1>
      <formula2>3</formula2>
    </dataValidation>
    <dataValidation type="custom" allowBlank="1" showInputMessage="1" showErrorMessage="1" sqref="H81:K81 H77:K77 H79:K79 H75 J75:K75" xr:uid="{00000000-0002-0000-0B00-000006000000}">
      <formula1>IF($C75=3,H75&lt;0,H75&gt;=0)</formula1>
    </dataValidation>
    <dataValidation type="whole" allowBlank="1" showInputMessage="1" showErrorMessage="1" sqref="C89:C94" xr:uid="{00000000-0002-0000-0B00-000007000000}">
      <formula1>6</formula1>
      <formula2>8</formula2>
    </dataValidation>
    <dataValidation type="custom" allowBlank="1" showInputMessage="1" showErrorMessage="1" sqref="L75:L76" xr:uid="{00000000-0002-0000-0B00-000008000000}">
      <formula1>IF($C9=3,L9&lt;0,L9&gt;=0)</formula1>
    </dataValidation>
    <dataValidation type="custom" allowBlank="1" showInputMessage="1" showErrorMessage="1" sqref="L77:L79" xr:uid="{00000000-0002-0000-0B00-000009000000}">
      <formula1>IF(#REF!=3,#REF!&lt;0,#REF!&gt;=0)</formula1>
    </dataValidation>
    <dataValidation type="custom" allowBlank="1" showInputMessage="1" showErrorMessage="1" sqref="L80:L81" xr:uid="{00000000-0002-0000-0B00-00000A000000}">
      <formula1>IF($C36=3,L36&lt;0,L36&gt;=0)</formula1>
    </dataValidation>
    <dataValidation type="custom" allowBlank="1" showInputMessage="1" showErrorMessage="1" sqref="H89:L94 H102:L102 H101:I101 K101:L101" xr:uid="{00000000-0002-0000-0B00-00000B000000}">
      <formula1>IF($C89=8,H89&lt;0,H89&gt;=0)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35" xr:uid="{00000000-0002-0000-0B00-000004000000}">
      <formula1>IF($C9=3,H9&lt;0,H9&gt;=0)</formula1>
    </dataValidation>
    <dataValidation type="whole" allowBlank="1" showInputMessage="1" showErrorMessage="1" sqref="C101:C102" xr:uid="{7DEC9582-C414-4580-8CBE-A26302AEE0C2}">
      <formula1>80</formula1>
      <formula2>80</formula2>
    </dataValidation>
  </dataValidation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6">
    <tabColor theme="9" tint="0.79998168889431442"/>
  </sheetPr>
  <dimension ref="A1:Z114"/>
  <sheetViews>
    <sheetView showGridLines="0" tabSelected="1" topLeftCell="F10" zoomScale="94" zoomScaleNormal="94" workbookViewId="0">
      <selection activeCell="P36" sqref="P36"/>
    </sheetView>
  </sheetViews>
  <sheetFormatPr baseColWidth="10" defaultColWidth="0" defaultRowHeight="14.4" x14ac:dyDescent="0.3"/>
  <cols>
    <col min="1" max="1" width="1.6640625" customWidth="1"/>
    <col min="2" max="2" width="18.109375" customWidth="1"/>
    <col min="3" max="3" width="12.88671875" customWidth="1"/>
    <col min="4" max="4" width="13.33203125" customWidth="1"/>
    <col min="5" max="5" width="14.5546875" customWidth="1"/>
    <col min="6" max="6" width="17.6640625" customWidth="1"/>
    <col min="7" max="7" width="29.44140625" customWidth="1"/>
    <col min="8" max="8" width="20" customWidth="1"/>
    <col min="9" max="9" width="17.5546875" customWidth="1"/>
    <col min="10" max="10" width="16.33203125" customWidth="1"/>
    <col min="11" max="11" width="14.88671875" customWidth="1"/>
    <col min="12" max="12" width="15.5546875" customWidth="1"/>
    <col min="13" max="13" width="12.88671875" customWidth="1"/>
    <col min="14" max="14" width="16.44140625" customWidth="1"/>
    <col min="15" max="15" width="14.88671875" customWidth="1"/>
    <col min="16" max="16" width="18.109375" customWidth="1"/>
    <col min="17" max="17" width="12.6640625" customWidth="1"/>
    <col min="18" max="18" width="11.5546875" customWidth="1"/>
    <col min="19" max="19" width="14.109375" customWidth="1"/>
    <col min="20" max="20" width="8.88671875" customWidth="1"/>
    <col min="21" max="22" width="8.88671875" hidden="1" customWidth="1"/>
    <col min="23" max="23" width="12.33203125" hidden="1" customWidth="1"/>
    <col min="24" max="24" width="14.44140625" hidden="1" customWidth="1"/>
    <col min="25" max="26" width="0" hidden="1" customWidth="1"/>
    <col min="27" max="16384" width="11.5546875" hidden="1"/>
  </cols>
  <sheetData>
    <row r="1" spans="1:26" ht="34.950000000000003" customHeight="1" x14ac:dyDescent="0.3">
      <c r="A1" s="37"/>
      <c r="B1" s="424" t="s">
        <v>28</v>
      </c>
      <c r="C1" s="424"/>
      <c r="D1" s="424"/>
      <c r="E1" s="424"/>
      <c r="F1" s="424"/>
      <c r="G1" s="434" t="str">
        <f>'Abr-23'!G1:M1</f>
        <v>CORITEC S. R. L.</v>
      </c>
      <c r="H1" s="434"/>
      <c r="I1" s="434"/>
      <c r="J1" s="434"/>
      <c r="K1" s="434"/>
      <c r="L1" s="434"/>
      <c r="M1" s="434"/>
      <c r="N1" s="423">
        <f>EDATE('Abr-23'!N1,11)</f>
        <v>45352</v>
      </c>
      <c r="O1" s="423"/>
      <c r="P1" s="423"/>
      <c r="Q1" s="423"/>
      <c r="R1" s="423"/>
    </row>
    <row r="2" spans="1:26" ht="15" customHeight="1" x14ac:dyDescent="0.3"/>
    <row r="3" spans="1:26" ht="26.4" customHeight="1" x14ac:dyDescent="0.3">
      <c r="B3" s="427" t="s">
        <v>65</v>
      </c>
      <c r="C3" s="427"/>
      <c r="D3" s="427"/>
      <c r="E3" s="427"/>
      <c r="F3" s="38"/>
      <c r="G3" s="427" t="s">
        <v>37</v>
      </c>
      <c r="H3" s="427"/>
      <c r="I3" s="38"/>
      <c r="J3" s="417" t="s">
        <v>14</v>
      </c>
      <c r="K3" s="417"/>
      <c r="L3" s="38"/>
      <c r="M3" s="417" t="s">
        <v>12</v>
      </c>
      <c r="N3" s="417"/>
      <c r="O3" s="38"/>
      <c r="P3" s="418" t="s">
        <v>109</v>
      </c>
      <c r="Q3" s="418"/>
      <c r="R3" s="418"/>
    </row>
    <row r="4" spans="1:26" ht="25.2" customHeight="1" x14ac:dyDescent="0.4">
      <c r="B4" s="428">
        <f>SUM(compras_mes12[[#Totals],[NETO GRAVADO]])+extracto_banco_mes12[[#Totals],[NETO]]</f>
        <v>16730743.52</v>
      </c>
      <c r="C4" s="428"/>
      <c r="D4" s="428"/>
      <c r="E4" s="428"/>
      <c r="F4" s="39"/>
      <c r="G4" s="429">
        <f>compras_mes12[[#Totals],[IVA 21 %]]+compras_mes12[[#Totals],[IVA 27%]]+compras_mes12[[#Totals],[IVA 10,5%]]+extracto_banco_mes12[[#Totals],[IVA 21%]]+extracto_banco_mes12[[#Totals],[IVA 10,5%]]</f>
        <v>3372593.6591999996</v>
      </c>
      <c r="H4" s="429"/>
      <c r="I4" s="39"/>
      <c r="J4" s="416">
        <f>venta_a_mes12[[#Totals],[IMPORTE NETO]]+ventas_b_mes12[[#Totals],[IMPORTE NETO]]</f>
        <v>114758425.10000001</v>
      </c>
      <c r="K4" s="416"/>
      <c r="L4" s="39"/>
      <c r="M4" s="416">
        <f>venta_a_mes12[[#Totals],[IVA 21%]]+venta_a_mes12[[#Totals],[IVA 10,5%]]+ventas_b_mes12[[#Totals],[IVA 21%]]+ventas_b_mes12[[#Totals],[IVA 10,5%]]</f>
        <v>22930759.971000001</v>
      </c>
      <c r="N4" s="416"/>
      <c r="O4" s="39"/>
      <c r="P4" s="431">
        <f>G4-M4</f>
        <v>-19558166.311800003</v>
      </c>
      <c r="Q4" s="432"/>
      <c r="R4" s="432"/>
    </row>
    <row r="5" spans="1:26" ht="13.2" customHeight="1" x14ac:dyDescent="0.3"/>
    <row r="6" spans="1:26" ht="10.95" customHeight="1" x14ac:dyDescent="0.3"/>
    <row r="7" spans="1:26" s="2" customFormat="1" ht="10.95" customHeight="1" x14ac:dyDescent="0.3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" customHeight="1" x14ac:dyDescent="0.3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1371</v>
      </c>
      <c r="P8" s="84" t="s">
        <v>10</v>
      </c>
      <c r="Q8" s="84" t="s">
        <v>11</v>
      </c>
      <c r="R8" s="84" t="s">
        <v>38</v>
      </c>
    </row>
    <row r="9" spans="1:26" x14ac:dyDescent="0.3">
      <c r="B9" s="313">
        <v>45373</v>
      </c>
      <c r="C9" s="208">
        <v>1</v>
      </c>
      <c r="D9" s="314">
        <v>1</v>
      </c>
      <c r="E9" s="315">
        <v>761</v>
      </c>
      <c r="F9" s="316">
        <v>30715048066</v>
      </c>
      <c r="G9" s="317" t="str">
        <f>IFERROR(IF(compras_mes12[[#This Row],[CUIT]]="","-",VLOOKUP(compras_mes12[[#This Row],[CUIT]],Lista_CUIT[#All],2,0)),"CUIT NO CARGADO")</f>
        <v>ROLLS Y EMPANADAS SA</v>
      </c>
      <c r="H9" s="318">
        <v>563345</v>
      </c>
      <c r="I9" s="319">
        <f>IF(compras_mes12[[#This Row],[NETO GRAVADO]]="","",compras_mes12[[#This Row],[NETO GRAVADO]]*0.21)</f>
        <v>118302.45</v>
      </c>
      <c r="J9" s="319"/>
      <c r="K9" s="319"/>
      <c r="L9" s="319"/>
      <c r="M9" s="319"/>
      <c r="N9" s="319"/>
      <c r="O9" s="319"/>
      <c r="P9" s="348">
        <f>SUM(compras_mes12[[#This Row],[NETO GRAVADO]:[Otros - No Grav.]])</f>
        <v>681647.45</v>
      </c>
      <c r="Q9" s="320" t="str">
        <f>IFERROR(IF(compras_mes12[[#This Row],[CUIT]]="","-",VLOOKUP(compras_mes12[[#This Row],[CUIT]],Lista_CUIT[#All],3,0)),"CUIT NO CARGADO")</f>
        <v>CATERING</v>
      </c>
      <c r="R9" s="320">
        <f>IFERROR(IF(compras_mes12[[#This Row],[CUIT]]="","-",VLOOKUP(compras_mes12[[#This Row],[CUIT]],Lista_CUIT[#All],4,0)),"CUIT NO CARGADO")</f>
        <v>0</v>
      </c>
    </row>
    <row r="10" spans="1:26" x14ac:dyDescent="0.3">
      <c r="B10" s="325">
        <v>45365</v>
      </c>
      <c r="C10" s="41">
        <v>1</v>
      </c>
      <c r="D10" s="327">
        <v>5</v>
      </c>
      <c r="E10" s="328">
        <v>5874</v>
      </c>
      <c r="F10" s="329">
        <v>27366871336</v>
      </c>
      <c r="G10" s="330" t="str">
        <f>IFERROR(IF(compras_mes12[[#This Row],[CUIT]]="","-",VLOOKUP(compras_mes12[[#This Row],[CUIT]],Lista_CUIT[#All],2,0)),"CUIT NO CARGADO")</f>
        <v>STENDEL ELIANA JUDITH</v>
      </c>
      <c r="H10" s="331">
        <v>17241.990000000002</v>
      </c>
      <c r="I10" s="332">
        <f>IF(compras_mes12[[#This Row],[NETO GRAVADO]]="","",compras_mes12[[#This Row],[NETO GRAVADO]]*0.21)</f>
        <v>3620.8179</v>
      </c>
      <c r="J10" s="332"/>
      <c r="K10" s="332"/>
      <c r="L10" s="332"/>
      <c r="M10" s="332"/>
      <c r="N10" s="332"/>
      <c r="O10" s="332"/>
      <c r="P10" s="333">
        <f>SUM(compras_mes12[[#This Row],[NETO GRAVADO]:[Otros - No Grav.]])</f>
        <v>20862.8079</v>
      </c>
      <c r="Q10" s="49" t="s">
        <v>1420</v>
      </c>
      <c r="R10" s="334">
        <f>IFERROR(IF(compras_mes12[[#This Row],[CUIT]]="","-",VLOOKUP(compras_mes12[[#This Row],[CUIT]],Lista_CUIT[#All],4,0)),"CUIT NO CARGADO")</f>
        <v>0</v>
      </c>
    </row>
    <row r="11" spans="1:26" x14ac:dyDescent="0.3">
      <c r="B11" s="40">
        <v>45377</v>
      </c>
      <c r="C11" s="41">
        <v>1</v>
      </c>
      <c r="D11" s="42">
        <v>7</v>
      </c>
      <c r="E11" s="43">
        <v>1973</v>
      </c>
      <c r="F11" s="44">
        <v>20162261259</v>
      </c>
      <c r="G11" s="45" t="str">
        <f>IFERROR(IF(compras_mes12[[#This Row],[CUIT]]="","-",VLOOKUP(compras_mes12[[#This Row],[CUIT]],Lista_CUIT[#All],2,0)),"CUIT NO CARGADO")</f>
        <v>BONFIGLI ARMANDO DANIEL</v>
      </c>
      <c r="H11" s="46">
        <v>31525.59</v>
      </c>
      <c r="I11" s="85">
        <f>IF(compras_mes12[[#This Row],[NETO GRAVADO]]="","",compras_mes12[[#This Row],[NETO GRAVADO]]*0.21)</f>
        <v>6620.3738999999996</v>
      </c>
      <c r="J11" s="85"/>
      <c r="K11" s="85"/>
      <c r="L11" s="85"/>
      <c r="M11" s="85"/>
      <c r="N11" s="85"/>
      <c r="O11" s="85"/>
      <c r="P11" s="48">
        <f>SUM(compras_mes12[[#This Row],[NETO GRAVADO]:[Otros - No Grav.]])</f>
        <v>38145.963900000002</v>
      </c>
      <c r="Q11" s="49" t="s">
        <v>1420</v>
      </c>
      <c r="R11" s="49">
        <f>IFERROR(IF(compras_mes12[[#This Row],[CUIT]]="","-",VLOOKUP(compras_mes12[[#This Row],[CUIT]],Lista_CUIT[#All],4,0)),"CUIT NO CARGADO")</f>
        <v>0</v>
      </c>
    </row>
    <row r="12" spans="1:26" x14ac:dyDescent="0.3">
      <c r="B12" s="335">
        <v>45378</v>
      </c>
      <c r="C12" s="208">
        <v>1</v>
      </c>
      <c r="D12" s="336">
        <v>5</v>
      </c>
      <c r="E12" s="337">
        <v>38006</v>
      </c>
      <c r="F12" s="338">
        <v>20282837472</v>
      </c>
      <c r="G12" s="339" t="str">
        <f>IFERROR(IF(compras_mes12[[#This Row],[CUIT]]="","-",VLOOKUP(compras_mes12[[#This Row],[CUIT]],Lista_CUIT[#All],2,0)),"CUIT NO CARGADO")</f>
        <v>GONZALEZ MATIAS LIONEL</v>
      </c>
      <c r="H12" s="340">
        <v>22877.45</v>
      </c>
      <c r="I12" s="341">
        <f>IF(compras_mes12[[#This Row],[NETO GRAVADO]]="","",compras_mes12[[#This Row],[NETO GRAVADO]]*0.21)</f>
        <v>4804.2645000000002</v>
      </c>
      <c r="J12" s="341"/>
      <c r="K12" s="341"/>
      <c r="L12" s="341"/>
      <c r="M12" s="341"/>
      <c r="N12" s="341"/>
      <c r="O12" s="341"/>
      <c r="P12" s="349">
        <f>SUM(compras_mes12[[#This Row],[NETO GRAVADO]:[Otros - No Grav.]])</f>
        <v>27681.714500000002</v>
      </c>
      <c r="Q12" s="283" t="s">
        <v>1420</v>
      </c>
      <c r="R12" s="350">
        <f>IFERROR(IF(compras_mes12[[#This Row],[CUIT]]="","-",VLOOKUP(compras_mes12[[#This Row],[CUIT]],Lista_CUIT[#All],4,0)),"CUIT NO CARGADO")</f>
        <v>0</v>
      </c>
    </row>
    <row r="13" spans="1:26" x14ac:dyDescent="0.3">
      <c r="B13" s="335">
        <v>45381</v>
      </c>
      <c r="C13" s="208">
        <v>1</v>
      </c>
      <c r="D13" s="336">
        <v>6996</v>
      </c>
      <c r="E13" s="337">
        <v>23028</v>
      </c>
      <c r="F13" s="338">
        <v>30678774495</v>
      </c>
      <c r="G13" s="339" t="str">
        <f>IFERROR(IF(compras_mes12[[#This Row],[CUIT]]="","-",VLOOKUP(compras_mes12[[#This Row],[CUIT]],Lista_CUIT[#All],2,0)),"CUIT NO CARGADO")</f>
        <v>OPER. DE EST. DE SERV. SA</v>
      </c>
      <c r="H13" s="340">
        <v>25182.87</v>
      </c>
      <c r="I13" s="341">
        <f>IF(compras_mes12[[#This Row],[NETO GRAVADO]]="","",compras_mes12[[#This Row],[NETO GRAVADO]]*0.21)</f>
        <v>5288.4026999999996</v>
      </c>
      <c r="J13" s="341"/>
      <c r="K13" s="341"/>
      <c r="L13" s="341"/>
      <c r="M13" s="341"/>
      <c r="N13" s="341"/>
      <c r="O13" s="341">
        <v>1718.73</v>
      </c>
      <c r="P13" s="349">
        <f>SUM(compras_mes12[[#This Row],[NETO GRAVADO]:[Otros - No Grav.]])</f>
        <v>32190.002699999997</v>
      </c>
      <c r="Q13" s="350" t="str">
        <f>IFERROR(IF(compras_mes12[[#This Row],[CUIT]]="","-",VLOOKUP(compras_mes12[[#This Row],[CUIT]],Lista_CUIT[#All],3,0)),"CUIT NO CARGADO")</f>
        <v>COMBUSTIBLE</v>
      </c>
      <c r="R13" s="350">
        <f>IFERROR(IF(compras_mes12[[#This Row],[CUIT]]="","-",VLOOKUP(compras_mes12[[#This Row],[CUIT]],Lista_CUIT[#All],4,0)),"CUIT NO CARGADO")</f>
        <v>0</v>
      </c>
    </row>
    <row r="14" spans="1:26" x14ac:dyDescent="0.3">
      <c r="B14" s="325">
        <v>45352</v>
      </c>
      <c r="C14" s="41">
        <v>1</v>
      </c>
      <c r="D14" s="327">
        <v>3</v>
      </c>
      <c r="E14" s="328">
        <v>735</v>
      </c>
      <c r="F14" s="329">
        <v>30715402765</v>
      </c>
      <c r="G14" s="330" t="str">
        <f>IFERROR(IF(compras_mes12[[#This Row],[CUIT]]="","-",VLOOKUP(compras_mes12[[#This Row],[CUIT]],Lista_CUIT[#All],2,0)),"CUIT NO CARGADO")</f>
        <v>RIO 265 S.R.L.</v>
      </c>
      <c r="H14" s="331">
        <v>38843</v>
      </c>
      <c r="I14" s="332">
        <f>IF(compras_mes12[[#This Row],[NETO GRAVADO]]="","",compras_mes12[[#This Row],[NETO GRAVADO]]*0.21)</f>
        <v>8157.03</v>
      </c>
      <c r="J14" s="332"/>
      <c r="K14" s="332"/>
      <c r="L14" s="332"/>
      <c r="M14" s="332"/>
      <c r="N14" s="332"/>
      <c r="O14" s="332"/>
      <c r="P14" s="333">
        <f>SUM(compras_mes12[[#This Row],[NETO GRAVADO]:[Otros - No Grav.]])</f>
        <v>47000.03</v>
      </c>
      <c r="Q14" s="334" t="str">
        <f>IFERROR(IF(compras_mes12[[#This Row],[CUIT]]="","-",VLOOKUP(compras_mes12[[#This Row],[CUIT]],Lista_CUIT[#All],3,0)),"CUIT NO CARGADO")</f>
        <v>Gastos Varios</v>
      </c>
      <c r="R14" s="334">
        <f>IFERROR(IF(compras_mes12[[#This Row],[CUIT]]="","-",VLOOKUP(compras_mes12[[#This Row],[CUIT]],Lista_CUIT[#All],4,0)),"CUIT NO CARGADO")</f>
        <v>0</v>
      </c>
    </row>
    <row r="15" spans="1:26" x14ac:dyDescent="0.3">
      <c r="B15" s="335">
        <v>45362</v>
      </c>
      <c r="C15" s="208">
        <v>1</v>
      </c>
      <c r="D15" s="336">
        <v>9</v>
      </c>
      <c r="E15" s="337">
        <v>20452</v>
      </c>
      <c r="F15" s="338">
        <v>30646811062</v>
      </c>
      <c r="G15" s="339" t="str">
        <f>IFERROR(IF(compras_mes12[[#This Row],[CUIT]]="","-",VLOOKUP(compras_mes12[[#This Row],[CUIT]],Lista_CUIT[#All],2,0)),"CUIT NO CARGADO")</f>
        <v>POLINORTE S A</v>
      </c>
      <c r="H15" s="340">
        <v>22297.52</v>
      </c>
      <c r="I15" s="341">
        <f>IF(compras_mes12[[#This Row],[NETO GRAVADO]]="","",compras_mes12[[#This Row],[NETO GRAVADO]]*0.21)</f>
        <v>4682.4791999999998</v>
      </c>
      <c r="J15" s="341"/>
      <c r="K15" s="341"/>
      <c r="L15" s="341"/>
      <c r="M15" s="341"/>
      <c r="N15" s="341"/>
      <c r="O15" s="341"/>
      <c r="P15" s="349">
        <f>SUM(compras_mes12[[#This Row],[NETO GRAVADO]:[Otros - No Grav.]])</f>
        <v>26979.999199999998</v>
      </c>
      <c r="Q15" s="283" t="s">
        <v>1427</v>
      </c>
      <c r="R15" s="350">
        <f>IFERROR(IF(compras_mes12[[#This Row],[CUIT]]="","-",VLOOKUP(compras_mes12[[#This Row],[CUIT]],Lista_CUIT[#All],4,0)),"CUIT NO CARGADO")</f>
        <v>0</v>
      </c>
    </row>
    <row r="16" spans="1:26" x14ac:dyDescent="0.3">
      <c r="B16" s="335">
        <v>45381</v>
      </c>
      <c r="C16" s="208">
        <v>1</v>
      </c>
      <c r="D16" s="336">
        <v>30</v>
      </c>
      <c r="E16" s="337">
        <v>127903</v>
      </c>
      <c r="F16" s="338">
        <v>30695056342</v>
      </c>
      <c r="G16" s="339" t="str">
        <f>IFERROR(IF(compras_mes12[[#This Row],[CUIT]]="","-",VLOOKUP(compras_mes12[[#This Row],[CUIT]],Lista_CUIT[#All],2,0)),"CUIT NO CARGADO")</f>
        <v>AVENIDA MAIPU 4199 S C S</v>
      </c>
      <c r="H16" s="340">
        <v>86529.75</v>
      </c>
      <c r="I16" s="341">
        <f>IF(compras_mes12[[#This Row],[NETO GRAVADO]]="","",compras_mes12[[#This Row],[NETO GRAVADO]]*0.21)</f>
        <v>18171.247499999998</v>
      </c>
      <c r="J16" s="341"/>
      <c r="K16" s="341"/>
      <c r="L16" s="341"/>
      <c r="M16" s="341"/>
      <c r="N16" s="341"/>
      <c r="O16" s="341"/>
      <c r="P16" s="349">
        <f>SUM(compras_mes12[[#This Row],[NETO GRAVADO]:[Otros - No Grav.]])</f>
        <v>104700.9975</v>
      </c>
      <c r="Q16" s="283" t="s">
        <v>1427</v>
      </c>
      <c r="R16" s="350">
        <f>IFERROR(IF(compras_mes12[[#This Row],[CUIT]]="","-",VLOOKUP(compras_mes12[[#This Row],[CUIT]],Lista_CUIT[#All],4,0)),"CUIT NO CARGADO")</f>
        <v>0</v>
      </c>
    </row>
    <row r="17" spans="2:18" x14ac:dyDescent="0.3">
      <c r="B17" s="325">
        <v>45362</v>
      </c>
      <c r="C17" s="41">
        <v>1</v>
      </c>
      <c r="D17" s="327">
        <v>700</v>
      </c>
      <c r="E17" s="328">
        <v>633924</v>
      </c>
      <c r="F17" s="329">
        <v>30580111315</v>
      </c>
      <c r="G17" s="330" t="str">
        <f>IFERROR(IF(compras_mes12[[#This Row],[CUIT]]="","-",VLOOKUP(compras_mes12[[#This Row],[CUIT]],Lista_CUIT[#All],2,0)),"CUIT NO CARGADO")</f>
        <v>DHL EXPRESS (ARGENTINA) S.A.</v>
      </c>
      <c r="H17" s="331">
        <v>12982.5</v>
      </c>
      <c r="I17" s="332">
        <f>IF(compras_mes12[[#This Row],[NETO GRAVADO]]="","",compras_mes12[[#This Row],[NETO GRAVADO]]*0.21)</f>
        <v>2726.3249999999998</v>
      </c>
      <c r="J17" s="332"/>
      <c r="K17" s="332"/>
      <c r="L17" s="332"/>
      <c r="M17" s="332"/>
      <c r="N17" s="332"/>
      <c r="O17" s="332">
        <v>504101.82000000007</v>
      </c>
      <c r="P17" s="333">
        <f>SUM(compras_mes12[[#This Row],[NETO GRAVADO]:[Otros - No Grav.]])</f>
        <v>519810.64500000008</v>
      </c>
      <c r="Q17" s="334" t="str">
        <f>IFERROR(IF(compras_mes12[[#This Row],[CUIT]]="","-",VLOOKUP(compras_mes12[[#This Row],[CUIT]],Lista_CUIT[#All],3,0)),"CUIT NO CARGADO")</f>
        <v>Gtos. Imp.</v>
      </c>
      <c r="R17" s="334">
        <f>IFERROR(IF(compras_mes12[[#This Row],[CUIT]]="","-",VLOOKUP(compras_mes12[[#This Row],[CUIT]],Lista_CUIT[#All],4,0)),"CUIT NO CARGADO")</f>
        <v>0</v>
      </c>
    </row>
    <row r="18" spans="2:18" x14ac:dyDescent="0.3">
      <c r="B18" s="335">
        <v>45369</v>
      </c>
      <c r="C18" s="208">
        <v>1</v>
      </c>
      <c r="D18" s="336">
        <v>106</v>
      </c>
      <c r="E18" s="337">
        <v>717604</v>
      </c>
      <c r="F18" s="338">
        <v>30594494187</v>
      </c>
      <c r="G18" s="339" t="str">
        <f>IFERROR(IF(compras_mes12[[#This Row],[CUIT]]="","-",VLOOKUP(compras_mes12[[#This Row],[CUIT]],Lista_CUIT[#All],2,0)),"CUIT NO CARGADO")</f>
        <v>FEDERAL EXPRESS CORPORATION</v>
      </c>
      <c r="H18" s="340">
        <v>0</v>
      </c>
      <c r="I18" s="341">
        <f>IF(compras_mes12[[#This Row],[NETO GRAVADO]]="","",compras_mes12[[#This Row],[NETO GRAVADO]]*0.21)</f>
        <v>0</v>
      </c>
      <c r="J18" s="341"/>
      <c r="K18" s="341"/>
      <c r="L18" s="341"/>
      <c r="M18" s="341"/>
      <c r="N18" s="341"/>
      <c r="O18" s="341">
        <v>1211498.97</v>
      </c>
      <c r="P18" s="349">
        <f>SUM(compras_mes12[[#This Row],[NETO GRAVADO]:[Otros - No Grav.]])</f>
        <v>1211498.97</v>
      </c>
      <c r="Q18" s="350" t="str">
        <f>IFERROR(IF(compras_mes12[[#This Row],[CUIT]]="","-",VLOOKUP(compras_mes12[[#This Row],[CUIT]],Lista_CUIT[#All],3,0)),"CUIT NO CARGADO")</f>
        <v>Gtos. Imp.</v>
      </c>
      <c r="R18" s="350">
        <f>IFERROR(IF(compras_mes12[[#This Row],[CUIT]]="","-",VLOOKUP(compras_mes12[[#This Row],[CUIT]],Lista_CUIT[#All],4,0)),"CUIT NO CARGADO")</f>
        <v>0</v>
      </c>
    </row>
    <row r="19" spans="2:18" x14ac:dyDescent="0.3">
      <c r="B19" s="325">
        <v>45382</v>
      </c>
      <c r="C19" s="41">
        <v>1</v>
      </c>
      <c r="D19" s="327">
        <v>700</v>
      </c>
      <c r="E19" s="328">
        <v>641624</v>
      </c>
      <c r="F19" s="329">
        <v>30580111315</v>
      </c>
      <c r="G19" s="330" t="str">
        <f>IFERROR(IF(compras_mes12[[#This Row],[CUIT]]="","-",VLOOKUP(compras_mes12[[#This Row],[CUIT]],Lista_CUIT[#All],2,0)),"CUIT NO CARGADO")</f>
        <v>DHL EXPRESS (ARGENTINA) S.A.</v>
      </c>
      <c r="H19" s="331">
        <v>0</v>
      </c>
      <c r="I19" s="332">
        <f>IF(compras_mes12[[#This Row],[NETO GRAVADO]]="","",compras_mes12[[#This Row],[NETO GRAVADO]]*0.21)</f>
        <v>0</v>
      </c>
      <c r="J19" s="332"/>
      <c r="K19" s="332"/>
      <c r="L19" s="332"/>
      <c r="M19" s="332"/>
      <c r="N19" s="332"/>
      <c r="O19" s="332">
        <v>340939.2</v>
      </c>
      <c r="P19" s="333">
        <f>SUM(compras_mes12[[#This Row],[NETO GRAVADO]:[Otros - No Grav.]])</f>
        <v>340939.2</v>
      </c>
      <c r="Q19" s="334" t="str">
        <f>IFERROR(IF(compras_mes12[[#This Row],[CUIT]]="","-",VLOOKUP(compras_mes12[[#This Row],[CUIT]],Lista_CUIT[#All],3,0)),"CUIT NO CARGADO")</f>
        <v>Gtos. Imp.</v>
      </c>
      <c r="R19" s="334">
        <f>IFERROR(IF(compras_mes12[[#This Row],[CUIT]]="","-",VLOOKUP(compras_mes12[[#This Row],[CUIT]],Lista_CUIT[#All],4,0)),"CUIT NO CARGADO")</f>
        <v>0</v>
      </c>
    </row>
    <row r="20" spans="2:18" x14ac:dyDescent="0.3">
      <c r="B20" s="325">
        <v>45353</v>
      </c>
      <c r="C20" s="41">
        <v>1</v>
      </c>
      <c r="D20" s="327">
        <v>2</v>
      </c>
      <c r="E20" s="328">
        <v>195</v>
      </c>
      <c r="F20" s="329">
        <v>20125142851</v>
      </c>
      <c r="G20" s="330" t="str">
        <f>IFERROR(IF(compras_mes12[[#This Row],[CUIT]]="","-",VLOOKUP(compras_mes12[[#This Row],[CUIT]],Lista_CUIT[#All],2,0)),"CUIT NO CARGADO")</f>
        <v>FEDERICI NICOLAS JOSE</v>
      </c>
      <c r="H20" s="331">
        <v>1202351.05</v>
      </c>
      <c r="I20" s="332">
        <f>IF(compras_mes12[[#This Row],[NETO GRAVADO]]="","",compras_mes12[[#This Row],[NETO GRAVADO]]*0.21)</f>
        <v>252493.7205</v>
      </c>
      <c r="J20" s="332"/>
      <c r="K20" s="332"/>
      <c r="L20" s="332"/>
      <c r="M20" s="332"/>
      <c r="N20" s="332"/>
      <c r="O20" s="332"/>
      <c r="P20" s="333">
        <f>SUM(compras_mes12[[#This Row],[NETO GRAVADO]:[Otros - No Grav.]])</f>
        <v>1454844.7705000001</v>
      </c>
      <c r="Q20" s="334" t="str">
        <f>IFERROR(IF(compras_mes12[[#This Row],[CUIT]]="","-",VLOOKUP(compras_mes12[[#This Row],[CUIT]],Lista_CUIT[#All],3,0)),"CUIT NO CARGADO")</f>
        <v>INSUMO</v>
      </c>
      <c r="R20" s="334">
        <f>IFERROR(IF(compras_mes12[[#This Row],[CUIT]]="","-",VLOOKUP(compras_mes12[[#This Row],[CUIT]],Lista_CUIT[#All],4,0)),"CUIT NO CARGADO")</f>
        <v>0</v>
      </c>
    </row>
    <row r="21" spans="2:18" x14ac:dyDescent="0.3">
      <c r="B21" s="89">
        <v>45372</v>
      </c>
      <c r="C21" s="41">
        <v>1</v>
      </c>
      <c r="D21" s="91">
        <v>2</v>
      </c>
      <c r="E21" s="92">
        <v>2685</v>
      </c>
      <c r="F21" s="93">
        <v>30709131733</v>
      </c>
      <c r="G21" s="94" t="str">
        <f>IFERROR(IF(compras_mes12[[#This Row],[CUIT]]="","-",VLOOKUP(compras_mes12[[#This Row],[CUIT]],Lista_CUIT[#All],2,0)),"CUIT NO CARGADO")</f>
        <v>DIGAS SRL</v>
      </c>
      <c r="H21" s="95">
        <v>2720640</v>
      </c>
      <c r="I21" s="86">
        <f>IF(compras_mes12[[#This Row],[NETO GRAVADO]]="","",compras_mes12[[#This Row],[NETO GRAVADO]]*0.21)</f>
        <v>571334.40000000002</v>
      </c>
      <c r="J21" s="86"/>
      <c r="K21" s="86"/>
      <c r="L21" s="86"/>
      <c r="M21" s="86"/>
      <c r="N21" s="86"/>
      <c r="O21" s="86"/>
      <c r="P21" s="87">
        <f>SUM(compras_mes12[[#This Row],[NETO GRAVADO]:[Otros - No Grav.]])</f>
        <v>3291974.4</v>
      </c>
      <c r="Q21" s="88" t="str">
        <f>IFERROR(IF(compras_mes12[[#This Row],[CUIT]]="","-",VLOOKUP(compras_mes12[[#This Row],[CUIT]],Lista_CUIT[#All],3,0)),"CUIT NO CARGADO")</f>
        <v>INSUMO</v>
      </c>
      <c r="R21" s="88">
        <f>IFERROR(IF(compras_mes12[[#This Row],[CUIT]]="","-",VLOOKUP(compras_mes12[[#This Row],[CUIT]],Lista_CUIT[#All],4,0)),"CUIT NO CARGADO")</f>
        <v>0</v>
      </c>
    </row>
    <row r="22" spans="2:18" x14ac:dyDescent="0.3">
      <c r="B22" s="325">
        <v>45364</v>
      </c>
      <c r="C22" s="326">
        <v>1</v>
      </c>
      <c r="D22" s="327">
        <v>1</v>
      </c>
      <c r="E22" s="328">
        <v>4085</v>
      </c>
      <c r="F22" s="329">
        <v>30716831198</v>
      </c>
      <c r="G22" s="330" t="str">
        <f>IFERROR(IF(compras_mes12[[#This Row],[CUIT]]="","-",VLOOKUP(compras_mes12[[#This Row],[CUIT]],Lista_CUIT[#All],2,0)),"CUIT NO CARGADO")</f>
        <v>PINTURERIAS YANINA SA</v>
      </c>
      <c r="H22" s="331">
        <v>16105.59</v>
      </c>
      <c r="I22" s="332">
        <f>IF(compras_mes12[[#This Row],[NETO GRAVADO]]="","",compras_mes12[[#This Row],[NETO GRAVADO]]*0.21)</f>
        <v>3382.1738999999998</v>
      </c>
      <c r="J22" s="332"/>
      <c r="K22" s="332"/>
      <c r="L22" s="332"/>
      <c r="M22" s="332"/>
      <c r="N22" s="332"/>
      <c r="O22" s="332"/>
      <c r="P22" s="333">
        <f>SUM(compras_mes12[[#This Row],[NETO GRAVADO]:[Otros - No Grav.]])</f>
        <v>19487.763899999998</v>
      </c>
      <c r="Q22" s="49" t="s">
        <v>1396</v>
      </c>
      <c r="R22" s="334">
        <f>IFERROR(IF(compras_mes12[[#This Row],[CUIT]]="","-",VLOOKUP(compras_mes12[[#This Row],[CUIT]],Lista_CUIT[#All],4,0)),"CUIT NO CARGADO")</f>
        <v>0</v>
      </c>
    </row>
    <row r="23" spans="2:18" x14ac:dyDescent="0.3">
      <c r="B23" s="325">
        <v>45366</v>
      </c>
      <c r="C23" s="41">
        <v>1</v>
      </c>
      <c r="D23" s="327">
        <v>3</v>
      </c>
      <c r="E23" s="328">
        <v>20642</v>
      </c>
      <c r="F23" s="329">
        <v>30707468161</v>
      </c>
      <c r="G23" s="330" t="str">
        <f>IFERROR(IF(compras_mes12[[#This Row],[CUIT]]="","-",VLOOKUP(compras_mes12[[#This Row],[CUIT]],Lista_CUIT[#All],2,0)),"CUIT NO CARGADO")</f>
        <v>LASERTEC INGENIERIA SOCIEDAD ANONIMA</v>
      </c>
      <c r="H23" s="331">
        <v>304150</v>
      </c>
      <c r="I23" s="332">
        <f>IF(compras_mes12[[#This Row],[NETO GRAVADO]]="","",compras_mes12[[#This Row],[NETO GRAVADO]]*0.21)</f>
        <v>63871.5</v>
      </c>
      <c r="J23" s="332"/>
      <c r="K23" s="332"/>
      <c r="L23" s="332"/>
      <c r="M23" s="332">
        <v>24332</v>
      </c>
      <c r="N23" s="332"/>
      <c r="O23" s="332"/>
      <c r="P23" s="333">
        <f>SUM(compras_mes12[[#This Row],[NETO GRAVADO]:[Otros - No Grav.]])</f>
        <v>392353.5</v>
      </c>
      <c r="Q23" s="49" t="s">
        <v>1396</v>
      </c>
      <c r="R23" s="334">
        <f>IFERROR(IF(compras_mes12[[#This Row],[CUIT]]="","-",VLOOKUP(compras_mes12[[#This Row],[CUIT]],Lista_CUIT[#All],4,0)),"CUIT NO CARGADO")</f>
        <v>0</v>
      </c>
    </row>
    <row r="24" spans="2:18" x14ac:dyDescent="0.3">
      <c r="B24" s="89">
        <v>45378</v>
      </c>
      <c r="C24" s="41">
        <v>1</v>
      </c>
      <c r="D24" s="91">
        <v>1</v>
      </c>
      <c r="E24" s="92">
        <v>1108</v>
      </c>
      <c r="F24" s="93">
        <v>30717763692</v>
      </c>
      <c r="G24" s="94" t="str">
        <f>IFERROR(IF(compras_mes12[[#This Row],[CUIT]]="","-",VLOOKUP(compras_mes12[[#This Row],[CUIT]],Lista_CUIT[#All],2,0)),"CUIT NO CARGADO")</f>
        <v>IGNISMOTORREDUCTORES S. A.</v>
      </c>
      <c r="H24" s="95">
        <v>26281</v>
      </c>
      <c r="I24" s="86">
        <f>IF(compras_mes12[[#This Row],[NETO GRAVADO]]="","",compras_mes12[[#This Row],[NETO GRAVADO]]*0.21)</f>
        <v>5519.01</v>
      </c>
      <c r="J24" s="86"/>
      <c r="K24" s="86"/>
      <c r="L24" s="86"/>
      <c r="M24" s="86"/>
      <c r="N24" s="86"/>
      <c r="O24" s="86"/>
      <c r="P24" s="87">
        <f>SUM(compras_mes12[[#This Row],[NETO GRAVADO]:[Otros - No Grav.]])</f>
        <v>31800.010000000002</v>
      </c>
      <c r="Q24" s="49" t="s">
        <v>1396</v>
      </c>
      <c r="R24" s="88">
        <f>IFERROR(IF(compras_mes12[[#This Row],[CUIT]]="","-",VLOOKUP(compras_mes12[[#This Row],[CUIT]],Lista_CUIT[#All],4,0)),"CUIT NO CARGADO")</f>
        <v>0</v>
      </c>
    </row>
    <row r="25" spans="2:18" x14ac:dyDescent="0.3">
      <c r="B25" s="325">
        <v>45379</v>
      </c>
      <c r="C25" s="41">
        <v>1</v>
      </c>
      <c r="D25" s="327">
        <v>6</v>
      </c>
      <c r="E25" s="328">
        <v>14358</v>
      </c>
      <c r="F25" s="329">
        <v>30707756434</v>
      </c>
      <c r="G25" s="330" t="str">
        <f>IFERROR(IF(compras_mes12[[#This Row],[CUIT]]="","-",VLOOKUP(compras_mes12[[#This Row],[CUIT]],Lista_CUIT[#All],2,0)),"CUIT NO CARGADO")</f>
        <v>SERVICIO INTEGRAL DE LIMPIEZA SRL</v>
      </c>
      <c r="H25" s="331">
        <v>169600</v>
      </c>
      <c r="I25" s="332">
        <f>IF(compras_mes12[[#This Row],[NETO GRAVADO]]="","",compras_mes12[[#This Row],[NETO GRAVADO]]*0.21)</f>
        <v>35616</v>
      </c>
      <c r="J25" s="332"/>
      <c r="K25" s="332"/>
      <c r="L25" s="332"/>
      <c r="M25" s="332"/>
      <c r="N25" s="332"/>
      <c r="O25" s="332"/>
      <c r="P25" s="333">
        <f>SUM(compras_mes12[[#This Row],[NETO GRAVADO]:[Otros - No Grav.]])</f>
        <v>205216</v>
      </c>
      <c r="Q25" s="334" t="str">
        <f>IFERROR(IF(compras_mes12[[#This Row],[CUIT]]="","-",VLOOKUP(compras_mes12[[#This Row],[CUIT]],Lista_CUIT[#All],3,0)),"CUIT NO CARGADO")</f>
        <v>Mantenimiento</v>
      </c>
      <c r="R25" s="334">
        <f>IFERROR(IF(compras_mes12[[#This Row],[CUIT]]="","-",VLOOKUP(compras_mes12[[#This Row],[CUIT]],Lista_CUIT[#All],4,0)),"CUIT NO CARGADO")</f>
        <v>0</v>
      </c>
    </row>
    <row r="26" spans="2:18" x14ac:dyDescent="0.3">
      <c r="B26" s="325">
        <v>45364</v>
      </c>
      <c r="C26" s="41">
        <v>1</v>
      </c>
      <c r="D26" s="327">
        <v>2</v>
      </c>
      <c r="E26" s="328">
        <v>728</v>
      </c>
      <c r="F26" s="329">
        <v>20296550184</v>
      </c>
      <c r="G26" s="330" t="str">
        <f>IFERROR(IF(compras_mes12[[#This Row],[CUIT]]="","-",VLOOKUP(compras_mes12[[#This Row],[CUIT]],Lista_CUIT[#All],2,0)),"CUIT NO CARGADO")</f>
        <v>COSTA DIEGO ALEJANDRO</v>
      </c>
      <c r="H26" s="331">
        <v>301950</v>
      </c>
      <c r="I26" s="332">
        <f>IF(compras_mes12[[#This Row],[NETO GRAVADO]]="","",compras_mes12[[#This Row],[NETO GRAVADO]]*0.21)</f>
        <v>63409.5</v>
      </c>
      <c r="J26" s="332"/>
      <c r="K26" s="332"/>
      <c r="L26" s="332"/>
      <c r="M26" s="332"/>
      <c r="N26" s="332"/>
      <c r="O26" s="332"/>
      <c r="P26" s="333">
        <f>SUM(compras_mes12[[#This Row],[NETO GRAVADO]:[Otros - No Grav.]])</f>
        <v>365359.5</v>
      </c>
      <c r="Q26" s="334" t="str">
        <f>IFERROR(IF(compras_mes12[[#This Row],[CUIT]]="","-",VLOOKUP(compras_mes12[[#This Row],[CUIT]],Lista_CUIT[#All],3,0)),"CUIT NO CARGADO")</f>
        <v>Mat. Prima</v>
      </c>
      <c r="R26" s="334">
        <f>IFERROR(IF(compras_mes12[[#This Row],[CUIT]]="","-",VLOOKUP(compras_mes12[[#This Row],[CUIT]],Lista_CUIT[#All],4,0)),"CUIT NO CARGADO")</f>
        <v>0</v>
      </c>
    </row>
    <row r="27" spans="2:18" x14ac:dyDescent="0.3">
      <c r="B27" s="40">
        <v>45376</v>
      </c>
      <c r="C27" s="41">
        <v>1</v>
      </c>
      <c r="D27" s="42">
        <v>8</v>
      </c>
      <c r="E27" s="43">
        <v>170347</v>
      </c>
      <c r="F27" s="44">
        <v>33606484599</v>
      </c>
      <c r="G27" s="45" t="str">
        <f>IFERROR(IF(compras_mes12[[#This Row],[CUIT]]="","-",VLOOKUP(compras_mes12[[#This Row],[CUIT]],Lista_CUIT[#All],2,0)),"CUIT NO CARGADO")</f>
        <v>JORVICAL ACEROS S A</v>
      </c>
      <c r="H27" s="46">
        <v>5486334.8799999999</v>
      </c>
      <c r="I27" s="85">
        <f>IF(compras_mes12[[#This Row],[NETO GRAVADO]]="","",compras_mes12[[#This Row],[NETO GRAVADO]]*0.21)</f>
        <v>1152130.3247999998</v>
      </c>
      <c r="J27" s="85"/>
      <c r="K27" s="85"/>
      <c r="L27" s="85"/>
      <c r="M27" s="85"/>
      <c r="N27" s="85"/>
      <c r="O27" s="85"/>
      <c r="P27" s="48">
        <f>SUM(compras_mes12[[#This Row],[NETO GRAVADO]:[Otros - No Grav.]])</f>
        <v>6638465.2047999995</v>
      </c>
      <c r="Q27" s="49" t="str">
        <f>IFERROR(IF(compras_mes12[[#This Row],[CUIT]]="","-",VLOOKUP(compras_mes12[[#This Row],[CUIT]],Lista_CUIT[#All],3,0)),"CUIT NO CARGADO")</f>
        <v>Mat. Prima</v>
      </c>
      <c r="R27" s="49">
        <f>IFERROR(IF(compras_mes12[[#This Row],[CUIT]]="","-",VLOOKUP(compras_mes12[[#This Row],[CUIT]],Lista_CUIT[#All],4,0)),"CUIT NO CARGADO")</f>
        <v>0</v>
      </c>
    </row>
    <row r="28" spans="2:18" s="56" customFormat="1" ht="18.600000000000001" customHeight="1" x14ac:dyDescent="0.3">
      <c r="B28" s="325">
        <v>45363</v>
      </c>
      <c r="C28" s="41">
        <v>1</v>
      </c>
      <c r="D28" s="327">
        <v>6</v>
      </c>
      <c r="E28" s="328">
        <v>20188</v>
      </c>
      <c r="F28" s="329">
        <v>30715819461</v>
      </c>
      <c r="G28" s="330" t="str">
        <f>IFERROR(IF(compras_mes12[[#This Row],[CUIT]]="","-",VLOOKUP(compras_mes12[[#This Row],[CUIT]],Lista_CUIT[#All],2,0)),"CUIT NO CARGADO")</f>
        <v>DISTRI AIRES S.R.L</v>
      </c>
      <c r="H28" s="331">
        <v>22542.15</v>
      </c>
      <c r="I28" s="332">
        <f>IF(compras_mes12[[#This Row],[NETO GRAVADO]]="","",compras_mes12[[#This Row],[NETO GRAVADO]]*0.21)</f>
        <v>4733.8514999999998</v>
      </c>
      <c r="J28" s="332"/>
      <c r="K28" s="332"/>
      <c r="L28" s="332"/>
      <c r="M28" s="332"/>
      <c r="N28" s="332"/>
      <c r="O28" s="332"/>
      <c r="P28" s="333">
        <f>SUM(compras_mes12[[#This Row],[NETO GRAVADO]:[Otros - No Grav.]])</f>
        <v>27276.001500000002</v>
      </c>
      <c r="Q28" s="49" t="s">
        <v>1428</v>
      </c>
      <c r="R28" s="334">
        <f>IFERROR(IF(compras_mes12[[#This Row],[CUIT]]="","-",VLOOKUP(compras_mes12[[#This Row],[CUIT]],Lista_CUIT[#All],4,0)),"CUIT NO CARGADO")</f>
        <v>0</v>
      </c>
    </row>
    <row r="29" spans="2:18" x14ac:dyDescent="0.3">
      <c r="B29" s="325">
        <v>45363</v>
      </c>
      <c r="C29" s="41">
        <v>1</v>
      </c>
      <c r="D29" s="327">
        <v>2</v>
      </c>
      <c r="E29" s="328">
        <v>3000</v>
      </c>
      <c r="F29" s="329">
        <v>30715162497</v>
      </c>
      <c r="G29" s="330" t="str">
        <f>IFERROR(IF(compras_mes12[[#This Row],[CUIT]]="","-",VLOOKUP(compras_mes12[[#This Row],[CUIT]],Lista_CUIT[#All],2,0)),"CUIT NO CARGADO")</f>
        <v>SYS IMPORTACIONES S.R.L.</v>
      </c>
      <c r="H29" s="331">
        <v>23138.84</v>
      </c>
      <c r="I29" s="332">
        <f>IF(compras_mes12[[#This Row],[NETO GRAVADO]]="","",compras_mes12[[#This Row],[NETO GRAVADO]]*0.21)</f>
        <v>4859.1563999999998</v>
      </c>
      <c r="J29" s="332"/>
      <c r="K29" s="332"/>
      <c r="L29" s="332"/>
      <c r="M29" s="332"/>
      <c r="N29" s="332"/>
      <c r="O29" s="332"/>
      <c r="P29" s="333">
        <f>SUM(compras_mes12[[#This Row],[NETO GRAVADO]:[Otros - No Grav.]])</f>
        <v>27997.9964</v>
      </c>
      <c r="Q29" s="49" t="s">
        <v>1428</v>
      </c>
      <c r="R29" s="334">
        <f>IFERROR(IF(compras_mes12[[#This Row],[CUIT]]="","-",VLOOKUP(compras_mes12[[#This Row],[CUIT]],Lista_CUIT[#All],4,0)),"CUIT NO CARGADO")</f>
        <v>0</v>
      </c>
    </row>
    <row r="30" spans="2:18" x14ac:dyDescent="0.3">
      <c r="B30" s="40">
        <v>45372</v>
      </c>
      <c r="C30" s="41">
        <v>1</v>
      </c>
      <c r="D30" s="42">
        <v>2</v>
      </c>
      <c r="E30" s="43">
        <v>3437</v>
      </c>
      <c r="F30" s="44">
        <v>30710878974</v>
      </c>
      <c r="G30" s="45" t="str">
        <f>IFERROR(IF(compras_mes12[[#This Row],[CUIT]]="","-",VLOOKUP(compras_mes12[[#This Row],[CUIT]],Lista_CUIT[#All],2,0)),"CUIT NO CARGADO")</f>
        <v>TEBY SRL</v>
      </c>
      <c r="H30" s="46">
        <v>3865845</v>
      </c>
      <c r="I30" s="85">
        <f>IF(compras_mes12[[#This Row],[NETO GRAVADO]]="","",compras_mes12[[#This Row],[NETO GRAVADO]]*0.21)</f>
        <v>811827.45</v>
      </c>
      <c r="J30" s="85"/>
      <c r="K30" s="85"/>
      <c r="L30" s="85"/>
      <c r="M30" s="85"/>
      <c r="N30" s="85"/>
      <c r="O30" s="85"/>
      <c r="P30" s="48">
        <f>SUM(compras_mes12[[#This Row],[NETO GRAVADO]:[Otros - No Grav.]])</f>
        <v>4677672.45</v>
      </c>
      <c r="Q30" s="49" t="s">
        <v>1428</v>
      </c>
      <c r="R30" s="49">
        <f>IFERROR(IF(compras_mes12[[#This Row],[CUIT]]="","-",VLOOKUP(compras_mes12[[#This Row],[CUIT]],Lista_CUIT[#All],4,0)),"CUIT NO CARGADO")</f>
        <v>0</v>
      </c>
    </row>
    <row r="31" spans="2:18" x14ac:dyDescent="0.3">
      <c r="B31" s="325">
        <v>45365</v>
      </c>
      <c r="C31" s="41">
        <v>1</v>
      </c>
      <c r="D31" s="327">
        <v>6</v>
      </c>
      <c r="E31" s="328">
        <v>631</v>
      </c>
      <c r="F31" s="329">
        <v>30716067889</v>
      </c>
      <c r="G31" s="330" t="str">
        <f>IFERROR(IF(compras_mes12[[#This Row],[CUIT]]="","-",VLOOKUP(compras_mes12[[#This Row],[CUIT]],Lista_CUIT[#All],2,0)),"CUIT NO CARGADO")</f>
        <v>K Y G MILENIUM S.R.L.</v>
      </c>
      <c r="H31" s="331">
        <v>19077.53</v>
      </c>
      <c r="I31" s="332">
        <f>IF(compras_mes12[[#This Row],[NETO GRAVADO]]="","",compras_mes12[[#This Row],[NETO GRAVADO]]*0.21)</f>
        <v>4006.2812999999996</v>
      </c>
      <c r="J31" s="332"/>
      <c r="K31" s="332"/>
      <c r="L31" s="332"/>
      <c r="M31" s="332"/>
      <c r="N31" s="332"/>
      <c r="O31" s="332"/>
      <c r="P31" s="333">
        <f>SUM(compras_mes12[[#This Row],[NETO GRAVADO]:[Otros - No Grav.]])</f>
        <v>23083.811299999998</v>
      </c>
      <c r="Q31" s="49" t="s">
        <v>119</v>
      </c>
      <c r="R31" s="334">
        <f>IFERROR(IF(compras_mes12[[#This Row],[CUIT]]="","-",VLOOKUP(compras_mes12[[#This Row],[CUIT]],Lista_CUIT[#All],4,0)),"CUIT NO CARGADO")</f>
        <v>0</v>
      </c>
    </row>
    <row r="32" spans="2:18" ht="14.4" customHeight="1" x14ac:dyDescent="0.3">
      <c r="B32" s="40">
        <v>45376</v>
      </c>
      <c r="C32" s="41">
        <v>1</v>
      </c>
      <c r="D32" s="42">
        <v>5</v>
      </c>
      <c r="E32" s="43">
        <v>71776</v>
      </c>
      <c r="F32" s="44">
        <v>30692857611</v>
      </c>
      <c r="G32" s="45" t="str">
        <f>IFERROR(IF(compras_mes12[[#This Row],[CUIT]]="","-",VLOOKUP(compras_mes12[[#This Row],[CUIT]],Lista_CUIT[#All],2,0)),"CUIT NO CARGADO")</f>
        <v>BAGUI S A</v>
      </c>
      <c r="H32" s="46">
        <v>109462.5</v>
      </c>
      <c r="I32" s="85">
        <f>IF(compras_mes12[[#This Row],[NETO GRAVADO]]="","",compras_mes12[[#This Row],[NETO GRAVADO]]*0.21)</f>
        <v>22987.125</v>
      </c>
      <c r="J32" s="85"/>
      <c r="K32" s="85"/>
      <c r="L32" s="85"/>
      <c r="M32" s="85"/>
      <c r="N32" s="85"/>
      <c r="O32" s="85"/>
      <c r="P32" s="48">
        <f>SUM(compras_mes12[[#This Row],[NETO GRAVADO]:[Otros - No Grav.]])</f>
        <v>132449.625</v>
      </c>
      <c r="Q32" s="49" t="s">
        <v>119</v>
      </c>
      <c r="R32" s="49">
        <f>IFERROR(IF(compras_mes12[[#This Row],[CUIT]]="","-",VLOOKUP(compras_mes12[[#This Row],[CUIT]],Lista_CUIT[#All],4,0)),"CUIT NO CARGADO")</f>
        <v>0</v>
      </c>
    </row>
    <row r="33" spans="2:18" x14ac:dyDescent="0.3">
      <c r="B33" s="335">
        <v>45362</v>
      </c>
      <c r="C33" s="208">
        <v>1</v>
      </c>
      <c r="D33" s="336">
        <v>2466</v>
      </c>
      <c r="E33" s="337">
        <v>624384</v>
      </c>
      <c r="F33" s="338">
        <v>30678814357</v>
      </c>
      <c r="G33" s="339" t="str">
        <f>IFERROR(IF(compras_mes12[[#This Row],[CUIT]]="","-",VLOOKUP(compras_mes12[[#This Row],[CUIT]],Lista_CUIT[#All],2,0)),"CUIT NO CARGADO")</f>
        <v>TELEFONICA MOVILES ARG</v>
      </c>
      <c r="H33" s="340">
        <v>14792</v>
      </c>
      <c r="I33" s="341"/>
      <c r="J33" s="341">
        <v>3993.84</v>
      </c>
      <c r="K33" s="341"/>
      <c r="L33" s="341">
        <v>446.76</v>
      </c>
      <c r="M33" s="341"/>
      <c r="N33" s="341"/>
      <c r="O33" s="341">
        <v>778.52</v>
      </c>
      <c r="P33" s="349">
        <f>SUM(compras_mes12[[#This Row],[NETO GRAVADO]:[Otros - No Grav.]])</f>
        <v>20011.12</v>
      </c>
      <c r="Q33" s="350" t="str">
        <f>IFERROR(IF(compras_mes12[[#This Row],[CUIT]]="","-",VLOOKUP(compras_mes12[[#This Row],[CUIT]],Lista_CUIT[#All],3,0)),"CUIT NO CARGADO")</f>
        <v>SERVICIOS</v>
      </c>
      <c r="R33" s="350">
        <f>IFERROR(IF(compras_mes12[[#This Row],[CUIT]]="","-",VLOOKUP(compras_mes12[[#This Row],[CUIT]],Lista_CUIT[#All],4,0)),"CUIT NO CARGADO")</f>
        <v>0</v>
      </c>
    </row>
    <row r="34" spans="2:18" x14ac:dyDescent="0.3">
      <c r="B34" s="40">
        <v>45352</v>
      </c>
      <c r="C34" s="41">
        <v>1</v>
      </c>
      <c r="D34" s="42">
        <v>3</v>
      </c>
      <c r="E34" s="43">
        <v>221115</v>
      </c>
      <c r="F34" s="44">
        <v>30707135596</v>
      </c>
      <c r="G34" s="45" t="str">
        <f>IFERROR(IF(compras_mes12[[#This Row],[CUIT]]="","-",VLOOKUP(compras_mes12[[#This Row],[CUIT]],Lista_CUIT[#All],2,0)),"CUIT NO CARGADO")</f>
        <v>CITILAN ARGENTINA S.A.</v>
      </c>
      <c r="H34" s="46">
        <v>15608.06</v>
      </c>
      <c r="I34" s="85">
        <f>IF(compras_mes12[[#This Row],[NETO GRAVADO]]="","",compras_mes12[[#This Row],[NETO GRAVADO]]*0.21)</f>
        <v>3277.6925999999999</v>
      </c>
      <c r="J34" s="85"/>
      <c r="K34" s="85"/>
      <c r="L34" s="85"/>
      <c r="M34" s="85"/>
      <c r="N34" s="85"/>
      <c r="O34" s="85"/>
      <c r="P34" s="48">
        <f>SUM(compras_mes12[[#This Row],[NETO GRAVADO]:[Otros - No Grav.]])</f>
        <v>18885.7526</v>
      </c>
      <c r="Q34" s="49" t="str">
        <f>IFERROR(IF(compras_mes12[[#This Row],[CUIT]]="","-",VLOOKUP(compras_mes12[[#This Row],[CUIT]],Lista_CUIT[#All],3,0)),"CUIT NO CARGADO")</f>
        <v>Servicios Gas, Luz, Etc</v>
      </c>
      <c r="R34" s="49">
        <f>IFERROR(IF(compras_mes12[[#This Row],[CUIT]]="","-",VLOOKUP(compras_mes12[[#This Row],[CUIT]],Lista_CUIT[#All],4,0)),"CUIT NO CARGADO")</f>
        <v>0</v>
      </c>
    </row>
    <row r="35" spans="2:18" ht="14.4" customHeight="1" x14ac:dyDescent="0.3">
      <c r="B35" s="335">
        <v>45378</v>
      </c>
      <c r="C35" s="208">
        <v>1</v>
      </c>
      <c r="D35" s="336">
        <v>1</v>
      </c>
      <c r="E35" s="337">
        <v>2755</v>
      </c>
      <c r="F35" s="338">
        <v>30716553112</v>
      </c>
      <c r="G35" s="339" t="str">
        <f>IFERROR(IF(compras_mes12[[#This Row],[CUIT]]="","-",VLOOKUP(compras_mes12[[#This Row],[CUIT]],Lista_CUIT[#All],2,0)),"CUIT NO CARGADO")</f>
        <v>ASTRONIC SRL</v>
      </c>
      <c r="H35" s="340">
        <v>1350000</v>
      </c>
      <c r="I35" s="341"/>
      <c r="J35" s="341"/>
      <c r="K35" s="341">
        <v>141750</v>
      </c>
      <c r="L35" s="341"/>
      <c r="M35" s="341"/>
      <c r="N35" s="341"/>
      <c r="O35" s="341"/>
      <c r="P35" s="349">
        <f>SUM(compras_mes12[[#This Row],[NETO GRAVADO]:[Otros - No Grav.]])</f>
        <v>1491750</v>
      </c>
      <c r="Q35" s="283" t="s">
        <v>1434</v>
      </c>
      <c r="R35" s="350">
        <f>IFERROR(IF(compras_mes12[[#This Row],[CUIT]]="","-",VLOOKUP(compras_mes12[[#This Row],[CUIT]],Lista_CUIT[#All],4,0)),"CUIT NO CARGADO")</f>
        <v>0</v>
      </c>
    </row>
    <row r="36" spans="2:18" ht="14.4" customHeight="1" x14ac:dyDescent="0.3">
      <c r="B36" s="96" t="s">
        <v>110</v>
      </c>
      <c r="C36" s="96"/>
      <c r="D36" s="96"/>
      <c r="E36" s="96" t="s">
        <v>1189</v>
      </c>
      <c r="F36" s="96"/>
      <c r="G36" s="97"/>
      <c r="H36" s="98">
        <f>SUBTOTAL(109,compras_mes12[NETO GRAVADO])</f>
        <v>16468704.27</v>
      </c>
      <c r="I36" s="98">
        <f>SUBTOTAL(109,compras_mes12[IVA 21 %])</f>
        <v>3171821.5766999996</v>
      </c>
      <c r="J36" s="98">
        <f>SUBTOTAL(109,compras_mes12[IVA 27%])</f>
        <v>3993.84</v>
      </c>
      <c r="K36" s="98">
        <f>SUBTOTAL(109,compras_mes12[IVA 10,5%])</f>
        <v>141750</v>
      </c>
      <c r="L36" s="98">
        <f>SUBTOTAL(109,compras_mes12[PERC. IVA])</f>
        <v>446.76</v>
      </c>
      <c r="M36" s="98">
        <f>SUBTOTAL(109,compras_mes12[PERC IIBB 
BS AS])</f>
        <v>24332</v>
      </c>
      <c r="N36" s="98">
        <f>SUBTOTAL(109,compras_mes12[PERC. IIBB CABA])</f>
        <v>0</v>
      </c>
      <c r="O36" s="98">
        <f>SUBTOTAL(109,compras_mes12[Otros - No Grav.])</f>
        <v>2059037.24</v>
      </c>
      <c r="P36" s="98">
        <f>SUBTOTAL(109,compras_mes12[TOTAL])</f>
        <v>21870085.686699998</v>
      </c>
      <c r="Q36" s="96"/>
      <c r="R36" s="96"/>
    </row>
    <row r="37" spans="2:18" ht="15" customHeight="1" x14ac:dyDescent="0.3">
      <c r="B37" s="40"/>
      <c r="C37" s="41"/>
      <c r="D37" s="42"/>
      <c r="E37" s="43"/>
      <c r="F37" s="44"/>
      <c r="G37" s="45"/>
      <c r="H37" s="46"/>
      <c r="I37" s="47"/>
      <c r="J37" s="47"/>
      <c r="K37" s="47"/>
      <c r="L37" s="47"/>
      <c r="M37" s="47"/>
      <c r="N37" s="47"/>
      <c r="O37" s="47"/>
      <c r="P37" s="48"/>
      <c r="Q37" s="49"/>
      <c r="R37" s="49"/>
    </row>
    <row r="38" spans="2:18" ht="15" customHeight="1" x14ac:dyDescent="0.3">
      <c r="B38" s="40"/>
      <c r="C38" s="41"/>
      <c r="D38" s="42"/>
      <c r="E38" s="43"/>
      <c r="F38" s="44"/>
      <c r="G38" s="45"/>
      <c r="H38" s="46"/>
      <c r="I38" s="47"/>
      <c r="J38" s="47"/>
      <c r="K38" s="47"/>
      <c r="L38" s="47"/>
      <c r="M38" s="47"/>
      <c r="N38" s="47"/>
      <c r="O38" s="47"/>
      <c r="P38" s="48"/>
      <c r="Q38" s="49"/>
      <c r="R38" s="49"/>
    </row>
    <row r="39" spans="2:18" ht="15" customHeight="1" x14ac:dyDescent="0.3">
      <c r="B39" s="40"/>
      <c r="C39" s="41"/>
      <c r="D39" s="42"/>
      <c r="E39" s="43"/>
      <c r="F39" s="44"/>
      <c r="G39" s="45"/>
      <c r="H39" s="46"/>
      <c r="I39" s="47"/>
      <c r="J39" s="47"/>
      <c r="K39" s="47"/>
      <c r="L39" s="47"/>
      <c r="M39" s="47"/>
      <c r="N39" s="47"/>
      <c r="O39" s="47"/>
      <c r="P39" s="48"/>
      <c r="Q39" s="49"/>
      <c r="R39" s="49"/>
    </row>
    <row r="40" spans="2:18" ht="15" customHeight="1" x14ac:dyDescent="0.3">
      <c r="B40" s="40"/>
      <c r="C40" s="41"/>
      <c r="D40" s="42"/>
      <c r="E40" s="43"/>
      <c r="F40" s="44"/>
      <c r="G40" s="45"/>
      <c r="H40" s="46"/>
      <c r="I40" s="47"/>
      <c r="J40" s="47"/>
      <c r="K40" s="47"/>
      <c r="L40" s="47"/>
    </row>
    <row r="41" spans="2:18" ht="15" customHeight="1" x14ac:dyDescent="0.3">
      <c r="D41" s="414" t="s">
        <v>15</v>
      </c>
      <c r="E41" s="414"/>
      <c r="F41" s="414"/>
      <c r="G41" s="414"/>
      <c r="H41" s="414"/>
      <c r="I41" s="414"/>
      <c r="J41" s="414"/>
      <c r="K41" s="414"/>
      <c r="L41" s="414"/>
    </row>
    <row r="42" spans="2:18" ht="23.4" customHeight="1" x14ac:dyDescent="0.3">
      <c r="D42" s="73" t="s">
        <v>0</v>
      </c>
      <c r="E42" s="74" t="s">
        <v>26</v>
      </c>
      <c r="F42" s="74" t="s">
        <v>16</v>
      </c>
      <c r="G42" s="74" t="s">
        <v>5</v>
      </c>
      <c r="H42" s="74" t="s">
        <v>17</v>
      </c>
      <c r="I42" s="74" t="s">
        <v>7</v>
      </c>
      <c r="J42" s="75" t="s">
        <v>18</v>
      </c>
      <c r="K42" s="75" t="s">
        <v>19</v>
      </c>
      <c r="L42" s="76" t="s">
        <v>20</v>
      </c>
    </row>
    <row r="43" spans="2:18" x14ac:dyDescent="0.3">
      <c r="D43" s="50">
        <v>45366</v>
      </c>
      <c r="E43" s="80">
        <v>86189</v>
      </c>
      <c r="F43" s="80" t="s">
        <v>1243</v>
      </c>
      <c r="G43" s="81">
        <v>21250</v>
      </c>
      <c r="H43" s="81">
        <f>extracto_banco_mes12[[#This Row],[NETO]]*0.21</f>
        <v>4462.5</v>
      </c>
      <c r="I43" s="81"/>
      <c r="J43" s="81"/>
      <c r="K43" s="81">
        <v>637.5</v>
      </c>
      <c r="L43" s="81"/>
    </row>
    <row r="44" spans="2:18" x14ac:dyDescent="0.3">
      <c r="D44" s="50">
        <v>45363</v>
      </c>
      <c r="E44" s="80">
        <v>87461</v>
      </c>
      <c r="F44" s="80" t="s">
        <v>1243</v>
      </c>
      <c r="G44" s="81">
        <v>63600</v>
      </c>
      <c r="H44" s="81">
        <f>extracto_banco_mes12[[#This Row],[NETO]]*0.21</f>
        <v>13356</v>
      </c>
      <c r="I44" s="81"/>
      <c r="J44" s="81"/>
      <c r="K44" s="81">
        <v>1908</v>
      </c>
      <c r="L44" s="81"/>
    </row>
    <row r="45" spans="2:18" x14ac:dyDescent="0.3">
      <c r="D45" s="362">
        <v>45357</v>
      </c>
      <c r="E45" s="363">
        <v>1066139</v>
      </c>
      <c r="F45" s="80" t="s">
        <v>1243</v>
      </c>
      <c r="G45" s="342">
        <v>21137.5</v>
      </c>
      <c r="H45" s="342">
        <f>extracto_banco_mes12[[#This Row],[NETO]]*0.21</f>
        <v>4438.875</v>
      </c>
      <c r="I45" s="342"/>
      <c r="J45" s="342"/>
      <c r="K45" s="342">
        <v>634.13</v>
      </c>
      <c r="L45" s="342"/>
    </row>
    <row r="46" spans="2:18" x14ac:dyDescent="0.3">
      <c r="D46" s="362">
        <v>45357</v>
      </c>
      <c r="E46" s="363">
        <v>1066140</v>
      </c>
      <c r="F46" s="80" t="s">
        <v>1243</v>
      </c>
      <c r="G46" s="342">
        <v>21137.5</v>
      </c>
      <c r="H46" s="342">
        <f>extracto_banco_mes12[[#This Row],[NETO]]*0.21</f>
        <v>4438.875</v>
      </c>
      <c r="I46" s="342"/>
      <c r="J46" s="342"/>
      <c r="K46" s="342">
        <v>634.13</v>
      </c>
      <c r="L46" s="342"/>
    </row>
    <row r="47" spans="2:18" x14ac:dyDescent="0.3">
      <c r="D47" s="362">
        <v>45363</v>
      </c>
      <c r="E47" s="363">
        <v>874610</v>
      </c>
      <c r="F47" s="80" t="s">
        <v>1373</v>
      </c>
      <c r="G47" s="342">
        <v>63600</v>
      </c>
      <c r="H47" s="342">
        <f>extracto_banco_mes12[[#This Row],[NETO]]*0.21</f>
        <v>13356</v>
      </c>
      <c r="I47" s="342"/>
      <c r="J47" s="342"/>
      <c r="K47" s="342">
        <v>1908</v>
      </c>
      <c r="L47" s="342"/>
    </row>
    <row r="48" spans="2:18" x14ac:dyDescent="0.3">
      <c r="D48" s="362">
        <v>45372</v>
      </c>
      <c r="E48" s="363">
        <v>60909</v>
      </c>
      <c r="F48" s="80" t="s">
        <v>1293</v>
      </c>
      <c r="G48" s="342">
        <v>300</v>
      </c>
      <c r="H48" s="342">
        <f>extracto_banco_mes12[[#This Row],[NETO]]*0.21</f>
        <v>63</v>
      </c>
      <c r="I48" s="342"/>
      <c r="J48" s="342"/>
      <c r="K48" s="342">
        <v>11.98</v>
      </c>
      <c r="L48" s="342"/>
    </row>
    <row r="49" spans="2:18" x14ac:dyDescent="0.3">
      <c r="D49" s="362">
        <v>45357</v>
      </c>
      <c r="E49" s="363">
        <v>106614</v>
      </c>
      <c r="F49" s="80" t="s">
        <v>1374</v>
      </c>
      <c r="G49" s="81">
        <v>21137.5</v>
      </c>
      <c r="H49" s="81">
        <f>extracto_banco_mes12[[#This Row],[NETO]]*0.21</f>
        <v>4438.875</v>
      </c>
      <c r="I49" s="81"/>
      <c r="J49" s="81"/>
      <c r="K49" s="81">
        <v>634.13</v>
      </c>
      <c r="L49" s="81"/>
    </row>
    <row r="50" spans="2:18" x14ac:dyDescent="0.3">
      <c r="D50" s="50">
        <v>45382</v>
      </c>
      <c r="E50" s="363">
        <v>1</v>
      </c>
      <c r="F50" s="80" t="s">
        <v>1300</v>
      </c>
      <c r="G50" s="81">
        <v>49876.75</v>
      </c>
      <c r="H50" s="81">
        <f>extracto_banco_mes12[[#This Row],[NETO]]*0.21</f>
        <v>10474.1175</v>
      </c>
      <c r="I50" s="81"/>
      <c r="J50" s="81"/>
      <c r="K50" s="81">
        <v>1406.3600000000001</v>
      </c>
      <c r="L50" s="81"/>
    </row>
    <row r="51" spans="2:18" x14ac:dyDescent="0.3">
      <c r="D51" s="82" t="s">
        <v>110</v>
      </c>
      <c r="E51" s="80"/>
      <c r="F51" s="80"/>
      <c r="G51" s="83">
        <f>SUBTOTAL(109,extracto_banco_mes12[NETO])</f>
        <v>262039.25</v>
      </c>
      <c r="H51" s="83">
        <f>SUBTOTAL(109,extracto_banco_mes12[IVA 21%])</f>
        <v>55028.2425</v>
      </c>
      <c r="I51" s="83">
        <f>SUBTOTAL(109,extracto_banco_mes12[IVA 10,5%])</f>
        <v>0</v>
      </c>
      <c r="J51" s="83">
        <f>SUBTOTAL(109,extracto_banco_mes12[RET IIBB CABA])</f>
        <v>0</v>
      </c>
      <c r="K51" s="83">
        <f>SUBTOTAL(109,extracto_banco_mes12[PERC IVA])</f>
        <v>7774.23</v>
      </c>
      <c r="L51" s="83">
        <f>SUBTOTAL(109,extracto_banco_mes12[PERC IIBB])</f>
        <v>0</v>
      </c>
    </row>
    <row r="55" spans="2:18" ht="21" x14ac:dyDescent="0.3">
      <c r="D55" s="414" t="s">
        <v>25</v>
      </c>
      <c r="E55" s="414"/>
      <c r="F55" s="414"/>
      <c r="G55" s="414"/>
      <c r="H55" s="414"/>
      <c r="I55" s="414"/>
      <c r="J55" s="414"/>
      <c r="K55" s="414"/>
    </row>
    <row r="56" spans="2:18" x14ac:dyDescent="0.3">
      <c r="D56" s="51" t="s">
        <v>0</v>
      </c>
      <c r="E56" s="51" t="s">
        <v>2</v>
      </c>
      <c r="F56" s="51" t="s">
        <v>74</v>
      </c>
      <c r="G56" s="51" t="s">
        <v>3</v>
      </c>
      <c r="H56" s="51" t="s">
        <v>4</v>
      </c>
      <c r="I56" s="52" t="s">
        <v>10</v>
      </c>
      <c r="J56" s="51" t="s">
        <v>13</v>
      </c>
      <c r="K56" s="51" t="s">
        <v>38</v>
      </c>
    </row>
    <row r="57" spans="2:18" x14ac:dyDescent="0.3">
      <c r="D57" s="50">
        <v>45352</v>
      </c>
      <c r="E57" s="352">
        <v>1</v>
      </c>
      <c r="F57" s="352">
        <v>34</v>
      </c>
      <c r="G57" s="353">
        <v>20365938688</v>
      </c>
      <c r="H57" s="321" t="str">
        <f>IFERROR(IF(factura_c_mes12[[#This Row],[CUIT]]="","-",VLOOKUP(factura_c_mes12[[#This Row],[CUIT]],Lista_CUIT[#All],2,0)),"CUIT NO CARGADO")</f>
        <v>LIPANOVICH JUAN CRUZ</v>
      </c>
      <c r="I57" s="347">
        <v>750000</v>
      </c>
      <c r="J57" s="322" t="str">
        <f>IFERROR(IF(factura_c_mes12[[#This Row],[CUIT]]="","-",VLOOKUP(factura_c_mes12[[#This Row],[CUIT]],Lista_CUIT[#All],3,0)),"CUIT NO CARGADO")</f>
        <v>SOFTWARE</v>
      </c>
      <c r="K57" s="322">
        <f>IFERROR(IF(factura_c_mes12[[#This Row],[CUIT]]="","-",VLOOKUP(factura_c_mes12[[#This Row],[CUIT]],Lista_CUIT[#All],4,0)),"CUIT NO CARGADO")</f>
        <v>0</v>
      </c>
    </row>
    <row r="58" spans="2:18" x14ac:dyDescent="0.3">
      <c r="D58" s="50">
        <v>45352</v>
      </c>
      <c r="E58" s="352">
        <v>4</v>
      </c>
      <c r="F58" s="352">
        <v>24</v>
      </c>
      <c r="G58" s="353">
        <v>20341462933</v>
      </c>
      <c r="H58" s="321" t="str">
        <f>IFERROR(IF(factura_c_mes12[[#This Row],[CUIT]]="","-",VLOOKUP(factura_c_mes12[[#This Row],[CUIT]],Lista_CUIT[#All],2,0)),"CUIT NO CARGADO")</f>
        <v>CASTIGLIONI MATIAS EZEQUIEL</v>
      </c>
      <c r="I58" s="347">
        <v>1205000</v>
      </c>
      <c r="J58" s="322" t="str">
        <f>IFERROR(IF(factura_c_mes12[[#This Row],[CUIT]]="","-",VLOOKUP(factura_c_mes12[[#This Row],[CUIT]],Lista_CUIT[#All],3,0)),"CUIT NO CARGADO")</f>
        <v>ASESORAMIENTO</v>
      </c>
      <c r="K58" s="322" t="str">
        <f>IFERROR(IF(factura_c_mes12[[#This Row],[CUIT]]="","-",VLOOKUP(factura_c_mes12[[#This Row],[CUIT]],Lista_CUIT[#All],4,0)),"CUIT NO CARGADO")</f>
        <v>BUENOS AIRES</v>
      </c>
    </row>
    <row r="59" spans="2:18" x14ac:dyDescent="0.3">
      <c r="D59" s="50">
        <v>45352</v>
      </c>
      <c r="E59" s="352">
        <v>1</v>
      </c>
      <c r="F59" s="352">
        <v>22</v>
      </c>
      <c r="G59" s="353">
        <v>27387896150</v>
      </c>
      <c r="H59" s="321" t="str">
        <f>IFERROR(IF(factura_c_mes12[[#This Row],[CUIT]]="","-",VLOOKUP(factura_c_mes12[[#This Row],[CUIT]],Lista_CUIT[#All],2,0)),"CUIT NO CARGADO")</f>
        <v>LIPANOVICH MARIA SOL</v>
      </c>
      <c r="I59" s="347">
        <v>750000</v>
      </c>
      <c r="J59" s="322" t="str">
        <f>IFERROR(IF(factura_c_mes12[[#This Row],[CUIT]]="","-",VLOOKUP(factura_c_mes12[[#This Row],[CUIT]],Lista_CUIT[#All],3,0)),"CUIT NO CARGADO")</f>
        <v>consultoria informatica</v>
      </c>
      <c r="K59" s="322">
        <f>IFERROR(IF(factura_c_mes12[[#This Row],[CUIT]]="","-",VLOOKUP(factura_c_mes12[[#This Row],[CUIT]],Lista_CUIT[#All],4,0)),"CUIT NO CARGADO")</f>
        <v>0</v>
      </c>
    </row>
    <row r="60" spans="2:18" x14ac:dyDescent="0.3">
      <c r="D60" s="305">
        <v>45353</v>
      </c>
      <c r="E60" s="357">
        <v>2</v>
      </c>
      <c r="F60" s="357">
        <v>168</v>
      </c>
      <c r="G60" s="358">
        <v>20136544625</v>
      </c>
      <c r="H60" s="359" t="str">
        <f>IFERROR(IF(factura_c_mes12[[#This Row],[CUIT]]="","-",VLOOKUP(factura_c_mes12[[#This Row],[CUIT]],Lista_CUIT[#All],2,0)),"CUIT NO CARGADO")</f>
        <v>RODRIGUEZ DE LA FUEN HECTOR MARCELO</v>
      </c>
      <c r="I60" s="360">
        <v>350000</v>
      </c>
      <c r="J60" s="361" t="str">
        <f>IFERROR(IF(factura_c_mes12[[#This Row],[CUIT]]="","-",VLOOKUP(factura_c_mes12[[#This Row],[CUIT]],Lista_CUIT[#All],3,0)),"CUIT NO CARGADO")</f>
        <v>Hon. Admin.</v>
      </c>
      <c r="K60" s="361">
        <f>IFERROR(IF(factura_c_mes12[[#This Row],[CUIT]]="","-",VLOOKUP(factura_c_mes12[[#This Row],[CUIT]],Lista_CUIT[#All],4,0)),"CUIT NO CARGADO")</f>
        <v>0</v>
      </c>
    </row>
    <row r="61" spans="2:18" x14ac:dyDescent="0.3">
      <c r="D61" s="50">
        <v>45355</v>
      </c>
      <c r="E61" s="352">
        <v>3</v>
      </c>
      <c r="F61" s="352">
        <v>831</v>
      </c>
      <c r="G61" s="353">
        <v>20086277523</v>
      </c>
      <c r="H61" s="321" t="str">
        <f>IFERROR(IF(factura_c_mes12[[#This Row],[CUIT]]="","-",VLOOKUP(factura_c_mes12[[#This Row],[CUIT]],Lista_CUIT[#All],2,0)),"CUIT NO CARGADO")</f>
        <v>ESTUDIO BOTINDARI</v>
      </c>
      <c r="I61" s="347">
        <v>160000</v>
      </c>
      <c r="J61" s="322" t="str">
        <f>IFERROR(IF(factura_c_mes12[[#This Row],[CUIT]]="","-",VLOOKUP(factura_c_mes12[[#This Row],[CUIT]],Lista_CUIT[#All],3,0)),"CUIT NO CARGADO")</f>
        <v>HONORARIOS</v>
      </c>
      <c r="K61" s="322">
        <f>IFERROR(IF(factura_c_mes12[[#This Row],[CUIT]]="","-",VLOOKUP(factura_c_mes12[[#This Row],[CUIT]],Lista_CUIT[#All],4,0)),"CUIT NO CARGADO")</f>
        <v>0</v>
      </c>
    </row>
    <row r="62" spans="2:18" s="56" customFormat="1" ht="18.600000000000001" customHeight="1" x14ac:dyDescent="0.3">
      <c r="B62"/>
      <c r="C62"/>
      <c r="D62" s="50">
        <v>45359</v>
      </c>
      <c r="E62" s="352">
        <v>2</v>
      </c>
      <c r="F62" s="352">
        <v>749</v>
      </c>
      <c r="G62" s="353">
        <v>27330645356</v>
      </c>
      <c r="H62" s="321" t="str">
        <f>IFERROR(IF(factura_c_mes12[[#This Row],[CUIT]]="","-",VLOOKUP(factura_c_mes12[[#This Row],[CUIT]],Lista_CUIT[#All],2,0)),"CUIT NO CARGADO")</f>
        <v>FLORES CECILIA NOEMI</v>
      </c>
      <c r="I62" s="347">
        <v>31499</v>
      </c>
      <c r="J62" s="322">
        <f>IFERROR(IF(factura_c_mes12[[#This Row],[CUIT]]="","-",VLOOKUP(factura_c_mes12[[#This Row],[CUIT]],Lista_CUIT[#All],3,0)),"CUIT NO CARGADO")</f>
        <v>0</v>
      </c>
      <c r="K62" s="322">
        <f>IFERROR(IF(factura_c_mes12[[#This Row],[CUIT]]="","-",VLOOKUP(factura_c_mes12[[#This Row],[CUIT]],Lista_CUIT[#All],4,0)),"CUIT NO CARGADO")</f>
        <v>0</v>
      </c>
      <c r="L62"/>
      <c r="M62"/>
      <c r="N62"/>
      <c r="O62"/>
      <c r="P62"/>
      <c r="Q62"/>
      <c r="R62"/>
    </row>
    <row r="63" spans="2:18" x14ac:dyDescent="0.3">
      <c r="D63" s="305">
        <v>45360</v>
      </c>
      <c r="E63" s="357">
        <v>7</v>
      </c>
      <c r="F63" s="357">
        <v>366034</v>
      </c>
      <c r="G63" s="358">
        <v>20259150249</v>
      </c>
      <c r="H63" s="359" t="str">
        <f>IFERROR(IF(factura_c_mes12[[#This Row],[CUIT]]="","-",VLOOKUP(factura_c_mes12[[#This Row],[CUIT]],Lista_CUIT[#All],2,0)),"CUIT NO CARGADO")</f>
        <v>BIANCHI CRISTIAN MAXIMILIANO</v>
      </c>
      <c r="I63" s="360">
        <v>62904.22</v>
      </c>
      <c r="J63" s="361" t="str">
        <f>IFERROR(IF(factura_c_mes12[[#This Row],[CUIT]]="","-",VLOOKUP(factura_c_mes12[[#This Row],[CUIT]],Lista_CUIT[#All],3,0)),"CUIT NO CARGADO")</f>
        <v>Gastos Varios</v>
      </c>
      <c r="K63" s="361">
        <f>IFERROR(IF(factura_c_mes12[[#This Row],[CUIT]]="","-",VLOOKUP(factura_c_mes12[[#This Row],[CUIT]],Lista_CUIT[#All],4,0)),"CUIT NO CARGADO")</f>
        <v>0</v>
      </c>
    </row>
    <row r="64" spans="2:18" x14ac:dyDescent="0.3">
      <c r="D64" s="305">
        <v>45363</v>
      </c>
      <c r="E64" s="357">
        <v>2</v>
      </c>
      <c r="F64" s="357">
        <v>130</v>
      </c>
      <c r="G64" s="358">
        <v>27125997835</v>
      </c>
      <c r="H64" s="359" t="str">
        <f>IFERROR(IF(factura_c_mes12[[#This Row],[CUIT]]="","-",VLOOKUP(factura_c_mes12[[#This Row],[CUIT]],Lista_CUIT[#All],2,0)),"CUIT NO CARGADO")</f>
        <v>DANSKY ULLMANN VIVIANA EVA YOLANDA</v>
      </c>
      <c r="I64" s="360">
        <v>66000</v>
      </c>
      <c r="J64" s="361">
        <f>IFERROR(IF(factura_c_mes12[[#This Row],[CUIT]]="","-",VLOOKUP(factura_c_mes12[[#This Row],[CUIT]],Lista_CUIT[#All],3,0)),"CUIT NO CARGADO")</f>
        <v>0</v>
      </c>
      <c r="K64" s="361">
        <f>IFERROR(IF(factura_c_mes12[[#This Row],[CUIT]]="","-",VLOOKUP(factura_c_mes12[[#This Row],[CUIT]],Lista_CUIT[#All],4,0)),"CUIT NO CARGADO")</f>
        <v>0</v>
      </c>
    </row>
    <row r="65" spans="2:18" x14ac:dyDescent="0.3">
      <c r="D65" s="50">
        <v>45371</v>
      </c>
      <c r="E65" s="352">
        <v>2</v>
      </c>
      <c r="F65" s="352">
        <v>1</v>
      </c>
      <c r="G65" s="353">
        <v>23118167279</v>
      </c>
      <c r="H65" s="321" t="str">
        <f>IFERROR(IF(factura_c_mes12[[#This Row],[CUIT]]="","-",VLOOKUP(factura_c_mes12[[#This Row],[CUIT]],Lista_CUIT[#All],2,0)),"CUIT NO CARGADO")</f>
        <v>ABELEDO ENRIQUE JUAN</v>
      </c>
      <c r="I65" s="347">
        <v>600000</v>
      </c>
      <c r="J65" s="322">
        <f>IFERROR(IF(factura_c_mes12[[#This Row],[CUIT]]="","-",VLOOKUP(factura_c_mes12[[#This Row],[CUIT]],Lista_CUIT[#All],3,0)),"CUIT NO CARGADO")</f>
        <v>0</v>
      </c>
      <c r="K65" s="322">
        <f>IFERROR(IF(factura_c_mes12[[#This Row],[CUIT]]="","-",VLOOKUP(factura_c_mes12[[#This Row],[CUIT]],Lista_CUIT[#All],4,0)),"CUIT NO CARGADO")</f>
        <v>0</v>
      </c>
    </row>
    <row r="66" spans="2:18" x14ac:dyDescent="0.3">
      <c r="D66" s="305">
        <v>45372</v>
      </c>
      <c r="E66" s="276">
        <v>2</v>
      </c>
      <c r="F66" s="277">
        <v>743</v>
      </c>
      <c r="G66" s="278">
        <v>20400104094</v>
      </c>
      <c r="H66" s="354" t="str">
        <f>IFERROR(IF(factura_c_mes12[[#This Row],[CUIT]]="","-",VLOOKUP(factura_c_mes12[[#This Row],[CUIT]],Lista_CUIT[#All],2,0)),"CUIT NO CARGADO")</f>
        <v>FEDERICO BOTINDARI</v>
      </c>
      <c r="I66" s="355">
        <v>38745</v>
      </c>
      <c r="J66" s="356" t="str">
        <f>IFERROR(IF(factura_c_mes12[[#This Row],[CUIT]]="","-",VLOOKUP(factura_c_mes12[[#This Row],[CUIT]],Lista_CUIT[#All],3,0)),"CUIT NO CARGADO")</f>
        <v>HONORARIOS</v>
      </c>
      <c r="K66" s="356">
        <f>IFERROR(IF(factura_c_mes12[[#This Row],[CUIT]]="","-",VLOOKUP(factura_c_mes12[[#This Row],[CUIT]],Lista_CUIT[#All],4,0)),"CUIT NO CARGADO")</f>
        <v>0</v>
      </c>
    </row>
    <row r="67" spans="2:18" x14ac:dyDescent="0.3">
      <c r="D67" s="50">
        <v>45376</v>
      </c>
      <c r="E67" s="42">
        <v>4</v>
      </c>
      <c r="F67" s="43">
        <v>60</v>
      </c>
      <c r="G67" s="44">
        <v>23214737914</v>
      </c>
      <c r="H67" s="53" t="str">
        <f>IFERROR(IF(factura_c_mes12[[#This Row],[CUIT]]="","-",VLOOKUP(factura_c_mes12[[#This Row],[CUIT]],Lista_CUIT[#All],2,0)),"CUIT NO CARGADO")</f>
        <v>SBARRA GABRIELA BEATRIZ</v>
      </c>
      <c r="I67" s="81">
        <v>817630</v>
      </c>
      <c r="J67" s="54">
        <f>IFERROR(IF(factura_c_mes12[[#This Row],[CUIT]]="","-",VLOOKUP(factura_c_mes12[[#This Row],[CUIT]],Lista_CUIT[#All],3,0)),"CUIT NO CARGADO")</f>
        <v>0</v>
      </c>
      <c r="K67" s="54">
        <f>IFERROR(IF(factura_c_mes12[[#This Row],[CUIT]]="","-",VLOOKUP(factura_c_mes12[[#This Row],[CUIT]],Lista_CUIT[#All],4,0)),"CUIT NO CARGADO")</f>
        <v>0</v>
      </c>
    </row>
    <row r="68" spans="2:18" x14ac:dyDescent="0.3">
      <c r="D68" s="50">
        <v>45381</v>
      </c>
      <c r="E68" s="42">
        <v>2</v>
      </c>
      <c r="F68" s="43">
        <v>169</v>
      </c>
      <c r="G68" s="44">
        <v>20136544625</v>
      </c>
      <c r="H68" s="53" t="str">
        <f>IFERROR(IF(factura_c_mes12[[#This Row],[CUIT]]="","-",VLOOKUP(factura_c_mes12[[#This Row],[CUIT]],Lista_CUIT[#All],2,0)),"CUIT NO CARGADO")</f>
        <v>RODRIGUEZ DE LA FUEN HECTOR MARCELO</v>
      </c>
      <c r="I68" s="81">
        <v>1780000</v>
      </c>
      <c r="J68" s="54" t="str">
        <f>IFERROR(IF(factura_c_mes12[[#This Row],[CUIT]]="","-",VLOOKUP(factura_c_mes12[[#This Row],[CUIT]],Lista_CUIT[#All],3,0)),"CUIT NO CARGADO")</f>
        <v>Hon. Admin.</v>
      </c>
      <c r="K68" s="54">
        <f>IFERROR(IF(factura_c_mes12[[#This Row],[CUIT]]="","-",VLOOKUP(factura_c_mes12[[#This Row],[CUIT]],Lista_CUIT[#All],4,0)),"CUIT NO CARGADO")</f>
        <v>0</v>
      </c>
    </row>
    <row r="69" spans="2:18" x14ac:dyDescent="0.3">
      <c r="D69" s="50">
        <v>45382</v>
      </c>
      <c r="E69" s="42">
        <v>2</v>
      </c>
      <c r="F69" s="43">
        <v>170</v>
      </c>
      <c r="G69" s="44">
        <v>20136544625</v>
      </c>
      <c r="H69" s="53" t="str">
        <f>IFERROR(IF(factura_c_mes12[[#This Row],[CUIT]]="","-",VLOOKUP(factura_c_mes12[[#This Row],[CUIT]],Lista_CUIT[#All],2,0)),"CUIT NO CARGADO")</f>
        <v>RODRIGUEZ DE LA FUEN HECTOR MARCELO</v>
      </c>
      <c r="I69" s="81">
        <v>120000</v>
      </c>
      <c r="J69" s="54" t="str">
        <f>IFERROR(IF(factura_c_mes12[[#This Row],[CUIT]]="","-",VLOOKUP(factura_c_mes12[[#This Row],[CUIT]],Lista_CUIT[#All],3,0)),"CUIT NO CARGADO")</f>
        <v>Hon. Admin.</v>
      </c>
      <c r="K69" s="54">
        <f>IFERROR(IF(factura_c_mes12[[#This Row],[CUIT]]="","-",VLOOKUP(factura_c_mes12[[#This Row],[CUIT]],Lista_CUIT[#All],4,0)),"CUIT NO CARGADO")</f>
        <v>0</v>
      </c>
    </row>
    <row r="70" spans="2:18" x14ac:dyDescent="0.3">
      <c r="B70" s="56"/>
      <c r="C70" s="56"/>
      <c r="D70" s="55" t="s">
        <v>110</v>
      </c>
      <c r="E70" s="55"/>
      <c r="F70" s="55"/>
      <c r="G70" s="55"/>
      <c r="H70" s="57"/>
      <c r="I70" s="58">
        <f>SUBTOTAL(109,factura_c_mes12[TOTAL])</f>
        <v>6731778.2200000007</v>
      </c>
      <c r="J70" s="55"/>
      <c r="K70" s="55"/>
      <c r="L70" s="56"/>
      <c r="M70" s="56"/>
      <c r="N70" s="56"/>
      <c r="O70" s="56"/>
      <c r="P70" s="56"/>
      <c r="Q70" s="56"/>
      <c r="R70" s="56"/>
    </row>
    <row r="71" spans="2:18" ht="18" customHeight="1" x14ac:dyDescent="0.3"/>
    <row r="75" spans="2:18" ht="25.8" x14ac:dyDescent="0.3">
      <c r="B75" s="430" t="s">
        <v>29</v>
      </c>
      <c r="C75" s="430"/>
      <c r="D75" s="430"/>
      <c r="E75" s="430"/>
      <c r="F75" s="430"/>
      <c r="G75" s="430"/>
      <c r="H75" s="430"/>
      <c r="I75" s="430"/>
      <c r="J75" s="430"/>
      <c r="K75" s="426">
        <f>N1</f>
        <v>45352</v>
      </c>
      <c r="L75" s="426"/>
      <c r="M75" s="426"/>
    </row>
    <row r="77" spans="2:18" ht="21" x14ac:dyDescent="0.3">
      <c r="B77" s="422" t="s">
        <v>30</v>
      </c>
      <c r="C77" s="422"/>
    </row>
    <row r="78" spans="2:18" ht="15.6" x14ac:dyDescent="0.3">
      <c r="B78" s="60" t="s">
        <v>0</v>
      </c>
      <c r="C78" s="61" t="s">
        <v>1</v>
      </c>
      <c r="D78" s="61" t="s">
        <v>21</v>
      </c>
      <c r="E78" s="61" t="s">
        <v>22</v>
      </c>
      <c r="F78" s="61" t="s">
        <v>3</v>
      </c>
      <c r="G78" s="61" t="s">
        <v>4</v>
      </c>
      <c r="H78" s="61" t="s">
        <v>23</v>
      </c>
      <c r="I78" s="61" t="s">
        <v>17</v>
      </c>
      <c r="J78" s="61" t="s">
        <v>7</v>
      </c>
      <c r="K78" s="61" t="s">
        <v>24</v>
      </c>
      <c r="L78" s="61" t="s">
        <v>10</v>
      </c>
      <c r="M78" s="62" t="s">
        <v>38</v>
      </c>
    </row>
    <row r="79" spans="2:18" x14ac:dyDescent="0.3">
      <c r="B79" s="40">
        <v>45358</v>
      </c>
      <c r="C79" s="41">
        <v>1</v>
      </c>
      <c r="D79" s="42">
        <v>3</v>
      </c>
      <c r="E79" s="43">
        <v>180</v>
      </c>
      <c r="F79" s="44">
        <v>30709581011</v>
      </c>
      <c r="G79" s="99" t="str">
        <f>IFERROR(IF(venta_a_mes12[[#This Row],[CUIT]]="","-",VLOOKUP(venta_a_mes12[[#This Row],[CUIT]],Lista_CUIT[#All],2,0)),"CUIT NO CARGADO")</f>
        <v>DI PALMA S.R.L.</v>
      </c>
      <c r="H79" s="100">
        <v>3027500</v>
      </c>
      <c r="I79" s="101">
        <f>venta_a_mes12[[#This Row],[IMPORTE NETO]]*0.21</f>
        <v>635775</v>
      </c>
      <c r="J79" s="65"/>
      <c r="K79" s="65"/>
      <c r="L79" s="65">
        <f>SUM(venta_a_mes12[[#This Row],[IMPORTE NETO]:[EXENTO]])</f>
        <v>3663275</v>
      </c>
      <c r="M79" s="59"/>
    </row>
    <row r="80" spans="2:18" x14ac:dyDescent="0.3">
      <c r="B80" s="40">
        <v>45362</v>
      </c>
      <c r="C80" s="41">
        <v>1</v>
      </c>
      <c r="D80" s="42">
        <v>3</v>
      </c>
      <c r="E80" s="43">
        <v>181</v>
      </c>
      <c r="F80" s="44">
        <v>30628274327</v>
      </c>
      <c r="G80" s="99" t="str">
        <f>IFERROR(IF(venta_a_mes12[[#This Row],[CUIT]]="","-",VLOOKUP(venta_a_mes12[[#This Row],[CUIT]],Lista_CUIT[#All],2,0)),"CUIT NO CARGADO")</f>
        <v>AGIRA  S A</v>
      </c>
      <c r="H80" s="100">
        <v>7750980</v>
      </c>
      <c r="I80" s="101"/>
      <c r="J80" s="65">
        <v>813852.9</v>
      </c>
      <c r="K80" s="65"/>
      <c r="L80" s="65">
        <f>SUM(venta_a_mes12[[#This Row],[IMPORTE NETO]:[EXENTO]])</f>
        <v>8564832.9000000004</v>
      </c>
      <c r="M80" s="59"/>
    </row>
    <row r="81" spans="2:13" ht="18.600000000000001" customHeight="1" x14ac:dyDescent="0.3">
      <c r="B81" s="40">
        <v>45364</v>
      </c>
      <c r="C81" s="41">
        <v>1</v>
      </c>
      <c r="D81" s="42">
        <v>3</v>
      </c>
      <c r="E81" s="43">
        <v>182</v>
      </c>
      <c r="F81" s="44">
        <v>30638318470</v>
      </c>
      <c r="G81" s="99" t="str">
        <f>IFERROR(IF(venta_a_mes12[[#This Row],[CUIT]]="","-",VLOOKUP(venta_a_mes12[[#This Row],[CUIT]],Lista_CUIT[#All],2,0)),"CUIT NO CARGADO")</f>
        <v>DELTA COMPRESION S R L</v>
      </c>
      <c r="H81" s="100">
        <v>2501280</v>
      </c>
      <c r="I81" s="101"/>
      <c r="J81" s="65">
        <v>262634.40000000002</v>
      </c>
      <c r="K81" s="65"/>
      <c r="L81" s="65">
        <f>SUM(venta_a_mes12[[#This Row],[IMPORTE NETO]:[EXENTO]])</f>
        <v>2763914.4</v>
      </c>
      <c r="M81" s="59"/>
    </row>
    <row r="82" spans="2:13" x14ac:dyDescent="0.3">
      <c r="B82" s="40">
        <v>45371</v>
      </c>
      <c r="C82" s="41">
        <v>1</v>
      </c>
      <c r="D82" s="42">
        <v>3</v>
      </c>
      <c r="E82" s="43">
        <v>183</v>
      </c>
      <c r="F82" s="44">
        <v>30716041596</v>
      </c>
      <c r="G82" s="99" t="str">
        <f>IFERROR(IF(venta_a_mes12[[#This Row],[CUIT]]="","-",VLOOKUP(venta_a_mes12[[#This Row],[CUIT]],Lista_CUIT[#All],2,0)),"CUIT NO CARGADO")</f>
        <v>EXA COMPRESION S.R.L.</v>
      </c>
      <c r="H82" s="100">
        <v>872000</v>
      </c>
      <c r="I82" s="101"/>
      <c r="J82" s="65">
        <v>91560</v>
      </c>
      <c r="K82" s="65"/>
      <c r="L82" s="65">
        <f>SUM(venta_a_mes12[[#This Row],[IMPORTE NETO]:[EXENTO]])</f>
        <v>963560</v>
      </c>
      <c r="M82" s="59"/>
    </row>
    <row r="83" spans="2:13" ht="17.25" customHeight="1" x14ac:dyDescent="0.3">
      <c r="B83" s="40">
        <v>45358</v>
      </c>
      <c r="C83" s="41">
        <v>2</v>
      </c>
      <c r="D83" s="42">
        <v>3</v>
      </c>
      <c r="E83" s="43">
        <v>8</v>
      </c>
      <c r="F83" s="44">
        <v>30638318470</v>
      </c>
      <c r="G83" s="99" t="str">
        <f>IFERROR(IF(venta_a_mes12[[#This Row],[CUIT]]="","-",VLOOKUP(venta_a_mes12[[#This Row],[CUIT]],Lista_CUIT[#All],2,0)),"CUIT NO CARGADO")</f>
        <v>DELTA COMPRESION S R L</v>
      </c>
      <c r="H83" s="100">
        <v>100604465.10000001</v>
      </c>
      <c r="I83" s="101">
        <f>venta_a_mes12[[#This Row],[IMPORTE NETO]]*0.21</f>
        <v>21126937.671</v>
      </c>
      <c r="J83" s="65"/>
      <c r="K83" s="65"/>
      <c r="L83" s="65">
        <f>SUM(venta_a_mes12[[#This Row],[IMPORTE NETO]:[EXENTO]])</f>
        <v>121731402.77100001</v>
      </c>
      <c r="M83" s="59"/>
    </row>
    <row r="84" spans="2:13" ht="31.5" customHeight="1" x14ac:dyDescent="0.3">
      <c r="B84" s="40"/>
      <c r="C84" s="41"/>
      <c r="D84" s="42"/>
      <c r="E84" s="43"/>
      <c r="F84" s="44"/>
      <c r="G84" s="99" t="str">
        <f>IFERROR(IF(venta_a_mes12[[#This Row],[CUIT]]="","-",VLOOKUP(venta_a_mes12[[#This Row],[CUIT]],Lista_CUIT[#All],2,0)),"CUIT NO CARGADO")</f>
        <v>-</v>
      </c>
      <c r="H84" s="100"/>
      <c r="I84" s="101">
        <f>venta_a_mes12[[#This Row],[IMPORTE NETO]]*0.21</f>
        <v>0</v>
      </c>
      <c r="J84" s="65"/>
      <c r="K84" s="65"/>
      <c r="L84" s="65">
        <f>SUM(venta_a_mes12[[#This Row],[IMPORTE NETO]:[EXENTO]])</f>
        <v>0</v>
      </c>
      <c r="M84" s="59"/>
    </row>
    <row r="85" spans="2:13" x14ac:dyDescent="0.3">
      <c r="B85" s="40"/>
      <c r="C85" s="41"/>
      <c r="D85" s="42"/>
      <c r="E85" s="43"/>
      <c r="F85" s="44"/>
      <c r="G85" s="99" t="str">
        <f>IFERROR(IF(venta_a_mes12[[#This Row],[CUIT]]="","-",VLOOKUP(venta_a_mes12[[#This Row],[CUIT]],Lista_CUIT[#All],2,0)),"CUIT NO CARGADO")</f>
        <v>-</v>
      </c>
      <c r="H85" s="100"/>
      <c r="I85" s="101">
        <f>venta_a_mes12[[#This Row],[IMPORTE NETO]]*0.21</f>
        <v>0</v>
      </c>
      <c r="J85" s="65"/>
      <c r="K85" s="65"/>
      <c r="L85" s="65">
        <f>SUM(venta_a_mes12[[#This Row],[IMPORTE NETO]:[EXENTO]])</f>
        <v>0</v>
      </c>
      <c r="M85" s="63"/>
    </row>
    <row r="86" spans="2:13" x14ac:dyDescent="0.3">
      <c r="B86" s="102"/>
      <c r="C86" s="103"/>
      <c r="D86" s="104"/>
      <c r="E86" s="105"/>
      <c r="F86" s="106"/>
      <c r="G86" s="99" t="str">
        <f>IFERROR(IF(venta_a_mes12[[#This Row],[CUIT]]="","-",VLOOKUP(venta_a_mes12[[#This Row],[CUIT]],Lista_CUIT[#All],2,0)),"CUIT NO CARGADO")</f>
        <v>-</v>
      </c>
      <c r="H86" s="107"/>
      <c r="I86" s="108">
        <f>venta_a_mes12[[#This Row],[IMPORTE NETO]]*0.21</f>
        <v>0</v>
      </c>
      <c r="J86" s="72"/>
      <c r="K86" s="72"/>
      <c r="L86" s="72">
        <f>SUM(venta_a_mes12[[#This Row],[IMPORTE NETO]:[EXENTO]])</f>
        <v>0</v>
      </c>
      <c r="M86" s="63"/>
    </row>
    <row r="87" spans="2:13" x14ac:dyDescent="0.3">
      <c r="B87" s="109"/>
      <c r="C87" s="110"/>
      <c r="D87" s="111"/>
      <c r="E87" s="112"/>
      <c r="F87" s="113"/>
      <c r="G87" s="99" t="str">
        <f>IFERROR(IF(venta_a_mes12[[#This Row],[CUIT]]="","-",VLOOKUP(venta_a_mes12[[#This Row],[CUIT]],Lista_CUIT[#All],2,0)),"CUIT NO CARGADO")</f>
        <v>-</v>
      </c>
      <c r="H87" s="100"/>
      <c r="I87" s="101">
        <f>venta_a_mes12[[#This Row],[IMPORTE NETO]]*0.21</f>
        <v>0</v>
      </c>
      <c r="J87" s="65"/>
      <c r="K87" s="65"/>
      <c r="L87" s="65">
        <f>SUM(venta_a_mes12[[#This Row],[IMPORTE NETO]:[EXENTO]])</f>
        <v>0</v>
      </c>
      <c r="M87" s="59"/>
    </row>
    <row r="88" spans="2:13" x14ac:dyDescent="0.3">
      <c r="B88" s="66" t="s">
        <v>110</v>
      </c>
      <c r="C88" s="67"/>
      <c r="D88" s="67"/>
      <c r="E88" s="67"/>
      <c r="F88" s="67"/>
      <c r="G88" s="67"/>
      <c r="H88" s="69">
        <f>SUBTOTAL(109,venta_a_mes12[IMPORTE NETO])</f>
        <v>114756225.10000001</v>
      </c>
      <c r="I88" s="70">
        <f>SUBTOTAL(109,venta_a_mes12[IVA 21%])</f>
        <v>21762712.671</v>
      </c>
      <c r="J88" s="71">
        <f>SUBTOTAL(109,venta_a_mes12[IVA 10,5%])</f>
        <v>1168047.3</v>
      </c>
      <c r="K88" s="71">
        <f>SUBTOTAL(109,venta_a_mes12[EXENTO])</f>
        <v>0</v>
      </c>
      <c r="L88" s="71">
        <f>SUBTOTAL(109,venta_a_mes12[TOTAL])</f>
        <v>137686985.07100001</v>
      </c>
      <c r="M88" s="68">
        <f>SUBTOTAL(103,venta_a_mes12[Provincia])</f>
        <v>0</v>
      </c>
    </row>
    <row r="91" spans="2:13" ht="21" x14ac:dyDescent="0.3">
      <c r="B91" s="422" t="s">
        <v>1370</v>
      </c>
      <c r="C91" s="422"/>
    </row>
    <row r="92" spans="2:13" ht="15.6" x14ac:dyDescent="0.3">
      <c r="B92" s="60" t="s">
        <v>0</v>
      </c>
      <c r="C92" s="61" t="s">
        <v>1</v>
      </c>
      <c r="D92" s="61" t="s">
        <v>21</v>
      </c>
      <c r="E92" s="61" t="s">
        <v>22</v>
      </c>
      <c r="F92" s="61" t="s">
        <v>3</v>
      </c>
      <c r="G92" s="61" t="s">
        <v>4</v>
      </c>
      <c r="H92" s="61" t="s">
        <v>23</v>
      </c>
      <c r="I92" s="61" t="s">
        <v>17</v>
      </c>
      <c r="J92" s="61" t="s">
        <v>7</v>
      </c>
      <c r="K92" s="61" t="s">
        <v>24</v>
      </c>
      <c r="L92" s="61" t="s">
        <v>10</v>
      </c>
      <c r="M92" s="62" t="s">
        <v>38</v>
      </c>
    </row>
    <row r="93" spans="2:13" x14ac:dyDescent="0.3">
      <c r="B93" s="40">
        <v>45378</v>
      </c>
      <c r="C93" s="41"/>
      <c r="D93" s="42">
        <v>30</v>
      </c>
      <c r="E93" s="43">
        <v>74</v>
      </c>
      <c r="F93" s="44">
        <v>55000000050</v>
      </c>
      <c r="G93" s="1" t="str">
        <f>IFERROR(IF(ventas_b_mes12[[#This Row],[CUIT]]="","-",VLOOKUP(ventas_b_mes12[[#This Row],[CUIT]],Lista_CUIT[#All],2,0)),"CUIT NO CARGADO")</f>
        <v>GAS FUTURO SISTEMAS DE COMPRESSÃO LTDA</v>
      </c>
      <c r="H93" s="64">
        <v>2200</v>
      </c>
      <c r="I93" s="64"/>
      <c r="J93" s="64"/>
      <c r="K93" s="64"/>
      <c r="L93" s="64">
        <f>SUM(ventas_b_mes12[[#This Row],[IMPORTE NETO]:[EXENTO]])</f>
        <v>2200</v>
      </c>
      <c r="M93" s="59"/>
    </row>
    <row r="94" spans="2:13" ht="19.2" customHeight="1" x14ac:dyDescent="0.3">
      <c r="B94" s="40"/>
      <c r="C94" s="41"/>
      <c r="D94" s="42"/>
      <c r="E94" s="43"/>
      <c r="F94" s="44"/>
      <c r="G94" s="1"/>
      <c r="H94" s="64"/>
      <c r="I94" s="64"/>
      <c r="J94" s="64"/>
      <c r="K94" s="64"/>
      <c r="L94" s="64">
        <f>SUM(ventas_b_mes12[[#This Row],[IMPORTE NETO]:[EXENTO]])</f>
        <v>0</v>
      </c>
      <c r="M94" s="59"/>
    </row>
    <row r="95" spans="2:13" ht="28.95" customHeight="1" x14ac:dyDescent="0.3">
      <c r="B95" s="40"/>
      <c r="C95" s="41"/>
      <c r="D95" s="42"/>
      <c r="E95" s="43"/>
      <c r="F95" s="44"/>
      <c r="G95" s="1"/>
      <c r="H95" s="64"/>
      <c r="I95" s="64"/>
      <c r="J95" s="64"/>
      <c r="K95" s="64"/>
      <c r="L95" s="64">
        <f>SUM(ventas_b_mes12[[#This Row],[IMPORTE NETO]:[EXENTO]])</f>
        <v>0</v>
      </c>
      <c r="M95" s="59"/>
    </row>
    <row r="96" spans="2:13" x14ac:dyDescent="0.3">
      <c r="B96" s="40"/>
      <c r="C96" s="41"/>
      <c r="D96" s="42"/>
      <c r="E96" s="43"/>
      <c r="F96" s="44"/>
      <c r="G96" s="1"/>
      <c r="H96" s="64"/>
      <c r="I96" s="64"/>
      <c r="J96" s="64"/>
      <c r="K96" s="64"/>
      <c r="L96" s="64">
        <f>SUM(ventas_b_mes12[[#This Row],[IMPORTE NETO]:[EXENTO]])</f>
        <v>0</v>
      </c>
      <c r="M96" s="59"/>
    </row>
    <row r="97" spans="2:13" x14ac:dyDescent="0.3">
      <c r="B97" s="40"/>
      <c r="C97" s="41"/>
      <c r="D97" s="42"/>
      <c r="E97" s="43"/>
      <c r="F97" s="44"/>
      <c r="G97" s="1"/>
      <c r="H97" s="64"/>
      <c r="I97" s="64"/>
      <c r="J97" s="64"/>
      <c r="K97" s="64"/>
      <c r="L97" s="64">
        <f>SUM(ventas_b_mes12[[#This Row],[IMPORTE NETO]:[EXENTO]])</f>
        <v>0</v>
      </c>
      <c r="M97" s="59"/>
    </row>
    <row r="98" spans="2:13" x14ac:dyDescent="0.3">
      <c r="B98" s="40"/>
      <c r="C98" s="41"/>
      <c r="D98" s="42"/>
      <c r="E98" s="43"/>
      <c r="F98" s="44"/>
      <c r="G98" s="1"/>
      <c r="H98" s="64"/>
      <c r="I98" s="64"/>
      <c r="J98" s="64"/>
      <c r="K98" s="64"/>
      <c r="L98" s="64">
        <f>SUM(ventas_b_mes12[[#This Row],[IMPORTE NETO]:[EXENTO]])</f>
        <v>0</v>
      </c>
      <c r="M98" s="59"/>
    </row>
    <row r="99" spans="2:13" x14ac:dyDescent="0.3">
      <c r="B99" s="66" t="s">
        <v>110</v>
      </c>
      <c r="C99" s="67"/>
      <c r="D99" s="67"/>
      <c r="E99" s="67"/>
      <c r="F99" s="67"/>
      <c r="G99" s="67"/>
      <c r="H99" s="77">
        <f>SUBTOTAL(109,ventas_b_mes12[IMPORTE NETO])</f>
        <v>2200</v>
      </c>
      <c r="I99" s="77">
        <f>SUBTOTAL(109,ventas_b_mes12[IVA 21%])</f>
        <v>0</v>
      </c>
      <c r="J99" s="78">
        <f>SUBTOTAL(109,ventas_b_mes12[IVA 10,5%])</f>
        <v>0</v>
      </c>
      <c r="K99" s="78">
        <f>SUBTOTAL(109,ventas_b_mes12[EXENTO])</f>
        <v>0</v>
      </c>
      <c r="L99" s="78">
        <f>SUBTOTAL(109,ventas_b_mes12[TOTAL])</f>
        <v>2200</v>
      </c>
      <c r="M99" s="68">
        <f>SUBTOTAL(103,ventas_b_mes12[Provincia])</f>
        <v>0</v>
      </c>
    </row>
    <row r="106" spans="2:13" ht="15" thickBot="1" x14ac:dyDescent="0.35"/>
    <row r="107" spans="2:13" ht="15" thickTop="1" x14ac:dyDescent="0.3">
      <c r="C107" s="433" t="s">
        <v>66</v>
      </c>
      <c r="D107" s="433"/>
      <c r="E107" s="433"/>
      <c r="F107" s="433"/>
      <c r="G107" s="433"/>
      <c r="H107" s="32"/>
      <c r="I107" s="32"/>
      <c r="J107" s="32"/>
    </row>
    <row r="108" spans="2:13" ht="15.6" x14ac:dyDescent="0.3">
      <c r="C108" s="114" t="s">
        <v>67</v>
      </c>
      <c r="D108" s="115" t="s">
        <v>68</v>
      </c>
      <c r="E108" s="115" t="s">
        <v>112</v>
      </c>
      <c r="F108" s="115" t="s">
        <v>3</v>
      </c>
      <c r="G108" s="115" t="s">
        <v>4</v>
      </c>
      <c r="H108" s="116" t="s">
        <v>69</v>
      </c>
      <c r="I108" s="116" t="s">
        <v>70</v>
      </c>
      <c r="J108" s="116" t="s">
        <v>71</v>
      </c>
      <c r="K108" s="116" t="s">
        <v>72</v>
      </c>
      <c r="L108" s="116" t="s">
        <v>73</v>
      </c>
    </row>
    <row r="109" spans="2:13" x14ac:dyDescent="0.3">
      <c r="C109" s="117"/>
      <c r="D109" s="118"/>
      <c r="E109" s="118"/>
      <c r="F109" s="119"/>
      <c r="G109" s="53" t="str">
        <f>IFERROR(IF(Retenciones_mes12[[#This Row],[CUIT]]="","-",VLOOKUP(Retenciones_mes12[[#This Row],[CUIT]],Lista_CUIT[#All],2,0)),"CUIT NO CARGADO")</f>
        <v>-</v>
      </c>
      <c r="H109" s="120"/>
      <c r="I109" s="120"/>
      <c r="J109" s="120"/>
      <c r="K109" s="120"/>
      <c r="L109" s="120"/>
    </row>
    <row r="110" spans="2:13" x14ac:dyDescent="0.3">
      <c r="C110" s="117"/>
      <c r="D110" s="118"/>
      <c r="E110" s="118"/>
      <c r="F110" s="119"/>
      <c r="G110" s="53" t="str">
        <f>IFERROR(IF(Retenciones_mes12[[#This Row],[CUIT]]="","-",VLOOKUP(Retenciones_mes12[[#This Row],[CUIT]],Lista_CUIT[#All],2,0)),"CUIT NO CARGADO")</f>
        <v>-</v>
      </c>
      <c r="H110" s="120"/>
      <c r="I110" s="120"/>
      <c r="J110" s="120"/>
      <c r="K110" s="120"/>
      <c r="L110" s="120"/>
    </row>
    <row r="111" spans="2:13" x14ac:dyDescent="0.3">
      <c r="C111" s="117"/>
      <c r="D111" s="118"/>
      <c r="E111" s="118"/>
      <c r="F111" s="119"/>
      <c r="G111" s="53" t="str">
        <f>IFERROR(IF(Retenciones_mes12[[#This Row],[CUIT]]="","-",VLOOKUP(Retenciones_mes12[[#This Row],[CUIT]],Lista_CUIT[#All],2,0)),"CUIT NO CARGADO")</f>
        <v>-</v>
      </c>
      <c r="H111" s="120"/>
      <c r="I111" s="120"/>
      <c r="J111" s="120"/>
      <c r="K111" s="120"/>
      <c r="L111" s="120"/>
    </row>
    <row r="112" spans="2:13" x14ac:dyDescent="0.3">
      <c r="C112" s="117"/>
      <c r="D112" s="118"/>
      <c r="E112" s="118"/>
      <c r="F112" s="119"/>
      <c r="G112" s="53" t="str">
        <f>IFERROR(IF(Retenciones_mes12[[#This Row],[CUIT]]="","-",VLOOKUP(Retenciones_mes12[[#This Row],[CUIT]],Lista_CUIT[#All],2,0)),"CUIT NO CARGADO")</f>
        <v>-</v>
      </c>
      <c r="H112" s="120"/>
      <c r="I112" s="120"/>
      <c r="J112" s="120"/>
      <c r="K112" s="120"/>
      <c r="L112" s="120"/>
    </row>
    <row r="113" spans="3:7" x14ac:dyDescent="0.3">
      <c r="D113" s="118"/>
      <c r="E113" s="118"/>
      <c r="G113" s="53" t="str">
        <f>IFERROR(IF(Retenciones_mes12[[#This Row],[CUIT]]="","-",VLOOKUP(Retenciones_mes12[[#This Row],[CUIT]],Lista_CUIT[#All],2,0)),"CUIT NO CARGADO")</f>
        <v>-</v>
      </c>
    </row>
    <row r="114" spans="3:7" x14ac:dyDescent="0.3">
      <c r="C114" s="33"/>
    </row>
  </sheetData>
  <mergeCells count="20">
    <mergeCell ref="C107:G107"/>
    <mergeCell ref="B4:E4"/>
    <mergeCell ref="G4:H4"/>
    <mergeCell ref="J4:K4"/>
    <mergeCell ref="M4:N4"/>
    <mergeCell ref="D55:K55"/>
    <mergeCell ref="B75:J75"/>
    <mergeCell ref="K75:M75"/>
    <mergeCell ref="B77:C77"/>
    <mergeCell ref="B91:C91"/>
    <mergeCell ref="P4:R4"/>
    <mergeCell ref="D41:L41"/>
    <mergeCell ref="B1:F1"/>
    <mergeCell ref="G1:M1"/>
    <mergeCell ref="N1:R1"/>
    <mergeCell ref="B3:E3"/>
    <mergeCell ref="G3:H3"/>
    <mergeCell ref="J3:K3"/>
    <mergeCell ref="M3:N3"/>
    <mergeCell ref="P3:R3"/>
  </mergeCells>
  <dataValidations count="13">
    <dataValidation type="custom" allowBlank="1" showInputMessage="1" showErrorMessage="1" sqref="H93:L98" xr:uid="{1977E194-257E-4573-9453-D100BA02C0E8}">
      <formula1>IF($C93=8,H93&lt;0,H93&gt;=0)</formula1>
    </dataValidation>
    <dataValidation type="custom" allowBlank="1" showInputMessage="1" showErrorMessage="1" sqref="L81:L83" xr:uid="{850C9CA3-46E0-4377-B00A-384E245AE8B7}">
      <formula1>IF($C25=3,L25&lt;0,L25&gt;=0)</formula1>
    </dataValidation>
    <dataValidation type="whole" allowBlank="1" showInputMessage="1" showErrorMessage="1" sqref="C93:C98" xr:uid="{D1ACD04E-77B8-4AD4-A616-E439D9B6535B}">
      <formula1>6</formula1>
      <formula2>8</formula2>
    </dataValidation>
    <dataValidation type="custom" allowBlank="1" showInputMessage="1" showErrorMessage="1" sqref="H79:K79 H81:K81 H83:K83 H85:K85" xr:uid="{5CC2244A-3317-4C45-879B-EF01D73CD8F3}">
      <formula1>IF($C79=3,H79&lt;0,H79&gt;=0)</formula1>
    </dataValidation>
    <dataValidation type="whole" allowBlank="1" showInputMessage="1" showErrorMessage="1" sqref="C37:C40 C9:C35 C79:C87" xr:uid="{02BE6502-1808-4777-AA8E-EFF222BFCE70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35" xr:uid="{6B06F496-135B-4110-9746-8E512026D47F}">
      <formula1>IF($C9=3,H9&lt;0,H9&gt;=0)</formula1>
    </dataValidation>
    <dataValidation type="date" allowBlank="1" showInputMessage="1" showErrorMessage="1" sqref="B9:B35 B93:B98 B79:B87 D57:D69 B37:B40 D43:D50" xr:uid="{13A023AF-72ED-43F5-8876-62D230A027BF}">
      <formula1>40179</formula1>
      <formula2>TODAY()</formula2>
    </dataValidation>
    <dataValidation type="whole" allowBlank="1" showInputMessage="1" showErrorMessage="1" sqref="F9:F35 G57:G69 F79:F87 F93:F98" xr:uid="{41131E48-DBE2-4E6E-A79F-2C7D5F06CA7D}">
      <formula1>20000000000</formula1>
      <formula2>33999999999</formula2>
    </dataValidation>
    <dataValidation type="whole" allowBlank="1" showInputMessage="1" showErrorMessage="1" sqref="E9:E35 F57:F69 E79:E87 E93:E98" xr:uid="{27068A39-1650-427D-95CE-D32BD0AF68F6}">
      <formula1>1</formula1>
      <formula2>99999999</formula2>
    </dataValidation>
    <dataValidation type="whole" allowBlank="1" showInputMessage="1" showErrorMessage="1" sqref="D9:D35 E57:E69 D79:D87 D93:D98" xr:uid="{0B181D8A-F973-476E-A43F-3FD7E514C62D}">
      <formula1>1</formula1>
      <formula2>9999</formula2>
    </dataValidation>
    <dataValidation type="custom" allowBlank="1" showInputMessage="1" showErrorMessage="1" sqref="L79" xr:uid="{5637A76B-EA8D-4FEE-9453-981CC48D0088}">
      <formula1>IF($C9=3,L9&lt;0,L9&gt;=0)</formula1>
    </dataValidation>
    <dataValidation type="custom" allowBlank="1" showInputMessage="1" showErrorMessage="1" sqref="L80" xr:uid="{64A44A49-F7FF-4306-B398-1D8549EEDC09}">
      <formula1>IF($C22=3,L22&lt;0,L22&gt;=0)</formula1>
    </dataValidation>
    <dataValidation type="custom" allowBlank="1" showInputMessage="1" showErrorMessage="1" sqref="L84:L85" xr:uid="{57AB97F6-85F9-4D40-A832-869082974317}">
      <formula1>IF($C36=3,L36&lt;0,L36&gt;=0)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9">
    <tabColor theme="8" tint="0.39997558519241921"/>
  </sheetPr>
  <dimension ref="B2:Q108"/>
  <sheetViews>
    <sheetView showGridLines="0" zoomScaleNormal="100" workbookViewId="0">
      <selection activeCell="D5" sqref="D5"/>
    </sheetView>
  </sheetViews>
  <sheetFormatPr baseColWidth="10" defaultRowHeight="14.4" x14ac:dyDescent="0.3"/>
  <cols>
    <col min="1" max="1" width="3.44140625" customWidth="1"/>
    <col min="3" max="3" width="20.33203125" bestFit="1" customWidth="1"/>
    <col min="4" max="4" width="12.6640625" bestFit="1" customWidth="1"/>
    <col min="5" max="5" width="14.109375" customWidth="1"/>
    <col min="6" max="6" width="3.44140625" customWidth="1"/>
    <col min="8" max="8" width="20.33203125" bestFit="1" customWidth="1"/>
    <col min="9" max="9" width="12.6640625" bestFit="1" customWidth="1"/>
    <col min="10" max="10" width="13.6640625" customWidth="1"/>
    <col min="11" max="11" width="2.109375" customWidth="1"/>
    <col min="13" max="13" width="17.33203125" customWidth="1"/>
    <col min="14" max="14" width="12.6640625" bestFit="1" customWidth="1"/>
    <col min="15" max="15" width="13.88671875" customWidth="1"/>
    <col min="16" max="16" width="6.6640625" customWidth="1"/>
  </cols>
  <sheetData>
    <row r="2" spans="2:17" ht="31.2" x14ac:dyDescent="0.3">
      <c r="B2" s="440" t="s">
        <v>59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</row>
    <row r="3" spans="2:17" ht="10.95" customHeight="1" thickBot="1" x14ac:dyDescent="0.55000000000000004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8.600000000000001" thickBot="1" x14ac:dyDescent="0.35">
      <c r="B4" s="436">
        <f>'Abr-23'!N1</f>
        <v>45017</v>
      </c>
      <c r="C4" s="437"/>
      <c r="D4" s="437"/>
      <c r="E4" s="438"/>
      <c r="F4" s="3"/>
      <c r="G4" s="436">
        <f>EDATE($B$4,1)</f>
        <v>45047</v>
      </c>
      <c r="H4" s="437"/>
      <c r="I4" s="437"/>
      <c r="J4" s="438"/>
      <c r="K4" s="3"/>
      <c r="L4" s="436">
        <f>EDATE($G$4,1)</f>
        <v>45078</v>
      </c>
      <c r="M4" s="437"/>
      <c r="N4" s="437"/>
      <c r="O4" s="438"/>
    </row>
    <row r="5" spans="2:17" x14ac:dyDescent="0.3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 x14ac:dyDescent="0.3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 x14ac:dyDescent="0.3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 x14ac:dyDescent="0.3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 x14ac:dyDescent="0.3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 x14ac:dyDescent="0.3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 x14ac:dyDescent="0.3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 x14ac:dyDescent="0.3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 x14ac:dyDescent="0.3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 x14ac:dyDescent="0.3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 x14ac:dyDescent="0.3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 x14ac:dyDescent="0.3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 x14ac:dyDescent="0.3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 x14ac:dyDescent="0.3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 x14ac:dyDescent="0.3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 x14ac:dyDescent="0.3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 x14ac:dyDescent="0.3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 x14ac:dyDescent="0.3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 x14ac:dyDescent="0.3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 x14ac:dyDescent="0.3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 x14ac:dyDescent="0.3">
      <c r="B25" s="11"/>
      <c r="C25" s="14"/>
      <c r="D25" s="121"/>
      <c r="E25" s="18"/>
      <c r="F25" s="3"/>
      <c r="G25" s="11" t="str">
        <f>IF($B$25="","",$B$25)</f>
        <v/>
      </c>
      <c r="H25" s="14" t="str">
        <f>IF($C$25="","",$C$25)</f>
        <v/>
      </c>
      <c r="I25" s="121"/>
      <c r="J25" s="18"/>
      <c r="K25" s="3"/>
      <c r="L25" s="11" t="str">
        <f>IF($B$25="","",$B$25)</f>
        <v/>
      </c>
      <c r="M25" s="14" t="str">
        <f>IF($C$25="","",$C$25)</f>
        <v/>
      </c>
      <c r="N25" s="121"/>
      <c r="O25" s="18"/>
    </row>
    <row r="26" spans="2:17" x14ac:dyDescent="0.3">
      <c r="B26" s="11"/>
      <c r="C26" s="14"/>
      <c r="D26" s="121"/>
      <c r="E26" s="18"/>
      <c r="F26" s="3"/>
      <c r="G26" s="11" t="str">
        <f>IF($B$26="","",$B$26)</f>
        <v/>
      </c>
      <c r="H26" s="14" t="str">
        <f>IF($C$26="","",$C$26)</f>
        <v/>
      </c>
      <c r="I26" s="121"/>
      <c r="J26" s="18"/>
      <c r="K26" s="3"/>
      <c r="L26" s="11" t="str">
        <f>IF($B$26="","",$B$26)</f>
        <v/>
      </c>
      <c r="M26" s="14" t="str">
        <f>IF($C$26="","",$C$26)</f>
        <v/>
      </c>
      <c r="N26" s="121"/>
      <c r="O26" s="18"/>
    </row>
    <row r="27" spans="2:17" x14ac:dyDescent="0.3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 x14ac:dyDescent="0.3">
      <c r="B28" s="439" t="s">
        <v>54</v>
      </c>
      <c r="C28" s="439"/>
      <c r="D28" s="439"/>
      <c r="E28" s="8">
        <v>0</v>
      </c>
      <c r="F28" s="3"/>
      <c r="G28" s="439" t="s">
        <v>55</v>
      </c>
      <c r="H28" s="439"/>
      <c r="I28" s="439"/>
      <c r="J28" s="8">
        <v>0</v>
      </c>
      <c r="K28" s="3"/>
      <c r="L28" s="439" t="s">
        <v>56</v>
      </c>
      <c r="M28" s="439"/>
      <c r="N28" s="439"/>
      <c r="O28" s="8">
        <v>0</v>
      </c>
    </row>
    <row r="29" spans="2:17" ht="15" thickBot="1" x14ac:dyDescent="0.35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8.600000000000001" thickBot="1" x14ac:dyDescent="0.35">
      <c r="B30" s="436">
        <f>EDATE($L$4,1)</f>
        <v>45108</v>
      </c>
      <c r="C30" s="437"/>
      <c r="D30" s="437"/>
      <c r="E30" s="438"/>
      <c r="F30" s="3"/>
      <c r="G30" s="436">
        <f>EDATE($B$30,1)</f>
        <v>45139</v>
      </c>
      <c r="H30" s="437"/>
      <c r="I30" s="437"/>
      <c r="J30" s="438"/>
      <c r="K30" s="3"/>
      <c r="L30" s="436">
        <f>EDATE($G$30,1)</f>
        <v>45170</v>
      </c>
      <c r="M30" s="437"/>
      <c r="N30" s="437"/>
      <c r="O30" s="438"/>
    </row>
    <row r="31" spans="2:17" x14ac:dyDescent="0.3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 x14ac:dyDescent="0.3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 x14ac:dyDescent="0.3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 x14ac:dyDescent="0.3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 x14ac:dyDescent="0.3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 x14ac:dyDescent="0.3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 x14ac:dyDescent="0.3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 x14ac:dyDescent="0.3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 x14ac:dyDescent="0.3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 x14ac:dyDescent="0.3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 x14ac:dyDescent="0.3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 x14ac:dyDescent="0.3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 x14ac:dyDescent="0.3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 x14ac:dyDescent="0.3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 x14ac:dyDescent="0.3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 x14ac:dyDescent="0.3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 x14ac:dyDescent="0.3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 x14ac:dyDescent="0.3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 x14ac:dyDescent="0.3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 x14ac:dyDescent="0.3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 x14ac:dyDescent="0.3">
      <c r="B51" s="11" t="str">
        <f>IF($B$25="","",$B$25)</f>
        <v/>
      </c>
      <c r="C51" s="14" t="str">
        <f>IF($C$25="","",$C$25)</f>
        <v/>
      </c>
      <c r="D51" s="121"/>
      <c r="E51" s="18"/>
      <c r="F51" s="3"/>
      <c r="G51" s="11" t="str">
        <f>IF($B$25="","",$B$25)</f>
        <v/>
      </c>
      <c r="H51" s="14" t="str">
        <f>IF($C$25="","",$C$25)</f>
        <v/>
      </c>
      <c r="I51" s="121"/>
      <c r="J51" s="18"/>
      <c r="K51" s="3"/>
      <c r="L51" s="11" t="str">
        <f>IF($B$25="","",$B$25)</f>
        <v/>
      </c>
      <c r="M51" s="14" t="str">
        <f>IF($C$25="","",$C$25)</f>
        <v/>
      </c>
      <c r="N51" s="121"/>
      <c r="O51" s="18"/>
    </row>
    <row r="52" spans="2:15" x14ac:dyDescent="0.3">
      <c r="B52" s="11" t="str">
        <f>IF($B$26="","",$B$26)</f>
        <v/>
      </c>
      <c r="C52" s="14" t="str">
        <f>IF($C$26="","",$C$26)</f>
        <v/>
      </c>
      <c r="D52" s="121"/>
      <c r="E52" s="18"/>
      <c r="F52" s="3"/>
      <c r="G52" s="11" t="str">
        <f>IF($B$26="","",$B$26)</f>
        <v/>
      </c>
      <c r="H52" s="14" t="str">
        <f>IF($C$26="","",$C$26)</f>
        <v/>
      </c>
      <c r="I52" s="121"/>
      <c r="J52" s="18"/>
      <c r="K52" s="3"/>
      <c r="L52" s="11" t="str">
        <f>IF($B$26="","",$B$26)</f>
        <v/>
      </c>
      <c r="M52" s="14" t="str">
        <f>IF($C$26="","",$C$26)</f>
        <v/>
      </c>
      <c r="N52" s="121"/>
      <c r="O52" s="18"/>
    </row>
    <row r="53" spans="2:15" x14ac:dyDescent="0.3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 x14ac:dyDescent="0.3">
      <c r="B54" s="439"/>
      <c r="C54" s="439"/>
      <c r="D54" s="439"/>
      <c r="E54" s="8">
        <v>0</v>
      </c>
      <c r="F54" s="3"/>
      <c r="G54" s="439"/>
      <c r="H54" s="439"/>
      <c r="I54" s="439"/>
      <c r="J54" s="8">
        <v>0</v>
      </c>
      <c r="K54" s="3"/>
      <c r="L54" s="439"/>
      <c r="M54" s="439"/>
      <c r="N54" s="439"/>
      <c r="O54" s="8">
        <v>0</v>
      </c>
    </row>
    <row r="55" spans="2:15" ht="15" thickBot="1" x14ac:dyDescent="0.3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8.600000000000001" thickBot="1" x14ac:dyDescent="0.35">
      <c r="B56" s="436">
        <f>EDATE($L$30,1)</f>
        <v>45200</v>
      </c>
      <c r="C56" s="437"/>
      <c r="D56" s="437"/>
      <c r="E56" s="438"/>
      <c r="F56" s="3"/>
      <c r="G56" s="436">
        <f>EDATE($B$56,1)</f>
        <v>45231</v>
      </c>
      <c r="H56" s="437"/>
      <c r="I56" s="437"/>
      <c r="J56" s="438"/>
      <c r="K56" s="3"/>
      <c r="L56" s="436">
        <f>EDATE($G$56,1)</f>
        <v>45261</v>
      </c>
      <c r="M56" s="437"/>
      <c r="N56" s="437"/>
      <c r="O56" s="438"/>
    </row>
    <row r="57" spans="2:15" x14ac:dyDescent="0.3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 x14ac:dyDescent="0.3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 x14ac:dyDescent="0.3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 x14ac:dyDescent="0.3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 x14ac:dyDescent="0.3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 x14ac:dyDescent="0.3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 x14ac:dyDescent="0.3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 x14ac:dyDescent="0.3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 x14ac:dyDescent="0.3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 x14ac:dyDescent="0.3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 x14ac:dyDescent="0.3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 x14ac:dyDescent="0.3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 x14ac:dyDescent="0.3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 x14ac:dyDescent="0.3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 x14ac:dyDescent="0.3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 x14ac:dyDescent="0.3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 x14ac:dyDescent="0.3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 x14ac:dyDescent="0.3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 x14ac:dyDescent="0.3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 x14ac:dyDescent="0.3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 x14ac:dyDescent="0.3">
      <c r="B77" s="11" t="str">
        <f>IF($B$25="","",$B$25)</f>
        <v/>
      </c>
      <c r="C77" s="14" t="str">
        <f>IF($C$25="","",$C$25)</f>
        <v/>
      </c>
      <c r="D77" s="121"/>
      <c r="E77" s="18"/>
      <c r="F77" s="3"/>
      <c r="G77" s="11" t="str">
        <f>IF($B$25="","",$B$25)</f>
        <v/>
      </c>
      <c r="H77" s="14" t="str">
        <f>IF($C$25="","",$C$25)</f>
        <v/>
      </c>
      <c r="I77" s="121"/>
      <c r="J77" s="18"/>
      <c r="K77" s="3"/>
      <c r="L77" s="11" t="str">
        <f>IF($B$25="","",$B$25)</f>
        <v/>
      </c>
      <c r="M77" s="14" t="str">
        <f>IF($C$25="","",$C$25)</f>
        <v/>
      </c>
      <c r="N77" s="121"/>
      <c r="O77" s="18"/>
    </row>
    <row r="78" spans="2:15" x14ac:dyDescent="0.3">
      <c r="B78" s="11" t="str">
        <f>IF($B$26="","",$B$26)</f>
        <v/>
      </c>
      <c r="C78" s="14" t="str">
        <f>IF($C$26="","",$C$26)</f>
        <v/>
      </c>
      <c r="D78" s="121"/>
      <c r="E78" s="18"/>
      <c r="F78" s="3"/>
      <c r="G78" s="11" t="str">
        <f>IF($B$26="","",$B$26)</f>
        <v/>
      </c>
      <c r="H78" s="14" t="str">
        <f>IF($C$26="","",$C$26)</f>
        <v/>
      </c>
      <c r="I78" s="121"/>
      <c r="J78" s="18"/>
      <c r="K78" s="3"/>
      <c r="L78" s="11" t="str">
        <f>IF($B$26="","",$B$26)</f>
        <v/>
      </c>
      <c r="M78" s="14" t="str">
        <f>IF($C$26="","",$C$26)</f>
        <v/>
      </c>
      <c r="N78" s="121"/>
      <c r="O78" s="18"/>
    </row>
    <row r="79" spans="2:15" x14ac:dyDescent="0.3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 x14ac:dyDescent="0.3">
      <c r="B80" s="439"/>
      <c r="C80" s="439"/>
      <c r="D80" s="439"/>
      <c r="E80" s="8">
        <v>0</v>
      </c>
      <c r="F80" s="3"/>
      <c r="G80" s="439"/>
      <c r="H80" s="439"/>
      <c r="I80" s="439"/>
      <c r="J80" s="8">
        <v>0</v>
      </c>
      <c r="K80" s="3"/>
      <c r="L80" s="439"/>
      <c r="M80" s="439"/>
      <c r="N80" s="439"/>
      <c r="O80" s="8">
        <v>0</v>
      </c>
    </row>
    <row r="81" spans="2:15" ht="15" thickBot="1" x14ac:dyDescent="0.3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8.600000000000001" thickBot="1" x14ac:dyDescent="0.35">
      <c r="B82" s="436">
        <f>EDATE($L$56,1)</f>
        <v>45292</v>
      </c>
      <c r="C82" s="437"/>
      <c r="D82" s="437"/>
      <c r="E82" s="438"/>
      <c r="F82" s="3"/>
      <c r="G82" s="436">
        <f>EDATE($B$82,1)</f>
        <v>45323</v>
      </c>
      <c r="H82" s="437"/>
      <c r="I82" s="437"/>
      <c r="J82" s="438"/>
      <c r="K82" s="3"/>
      <c r="L82" s="436">
        <f>EDATE($G$82,1)</f>
        <v>45352</v>
      </c>
      <c r="M82" s="437"/>
      <c r="N82" s="437"/>
      <c r="O82" s="438"/>
    </row>
    <row r="83" spans="2:15" x14ac:dyDescent="0.3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 x14ac:dyDescent="0.3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 x14ac:dyDescent="0.3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 x14ac:dyDescent="0.3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 x14ac:dyDescent="0.3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 x14ac:dyDescent="0.3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 x14ac:dyDescent="0.3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 x14ac:dyDescent="0.3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 x14ac:dyDescent="0.3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 x14ac:dyDescent="0.3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 x14ac:dyDescent="0.3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 x14ac:dyDescent="0.3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 x14ac:dyDescent="0.3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 x14ac:dyDescent="0.3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 x14ac:dyDescent="0.3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 x14ac:dyDescent="0.3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 x14ac:dyDescent="0.3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 x14ac:dyDescent="0.3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 x14ac:dyDescent="0.3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 x14ac:dyDescent="0.3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 x14ac:dyDescent="0.3">
      <c r="B103" s="11" t="str">
        <f>IF($B$25="","",$B$25)</f>
        <v/>
      </c>
      <c r="C103" s="14" t="str">
        <f>IF($C$25="","",$C$25)</f>
        <v/>
      </c>
      <c r="D103" s="121"/>
      <c r="E103" s="18"/>
      <c r="F103" s="3"/>
      <c r="G103" s="11" t="str">
        <f>IF($B$25="","",$B$25)</f>
        <v/>
      </c>
      <c r="H103" s="14" t="str">
        <f>IF($C$25="","",$C$25)</f>
        <v/>
      </c>
      <c r="I103" s="121"/>
      <c r="J103" s="18"/>
      <c r="K103" s="3"/>
      <c r="L103" s="11" t="str">
        <f>IF($B$25="","",$B$25)</f>
        <v/>
      </c>
      <c r="M103" s="14" t="str">
        <f>IF($C$25="","",$C$25)</f>
        <v/>
      </c>
      <c r="N103" s="121"/>
      <c r="O103" s="18"/>
    </row>
    <row r="104" spans="2:15" x14ac:dyDescent="0.3">
      <c r="B104" s="11" t="str">
        <f>IF($B$26="","",$B$26)</f>
        <v/>
      </c>
      <c r="C104" s="14" t="str">
        <f>IF($C$26="","",$C$26)</f>
        <v/>
      </c>
      <c r="D104" s="121"/>
      <c r="E104" s="18"/>
      <c r="F104" s="3"/>
      <c r="G104" s="11" t="str">
        <f>IF($B$26="","",$B$26)</f>
        <v/>
      </c>
      <c r="H104" s="14" t="str">
        <f>IF($C$26="","",$C$26)</f>
        <v/>
      </c>
      <c r="I104" s="121"/>
      <c r="J104" s="18"/>
      <c r="K104" s="3"/>
      <c r="L104" s="11" t="str">
        <f>IF($B$26="","",$B$26)</f>
        <v/>
      </c>
      <c r="M104" s="14" t="str">
        <f>IF($C$26="","",$C$26)</f>
        <v/>
      </c>
      <c r="N104" s="121"/>
      <c r="O104" s="18"/>
    </row>
    <row r="105" spans="2:15" x14ac:dyDescent="0.3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 x14ac:dyDescent="0.3">
      <c r="B106" s="439"/>
      <c r="C106" s="439"/>
      <c r="D106" s="439"/>
      <c r="E106" s="8">
        <v>0</v>
      </c>
      <c r="F106" s="3"/>
      <c r="G106" s="439"/>
      <c r="H106" s="439"/>
      <c r="I106" s="439"/>
      <c r="J106" s="8">
        <v>0</v>
      </c>
      <c r="K106" s="3"/>
      <c r="L106" s="439"/>
      <c r="M106" s="439"/>
      <c r="N106" s="439"/>
      <c r="O106" s="8">
        <v>0</v>
      </c>
    </row>
    <row r="107" spans="2:15" x14ac:dyDescent="0.3">
      <c r="B107" s="3"/>
      <c r="C107" s="3"/>
      <c r="D107" s="3"/>
      <c r="E107" s="3"/>
      <c r="L107" s="435"/>
      <c r="M107" s="435"/>
      <c r="N107" s="435"/>
      <c r="O107" s="3"/>
    </row>
    <row r="108" spans="2:15" x14ac:dyDescent="0.3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tabColor theme="8" tint="0.39997558519241921"/>
  </sheetPr>
  <dimension ref="A2:R30"/>
  <sheetViews>
    <sheetView showGridLines="0" workbookViewId="0">
      <selection activeCell="A6" sqref="A6"/>
    </sheetView>
  </sheetViews>
  <sheetFormatPr baseColWidth="10" defaultColWidth="0" defaultRowHeight="14.4" x14ac:dyDescent="0.3"/>
  <cols>
    <col min="1" max="1" width="3.33203125" customWidth="1"/>
    <col min="2" max="5" width="11.5546875" customWidth="1"/>
    <col min="6" max="6" width="3.5546875" customWidth="1"/>
    <col min="7" max="10" width="11.5546875" customWidth="1"/>
    <col min="11" max="11" width="3" customWidth="1"/>
    <col min="12" max="18" width="11.5546875" customWidth="1"/>
    <col min="19" max="16384" width="11.5546875" hidden="1"/>
  </cols>
  <sheetData>
    <row r="2" spans="2:15" ht="31.2" x14ac:dyDescent="0.3">
      <c r="B2" s="440" t="s">
        <v>60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</row>
    <row r="3" spans="2:15" ht="15" thickBot="1" x14ac:dyDescent="0.3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8.600000000000001" thickBot="1" x14ac:dyDescent="0.35">
      <c r="B4" s="436">
        <f>'Abr-23'!N1</f>
        <v>45017</v>
      </c>
      <c r="C4" s="437"/>
      <c r="D4" s="437"/>
      <c r="E4" s="438"/>
      <c r="F4" s="3"/>
      <c r="G4" s="436">
        <f>EDATE($B$4,1)</f>
        <v>45047</v>
      </c>
      <c r="H4" s="437"/>
      <c r="I4" s="437"/>
      <c r="J4" s="438"/>
      <c r="K4" s="3"/>
      <c r="L4" s="436">
        <f>EDATE($B$4,2)</f>
        <v>45078</v>
      </c>
      <c r="M4" s="437"/>
      <c r="N4" s="437"/>
      <c r="O4" s="438"/>
    </row>
    <row r="5" spans="2:15" x14ac:dyDescent="0.3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 x14ac:dyDescent="0.3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 x14ac:dyDescent="0.3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" thickBot="1" x14ac:dyDescent="0.35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 x14ac:dyDescent="0.3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" thickBot="1" x14ac:dyDescent="0.3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8.600000000000001" thickBot="1" x14ac:dyDescent="0.35">
      <c r="B11" s="436">
        <f>EDATE($B$4,3)</f>
        <v>45108</v>
      </c>
      <c r="C11" s="437"/>
      <c r="D11" s="437"/>
      <c r="E11" s="438"/>
      <c r="F11" s="3"/>
      <c r="G11" s="436">
        <f>EDATE($B$4,4)</f>
        <v>45139</v>
      </c>
      <c r="H11" s="437"/>
      <c r="I11" s="437"/>
      <c r="J11" s="438"/>
      <c r="K11" s="3"/>
      <c r="L11" s="436">
        <f>EDATE($B$4,5)</f>
        <v>45170</v>
      </c>
      <c r="M11" s="437"/>
      <c r="N11" s="437"/>
      <c r="O11" s="438"/>
    </row>
    <row r="12" spans="2:15" x14ac:dyDescent="0.3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 x14ac:dyDescent="0.3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 x14ac:dyDescent="0.3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" thickBot="1" x14ac:dyDescent="0.35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 x14ac:dyDescent="0.3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" thickBot="1" x14ac:dyDescent="0.3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8.600000000000001" thickBot="1" x14ac:dyDescent="0.35">
      <c r="B18" s="436">
        <f>EDATE($B$4,6)</f>
        <v>45200</v>
      </c>
      <c r="C18" s="437"/>
      <c r="D18" s="437"/>
      <c r="E18" s="438"/>
      <c r="F18" s="3"/>
      <c r="G18" s="436">
        <f>EDATE($B$4,7)</f>
        <v>45231</v>
      </c>
      <c r="H18" s="437"/>
      <c r="I18" s="437"/>
      <c r="J18" s="438"/>
      <c r="K18" s="3"/>
      <c r="L18" s="436">
        <f>EDATE($B$4,8)</f>
        <v>45261</v>
      </c>
      <c r="M18" s="437"/>
      <c r="N18" s="437"/>
      <c r="O18" s="438"/>
    </row>
    <row r="19" spans="2:15" x14ac:dyDescent="0.3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 x14ac:dyDescent="0.3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 x14ac:dyDescent="0.3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" thickBot="1" x14ac:dyDescent="0.35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 x14ac:dyDescent="0.3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" thickBot="1" x14ac:dyDescent="0.35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8.600000000000001" thickBot="1" x14ac:dyDescent="0.35">
      <c r="B25" s="436">
        <f>EDATE($B$4,9)</f>
        <v>45292</v>
      </c>
      <c r="C25" s="437"/>
      <c r="D25" s="437"/>
      <c r="E25" s="438"/>
      <c r="F25" s="3"/>
      <c r="G25" s="436">
        <f>EDATE($B$4,10)</f>
        <v>45323</v>
      </c>
      <c r="H25" s="437"/>
      <c r="I25" s="437"/>
      <c r="J25" s="438"/>
      <c r="K25" s="3"/>
      <c r="L25" s="436">
        <f>EDATE($B$4,11)</f>
        <v>45352</v>
      </c>
      <c r="M25" s="437"/>
      <c r="N25" s="437"/>
      <c r="O25" s="438"/>
    </row>
    <row r="26" spans="2:15" x14ac:dyDescent="0.3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 x14ac:dyDescent="0.3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 x14ac:dyDescent="0.3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" thickBot="1" x14ac:dyDescent="0.35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 x14ac:dyDescent="0.3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G18:J18"/>
    <mergeCell ref="L18:O18"/>
    <mergeCell ref="B25:E25"/>
    <mergeCell ref="G25:J25"/>
    <mergeCell ref="L25:O25"/>
    <mergeCell ref="B18:E18"/>
    <mergeCell ref="B2:O2"/>
    <mergeCell ref="B4:E4"/>
    <mergeCell ref="G4:J4"/>
    <mergeCell ref="L4:O4"/>
    <mergeCell ref="B11:E11"/>
    <mergeCell ref="G11:J11"/>
    <mergeCell ref="L11:O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Lista_CUIT</vt:lpstr>
      <vt:lpstr>Hoja1</vt:lpstr>
      <vt:lpstr>Abr-23</vt:lpstr>
      <vt:lpstr>May-23</vt:lpstr>
      <vt:lpstr>Jun-23</vt:lpstr>
      <vt:lpstr>Jul-23</vt:lpstr>
      <vt:lpstr>Ago-23</vt:lpstr>
      <vt:lpstr>Sept-23</vt:lpstr>
      <vt:lpstr>Nov-23</vt:lpstr>
      <vt:lpstr>Oct-23</vt:lpstr>
      <vt:lpstr>Dic-23</vt:lpstr>
      <vt:lpstr>Ene-24</vt:lpstr>
      <vt:lpstr>Feb-24</vt:lpstr>
      <vt:lpstr>Mar-24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Hogar</cp:lastModifiedBy>
  <dcterms:created xsi:type="dcterms:W3CDTF">2006-09-16T00:00:00Z</dcterms:created>
  <dcterms:modified xsi:type="dcterms:W3CDTF">2024-07-07T20:56:29Z</dcterms:modified>
</cp:coreProperties>
</file>