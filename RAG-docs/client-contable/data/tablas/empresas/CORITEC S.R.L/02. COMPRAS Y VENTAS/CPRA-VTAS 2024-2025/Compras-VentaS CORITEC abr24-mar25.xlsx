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PRA-VTAS 2024-2025\"/>
    </mc:Choice>
  </mc:AlternateContent>
  <xr:revisionPtr revIDLastSave="0" documentId="13_ncr:1_{C3340BB0-0181-4CF9-8757-C6E5F6532A6B}" xr6:coauthVersionLast="47" xr6:coauthVersionMax="47" xr10:uidLastSave="{00000000-0000-0000-0000-000000000000}"/>
  <bookViews>
    <workbookView xWindow="10200" yWindow="0" windowWidth="12840" windowHeight="12240" firstSheet="9" activeTab="12" xr2:uid="{00000000-000D-0000-FFFF-FFFF00000000}"/>
  </bookViews>
  <sheets>
    <sheet name="Lista_CUIT" sheetId="1" r:id="rId1"/>
    <sheet name="Abr-24" sheetId="2" r:id="rId2"/>
    <sheet name="May-24" sheetId="3" r:id="rId3"/>
    <sheet name="Jun-24" sheetId="4" r:id="rId4"/>
    <sheet name="Jul-24" sheetId="5" r:id="rId5"/>
    <sheet name="Ago-24" sheetId="6" r:id="rId6"/>
    <sheet name="Sept-24" sheetId="7" r:id="rId7"/>
    <sheet name="Oct-24" sheetId="8" r:id="rId8"/>
    <sheet name="Nov-24" sheetId="9" r:id="rId9"/>
    <sheet name="Dic-24" sheetId="10" r:id="rId10"/>
    <sheet name="Ene-25" sheetId="11" r:id="rId11"/>
    <sheet name="Feb-25" sheetId="12" r:id="rId12"/>
    <sheet name="Mar-25" sheetId="13" r:id="rId13"/>
    <sheet name="Asto-Cpras" sheetId="14" r:id="rId14"/>
    <sheet name="Asto-Vta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3VbcjQYzpCOrkla3fptGIxn1A//3yTUCtkRpjOeRgg8="/>
    </ext>
  </extLst>
</workbook>
</file>

<file path=xl/calcChain.xml><?xml version="1.0" encoding="utf-8"?>
<calcChain xmlns="http://schemas.openxmlformats.org/spreadsheetml/2006/main">
  <c r="I34" i="13" l="1"/>
  <c r="I14" i="13"/>
  <c r="I18" i="13"/>
  <c r="I19" i="13"/>
  <c r="P19" i="13" s="1"/>
  <c r="I20" i="13"/>
  <c r="P20" i="13" s="1"/>
  <c r="I21" i="13"/>
  <c r="P18" i="13"/>
  <c r="Q18" i="13"/>
  <c r="R18" i="13"/>
  <c r="Q19" i="13"/>
  <c r="R19" i="13"/>
  <c r="Q20" i="13"/>
  <c r="R20" i="13"/>
  <c r="J65" i="13"/>
  <c r="K65" i="13"/>
  <c r="J66" i="13"/>
  <c r="K66" i="13"/>
  <c r="J67" i="13"/>
  <c r="K67" i="13"/>
  <c r="H65" i="13"/>
  <c r="H66" i="13"/>
  <c r="H67" i="13"/>
  <c r="G18" i="13"/>
  <c r="G19" i="13"/>
  <c r="G20" i="13"/>
  <c r="J93" i="13"/>
  <c r="L90" i="13"/>
  <c r="J89" i="13"/>
  <c r="I89" i="13"/>
  <c r="L89" i="13" s="1"/>
  <c r="J86" i="13"/>
  <c r="J85" i="13"/>
  <c r="I85" i="13"/>
  <c r="I87" i="13"/>
  <c r="I88" i="13"/>
  <c r="I90" i="13"/>
  <c r="G89" i="13"/>
  <c r="G90" i="13"/>
  <c r="G46" i="12"/>
  <c r="G45" i="12"/>
  <c r="G44" i="12"/>
  <c r="G43" i="12"/>
  <c r="R26" i="12"/>
  <c r="R27" i="12"/>
  <c r="R28" i="12"/>
  <c r="R29" i="12"/>
  <c r="R30" i="12"/>
  <c r="R31" i="12"/>
  <c r="R32" i="12"/>
  <c r="Q26" i="12"/>
  <c r="Q27" i="12"/>
  <c r="Q28" i="12"/>
  <c r="Q29" i="12"/>
  <c r="Q30" i="12"/>
  <c r="Q31" i="12"/>
  <c r="Q32" i="12"/>
  <c r="P27" i="12"/>
  <c r="P28" i="12"/>
  <c r="P29" i="12"/>
  <c r="P30" i="12"/>
  <c r="P31" i="12"/>
  <c r="P32" i="12"/>
  <c r="K26" i="12"/>
  <c r="P26" i="12" s="1"/>
  <c r="G26" i="12"/>
  <c r="G27" i="12"/>
  <c r="G28" i="12"/>
  <c r="G29" i="12"/>
  <c r="G30" i="12"/>
  <c r="G31" i="12"/>
  <c r="G32" i="12"/>
  <c r="G42" i="12"/>
  <c r="L84" i="12"/>
  <c r="J83" i="12"/>
  <c r="L83" i="12" s="1"/>
  <c r="J61" i="12"/>
  <c r="J62" i="12"/>
  <c r="H61" i="12"/>
  <c r="H62" i="12"/>
  <c r="I86" i="12"/>
  <c r="I87" i="12"/>
  <c r="I10" i="12"/>
  <c r="I11" i="12"/>
  <c r="I12" i="12"/>
  <c r="I13" i="12"/>
  <c r="I14" i="12"/>
  <c r="I15" i="12"/>
  <c r="I16" i="12"/>
  <c r="I17" i="12"/>
  <c r="P18" i="12"/>
  <c r="I19" i="12"/>
  <c r="I20" i="12"/>
  <c r="I21" i="12"/>
  <c r="I22" i="12"/>
  <c r="I23" i="12"/>
  <c r="I24" i="12"/>
  <c r="I33" i="12"/>
  <c r="I34" i="12"/>
  <c r="K98" i="11"/>
  <c r="J98" i="11"/>
  <c r="I98" i="11"/>
  <c r="H98" i="11"/>
  <c r="M97" i="11"/>
  <c r="G97" i="11"/>
  <c r="L96" i="11"/>
  <c r="L98" i="11" s="1"/>
  <c r="R26" i="11" l="1"/>
  <c r="Q26" i="11"/>
  <c r="I26" i="11"/>
  <c r="P26" i="11" s="1"/>
  <c r="G26" i="11"/>
  <c r="G39" i="11"/>
  <c r="J17" i="11"/>
  <c r="H55" i="11"/>
  <c r="J55" i="11"/>
  <c r="J78" i="11"/>
  <c r="I78" i="11"/>
  <c r="J74" i="11"/>
  <c r="J73" i="11"/>
  <c r="I73" i="11"/>
  <c r="I72" i="11"/>
  <c r="I10" i="11"/>
  <c r="I11" i="11"/>
  <c r="I12" i="11"/>
  <c r="I13" i="11"/>
  <c r="I14" i="11"/>
  <c r="I15" i="11"/>
  <c r="I16" i="11"/>
  <c r="I18" i="11"/>
  <c r="I19" i="11"/>
  <c r="I20" i="11"/>
  <c r="I21" i="11"/>
  <c r="I22" i="11"/>
  <c r="I23" i="11"/>
  <c r="I24" i="11"/>
  <c r="I25" i="11"/>
  <c r="I27" i="11"/>
  <c r="I28" i="11"/>
  <c r="I29" i="11"/>
  <c r="I30" i="11"/>
  <c r="I31" i="11"/>
  <c r="I80" i="9"/>
  <c r="J76" i="9" l="1"/>
  <c r="J77" i="9"/>
  <c r="J78" i="9"/>
  <c r="J79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32" i="9"/>
  <c r="J42" i="10"/>
  <c r="K42" i="10"/>
  <c r="L42" i="10"/>
  <c r="M42" i="10"/>
  <c r="N42" i="10"/>
  <c r="O42" i="10"/>
  <c r="H42" i="10"/>
  <c r="B4" i="10" s="1"/>
  <c r="M92" i="10"/>
  <c r="K92" i="10"/>
  <c r="H92" i="10"/>
  <c r="L107" i="10"/>
  <c r="L106" i="10"/>
  <c r="K48" i="10" l="1"/>
  <c r="G48" i="10"/>
  <c r="J85" i="10"/>
  <c r="I85" i="10"/>
  <c r="J83" i="10"/>
  <c r="I83" i="10"/>
  <c r="Q20" i="10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I10" i="10"/>
  <c r="I11" i="10"/>
  <c r="I12" i="10"/>
  <c r="I13" i="10"/>
  <c r="I14" i="10"/>
  <c r="I15" i="10"/>
  <c r="I16" i="10"/>
  <c r="I17" i="10"/>
  <c r="I20" i="10"/>
  <c r="I21" i="10"/>
  <c r="P21" i="10" s="1"/>
  <c r="I22" i="10"/>
  <c r="I23" i="10"/>
  <c r="I24" i="10"/>
  <c r="I25" i="10"/>
  <c r="I26" i="10"/>
  <c r="I28" i="10"/>
  <c r="I29" i="10"/>
  <c r="P29" i="10" s="1"/>
  <c r="I30" i="10"/>
  <c r="I31" i="10"/>
  <c r="I33" i="10"/>
  <c r="I34" i="10"/>
  <c r="I35" i="10"/>
  <c r="I36" i="10"/>
  <c r="I37" i="10"/>
  <c r="I38" i="10"/>
  <c r="I39" i="10"/>
  <c r="I40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46" i="9"/>
  <c r="I30" i="9"/>
  <c r="I9" i="9"/>
  <c r="G9" i="9"/>
  <c r="K60" i="9"/>
  <c r="J60" i="9"/>
  <c r="H49" i="9"/>
  <c r="I11" i="9"/>
  <c r="G10" i="9"/>
  <c r="O49" i="9"/>
  <c r="N49" i="9"/>
  <c r="M49" i="9"/>
  <c r="L49" i="9"/>
  <c r="J45" i="9"/>
  <c r="I46" i="9"/>
  <c r="I47" i="9"/>
  <c r="I48" i="9"/>
  <c r="G45" i="9"/>
  <c r="G47" i="9"/>
  <c r="G48" i="9"/>
  <c r="G44" i="9"/>
  <c r="G43" i="9"/>
  <c r="I22" i="9"/>
  <c r="I12" i="9"/>
  <c r="G11" i="9"/>
  <c r="H77" i="9"/>
  <c r="H78" i="9"/>
  <c r="H79" i="9"/>
  <c r="L101" i="9"/>
  <c r="G101" i="9"/>
  <c r="G102" i="9"/>
  <c r="G103" i="9"/>
  <c r="M107" i="9"/>
  <c r="K107" i="9"/>
  <c r="J107" i="9"/>
  <c r="I107" i="9"/>
  <c r="H107" i="9"/>
  <c r="G107" i="9"/>
  <c r="L106" i="9"/>
  <c r="G106" i="9"/>
  <c r="L105" i="9"/>
  <c r="G105" i="9"/>
  <c r="L104" i="9"/>
  <c r="G104" i="9"/>
  <c r="L103" i="9"/>
  <c r="L102" i="9"/>
  <c r="J88" i="9"/>
  <c r="J87" i="9"/>
  <c r="H59" i="9"/>
  <c r="J92" i="10" l="1"/>
  <c r="P31" i="10"/>
  <c r="P22" i="10"/>
  <c r="P27" i="10"/>
  <c r="P32" i="10"/>
  <c r="P20" i="10"/>
  <c r="P25" i="10"/>
  <c r="P24" i="10"/>
  <c r="P30" i="10"/>
  <c r="P26" i="10"/>
  <c r="P23" i="10"/>
  <c r="G57" i="9"/>
  <c r="H76" i="9"/>
  <c r="I43" i="9"/>
  <c r="I41" i="9"/>
  <c r="I42" i="9"/>
  <c r="G41" i="9"/>
  <c r="G42" i="9"/>
  <c r="I40" i="9"/>
  <c r="G40" i="9"/>
  <c r="I37" i="9"/>
  <c r="I38" i="9"/>
  <c r="P38" i="9" s="1"/>
  <c r="I39" i="9"/>
  <c r="P47" i="9" s="1"/>
  <c r="G37" i="9"/>
  <c r="G38" i="9"/>
  <c r="G39" i="9"/>
  <c r="I33" i="9"/>
  <c r="I34" i="9"/>
  <c r="P34" i="9" s="1"/>
  <c r="I35" i="9"/>
  <c r="I36" i="9"/>
  <c r="P36" i="9" s="1"/>
  <c r="G33" i="9"/>
  <c r="G34" i="9"/>
  <c r="G35" i="9"/>
  <c r="G36" i="9"/>
  <c r="K32" i="9"/>
  <c r="P32" i="9" s="1"/>
  <c r="K27" i="9"/>
  <c r="J73" i="9"/>
  <c r="J74" i="9"/>
  <c r="J75" i="9"/>
  <c r="H73" i="9"/>
  <c r="H74" i="9"/>
  <c r="H75" i="9"/>
  <c r="G88" i="9"/>
  <c r="L88" i="9"/>
  <c r="L87" i="9"/>
  <c r="H67" i="9"/>
  <c r="J67" i="9"/>
  <c r="K67" i="9"/>
  <c r="H68" i="9"/>
  <c r="J68" i="9"/>
  <c r="K68" i="9"/>
  <c r="H69" i="9"/>
  <c r="J69" i="9"/>
  <c r="K69" i="9"/>
  <c r="H70" i="9"/>
  <c r="J70" i="9"/>
  <c r="K70" i="9"/>
  <c r="H71" i="9"/>
  <c r="J71" i="9"/>
  <c r="K71" i="9"/>
  <c r="H72" i="9"/>
  <c r="J72" i="9"/>
  <c r="K72" i="9"/>
  <c r="G31" i="9"/>
  <c r="I31" i="9"/>
  <c r="Q31" i="9"/>
  <c r="R31" i="9"/>
  <c r="G32" i="9"/>
  <c r="R32" i="9"/>
  <c r="I10" i="9"/>
  <c r="Q10" i="9"/>
  <c r="R10" i="9"/>
  <c r="P11" i="9"/>
  <c r="Q11" i="9"/>
  <c r="R11" i="9"/>
  <c r="G12" i="9"/>
  <c r="Q12" i="9"/>
  <c r="R12" i="9"/>
  <c r="G13" i="9"/>
  <c r="I13" i="9"/>
  <c r="P13" i="9" s="1"/>
  <c r="Q13" i="9"/>
  <c r="R13" i="9"/>
  <c r="G14" i="9"/>
  <c r="I14" i="9"/>
  <c r="P14" i="9" s="1"/>
  <c r="Q14" i="9"/>
  <c r="R14" i="9"/>
  <c r="G15" i="9"/>
  <c r="I15" i="9"/>
  <c r="P15" i="9" s="1"/>
  <c r="Q15" i="9"/>
  <c r="R15" i="9"/>
  <c r="G16" i="9"/>
  <c r="I16" i="9"/>
  <c r="P16" i="9" s="1"/>
  <c r="Q16" i="9"/>
  <c r="R16" i="9"/>
  <c r="G17" i="9"/>
  <c r="I17" i="9"/>
  <c r="P17" i="9" s="1"/>
  <c r="Q17" i="9"/>
  <c r="R17" i="9"/>
  <c r="G18" i="9"/>
  <c r="I18" i="9"/>
  <c r="P18" i="9" s="1"/>
  <c r="Q18" i="9"/>
  <c r="R18" i="9"/>
  <c r="G19" i="9"/>
  <c r="I19" i="9"/>
  <c r="P19" i="9" s="1"/>
  <c r="Q19" i="9"/>
  <c r="R19" i="9"/>
  <c r="G20" i="9"/>
  <c r="I20" i="9"/>
  <c r="P20" i="9" s="1"/>
  <c r="Q20" i="9"/>
  <c r="R20" i="9"/>
  <c r="G21" i="9"/>
  <c r="I21" i="9"/>
  <c r="P21" i="9" s="1"/>
  <c r="Q21" i="9"/>
  <c r="R21" i="9"/>
  <c r="G22" i="9"/>
  <c r="P22" i="9"/>
  <c r="Q22" i="9"/>
  <c r="R22" i="9"/>
  <c r="G23" i="9"/>
  <c r="I23" i="9"/>
  <c r="Q23" i="9"/>
  <c r="R23" i="9"/>
  <c r="G24" i="9"/>
  <c r="I24" i="9"/>
  <c r="P24" i="9" s="1"/>
  <c r="Q24" i="9"/>
  <c r="R24" i="9"/>
  <c r="G25" i="9"/>
  <c r="I25" i="9"/>
  <c r="P25" i="9" s="1"/>
  <c r="Q25" i="9"/>
  <c r="R25" i="9"/>
  <c r="G26" i="9"/>
  <c r="I26" i="9"/>
  <c r="P26" i="9" s="1"/>
  <c r="Q26" i="9"/>
  <c r="R26" i="9"/>
  <c r="G27" i="9"/>
  <c r="Q27" i="9"/>
  <c r="R27" i="9"/>
  <c r="G28" i="9"/>
  <c r="I28" i="9"/>
  <c r="P28" i="9" s="1"/>
  <c r="Q28" i="9"/>
  <c r="R28" i="9"/>
  <c r="G29" i="9"/>
  <c r="I29" i="9"/>
  <c r="P29" i="9" s="1"/>
  <c r="Q29" i="9"/>
  <c r="R29" i="9"/>
  <c r="G30" i="9"/>
  <c r="P30" i="9"/>
  <c r="Q30" i="9"/>
  <c r="R30" i="9"/>
  <c r="H45" i="4"/>
  <c r="H44" i="4"/>
  <c r="I100" i="8"/>
  <c r="J98" i="8"/>
  <c r="K98" i="8"/>
  <c r="H98" i="8"/>
  <c r="J97" i="8"/>
  <c r="K97" i="8"/>
  <c r="H97" i="8"/>
  <c r="J96" i="8"/>
  <c r="K96" i="8"/>
  <c r="H96" i="8"/>
  <c r="I18" i="8"/>
  <c r="P18" i="8" s="1"/>
  <c r="I9" i="8"/>
  <c r="P9" i="8" s="1"/>
  <c r="O49" i="8"/>
  <c r="I44" i="8"/>
  <c r="K44" i="8"/>
  <c r="K42" i="8"/>
  <c r="P42" i="8" s="1"/>
  <c r="K32" i="8"/>
  <c r="P32" i="8" s="1"/>
  <c r="K26" i="8"/>
  <c r="P26" i="8" s="1"/>
  <c r="J22" i="8"/>
  <c r="P22" i="8" s="1"/>
  <c r="K14" i="8"/>
  <c r="L125" i="8"/>
  <c r="L126" i="8"/>
  <c r="L127" i="8"/>
  <c r="L128" i="8"/>
  <c r="L129" i="8"/>
  <c r="L124" i="8"/>
  <c r="L105" i="7"/>
  <c r="G118" i="8"/>
  <c r="G117" i="8"/>
  <c r="G116" i="8"/>
  <c r="G115" i="8"/>
  <c r="G114" i="8"/>
  <c r="G113" i="8"/>
  <c r="G124" i="8"/>
  <c r="G125" i="8"/>
  <c r="G126" i="8"/>
  <c r="G127" i="8"/>
  <c r="G128" i="8"/>
  <c r="G129" i="8"/>
  <c r="G130" i="8"/>
  <c r="I136" i="8"/>
  <c r="L136" i="8" s="1"/>
  <c r="I137" i="8"/>
  <c r="L137" i="8" s="1"/>
  <c r="I138" i="8"/>
  <c r="L138" i="8" s="1"/>
  <c r="I139" i="8"/>
  <c r="L139" i="8" s="1"/>
  <c r="I140" i="8"/>
  <c r="L140" i="8" s="1"/>
  <c r="I135" i="8"/>
  <c r="L135" i="8" s="1"/>
  <c r="G136" i="8"/>
  <c r="G137" i="8"/>
  <c r="G138" i="8"/>
  <c r="G139" i="8"/>
  <c r="G140" i="8"/>
  <c r="G135" i="8"/>
  <c r="H141" i="8"/>
  <c r="J141" i="8"/>
  <c r="K141" i="8"/>
  <c r="C141" i="8"/>
  <c r="G10" i="8"/>
  <c r="I10" i="8"/>
  <c r="P10" i="8" s="1"/>
  <c r="Q10" i="8"/>
  <c r="R10" i="8"/>
  <c r="G11" i="8"/>
  <c r="I11" i="8"/>
  <c r="P11" i="8" s="1"/>
  <c r="Q11" i="8"/>
  <c r="R11" i="8"/>
  <c r="G12" i="8"/>
  <c r="I12" i="8"/>
  <c r="P12" i="8" s="1"/>
  <c r="Q12" i="8"/>
  <c r="R12" i="8"/>
  <c r="G13" i="8"/>
  <c r="I13" i="8"/>
  <c r="P13" i="8" s="1"/>
  <c r="Q13" i="8"/>
  <c r="R13" i="8"/>
  <c r="G14" i="8"/>
  <c r="Q14" i="8"/>
  <c r="R14" i="8"/>
  <c r="G15" i="8"/>
  <c r="I15" i="8"/>
  <c r="P15" i="8" s="1"/>
  <c r="Q15" i="8"/>
  <c r="R15" i="8"/>
  <c r="G16" i="8"/>
  <c r="I16" i="8"/>
  <c r="P16" i="8" s="1"/>
  <c r="Q16" i="8"/>
  <c r="R16" i="8"/>
  <c r="G17" i="8"/>
  <c r="I17" i="8"/>
  <c r="P17" i="8" s="1"/>
  <c r="Q17" i="8"/>
  <c r="R17" i="8"/>
  <c r="G18" i="8"/>
  <c r="Q18" i="8"/>
  <c r="R18" i="8"/>
  <c r="G19" i="8"/>
  <c r="I19" i="8"/>
  <c r="P19" i="8" s="1"/>
  <c r="Q19" i="8"/>
  <c r="R19" i="8"/>
  <c r="G20" i="8"/>
  <c r="I20" i="8"/>
  <c r="P20" i="8" s="1"/>
  <c r="Q20" i="8"/>
  <c r="R20" i="8"/>
  <c r="G21" i="8"/>
  <c r="I21" i="8"/>
  <c r="P21" i="8" s="1"/>
  <c r="Q21" i="8"/>
  <c r="R21" i="8"/>
  <c r="G22" i="8"/>
  <c r="Q22" i="8"/>
  <c r="R22" i="8"/>
  <c r="G23" i="8"/>
  <c r="I23" i="8"/>
  <c r="P23" i="8" s="1"/>
  <c r="Q23" i="8"/>
  <c r="R23" i="8"/>
  <c r="G24" i="8"/>
  <c r="I24" i="8"/>
  <c r="P24" i="8" s="1"/>
  <c r="Q24" i="8"/>
  <c r="R24" i="8"/>
  <c r="G25" i="8"/>
  <c r="I25" i="8"/>
  <c r="P25" i="8" s="1"/>
  <c r="Q25" i="8"/>
  <c r="R25" i="8"/>
  <c r="G26" i="8"/>
  <c r="Q26" i="8"/>
  <c r="R26" i="8"/>
  <c r="G27" i="8"/>
  <c r="I27" i="8"/>
  <c r="P27" i="8" s="1"/>
  <c r="Q27" i="8"/>
  <c r="R27" i="8"/>
  <c r="G28" i="8"/>
  <c r="I28" i="8"/>
  <c r="P28" i="8" s="1"/>
  <c r="Q28" i="8"/>
  <c r="R28" i="8"/>
  <c r="G29" i="8"/>
  <c r="I29" i="8"/>
  <c r="P29" i="8" s="1"/>
  <c r="Q29" i="8"/>
  <c r="R29" i="8"/>
  <c r="G30" i="8"/>
  <c r="I30" i="8"/>
  <c r="P30" i="8" s="1"/>
  <c r="Q30" i="8"/>
  <c r="R30" i="8"/>
  <c r="G31" i="8"/>
  <c r="I31" i="8"/>
  <c r="P31" i="8" s="1"/>
  <c r="Q31" i="8"/>
  <c r="R31" i="8"/>
  <c r="G32" i="8"/>
  <c r="Q32" i="8"/>
  <c r="R32" i="8"/>
  <c r="G33" i="8"/>
  <c r="I33" i="8"/>
  <c r="P33" i="8" s="1"/>
  <c r="Q33" i="8"/>
  <c r="R33" i="8"/>
  <c r="G34" i="8"/>
  <c r="I34" i="8"/>
  <c r="P34" i="8" s="1"/>
  <c r="Q34" i="8"/>
  <c r="R34" i="8"/>
  <c r="G35" i="8"/>
  <c r="I35" i="8"/>
  <c r="P35" i="8" s="1"/>
  <c r="Q35" i="8"/>
  <c r="R35" i="8"/>
  <c r="G36" i="8"/>
  <c r="I36" i="8"/>
  <c r="P36" i="8" s="1"/>
  <c r="Q36" i="8"/>
  <c r="R36" i="8"/>
  <c r="G37" i="8"/>
  <c r="I37" i="8"/>
  <c r="P37" i="8" s="1"/>
  <c r="Q37" i="8"/>
  <c r="R37" i="8"/>
  <c r="G38" i="8"/>
  <c r="I38" i="8"/>
  <c r="P38" i="8" s="1"/>
  <c r="Q38" i="8"/>
  <c r="R38" i="8"/>
  <c r="G9" i="8"/>
  <c r="Q9" i="8"/>
  <c r="R9" i="8"/>
  <c r="G110" i="8"/>
  <c r="I110" i="8"/>
  <c r="L110" i="8" s="1"/>
  <c r="G111" i="8"/>
  <c r="I111" i="8"/>
  <c r="L111" i="8" s="1"/>
  <c r="G112" i="8"/>
  <c r="I112" i="8"/>
  <c r="L112" i="8" s="1"/>
  <c r="I113" i="8"/>
  <c r="L113" i="8" s="1"/>
  <c r="H81" i="8"/>
  <c r="J81" i="8"/>
  <c r="K81" i="8"/>
  <c r="H82" i="8"/>
  <c r="J82" i="8"/>
  <c r="K82" i="8"/>
  <c r="H83" i="8"/>
  <c r="J83" i="8"/>
  <c r="K83" i="8"/>
  <c r="H84" i="8"/>
  <c r="J84" i="8"/>
  <c r="K84" i="8"/>
  <c r="H85" i="8"/>
  <c r="J85" i="8"/>
  <c r="K85" i="8"/>
  <c r="H86" i="8"/>
  <c r="J86" i="8"/>
  <c r="K86" i="8"/>
  <c r="H87" i="8"/>
  <c r="J87" i="8"/>
  <c r="K87" i="8"/>
  <c r="H88" i="8"/>
  <c r="J88" i="8"/>
  <c r="K88" i="8"/>
  <c r="H89" i="8"/>
  <c r="J89" i="8"/>
  <c r="K89" i="8"/>
  <c r="H90" i="8"/>
  <c r="J90" i="8"/>
  <c r="K90" i="8"/>
  <c r="H91" i="8"/>
  <c r="J91" i="8"/>
  <c r="K91" i="8"/>
  <c r="H92" i="8"/>
  <c r="J92" i="8"/>
  <c r="K92" i="8"/>
  <c r="H93" i="8"/>
  <c r="J93" i="8"/>
  <c r="K93" i="8"/>
  <c r="H71" i="8"/>
  <c r="M71" i="8" s="1"/>
  <c r="H72" i="8"/>
  <c r="M72" i="8" s="1"/>
  <c r="H73" i="8"/>
  <c r="M73" i="8" s="1"/>
  <c r="G39" i="8"/>
  <c r="I39" i="8"/>
  <c r="P39" i="8" s="1"/>
  <c r="Q39" i="8"/>
  <c r="R39" i="8"/>
  <c r="G40" i="8"/>
  <c r="I40" i="8"/>
  <c r="P40" i="8" s="1"/>
  <c r="Q40" i="8"/>
  <c r="R40" i="8"/>
  <c r="G41" i="8"/>
  <c r="I41" i="8"/>
  <c r="P41" i="8" s="1"/>
  <c r="Q41" i="8"/>
  <c r="R41" i="8"/>
  <c r="G42" i="8"/>
  <c r="Q42" i="8"/>
  <c r="R42" i="8"/>
  <c r="G43" i="8"/>
  <c r="I43" i="8"/>
  <c r="P43" i="8" s="1"/>
  <c r="Q43" i="8"/>
  <c r="R43" i="8"/>
  <c r="G44" i="8"/>
  <c r="Q44" i="8"/>
  <c r="R44" i="8"/>
  <c r="G45" i="8"/>
  <c r="I45" i="8"/>
  <c r="P45" i="8" s="1"/>
  <c r="Q45" i="8"/>
  <c r="R45" i="8"/>
  <c r="G46" i="8"/>
  <c r="I46" i="8"/>
  <c r="P46" i="8" s="1"/>
  <c r="Q46" i="8"/>
  <c r="R46" i="8"/>
  <c r="G47" i="8"/>
  <c r="I47" i="8"/>
  <c r="P47" i="8" s="1"/>
  <c r="Q47" i="8"/>
  <c r="R47" i="8"/>
  <c r="G48" i="8"/>
  <c r="I48" i="8"/>
  <c r="P48" i="8" s="1"/>
  <c r="Q48" i="8"/>
  <c r="R48" i="8"/>
  <c r="G49" i="8"/>
  <c r="I49" i="8"/>
  <c r="P49" i="8" s="1"/>
  <c r="Q49" i="8"/>
  <c r="R49" i="8"/>
  <c r="G50" i="8"/>
  <c r="I50" i="8"/>
  <c r="P50" i="8" s="1"/>
  <c r="Q50" i="8"/>
  <c r="R50" i="8"/>
  <c r="G51" i="8"/>
  <c r="I51" i="8"/>
  <c r="P51" i="8" s="1"/>
  <c r="Q51" i="8"/>
  <c r="R51" i="8"/>
  <c r="G52" i="8"/>
  <c r="I52" i="8"/>
  <c r="P52" i="8" s="1"/>
  <c r="Q52" i="8"/>
  <c r="R52" i="8"/>
  <c r="G53" i="8"/>
  <c r="I53" i="8"/>
  <c r="P53" i="8" s="1"/>
  <c r="Q53" i="8"/>
  <c r="R53" i="8"/>
  <c r="G54" i="8"/>
  <c r="I54" i="8"/>
  <c r="P54" i="8" s="1"/>
  <c r="Q54" i="8"/>
  <c r="R54" i="8"/>
  <c r="G55" i="8"/>
  <c r="I55" i="8"/>
  <c r="P55" i="8" s="1"/>
  <c r="Q55" i="8"/>
  <c r="R55" i="8"/>
  <c r="G56" i="8"/>
  <c r="I56" i="8"/>
  <c r="P56" i="8" s="1"/>
  <c r="Q56" i="8"/>
  <c r="R56" i="8"/>
  <c r="G57" i="8"/>
  <c r="I57" i="8"/>
  <c r="P57" i="8" s="1"/>
  <c r="Q57" i="8"/>
  <c r="R57" i="8"/>
  <c r="G58" i="8"/>
  <c r="I58" i="8"/>
  <c r="P58" i="8" s="1"/>
  <c r="Q58" i="8"/>
  <c r="R58" i="8"/>
  <c r="G59" i="8"/>
  <c r="I59" i="8"/>
  <c r="P59" i="8" s="1"/>
  <c r="Q59" i="8"/>
  <c r="R59" i="8"/>
  <c r="B4" i="15"/>
  <c r="L25" i="15" s="1"/>
  <c r="M105" i="14"/>
  <c r="L105" i="14"/>
  <c r="H105" i="14"/>
  <c r="G105" i="14"/>
  <c r="C105" i="14"/>
  <c r="B105" i="14"/>
  <c r="M104" i="14"/>
  <c r="L104" i="14"/>
  <c r="H104" i="14"/>
  <c r="G104" i="14"/>
  <c r="C104" i="14"/>
  <c r="B104" i="14"/>
  <c r="M103" i="14"/>
  <c r="L103" i="14"/>
  <c r="H103" i="14"/>
  <c r="G103" i="14"/>
  <c r="C103" i="14"/>
  <c r="B103" i="14"/>
  <c r="M102" i="14"/>
  <c r="L102" i="14"/>
  <c r="H102" i="14"/>
  <c r="G102" i="14"/>
  <c r="C102" i="14"/>
  <c r="B102" i="14"/>
  <c r="M101" i="14"/>
  <c r="L101" i="14"/>
  <c r="H101" i="14"/>
  <c r="G101" i="14"/>
  <c r="C101" i="14"/>
  <c r="B101" i="14"/>
  <c r="M100" i="14"/>
  <c r="L100" i="14"/>
  <c r="H100" i="14"/>
  <c r="G100" i="14"/>
  <c r="C100" i="14"/>
  <c r="B100" i="14"/>
  <c r="M99" i="14"/>
  <c r="L99" i="14"/>
  <c r="H99" i="14"/>
  <c r="G99" i="14"/>
  <c r="C99" i="14"/>
  <c r="B99" i="14"/>
  <c r="M98" i="14"/>
  <c r="L98" i="14"/>
  <c r="H98" i="14"/>
  <c r="G98" i="14"/>
  <c r="C98" i="14"/>
  <c r="B98" i="14"/>
  <c r="M97" i="14"/>
  <c r="L97" i="14"/>
  <c r="H97" i="14"/>
  <c r="G97" i="14"/>
  <c r="C97" i="14"/>
  <c r="B97" i="14"/>
  <c r="M96" i="14"/>
  <c r="L96" i="14"/>
  <c r="H96" i="14"/>
  <c r="G96" i="14"/>
  <c r="C96" i="14"/>
  <c r="B96" i="14"/>
  <c r="M95" i="14"/>
  <c r="L95" i="14"/>
  <c r="H95" i="14"/>
  <c r="G95" i="14"/>
  <c r="C95" i="14"/>
  <c r="B95" i="14"/>
  <c r="M94" i="14"/>
  <c r="L94" i="14"/>
  <c r="H94" i="14"/>
  <c r="G94" i="14"/>
  <c r="C94" i="14"/>
  <c r="B94" i="14"/>
  <c r="M93" i="14"/>
  <c r="L93" i="14"/>
  <c r="H93" i="14"/>
  <c r="G93" i="14"/>
  <c r="C93" i="14"/>
  <c r="B93" i="14"/>
  <c r="M92" i="14"/>
  <c r="L92" i="14"/>
  <c r="H92" i="14"/>
  <c r="G92" i="14"/>
  <c r="C92" i="14"/>
  <c r="B92" i="14"/>
  <c r="M91" i="14"/>
  <c r="L91" i="14"/>
  <c r="H91" i="14"/>
  <c r="G91" i="14"/>
  <c r="C91" i="14"/>
  <c r="B91" i="14"/>
  <c r="M90" i="14"/>
  <c r="L90" i="14"/>
  <c r="H90" i="14"/>
  <c r="G90" i="14"/>
  <c r="C90" i="14"/>
  <c r="B90" i="14"/>
  <c r="M89" i="14"/>
  <c r="L89" i="14"/>
  <c r="H89" i="14"/>
  <c r="G89" i="14"/>
  <c r="C89" i="14"/>
  <c r="B89" i="14"/>
  <c r="M88" i="14"/>
  <c r="L88" i="14"/>
  <c r="H88" i="14"/>
  <c r="G88" i="14"/>
  <c r="C88" i="14"/>
  <c r="B88" i="14"/>
  <c r="M87" i="14"/>
  <c r="L87" i="14"/>
  <c r="H87" i="14"/>
  <c r="G87" i="14"/>
  <c r="C87" i="14"/>
  <c r="B87" i="14"/>
  <c r="M86" i="14"/>
  <c r="L86" i="14"/>
  <c r="H86" i="14"/>
  <c r="G86" i="14"/>
  <c r="C86" i="14"/>
  <c r="B86" i="14"/>
  <c r="M85" i="14"/>
  <c r="L85" i="14"/>
  <c r="H85" i="14"/>
  <c r="G85" i="14"/>
  <c r="C85" i="14"/>
  <c r="B85" i="14"/>
  <c r="M84" i="14"/>
  <c r="L84" i="14"/>
  <c r="H84" i="14"/>
  <c r="G84" i="14"/>
  <c r="C84" i="14"/>
  <c r="B84" i="14"/>
  <c r="M83" i="14"/>
  <c r="L83" i="14"/>
  <c r="H83" i="14"/>
  <c r="G83" i="14"/>
  <c r="C83" i="14"/>
  <c r="B83" i="14"/>
  <c r="M79" i="14"/>
  <c r="L79" i="14"/>
  <c r="H79" i="14"/>
  <c r="G79" i="14"/>
  <c r="C79" i="14"/>
  <c r="B79" i="14"/>
  <c r="M78" i="14"/>
  <c r="L78" i="14"/>
  <c r="H78" i="14"/>
  <c r="G78" i="14"/>
  <c r="C78" i="14"/>
  <c r="B78" i="14"/>
  <c r="M77" i="14"/>
  <c r="L77" i="14"/>
  <c r="H77" i="14"/>
  <c r="G77" i="14"/>
  <c r="C77" i="14"/>
  <c r="B77" i="14"/>
  <c r="M76" i="14"/>
  <c r="L76" i="14"/>
  <c r="H76" i="14"/>
  <c r="G76" i="14"/>
  <c r="C76" i="14"/>
  <c r="B76" i="14"/>
  <c r="M75" i="14"/>
  <c r="L75" i="14"/>
  <c r="H75" i="14"/>
  <c r="G75" i="14"/>
  <c r="C75" i="14"/>
  <c r="B75" i="14"/>
  <c r="M74" i="14"/>
  <c r="L74" i="14"/>
  <c r="H74" i="14"/>
  <c r="G74" i="14"/>
  <c r="C74" i="14"/>
  <c r="B74" i="14"/>
  <c r="M73" i="14"/>
  <c r="L73" i="14"/>
  <c r="H73" i="14"/>
  <c r="G73" i="14"/>
  <c r="C73" i="14"/>
  <c r="B73" i="14"/>
  <c r="M72" i="14"/>
  <c r="L72" i="14"/>
  <c r="H72" i="14"/>
  <c r="G72" i="14"/>
  <c r="C72" i="14"/>
  <c r="B72" i="14"/>
  <c r="M71" i="14"/>
  <c r="L71" i="14"/>
  <c r="H71" i="14"/>
  <c r="G71" i="14"/>
  <c r="C71" i="14"/>
  <c r="B71" i="14"/>
  <c r="M70" i="14"/>
  <c r="L70" i="14"/>
  <c r="H70" i="14"/>
  <c r="G70" i="14"/>
  <c r="C70" i="14"/>
  <c r="B70" i="14"/>
  <c r="M69" i="14"/>
  <c r="L69" i="14"/>
  <c r="H69" i="14"/>
  <c r="G69" i="14"/>
  <c r="C69" i="14"/>
  <c r="B69" i="14"/>
  <c r="M68" i="14"/>
  <c r="L68" i="14"/>
  <c r="H68" i="14"/>
  <c r="G68" i="14"/>
  <c r="C68" i="14"/>
  <c r="B68" i="14"/>
  <c r="M67" i="14"/>
  <c r="L67" i="14"/>
  <c r="H67" i="14"/>
  <c r="G67" i="14"/>
  <c r="C67" i="14"/>
  <c r="B67" i="14"/>
  <c r="M66" i="14"/>
  <c r="L66" i="14"/>
  <c r="H66" i="14"/>
  <c r="G66" i="14"/>
  <c r="C66" i="14"/>
  <c r="B66" i="14"/>
  <c r="M65" i="14"/>
  <c r="L65" i="14"/>
  <c r="H65" i="14"/>
  <c r="G65" i="14"/>
  <c r="C65" i="14"/>
  <c r="B65" i="14"/>
  <c r="M64" i="14"/>
  <c r="L64" i="14"/>
  <c r="H64" i="14"/>
  <c r="G64" i="14"/>
  <c r="C64" i="14"/>
  <c r="B64" i="14"/>
  <c r="M63" i="14"/>
  <c r="L63" i="14"/>
  <c r="H63" i="14"/>
  <c r="G63" i="14"/>
  <c r="C63" i="14"/>
  <c r="B63" i="14"/>
  <c r="M62" i="14"/>
  <c r="L62" i="14"/>
  <c r="H62" i="14"/>
  <c r="G62" i="14"/>
  <c r="C62" i="14"/>
  <c r="B62" i="14"/>
  <c r="M61" i="14"/>
  <c r="L61" i="14"/>
  <c r="H61" i="14"/>
  <c r="G61" i="14"/>
  <c r="C61" i="14"/>
  <c r="B61" i="14"/>
  <c r="M60" i="14"/>
  <c r="L60" i="14"/>
  <c r="H60" i="14"/>
  <c r="G60" i="14"/>
  <c r="C60" i="14"/>
  <c r="B60" i="14"/>
  <c r="M59" i="14"/>
  <c r="L59" i="14"/>
  <c r="H59" i="14"/>
  <c r="G59" i="14"/>
  <c r="C59" i="14"/>
  <c r="B59" i="14"/>
  <c r="M58" i="14"/>
  <c r="L58" i="14"/>
  <c r="H58" i="14"/>
  <c r="G58" i="14"/>
  <c r="C58" i="14"/>
  <c r="B58" i="14"/>
  <c r="M57" i="14"/>
  <c r="L57" i="14"/>
  <c r="H57" i="14"/>
  <c r="G57" i="14"/>
  <c r="C57" i="14"/>
  <c r="B57" i="14"/>
  <c r="M53" i="14"/>
  <c r="L53" i="14"/>
  <c r="H53" i="14"/>
  <c r="G53" i="14"/>
  <c r="C53" i="14"/>
  <c r="B53" i="14"/>
  <c r="M52" i="14"/>
  <c r="L52" i="14"/>
  <c r="H52" i="14"/>
  <c r="G52" i="14"/>
  <c r="C52" i="14"/>
  <c r="B52" i="14"/>
  <c r="M51" i="14"/>
  <c r="L51" i="14"/>
  <c r="H51" i="14"/>
  <c r="G51" i="14"/>
  <c r="C51" i="14"/>
  <c r="B51" i="14"/>
  <c r="M50" i="14"/>
  <c r="L50" i="14"/>
  <c r="H50" i="14"/>
  <c r="G50" i="14"/>
  <c r="C50" i="14"/>
  <c r="B50" i="14"/>
  <c r="M49" i="14"/>
  <c r="L49" i="14"/>
  <c r="H49" i="14"/>
  <c r="G49" i="14"/>
  <c r="C49" i="14"/>
  <c r="B49" i="14"/>
  <c r="M48" i="14"/>
  <c r="L48" i="14"/>
  <c r="H48" i="14"/>
  <c r="G48" i="14"/>
  <c r="C48" i="14"/>
  <c r="B48" i="14"/>
  <c r="M47" i="14"/>
  <c r="L47" i="14"/>
  <c r="H47" i="14"/>
  <c r="G47" i="14"/>
  <c r="C47" i="14"/>
  <c r="B47" i="14"/>
  <c r="M46" i="14"/>
  <c r="L46" i="14"/>
  <c r="H46" i="14"/>
  <c r="G46" i="14"/>
  <c r="C46" i="14"/>
  <c r="B46" i="14"/>
  <c r="M45" i="14"/>
  <c r="L45" i="14"/>
  <c r="H45" i="14"/>
  <c r="G45" i="14"/>
  <c r="C45" i="14"/>
  <c r="B45" i="14"/>
  <c r="M44" i="14"/>
  <c r="L44" i="14"/>
  <c r="H44" i="14"/>
  <c r="G44" i="14"/>
  <c r="C44" i="14"/>
  <c r="B44" i="14"/>
  <c r="M43" i="14"/>
  <c r="L43" i="14"/>
  <c r="H43" i="14"/>
  <c r="G43" i="14"/>
  <c r="C43" i="14"/>
  <c r="B43" i="14"/>
  <c r="M42" i="14"/>
  <c r="L42" i="14"/>
  <c r="H42" i="14"/>
  <c r="G42" i="14"/>
  <c r="C42" i="14"/>
  <c r="B42" i="14"/>
  <c r="M41" i="14"/>
  <c r="L41" i="14"/>
  <c r="H41" i="14"/>
  <c r="G41" i="14"/>
  <c r="C41" i="14"/>
  <c r="B41" i="14"/>
  <c r="M40" i="14"/>
  <c r="L40" i="14"/>
  <c r="H40" i="14"/>
  <c r="G40" i="14"/>
  <c r="C40" i="14"/>
  <c r="B40" i="14"/>
  <c r="M39" i="14"/>
  <c r="L39" i="14"/>
  <c r="H39" i="14"/>
  <c r="G39" i="14"/>
  <c r="C39" i="14"/>
  <c r="B39" i="14"/>
  <c r="M38" i="14"/>
  <c r="L38" i="14"/>
  <c r="H38" i="14"/>
  <c r="G38" i="14"/>
  <c r="C38" i="14"/>
  <c r="B38" i="14"/>
  <c r="M37" i="14"/>
  <c r="L37" i="14"/>
  <c r="H37" i="14"/>
  <c r="G37" i="14"/>
  <c r="C37" i="14"/>
  <c r="B37" i="14"/>
  <c r="M36" i="14"/>
  <c r="L36" i="14"/>
  <c r="H36" i="14"/>
  <c r="G36" i="14"/>
  <c r="C36" i="14"/>
  <c r="B36" i="14"/>
  <c r="M35" i="14"/>
  <c r="L35" i="14"/>
  <c r="H35" i="14"/>
  <c r="G35" i="14"/>
  <c r="C35" i="14"/>
  <c r="B35" i="14"/>
  <c r="M34" i="14"/>
  <c r="L34" i="14"/>
  <c r="H34" i="14"/>
  <c r="G34" i="14"/>
  <c r="C34" i="14"/>
  <c r="B34" i="14"/>
  <c r="M33" i="14"/>
  <c r="L33" i="14"/>
  <c r="H33" i="14"/>
  <c r="G33" i="14"/>
  <c r="C33" i="14"/>
  <c r="B33" i="14"/>
  <c r="M32" i="14"/>
  <c r="L32" i="14"/>
  <c r="H32" i="14"/>
  <c r="G32" i="14"/>
  <c r="C32" i="14"/>
  <c r="B32" i="14"/>
  <c r="M31" i="14"/>
  <c r="L31" i="14"/>
  <c r="H31" i="14"/>
  <c r="G31" i="14"/>
  <c r="C31" i="14"/>
  <c r="B31" i="14"/>
  <c r="M27" i="14"/>
  <c r="L27" i="14"/>
  <c r="H27" i="14"/>
  <c r="G27" i="14"/>
  <c r="M26" i="14"/>
  <c r="L26" i="14"/>
  <c r="H26" i="14"/>
  <c r="G26" i="14"/>
  <c r="M25" i="14"/>
  <c r="L25" i="14"/>
  <c r="H25" i="14"/>
  <c r="G25" i="14"/>
  <c r="M24" i="14"/>
  <c r="L24" i="14"/>
  <c r="H24" i="14"/>
  <c r="G24" i="14"/>
  <c r="M23" i="14"/>
  <c r="L23" i="14"/>
  <c r="H23" i="14"/>
  <c r="G23" i="14"/>
  <c r="M22" i="14"/>
  <c r="L22" i="14"/>
  <c r="H22" i="14"/>
  <c r="G22" i="14"/>
  <c r="M21" i="14"/>
  <c r="L21" i="14"/>
  <c r="H21" i="14"/>
  <c r="G21" i="14"/>
  <c r="M20" i="14"/>
  <c r="L20" i="14"/>
  <c r="H20" i="14"/>
  <c r="G20" i="14"/>
  <c r="M19" i="14"/>
  <c r="L19" i="14"/>
  <c r="H19" i="14"/>
  <c r="G19" i="14"/>
  <c r="M18" i="14"/>
  <c r="L18" i="14"/>
  <c r="H18" i="14"/>
  <c r="G18" i="14"/>
  <c r="M17" i="14"/>
  <c r="L17" i="14"/>
  <c r="H17" i="14"/>
  <c r="G17" i="14"/>
  <c r="M16" i="14"/>
  <c r="L16" i="14"/>
  <c r="H16" i="14"/>
  <c r="G16" i="14"/>
  <c r="M15" i="14"/>
  <c r="L15" i="14"/>
  <c r="H15" i="14"/>
  <c r="G15" i="14"/>
  <c r="M14" i="14"/>
  <c r="L14" i="14"/>
  <c r="H14" i="14"/>
  <c r="G14" i="14"/>
  <c r="M13" i="14"/>
  <c r="L13" i="14"/>
  <c r="H13" i="14"/>
  <c r="G13" i="14"/>
  <c r="M12" i="14"/>
  <c r="L12" i="14"/>
  <c r="H12" i="14"/>
  <c r="G12" i="14"/>
  <c r="M11" i="14"/>
  <c r="L11" i="14"/>
  <c r="H11" i="14"/>
  <c r="G11" i="14"/>
  <c r="M10" i="14"/>
  <c r="L10" i="14"/>
  <c r="H10" i="14"/>
  <c r="G10" i="14"/>
  <c r="M9" i="14"/>
  <c r="L9" i="14"/>
  <c r="H9" i="14"/>
  <c r="G9" i="14"/>
  <c r="M8" i="14"/>
  <c r="L8" i="14"/>
  <c r="H8" i="14"/>
  <c r="G8" i="14"/>
  <c r="M7" i="14"/>
  <c r="L7" i="14"/>
  <c r="H7" i="14"/>
  <c r="G7" i="14"/>
  <c r="M6" i="14"/>
  <c r="L6" i="14"/>
  <c r="H6" i="14"/>
  <c r="G6" i="14"/>
  <c r="M5" i="14"/>
  <c r="L5" i="14"/>
  <c r="H5" i="14"/>
  <c r="G5" i="14"/>
  <c r="B4" i="14"/>
  <c r="G4" i="14" s="1"/>
  <c r="L4" i="14" s="1"/>
  <c r="B30" i="14" s="1"/>
  <c r="G30" i="14" s="1"/>
  <c r="L30" i="14" s="1"/>
  <c r="B56" i="14" s="1"/>
  <c r="G56" i="14" s="1"/>
  <c r="L56" i="14" s="1"/>
  <c r="B82" i="14" s="1"/>
  <c r="G82" i="14" s="1"/>
  <c r="L82" i="14" s="1"/>
  <c r="G121" i="13"/>
  <c r="G120" i="13"/>
  <c r="G119" i="13"/>
  <c r="G118" i="13"/>
  <c r="G117" i="13"/>
  <c r="M107" i="13"/>
  <c r="K107" i="13"/>
  <c r="J107" i="13"/>
  <c r="I107" i="13"/>
  <c r="H107" i="13"/>
  <c r="L106" i="13"/>
  <c r="L105" i="13"/>
  <c r="L104" i="13"/>
  <c r="L103" i="13"/>
  <c r="L102" i="13"/>
  <c r="L101" i="13"/>
  <c r="L107" i="13" s="1"/>
  <c r="G101" i="13"/>
  <c r="M96" i="13"/>
  <c r="K96" i="13"/>
  <c r="J96" i="13"/>
  <c r="H96" i="13"/>
  <c r="I95" i="13"/>
  <c r="L95" i="13" s="1"/>
  <c r="G95" i="13"/>
  <c r="L94" i="13"/>
  <c r="G94" i="13"/>
  <c r="L93" i="13"/>
  <c r="G93" i="13"/>
  <c r="I92" i="13"/>
  <c r="L92" i="13" s="1"/>
  <c r="G92" i="13"/>
  <c r="I91" i="13"/>
  <c r="L91" i="13" s="1"/>
  <c r="G91" i="13"/>
  <c r="L88" i="13"/>
  <c r="G88" i="13"/>
  <c r="L87" i="13"/>
  <c r="G87" i="13"/>
  <c r="L86" i="13"/>
  <c r="G86" i="13"/>
  <c r="L85" i="13"/>
  <c r="G85" i="13"/>
  <c r="I76" i="13"/>
  <c r="K75" i="13"/>
  <c r="J75" i="13"/>
  <c r="H75" i="13"/>
  <c r="K74" i="13"/>
  <c r="J74" i="13"/>
  <c r="H74" i="13"/>
  <c r="K73" i="13"/>
  <c r="J73" i="13"/>
  <c r="H73" i="13"/>
  <c r="K72" i="13"/>
  <c r="J72" i="13"/>
  <c r="H72" i="13"/>
  <c r="K71" i="13"/>
  <c r="J71" i="13"/>
  <c r="H71" i="13"/>
  <c r="K70" i="13"/>
  <c r="J70" i="13"/>
  <c r="H70" i="13"/>
  <c r="K69" i="13"/>
  <c r="J69" i="13"/>
  <c r="H69" i="13"/>
  <c r="K68" i="13"/>
  <c r="J68" i="13"/>
  <c r="H68" i="13"/>
  <c r="K64" i="13"/>
  <c r="J64" i="13"/>
  <c r="H64" i="13"/>
  <c r="K63" i="13"/>
  <c r="J63" i="13"/>
  <c r="H63" i="13"/>
  <c r="K62" i="13"/>
  <c r="J62" i="13"/>
  <c r="H62" i="13"/>
  <c r="K61" i="13"/>
  <c r="J61" i="13"/>
  <c r="H61" i="13"/>
  <c r="K60" i="13"/>
  <c r="J60" i="13"/>
  <c r="H60" i="13"/>
  <c r="L54" i="13"/>
  <c r="K54" i="13"/>
  <c r="J54" i="13"/>
  <c r="I54" i="13"/>
  <c r="G54" i="13"/>
  <c r="H53" i="13"/>
  <c r="H52" i="13"/>
  <c r="H51" i="13"/>
  <c r="H50" i="13"/>
  <c r="H49" i="13"/>
  <c r="H48" i="13"/>
  <c r="H47" i="13"/>
  <c r="H46" i="13"/>
  <c r="O39" i="13"/>
  <c r="N39" i="13"/>
  <c r="M39" i="13"/>
  <c r="L39" i="13"/>
  <c r="K39" i="13"/>
  <c r="J39" i="13"/>
  <c r="H39" i="13"/>
  <c r="R38" i="13"/>
  <c r="Q38" i="13"/>
  <c r="I38" i="13"/>
  <c r="P38" i="13" s="1"/>
  <c r="G38" i="13"/>
  <c r="R37" i="13"/>
  <c r="Q37" i="13"/>
  <c r="I37" i="13"/>
  <c r="P37" i="13" s="1"/>
  <c r="G37" i="13"/>
  <c r="R36" i="13"/>
  <c r="Q36" i="13"/>
  <c r="I36" i="13"/>
  <c r="P36" i="13" s="1"/>
  <c r="G36" i="13"/>
  <c r="R35" i="13"/>
  <c r="Q35" i="13"/>
  <c r="I35" i="13"/>
  <c r="P35" i="13" s="1"/>
  <c r="G35" i="13"/>
  <c r="R34" i="13"/>
  <c r="Q34" i="13"/>
  <c r="P34" i="13"/>
  <c r="G34" i="13"/>
  <c r="R33" i="13"/>
  <c r="Q33" i="13"/>
  <c r="I33" i="13"/>
  <c r="P33" i="13" s="1"/>
  <c r="G33" i="13"/>
  <c r="R32" i="13"/>
  <c r="Q32" i="13"/>
  <c r="I32" i="13"/>
  <c r="P32" i="13" s="1"/>
  <c r="G32" i="13"/>
  <c r="R31" i="13"/>
  <c r="Q31" i="13"/>
  <c r="I31" i="13"/>
  <c r="P31" i="13" s="1"/>
  <c r="G31" i="13"/>
  <c r="R30" i="13"/>
  <c r="Q30" i="13"/>
  <c r="I30" i="13"/>
  <c r="P30" i="13" s="1"/>
  <c r="G30" i="13"/>
  <c r="R29" i="13"/>
  <c r="Q29" i="13"/>
  <c r="I29" i="13"/>
  <c r="P29" i="13" s="1"/>
  <c r="G29" i="13"/>
  <c r="R28" i="13"/>
  <c r="Q28" i="13"/>
  <c r="I28" i="13"/>
  <c r="P28" i="13" s="1"/>
  <c r="G28" i="13"/>
  <c r="R27" i="13"/>
  <c r="Q27" i="13"/>
  <c r="I27" i="13"/>
  <c r="P27" i="13" s="1"/>
  <c r="G27" i="13"/>
  <c r="R26" i="13"/>
  <c r="Q26" i="13"/>
  <c r="I26" i="13"/>
  <c r="P26" i="13" s="1"/>
  <c r="G26" i="13"/>
  <c r="R25" i="13"/>
  <c r="Q25" i="13"/>
  <c r="I25" i="13"/>
  <c r="P25" i="13" s="1"/>
  <c r="G25" i="13"/>
  <c r="R24" i="13"/>
  <c r="Q24" i="13"/>
  <c r="I24" i="13"/>
  <c r="P24" i="13" s="1"/>
  <c r="G24" i="13"/>
  <c r="R23" i="13"/>
  <c r="Q23" i="13"/>
  <c r="I23" i="13"/>
  <c r="P23" i="13" s="1"/>
  <c r="G23" i="13"/>
  <c r="R22" i="13"/>
  <c r="Q22" i="13"/>
  <c r="I22" i="13"/>
  <c r="P22" i="13" s="1"/>
  <c r="G22" i="13"/>
  <c r="R21" i="13"/>
  <c r="Q21" i="13"/>
  <c r="P21" i="13"/>
  <c r="G21" i="13"/>
  <c r="R17" i="13"/>
  <c r="Q17" i="13"/>
  <c r="I17" i="13"/>
  <c r="P17" i="13" s="1"/>
  <c r="G17" i="13"/>
  <c r="R16" i="13"/>
  <c r="Q16" i="13"/>
  <c r="P16" i="13"/>
  <c r="G16" i="13"/>
  <c r="R15" i="13"/>
  <c r="Q15" i="13"/>
  <c r="I15" i="13"/>
  <c r="P15" i="13" s="1"/>
  <c r="G15" i="13"/>
  <c r="R14" i="13"/>
  <c r="Q14" i="13"/>
  <c r="P14" i="13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G9" i="13"/>
  <c r="N1" i="13"/>
  <c r="K81" i="13" s="1"/>
  <c r="G1" i="13"/>
  <c r="G122" i="12"/>
  <c r="G121" i="12"/>
  <c r="G120" i="12"/>
  <c r="G119" i="12"/>
  <c r="G118" i="12"/>
  <c r="K111" i="12"/>
  <c r="J111" i="12"/>
  <c r="I111" i="12"/>
  <c r="H111" i="12"/>
  <c r="M110" i="12"/>
  <c r="M111" i="12" s="1"/>
  <c r="G110" i="12"/>
  <c r="L109" i="12"/>
  <c r="G109" i="12"/>
  <c r="L108" i="12"/>
  <c r="G108" i="12"/>
  <c r="M102" i="12"/>
  <c r="K102" i="12"/>
  <c r="J102" i="12"/>
  <c r="I102" i="12"/>
  <c r="H102" i="12"/>
  <c r="L101" i="12"/>
  <c r="L100" i="12"/>
  <c r="L99" i="12"/>
  <c r="L98" i="12"/>
  <c r="L97" i="12"/>
  <c r="L96" i="12"/>
  <c r="G96" i="12"/>
  <c r="M91" i="12"/>
  <c r="K91" i="12"/>
  <c r="H91" i="12"/>
  <c r="I90" i="12"/>
  <c r="L90" i="12" s="1"/>
  <c r="G90" i="12"/>
  <c r="I89" i="12"/>
  <c r="L89" i="12" s="1"/>
  <c r="G89" i="12"/>
  <c r="I88" i="12"/>
  <c r="L88" i="12" s="1"/>
  <c r="G88" i="12"/>
  <c r="L87" i="12"/>
  <c r="G87" i="12"/>
  <c r="L86" i="12"/>
  <c r="G86" i="12"/>
  <c r="L85" i="12"/>
  <c r="G85" i="12"/>
  <c r="G84" i="12"/>
  <c r="G83" i="12"/>
  <c r="L82" i="12"/>
  <c r="G82" i="12"/>
  <c r="I72" i="12"/>
  <c r="K71" i="12"/>
  <c r="J71" i="12"/>
  <c r="H71" i="12"/>
  <c r="K70" i="12"/>
  <c r="J70" i="12"/>
  <c r="H70" i="12"/>
  <c r="K69" i="12"/>
  <c r="J69" i="12"/>
  <c r="H69" i="12"/>
  <c r="K68" i="12"/>
  <c r="J68" i="12"/>
  <c r="H68" i="12"/>
  <c r="K67" i="12"/>
  <c r="J67" i="12"/>
  <c r="H67" i="12"/>
  <c r="K66" i="12"/>
  <c r="J66" i="12"/>
  <c r="H66" i="12"/>
  <c r="K65" i="12"/>
  <c r="J65" i="12"/>
  <c r="H65" i="12"/>
  <c r="K64" i="12"/>
  <c r="J64" i="12"/>
  <c r="H64" i="12"/>
  <c r="K63" i="12"/>
  <c r="J63" i="12"/>
  <c r="H63" i="12"/>
  <c r="K60" i="12"/>
  <c r="J60" i="12"/>
  <c r="H60" i="12"/>
  <c r="K59" i="12"/>
  <c r="J59" i="12"/>
  <c r="H59" i="12"/>
  <c r="K58" i="12"/>
  <c r="J58" i="12"/>
  <c r="H58" i="12"/>
  <c r="K57" i="12"/>
  <c r="J57" i="12"/>
  <c r="H57" i="12"/>
  <c r="L51" i="12"/>
  <c r="J51" i="12"/>
  <c r="I51" i="12"/>
  <c r="K51" i="12"/>
  <c r="O35" i="12"/>
  <c r="N35" i="12"/>
  <c r="M35" i="12"/>
  <c r="L35" i="12"/>
  <c r="K35" i="12"/>
  <c r="J35" i="12"/>
  <c r="H35" i="12"/>
  <c r="R34" i="12"/>
  <c r="Q34" i="12"/>
  <c r="P34" i="12"/>
  <c r="G34" i="12"/>
  <c r="R33" i="12"/>
  <c r="Q33" i="12"/>
  <c r="P33" i="12"/>
  <c r="G33" i="12"/>
  <c r="R25" i="12"/>
  <c r="Q25" i="12"/>
  <c r="P25" i="12"/>
  <c r="G25" i="12"/>
  <c r="R24" i="12"/>
  <c r="Q24" i="12"/>
  <c r="P24" i="12"/>
  <c r="G24" i="12"/>
  <c r="R23" i="12"/>
  <c r="Q23" i="12"/>
  <c r="P23" i="12"/>
  <c r="G23" i="12"/>
  <c r="R22" i="12"/>
  <c r="Q22" i="12"/>
  <c r="P22" i="12"/>
  <c r="G22" i="12"/>
  <c r="R21" i="12"/>
  <c r="Q21" i="12"/>
  <c r="P21" i="12"/>
  <c r="G21" i="12"/>
  <c r="R20" i="12"/>
  <c r="Q20" i="12"/>
  <c r="P20" i="12"/>
  <c r="G20" i="12"/>
  <c r="R19" i="12"/>
  <c r="Q19" i="12"/>
  <c r="P19" i="12"/>
  <c r="G19" i="12"/>
  <c r="R18" i="12"/>
  <c r="Q18" i="12"/>
  <c r="G18" i="12"/>
  <c r="R17" i="12"/>
  <c r="Q17" i="12"/>
  <c r="P17" i="12"/>
  <c r="G17" i="12"/>
  <c r="R16" i="12"/>
  <c r="Q16" i="12"/>
  <c r="P16" i="12"/>
  <c r="G16" i="12"/>
  <c r="R15" i="12"/>
  <c r="Q15" i="12"/>
  <c r="P15" i="12"/>
  <c r="G15" i="12"/>
  <c r="R14" i="12"/>
  <c r="Q14" i="12"/>
  <c r="P14" i="12"/>
  <c r="G14" i="12"/>
  <c r="R13" i="12"/>
  <c r="Q13" i="12"/>
  <c r="P13" i="12"/>
  <c r="G13" i="12"/>
  <c r="R12" i="12"/>
  <c r="Q12" i="12"/>
  <c r="P12" i="12"/>
  <c r="G12" i="12"/>
  <c r="R11" i="12"/>
  <c r="Q11" i="12"/>
  <c r="P11" i="12"/>
  <c r="G11" i="12"/>
  <c r="R10" i="12"/>
  <c r="Q10" i="12"/>
  <c r="P10" i="12"/>
  <c r="G10" i="12"/>
  <c r="R9" i="12"/>
  <c r="Q9" i="12"/>
  <c r="I9" i="12"/>
  <c r="P9" i="12" s="1"/>
  <c r="G9" i="12"/>
  <c r="N1" i="12"/>
  <c r="K78" i="12" s="1"/>
  <c r="G1" i="12"/>
  <c r="G117" i="11"/>
  <c r="G116" i="11"/>
  <c r="G115" i="11"/>
  <c r="G114" i="11"/>
  <c r="G113" i="11"/>
  <c r="M92" i="11"/>
  <c r="K92" i="11"/>
  <c r="J92" i="11"/>
  <c r="I92" i="11"/>
  <c r="H92" i="11"/>
  <c r="L91" i="11"/>
  <c r="L90" i="11"/>
  <c r="L89" i="11"/>
  <c r="L88" i="11"/>
  <c r="L87" i="11"/>
  <c r="L86" i="11"/>
  <c r="G86" i="11"/>
  <c r="M81" i="11"/>
  <c r="K81" i="11"/>
  <c r="H81" i="11"/>
  <c r="I80" i="11"/>
  <c r="L80" i="11" s="1"/>
  <c r="G80" i="11"/>
  <c r="I79" i="11"/>
  <c r="L79" i="11" s="1"/>
  <c r="G79" i="11"/>
  <c r="L78" i="11"/>
  <c r="G78" i="11"/>
  <c r="I77" i="11"/>
  <c r="L77" i="11" s="1"/>
  <c r="G77" i="11"/>
  <c r="I76" i="11"/>
  <c r="L76" i="11" s="1"/>
  <c r="G76" i="11"/>
  <c r="I75" i="11"/>
  <c r="L75" i="11" s="1"/>
  <c r="G75" i="11"/>
  <c r="L74" i="11"/>
  <c r="G74" i="11"/>
  <c r="L73" i="11"/>
  <c r="G73" i="11"/>
  <c r="J81" i="11"/>
  <c r="G72" i="11"/>
  <c r="I62" i="11"/>
  <c r="K61" i="11"/>
  <c r="J61" i="11"/>
  <c r="H61" i="11"/>
  <c r="K60" i="11"/>
  <c r="J60" i="11"/>
  <c r="H60" i="11"/>
  <c r="K59" i="11"/>
  <c r="J59" i="11"/>
  <c r="H59" i="11"/>
  <c r="K58" i="11"/>
  <c r="J58" i="11"/>
  <c r="H58" i="11"/>
  <c r="K57" i="11"/>
  <c r="J57" i="11"/>
  <c r="H57" i="11"/>
  <c r="K56" i="11"/>
  <c r="J56" i="11"/>
  <c r="H56" i="11"/>
  <c r="K54" i="11"/>
  <c r="J54" i="11"/>
  <c r="H54" i="11"/>
  <c r="K53" i="11"/>
  <c r="J53" i="11"/>
  <c r="H53" i="11"/>
  <c r="K52" i="11"/>
  <c r="J52" i="11"/>
  <c r="H52" i="11"/>
  <c r="K51" i="11"/>
  <c r="J51" i="11"/>
  <c r="H51" i="11"/>
  <c r="K50" i="11"/>
  <c r="J50" i="11"/>
  <c r="H50" i="11"/>
  <c r="K49" i="11"/>
  <c r="J49" i="11"/>
  <c r="H49" i="11"/>
  <c r="K48" i="11"/>
  <c r="J48" i="11"/>
  <c r="H48" i="11"/>
  <c r="L42" i="11"/>
  <c r="K42" i="11"/>
  <c r="J42" i="11"/>
  <c r="I42" i="11"/>
  <c r="H41" i="11"/>
  <c r="H40" i="11"/>
  <c r="G42" i="11"/>
  <c r="O32" i="11"/>
  <c r="N32" i="11"/>
  <c r="M32" i="11"/>
  <c r="L32" i="11"/>
  <c r="K32" i="11"/>
  <c r="J32" i="11"/>
  <c r="H32" i="11"/>
  <c r="R31" i="11"/>
  <c r="Q31" i="11"/>
  <c r="P31" i="11"/>
  <c r="G31" i="11"/>
  <c r="R30" i="11"/>
  <c r="Q30" i="11"/>
  <c r="P30" i="11"/>
  <c r="G30" i="11"/>
  <c r="R29" i="11"/>
  <c r="Q29" i="11"/>
  <c r="P29" i="11"/>
  <c r="G29" i="11"/>
  <c r="R28" i="11"/>
  <c r="Q28" i="11"/>
  <c r="P28" i="11"/>
  <c r="G28" i="11"/>
  <c r="R27" i="11"/>
  <c r="Q27" i="11"/>
  <c r="P27" i="11"/>
  <c r="G27" i="11"/>
  <c r="R25" i="11"/>
  <c r="Q25" i="11"/>
  <c r="P25" i="11"/>
  <c r="G25" i="11"/>
  <c r="R24" i="11"/>
  <c r="Q24" i="11"/>
  <c r="P24" i="11"/>
  <c r="G24" i="11"/>
  <c r="R23" i="11"/>
  <c r="Q23" i="11"/>
  <c r="P23" i="11"/>
  <c r="G23" i="11"/>
  <c r="R22" i="11"/>
  <c r="Q22" i="11"/>
  <c r="P22" i="11"/>
  <c r="G22" i="11"/>
  <c r="R21" i="11"/>
  <c r="Q21" i="11"/>
  <c r="P21" i="11"/>
  <c r="G21" i="11"/>
  <c r="R20" i="11"/>
  <c r="Q20" i="11"/>
  <c r="P20" i="11"/>
  <c r="G20" i="11"/>
  <c r="R19" i="11"/>
  <c r="Q19" i="11"/>
  <c r="P19" i="11"/>
  <c r="G19" i="11"/>
  <c r="R18" i="11"/>
  <c r="Q18" i="11"/>
  <c r="P18" i="11"/>
  <c r="G18" i="11"/>
  <c r="R17" i="11"/>
  <c r="Q17" i="11"/>
  <c r="P17" i="11"/>
  <c r="G17" i="11"/>
  <c r="R16" i="11"/>
  <c r="Q16" i="11"/>
  <c r="P16" i="11"/>
  <c r="G16" i="11"/>
  <c r="R15" i="11"/>
  <c r="Q15" i="11"/>
  <c r="P15" i="11"/>
  <c r="G15" i="11"/>
  <c r="R14" i="11"/>
  <c r="Q14" i="11"/>
  <c r="P14" i="11"/>
  <c r="G14" i="11"/>
  <c r="R13" i="11"/>
  <c r="Q13" i="11"/>
  <c r="P13" i="11"/>
  <c r="G13" i="11"/>
  <c r="R12" i="11"/>
  <c r="Q12" i="11"/>
  <c r="P12" i="11"/>
  <c r="G12" i="11"/>
  <c r="R11" i="11"/>
  <c r="Q11" i="11"/>
  <c r="P11" i="11"/>
  <c r="G11" i="11"/>
  <c r="R10" i="11"/>
  <c r="Q10" i="11"/>
  <c r="P10" i="11"/>
  <c r="G10" i="11"/>
  <c r="R9" i="11"/>
  <c r="Q9" i="11"/>
  <c r="I9" i="11"/>
  <c r="G9" i="11"/>
  <c r="N1" i="11"/>
  <c r="K68" i="11" s="1"/>
  <c r="G1" i="11"/>
  <c r="G122" i="10"/>
  <c r="G121" i="10"/>
  <c r="G120" i="10"/>
  <c r="G119" i="10"/>
  <c r="G118" i="10"/>
  <c r="L109" i="10"/>
  <c r="K109" i="10"/>
  <c r="J109" i="10"/>
  <c r="I109" i="10"/>
  <c r="H109" i="10"/>
  <c r="M108" i="10"/>
  <c r="G108" i="10"/>
  <c r="M102" i="10"/>
  <c r="K102" i="10"/>
  <c r="J102" i="10"/>
  <c r="I102" i="10"/>
  <c r="H102" i="10"/>
  <c r="J4" i="10" s="1"/>
  <c r="L101" i="10"/>
  <c r="G101" i="10"/>
  <c r="L100" i="10"/>
  <c r="G100" i="10"/>
  <c r="L99" i="10"/>
  <c r="G99" i="10"/>
  <c r="L98" i="10"/>
  <c r="G98" i="10"/>
  <c r="L97" i="10"/>
  <c r="G97" i="10"/>
  <c r="L96" i="10"/>
  <c r="G96" i="10"/>
  <c r="I91" i="10"/>
  <c r="L91" i="10" s="1"/>
  <c r="G91" i="10"/>
  <c r="I90" i="10"/>
  <c r="L90" i="10" s="1"/>
  <c r="G90" i="10"/>
  <c r="I89" i="10"/>
  <c r="L89" i="10" s="1"/>
  <c r="G89" i="10"/>
  <c r="I88" i="10"/>
  <c r="L88" i="10" s="1"/>
  <c r="G88" i="10"/>
  <c r="I87" i="10"/>
  <c r="L87" i="10" s="1"/>
  <c r="G87" i="10"/>
  <c r="I86" i="10"/>
  <c r="L86" i="10" s="1"/>
  <c r="G86" i="10"/>
  <c r="L85" i="10"/>
  <c r="G85" i="10"/>
  <c r="I84" i="10"/>
  <c r="L84" i="10" s="1"/>
  <c r="G84" i="10"/>
  <c r="L83" i="10"/>
  <c r="G83" i="10"/>
  <c r="I73" i="10"/>
  <c r="K72" i="10"/>
  <c r="J72" i="10"/>
  <c r="H72" i="10"/>
  <c r="K71" i="10"/>
  <c r="J71" i="10"/>
  <c r="H71" i="10"/>
  <c r="K70" i="10"/>
  <c r="J70" i="10"/>
  <c r="H70" i="10"/>
  <c r="K69" i="10"/>
  <c r="J69" i="10"/>
  <c r="H69" i="10"/>
  <c r="K68" i="10"/>
  <c r="J68" i="10"/>
  <c r="H68" i="10"/>
  <c r="K67" i="10"/>
  <c r="J67" i="10"/>
  <c r="H67" i="10"/>
  <c r="K66" i="10"/>
  <c r="J66" i="10"/>
  <c r="H66" i="10"/>
  <c r="K65" i="10"/>
  <c r="J65" i="10"/>
  <c r="H65" i="10"/>
  <c r="K64" i="10"/>
  <c r="J64" i="10"/>
  <c r="H64" i="10"/>
  <c r="K63" i="10"/>
  <c r="J63" i="10"/>
  <c r="H63" i="10"/>
  <c r="K62" i="10"/>
  <c r="J62" i="10"/>
  <c r="H62" i="10"/>
  <c r="K61" i="10"/>
  <c r="J61" i="10"/>
  <c r="H61" i="10"/>
  <c r="K60" i="10"/>
  <c r="J60" i="10"/>
  <c r="H60" i="10"/>
  <c r="K59" i="10"/>
  <c r="J59" i="10"/>
  <c r="H59" i="10"/>
  <c r="K58" i="10"/>
  <c r="J58" i="10"/>
  <c r="H58" i="10"/>
  <c r="K57" i="10"/>
  <c r="J57" i="10"/>
  <c r="H57" i="10"/>
  <c r="L51" i="10"/>
  <c r="K51" i="10"/>
  <c r="J51" i="10"/>
  <c r="I51" i="10"/>
  <c r="G51" i="10"/>
  <c r="H50" i="10"/>
  <c r="H49" i="10"/>
  <c r="H48" i="10"/>
  <c r="R40" i="10"/>
  <c r="Q40" i="10"/>
  <c r="P40" i="10"/>
  <c r="G40" i="10"/>
  <c r="R39" i="10"/>
  <c r="Q39" i="10"/>
  <c r="P39" i="10"/>
  <c r="G39" i="10"/>
  <c r="R38" i="10"/>
  <c r="Q38" i="10"/>
  <c r="P38" i="10"/>
  <c r="G38" i="10"/>
  <c r="R37" i="10"/>
  <c r="Q37" i="10"/>
  <c r="P37" i="10"/>
  <c r="G37" i="10"/>
  <c r="R36" i="10"/>
  <c r="Q36" i="10"/>
  <c r="P36" i="10"/>
  <c r="G36" i="10"/>
  <c r="R35" i="10"/>
  <c r="Q35" i="10"/>
  <c r="P35" i="10"/>
  <c r="G35" i="10"/>
  <c r="R34" i="10"/>
  <c r="Q34" i="10"/>
  <c r="P34" i="10"/>
  <c r="G34" i="10"/>
  <c r="R33" i="10"/>
  <c r="Q33" i="10"/>
  <c r="P33" i="10"/>
  <c r="G33" i="10"/>
  <c r="R19" i="10"/>
  <c r="Q19" i="10"/>
  <c r="P19" i="10"/>
  <c r="G19" i="10"/>
  <c r="R18" i="10"/>
  <c r="Q18" i="10"/>
  <c r="P18" i="10"/>
  <c r="G18" i="10"/>
  <c r="R17" i="10"/>
  <c r="Q17" i="10"/>
  <c r="P17" i="10"/>
  <c r="G17" i="10"/>
  <c r="R16" i="10"/>
  <c r="Q16" i="10"/>
  <c r="P16" i="10"/>
  <c r="G16" i="10"/>
  <c r="R15" i="10"/>
  <c r="Q15" i="10"/>
  <c r="G15" i="10"/>
  <c r="R14" i="10"/>
  <c r="Q14" i="10"/>
  <c r="P14" i="10"/>
  <c r="G14" i="10"/>
  <c r="R13" i="10"/>
  <c r="Q13" i="10"/>
  <c r="P13" i="10"/>
  <c r="G13" i="10"/>
  <c r="R12" i="10"/>
  <c r="Q12" i="10"/>
  <c r="P12" i="10"/>
  <c r="G12" i="10"/>
  <c r="R11" i="10"/>
  <c r="Q11" i="10"/>
  <c r="P11" i="10"/>
  <c r="G11" i="10"/>
  <c r="R10" i="10"/>
  <c r="Q10" i="10"/>
  <c r="G10" i="10"/>
  <c r="R9" i="10"/>
  <c r="Q9" i="10"/>
  <c r="I9" i="10"/>
  <c r="P28" i="10" s="1"/>
  <c r="G9" i="10"/>
  <c r="N1" i="10"/>
  <c r="K79" i="10" s="1"/>
  <c r="G1" i="10"/>
  <c r="G133" i="9"/>
  <c r="G132" i="9"/>
  <c r="G131" i="9"/>
  <c r="G130" i="9"/>
  <c r="G129" i="9"/>
  <c r="M119" i="9"/>
  <c r="K119" i="9"/>
  <c r="J119" i="9"/>
  <c r="I119" i="9"/>
  <c r="H119" i="9"/>
  <c r="L118" i="9"/>
  <c r="L117" i="9"/>
  <c r="L116" i="9"/>
  <c r="L115" i="9"/>
  <c r="L114" i="9"/>
  <c r="L113" i="9"/>
  <c r="G113" i="9"/>
  <c r="M96" i="9"/>
  <c r="K96" i="9"/>
  <c r="J96" i="9"/>
  <c r="H96" i="9"/>
  <c r="I95" i="9"/>
  <c r="L95" i="9" s="1"/>
  <c r="G95" i="9"/>
  <c r="I94" i="9"/>
  <c r="L94" i="9" s="1"/>
  <c r="G94" i="9"/>
  <c r="I93" i="9"/>
  <c r="L93" i="9" s="1"/>
  <c r="G93" i="9"/>
  <c r="I92" i="9"/>
  <c r="L92" i="9" s="1"/>
  <c r="G92" i="9"/>
  <c r="I91" i="9"/>
  <c r="L91" i="9" s="1"/>
  <c r="G91" i="9"/>
  <c r="I90" i="9"/>
  <c r="L90" i="9" s="1"/>
  <c r="G90" i="9"/>
  <c r="I89" i="9"/>
  <c r="L89" i="9" s="1"/>
  <c r="G89" i="9"/>
  <c r="G87" i="9"/>
  <c r="K66" i="9"/>
  <c r="J66" i="9"/>
  <c r="H66" i="9"/>
  <c r="L60" i="9"/>
  <c r="I60" i="9"/>
  <c r="H58" i="9"/>
  <c r="G60" i="9"/>
  <c r="H56" i="9"/>
  <c r="R9" i="9"/>
  <c r="Q9" i="9"/>
  <c r="P9" i="9"/>
  <c r="N1" i="9"/>
  <c r="K83" i="9" s="1"/>
  <c r="G1" i="9"/>
  <c r="M130" i="8"/>
  <c r="K130" i="8"/>
  <c r="J130" i="8"/>
  <c r="I130" i="8"/>
  <c r="H130" i="8"/>
  <c r="M119" i="8"/>
  <c r="K119" i="8"/>
  <c r="J119" i="8"/>
  <c r="H119" i="8"/>
  <c r="I118" i="8"/>
  <c r="L118" i="8" s="1"/>
  <c r="I117" i="8"/>
  <c r="L117" i="8" s="1"/>
  <c r="I116" i="8"/>
  <c r="L116" i="8" s="1"/>
  <c r="I115" i="8"/>
  <c r="L115" i="8" s="1"/>
  <c r="I114" i="8"/>
  <c r="L114" i="8" s="1"/>
  <c r="K95" i="8"/>
  <c r="J95" i="8"/>
  <c r="H95" i="8"/>
  <c r="K94" i="8"/>
  <c r="J94" i="8"/>
  <c r="H94" i="8"/>
  <c r="K80" i="8"/>
  <c r="J80" i="8"/>
  <c r="H80" i="8"/>
  <c r="L74" i="8"/>
  <c r="J74" i="8"/>
  <c r="I74" i="8"/>
  <c r="K74" i="8"/>
  <c r="G74" i="8"/>
  <c r="H70" i="8"/>
  <c r="M70" i="8" s="1"/>
  <c r="O63" i="8"/>
  <c r="N63" i="8"/>
  <c r="M63" i="8"/>
  <c r="L63" i="8"/>
  <c r="J63" i="8"/>
  <c r="H63" i="8"/>
  <c r="R62" i="8"/>
  <c r="Q62" i="8"/>
  <c r="I62" i="8"/>
  <c r="P62" i="8" s="1"/>
  <c r="G62" i="8"/>
  <c r="N1" i="8"/>
  <c r="K106" i="8" s="1"/>
  <c r="G1" i="8"/>
  <c r="G121" i="7"/>
  <c r="G120" i="7"/>
  <c r="G119" i="7"/>
  <c r="G118" i="7"/>
  <c r="G117" i="7"/>
  <c r="K113" i="7"/>
  <c r="J113" i="7"/>
  <c r="H113" i="7"/>
  <c r="I112" i="7"/>
  <c r="I113" i="7" s="1"/>
  <c r="L108" i="7"/>
  <c r="M107" i="7"/>
  <c r="M113" i="7" s="1"/>
  <c r="L107" i="7"/>
  <c r="L106" i="7"/>
  <c r="L113" i="7" s="1"/>
  <c r="M101" i="7"/>
  <c r="K101" i="7"/>
  <c r="J101" i="7"/>
  <c r="I101" i="7"/>
  <c r="H101" i="7"/>
  <c r="L100" i="7"/>
  <c r="L99" i="7"/>
  <c r="L98" i="7"/>
  <c r="L97" i="7"/>
  <c r="L96" i="7"/>
  <c r="L95" i="7"/>
  <c r="G95" i="7"/>
  <c r="M91" i="7"/>
  <c r="K91" i="7"/>
  <c r="H91" i="7"/>
  <c r="L90" i="7"/>
  <c r="G90" i="7"/>
  <c r="I89" i="7"/>
  <c r="L89" i="7" s="1"/>
  <c r="G89" i="7"/>
  <c r="J88" i="7"/>
  <c r="L88" i="7" s="1"/>
  <c r="G88" i="7"/>
  <c r="L87" i="7"/>
  <c r="G87" i="7"/>
  <c r="I86" i="7"/>
  <c r="L86" i="7" s="1"/>
  <c r="G86" i="7"/>
  <c r="I85" i="7"/>
  <c r="L85" i="7" s="1"/>
  <c r="G85" i="7"/>
  <c r="I84" i="7"/>
  <c r="L84" i="7" s="1"/>
  <c r="G84" i="7"/>
  <c r="L83" i="7"/>
  <c r="G83" i="7"/>
  <c r="I82" i="7"/>
  <c r="L82" i="7" s="1"/>
  <c r="G82" i="7"/>
  <c r="I81" i="7"/>
  <c r="G81" i="7"/>
  <c r="I71" i="7"/>
  <c r="K70" i="7"/>
  <c r="J70" i="7"/>
  <c r="H70" i="7"/>
  <c r="K69" i="7"/>
  <c r="J69" i="7"/>
  <c r="H69" i="7"/>
  <c r="K68" i="7"/>
  <c r="J68" i="7"/>
  <c r="H68" i="7"/>
  <c r="K67" i="7"/>
  <c r="J67" i="7"/>
  <c r="H67" i="7"/>
  <c r="K66" i="7"/>
  <c r="J66" i="7"/>
  <c r="H66" i="7"/>
  <c r="K65" i="7"/>
  <c r="J65" i="7"/>
  <c r="H65" i="7"/>
  <c r="K64" i="7"/>
  <c r="J64" i="7"/>
  <c r="H64" i="7"/>
  <c r="K63" i="7"/>
  <c r="J63" i="7"/>
  <c r="H63" i="7"/>
  <c r="K62" i="7"/>
  <c r="J62" i="7"/>
  <c r="H62" i="7"/>
  <c r="K61" i="7"/>
  <c r="J61" i="7"/>
  <c r="H61" i="7"/>
  <c r="K60" i="7"/>
  <c r="J60" i="7"/>
  <c r="H60" i="7"/>
  <c r="K59" i="7"/>
  <c r="J59" i="7"/>
  <c r="H59" i="7"/>
  <c r="K58" i="7"/>
  <c r="J58" i="7"/>
  <c r="H58" i="7"/>
  <c r="K57" i="7"/>
  <c r="J57" i="7"/>
  <c r="H57" i="7"/>
  <c r="L53" i="7"/>
  <c r="K53" i="7"/>
  <c r="J53" i="7"/>
  <c r="I53" i="7"/>
  <c r="G53" i="7"/>
  <c r="H52" i="7"/>
  <c r="H51" i="7"/>
  <c r="H50" i="7"/>
  <c r="H53" i="7" s="1"/>
  <c r="H49" i="7"/>
  <c r="O42" i="7"/>
  <c r="N42" i="7"/>
  <c r="M42" i="7"/>
  <c r="L42" i="7"/>
  <c r="K42" i="7"/>
  <c r="H42" i="7"/>
  <c r="R41" i="7"/>
  <c r="Q41" i="7"/>
  <c r="I41" i="7"/>
  <c r="P41" i="7" s="1"/>
  <c r="G41" i="7"/>
  <c r="R40" i="7"/>
  <c r="Q40" i="7"/>
  <c r="I40" i="7"/>
  <c r="P40" i="7" s="1"/>
  <c r="G40" i="7"/>
  <c r="R39" i="7"/>
  <c r="Q39" i="7"/>
  <c r="I39" i="7"/>
  <c r="P39" i="7" s="1"/>
  <c r="G39" i="7"/>
  <c r="R38" i="7"/>
  <c r="Q38" i="7"/>
  <c r="I38" i="7"/>
  <c r="P38" i="7" s="1"/>
  <c r="G38" i="7"/>
  <c r="R37" i="7"/>
  <c r="Q37" i="7"/>
  <c r="J37" i="7"/>
  <c r="P37" i="7" s="1"/>
  <c r="G37" i="7"/>
  <c r="R36" i="7"/>
  <c r="Q36" i="7"/>
  <c r="I36" i="7"/>
  <c r="P36" i="7" s="1"/>
  <c r="G36" i="7"/>
  <c r="R35" i="7"/>
  <c r="Q35" i="7"/>
  <c r="I35" i="7"/>
  <c r="P35" i="7" s="1"/>
  <c r="G35" i="7"/>
  <c r="R34" i="7"/>
  <c r="Q34" i="7"/>
  <c r="P34" i="7"/>
  <c r="I34" i="7"/>
  <c r="G34" i="7"/>
  <c r="R33" i="7"/>
  <c r="Q33" i="7"/>
  <c r="I33" i="7"/>
  <c r="P33" i="7" s="1"/>
  <c r="G33" i="7"/>
  <c r="R32" i="7"/>
  <c r="Q32" i="7"/>
  <c r="I32" i="7"/>
  <c r="P32" i="7" s="1"/>
  <c r="G32" i="7"/>
  <c r="R31" i="7"/>
  <c r="Q31" i="7"/>
  <c r="I31" i="7"/>
  <c r="P31" i="7" s="1"/>
  <c r="G31" i="7"/>
  <c r="R30" i="7"/>
  <c r="Q30" i="7"/>
  <c r="I30" i="7"/>
  <c r="P30" i="7" s="1"/>
  <c r="G30" i="7"/>
  <c r="R29" i="7"/>
  <c r="Q29" i="7"/>
  <c r="I29" i="7"/>
  <c r="P29" i="7" s="1"/>
  <c r="G29" i="7"/>
  <c r="R28" i="7"/>
  <c r="Q28" i="7"/>
  <c r="I28" i="7"/>
  <c r="P28" i="7" s="1"/>
  <c r="G28" i="7"/>
  <c r="R27" i="7"/>
  <c r="Q27" i="7"/>
  <c r="I27" i="7"/>
  <c r="P27" i="7" s="1"/>
  <c r="G27" i="7"/>
  <c r="R26" i="7"/>
  <c r="Q26" i="7"/>
  <c r="I26" i="7"/>
  <c r="P26" i="7" s="1"/>
  <c r="G26" i="7"/>
  <c r="R25" i="7"/>
  <c r="Q25" i="7"/>
  <c r="I25" i="7"/>
  <c r="P25" i="7" s="1"/>
  <c r="G25" i="7"/>
  <c r="R24" i="7"/>
  <c r="Q24" i="7"/>
  <c r="I24" i="7"/>
  <c r="P24" i="7" s="1"/>
  <c r="G24" i="7"/>
  <c r="R23" i="7"/>
  <c r="Q23" i="7"/>
  <c r="I23" i="7"/>
  <c r="P23" i="7" s="1"/>
  <c r="G23" i="7"/>
  <c r="R22" i="7"/>
  <c r="Q22" i="7"/>
  <c r="I22" i="7"/>
  <c r="P22" i="7" s="1"/>
  <c r="G22" i="7"/>
  <c r="R21" i="7"/>
  <c r="Q21" i="7"/>
  <c r="I21" i="7"/>
  <c r="P21" i="7" s="1"/>
  <c r="G21" i="7"/>
  <c r="R20" i="7"/>
  <c r="Q20" i="7"/>
  <c r="I20" i="7"/>
  <c r="P20" i="7" s="1"/>
  <c r="G20" i="7"/>
  <c r="R19" i="7"/>
  <c r="Q19" i="7"/>
  <c r="I19" i="7"/>
  <c r="P19" i="7" s="1"/>
  <c r="G19" i="7"/>
  <c r="R18" i="7"/>
  <c r="Q18" i="7"/>
  <c r="I18" i="7"/>
  <c r="P18" i="7" s="1"/>
  <c r="G18" i="7"/>
  <c r="R17" i="7"/>
  <c r="Q17" i="7"/>
  <c r="I17" i="7"/>
  <c r="P17" i="7" s="1"/>
  <c r="G17" i="7"/>
  <c r="R16" i="7"/>
  <c r="Q16" i="7"/>
  <c r="I16" i="7"/>
  <c r="P16" i="7" s="1"/>
  <c r="G16" i="7"/>
  <c r="R15" i="7"/>
  <c r="Q15" i="7"/>
  <c r="I15" i="7"/>
  <c r="P15" i="7" s="1"/>
  <c r="G15" i="7"/>
  <c r="R14" i="7"/>
  <c r="Q14" i="7"/>
  <c r="I14" i="7"/>
  <c r="P14" i="7" s="1"/>
  <c r="G14" i="7"/>
  <c r="R13" i="7"/>
  <c r="Q13" i="7"/>
  <c r="I13" i="7"/>
  <c r="P13" i="7" s="1"/>
  <c r="G13" i="7"/>
  <c r="R12" i="7"/>
  <c r="Q12" i="7"/>
  <c r="P12" i="7"/>
  <c r="I12" i="7"/>
  <c r="G12" i="7"/>
  <c r="R11" i="7"/>
  <c r="Q11" i="7"/>
  <c r="I11" i="7"/>
  <c r="P11" i="7" s="1"/>
  <c r="G11" i="7"/>
  <c r="R10" i="7"/>
  <c r="Q10" i="7"/>
  <c r="I10" i="7"/>
  <c r="P10" i="7" s="1"/>
  <c r="G10" i="7"/>
  <c r="R9" i="7"/>
  <c r="Q9" i="7"/>
  <c r="I9" i="7"/>
  <c r="G9" i="7"/>
  <c r="N1" i="7"/>
  <c r="K77" i="7" s="1"/>
  <c r="G1" i="7"/>
  <c r="G139" i="6"/>
  <c r="G138" i="6"/>
  <c r="G137" i="6"/>
  <c r="G136" i="6"/>
  <c r="G135" i="6"/>
  <c r="K129" i="6"/>
  <c r="H129" i="6"/>
  <c r="J128" i="6"/>
  <c r="G128" i="6"/>
  <c r="J127" i="6"/>
  <c r="G127" i="6"/>
  <c r="J126" i="6"/>
  <c r="G126" i="6"/>
  <c r="J125" i="6"/>
  <c r="G125" i="6"/>
  <c r="J124" i="6"/>
  <c r="G124" i="6"/>
  <c r="J123" i="6"/>
  <c r="G123" i="6"/>
  <c r="J122" i="6"/>
  <c r="G122" i="6"/>
  <c r="J121" i="6"/>
  <c r="G121" i="6"/>
  <c r="J120" i="6"/>
  <c r="G120" i="6"/>
  <c r="J119" i="6"/>
  <c r="G119" i="6"/>
  <c r="M114" i="6"/>
  <c r="L114" i="6"/>
  <c r="K114" i="6"/>
  <c r="J114" i="6"/>
  <c r="H113" i="6"/>
  <c r="I113" i="6" s="1"/>
  <c r="H112" i="6"/>
  <c r="I112" i="6" s="1"/>
  <c r="H111" i="6"/>
  <c r="I111" i="6" s="1"/>
  <c r="H110" i="6"/>
  <c r="I110" i="6" s="1"/>
  <c r="H109" i="6"/>
  <c r="I109" i="6" s="1"/>
  <c r="H108" i="6"/>
  <c r="I108" i="6" s="1"/>
  <c r="G108" i="6"/>
  <c r="M103" i="6"/>
  <c r="K103" i="6"/>
  <c r="H103" i="6"/>
  <c r="L102" i="6"/>
  <c r="I102" i="6"/>
  <c r="G102" i="6"/>
  <c r="I101" i="6"/>
  <c r="L101" i="6" s="1"/>
  <c r="G101" i="6"/>
  <c r="J100" i="6"/>
  <c r="L100" i="6" s="1"/>
  <c r="G100" i="6"/>
  <c r="J99" i="6"/>
  <c r="I99" i="6"/>
  <c r="G99" i="6"/>
  <c r="I98" i="6"/>
  <c r="L98" i="6" s="1"/>
  <c r="G98" i="6"/>
  <c r="I97" i="6"/>
  <c r="L97" i="6" s="1"/>
  <c r="G97" i="6"/>
  <c r="I96" i="6"/>
  <c r="L96" i="6" s="1"/>
  <c r="G96" i="6"/>
  <c r="I95" i="6"/>
  <c r="L95" i="6" s="1"/>
  <c r="G95" i="6"/>
  <c r="I94" i="6"/>
  <c r="L94" i="6" s="1"/>
  <c r="G94" i="6"/>
  <c r="I84" i="6"/>
  <c r="K83" i="6"/>
  <c r="J83" i="6"/>
  <c r="H83" i="6"/>
  <c r="K82" i="6"/>
  <c r="J82" i="6"/>
  <c r="H82" i="6"/>
  <c r="K81" i="6"/>
  <c r="J81" i="6"/>
  <c r="H81" i="6"/>
  <c r="K80" i="6"/>
  <c r="J80" i="6"/>
  <c r="H80" i="6"/>
  <c r="K79" i="6"/>
  <c r="J79" i="6"/>
  <c r="H79" i="6"/>
  <c r="K78" i="6"/>
  <c r="J78" i="6"/>
  <c r="H78" i="6"/>
  <c r="K77" i="6"/>
  <c r="J77" i="6"/>
  <c r="H77" i="6"/>
  <c r="K76" i="6"/>
  <c r="J76" i="6"/>
  <c r="H76" i="6"/>
  <c r="K75" i="6"/>
  <c r="J75" i="6"/>
  <c r="H75" i="6"/>
  <c r="K74" i="6"/>
  <c r="J74" i="6"/>
  <c r="H74" i="6"/>
  <c r="K73" i="6"/>
  <c r="J73" i="6"/>
  <c r="H73" i="6"/>
  <c r="K72" i="6"/>
  <c r="J72" i="6"/>
  <c r="H72" i="6"/>
  <c r="K71" i="6"/>
  <c r="J71" i="6"/>
  <c r="H71" i="6"/>
  <c r="K70" i="6"/>
  <c r="J70" i="6"/>
  <c r="H70" i="6"/>
  <c r="K69" i="6"/>
  <c r="J69" i="6"/>
  <c r="H69" i="6"/>
  <c r="K68" i="6"/>
  <c r="J68" i="6"/>
  <c r="H68" i="6"/>
  <c r="K67" i="6"/>
  <c r="J67" i="6"/>
  <c r="H67" i="6"/>
  <c r="K66" i="6"/>
  <c r="J66" i="6"/>
  <c r="H66" i="6"/>
  <c r="L60" i="6"/>
  <c r="K60" i="6"/>
  <c r="J60" i="6"/>
  <c r="I60" i="6"/>
  <c r="G60" i="6"/>
  <c r="H59" i="6"/>
  <c r="M59" i="6" s="1"/>
  <c r="M58" i="6"/>
  <c r="H58" i="6"/>
  <c r="H57" i="6"/>
  <c r="M57" i="6" s="1"/>
  <c r="H56" i="6"/>
  <c r="M56" i="6" s="1"/>
  <c r="H55" i="6"/>
  <c r="O48" i="6"/>
  <c r="N48" i="6"/>
  <c r="M48" i="6"/>
  <c r="L48" i="6"/>
  <c r="H48" i="6"/>
  <c r="R47" i="6"/>
  <c r="Q47" i="6"/>
  <c r="I47" i="6"/>
  <c r="P47" i="6" s="1"/>
  <c r="T47" i="6" s="1"/>
  <c r="G47" i="6"/>
  <c r="R46" i="6"/>
  <c r="Q46" i="6"/>
  <c r="I46" i="6"/>
  <c r="P46" i="6" s="1"/>
  <c r="T46" i="6" s="1"/>
  <c r="G46" i="6"/>
  <c r="R45" i="6"/>
  <c r="Q45" i="6"/>
  <c r="I45" i="6"/>
  <c r="P45" i="6" s="1"/>
  <c r="T45" i="6" s="1"/>
  <c r="G45" i="6"/>
  <c r="R44" i="6"/>
  <c r="Q44" i="6"/>
  <c r="P44" i="6"/>
  <c r="T44" i="6" s="1"/>
  <c r="I44" i="6"/>
  <c r="G44" i="6"/>
  <c r="R43" i="6"/>
  <c r="Q43" i="6"/>
  <c r="I43" i="6"/>
  <c r="P43" i="6" s="1"/>
  <c r="T43" i="6" s="1"/>
  <c r="G43" i="6"/>
  <c r="R42" i="6"/>
  <c r="Q42" i="6"/>
  <c r="I42" i="6"/>
  <c r="P42" i="6" s="1"/>
  <c r="T42" i="6" s="1"/>
  <c r="G42" i="6"/>
  <c r="R41" i="6"/>
  <c r="Q41" i="6"/>
  <c r="I41" i="6"/>
  <c r="P41" i="6" s="1"/>
  <c r="T41" i="6" s="1"/>
  <c r="G41" i="6"/>
  <c r="R40" i="6"/>
  <c r="Q40" i="6"/>
  <c r="J40" i="6"/>
  <c r="J48" i="6" s="1"/>
  <c r="G40" i="6"/>
  <c r="R39" i="6"/>
  <c r="Q39" i="6"/>
  <c r="I39" i="6"/>
  <c r="P39" i="6" s="1"/>
  <c r="T39" i="6" s="1"/>
  <c r="G39" i="6"/>
  <c r="R38" i="6"/>
  <c r="Q38" i="6"/>
  <c r="I38" i="6"/>
  <c r="P38" i="6" s="1"/>
  <c r="T38" i="6" s="1"/>
  <c r="G38" i="6"/>
  <c r="R37" i="6"/>
  <c r="Q37" i="6"/>
  <c r="P37" i="6"/>
  <c r="T37" i="6" s="1"/>
  <c r="I37" i="6"/>
  <c r="G37" i="6"/>
  <c r="R36" i="6"/>
  <c r="Q36" i="6"/>
  <c r="I36" i="6"/>
  <c r="P36" i="6" s="1"/>
  <c r="T36" i="6" s="1"/>
  <c r="G36" i="6"/>
  <c r="R35" i="6"/>
  <c r="Q35" i="6"/>
  <c r="I35" i="6"/>
  <c r="P35" i="6" s="1"/>
  <c r="T35" i="6" s="1"/>
  <c r="G35" i="6"/>
  <c r="R34" i="6"/>
  <c r="Q34" i="6"/>
  <c r="I34" i="6"/>
  <c r="P34" i="6" s="1"/>
  <c r="T34" i="6" s="1"/>
  <c r="G34" i="6"/>
  <c r="R33" i="6"/>
  <c r="Q33" i="6"/>
  <c r="I33" i="6"/>
  <c r="P33" i="6" s="1"/>
  <c r="T33" i="6" s="1"/>
  <c r="G33" i="6"/>
  <c r="R32" i="6"/>
  <c r="Q32" i="6"/>
  <c r="I32" i="6"/>
  <c r="P32" i="6" s="1"/>
  <c r="T32" i="6" s="1"/>
  <c r="G32" i="6"/>
  <c r="R31" i="6"/>
  <c r="Q31" i="6"/>
  <c r="I31" i="6"/>
  <c r="P31" i="6" s="1"/>
  <c r="T31" i="6" s="1"/>
  <c r="G31" i="6"/>
  <c r="R30" i="6"/>
  <c r="Q30" i="6"/>
  <c r="I30" i="6"/>
  <c r="P30" i="6" s="1"/>
  <c r="T30" i="6" s="1"/>
  <c r="G30" i="6"/>
  <c r="R29" i="6"/>
  <c r="Q29" i="6"/>
  <c r="I29" i="6"/>
  <c r="P29" i="6" s="1"/>
  <c r="T29" i="6" s="1"/>
  <c r="G29" i="6"/>
  <c r="R28" i="6"/>
  <c r="Q28" i="6"/>
  <c r="I28" i="6"/>
  <c r="P28" i="6" s="1"/>
  <c r="T28" i="6" s="1"/>
  <c r="G28" i="6"/>
  <c r="R27" i="6"/>
  <c r="Q27" i="6"/>
  <c r="I27" i="6"/>
  <c r="P27" i="6" s="1"/>
  <c r="T27" i="6" s="1"/>
  <c r="G27" i="6"/>
  <c r="R26" i="6"/>
  <c r="Q26" i="6"/>
  <c r="I26" i="6"/>
  <c r="P26" i="6" s="1"/>
  <c r="T26" i="6" s="1"/>
  <c r="G26" i="6"/>
  <c r="R25" i="6"/>
  <c r="Q25" i="6"/>
  <c r="I25" i="6"/>
  <c r="P25" i="6" s="1"/>
  <c r="T25" i="6" s="1"/>
  <c r="G25" i="6"/>
  <c r="R24" i="6"/>
  <c r="Q24" i="6"/>
  <c r="P24" i="6"/>
  <c r="T24" i="6" s="1"/>
  <c r="I24" i="6"/>
  <c r="G24" i="6"/>
  <c r="R23" i="6"/>
  <c r="Q23" i="6"/>
  <c r="I23" i="6"/>
  <c r="P23" i="6" s="1"/>
  <c r="T23" i="6" s="1"/>
  <c r="G23" i="6"/>
  <c r="R22" i="6"/>
  <c r="Q22" i="6"/>
  <c r="I22" i="6"/>
  <c r="P22" i="6" s="1"/>
  <c r="T22" i="6" s="1"/>
  <c r="G22" i="6"/>
  <c r="R21" i="6"/>
  <c r="Q21" i="6"/>
  <c r="I21" i="6"/>
  <c r="P21" i="6" s="1"/>
  <c r="T21" i="6" s="1"/>
  <c r="G21" i="6"/>
  <c r="R20" i="6"/>
  <c r="Q20" i="6"/>
  <c r="P20" i="6"/>
  <c r="T20" i="6" s="1"/>
  <c r="I20" i="6"/>
  <c r="G20" i="6"/>
  <c r="R19" i="6"/>
  <c r="Q19" i="6"/>
  <c r="I19" i="6"/>
  <c r="P19" i="6" s="1"/>
  <c r="T19" i="6" s="1"/>
  <c r="G19" i="6"/>
  <c r="R18" i="6"/>
  <c r="Q18" i="6"/>
  <c r="I18" i="6"/>
  <c r="P18" i="6" s="1"/>
  <c r="T18" i="6" s="1"/>
  <c r="G18" i="6"/>
  <c r="R17" i="6"/>
  <c r="Q17" i="6"/>
  <c r="I17" i="6"/>
  <c r="P17" i="6" s="1"/>
  <c r="T17" i="6" s="1"/>
  <c r="G17" i="6"/>
  <c r="R16" i="6"/>
  <c r="Q16" i="6"/>
  <c r="I16" i="6"/>
  <c r="P16" i="6" s="1"/>
  <c r="T16" i="6" s="1"/>
  <c r="G16" i="6"/>
  <c r="R15" i="6"/>
  <c r="Q15" i="6"/>
  <c r="K15" i="6"/>
  <c r="K48" i="6" s="1"/>
  <c r="G15" i="6"/>
  <c r="R14" i="6"/>
  <c r="Q14" i="6"/>
  <c r="I14" i="6"/>
  <c r="P14" i="6" s="1"/>
  <c r="T14" i="6" s="1"/>
  <c r="G14" i="6"/>
  <c r="R13" i="6"/>
  <c r="Q13" i="6"/>
  <c r="I13" i="6"/>
  <c r="P13" i="6" s="1"/>
  <c r="T13" i="6" s="1"/>
  <c r="G13" i="6"/>
  <c r="R12" i="6"/>
  <c r="Q12" i="6"/>
  <c r="P12" i="6"/>
  <c r="T12" i="6" s="1"/>
  <c r="I12" i="6"/>
  <c r="G12" i="6"/>
  <c r="R11" i="6"/>
  <c r="Q11" i="6"/>
  <c r="I11" i="6"/>
  <c r="P11" i="6" s="1"/>
  <c r="T11" i="6" s="1"/>
  <c r="G11" i="6"/>
  <c r="R10" i="6"/>
  <c r="Q10" i="6"/>
  <c r="I10" i="6"/>
  <c r="P10" i="6" s="1"/>
  <c r="T10" i="6" s="1"/>
  <c r="G10" i="6"/>
  <c r="R9" i="6"/>
  <c r="Q9" i="6"/>
  <c r="I9" i="6"/>
  <c r="G9" i="6"/>
  <c r="N1" i="6"/>
  <c r="K90" i="6" s="1"/>
  <c r="G1" i="6"/>
  <c r="G113" i="5"/>
  <c r="G112" i="5"/>
  <c r="G111" i="5"/>
  <c r="G110" i="5"/>
  <c r="G109" i="5"/>
  <c r="K103" i="5"/>
  <c r="I103" i="5"/>
  <c r="H103" i="5"/>
  <c r="J102" i="5"/>
  <c r="G102" i="5"/>
  <c r="J101" i="5"/>
  <c r="G101" i="5"/>
  <c r="M96" i="5"/>
  <c r="K96" i="5"/>
  <c r="J96" i="5"/>
  <c r="H96" i="5"/>
  <c r="I95" i="5"/>
  <c r="L95" i="5" s="1"/>
  <c r="I94" i="5"/>
  <c r="L94" i="5" s="1"/>
  <c r="I93" i="5"/>
  <c r="L93" i="5" s="1"/>
  <c r="I92" i="5"/>
  <c r="L92" i="5" s="1"/>
  <c r="I91" i="5"/>
  <c r="L91" i="5" s="1"/>
  <c r="I90" i="5"/>
  <c r="G90" i="5"/>
  <c r="M86" i="5"/>
  <c r="K86" i="5"/>
  <c r="H86" i="5"/>
  <c r="J85" i="5"/>
  <c r="I85" i="5"/>
  <c r="G85" i="5"/>
  <c r="I84" i="5"/>
  <c r="L84" i="5" s="1"/>
  <c r="G84" i="5"/>
  <c r="I83" i="5"/>
  <c r="L83" i="5" s="1"/>
  <c r="G83" i="5"/>
  <c r="I82" i="5"/>
  <c r="L82" i="5" s="1"/>
  <c r="G82" i="5"/>
  <c r="I81" i="5"/>
  <c r="L81" i="5" s="1"/>
  <c r="G81" i="5"/>
  <c r="I80" i="5"/>
  <c r="L80" i="5" s="1"/>
  <c r="G80" i="5"/>
  <c r="I79" i="5"/>
  <c r="L79" i="5" s="1"/>
  <c r="G79" i="5"/>
  <c r="I78" i="5"/>
  <c r="L78" i="5" s="1"/>
  <c r="G78" i="5"/>
  <c r="J77" i="5"/>
  <c r="I77" i="5"/>
  <c r="G77" i="5"/>
  <c r="J76" i="5"/>
  <c r="G76" i="5"/>
  <c r="I66" i="5"/>
  <c r="K65" i="5"/>
  <c r="J65" i="5"/>
  <c r="H65" i="5"/>
  <c r="K64" i="5"/>
  <c r="J64" i="5"/>
  <c r="H64" i="5"/>
  <c r="K63" i="5"/>
  <c r="J63" i="5"/>
  <c r="H63" i="5"/>
  <c r="K62" i="5"/>
  <c r="J62" i="5"/>
  <c r="H62" i="5"/>
  <c r="K61" i="5"/>
  <c r="J61" i="5"/>
  <c r="H61" i="5"/>
  <c r="K60" i="5"/>
  <c r="J60" i="5"/>
  <c r="H60" i="5"/>
  <c r="K59" i="5"/>
  <c r="J59" i="5"/>
  <c r="H59" i="5"/>
  <c r="K58" i="5"/>
  <c r="J58" i="5"/>
  <c r="H58" i="5"/>
  <c r="K57" i="5"/>
  <c r="J57" i="5"/>
  <c r="H57" i="5"/>
  <c r="K56" i="5"/>
  <c r="J56" i="5"/>
  <c r="H56" i="5"/>
  <c r="K55" i="5"/>
  <c r="J55" i="5"/>
  <c r="H55" i="5"/>
  <c r="K54" i="5"/>
  <c r="J54" i="5"/>
  <c r="H54" i="5"/>
  <c r="K53" i="5"/>
  <c r="J53" i="5"/>
  <c r="H53" i="5"/>
  <c r="L47" i="5"/>
  <c r="K47" i="5"/>
  <c r="J47" i="5"/>
  <c r="I47" i="5"/>
  <c r="G47" i="5"/>
  <c r="H46" i="5"/>
  <c r="H45" i="5"/>
  <c r="H44" i="5"/>
  <c r="H43" i="5"/>
  <c r="H42" i="5"/>
  <c r="O35" i="5"/>
  <c r="N35" i="5"/>
  <c r="M35" i="5"/>
  <c r="L35" i="5"/>
  <c r="K35" i="5"/>
  <c r="H35" i="5"/>
  <c r="R34" i="5"/>
  <c r="Q34" i="5"/>
  <c r="I34" i="5"/>
  <c r="P34" i="5" s="1"/>
  <c r="G34" i="5"/>
  <c r="R33" i="5"/>
  <c r="Q33" i="5"/>
  <c r="I33" i="5"/>
  <c r="P33" i="5" s="1"/>
  <c r="G33" i="5"/>
  <c r="R32" i="5"/>
  <c r="Q32" i="5"/>
  <c r="I32" i="5"/>
  <c r="P32" i="5" s="1"/>
  <c r="G32" i="5"/>
  <c r="R31" i="5"/>
  <c r="Q31" i="5"/>
  <c r="I31" i="5"/>
  <c r="P31" i="5" s="1"/>
  <c r="G31" i="5"/>
  <c r="R30" i="5"/>
  <c r="Q30" i="5"/>
  <c r="I30" i="5"/>
  <c r="P30" i="5" s="1"/>
  <c r="G30" i="5"/>
  <c r="R29" i="5"/>
  <c r="Q29" i="5"/>
  <c r="I29" i="5"/>
  <c r="P29" i="5" s="1"/>
  <c r="G29" i="5"/>
  <c r="R28" i="5"/>
  <c r="Q28" i="5"/>
  <c r="I28" i="5"/>
  <c r="P28" i="5" s="1"/>
  <c r="G28" i="5"/>
  <c r="R27" i="5"/>
  <c r="Q27" i="5"/>
  <c r="I27" i="5"/>
  <c r="P27" i="5" s="1"/>
  <c r="G27" i="5"/>
  <c r="R26" i="5"/>
  <c r="Q26" i="5"/>
  <c r="I26" i="5"/>
  <c r="P26" i="5" s="1"/>
  <c r="G26" i="5"/>
  <c r="R25" i="5"/>
  <c r="Q25" i="5"/>
  <c r="I25" i="5"/>
  <c r="P25" i="5" s="1"/>
  <c r="G25" i="5"/>
  <c r="R24" i="5"/>
  <c r="Q24" i="5"/>
  <c r="I24" i="5"/>
  <c r="P24" i="5" s="1"/>
  <c r="G24" i="5"/>
  <c r="R23" i="5"/>
  <c r="Q23" i="5"/>
  <c r="I23" i="5"/>
  <c r="P23" i="5" s="1"/>
  <c r="G23" i="5"/>
  <c r="R22" i="5"/>
  <c r="Q22" i="5"/>
  <c r="I22" i="5"/>
  <c r="P22" i="5" s="1"/>
  <c r="G22" i="5"/>
  <c r="R21" i="5"/>
  <c r="Q21" i="5"/>
  <c r="I21" i="5"/>
  <c r="P21" i="5" s="1"/>
  <c r="G21" i="5"/>
  <c r="R20" i="5"/>
  <c r="Q20" i="5"/>
  <c r="I20" i="5"/>
  <c r="P20" i="5" s="1"/>
  <c r="G20" i="5"/>
  <c r="R19" i="5"/>
  <c r="Q19" i="5"/>
  <c r="I19" i="5"/>
  <c r="P19" i="5" s="1"/>
  <c r="G19" i="5"/>
  <c r="R18" i="5"/>
  <c r="Q18" i="5"/>
  <c r="J18" i="5"/>
  <c r="P18" i="5" s="1"/>
  <c r="G18" i="5"/>
  <c r="R17" i="5"/>
  <c r="Q17" i="5"/>
  <c r="I17" i="5"/>
  <c r="P17" i="5" s="1"/>
  <c r="G17" i="5"/>
  <c r="R16" i="5"/>
  <c r="Q16" i="5"/>
  <c r="I16" i="5"/>
  <c r="P16" i="5" s="1"/>
  <c r="G16" i="5"/>
  <c r="R15" i="5"/>
  <c r="Q15" i="5"/>
  <c r="I15" i="5"/>
  <c r="P15" i="5" s="1"/>
  <c r="G15" i="5"/>
  <c r="R14" i="5"/>
  <c r="Q14" i="5"/>
  <c r="I14" i="5"/>
  <c r="P14" i="5" s="1"/>
  <c r="G14" i="5"/>
  <c r="R13" i="5"/>
  <c r="Q13" i="5"/>
  <c r="I13" i="5"/>
  <c r="P13" i="5" s="1"/>
  <c r="G13" i="5"/>
  <c r="R12" i="5"/>
  <c r="Q12" i="5"/>
  <c r="I12" i="5"/>
  <c r="P12" i="5" s="1"/>
  <c r="G12" i="5"/>
  <c r="R11" i="5"/>
  <c r="Q11" i="5"/>
  <c r="I11" i="5"/>
  <c r="P11" i="5" s="1"/>
  <c r="G11" i="5"/>
  <c r="R10" i="5"/>
  <c r="Q10" i="5"/>
  <c r="I10" i="5"/>
  <c r="P10" i="5" s="1"/>
  <c r="G10" i="5"/>
  <c r="R9" i="5"/>
  <c r="Q9" i="5"/>
  <c r="I9" i="5"/>
  <c r="G9" i="5"/>
  <c r="N1" i="5"/>
  <c r="K72" i="5" s="1"/>
  <c r="G1" i="5"/>
  <c r="M127" i="4"/>
  <c r="J127" i="4"/>
  <c r="H127" i="4"/>
  <c r="K126" i="4"/>
  <c r="L126" i="4" s="1"/>
  <c r="I126" i="4"/>
  <c r="G126" i="4"/>
  <c r="K125" i="4"/>
  <c r="L125" i="4" s="1"/>
  <c r="I125" i="4"/>
  <c r="G125" i="4"/>
  <c r="K124" i="4"/>
  <c r="L124" i="4" s="1"/>
  <c r="I124" i="4"/>
  <c r="G124" i="4"/>
  <c r="K123" i="4"/>
  <c r="L123" i="4" s="1"/>
  <c r="I123" i="4"/>
  <c r="G123" i="4"/>
  <c r="K122" i="4"/>
  <c r="I122" i="4"/>
  <c r="G122" i="4"/>
  <c r="K121" i="4"/>
  <c r="L121" i="4" s="1"/>
  <c r="I121" i="4"/>
  <c r="G121" i="4"/>
  <c r="K120" i="4"/>
  <c r="L120" i="4" s="1"/>
  <c r="I120" i="4"/>
  <c r="G120" i="4"/>
  <c r="K119" i="4"/>
  <c r="L119" i="4" s="1"/>
  <c r="I119" i="4"/>
  <c r="G119" i="4"/>
  <c r="K118" i="4"/>
  <c r="L118" i="4" s="1"/>
  <c r="I118" i="4"/>
  <c r="G118" i="4"/>
  <c r="K117" i="4"/>
  <c r="L117" i="4" s="1"/>
  <c r="I117" i="4"/>
  <c r="G117" i="4"/>
  <c r="L116" i="4"/>
  <c r="K116" i="4"/>
  <c r="I116" i="4"/>
  <c r="G116" i="4"/>
  <c r="K115" i="4"/>
  <c r="L115" i="4" s="1"/>
  <c r="I115" i="4"/>
  <c r="G115" i="4"/>
  <c r="K114" i="4"/>
  <c r="L114" i="4" s="1"/>
  <c r="I114" i="4"/>
  <c r="G114" i="4"/>
  <c r="K113" i="4"/>
  <c r="L113" i="4" s="1"/>
  <c r="I113" i="4"/>
  <c r="G113" i="4"/>
  <c r="K112" i="4"/>
  <c r="L112" i="4" s="1"/>
  <c r="I112" i="4"/>
  <c r="G112" i="4"/>
  <c r="K111" i="4"/>
  <c r="L111" i="4" s="1"/>
  <c r="I111" i="4"/>
  <c r="G111" i="4"/>
  <c r="K110" i="4"/>
  <c r="L110" i="4" s="1"/>
  <c r="I110" i="4"/>
  <c r="G110" i="4"/>
  <c r="K109" i="4"/>
  <c r="L109" i="4" s="1"/>
  <c r="I109" i="4"/>
  <c r="G109" i="4"/>
  <c r="L108" i="4"/>
  <c r="G108" i="4"/>
  <c r="L107" i="4"/>
  <c r="G107" i="4"/>
  <c r="M102" i="4"/>
  <c r="K102" i="4"/>
  <c r="J102" i="4"/>
  <c r="I102" i="4"/>
  <c r="H102" i="4"/>
  <c r="L101" i="4"/>
  <c r="L100" i="4"/>
  <c r="L99" i="4"/>
  <c r="L98" i="4"/>
  <c r="L97" i="4"/>
  <c r="L96" i="4"/>
  <c r="G96" i="4"/>
  <c r="M91" i="4"/>
  <c r="K91" i="4"/>
  <c r="H91" i="4"/>
  <c r="I90" i="4"/>
  <c r="L90" i="4" s="1"/>
  <c r="G90" i="4"/>
  <c r="I89" i="4"/>
  <c r="L89" i="4" s="1"/>
  <c r="G89" i="4"/>
  <c r="J88" i="4"/>
  <c r="L88" i="4" s="1"/>
  <c r="G88" i="4"/>
  <c r="I87" i="4"/>
  <c r="L87" i="4" s="1"/>
  <c r="G87" i="4"/>
  <c r="J86" i="4"/>
  <c r="L86" i="4" s="1"/>
  <c r="I86" i="4"/>
  <c r="G86" i="4"/>
  <c r="I85" i="4"/>
  <c r="L85" i="4" s="1"/>
  <c r="G85" i="4"/>
  <c r="J84" i="4"/>
  <c r="I84" i="4"/>
  <c r="L84" i="4" s="1"/>
  <c r="G84" i="4"/>
  <c r="L83" i="4"/>
  <c r="J83" i="4"/>
  <c r="G83" i="4"/>
  <c r="I82" i="4"/>
  <c r="G82" i="4"/>
  <c r="I72" i="4"/>
  <c r="K71" i="4"/>
  <c r="J71" i="4"/>
  <c r="H71" i="4"/>
  <c r="K70" i="4"/>
  <c r="J70" i="4"/>
  <c r="H70" i="4"/>
  <c r="K69" i="4"/>
  <c r="J69" i="4"/>
  <c r="H69" i="4"/>
  <c r="K68" i="4"/>
  <c r="J68" i="4"/>
  <c r="H68" i="4"/>
  <c r="K67" i="4"/>
  <c r="J67" i="4"/>
  <c r="H67" i="4"/>
  <c r="K66" i="4"/>
  <c r="J66" i="4"/>
  <c r="H66" i="4"/>
  <c r="K65" i="4"/>
  <c r="J65" i="4"/>
  <c r="H65" i="4"/>
  <c r="K64" i="4"/>
  <c r="J64" i="4"/>
  <c r="H64" i="4"/>
  <c r="K63" i="4"/>
  <c r="J63" i="4"/>
  <c r="H63" i="4"/>
  <c r="K62" i="4"/>
  <c r="J62" i="4"/>
  <c r="H62" i="4"/>
  <c r="K61" i="4"/>
  <c r="J61" i="4"/>
  <c r="H61" i="4"/>
  <c r="K60" i="4"/>
  <c r="J60" i="4"/>
  <c r="H60" i="4"/>
  <c r="K59" i="4"/>
  <c r="J59" i="4"/>
  <c r="H59" i="4"/>
  <c r="K58" i="4"/>
  <c r="J58" i="4"/>
  <c r="H58" i="4"/>
  <c r="L54" i="4"/>
  <c r="K54" i="4"/>
  <c r="J54" i="4"/>
  <c r="I54" i="4"/>
  <c r="H53" i="4"/>
  <c r="H54" i="4" s="1"/>
  <c r="H52" i="4"/>
  <c r="G51" i="4"/>
  <c r="G54" i="4" s="1"/>
  <c r="O44" i="4"/>
  <c r="N44" i="4"/>
  <c r="M44" i="4"/>
  <c r="L44" i="4"/>
  <c r="B4" i="4"/>
  <c r="R43" i="4"/>
  <c r="Q43" i="4"/>
  <c r="I43" i="4"/>
  <c r="P43" i="4" s="1"/>
  <c r="G43" i="4"/>
  <c r="R42" i="4"/>
  <c r="Q42" i="4"/>
  <c r="I42" i="4"/>
  <c r="P42" i="4" s="1"/>
  <c r="G42" i="4"/>
  <c r="R41" i="4"/>
  <c r="Q41" i="4"/>
  <c r="I41" i="4"/>
  <c r="P41" i="4" s="1"/>
  <c r="G41" i="4"/>
  <c r="R40" i="4"/>
  <c r="Q40" i="4"/>
  <c r="I40" i="4"/>
  <c r="P40" i="4" s="1"/>
  <c r="G40" i="4"/>
  <c r="R39" i="4"/>
  <c r="Q39" i="4"/>
  <c r="I39" i="4"/>
  <c r="P39" i="4" s="1"/>
  <c r="G39" i="4"/>
  <c r="R38" i="4"/>
  <c r="Q38" i="4"/>
  <c r="I38" i="4"/>
  <c r="P38" i="4" s="1"/>
  <c r="G38" i="4"/>
  <c r="R37" i="4"/>
  <c r="Q37" i="4"/>
  <c r="I37" i="4"/>
  <c r="P37" i="4" s="1"/>
  <c r="G37" i="4"/>
  <c r="R36" i="4"/>
  <c r="Q36" i="4"/>
  <c r="I36" i="4"/>
  <c r="P36" i="4" s="1"/>
  <c r="G36" i="4"/>
  <c r="R35" i="4"/>
  <c r="Q35" i="4"/>
  <c r="I35" i="4"/>
  <c r="P35" i="4" s="1"/>
  <c r="G35" i="4"/>
  <c r="R34" i="4"/>
  <c r="Q34" i="4"/>
  <c r="I34" i="4"/>
  <c r="P34" i="4" s="1"/>
  <c r="G34" i="4"/>
  <c r="R33" i="4"/>
  <c r="Q33" i="4"/>
  <c r="I33" i="4"/>
  <c r="P33" i="4" s="1"/>
  <c r="G33" i="4"/>
  <c r="R32" i="4"/>
  <c r="Q32" i="4"/>
  <c r="I32" i="4"/>
  <c r="P32" i="4" s="1"/>
  <c r="G32" i="4"/>
  <c r="R31" i="4"/>
  <c r="Q31" i="4"/>
  <c r="I31" i="4"/>
  <c r="P31" i="4" s="1"/>
  <c r="G31" i="4"/>
  <c r="R30" i="4"/>
  <c r="Q30" i="4"/>
  <c r="I30" i="4"/>
  <c r="P30" i="4" s="1"/>
  <c r="G30" i="4"/>
  <c r="R29" i="4"/>
  <c r="Q29" i="4"/>
  <c r="I29" i="4"/>
  <c r="P29" i="4" s="1"/>
  <c r="G29" i="4"/>
  <c r="R28" i="4"/>
  <c r="Q28" i="4"/>
  <c r="I28" i="4"/>
  <c r="P28" i="4" s="1"/>
  <c r="G28" i="4"/>
  <c r="R27" i="4"/>
  <c r="Q27" i="4"/>
  <c r="I27" i="4"/>
  <c r="P27" i="4" s="1"/>
  <c r="G27" i="4"/>
  <c r="R26" i="4"/>
  <c r="Q26" i="4"/>
  <c r="I26" i="4"/>
  <c r="P26" i="4" s="1"/>
  <c r="G26" i="4"/>
  <c r="R25" i="4"/>
  <c r="Q25" i="4"/>
  <c r="I25" i="4"/>
  <c r="P25" i="4" s="1"/>
  <c r="G25" i="4"/>
  <c r="R24" i="4"/>
  <c r="Q24" i="4"/>
  <c r="I24" i="4"/>
  <c r="P24" i="4" s="1"/>
  <c r="G24" i="4"/>
  <c r="R23" i="4"/>
  <c r="Q23" i="4"/>
  <c r="I23" i="4"/>
  <c r="P23" i="4" s="1"/>
  <c r="G23" i="4"/>
  <c r="R22" i="4"/>
  <c r="Q22" i="4"/>
  <c r="J22" i="4"/>
  <c r="J44" i="4" s="1"/>
  <c r="G22" i="4"/>
  <c r="R21" i="4"/>
  <c r="Q21" i="4"/>
  <c r="I21" i="4"/>
  <c r="P21" i="4" s="1"/>
  <c r="G21" i="4"/>
  <c r="R20" i="4"/>
  <c r="Q20" i="4"/>
  <c r="I20" i="4"/>
  <c r="P20" i="4" s="1"/>
  <c r="G20" i="4"/>
  <c r="R19" i="4"/>
  <c r="Q19" i="4"/>
  <c r="I19" i="4"/>
  <c r="P19" i="4" s="1"/>
  <c r="G19" i="4"/>
  <c r="R18" i="4"/>
  <c r="Q18" i="4"/>
  <c r="I18" i="4"/>
  <c r="P18" i="4" s="1"/>
  <c r="G18" i="4"/>
  <c r="R17" i="4"/>
  <c r="Q17" i="4"/>
  <c r="K17" i="4"/>
  <c r="K44" i="4" s="1"/>
  <c r="I17" i="4"/>
  <c r="G17" i="4"/>
  <c r="R16" i="4"/>
  <c r="Q16" i="4"/>
  <c r="I16" i="4"/>
  <c r="P16" i="4" s="1"/>
  <c r="G16" i="4"/>
  <c r="R15" i="4"/>
  <c r="Q15" i="4"/>
  <c r="I15" i="4"/>
  <c r="P15" i="4" s="1"/>
  <c r="G15" i="4"/>
  <c r="R14" i="4"/>
  <c r="Q14" i="4"/>
  <c r="I14" i="4"/>
  <c r="P14" i="4" s="1"/>
  <c r="G14" i="4"/>
  <c r="R13" i="4"/>
  <c r="Q13" i="4"/>
  <c r="I13" i="4"/>
  <c r="P13" i="4" s="1"/>
  <c r="G13" i="4"/>
  <c r="R12" i="4"/>
  <c r="Q12" i="4"/>
  <c r="I12" i="4"/>
  <c r="P12" i="4" s="1"/>
  <c r="G12" i="4"/>
  <c r="R11" i="4"/>
  <c r="Q11" i="4"/>
  <c r="I11" i="4"/>
  <c r="P11" i="4" s="1"/>
  <c r="G11" i="4"/>
  <c r="R10" i="4"/>
  <c r="Q10" i="4"/>
  <c r="I10" i="4"/>
  <c r="P10" i="4" s="1"/>
  <c r="G10" i="4"/>
  <c r="R9" i="4"/>
  <c r="Q9" i="4"/>
  <c r="I9" i="4"/>
  <c r="P9" i="4" s="1"/>
  <c r="G9" i="4"/>
  <c r="N1" i="4"/>
  <c r="K78" i="4" s="1"/>
  <c r="G1" i="4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M141" i="3"/>
  <c r="J141" i="3"/>
  <c r="H141" i="3"/>
  <c r="K140" i="3"/>
  <c r="L140" i="3" s="1"/>
  <c r="I140" i="3"/>
  <c r="G140" i="3"/>
  <c r="K139" i="3"/>
  <c r="L139" i="3" s="1"/>
  <c r="I139" i="3"/>
  <c r="G139" i="3"/>
  <c r="K138" i="3"/>
  <c r="L138" i="3" s="1"/>
  <c r="I138" i="3"/>
  <c r="G138" i="3"/>
  <c r="K137" i="3"/>
  <c r="L137" i="3" s="1"/>
  <c r="I137" i="3"/>
  <c r="G137" i="3"/>
  <c r="K136" i="3"/>
  <c r="I136" i="3"/>
  <c r="G136" i="3"/>
  <c r="L135" i="3"/>
  <c r="G135" i="3"/>
  <c r="L134" i="3"/>
  <c r="G134" i="3"/>
  <c r="L133" i="3"/>
  <c r="G133" i="3"/>
  <c r="L132" i="3"/>
  <c r="G132" i="3"/>
  <c r="L131" i="3"/>
  <c r="G131" i="3"/>
  <c r="L130" i="3"/>
  <c r="G130" i="3"/>
  <c r="L129" i="3"/>
  <c r="G129" i="3"/>
  <c r="L128" i="3"/>
  <c r="G128" i="3"/>
  <c r="L127" i="3"/>
  <c r="G127" i="3"/>
  <c r="L126" i="3"/>
  <c r="G126" i="3"/>
  <c r="L125" i="3"/>
  <c r="G125" i="3"/>
  <c r="L124" i="3"/>
  <c r="G124" i="3"/>
  <c r="L123" i="3"/>
  <c r="G123" i="3"/>
  <c r="L122" i="3"/>
  <c r="G122" i="3"/>
  <c r="L121" i="3"/>
  <c r="G121" i="3"/>
  <c r="M116" i="3"/>
  <c r="K116" i="3"/>
  <c r="J116" i="3"/>
  <c r="H116" i="3"/>
  <c r="I115" i="3"/>
  <c r="L115" i="3" s="1"/>
  <c r="G115" i="3"/>
  <c r="I114" i="3"/>
  <c r="L114" i="3" s="1"/>
  <c r="G114" i="3"/>
  <c r="I113" i="3"/>
  <c r="L113" i="3" s="1"/>
  <c r="G113" i="3"/>
  <c r="I112" i="3"/>
  <c r="L112" i="3" s="1"/>
  <c r="G112" i="3"/>
  <c r="I111" i="3"/>
  <c r="L111" i="3" s="1"/>
  <c r="G111" i="3"/>
  <c r="K104" i="3"/>
  <c r="H104" i="3"/>
  <c r="I103" i="3"/>
  <c r="L103" i="3" s="1"/>
  <c r="G103" i="3"/>
  <c r="I102" i="3"/>
  <c r="L102" i="3" s="1"/>
  <c r="G102" i="3"/>
  <c r="I101" i="3"/>
  <c r="L101" i="3" s="1"/>
  <c r="G101" i="3"/>
  <c r="I100" i="3"/>
  <c r="L100" i="3" s="1"/>
  <c r="G100" i="3"/>
  <c r="I99" i="3"/>
  <c r="L99" i="3" s="1"/>
  <c r="G99" i="3"/>
  <c r="L98" i="3"/>
  <c r="J98" i="3"/>
  <c r="G98" i="3"/>
  <c r="I97" i="3"/>
  <c r="L97" i="3" s="1"/>
  <c r="G97" i="3"/>
  <c r="J96" i="3"/>
  <c r="L96" i="3" s="1"/>
  <c r="G96" i="3"/>
  <c r="I95" i="3"/>
  <c r="L95" i="3" s="1"/>
  <c r="G95" i="3"/>
  <c r="I94" i="3"/>
  <c r="L94" i="3" s="1"/>
  <c r="G94" i="3"/>
  <c r="I93" i="3"/>
  <c r="L93" i="3" s="1"/>
  <c r="G93" i="3"/>
  <c r="I92" i="3"/>
  <c r="L92" i="3" s="1"/>
  <c r="G92" i="3"/>
  <c r="J91" i="3"/>
  <c r="G91" i="3"/>
  <c r="I90" i="3"/>
  <c r="L90" i="3" s="1"/>
  <c r="G90" i="3"/>
  <c r="I89" i="3"/>
  <c r="L89" i="3" s="1"/>
  <c r="G89" i="3"/>
  <c r="I88" i="3"/>
  <c r="G88" i="3"/>
  <c r="K84" i="3"/>
  <c r="I78" i="3"/>
  <c r="K77" i="3"/>
  <c r="J77" i="3"/>
  <c r="H77" i="3"/>
  <c r="K76" i="3"/>
  <c r="J76" i="3"/>
  <c r="H76" i="3"/>
  <c r="K75" i="3"/>
  <c r="J75" i="3"/>
  <c r="H75" i="3"/>
  <c r="K74" i="3"/>
  <c r="J74" i="3"/>
  <c r="H74" i="3"/>
  <c r="K73" i="3"/>
  <c r="J73" i="3"/>
  <c r="H73" i="3"/>
  <c r="K72" i="3"/>
  <c r="J72" i="3"/>
  <c r="H72" i="3"/>
  <c r="K71" i="3"/>
  <c r="J71" i="3"/>
  <c r="H71" i="3"/>
  <c r="K70" i="3"/>
  <c r="J70" i="3"/>
  <c r="H70" i="3"/>
  <c r="K69" i="3"/>
  <c r="J69" i="3"/>
  <c r="H69" i="3"/>
  <c r="K68" i="3"/>
  <c r="J68" i="3"/>
  <c r="H68" i="3"/>
  <c r="K67" i="3"/>
  <c r="J67" i="3"/>
  <c r="H67" i="3"/>
  <c r="K66" i="3"/>
  <c r="J66" i="3"/>
  <c r="H66" i="3"/>
  <c r="K65" i="3"/>
  <c r="J65" i="3"/>
  <c r="H65" i="3"/>
  <c r="K64" i="3"/>
  <c r="J64" i="3"/>
  <c r="H64" i="3"/>
  <c r="K63" i="3"/>
  <c r="J63" i="3"/>
  <c r="H63" i="3"/>
  <c r="K62" i="3"/>
  <c r="J62" i="3"/>
  <c r="H62" i="3"/>
  <c r="K61" i="3"/>
  <c r="J61" i="3"/>
  <c r="H61" i="3"/>
  <c r="L55" i="3"/>
  <c r="K55" i="3"/>
  <c r="J55" i="3"/>
  <c r="I55" i="3"/>
  <c r="G55" i="3"/>
  <c r="H54" i="3"/>
  <c r="H53" i="3"/>
  <c r="H52" i="3"/>
  <c r="H51" i="3"/>
  <c r="H50" i="3"/>
  <c r="H49" i="3"/>
  <c r="O42" i="3"/>
  <c r="N42" i="3"/>
  <c r="M42" i="3"/>
  <c r="L42" i="3"/>
  <c r="K42" i="3"/>
  <c r="H42" i="3"/>
  <c r="R41" i="3"/>
  <c r="Q41" i="3"/>
  <c r="I41" i="3"/>
  <c r="P41" i="3" s="1"/>
  <c r="G41" i="3"/>
  <c r="R40" i="3"/>
  <c r="Q40" i="3"/>
  <c r="I40" i="3"/>
  <c r="P40" i="3" s="1"/>
  <c r="G40" i="3"/>
  <c r="R39" i="3"/>
  <c r="Q39" i="3"/>
  <c r="I39" i="3"/>
  <c r="P39" i="3" s="1"/>
  <c r="G39" i="3"/>
  <c r="R38" i="3"/>
  <c r="Q38" i="3"/>
  <c r="I38" i="3"/>
  <c r="P38" i="3" s="1"/>
  <c r="G38" i="3"/>
  <c r="R37" i="3"/>
  <c r="Q37" i="3"/>
  <c r="I37" i="3"/>
  <c r="P37" i="3" s="1"/>
  <c r="G37" i="3"/>
  <c r="R36" i="3"/>
  <c r="Q36" i="3"/>
  <c r="I36" i="3"/>
  <c r="P36" i="3" s="1"/>
  <c r="G36" i="3"/>
  <c r="R35" i="3"/>
  <c r="Q35" i="3"/>
  <c r="I35" i="3"/>
  <c r="P35" i="3" s="1"/>
  <c r="G35" i="3"/>
  <c r="R34" i="3"/>
  <c r="Q34" i="3"/>
  <c r="I34" i="3"/>
  <c r="P34" i="3" s="1"/>
  <c r="G34" i="3"/>
  <c r="R33" i="3"/>
  <c r="Q33" i="3"/>
  <c r="I33" i="3"/>
  <c r="P33" i="3" s="1"/>
  <c r="G33" i="3"/>
  <c r="R32" i="3"/>
  <c r="Q32" i="3"/>
  <c r="I32" i="3"/>
  <c r="P32" i="3" s="1"/>
  <c r="G32" i="3"/>
  <c r="R31" i="3"/>
  <c r="Q31" i="3"/>
  <c r="I31" i="3"/>
  <c r="P31" i="3" s="1"/>
  <c r="G31" i="3"/>
  <c r="R30" i="3"/>
  <c r="Q30" i="3"/>
  <c r="I30" i="3"/>
  <c r="P30" i="3" s="1"/>
  <c r="G30" i="3"/>
  <c r="R29" i="3"/>
  <c r="Q29" i="3"/>
  <c r="I29" i="3"/>
  <c r="P29" i="3" s="1"/>
  <c r="G29" i="3"/>
  <c r="R28" i="3"/>
  <c r="Q28" i="3"/>
  <c r="I28" i="3"/>
  <c r="P28" i="3" s="1"/>
  <c r="G28" i="3"/>
  <c r="R27" i="3"/>
  <c r="Q27" i="3"/>
  <c r="I27" i="3"/>
  <c r="P27" i="3" s="1"/>
  <c r="G27" i="3"/>
  <c r="R26" i="3"/>
  <c r="Q26" i="3"/>
  <c r="P26" i="3"/>
  <c r="I26" i="3"/>
  <c r="G26" i="3"/>
  <c r="R25" i="3"/>
  <c r="Q25" i="3"/>
  <c r="I25" i="3"/>
  <c r="P25" i="3" s="1"/>
  <c r="G25" i="3"/>
  <c r="R24" i="3"/>
  <c r="Q24" i="3"/>
  <c r="I24" i="3"/>
  <c r="P24" i="3" s="1"/>
  <c r="G24" i="3"/>
  <c r="R23" i="3"/>
  <c r="Q23" i="3"/>
  <c r="J23" i="3"/>
  <c r="J42" i="3" s="1"/>
  <c r="G23" i="3"/>
  <c r="R22" i="3"/>
  <c r="Q22" i="3"/>
  <c r="I22" i="3"/>
  <c r="P22" i="3" s="1"/>
  <c r="G22" i="3"/>
  <c r="R21" i="3"/>
  <c r="Q21" i="3"/>
  <c r="I21" i="3"/>
  <c r="P21" i="3" s="1"/>
  <c r="G21" i="3"/>
  <c r="R20" i="3"/>
  <c r="Q20" i="3"/>
  <c r="I20" i="3"/>
  <c r="P20" i="3" s="1"/>
  <c r="G20" i="3"/>
  <c r="R19" i="3"/>
  <c r="Q19" i="3"/>
  <c r="I19" i="3"/>
  <c r="P19" i="3" s="1"/>
  <c r="G19" i="3"/>
  <c r="R18" i="3"/>
  <c r="Q18" i="3"/>
  <c r="I18" i="3"/>
  <c r="P18" i="3" s="1"/>
  <c r="G18" i="3"/>
  <c r="R17" i="3"/>
  <c r="Q17" i="3"/>
  <c r="I17" i="3"/>
  <c r="P17" i="3" s="1"/>
  <c r="G17" i="3"/>
  <c r="R16" i="3"/>
  <c r="Q16" i="3"/>
  <c r="I16" i="3"/>
  <c r="P16" i="3" s="1"/>
  <c r="G16" i="3"/>
  <c r="R15" i="3"/>
  <c r="Q15" i="3"/>
  <c r="I15" i="3"/>
  <c r="P15" i="3" s="1"/>
  <c r="G15" i="3"/>
  <c r="R14" i="3"/>
  <c r="Q14" i="3"/>
  <c r="I14" i="3"/>
  <c r="P14" i="3" s="1"/>
  <c r="G14" i="3"/>
  <c r="R13" i="3"/>
  <c r="Q13" i="3"/>
  <c r="I13" i="3"/>
  <c r="P13" i="3" s="1"/>
  <c r="G13" i="3"/>
  <c r="R12" i="3"/>
  <c r="Q12" i="3"/>
  <c r="I12" i="3"/>
  <c r="P12" i="3" s="1"/>
  <c r="G12" i="3"/>
  <c r="R11" i="3"/>
  <c r="Q11" i="3"/>
  <c r="I11" i="3"/>
  <c r="P11" i="3" s="1"/>
  <c r="G11" i="3"/>
  <c r="R10" i="3"/>
  <c r="Q10" i="3"/>
  <c r="I10" i="3"/>
  <c r="G10" i="3"/>
  <c r="R9" i="3"/>
  <c r="Q9" i="3"/>
  <c r="I9" i="3"/>
  <c r="P9" i="3" s="1"/>
  <c r="G9" i="3"/>
  <c r="G1" i="3"/>
  <c r="G115" i="2"/>
  <c r="G114" i="2"/>
  <c r="G113" i="2"/>
  <c r="G112" i="2"/>
  <c r="G111" i="2"/>
  <c r="M107" i="2"/>
  <c r="K107" i="2"/>
  <c r="J107" i="2"/>
  <c r="H107" i="2"/>
  <c r="I106" i="2"/>
  <c r="I107" i="2" s="1"/>
  <c r="G106" i="2"/>
  <c r="G105" i="2"/>
  <c r="L104" i="2"/>
  <c r="G104" i="2"/>
  <c r="L103" i="2"/>
  <c r="G103" i="2"/>
  <c r="M98" i="2"/>
  <c r="L98" i="2"/>
  <c r="K98" i="2"/>
  <c r="J98" i="2"/>
  <c r="I98" i="2"/>
  <c r="H98" i="2"/>
  <c r="G92" i="2"/>
  <c r="M88" i="2"/>
  <c r="K88" i="2"/>
  <c r="J88" i="2"/>
  <c r="H88" i="2"/>
  <c r="I87" i="2"/>
  <c r="L87" i="2" s="1"/>
  <c r="G87" i="2"/>
  <c r="I86" i="2"/>
  <c r="L86" i="2" s="1"/>
  <c r="G86" i="2"/>
  <c r="L85" i="2"/>
  <c r="I85" i="2"/>
  <c r="G85" i="2"/>
  <c r="I84" i="2"/>
  <c r="L84" i="2" s="1"/>
  <c r="G84" i="2"/>
  <c r="I83" i="2"/>
  <c r="L83" i="2" s="1"/>
  <c r="G83" i="2"/>
  <c r="I82" i="2"/>
  <c r="L82" i="2" s="1"/>
  <c r="G82" i="2"/>
  <c r="I81" i="2"/>
  <c r="L81" i="2" s="1"/>
  <c r="G81" i="2"/>
  <c r="L80" i="2"/>
  <c r="G80" i="2"/>
  <c r="L79" i="2"/>
  <c r="G79" i="2"/>
  <c r="L78" i="2"/>
  <c r="G78" i="2"/>
  <c r="K74" i="2"/>
  <c r="I72" i="2"/>
  <c r="K71" i="2"/>
  <c r="J71" i="2"/>
  <c r="H71" i="2"/>
  <c r="K70" i="2"/>
  <c r="J70" i="2"/>
  <c r="H70" i="2"/>
  <c r="K69" i="2"/>
  <c r="J69" i="2"/>
  <c r="H69" i="2"/>
  <c r="K68" i="2"/>
  <c r="J68" i="2"/>
  <c r="H68" i="2"/>
  <c r="K67" i="2"/>
  <c r="J67" i="2"/>
  <c r="H67" i="2"/>
  <c r="K66" i="2"/>
  <c r="J66" i="2"/>
  <c r="H66" i="2"/>
  <c r="K65" i="2"/>
  <c r="J65" i="2"/>
  <c r="H65" i="2"/>
  <c r="K64" i="2"/>
  <c r="J64" i="2"/>
  <c r="H64" i="2"/>
  <c r="K63" i="2"/>
  <c r="J63" i="2"/>
  <c r="H63" i="2"/>
  <c r="K62" i="2"/>
  <c r="J62" i="2"/>
  <c r="H62" i="2"/>
  <c r="K61" i="2"/>
  <c r="J61" i="2"/>
  <c r="H61" i="2"/>
  <c r="K60" i="2"/>
  <c r="J60" i="2"/>
  <c r="H60" i="2"/>
  <c r="L54" i="2"/>
  <c r="K54" i="2"/>
  <c r="J54" i="2"/>
  <c r="I54" i="2"/>
  <c r="G54" i="2"/>
  <c r="H53" i="2"/>
  <c r="M53" i="2" s="1"/>
  <c r="H52" i="2"/>
  <c r="M52" i="2" s="1"/>
  <c r="H51" i="2"/>
  <c r="M51" i="2" s="1"/>
  <c r="H50" i="2"/>
  <c r="M50" i="2" s="1"/>
  <c r="H49" i="2"/>
  <c r="M49" i="2" s="1"/>
  <c r="M48" i="2"/>
  <c r="H48" i="2"/>
  <c r="H47" i="2"/>
  <c r="M47" i="2" s="1"/>
  <c r="H46" i="2"/>
  <c r="M46" i="2" s="1"/>
  <c r="M45" i="2"/>
  <c r="H45" i="2"/>
  <c r="H44" i="2"/>
  <c r="M44" i="2" s="1"/>
  <c r="O37" i="2"/>
  <c r="N37" i="2"/>
  <c r="M37" i="2"/>
  <c r="L37" i="2"/>
  <c r="H37" i="2"/>
  <c r="R36" i="2"/>
  <c r="Q36" i="2"/>
  <c r="I36" i="2"/>
  <c r="P36" i="2" s="1"/>
  <c r="G36" i="2"/>
  <c r="R35" i="2"/>
  <c r="Q35" i="2"/>
  <c r="I35" i="2"/>
  <c r="P35" i="2" s="1"/>
  <c r="G35" i="2"/>
  <c r="R34" i="2"/>
  <c r="Q34" i="2"/>
  <c r="I34" i="2"/>
  <c r="P34" i="2" s="1"/>
  <c r="G34" i="2"/>
  <c r="R33" i="2"/>
  <c r="Q33" i="2"/>
  <c r="I33" i="2"/>
  <c r="P33" i="2" s="1"/>
  <c r="G33" i="2"/>
  <c r="R32" i="2"/>
  <c r="Q32" i="2"/>
  <c r="K32" i="2"/>
  <c r="P32" i="2" s="1"/>
  <c r="G32" i="2"/>
  <c r="R31" i="2"/>
  <c r="Q31" i="2"/>
  <c r="K31" i="2"/>
  <c r="K37" i="2" s="1"/>
  <c r="G31" i="2"/>
  <c r="R30" i="2"/>
  <c r="Q30" i="2"/>
  <c r="J30" i="2"/>
  <c r="P30" i="2" s="1"/>
  <c r="G30" i="2"/>
  <c r="R29" i="2"/>
  <c r="Q29" i="2"/>
  <c r="I29" i="2"/>
  <c r="P29" i="2" s="1"/>
  <c r="G29" i="2"/>
  <c r="R28" i="2"/>
  <c r="Q28" i="2"/>
  <c r="I28" i="2"/>
  <c r="P28" i="2" s="1"/>
  <c r="G28" i="2"/>
  <c r="R27" i="2"/>
  <c r="Q27" i="2"/>
  <c r="I27" i="2"/>
  <c r="P27" i="2" s="1"/>
  <c r="G27" i="2"/>
  <c r="R26" i="2"/>
  <c r="Q26" i="2"/>
  <c r="I26" i="2"/>
  <c r="P26" i="2" s="1"/>
  <c r="G26" i="2"/>
  <c r="R25" i="2"/>
  <c r="Q25" i="2"/>
  <c r="I25" i="2"/>
  <c r="P25" i="2" s="1"/>
  <c r="G25" i="2"/>
  <c r="R24" i="2"/>
  <c r="Q24" i="2"/>
  <c r="I24" i="2"/>
  <c r="P24" i="2" s="1"/>
  <c r="G24" i="2"/>
  <c r="R23" i="2"/>
  <c r="Q23" i="2"/>
  <c r="I23" i="2"/>
  <c r="P23" i="2" s="1"/>
  <c r="G23" i="2"/>
  <c r="R22" i="2"/>
  <c r="Q22" i="2"/>
  <c r="I22" i="2"/>
  <c r="P22" i="2" s="1"/>
  <c r="G22" i="2"/>
  <c r="R21" i="2"/>
  <c r="Q21" i="2"/>
  <c r="I21" i="2"/>
  <c r="P21" i="2" s="1"/>
  <c r="G21" i="2"/>
  <c r="R20" i="2"/>
  <c r="Q20" i="2"/>
  <c r="I20" i="2"/>
  <c r="P20" i="2" s="1"/>
  <c r="G20" i="2"/>
  <c r="R19" i="2"/>
  <c r="Q19" i="2"/>
  <c r="I19" i="2"/>
  <c r="P19" i="2" s="1"/>
  <c r="G19" i="2"/>
  <c r="R18" i="2"/>
  <c r="Q18" i="2"/>
  <c r="I18" i="2"/>
  <c r="P18" i="2" s="1"/>
  <c r="G18" i="2"/>
  <c r="R17" i="2"/>
  <c r="Q17" i="2"/>
  <c r="I17" i="2"/>
  <c r="P17" i="2" s="1"/>
  <c r="G17" i="2"/>
  <c r="R16" i="2"/>
  <c r="Q16" i="2"/>
  <c r="I16" i="2"/>
  <c r="P16" i="2" s="1"/>
  <c r="G16" i="2"/>
  <c r="R15" i="2"/>
  <c r="Q15" i="2"/>
  <c r="I15" i="2"/>
  <c r="P15" i="2" s="1"/>
  <c r="G15" i="2"/>
  <c r="R14" i="2"/>
  <c r="Q14" i="2"/>
  <c r="I14" i="2"/>
  <c r="P14" i="2" s="1"/>
  <c r="G14" i="2"/>
  <c r="R13" i="2"/>
  <c r="Q13" i="2"/>
  <c r="I13" i="2"/>
  <c r="P13" i="2" s="1"/>
  <c r="G13" i="2"/>
  <c r="R12" i="2"/>
  <c r="Q12" i="2"/>
  <c r="I12" i="2"/>
  <c r="P12" i="2" s="1"/>
  <c r="G12" i="2"/>
  <c r="R11" i="2"/>
  <c r="Q11" i="2"/>
  <c r="I11" i="2"/>
  <c r="P11" i="2" s="1"/>
  <c r="G11" i="2"/>
  <c r="R10" i="2"/>
  <c r="Q10" i="2"/>
  <c r="I10" i="2"/>
  <c r="P10" i="2" s="1"/>
  <c r="G10" i="2"/>
  <c r="R9" i="2"/>
  <c r="Q9" i="2"/>
  <c r="I9" i="2"/>
  <c r="G9" i="2"/>
  <c r="J4" i="13" l="1"/>
  <c r="P42" i="9"/>
  <c r="P33" i="9"/>
  <c r="P40" i="9"/>
  <c r="P41" i="9"/>
  <c r="P45" i="9"/>
  <c r="P10" i="9"/>
  <c r="P44" i="9"/>
  <c r="P43" i="9"/>
  <c r="P48" i="9"/>
  <c r="P23" i="9"/>
  <c r="P12" i="9"/>
  <c r="P31" i="9"/>
  <c r="P35" i="9"/>
  <c r="P37" i="9"/>
  <c r="P46" i="9"/>
  <c r="P17" i="4"/>
  <c r="B4" i="7"/>
  <c r="J129" i="6"/>
  <c r="M109" i="10"/>
  <c r="M98" i="11"/>
  <c r="P39" i="9"/>
  <c r="I49" i="9"/>
  <c r="B4" i="11"/>
  <c r="J4" i="11"/>
  <c r="P10" i="10"/>
  <c r="Q42" i="10"/>
  <c r="R42" i="10"/>
  <c r="I42" i="10"/>
  <c r="G4" i="10" s="1"/>
  <c r="L92" i="10"/>
  <c r="I92" i="10"/>
  <c r="M4" i="10" s="1"/>
  <c r="I104" i="3"/>
  <c r="J4" i="4"/>
  <c r="J103" i="5"/>
  <c r="H60" i="6"/>
  <c r="J4" i="7"/>
  <c r="H60" i="9"/>
  <c r="L92" i="11"/>
  <c r="B4" i="13"/>
  <c r="J4" i="2"/>
  <c r="B4" i="3"/>
  <c r="M55" i="6"/>
  <c r="J91" i="7"/>
  <c r="P22" i="4"/>
  <c r="P40" i="6"/>
  <c r="T40" i="6" s="1"/>
  <c r="L107" i="9"/>
  <c r="P44" i="8"/>
  <c r="P27" i="9"/>
  <c r="J4" i="9"/>
  <c r="B4" i="9"/>
  <c r="L119" i="9"/>
  <c r="L102" i="4"/>
  <c r="L72" i="11"/>
  <c r="L81" i="11" s="1"/>
  <c r="L101" i="7"/>
  <c r="J4" i="12"/>
  <c r="P31" i="2"/>
  <c r="I42" i="3"/>
  <c r="G4" i="3" s="1"/>
  <c r="H55" i="3"/>
  <c r="J4" i="3"/>
  <c r="I35" i="5"/>
  <c r="P10" i="3"/>
  <c r="I127" i="4"/>
  <c r="I48" i="6"/>
  <c r="G4" i="6" s="1"/>
  <c r="I37" i="2"/>
  <c r="J104" i="3"/>
  <c r="P9" i="5"/>
  <c r="P35" i="5" s="1"/>
  <c r="P9" i="6"/>
  <c r="T9" i="6" s="1"/>
  <c r="P9" i="2"/>
  <c r="P37" i="2" s="1"/>
  <c r="B4" i="2"/>
  <c r="L107" i="2"/>
  <c r="P23" i="3"/>
  <c r="P42" i="3" s="1"/>
  <c r="L91" i="3"/>
  <c r="B4" i="6"/>
  <c r="L102" i="12"/>
  <c r="L111" i="12"/>
  <c r="H54" i="2"/>
  <c r="I55" i="2" s="1"/>
  <c r="I141" i="3"/>
  <c r="H51" i="10"/>
  <c r="H54" i="13"/>
  <c r="L85" i="5"/>
  <c r="J4" i="5"/>
  <c r="L102" i="10"/>
  <c r="L116" i="3"/>
  <c r="P35" i="12"/>
  <c r="L77" i="5"/>
  <c r="P15" i="6"/>
  <c r="T15" i="6" s="1"/>
  <c r="H39" i="11"/>
  <c r="H42" i="11" s="1"/>
  <c r="K63" i="8"/>
  <c r="B4" i="8"/>
  <c r="P14" i="8"/>
  <c r="P63" i="8" s="1"/>
  <c r="L141" i="8"/>
  <c r="I141" i="8"/>
  <c r="H74" i="8"/>
  <c r="L130" i="8"/>
  <c r="I119" i="8"/>
  <c r="J4" i="8"/>
  <c r="P44" i="4"/>
  <c r="L88" i="2"/>
  <c r="L141" i="3"/>
  <c r="J37" i="2"/>
  <c r="I88" i="2"/>
  <c r="M4" i="2" s="1"/>
  <c r="I116" i="3"/>
  <c r="L88" i="3"/>
  <c r="L104" i="3" s="1"/>
  <c r="I91" i="4"/>
  <c r="L82" i="4"/>
  <c r="L91" i="4" s="1"/>
  <c r="J91" i="4"/>
  <c r="J35" i="5"/>
  <c r="H47" i="5"/>
  <c r="B4" i="5"/>
  <c r="I103" i="6"/>
  <c r="I114" i="6"/>
  <c r="I42" i="7"/>
  <c r="P9" i="7"/>
  <c r="P42" i="7" s="1"/>
  <c r="J42" i="7"/>
  <c r="L119" i="8"/>
  <c r="J91" i="12"/>
  <c r="J86" i="5"/>
  <c r="L76" i="5"/>
  <c r="L86" i="5" s="1"/>
  <c r="I44" i="4"/>
  <c r="G4" i="4" s="1"/>
  <c r="L127" i="4"/>
  <c r="L96" i="9"/>
  <c r="L96" i="13"/>
  <c r="I86" i="5"/>
  <c r="I96" i="5"/>
  <c r="L90" i="5"/>
  <c r="L96" i="5" s="1"/>
  <c r="J103" i="6"/>
  <c r="L99" i="6"/>
  <c r="L103" i="6" s="1"/>
  <c r="H114" i="6"/>
  <c r="J4" i="6" s="1"/>
  <c r="I91" i="7"/>
  <c r="M4" i="7" s="1"/>
  <c r="L81" i="7"/>
  <c r="L91" i="7" s="1"/>
  <c r="I63" i="8"/>
  <c r="P9" i="10"/>
  <c r="I35" i="12"/>
  <c r="P15" i="10"/>
  <c r="I39" i="13"/>
  <c r="P9" i="13"/>
  <c r="P39" i="13" s="1"/>
  <c r="I96" i="13"/>
  <c r="M4" i="13" s="1"/>
  <c r="I96" i="9"/>
  <c r="M4" i="9" s="1"/>
  <c r="I32" i="11"/>
  <c r="P9" i="11"/>
  <c r="P32" i="11" s="1"/>
  <c r="I91" i="12"/>
  <c r="G11" i="15"/>
  <c r="L18" i="15"/>
  <c r="I81" i="11"/>
  <c r="M4" i="11" s="1"/>
  <c r="G4" i="15"/>
  <c r="L11" i="15"/>
  <c r="B25" i="15"/>
  <c r="L4" i="15"/>
  <c r="B18" i="15"/>
  <c r="G25" i="15"/>
  <c r="B11" i="15"/>
  <c r="G18" i="15"/>
  <c r="G4" i="2" l="1"/>
  <c r="P4" i="2" s="1"/>
  <c r="G4" i="13"/>
  <c r="L91" i="12"/>
  <c r="P48" i="6"/>
  <c r="M4" i="3"/>
  <c r="P42" i="10"/>
  <c r="P49" i="9"/>
  <c r="G4" i="11"/>
  <c r="P4" i="11" s="1"/>
  <c r="G4" i="9"/>
  <c r="P4" i="9" s="1"/>
  <c r="G4" i="5"/>
  <c r="M4" i="5"/>
  <c r="M4" i="8"/>
  <c r="G4" i="8"/>
  <c r="P4" i="8" s="1"/>
  <c r="M74" i="8"/>
  <c r="P4" i="10"/>
  <c r="G4" i="7"/>
  <c r="P4" i="7" s="1"/>
  <c r="M4" i="4"/>
  <c r="P4" i="4" s="1"/>
  <c r="P4" i="13"/>
  <c r="P4" i="3"/>
  <c r="M4" i="12"/>
  <c r="M4" i="6"/>
  <c r="P4" i="6" s="1"/>
  <c r="P4" i="5" l="1"/>
  <c r="H51" i="12"/>
  <c r="G4" i="12" s="1"/>
  <c r="P4" i="12" s="1"/>
  <c r="G51" i="12"/>
  <c r="B4" i="12" s="1"/>
</calcChain>
</file>

<file path=xl/sharedStrings.xml><?xml version="1.0" encoding="utf-8"?>
<sst xmlns="http://schemas.openxmlformats.org/spreadsheetml/2006/main" count="3564" uniqueCount="1610">
  <si>
    <t>CUIT</t>
  </si>
  <si>
    <t>RAZON SOCIAL</t>
  </si>
  <si>
    <t>Tipo de Gasto</t>
  </si>
  <si>
    <t>PROVINCIA</t>
  </si>
  <si>
    <t>100000 LAMPARAS SRL</t>
  </si>
  <si>
    <t>Mercaderia</t>
  </si>
  <si>
    <t>4KRC SA</t>
  </si>
  <si>
    <t>Mantenimiento</t>
  </si>
  <si>
    <t>Servicios Gas, Luz, etc.</t>
  </si>
  <si>
    <t>5 CEPAS S.R.L.</t>
  </si>
  <si>
    <t>MERCADERIA</t>
  </si>
  <si>
    <t>Gastos catering</t>
  </si>
  <si>
    <t>60 LIBRAS SRL</t>
  </si>
  <si>
    <t>Combustibe</t>
  </si>
  <si>
    <t>A R C CONSTRUCCIONES S.A.</t>
  </si>
  <si>
    <t>Gastos Varios</t>
  </si>
  <si>
    <t>A. RUSSONIELLO SA</t>
  </si>
  <si>
    <t>SERVICIOS</t>
  </si>
  <si>
    <t>Gastos seguridad</t>
  </si>
  <si>
    <t>A.M. PESCIO S.C.A</t>
  </si>
  <si>
    <t>Librería</t>
  </si>
  <si>
    <t>ABBS POINT DESING S.A.</t>
  </si>
  <si>
    <t xml:space="preserve">Gastos mantenimiento </t>
  </si>
  <si>
    <t>ABEL JAVIER KLAINER</t>
  </si>
  <si>
    <t xml:space="preserve">Gastos comercializacion </t>
  </si>
  <si>
    <t>ABELSON SA</t>
  </si>
  <si>
    <t>Alquiler</t>
  </si>
  <si>
    <t>ACCESOR SRL</t>
  </si>
  <si>
    <t>Honorarios contables</t>
  </si>
  <si>
    <t>ACEROSALFA SA</t>
  </si>
  <si>
    <t>Gastos administrativos</t>
  </si>
  <si>
    <t>ACLOS ASOC. CIVIL PARA LA LONG</t>
  </si>
  <si>
    <t>Seguro</t>
  </si>
  <si>
    <t>ADSE S.A</t>
  </si>
  <si>
    <t>Extracto</t>
  </si>
  <si>
    <t>ADUEARDO FRANCISCO NARDOMARINO</t>
  </si>
  <si>
    <t>Flete</t>
  </si>
  <si>
    <t>AGH S.A</t>
  </si>
  <si>
    <t>Honorarios Legales</t>
  </si>
  <si>
    <t>AGRACO S.A</t>
  </si>
  <si>
    <t>Insumo</t>
  </si>
  <si>
    <t>AGUA Y SANEAMIENTOS ARG SA</t>
  </si>
  <si>
    <t>Muebles y Utiles</t>
  </si>
  <si>
    <t>AKIAN GRAFICA EDITORA SA</t>
  </si>
  <si>
    <t>Otros</t>
  </si>
  <si>
    <t>ALANAR S.R.L.</t>
  </si>
  <si>
    <t>Telefonia</t>
  </si>
  <si>
    <t xml:space="preserve">ALEJANDRO DARIO LOPEZ </t>
  </si>
  <si>
    <t>Alojamiento-Varios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</si>
  <si>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</si>
  <si>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</si>
  <si>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</si>
  <si>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</si>
  <si>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</si>
  <si>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ALKO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</si>
  <si>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</si>
  <si>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</si>
  <si>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</si>
  <si>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</si>
  <si>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</si>
  <si>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</si>
  <si>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</si>
  <si>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</si>
  <si>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</si>
  <si>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</si>
  <si>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</si>
  <si>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AQUALAF S.A.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</si>
  <si>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</si>
  <si>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</si>
  <si>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</si>
  <si>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</si>
  <si>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</si>
  <si>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</si>
  <si>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</si>
  <si>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</si>
  <si>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</si>
  <si>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</si>
  <si>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</si>
  <si>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</si>
  <si>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</si>
  <si>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</si>
  <si>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</si>
  <si>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</si>
  <si>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</si>
  <si>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</si>
  <si>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</si>
  <si>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</si>
  <si>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</si>
  <si>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</si>
  <si>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</si>
  <si>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 30607371799</t>
  </si>
  <si>
    <t>AUTOSERVICIO DIARCO SA</t>
  </si>
  <si>
    <t>VARAS TOLEDO SEBASTIAN</t>
  </si>
  <si>
    <t>MARAKANA SRL</t>
  </si>
  <si>
    <t>AVANCE-MAG</t>
  </si>
  <si>
    <t>AVILA MARTIN LEONARDO</t>
  </si>
  <si>
    <t>AXION ENERGY ARG SA</t>
  </si>
  <si>
    <t>COMBUSTIBLE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</si>
  <si>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</si>
  <si>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</si>
  <si>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</si>
  <si>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</si>
  <si>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</si>
  <si>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</si>
  <si>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</si>
  <si>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</si>
  <si>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</si>
  <si>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</si>
  <si>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</si>
  <si>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</si>
  <si>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</si>
  <si>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</si>
  <si>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</si>
  <si>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</si>
  <si>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</si>
  <si>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</si>
  <si>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</si>
  <si>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>BODEGA DON BOSCO</t>
  </si>
  <si>
    <t>body group feliz srl</t>
  </si>
  <si>
    <t xml:space="preserve">BOECHI JUAN </t>
  </si>
  <si>
    <t>BOSAN SA</t>
  </si>
  <si>
    <t>BOTINDARI JUAN IGNACIO</t>
  </si>
  <si>
    <t>HONORARIOS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</si>
  <si>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</si>
  <si>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</si>
  <si>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</si>
  <si>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</si>
  <si>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</si>
  <si>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</si>
  <si>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</si>
  <si>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LIBRERÍA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</si>
  <si>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</si>
  <si>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</si>
  <si>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</si>
  <si>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</si>
  <si>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</si>
  <si>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</si>
  <si>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</si>
  <si>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</si>
  <si>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</si>
  <si>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</si>
  <si>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</si>
  <si>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</si>
  <si>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</si>
  <si>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</si>
  <si>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</si>
  <si>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</si>
  <si>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</si>
  <si>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CENCOSUD S.A.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</si>
  <si>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</si>
  <si>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</si>
  <si>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</si>
  <si>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</si>
  <si>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</si>
  <si>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</si>
  <si>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</si>
  <si>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</si>
  <si>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</si>
  <si>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</si>
  <si>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</si>
  <si>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</si>
  <si>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</si>
  <si>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</si>
  <si>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COCA COLA FEMSA DE BS AS SA</t>
  </si>
  <si>
    <t>COHUI SA</t>
  </si>
  <si>
    <t>COLAFRANCESCO RICARDO DANIEL</t>
  </si>
  <si>
    <t>COLTEX SRL</t>
  </si>
  <si>
    <t>COMERCIAL  ALPACA SA</t>
  </si>
  <si>
    <t>COMERCIAL ALPACA SA</t>
  </si>
  <si>
    <t>Comercial e Industrial SRL</t>
  </si>
  <si>
    <t>27-14744212-8</t>
  </si>
  <si>
    <t>como lo soñe</t>
  </si>
  <si>
    <t>COMPAÑÍA AMERICANA DE LAPICES S.R.L.</t>
  </si>
  <si>
    <t>COMPUMUNDO</t>
  </si>
  <si>
    <t>CONFITERIA GRAN CORDOBA</t>
  </si>
  <si>
    <t>CONSORCIO BTOME MITRE 2466</t>
  </si>
  <si>
    <t>ALQUILER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</si>
  <si>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</si>
  <si>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</si>
  <si>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</si>
  <si>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</si>
  <si>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</si>
  <si>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</si>
  <si>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</si>
  <si>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</si>
  <si>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</si>
  <si>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COTO CICSA</t>
  </si>
  <si>
    <t>CPDD SRL</t>
  </si>
  <si>
    <t>CRISTALERIA MARIA LUJAN S.R.L.</t>
  </si>
  <si>
    <t>CRYSLAN SA</t>
  </si>
  <si>
    <t>CSKY S.A</t>
  </si>
  <si>
    <t>CUELLAR OMAR EDGARDO</t>
  </si>
  <si>
    <t>CUEROSUR</t>
  </si>
  <si>
    <t>D ACCORD SA</t>
  </si>
  <si>
    <t>DALAMY S.A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</si>
  <si>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</si>
  <si>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</si>
  <si>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</si>
  <si>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</si>
  <si>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</si>
  <si>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</si>
  <si>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</si>
  <si>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</si>
  <si>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</si>
  <si>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</si>
  <si>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</si>
  <si>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DEHEZA SAICF E I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</si>
  <si>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</si>
  <si>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</si>
  <si>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</si>
  <si>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</si>
  <si>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</si>
  <si>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</si>
  <si>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</si>
  <si>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</si>
  <si>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</si>
  <si>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</si>
  <si>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</si>
  <si>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</si>
  <si>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</si>
  <si>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</si>
  <si>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</si>
  <si>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</si>
  <si>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</si>
  <si>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</si>
  <si>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</si>
  <si>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</si>
  <si>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</si>
  <si>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</si>
  <si>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</si>
  <si>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</si>
  <si>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</si>
  <si>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</si>
  <si>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</si>
  <si>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</si>
  <si>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</si>
  <si>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</si>
  <si>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</si>
  <si>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</si>
  <si>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</si>
  <si>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</si>
  <si>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GRAFICA Y FOTOGRABADOS LA PLAZA SRL</t>
  </si>
  <si>
    <t>MATERIALES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</si>
  <si>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</si>
  <si>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</si>
  <si>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</si>
  <si>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</si>
  <si>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</si>
  <si>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</si>
  <si>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</si>
  <si>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</si>
  <si>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</si>
  <si>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</si>
  <si>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</si>
  <si>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</si>
  <si>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</si>
  <si>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ESTACION DE SERVICIO</t>
  </si>
  <si>
    <t>ESTEBAN URRESTI</t>
  </si>
  <si>
    <t>ESTUDIO BOTINDARI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</si>
  <si>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</si>
  <si>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</si>
  <si>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</si>
  <si>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</si>
  <si>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</si>
  <si>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</si>
  <si>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</si>
  <si>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</si>
  <si>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FAMILIA GRION S.R.L.</t>
  </si>
  <si>
    <t>FAVICUR ICSA</t>
  </si>
  <si>
    <t>FEDERAC. PATRONAL SEG. SA</t>
  </si>
  <si>
    <t>SEGURO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</si>
  <si>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</si>
  <si>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</si>
  <si>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</si>
  <si>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</si>
  <si>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</si>
  <si>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</si>
  <si>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</si>
  <si>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</si>
  <si>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MercaderiaS</t>
  </si>
  <si>
    <t>FERRT.INDUS.ONCE SRL</t>
  </si>
  <si>
    <t>FERRUM SA</t>
  </si>
  <si>
    <t>FHAVILL SA</t>
  </si>
  <si>
    <t>FIAMINGOLEANDRO MARTIN</t>
  </si>
  <si>
    <t>Servicios</t>
  </si>
  <si>
    <t>FINCAS DEL LIMAY S.A.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</si>
  <si>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</si>
  <si>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</si>
  <si>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</si>
  <si>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</si>
  <si>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</si>
  <si>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</si>
  <si>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</si>
  <si>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</si>
  <si>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</si>
  <si>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</si>
  <si>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</si>
  <si>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</si>
  <si>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OTROS</t>
  </si>
  <si>
    <t>GABRIEL GONZALEZ SAGASETA</t>
  </si>
  <si>
    <t>GAED S.H.</t>
  </si>
  <si>
    <t>GALANDER SA</t>
  </si>
  <si>
    <t>GALENO ARGENTINA S.A</t>
  </si>
  <si>
    <t>GALENO ART S.A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</si>
  <si>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</si>
  <si>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</si>
  <si>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</si>
  <si>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</si>
  <si>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</si>
  <si>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</si>
  <si>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</si>
  <si>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</si>
  <si>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</si>
  <si>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</si>
  <si>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</si>
  <si>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</si>
  <si>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>GLOBAL BRANDS DEVELOPMENT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</si>
  <si>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</si>
  <si>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</si>
  <si>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</si>
  <si>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</si>
  <si>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</si>
  <si>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</si>
  <si>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</si>
  <si>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</si>
  <si>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</si>
  <si>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</si>
  <si>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BAIO S.A.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</si>
  <si>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</si>
  <si>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</si>
  <si>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</si>
  <si>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</si>
  <si>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</si>
  <si>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</si>
  <si>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</si>
  <si>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</si>
  <si>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</si>
  <si>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</si>
  <si>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</si>
  <si>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</si>
  <si>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</si>
  <si>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</si>
  <si>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</si>
  <si>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</si>
  <si>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</si>
  <si>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</si>
  <si>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</si>
  <si>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</si>
  <si>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</si>
  <si>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</si>
  <si>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</si>
  <si>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</si>
  <si>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</si>
  <si>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</si>
  <si>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</si>
  <si>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</si>
  <si>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</si>
  <si>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</si>
  <si>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</si>
  <si>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IFM ELECTRONIC 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</si>
  <si>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</si>
  <si>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</si>
  <si>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</si>
  <si>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</si>
  <si>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</si>
  <si>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</si>
  <si>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</si>
  <si>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</si>
  <si>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</si>
  <si>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</si>
  <si>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</si>
  <si>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INV. MINORISTA SA</t>
  </si>
  <si>
    <t>IPANCO S.R.L.</t>
  </si>
  <si>
    <t xml:space="preserve">IRAOLA Y CIA SA </t>
  </si>
  <si>
    <t>IRIME SRL</t>
  </si>
  <si>
    <t>ITALOMED PRODUCTOS</t>
  </si>
  <si>
    <t>ITALSUR S.A.</t>
  </si>
  <si>
    <t xml:space="preserve">ITAR AMOBLAMIENTOS SRL </t>
  </si>
  <si>
    <t>JANET W SA</t>
  </si>
  <si>
    <t>JARSE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</si>
  <si>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</si>
  <si>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</si>
  <si>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</si>
  <si>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</si>
  <si>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</si>
  <si>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</si>
  <si>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</si>
  <si>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</si>
  <si>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</si>
  <si>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</si>
  <si>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</si>
  <si>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</si>
  <si>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</si>
  <si>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</si>
  <si>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</si>
  <si>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</si>
  <si>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</si>
  <si>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KTL S.A.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</si>
  <si>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</si>
  <si>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</si>
  <si>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</si>
  <si>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</si>
  <si>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</si>
  <si>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</si>
  <si>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</si>
  <si>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</si>
  <si>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</si>
  <si>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</si>
  <si>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</si>
  <si>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</si>
  <si>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</si>
  <si>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</si>
  <si>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</si>
  <si>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</si>
  <si>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</si>
  <si>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</si>
  <si>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</si>
  <si>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</si>
  <si>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LIN XINYONG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</si>
  <si>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</si>
  <si>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</si>
  <si>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</si>
  <si>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</si>
  <si>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</si>
  <si>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</si>
  <si>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</si>
  <si>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</si>
  <si>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</si>
  <si>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</si>
  <si>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</si>
  <si>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</si>
  <si>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</si>
  <si>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MAKRO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</si>
  <si>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</si>
  <si>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</si>
  <si>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</si>
  <si>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</si>
  <si>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</si>
  <si>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</si>
  <si>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</si>
  <si>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</si>
  <si>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</si>
  <si>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</si>
  <si>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</si>
  <si>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MASSUAR</t>
  </si>
  <si>
    <t>MAYCAR S.A</t>
  </si>
  <si>
    <t>MB Papeles SRL</t>
  </si>
  <si>
    <t>MBP PROVEEDORES INDUSTRIALES</t>
  </si>
  <si>
    <t>MD CARGAS</t>
  </si>
  <si>
    <t>FLETE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</si>
  <si>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</si>
  <si>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</si>
  <si>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</si>
  <si>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</si>
  <si>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</si>
  <si>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</si>
  <si>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MEGAH SRL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</si>
  <si>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</si>
  <si>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</si>
  <si>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</si>
  <si>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</si>
  <si>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</si>
  <si>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</si>
  <si>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</si>
  <si>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</si>
  <si>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</si>
  <si>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GASTO DE COMERCIALIZACION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</si>
  <si>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</si>
  <si>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</si>
  <si>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</si>
  <si>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</si>
  <si>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</si>
  <si>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</si>
  <si>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</si>
  <si>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</si>
  <si>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</si>
  <si>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</si>
  <si>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</si>
  <si>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</si>
  <si>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</si>
  <si>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MOLINOS RIO DE LA PLATA SA</t>
  </si>
  <si>
    <t>MONDOVINO S.A.</t>
  </si>
  <si>
    <t>MONTENEGRO LUCIO FANDOR</t>
  </si>
  <si>
    <t xml:space="preserve">MORON GOMA A </t>
  </si>
  <si>
    <t>MOTORVILLE SA</t>
  </si>
  <si>
    <t>MR ALTER CORPORATION SRL</t>
  </si>
  <si>
    <t>MR CAVALIERI SA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</si>
  <si>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</si>
  <si>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</si>
  <si>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</si>
  <si>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</si>
  <si>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</si>
  <si>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</si>
  <si>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</si>
  <si>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</si>
  <si>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</si>
  <si>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</si>
  <si>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</si>
  <si>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</si>
  <si>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</si>
  <si>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</si>
  <si>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</si>
  <si>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</si>
  <si>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</si>
  <si>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</si>
  <si>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</si>
  <si>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</si>
  <si>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</si>
  <si>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</si>
  <si>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</si>
  <si>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</si>
  <si>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</si>
  <si>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</si>
  <si>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</si>
  <si>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</si>
  <si>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</si>
  <si>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</si>
  <si>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</si>
  <si>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</si>
  <si>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</si>
  <si>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</si>
  <si>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</si>
  <si>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</si>
  <si>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</si>
  <si>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</si>
  <si>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</si>
  <si>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</si>
  <si>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</si>
  <si>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>OLIVARES HNOS SA</t>
  </si>
  <si>
    <t>OMINT ART SA</t>
  </si>
  <si>
    <t>OMINT SA</t>
  </si>
  <si>
    <t>ONS SRL</t>
  </si>
  <si>
    <t>OPER. DE EST. DE SERV. SA</t>
  </si>
  <si>
    <t>ORBIS MERTIG SAIC</t>
  </si>
  <si>
    <t>ORG COORDINADORA ARG SRL</t>
  </si>
  <si>
    <t>ORIGEN BEBE S.A.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</si>
  <si>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</si>
  <si>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</si>
  <si>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</si>
  <si>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</si>
  <si>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</si>
  <si>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</si>
  <si>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</si>
  <si>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</si>
  <si>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</si>
  <si>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</si>
  <si>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PAN AMERICAN ENERGY LLC</t>
  </si>
  <si>
    <t>PANTYMED S.A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</si>
  <si>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</si>
  <si>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</si>
  <si>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</si>
  <si>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</si>
  <si>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</si>
  <si>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</si>
  <si>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</si>
  <si>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</si>
  <si>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</si>
  <si>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</si>
  <si>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</si>
  <si>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</si>
  <si>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</si>
  <si>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</si>
  <si>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PEUGEOT CITROEN ARG SA</t>
  </si>
  <si>
    <t>PIETRUSZKA ALBERTO</t>
  </si>
  <si>
    <t>PILKINGTON AUTOMOTIVE SA</t>
  </si>
  <si>
    <t xml:space="preserve">PINDELEC SA </t>
  </si>
  <si>
    <t>PINTO LEONEL EMILIANO</t>
  </si>
  <si>
    <t>PINTURERIA REX S.A.</t>
  </si>
  <si>
    <t>PINTURERIAS PRESTIGIO SA</t>
  </si>
  <si>
    <t>PINTURERIAS SAGITARIO SA</t>
  </si>
  <si>
    <t>PLASTIFERRO INFRAESTRUCTURA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</si>
  <si>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</si>
  <si>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</si>
  <si>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</si>
  <si>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</si>
  <si>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</si>
  <si>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</si>
  <si>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</si>
  <si>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</si>
  <si>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</si>
  <si>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</si>
  <si>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</si>
  <si>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</si>
  <si>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</si>
  <si>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</si>
  <si>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>PUEYRREDON 2042</t>
  </si>
  <si>
    <t xml:space="preserve">PYFER SA </t>
  </si>
  <si>
    <t>QUAGLIA EDIT LUJAN</t>
  </si>
  <si>
    <t>QUEIJA S.A.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</si>
  <si>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</si>
  <si>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</si>
  <si>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</si>
  <si>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</si>
  <si>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</si>
  <si>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</si>
  <si>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</si>
  <si>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</si>
  <si>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</si>
  <si>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</si>
  <si>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</si>
  <si>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</si>
  <si>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</si>
  <si>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</si>
  <si>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</si>
  <si>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</si>
  <si>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</si>
  <si>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</si>
  <si>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</si>
  <si>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</si>
  <si>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</si>
  <si>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REPUESTOS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</si>
  <si>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</si>
  <si>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</si>
  <si>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</si>
  <si>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</si>
  <si>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</si>
  <si>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</si>
  <si>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</si>
  <si>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</si>
  <si>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</si>
  <si>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</si>
  <si>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</si>
  <si>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</si>
  <si>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</si>
  <si>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</si>
  <si>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</si>
  <si>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</si>
  <si>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</si>
  <si>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</si>
  <si>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</si>
  <si>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</si>
  <si>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ROLLS Y EMPANADAS SA</t>
  </si>
  <si>
    <t>CATERING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</si>
  <si>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</si>
  <si>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</si>
  <si>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</si>
  <si>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</si>
  <si>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</si>
  <si>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</si>
  <si>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</si>
  <si>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</si>
  <si>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</si>
  <si>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</si>
  <si>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</si>
  <si>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SALADILLO S.A.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</si>
  <si>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</si>
  <si>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</si>
  <si>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</si>
  <si>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</si>
  <si>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</si>
  <si>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</si>
  <si>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</si>
  <si>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</si>
  <si>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</si>
  <si>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</si>
  <si>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</si>
  <si>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</si>
  <si>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</si>
  <si>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</si>
  <si>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</si>
  <si>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</si>
  <si>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</si>
  <si>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</si>
  <si>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</si>
  <si>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</si>
  <si>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</si>
  <si>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</si>
  <si>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</si>
  <si>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</si>
  <si>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</si>
  <si>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</si>
  <si>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</si>
  <si>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</si>
  <si>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</si>
  <si>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</si>
  <si>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</si>
  <si>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</si>
  <si>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</si>
  <si>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</si>
  <si>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</si>
  <si>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</si>
  <si>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</si>
  <si>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</si>
  <si>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</si>
  <si>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</si>
  <si>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</si>
  <si>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</si>
  <si>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</si>
  <si>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</si>
  <si>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</si>
  <si>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</si>
  <si>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SUTIL SILVIA EDITH</t>
  </si>
  <si>
    <t>SWISS MEDICAL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</si>
  <si>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</si>
  <si>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</si>
  <si>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</si>
  <si>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</si>
  <si>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</si>
  <si>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</si>
  <si>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</si>
  <si>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</si>
  <si>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TECNIPRAX S.R.L.</t>
  </si>
  <si>
    <t>TEKNOVENTILACION SRL</t>
  </si>
  <si>
    <t>TELECENTRO SA</t>
  </si>
  <si>
    <t>TELECOM ARG SA</t>
  </si>
  <si>
    <t>TELEFONICA DE ARG S.A.</t>
  </si>
  <si>
    <t>TELEFONICA MOVILES ARG</t>
  </si>
  <si>
    <t>TELMEX ARGENTINA S.A.</t>
  </si>
  <si>
    <t>TERMINACIONES GRAFICAS SA</t>
  </si>
  <si>
    <t>TEXTIL ESPARTILLO SA.</t>
  </si>
  <si>
    <t>TEXTIL PANDA S.A.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</si>
  <si>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</si>
  <si>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</si>
  <si>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</si>
  <si>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</si>
  <si>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</si>
  <si>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</si>
  <si>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</si>
  <si>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</si>
  <si>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</si>
  <si>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</si>
  <si>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</si>
  <si>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</si>
  <si>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</si>
  <si>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</si>
  <si>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</si>
  <si>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</si>
  <si>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</si>
  <si>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</si>
  <si>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</si>
  <si>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</si>
  <si>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</si>
  <si>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</si>
  <si>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</si>
  <si>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</si>
  <si>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</si>
  <si>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</si>
  <si>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</si>
  <si>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</si>
  <si>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</si>
  <si>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</si>
  <si>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</si>
  <si>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</si>
  <si>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</si>
  <si>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</si>
  <si>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</si>
  <si>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</si>
  <si>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</si>
  <si>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</si>
  <si>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</si>
  <si>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</si>
  <si>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</si>
  <si>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</si>
  <si>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</si>
  <si>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VERGARA COMBUSTIBLES SRL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</si>
  <si>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</si>
  <si>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</si>
  <si>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</si>
  <si>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</si>
  <si>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</si>
  <si>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</si>
  <si>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</si>
  <si>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</si>
  <si>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</si>
  <si>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</si>
  <si>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</si>
  <si>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</si>
  <si>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</si>
  <si>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</si>
  <si>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</si>
  <si>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</si>
  <si>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</si>
  <si>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</si>
  <si>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</si>
  <si>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</si>
  <si>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</si>
  <si>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</si>
  <si>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</si>
  <si>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YURREBASO NATALIA GISELE</t>
  </si>
  <si>
    <t>ZEITPLAN SRL</t>
  </si>
  <si>
    <t>KEPUCHE NEHUEN S.R.L.</t>
  </si>
  <si>
    <t>ALIMENTOS DE MENDOZA S.A.</t>
  </si>
  <si>
    <t>SERVICIOS LOGISTICA</t>
  </si>
  <si>
    <t>SUR BODEGAS Y VIÑEDOS S.A.</t>
  </si>
  <si>
    <t>MONTANA CONSULTORES S.R.L.</t>
  </si>
  <si>
    <t>PATRITTI S.A.</t>
  </si>
  <si>
    <t>TRANSPORTE EL FARO S.A.</t>
  </si>
  <si>
    <t>MAGNUS AGRICOLAE S.A.</t>
  </si>
  <si>
    <t>GEACOM S.R.L.</t>
  </si>
  <si>
    <t>CÁMARA ARGENTINA VINOTECAS Y AFINES</t>
  </si>
  <si>
    <t>CUOTA SOCIAL</t>
  </si>
  <si>
    <t>TIERRAS ALTAS S.A.</t>
  </si>
  <si>
    <t xml:space="preserve">MERCADERIA </t>
  </si>
  <si>
    <t xml:space="preserve">NIMO GUERRA MANUEL </t>
  </si>
  <si>
    <t>JAWORSKY PABLO ALBERTO</t>
  </si>
  <si>
    <t>DONATO ALFREDO ENRIQUE Y PENSEL FRANCISCO JAVIER SOCIEDAD DE HECHO</t>
  </si>
  <si>
    <t>MARIA FEDELE S.R.L.</t>
  </si>
  <si>
    <t>MARTINASCHI FERNANDO NICOLAS</t>
  </si>
  <si>
    <t>SUCESION DE LIBONATI FRANCISCO</t>
  </si>
  <si>
    <t>DOS CORTADOS S.R.L.</t>
  </si>
  <si>
    <t>QUILES FLAVIO GABRIEL</t>
  </si>
  <si>
    <t xml:space="preserve">AMADO MONICA CRISTINA </t>
  </si>
  <si>
    <t>ZARBO CARNIEL PABLO</t>
  </si>
  <si>
    <t>FERRETTI CLAUDIO HERNAN</t>
  </si>
  <si>
    <t>ZABALA ALBA NOEMI</t>
  </si>
  <si>
    <t>TIERRA DE VIÑAS Y OLIVOS</t>
  </si>
  <si>
    <t>CRISTAL SAN MARTIN S.R.L.</t>
  </si>
  <si>
    <t>LA RURAL VIÑEDOS Y BODEGAS S.A.</t>
  </si>
  <si>
    <t>EL GARAGE DE ALDO S.R.L.</t>
  </si>
  <si>
    <t>CENTRAL DE COMERCIOS S.R.L.</t>
  </si>
  <si>
    <t xml:space="preserve">AUTOMOTORES DEL SUR S A C I F I Y A G </t>
  </si>
  <si>
    <t>OLD ROPE S.R.L.</t>
  </si>
  <si>
    <t>AKITANIA SRL</t>
  </si>
  <si>
    <t>ISOLSE SRL</t>
  </si>
  <si>
    <t>LIN WEN HUA</t>
  </si>
  <si>
    <t>PARADA LINIERS SA</t>
  </si>
  <si>
    <t xml:space="preserve">SARSY SRL </t>
  </si>
  <si>
    <t>PREMIER WINES SA</t>
  </si>
  <si>
    <t>BANCO GALICIA S.A.</t>
  </si>
  <si>
    <t>EXTRACTO</t>
  </si>
  <si>
    <t>BANCO SUPERVIELLE S.A.</t>
  </si>
  <si>
    <t>REJOVIZKY ALEJANDRA</t>
  </si>
  <si>
    <t xml:space="preserve">ELDAR SRL </t>
  </si>
  <si>
    <t xml:space="preserve">DIAGNOS MED SRL </t>
  </si>
  <si>
    <t>VILAPLANA Y GONZALEZ S.R.L.</t>
  </si>
  <si>
    <t>CUVELIER LOS ANDES S.A.</t>
  </si>
  <si>
    <t>POL PACK S.R.L.</t>
  </si>
  <si>
    <t>AMERICAN EXPRESS</t>
  </si>
  <si>
    <t>VANESA MARGARIÑOS</t>
  </si>
  <si>
    <t>LIBRERÍA SAN LUIS S.R.L.</t>
  </si>
  <si>
    <t>MADERA MARIANA PAULA</t>
  </si>
  <si>
    <t>FREIXENET ARGENTINA S.A.</t>
  </si>
  <si>
    <t>30-57481687-0</t>
  </si>
  <si>
    <t>PAPELERA BERTOLIN SA</t>
  </si>
  <si>
    <t>ESTRAME SA</t>
  </si>
  <si>
    <t>MASANA JOSE ALBERTO</t>
  </si>
  <si>
    <t>OLIVA GERLI GERMAN</t>
  </si>
  <si>
    <t>ESPACIOVINO SRL</t>
  </si>
  <si>
    <t>ACOSTA SILVIA ADRIANA</t>
  </si>
  <si>
    <t>BARSZCZUK HUGO DANIEL</t>
  </si>
  <si>
    <t>SUCESION DE SEVESO ROSA MARINA</t>
  </si>
  <si>
    <t>YACOMELLI GLADYS B</t>
  </si>
  <si>
    <t>MERCADE IGNACIO ESTEBAN</t>
  </si>
  <si>
    <t>CANAIMA ESPACIO DE SABORES S.R.L.</t>
  </si>
  <si>
    <t>POTENZA LEONOR BEATRIZ</t>
  </si>
  <si>
    <t>GLOBALGATE S.R.L.</t>
  </si>
  <si>
    <t>PANIFICADORA BETA'S S.R.L.</t>
  </si>
  <si>
    <t>CREDIDIO MARIA CELESTE</t>
  </si>
  <si>
    <t>SOTTANO S.A.</t>
  </si>
  <si>
    <t>BATTISTINI ALEJANDRO ARMANDO</t>
  </si>
  <si>
    <t>CHI CHOCOLATES INDUSTRIALES S.A.</t>
  </si>
  <si>
    <t>NT CONSULTING S.A.</t>
  </si>
  <si>
    <t>SUAREZ SILVERA VICTOR ANDRES</t>
  </si>
  <si>
    <t>I VINI S.R.L.</t>
  </si>
  <si>
    <t>CORITEC SRL</t>
  </si>
  <si>
    <t>BALAMA S.A.</t>
  </si>
  <si>
    <t>JIA GRAF SRL</t>
  </si>
  <si>
    <t>LA ASTURIANA SAIC</t>
  </si>
  <si>
    <t>ABEI CONSULTORA S.A.</t>
  </si>
  <si>
    <t>TRANS GLASS S.R.L.</t>
  </si>
  <si>
    <t>PONTECORVO RICARDO JAVIER</t>
  </si>
  <si>
    <t>QIU CHUNYUN</t>
  </si>
  <si>
    <t>POSITECH S.R.L.</t>
  </si>
  <si>
    <t>POZZO AGUSTINA MARIEL</t>
  </si>
  <si>
    <t>SOCIEDAD ARGENTINA DE MEDICINA FISICA Y REHABILITACION</t>
  </si>
  <si>
    <t>AGROVIT RURAL S.A.</t>
  </si>
  <si>
    <t>COMPAÑÍA DE MONTAJES SA</t>
  </si>
  <si>
    <t>SILKSTONE SA</t>
  </si>
  <si>
    <t>TRACK LOGISTICA SRL</t>
  </si>
  <si>
    <t>MONTEVIEJO S.A.</t>
  </si>
  <si>
    <t>LEY SECA S.A.</t>
  </si>
  <si>
    <t>PROWINES S.A.</t>
  </si>
  <si>
    <t>CORREO ANDREANI SA</t>
  </si>
  <si>
    <t>BODEGA DIAMANDES SA</t>
  </si>
  <si>
    <t>HELENICA GROUP S.A.</t>
  </si>
  <si>
    <t>TALLERES TRUANOVSKY S A</t>
  </si>
  <si>
    <t>DEMENTES DIGITALES S.R.L.</t>
  </si>
  <si>
    <t>JIANG XIUJUAN</t>
  </si>
  <si>
    <t>YAO YAZHU</t>
  </si>
  <si>
    <t>RICARDO FRADEANI Y OCTAVIO LERENA ASOCIACION SIMPLE</t>
  </si>
  <si>
    <t>GRUPO RIDIGAS S.R.L.</t>
  </si>
  <si>
    <t>GABAK SYSTEM SA</t>
  </si>
  <si>
    <t>CRISTALES HURLINGHAM SRL</t>
  </si>
  <si>
    <t>LISTORTI DISTRIBUCION S.R.L.</t>
  </si>
  <si>
    <t>BODEGAS ESMERALDA SOCIEDAD ANONIMA</t>
  </si>
  <si>
    <t>MeRCADERIA</t>
  </si>
  <si>
    <t>WARNEKE KURT HERMAN</t>
  </si>
  <si>
    <t>SAN MARTIN NICOLAS PABLO</t>
  </si>
  <si>
    <t xml:space="preserve">ALTOS DE SAN CARLOS </t>
  </si>
  <si>
    <t>DREAMKERS S.A.</t>
  </si>
  <si>
    <t>LUNFA VERMU S.R.L</t>
  </si>
  <si>
    <t>RIO DULCE SA</t>
  </si>
  <si>
    <t>RICARDO CELA</t>
  </si>
  <si>
    <t>LA RIOJANA</t>
  </si>
  <si>
    <t>ARGENTINA SPECIALITY SRL</t>
  </si>
  <si>
    <t>CARRALME S.R.L.</t>
  </si>
  <si>
    <t>GRAFICA PINTER SA</t>
  </si>
  <si>
    <t>FITNESAS SRL</t>
  </si>
  <si>
    <t>WINE CO SA</t>
  </si>
  <si>
    <t>FECOVITA FEDERACION DE COOPERATIVAS</t>
  </si>
  <si>
    <t>BODEGAS SALENTEIN SA</t>
  </si>
  <si>
    <t>KARDENT SAS</t>
  </si>
  <si>
    <t>DRIMER DIANA CELIA</t>
  </si>
  <si>
    <t>AGGGROUP SOLUCIONES TACTICAS SRL</t>
  </si>
  <si>
    <t>GASTRONOMIA EN MOVIMIENTO SRL</t>
  </si>
  <si>
    <t>BERALDI MARIANO LUIS</t>
  </si>
  <si>
    <t>REPARACIONES</t>
  </si>
  <si>
    <t>TRANSPORTES SAN JOSE SRL</t>
  </si>
  <si>
    <t>FLETE-LOGISTICA</t>
  </si>
  <si>
    <t>BILOTTA GUIDO MAXIMILIANO</t>
  </si>
  <si>
    <t>MITCHELL ERIC</t>
  </si>
  <si>
    <t>ARYTZA S.R.L.</t>
  </si>
  <si>
    <t>DISTRIBUIDORA LA AMISTAD S.R.L.</t>
  </si>
  <si>
    <t>DIELO S A</t>
  </si>
  <si>
    <t>LEDO JULIAN HUGO</t>
  </si>
  <si>
    <t>CZUDNOWSKY PEDRO ANDRES</t>
  </si>
  <si>
    <t>DRIVECOM S.A.</t>
  </si>
  <si>
    <t>BRUNO SCHILLIG S.A</t>
  </si>
  <si>
    <t>KIDS CORP S.R.L</t>
  </si>
  <si>
    <t>SCHMIDT ALVAREZ ROMINA SOLANGE</t>
  </si>
  <si>
    <t>GASTOS VARIOS</t>
  </si>
  <si>
    <t xml:space="preserve">EL BAZAR DIGITAL </t>
  </si>
  <si>
    <t xml:space="preserve">COOPERATIVA DE TRABAJO FRIGORIFICO TORGELON 58 LTDA </t>
  </si>
  <si>
    <t xml:space="preserve">FRIGORIFICO CÁRDENAS S.R.L </t>
  </si>
  <si>
    <t>SANTAGIULIANA ANGEL ALEJANDRO</t>
  </si>
  <si>
    <t>FERNANDEZ LUIS ALBERTO</t>
  </si>
  <si>
    <t>DISTRIBUIDORA VICARI S.A.</t>
  </si>
  <si>
    <t>CERVECERIA Y MALTERIA QUILMES S.A.I.C.A.Y G.</t>
  </si>
  <si>
    <t>KERVIN MARIA CRISTINA</t>
  </si>
  <si>
    <t xml:space="preserve">LACTEOS SANTA FE </t>
  </si>
  <si>
    <t xml:space="preserve">GASTRONOMIA GONZALEZ SRL </t>
  </si>
  <si>
    <t>DYPACK SRL</t>
  </si>
  <si>
    <t>CENTRALFER S.A</t>
  </si>
  <si>
    <t>MEGATEN S.A.</t>
  </si>
  <si>
    <t>VAL MAIRA SOCIEDAD ANONIMA</t>
  </si>
  <si>
    <t>MANFIYA SOCIEDAD ANONIMA</t>
  </si>
  <si>
    <t>LACTEOS VIDAL S A</t>
  </si>
  <si>
    <t>LABORATORIO CUENCA S A</t>
  </si>
  <si>
    <t>SENCHEK EDGARDO ARIEL</t>
  </si>
  <si>
    <t>INSUMOS Y PRESTACIONES TRENQUE SRL</t>
  </si>
  <si>
    <t>PAPELERA DELMAR SRL</t>
  </si>
  <si>
    <t xml:space="preserve">BODEGA DONZO BERLANGA </t>
  </si>
  <si>
    <t>INSUMO</t>
  </si>
  <si>
    <t>CALIBER S.R.L.</t>
  </si>
  <si>
    <t>EL CIMBRON SRL</t>
  </si>
  <si>
    <t>AITOR IDER BALBO SAACI</t>
  </si>
  <si>
    <t>PASIVO</t>
  </si>
  <si>
    <t>DANA LUIS MARIANO</t>
  </si>
  <si>
    <t>ARTE Y BURBUJAS S.A.</t>
  </si>
  <si>
    <t>ELECTRICIDAD TRIBUNALES SA</t>
  </si>
  <si>
    <t>BUMERAN.COM ARGENTINA SA</t>
  </si>
  <si>
    <t>MASTELLONE HNOS S A</t>
  </si>
  <si>
    <t>ZURICH ASEGURADORA ARGENTINA S.A</t>
  </si>
  <si>
    <t>AUNCLICK SRL</t>
  </si>
  <si>
    <t>ROEDELSPERGER ARIEL HERNAN</t>
  </si>
  <si>
    <t>DISTRIBUIDORA RAICES S.R.L.</t>
  </si>
  <si>
    <t>IT BROKERS S.A.</t>
  </si>
  <si>
    <t>LAZZARIN LIMA MARTIN IGNACIO</t>
  </si>
  <si>
    <t>ARCHMAR S.R.L.</t>
  </si>
  <si>
    <t>GALA GOURMET SA</t>
  </si>
  <si>
    <t>BASILE GASTON HECTOR</t>
  </si>
  <si>
    <t>ALTO CAMPO SUCURSAL</t>
  </si>
  <si>
    <t>DISTRIBUIDORA SEMAS SA</t>
  </si>
  <si>
    <t>SALVIO LORENA BEATRIZ</t>
  </si>
  <si>
    <t>NAVA JUAN CARLOS MIGUEL</t>
  </si>
  <si>
    <t>DE URQUIETA JORGE LUIS</t>
  </si>
  <si>
    <t>MUCHNIK DESIGN SRL</t>
  </si>
  <si>
    <t>DAMVILLE S.A</t>
  </si>
  <si>
    <t>ANDAHI S.R.L.</t>
  </si>
  <si>
    <t>NOVO CARS SA</t>
  </si>
  <si>
    <t>FARIAS JORGE A</t>
  </si>
  <si>
    <t>SAN ISIDRO S.R.L</t>
  </si>
  <si>
    <t>NSQNP S.A.</t>
  </si>
  <si>
    <t>LAS DINAS SRL</t>
  </si>
  <si>
    <t>INTRADAT S.R.L.</t>
  </si>
  <si>
    <t>CURA BERNARDO</t>
  </si>
  <si>
    <t>LINKEDSTORE ARGENTINA S.R.L.</t>
  </si>
  <si>
    <t>POTIGIAN GOLOSINAS SACIF E I</t>
  </si>
  <si>
    <t>ESCUELA ARGENTINA SOCIEDAD DE RESPONSABILIDAD LIMITADA</t>
  </si>
  <si>
    <t>DOLINSKY IRMA</t>
  </si>
  <si>
    <t>RICOBENE DIEGO ARIEL</t>
  </si>
  <si>
    <t>PASION DISTRIBUCIONES SRL</t>
  </si>
  <si>
    <t>IMEFENG PULCU</t>
  </si>
  <si>
    <t>VIDAL GABRIEL</t>
  </si>
  <si>
    <t>MALC BRIAN S R L</t>
  </si>
  <si>
    <t>GUIDO TOMAS GIORDANO Y KEVIN BALCKER</t>
  </si>
  <si>
    <t>SIMON SEBASTIAN</t>
  </si>
  <si>
    <t>NORFRIG SRL</t>
  </si>
  <si>
    <t>ELECTRICIDAD AREV S R L</t>
  </si>
  <si>
    <t>VML ONLINE S.R.L</t>
  </si>
  <si>
    <t>F2 GAMING</t>
  </si>
  <si>
    <t>VALCEREAL SA</t>
  </si>
  <si>
    <t>LIBRERIA WELCOME S.R.L.</t>
  </si>
  <si>
    <t>EURO JAMONES SRL</t>
  </si>
  <si>
    <t>PEER CIDER BREWERY S.R.L.</t>
  </si>
  <si>
    <t>BORCA JUAN MANUEL</t>
  </si>
  <si>
    <t>VALDEZ PEDRO ALBERTO</t>
  </si>
  <si>
    <t>GOLF CORPORATION SRL</t>
  </si>
  <si>
    <t>POSITIVA SALUDABLE</t>
  </si>
  <si>
    <t>ASOCIACION COOPERADORA DE LA ESCUELA DE PRODUCCION E INDUSTRIALIZACION DE LECHE DR RAMON SANTAMARINA</t>
  </si>
  <si>
    <t>SARGA S A</t>
  </si>
  <si>
    <t>COORDINACION ECOLOGICA AREA METROPOLITANA SOCIEDAD DEL ESTADO</t>
  </si>
  <si>
    <t>ABELEDO AGUSTIN ENRIQUE</t>
  </si>
  <si>
    <t>CABA</t>
  </si>
  <si>
    <t>CASTIGLIONI MATIAS EZEQUIEL</t>
  </si>
  <si>
    <t>ASESORAMIENTO</t>
  </si>
  <si>
    <t>BUENOS AIRES</t>
  </si>
  <si>
    <t>FREIER SANDRA DANIELA</t>
  </si>
  <si>
    <t>KENNEL SEBASTIAN</t>
  </si>
  <si>
    <t>FIORENTINO JORGE IGNACIO</t>
  </si>
  <si>
    <t>DE BONIS IGNACIO LUIS</t>
  </si>
  <si>
    <t>FERABOLI OSPAL SANTIAGO HERNAN</t>
  </si>
  <si>
    <t>HONRE S.A</t>
  </si>
  <si>
    <t>FIDO ARGENTINA SRL</t>
  </si>
  <si>
    <t>CITILAN ARGENTINA S.A.</t>
  </si>
  <si>
    <t>RIO 265 S.R.L.</t>
  </si>
  <si>
    <t>FEDERAL EXPRESS CORPORATION</t>
  </si>
  <si>
    <t>GOMEZ FERNANDO ALBERTO</t>
  </si>
  <si>
    <t>SIRTAUTAS ALBERTO IVAN</t>
  </si>
  <si>
    <t>MOROLDO EMILIANO DANIEL</t>
  </si>
  <si>
    <t>ELECTROCOMPONENTES SA</t>
  </si>
  <si>
    <t>FIGUEIRAS KARINA BEATRIZ</t>
  </si>
  <si>
    <t>REA PABLO</t>
  </si>
  <si>
    <t>D LED SOCIEDAD DE HECHO DE DIEGO NICOLAS BARSKY Y DAMIAN DANEL SPIVAK</t>
  </si>
  <si>
    <t>KURIABE S. A.</t>
  </si>
  <si>
    <t>EMELINT S.R.L.</t>
  </si>
  <si>
    <t>PINTOS SCHMIDT ALDANA MARCELA Y SACK ADRIANA CRISTINA SH</t>
  </si>
  <si>
    <t>PONCE JUAN MANUEL</t>
  </si>
  <si>
    <t>DHL EXPRESS (ARGENTINA) S.A.</t>
  </si>
  <si>
    <t>INDUSTRIAS FEMAN S.R.L.</t>
  </si>
  <si>
    <t>SEMICONDUCTORES Y COMPONENTES SRL</t>
  </si>
  <si>
    <t>DIGAS SRL</t>
  </si>
  <si>
    <t>TELEFONICA MOVILES ARGENTINA SOCIEDAD ANONIMA</t>
  </si>
  <si>
    <t>HERRERO ANZORENA MATIAS</t>
  </si>
  <si>
    <t>FEDERICI NICOLAS JOSE</t>
  </si>
  <si>
    <t>OLIVEAR S. R. L.</t>
  </si>
  <si>
    <t>DUAITEK SRL</t>
  </si>
  <si>
    <t>COSTA DIEGO ALEJANDRO</t>
  </si>
  <si>
    <t>PAZ CLAUDIA SILVIA</t>
  </si>
  <si>
    <t>SERVICIO INTEGRAL DE LIMPIEZA SRL</t>
  </si>
  <si>
    <t>BIRD COMERCIALIZACION IMPORTACION Y SERVICIOS S.R.L.</t>
  </si>
  <si>
    <t>TERGEN SRL</t>
  </si>
  <si>
    <t>ALAMTEC SRL</t>
  </si>
  <si>
    <t>J Y M COMPONENTES ELECTRICOS S.A.</t>
  </si>
  <si>
    <t>AGIRA  S A</t>
  </si>
  <si>
    <t>NEXT SERVICE GNC S.R.L.</t>
  </si>
  <si>
    <t>COMPRESORES SERVICIO TECNICO S A</t>
  </si>
  <si>
    <t>PEREZ EMILIA EUGENIA</t>
  </si>
  <si>
    <t>INGENIERIA GAMAR SOCIEDAD ANONIMA</t>
  </si>
  <si>
    <t>DELTA COMPRESION S R L</t>
  </si>
  <si>
    <t>LEPORT SH DE PORTELA JORGE FERNANDO Y LEAL JORGE ANGEL</t>
  </si>
  <si>
    <t>SUTEL SRL</t>
  </si>
  <si>
    <t>BRACCO ROSANA</t>
  </si>
  <si>
    <t>RIOS GOMEZ JOSE ANTONIO</t>
  </si>
  <si>
    <t>LITORAL TRADING SAS</t>
  </si>
  <si>
    <t>SUMINISTROS WHITE S.A.</t>
  </si>
  <si>
    <t>ACPLIND SRL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</si>
  <si>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</si>
  <si>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</si>
  <si>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</si>
  <si>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</si>
  <si>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</si>
  <si>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ELECTRONICA ELEMON S A</t>
  </si>
  <si>
    <t>IMPORTADORA FOTOGRAFICA SOCIEDAD ANONIMA</t>
  </si>
  <si>
    <t>FUNK MATIAS NICOLAS</t>
  </si>
  <si>
    <t>JORVICAL ACEROS S A</t>
  </si>
  <si>
    <t>BROCATTO SRL</t>
  </si>
  <si>
    <t>GLOBANS S.R.L.</t>
  </si>
  <si>
    <t>ANTONIO LUQUIN S A C I F E I</t>
  </si>
  <si>
    <t>INITIUM SRL</t>
  </si>
  <si>
    <t>BIANCHI CRISTIAN MAXIMILIANO</t>
  </si>
  <si>
    <t>LIPANOVICH JUAN CRUZ</t>
  </si>
  <si>
    <t>SOFTWARE</t>
  </si>
  <si>
    <t>ASOCIACION DE IMPORTADORES Y EXPORTADORES DE LA REPUBLICA ARGENTINA</t>
  </si>
  <si>
    <t>FUERTES DAMIAN MATIAS</t>
  </si>
  <si>
    <t>RODRIGUEZ DE LA FUEN HECTOR MARCELO</t>
  </si>
  <si>
    <t>LIPANOVICH MARIA SOL</t>
  </si>
  <si>
    <t>consultoria informatica</t>
  </si>
  <si>
    <t>LOPEZ MOLINA MARIA</t>
  </si>
  <si>
    <t>FONDO DE COOPERACION TECNICA Y FINANCIERA - CECBA - SL Y T - LEY 23.412</t>
  </si>
  <si>
    <t>DANSKY ULLMANN VIVIANA EVA YOLANDA</t>
  </si>
  <si>
    <t>Solution Supply SAC</t>
  </si>
  <si>
    <t>BRAIN S.A.</t>
  </si>
  <si>
    <t>JURO S A</t>
  </si>
  <si>
    <t>VULPIANI S.A.</t>
  </si>
  <si>
    <t>EXA COMPRESION S.R.L.</t>
  </si>
  <si>
    <t>CONSORCIO DE PROPIETARIOS YATAY 138</t>
  </si>
  <si>
    <t>ACACIA Y LENGA S R L</t>
  </si>
  <si>
    <t>SAENZ GERMAN</t>
  </si>
  <si>
    <t>ADATTO MARCELO ADRIAN</t>
  </si>
  <si>
    <t>ELINDAR SRL</t>
  </si>
  <si>
    <t>MASTER LEADER MUNDIAL S.A.</t>
  </si>
  <si>
    <t>SERCAP INSUMOS S.R.L.</t>
  </si>
  <si>
    <t xml:space="preserve"> </t>
  </si>
  <si>
    <t>LA JUNIO SRL</t>
  </si>
  <si>
    <t>AM STUDIOS SRL</t>
  </si>
  <si>
    <t>ULTRALIGHT SRL</t>
  </si>
  <si>
    <t>ELECTROMINGO S.R.L.</t>
  </si>
  <si>
    <t>BULONERA VIETRI SOCIEDAD DE RESPONSABILIDAD LIMITADA</t>
  </si>
  <si>
    <t>DABUL NICOLAS ADRIAN</t>
  </si>
  <si>
    <t>WARD IVAN NICOLAS</t>
  </si>
  <si>
    <t>AM STUDIOS S.R.L.</t>
  </si>
  <si>
    <t>BOHERDI ELECTRONICA S R L</t>
  </si>
  <si>
    <t>SBARRA GABRIELA BEATRIZ</t>
  </si>
  <si>
    <t>BARRAGAN FEDERICO ANDRES</t>
  </si>
  <si>
    <t>NITRO BIKES S.R.L.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</si>
  <si>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</si>
  <si>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</si>
  <si>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</si>
  <si>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</si>
  <si>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</si>
  <si>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</si>
  <si>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</si>
  <si>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</si>
  <si>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</si>
  <si>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</si>
  <si>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</si>
  <si>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</si>
  <si>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</si>
  <si>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GAS FUTURO SISTEMAS DE COMPRESSÃO LTDA</t>
  </si>
  <si>
    <t>2 IN FLOW COMPAÑIA DE SERVICIOS S. A.</t>
  </si>
  <si>
    <t>ALLISING</t>
  </si>
  <si>
    <t>ALGABO SA</t>
  </si>
  <si>
    <t>FARMACIA GRAN FERRARI SA</t>
  </si>
  <si>
    <t>SIMPLEX VILLI SA</t>
  </si>
  <si>
    <t>NGA SRL</t>
  </si>
  <si>
    <t>BATERIAS PRO-BAT</t>
  </si>
  <si>
    <t>LOMIR SA</t>
  </si>
  <si>
    <t>LAVADERO BLANCANIEVES</t>
  </si>
  <si>
    <t>LOPEZ DAIANA BELEN</t>
  </si>
  <si>
    <t>GIFEL SRL</t>
  </si>
  <si>
    <t>FRANCISCO JAVIER LEAL FUENTES</t>
  </si>
  <si>
    <t>PINTURERIAS YANINA SA</t>
  </si>
  <si>
    <t>JULIAN FELIPE</t>
  </si>
  <si>
    <t>MUVIN SRL</t>
  </si>
  <si>
    <t>MTB A TODO EL PAIS SRL</t>
  </si>
  <si>
    <t>PINALLI PABLO GABRIEL</t>
  </si>
  <si>
    <t>CASELLA TRADING SRL</t>
  </si>
  <si>
    <t>FAMIQ SRL</t>
  </si>
  <si>
    <t>ACCESORIOS Y HERRAMIENTAS SRL</t>
  </si>
  <si>
    <t>INTERCONTINENTAL CARGAS SRL</t>
  </si>
  <si>
    <t>CASATI ENRIQUE ARIEL</t>
  </si>
  <si>
    <t>ELECTRO IND S.R.L</t>
  </si>
  <si>
    <t>COMPRESURT S.A.</t>
  </si>
  <si>
    <t>SAFIT SPORT S.R.L.</t>
  </si>
  <si>
    <t>AQUADELTA OUTDOORS S.R.L.</t>
  </si>
  <si>
    <t>ALFEST S.R.L.</t>
  </si>
  <si>
    <t>CONVERTI HNOS  S R L</t>
  </si>
  <si>
    <t>HOGAR ACTUAL SRL</t>
  </si>
  <si>
    <t>GALLEGO ANDRES MARIANO</t>
  </si>
  <si>
    <t>DI PALMA S.R.L.</t>
  </si>
  <si>
    <t>LUCERO MARIO ALFREDO</t>
  </si>
  <si>
    <t>BULONERA MITRE SA</t>
  </si>
  <si>
    <t>TEBY SRL</t>
  </si>
  <si>
    <t>D WEINSTOCK S R L</t>
  </si>
  <si>
    <t>SYTE S.A.</t>
  </si>
  <si>
    <t>COMEX MARIA SA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</si>
  <si>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</si>
  <si>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</si>
  <si>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</si>
  <si>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</si>
  <si>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</si>
  <si>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</si>
  <si>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</si>
  <si>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CHERRO NICOLAS</t>
  </si>
  <si>
    <t>FRACCHIA GRACIELA LILIANA</t>
  </si>
  <si>
    <t>IMPRENTA24 S.R.L.</t>
  </si>
  <si>
    <t>GONZALEZ MATIAS LIONEL</t>
  </si>
  <si>
    <t>GUSU S A</t>
  </si>
  <si>
    <t>MORINIGO ESTELA MERCEDE</t>
  </si>
  <si>
    <t>AEROPUERTOS ARGENTINA 2000 S A</t>
  </si>
  <si>
    <t>LIBECOM S.R.L</t>
  </si>
  <si>
    <t>DELTAGAS SA</t>
  </si>
  <si>
    <t>SELTAGAS S.A.</t>
  </si>
  <si>
    <t>ASENSIO E HIJO Y PULLEY SOCIEDAD DE RESP</t>
  </si>
  <si>
    <t>LOS TRILLIZOS PERAZOLI S.R.L.</t>
  </si>
  <si>
    <t>ACCESORIOS TEO SRL</t>
  </si>
  <si>
    <t>BOJORGE ROMINA VALERIA</t>
  </si>
  <si>
    <t>D'ALBENAS PEYRONEL SILVANA ELISABET</t>
  </si>
  <si>
    <t>MOCOROA SOCIEDAD ANONIMA</t>
  </si>
  <si>
    <t>ABAC S R L</t>
  </si>
  <si>
    <t>DELFINO LUIS ADOLFO</t>
  </si>
  <si>
    <t>LOPEZ LOPEZ FLAVIA</t>
  </si>
  <si>
    <t>COMERCIAL MGM S.R.L</t>
  </si>
  <si>
    <t>SANTA FE COMERCIAL SOCIEDAD DE RESPONSABILIDAD LIMITADA</t>
  </si>
  <si>
    <t>SANCHEZ DI MARE DANIEL FERNANDO</t>
  </si>
  <si>
    <t>O A FERNANDEZ E HIJOS SRL</t>
  </si>
  <si>
    <t>CDP AUTOMATION  S.R.L.</t>
  </si>
  <si>
    <t>DESSINS CARTELERIA S.R.L.</t>
  </si>
  <si>
    <t>SK DISTRIBUTORS S.R.L.</t>
  </si>
  <si>
    <t>GARCIA JUAN IGNACIO</t>
  </si>
  <si>
    <t>GRILLI ROMINA WANDA</t>
  </si>
  <si>
    <t>HAPPY BUY ARGENTINA S.R.L.</t>
  </si>
  <si>
    <t>SOSTRE FERNANDO</t>
  </si>
  <si>
    <t>GRIDEL WALTER DIEGO</t>
  </si>
  <si>
    <t>2001 GRUPO ELECTRO S.R.L.</t>
  </si>
  <si>
    <t>DE GISI ANTONIO LUIS</t>
  </si>
  <si>
    <t>N2M SOCIEDAD DE RESPONSABILIDAD LIMITADA</t>
  </si>
  <si>
    <t>FIDALGO LA FALCE EZEQUIEL ERNESTO</t>
  </si>
  <si>
    <t>SYS IMPORTACIONES S.R.L.</t>
  </si>
  <si>
    <t>VICDA ARGENTINA S R L</t>
  </si>
  <si>
    <t>POSITIF PLANIFIER S.A.</t>
  </si>
  <si>
    <t>GIMENEZ DAMIAN ANGEL</t>
  </si>
  <si>
    <t>RAIMONDI FACUNDO ALBERTO</t>
  </si>
  <si>
    <t>MAGGESE JORGE LUIS</t>
  </si>
  <si>
    <t>MITSUKO ARGENTINA S R L</t>
  </si>
  <si>
    <t>ACOSTA MARIA EUGENIA</t>
  </si>
  <si>
    <t>ROVLAN S.A.</t>
  </si>
  <si>
    <t>LASERTEC INGENIERIA SOCIEDAD ANONIMA</t>
  </si>
  <si>
    <t>WORLD ONE TRADE</t>
  </si>
  <si>
    <t>INSUMOS SERVICOMP S.A.</t>
  </si>
  <si>
    <t>MOTORES ELECTROMECANICA ATLAS S.A.</t>
  </si>
  <si>
    <t>BAGUI S A</t>
  </si>
  <si>
    <t>MOSCOSO SANTIAGO JULIAN</t>
  </si>
  <si>
    <t>BASSO HNOS S. A.</t>
  </si>
  <si>
    <t>DOMINGUEZ LAGANA GONZALO FABIAN</t>
  </si>
  <si>
    <t>FLORES CECILIA NOEMI</t>
  </si>
  <si>
    <t>ABELEDO ENRIQUE JUAN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</si>
  <si>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</si>
  <si>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</si>
  <si>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</si>
  <si>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</si>
  <si>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</si>
  <si>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</si>
  <si>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AVENIDA MAIPU 4199 S C S</t>
  </si>
  <si>
    <t>ASTRONIC SRL</t>
  </si>
  <si>
    <t>D AGOSTINO LAURA ROSA</t>
  </si>
  <si>
    <t>BLASCO MARIA GUADALUPE</t>
  </si>
  <si>
    <t>ITURAN DE ARGENTINA S A</t>
  </si>
  <si>
    <t>BISIO DE ANGELO MARIA AGOSTINA</t>
  </si>
  <si>
    <t>ALDO MOVILE S. CAP I SECC IV</t>
  </si>
  <si>
    <t>BULONERA SUR SA</t>
  </si>
  <si>
    <t>MATECH IMPORT ARGENTINA SAS</t>
  </si>
  <si>
    <t>AGROCENTRAL SRL</t>
  </si>
  <si>
    <t>ANZUATTE ARIADNA GINETTE</t>
  </si>
  <si>
    <t>FERNANDEZ MARCELA ELIZABETH</t>
  </si>
  <si>
    <t>CLOVER TEAM SA</t>
  </si>
  <si>
    <t>LOKER MARISA TERESITA</t>
  </si>
  <si>
    <t>POLYTECH S A</t>
  </si>
  <si>
    <t>SANTORO FRANCO TOMAS</t>
  </si>
  <si>
    <t>GRAZIANO TAMARA NATALIA</t>
  </si>
  <si>
    <t>MALATEX S.R.L.</t>
  </si>
  <si>
    <t>LA MADRILEÑA SOCIEDAD ANONIMA COMERCIAL INDUSTRIAL AGROPECUARIA  FINANCIERA E INMOBILIARIA</t>
  </si>
  <si>
    <t>PREVENSIS S.R.L.</t>
  </si>
  <si>
    <t>SIFEGA COMPANY</t>
  </si>
  <si>
    <t>HERRAMIENTAS DALI SRL</t>
  </si>
  <si>
    <t>MAQUINAS Y CONSUMIBLES S.A.</t>
  </si>
  <si>
    <t>HEREDIA LEONARDO ADRIAN</t>
  </si>
  <si>
    <t>MAJUBEN MDP SERVICIOS S.R.L.</t>
  </si>
  <si>
    <t>TVAJA Servisní s.r.o.</t>
  </si>
  <si>
    <t>TIENDA OHANA SRL</t>
  </si>
  <si>
    <t>PEDIDOS FARMA SA</t>
  </si>
  <si>
    <t>FIVELEC S.R.L.</t>
  </si>
  <si>
    <t>PERFU FAN S.R.L</t>
  </si>
  <si>
    <t>QUIROGA ARIEL ALEJANDRO</t>
  </si>
  <si>
    <t>BUREAU VERITAS ARGENTINA SA</t>
  </si>
  <si>
    <t>VICTOR MASSON TRANSPORTES CRUZ DEL SUR S A</t>
  </si>
  <si>
    <t>DECOR ALUM SRL</t>
  </si>
  <si>
    <t>MARCO AURELIO DE SOUZA ALUGUEIS DE EQUIPAMENTOS DE MEDICAO E CONTROLE LTDA</t>
  </si>
  <si>
    <t>MAQUINAS E INSUMOS S.R.L.</t>
  </si>
  <si>
    <t>CASTIÑEIRA NATALIA CLAUDIA</t>
  </si>
  <si>
    <t>HERAS MARCELO GABRIEL</t>
  </si>
  <si>
    <t>CHICO ALEJANDRO</t>
  </si>
  <si>
    <t>LEVIN JACOBO BERNARDO</t>
  </si>
  <si>
    <t>MONTELEONE LUCIANO EDUARDO</t>
  </si>
  <si>
    <t>MIRANDA LAGES JORGE MARCELO</t>
  </si>
  <si>
    <t>PEREZ HORACIO HUGO</t>
  </si>
  <si>
    <t>LIBRENTA LIBROS S. A. U.</t>
  </si>
  <si>
    <t>LLANTAY SRL</t>
  </si>
  <si>
    <t>SUAREZ MATIAS IVAN</t>
  </si>
  <si>
    <t>PETRO GRUTA S.R.L.</t>
  </si>
  <si>
    <t>POWER TEKNIC SA</t>
  </si>
  <si>
    <t>BASSO INDEPENDENCIA SA</t>
  </si>
  <si>
    <t>BRUNETTO LUCAS GASTON</t>
  </si>
  <si>
    <t>PARQUE CONSTITUCION SRL</t>
  </si>
  <si>
    <t>BULCOR SRL</t>
  </si>
  <si>
    <t>BOTIX SRL</t>
  </si>
  <si>
    <t>COSENZA CONSTRUCCIONES S.A.</t>
  </si>
  <si>
    <t>D ANGELO ANDREA FABIANA</t>
  </si>
  <si>
    <t>KASAMI S.A.</t>
  </si>
  <si>
    <t>PINTURERIA ROSMAR  S A</t>
  </si>
  <si>
    <t>GONZALEZ FERNANDO ARIEL</t>
  </si>
  <si>
    <t>CASSINI MARTIN</t>
  </si>
  <si>
    <t>SISTEMAS GAFF S.A.</t>
  </si>
  <si>
    <t>BALDYGA MARTIN OSCAR</t>
  </si>
  <si>
    <t>TIMARO SRL</t>
  </si>
  <si>
    <t>RIFENHOLZ MARCELA ROXANA</t>
  </si>
  <si>
    <t>ROLLS Y EMPANADAS S.A.</t>
  </si>
  <si>
    <t>PATERNAL S R L</t>
  </si>
  <si>
    <t>BAIGORRIA DIEGO JORGE</t>
  </si>
  <si>
    <t>VISUAR S.A.</t>
  </si>
  <si>
    <t>DIMALACK S.R.L.</t>
  </si>
  <si>
    <t>PHONEMARK S R L</t>
  </si>
  <si>
    <t>GARCIA DIEGO OMAR</t>
  </si>
  <si>
    <t>ELECTRONICA BOUSA</t>
  </si>
  <si>
    <t>SZNEIBERG HERNAN GASTON</t>
  </si>
  <si>
    <t>ARIEL NACACH</t>
  </si>
  <si>
    <t>EBOX SA</t>
  </si>
  <si>
    <t>LAROCCA JUAN MARTIN</t>
  </si>
  <si>
    <t>SOLUCIONES TECNOLOGICAS INTEGRALES SRL</t>
  </si>
  <si>
    <t>GRACIELA MONICA NUBELMAN</t>
  </si>
  <si>
    <t>MARANSI SA</t>
  </si>
  <si>
    <t>ONE CIRCLE SA</t>
  </si>
  <si>
    <t>LABEL TRAX</t>
  </si>
  <si>
    <t>FIRSTLABEL SRL</t>
  </si>
  <si>
    <t>GRUPO MEXX SRL</t>
  </si>
  <si>
    <t>DOUBLE G SA</t>
  </si>
  <si>
    <t>ZETABURGOS SRL</t>
  </si>
  <si>
    <t>FIRST RATE SA</t>
  </si>
  <si>
    <t>TRADING SUD SRL</t>
  </si>
  <si>
    <t>UTILAR SRL</t>
  </si>
  <si>
    <t>DE ELECTRICIDAD OSNI SRL</t>
  </si>
  <si>
    <t>CIUDAD DE EZEIZA SRL</t>
  </si>
  <si>
    <t>EMBOM RODRIGO NICOLAS</t>
  </si>
  <si>
    <t>AYALA COLMAN OSCAR</t>
  </si>
  <si>
    <t>LIBRO IVA COMPRAS</t>
  </si>
  <si>
    <t>CORITEC S. R. L.</t>
  </si>
  <si>
    <t>TOTAL COMPRAS NETAS</t>
  </si>
  <si>
    <t xml:space="preserve">TOTAL CREDITO FISCAL </t>
  </si>
  <si>
    <t>TOTAL VENTAS NETAS</t>
  </si>
  <si>
    <t>TOTAL DEBITO FISCAL</t>
  </si>
  <si>
    <t>RESULTADO</t>
  </si>
  <si>
    <t>FECHA</t>
  </si>
  <si>
    <t>TIPO</t>
  </si>
  <si>
    <t>PTO VTA</t>
  </si>
  <si>
    <t>NRO. CPTE</t>
  </si>
  <si>
    <t>NETO GRAVADO</t>
  </si>
  <si>
    <t>IVA 21 %</t>
  </si>
  <si>
    <t>IVA 27%</t>
  </si>
  <si>
    <t>IVA 10,5%</t>
  </si>
  <si>
    <t>PERC. IVA</t>
  </si>
  <si>
    <t>PERC IIBB 
BS AS</t>
  </si>
  <si>
    <t>PERC. IIBB CABA</t>
  </si>
  <si>
    <t>Otros / No Grav.</t>
  </si>
  <si>
    <t>TOTAL</t>
  </si>
  <si>
    <t>Provincia</t>
  </si>
  <si>
    <t>02/04/2024</t>
  </si>
  <si>
    <t>07/04/2024</t>
  </si>
  <si>
    <t>08/04/2024</t>
  </si>
  <si>
    <t>11/04/2024</t>
  </si>
  <si>
    <t>22/04/2024</t>
  </si>
  <si>
    <t>24/04/2024</t>
  </si>
  <si>
    <t>29/04/2024</t>
  </si>
  <si>
    <t>Total</t>
  </si>
  <si>
    <t>LIQUIDACION EXTRACTOS BANCARIOS-TARJETAS</t>
  </si>
  <si>
    <t>NRO CPTE</t>
  </si>
  <si>
    <t>BANCO</t>
  </si>
  <si>
    <t>NETO</t>
  </si>
  <si>
    <t>IVA 21%</t>
  </si>
  <si>
    <t>RET IIBB CABA</t>
  </si>
  <si>
    <t>PERC IVA</t>
  </si>
  <si>
    <t>PERC IIBB</t>
  </si>
  <si>
    <t>total</t>
  </si>
  <si>
    <t>825-879664</t>
  </si>
  <si>
    <t>BIENES EXPORTADOS</t>
  </si>
  <si>
    <t>825-880947</t>
  </si>
  <si>
    <t>COMISION POR AFECTACION SAOFE</t>
  </si>
  <si>
    <t>SEGUIMIENTO PERMISOS DE EMBARQUE</t>
  </si>
  <si>
    <t>BANCO CREDICOOP</t>
  </si>
  <si>
    <t>TOTAL:</t>
  </si>
  <si>
    <t>&gt; ya esta sumado al total</t>
  </si>
  <si>
    <t>FACTURAS C</t>
  </si>
  <si>
    <t>FC Nº</t>
  </si>
  <si>
    <t>TIPO DE GASTO</t>
  </si>
  <si>
    <t xml:space="preserve">LIBRO IVA VENTAS  </t>
  </si>
  <si>
    <t>VENTAS "A"</t>
  </si>
  <si>
    <t>PTO VENTA</t>
  </si>
  <si>
    <t>Nº FACTURA</t>
  </si>
  <si>
    <t>IMPORTE NETO</t>
  </si>
  <si>
    <t>EXENTO</t>
  </si>
  <si>
    <t>05/04/2024</t>
  </si>
  <si>
    <t>17/04/2024</t>
  </si>
  <si>
    <t>VENTAS "B"</t>
  </si>
  <si>
    <t>VENTAS "E"</t>
  </si>
  <si>
    <t>USD</t>
  </si>
  <si>
    <t>Columna2</t>
  </si>
  <si>
    <t>Columna1</t>
  </si>
  <si>
    <t>TIPO DE CAMBIO2</t>
  </si>
  <si>
    <t>16/04/2024</t>
  </si>
  <si>
    <t>18/04/2024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</si>
  <si>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</si>
  <si>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</si>
  <si>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</si>
  <si>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</si>
  <si>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</si>
  <si>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</si>
  <si>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</si>
  <si>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</si>
  <si>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 xml:space="preserve">TOTAL COMPRAS </t>
  </si>
  <si>
    <t>CREDICOOP</t>
  </si>
  <si>
    <t>COD 5</t>
  </si>
  <si>
    <t>01/07/2024</t>
  </si>
  <si>
    <t>03/07/2024</t>
  </si>
  <si>
    <t>04/07/2024</t>
  </si>
  <si>
    <t>05/07/2024</t>
  </si>
  <si>
    <t>08/07/2024</t>
  </si>
  <si>
    <t>10/07/2024</t>
  </si>
  <si>
    <t>11/07/2024</t>
  </si>
  <si>
    <t>12/07/2024</t>
  </si>
  <si>
    <t>15/07/2024</t>
  </si>
  <si>
    <t>16/07/2024</t>
  </si>
  <si>
    <t>17/07/2024</t>
  </si>
  <si>
    <t>22/07/2024</t>
  </si>
  <si>
    <t>23/07/2024</t>
  </si>
  <si>
    <t>26/07/2024</t>
  </si>
  <si>
    <t>30/07/2024</t>
  </si>
  <si>
    <t>31/07/2024</t>
  </si>
  <si>
    <t>COD 05</t>
  </si>
  <si>
    <t>COD 81</t>
  </si>
  <si>
    <t>02/07/2024</t>
  </si>
  <si>
    <t>19/07/2024</t>
  </si>
  <si>
    <t>Pais</t>
  </si>
  <si>
    <t>09/08/2024</t>
  </si>
  <si>
    <t>04/08/2024</t>
  </si>
  <si>
    <t>27/08/2024</t>
  </si>
  <si>
    <t>10/08/2024</t>
  </si>
  <si>
    <t>01/08/2024</t>
  </si>
  <si>
    <t>16/08/2024</t>
  </si>
  <si>
    <t>23/08/2024</t>
  </si>
  <si>
    <t>14/08/2024</t>
  </si>
  <si>
    <t>30/08/2024</t>
  </si>
  <si>
    <t>08/08/2024</t>
  </si>
  <si>
    <t>02/08/2024</t>
  </si>
  <si>
    <t>13/08/2024</t>
  </si>
  <si>
    <t>05/08/2024</t>
  </si>
  <si>
    <t>24/08/2024</t>
  </si>
  <si>
    <t>11/08/2024</t>
  </si>
  <si>
    <t>Credicoop</t>
  </si>
  <si>
    <t>06/08/2024</t>
  </si>
  <si>
    <t>07/08/2024</t>
  </si>
  <si>
    <t>12/08/2024</t>
  </si>
  <si>
    <t>15/08/2024</t>
  </si>
  <si>
    <t>20/08/2024</t>
  </si>
  <si>
    <t>22/08/2024</t>
  </si>
  <si>
    <t>06/09/2024</t>
  </si>
  <si>
    <t>Credicoop EXTRACTO</t>
  </si>
  <si>
    <t>24/09/2024</t>
  </si>
  <si>
    <t>PAIS</t>
  </si>
  <si>
    <t>05/09/2024</t>
  </si>
  <si>
    <t>25/09/2024</t>
  </si>
  <si>
    <t>cod 5</t>
  </si>
  <si>
    <t>credicoop</t>
  </si>
  <si>
    <t>Otros - No Grav.</t>
  </si>
  <si>
    <t>FAC EXPORTACION</t>
  </si>
  <si>
    <t>BALANCE GRUPO RIDIGAS 2022 - CPRAS S/LIBRO IVA</t>
  </si>
  <si>
    <t xml:space="preserve">GTOS COMERCIALIZACION </t>
  </si>
  <si>
    <t>GTOS ADMINISTRATIVOS</t>
  </si>
  <si>
    <t>SERVICIOS GAS, LUZ, ETC</t>
  </si>
  <si>
    <t xml:space="preserve">GTOS MANTENIMIENTO </t>
  </si>
  <si>
    <t>GTOS CATERING</t>
  </si>
  <si>
    <t>HONORARIOS CONTABLES</t>
  </si>
  <si>
    <t>HONORARIOS JURIDICOS</t>
  </si>
  <si>
    <t>GTOS SEGURIDAD</t>
  </si>
  <si>
    <t>Regalos Empresariales</t>
  </si>
  <si>
    <t>EQ DE COMPUTACION</t>
  </si>
  <si>
    <t>500,260</t>
  </si>
  <si>
    <t>Fletes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</si>
  <si>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</si>
  <si>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</si>
  <si>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</si>
  <si>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</si>
  <si>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</si>
  <si>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</si>
  <si>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BALANCE GRUPO RIDIGAS 2021 - VENTAS S/LIBRO IVA</t>
  </si>
  <si>
    <t>Caja</t>
  </si>
  <si>
    <t>Iva DF</t>
  </si>
  <si>
    <t>Ventas "A"</t>
  </si>
  <si>
    <t>Ventas "B"</t>
  </si>
  <si>
    <t>01/10/2024</t>
  </si>
  <si>
    <t>04/10/2024</t>
  </si>
  <si>
    <t>05/10/2024</t>
  </si>
  <si>
    <t>08/10/2024</t>
  </si>
  <si>
    <t>09/10/2024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</si>
  <si>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</si>
  <si>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</si>
  <si>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</si>
  <si>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</si>
  <si>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</si>
  <si>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</si>
  <si>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</si>
  <si>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</si>
  <si>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24/10/2024</t>
  </si>
  <si>
    <t>25/10/2024</t>
  </si>
  <si>
    <t>27/10/2024</t>
  </si>
  <si>
    <t>28/10/2024</t>
  </si>
  <si>
    <t>29/10/2024</t>
  </si>
  <si>
    <t>30/10/2024</t>
  </si>
  <si>
    <t>31/10/2024</t>
  </si>
  <si>
    <t>MAARE S.R.L.</t>
  </si>
  <si>
    <t>PEREZ ADRIANA MARINA</t>
  </si>
  <si>
    <t>MALETTI ALEJANDRO ARTURO</t>
  </si>
  <si>
    <t>MOMA FOOD S.R.L.</t>
  </si>
  <si>
    <t>LBH HOME &amp; HOTEL S.A.</t>
  </si>
  <si>
    <t>TAICHURE LAILA YAMILA</t>
  </si>
  <si>
    <t>GRUPOBELL S.R.L.</t>
  </si>
  <si>
    <t>MASIVOS S A</t>
  </si>
  <si>
    <t>PHANTOM S. A. S.</t>
  </si>
  <si>
    <t>DISTRIBUIDORA MULTIMARCA S.A.</t>
  </si>
  <si>
    <t>BALANCINES S.R.L.</t>
  </si>
  <si>
    <t>DISTRIBUIDORA ALCAR S.R.L.</t>
  </si>
  <si>
    <t>ELECTRO SERVICE M&amp;E SRL.</t>
  </si>
  <si>
    <t>BURGER GROUP S.R.L</t>
  </si>
  <si>
    <t>SIMILON S.A.</t>
  </si>
  <si>
    <t>FRAGA FERNANDO LEOPOLDO</t>
  </si>
  <si>
    <t>GOLONOR S.A.</t>
  </si>
  <si>
    <t>SEDAFE</t>
  </si>
  <si>
    <t>03/10/2024</t>
  </si>
  <si>
    <t>07/10/2024</t>
  </si>
  <si>
    <t>10/10/2024</t>
  </si>
  <si>
    <t>23/10/2024</t>
  </si>
  <si>
    <t>SAN MIGUEL JOSE MARCELO</t>
  </si>
  <si>
    <t>TIPO DE CAMBIO</t>
  </si>
  <si>
    <t>ZG MULTITEC SRL</t>
  </si>
  <si>
    <t>UPS DE ARGENTINA SA</t>
  </si>
  <si>
    <t>GULLO GASPAR</t>
  </si>
  <si>
    <t>ZANGARI CESAR DAVID</t>
  </si>
  <si>
    <t>DISPERO SA</t>
  </si>
  <si>
    <t>TC TIENDAS AR SRL</t>
  </si>
  <si>
    <t>ALBANO SEBASTIAN LUPONE</t>
  </si>
  <si>
    <t>GRUPO FELIPA  SAS</t>
  </si>
  <si>
    <t>RODRIGUEZ MATIAS ALEJANDRO</t>
  </si>
  <si>
    <t>EQ DIGITAL SRL</t>
  </si>
  <si>
    <t>CURRAO JOSE ANTONIO DAVID</t>
  </si>
  <si>
    <t>TBBD SAS</t>
  </si>
  <si>
    <t>GLADYS GEORGELY MORIN LICON</t>
  </si>
  <si>
    <t>TORIKOS SAS</t>
  </si>
  <si>
    <t>FLORESTA LIGHTING</t>
  </si>
  <si>
    <t>DE SERGIO DANIEL ALVAREZ</t>
  </si>
  <si>
    <t>COMERCIALIZADORA DE BEBIDAS SRL</t>
  </si>
  <si>
    <t>amez</t>
  </si>
  <si>
    <t>GONZALEZ BRAIAN EZEQUIEL</t>
  </si>
  <si>
    <t>01/11/2024</t>
  </si>
  <si>
    <t>afip</t>
  </si>
  <si>
    <t>VISA credicoop</t>
  </si>
  <si>
    <t>02/12/2024</t>
  </si>
  <si>
    <t>05/12/2024</t>
  </si>
  <si>
    <t>06/12/2024</t>
  </si>
  <si>
    <t>12/12/2024</t>
  </si>
  <si>
    <t>18/12/2024</t>
  </si>
  <si>
    <t>CHERRO HERNAN FEDERICO</t>
  </si>
  <si>
    <t>IACOPETTI FLORENCIA</t>
  </si>
  <si>
    <t>TIDONI SILVANA GRACIELA</t>
  </si>
  <si>
    <t>LIOTTA TIDONI FRANCO</t>
  </si>
  <si>
    <t>ABAL FERNANDO CRISTIAN</t>
  </si>
  <si>
    <t>01/12/2024</t>
  </si>
  <si>
    <t>03/12/2024</t>
  </si>
  <si>
    <t>13/12/2024</t>
  </si>
  <si>
    <t>24/12/2024</t>
  </si>
  <si>
    <t>31/12/2024</t>
  </si>
  <si>
    <t>MARANO LEANDRO MARTIN</t>
  </si>
  <si>
    <t>GOLOSINAR SA</t>
  </si>
  <si>
    <t>AGUJUL SRL</t>
  </si>
  <si>
    <t>NAVARRO PEÑA DANIELA KARINA</t>
  </si>
  <si>
    <t>Catering</t>
  </si>
  <si>
    <t>Materiales Electricos</t>
  </si>
  <si>
    <t>Gastos Importacion</t>
  </si>
  <si>
    <t>Papeleria</t>
  </si>
  <si>
    <t>Seg e Higiene</t>
  </si>
  <si>
    <t>Honorarios Prof</t>
  </si>
  <si>
    <t>Honorarios Admin</t>
  </si>
  <si>
    <t>Honorarios Contables</t>
  </si>
  <si>
    <t>Ferreteria</t>
  </si>
  <si>
    <t>Gastos Oficina</t>
  </si>
  <si>
    <t>Software Mantenimiento</t>
  </si>
  <si>
    <t>Servicios Informaticos</t>
  </si>
  <si>
    <t>Ropa de Trabajo</t>
  </si>
  <si>
    <t>Mat. Prima</t>
  </si>
  <si>
    <t>Electronica</t>
  </si>
  <si>
    <t>mercaderia</t>
  </si>
  <si>
    <t>software</t>
  </si>
  <si>
    <t>pintureria</t>
  </si>
  <si>
    <t>Gastos de Comercializacion</t>
  </si>
  <si>
    <t>mant vehiculos</t>
  </si>
  <si>
    <t>ASPRO SERVICIOS PETROLEROS S.A.</t>
  </si>
  <si>
    <t>PIEROTTI GERMAN JOSE</t>
  </si>
  <si>
    <t>POMPIDOU BERSEL SA</t>
  </si>
  <si>
    <t>AGUACA MANA S. A.</t>
  </si>
  <si>
    <t>TOULON S. A.</t>
  </si>
  <si>
    <t>CANTON METALWORK  SA</t>
  </si>
  <si>
    <t>RIO DE JANEIRO SA</t>
  </si>
  <si>
    <t>DISTRIBUIDORA DE PRODUCTOS Y SERVICIOS</t>
  </si>
  <si>
    <t>MEXICO</t>
  </si>
  <si>
    <t>SANTANDREA S.A.</t>
  </si>
  <si>
    <t>BOLLINI CLAUDIO DANIEL</t>
  </si>
  <si>
    <t>ELECTRO UNIVERSO - PLIN METAL S A</t>
  </si>
  <si>
    <t>SATDJIAN GUSTAVO ARTURO</t>
  </si>
  <si>
    <t>TORRE CRISTIAN HERNAN</t>
  </si>
  <si>
    <t>QUE PAQUETE! SOCIEDAD ANONIMA</t>
  </si>
  <si>
    <t>JALOS ARIEL SALOMON</t>
  </si>
  <si>
    <t>GONZALEZ ROBERTO OSCAR</t>
  </si>
  <si>
    <t>QUIRINO CARLOS ALBERTO</t>
  </si>
  <si>
    <t>SUELOCOR S.R.L.</t>
  </si>
  <si>
    <t>bs. Export</t>
  </si>
  <si>
    <t>extracto</t>
  </si>
  <si>
    <t>seg. Embarque</t>
  </si>
  <si>
    <t>seg. Embarque DIC</t>
  </si>
  <si>
    <t>CRAFTERS ARG  SAS</t>
  </si>
  <si>
    <t>GALAN FACUNDO</t>
  </si>
  <si>
    <t>DISTRIBUIDORA MEI S.R.L.</t>
  </si>
  <si>
    <t>BOUZOS JOSE ANTONIO</t>
  </si>
  <si>
    <t>LUMENPOL SRL</t>
  </si>
  <si>
    <t>NOUGUEZ CARLOS M MARIA ALEJANDRA NOUGUEZ NOUGUEZ MARIA GABRIELA NOUGUEZ MARIA CRISTINA ECHEVARRIA DO</t>
  </si>
  <si>
    <t>LOS KOVAS S.R.L</t>
  </si>
  <si>
    <t>REBORN SRL</t>
  </si>
  <si>
    <t>TUTTO CERAMICAS SRL</t>
  </si>
  <si>
    <t>HERRERA GASTON ADRIAN</t>
  </si>
  <si>
    <t>TROLLI ALICIA ANGELA</t>
  </si>
  <si>
    <t>ABELEDO HORACIO MIGUEL</t>
  </si>
  <si>
    <t>extrc</t>
  </si>
  <si>
    <t>bs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</si>
</sst>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##\-########\-#"/>
    <numFmt numFmtId="165" formatCode="[$-C0A]mmmm\-yy"/>
    <numFmt numFmtId="166" formatCode="[$$-2C0A]\ #,##0.00;\-[$$-2C0A]\ #,##0.00"/>
    <numFmt numFmtId="167" formatCode="_-[$$-2C0A]\ * #,##0.00_-;\-[$$-2C0A]\ * #,##0.00_-;_-[$$-2C0A]\ * &quot;-&quot;??_-;_-@"/>
    <numFmt numFmtId="168" formatCode="&quot;$&quot;\ #,##0.00;&quot;$&quot;\ \-#,##0.00"/>
    <numFmt numFmtId="169" formatCode="dd\-mm\-yy"/>
    <numFmt numFmtId="170" formatCode="000"/>
    <numFmt numFmtId="171" formatCode="0000"/>
    <numFmt numFmtId="172" formatCode="00000000"/>
    <numFmt numFmtId="173" formatCode="_-* #,##0.00\ _€_-;\-* #,##0.00\ _€_-;_-* &quot;-&quot;??\ _€_-;_-@"/>
    <numFmt numFmtId="174" formatCode="dd/mm/yy"/>
    <numFmt numFmtId="175" formatCode="#,##0.00_ ;[Red]\-#,##0.00\ "/>
    <numFmt numFmtId="176" formatCode="#,##0.000"/>
    <numFmt numFmtId="177" formatCode="_ * #,##0.00_ ;_ * \-#,##0.00_ ;_ * &quot;-&quot;??_ ;_ @_ "/>
    <numFmt numFmtId="178" formatCode="0.000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1"/>
      <name val="Calibri"/>
      <family val="2"/>
    </font>
    <font>
      <b/>
      <sz val="22"/>
      <color theme="0"/>
      <name val="Calibri"/>
      <family val="2"/>
    </font>
    <font>
      <b/>
      <sz val="13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10"/>
      <color theme="1"/>
      <name val="Times New Roman"/>
      <family val="1"/>
    </font>
    <font>
      <sz val="11"/>
      <color theme="5"/>
      <name val="Calibri"/>
      <family val="2"/>
    </font>
    <font>
      <b/>
      <sz val="24"/>
      <color theme="0"/>
      <name val="Calibri"/>
      <family val="2"/>
    </font>
    <font>
      <b/>
      <sz val="22"/>
      <color theme="1"/>
      <name val="Arial"/>
      <family val="2"/>
    </font>
    <font>
      <b/>
      <sz val="14"/>
      <color theme="0"/>
      <name val="Calibri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0"/>
      <color theme="6" tint="-0.499984740745262"/>
      <name val="Times New Roman"/>
      <family val="1"/>
    </font>
    <font>
      <sz val="10"/>
      <color theme="6" tint="-0.499984740745262"/>
      <name val="Calibri"/>
      <family val="2"/>
    </font>
    <font>
      <b/>
      <sz val="10"/>
      <color theme="6" tint="-0.499984740745262"/>
      <name val="Calibri"/>
      <family val="2"/>
    </font>
    <font>
      <b/>
      <sz val="12"/>
      <color theme="6" tint="-0.499984740745262"/>
      <name val="Calibri"/>
      <family val="2"/>
    </font>
    <font>
      <b/>
      <sz val="11"/>
      <color theme="6" tint="-0.499984740745262"/>
      <name val="Calibri"/>
      <family val="2"/>
    </font>
    <font>
      <sz val="9"/>
      <color theme="6" tint="-0.499984740745262"/>
      <name val="Calibri"/>
      <family val="2"/>
    </font>
    <font>
      <sz val="11"/>
      <color theme="6" tint="-0.49998474074526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CCC0D9"/>
        <bgColor rgb="FFCCC0D9"/>
      </patternFill>
    </fill>
    <fill>
      <patternFill patternType="solid">
        <fgColor rgb="FF4F6128"/>
        <bgColor rgb="FF4F6128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A5A5A5"/>
      </patternFill>
    </fill>
    <fill>
      <patternFill patternType="solid">
        <fgColor theme="6" tint="0.39997558519241921"/>
        <bgColor rgb="FFBFBFB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E5DFE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/>
      <bottom/>
      <diagonal/>
    </border>
    <border>
      <left/>
      <right/>
      <top/>
      <bottom/>
      <diagonal/>
    </border>
    <border>
      <left/>
      <right style="double">
        <color rgb="FF3F3F3F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/>
    <xf numFmtId="0" fontId="6" fillId="0" borderId="0" xfId="0" applyFont="1"/>
    <xf numFmtId="0" fontId="8" fillId="0" borderId="0" xfId="0" applyFont="1"/>
    <xf numFmtId="4" fontId="1" fillId="0" borderId="0" xfId="0" applyNumberFormat="1" applyFont="1"/>
    <xf numFmtId="0" fontId="1" fillId="10" borderId="1" xfId="0" applyFont="1" applyFill="1" applyBorder="1"/>
    <xf numFmtId="0" fontId="1" fillId="0" borderId="0" xfId="0" applyFont="1" applyAlignment="1">
      <alignment wrapText="1"/>
    </xf>
    <xf numFmtId="169" fontId="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0" fontId="10" fillId="0" borderId="0" xfId="0" applyNumberFormat="1" applyFont="1" applyAlignment="1">
      <alignment horizontal="right" vertical="center"/>
    </xf>
    <xf numFmtId="40" fontId="9" fillId="0" borderId="0" xfId="0" applyNumberFormat="1" applyFont="1" applyAlignment="1">
      <alignment horizontal="right" vertical="center"/>
    </xf>
    <xf numFmtId="40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40" fontId="10" fillId="0" borderId="0" xfId="0" applyNumberFormat="1" applyFont="1" applyAlignment="1">
      <alignment vertical="center"/>
    </xf>
    <xf numFmtId="14" fontId="12" fillId="13" borderId="5" xfId="0" applyNumberFormat="1" applyFont="1" applyFill="1" applyBorder="1" applyAlignment="1">
      <alignment horizontal="center" vertical="center"/>
    </xf>
    <xf numFmtId="14" fontId="12" fillId="13" borderId="6" xfId="0" applyNumberFormat="1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2" fillId="14" borderId="9" xfId="0" applyFont="1" applyFill="1" applyBorder="1" applyAlignment="1">
      <alignment horizontal="right"/>
    </xf>
    <xf numFmtId="173" fontId="12" fillId="14" borderId="10" xfId="0" applyNumberFormat="1" applyFont="1" applyFill="1" applyBorder="1"/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174" fontId="14" fillId="0" borderId="0" xfId="0" applyNumberFormat="1" applyFont="1" applyAlignment="1">
      <alignment horizontal="center"/>
    </xf>
    <xf numFmtId="172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4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2" fillId="8" borderId="13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164" fontId="9" fillId="0" borderId="16" xfId="0" applyNumberFormat="1" applyFont="1" applyBorder="1" applyAlignment="1">
      <alignment horizontal="left"/>
    </xf>
    <xf numFmtId="175" fontId="9" fillId="0" borderId="16" xfId="0" applyNumberFormat="1" applyFont="1" applyBorder="1"/>
    <xf numFmtId="175" fontId="9" fillId="0" borderId="16" xfId="0" applyNumberFormat="1" applyFont="1" applyBorder="1" applyAlignment="1">
      <alignment horizontal="right"/>
    </xf>
    <xf numFmtId="175" fontId="9" fillId="0" borderId="16" xfId="0" applyNumberFormat="1" applyFont="1" applyBorder="1" applyAlignment="1">
      <alignment horizontal="right" vertical="center"/>
    </xf>
    <xf numFmtId="40" fontId="9" fillId="0" borderId="17" xfId="0" applyNumberFormat="1" applyFont="1" applyBorder="1" applyAlignment="1">
      <alignment horizontal="right" vertical="center"/>
    </xf>
    <xf numFmtId="40" fontId="9" fillId="0" borderId="18" xfId="0" applyNumberFormat="1" applyFont="1" applyBorder="1" applyAlignment="1">
      <alignment horizontal="right" vertical="center"/>
    </xf>
    <xf numFmtId="169" fontId="9" fillId="0" borderId="19" xfId="0" applyNumberFormat="1" applyFont="1" applyBorder="1" applyAlignment="1">
      <alignment horizontal="center"/>
    </xf>
    <xf numFmtId="170" fontId="9" fillId="0" borderId="20" xfId="0" applyNumberFormat="1" applyFont="1" applyBorder="1" applyAlignment="1">
      <alignment horizontal="center"/>
    </xf>
    <xf numFmtId="171" fontId="9" fillId="0" borderId="20" xfId="0" applyNumberFormat="1" applyFont="1" applyBorder="1" applyAlignment="1">
      <alignment horizontal="center"/>
    </xf>
    <xf numFmtId="172" fontId="9" fillId="0" borderId="20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75" fontId="9" fillId="0" borderId="20" xfId="0" applyNumberFormat="1" applyFont="1" applyBorder="1"/>
    <xf numFmtId="175" fontId="9" fillId="0" borderId="20" xfId="0" applyNumberFormat="1" applyFont="1" applyBorder="1" applyAlignment="1">
      <alignment horizontal="right"/>
    </xf>
    <xf numFmtId="175" fontId="9" fillId="0" borderId="20" xfId="0" applyNumberFormat="1" applyFont="1" applyBorder="1" applyAlignment="1">
      <alignment horizontal="right" vertical="center"/>
    </xf>
    <xf numFmtId="169" fontId="9" fillId="0" borderId="21" xfId="0" applyNumberFormat="1" applyFont="1" applyBorder="1" applyAlignment="1">
      <alignment horizontal="center"/>
    </xf>
    <xf numFmtId="170" fontId="9" fillId="0" borderId="16" xfId="0" applyNumberFormat="1" applyFont="1" applyBorder="1" applyAlignment="1">
      <alignment horizontal="center"/>
    </xf>
    <xf numFmtId="171" fontId="9" fillId="0" borderId="16" xfId="0" applyNumberFormat="1" applyFont="1" applyBorder="1" applyAlignment="1">
      <alignment horizontal="center"/>
    </xf>
    <xf numFmtId="172" fontId="9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9" fillId="0" borderId="20" xfId="0" applyNumberFormat="1" applyFont="1" applyBorder="1" applyAlignment="1">
      <alignment horizontal="left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175" fontId="14" fillId="0" borderId="20" xfId="0" applyNumberFormat="1" applyFont="1" applyBorder="1"/>
    <xf numFmtId="175" fontId="1" fillId="0" borderId="20" xfId="0" applyNumberFormat="1" applyFont="1" applyBorder="1" applyAlignment="1">
      <alignment horizontal="right"/>
    </xf>
    <xf numFmtId="0" fontId="9" fillId="0" borderId="18" xfId="0" applyFont="1" applyBorder="1" applyAlignment="1">
      <alignment horizontal="right" vertical="center"/>
    </xf>
    <xf numFmtId="164" fontId="14" fillId="0" borderId="16" xfId="0" applyNumberFormat="1" applyFont="1" applyBorder="1" applyAlignment="1">
      <alignment horizontal="center"/>
    </xf>
    <xf numFmtId="175" fontId="14" fillId="0" borderId="16" xfId="0" applyNumberFormat="1" applyFont="1" applyBorder="1"/>
    <xf numFmtId="40" fontId="1" fillId="0" borderId="20" xfId="0" applyNumberFormat="1" applyFont="1" applyBorder="1" applyAlignment="1">
      <alignment horizontal="right"/>
    </xf>
    <xf numFmtId="40" fontId="9" fillId="0" borderId="20" xfId="0" applyNumberFormat="1" applyFont="1" applyBorder="1" applyAlignment="1">
      <alignment horizontal="right" vertical="center"/>
    </xf>
    <xf numFmtId="175" fontId="14" fillId="0" borderId="22" xfId="0" applyNumberFormat="1" applyFont="1" applyBorder="1" applyAlignment="1">
      <alignment horizontal="right" vertical="center"/>
    </xf>
    <xf numFmtId="169" fontId="14" fillId="0" borderId="23" xfId="0" applyNumberFormat="1" applyFont="1" applyBorder="1" applyAlignment="1">
      <alignment horizontal="center"/>
    </xf>
    <xf numFmtId="170" fontId="14" fillId="0" borderId="16" xfId="0" applyNumberFormat="1" applyFont="1" applyBorder="1" applyAlignment="1">
      <alignment horizontal="center"/>
    </xf>
    <xf numFmtId="171" fontId="14" fillId="0" borderId="21" xfId="0" applyNumberFormat="1" applyFont="1" applyBorder="1" applyAlignment="1">
      <alignment horizontal="center"/>
    </xf>
    <xf numFmtId="172" fontId="14" fillId="0" borderId="16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175" fontId="14" fillId="0" borderId="16" xfId="0" applyNumberFormat="1" applyFont="1" applyBorder="1" applyAlignment="1">
      <alignment horizontal="right"/>
    </xf>
    <xf numFmtId="175" fontId="14" fillId="0" borderId="16" xfId="0" applyNumberFormat="1" applyFont="1" applyBorder="1" applyAlignment="1">
      <alignment horizontal="right" vertical="center"/>
    </xf>
    <xf numFmtId="4" fontId="12" fillId="1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40" fontId="1" fillId="0" borderId="0" xfId="0" applyNumberFormat="1" applyFont="1" applyAlignment="1">
      <alignment horizontal="right"/>
    </xf>
    <xf numFmtId="0" fontId="17" fillId="0" borderId="0" xfId="0" applyFont="1"/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40" fontId="14" fillId="0" borderId="0" xfId="0" applyNumberFormat="1" applyFont="1" applyAlignment="1">
      <alignment horizontal="right"/>
    </xf>
    <xf numFmtId="169" fontId="9" fillId="16" borderId="1" xfId="0" applyNumberFormat="1" applyFont="1" applyFill="1" applyBorder="1" applyAlignment="1">
      <alignment horizontal="center" vertical="center"/>
    </xf>
    <xf numFmtId="170" fontId="9" fillId="16" borderId="1" xfId="0" applyNumberFormat="1" applyFont="1" applyFill="1" applyBorder="1" applyAlignment="1">
      <alignment horizontal="center" vertical="center"/>
    </xf>
    <xf numFmtId="171" fontId="9" fillId="16" borderId="1" xfId="0" applyNumberFormat="1" applyFont="1" applyFill="1" applyBorder="1" applyAlignment="1">
      <alignment horizontal="center" vertical="center"/>
    </xf>
    <xf numFmtId="172" fontId="9" fillId="16" borderId="1" xfId="0" applyNumberFormat="1" applyFont="1" applyFill="1" applyBorder="1" applyAlignment="1">
      <alignment horizontal="center" vertical="center"/>
    </xf>
    <xf numFmtId="164" fontId="9" fillId="16" borderId="1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/>
    </xf>
    <xf numFmtId="40" fontId="10" fillId="16" borderId="1" xfId="0" applyNumberFormat="1" applyFont="1" applyFill="1" applyBorder="1" applyAlignment="1">
      <alignment horizontal="right" vertical="center"/>
    </xf>
    <xf numFmtId="40" fontId="10" fillId="16" borderId="1" xfId="0" applyNumberFormat="1" applyFont="1" applyFill="1" applyBorder="1" applyAlignment="1">
      <alignment vertical="center"/>
    </xf>
    <xf numFmtId="40" fontId="10" fillId="16" borderId="1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169" fontId="9" fillId="17" borderId="1" xfId="0" applyNumberFormat="1" applyFont="1" applyFill="1" applyBorder="1" applyAlignment="1">
      <alignment horizontal="center" vertical="center"/>
    </xf>
    <xf numFmtId="171" fontId="9" fillId="17" borderId="1" xfId="0" applyNumberFormat="1" applyFont="1" applyFill="1" applyBorder="1" applyAlignment="1">
      <alignment horizontal="center" vertical="center"/>
    </xf>
    <xf numFmtId="172" fontId="14" fillId="17" borderId="1" xfId="0" applyNumberFormat="1" applyFont="1" applyFill="1" applyBorder="1" applyAlignment="1">
      <alignment horizontal="center"/>
    </xf>
    <xf numFmtId="164" fontId="14" fillId="17" borderId="1" xfId="0" applyNumberFormat="1" applyFont="1" applyFill="1" applyBorder="1" applyAlignment="1">
      <alignment horizontal="center"/>
    </xf>
    <xf numFmtId="0" fontId="14" fillId="17" borderId="1" xfId="0" applyFont="1" applyFill="1" applyBorder="1" applyAlignment="1">
      <alignment horizontal="left"/>
    </xf>
    <xf numFmtId="4" fontId="18" fillId="17" borderId="1" xfId="0" applyNumberFormat="1" applyFont="1" applyFill="1" applyBorder="1" applyAlignment="1">
      <alignment horizontal="right" vertical="center"/>
    </xf>
    <xf numFmtId="0" fontId="14" fillId="17" borderId="1" xfId="0" applyFont="1" applyFill="1" applyBorder="1" applyAlignment="1">
      <alignment horizontal="center" vertical="center"/>
    </xf>
    <xf numFmtId="4" fontId="18" fillId="0" borderId="0" xfId="0" applyNumberFormat="1" applyFont="1" applyAlignment="1">
      <alignment horizontal="right" vertical="center"/>
    </xf>
    <xf numFmtId="169" fontId="9" fillId="10" borderId="1" xfId="0" applyNumberFormat="1" applyFont="1" applyFill="1" applyBorder="1" applyAlignment="1">
      <alignment horizontal="center" vertical="center"/>
    </xf>
    <xf numFmtId="172" fontId="14" fillId="10" borderId="1" xfId="0" applyNumberFormat="1" applyFont="1" applyFill="1" applyBorder="1" applyAlignment="1">
      <alignment horizontal="center"/>
    </xf>
    <xf numFmtId="164" fontId="14" fillId="10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left"/>
    </xf>
    <xf numFmtId="4" fontId="18" fillId="10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center" vertical="center"/>
    </xf>
    <xf numFmtId="172" fontId="9" fillId="10" borderId="1" xfId="0" applyNumberFormat="1" applyFont="1" applyFill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/>
    </xf>
    <xf numFmtId="172" fontId="9" fillId="10" borderId="16" xfId="0" applyNumberFormat="1" applyFont="1" applyFill="1" applyBorder="1" applyAlignment="1">
      <alignment horizontal="center"/>
    </xf>
    <xf numFmtId="175" fontId="14" fillId="0" borderId="0" xfId="0" applyNumberFormat="1" applyFont="1"/>
    <xf numFmtId="175" fontId="1" fillId="0" borderId="0" xfId="0" applyNumberFormat="1" applyFont="1" applyAlignment="1">
      <alignment horizontal="right"/>
    </xf>
    <xf numFmtId="175" fontId="9" fillId="0" borderId="0" xfId="0" applyNumberFormat="1" applyFont="1" applyAlignment="1">
      <alignment horizontal="right" vertical="center"/>
    </xf>
    <xf numFmtId="2" fontId="14" fillId="0" borderId="16" xfId="0" applyNumberFormat="1" applyFont="1" applyBorder="1" applyAlignment="1">
      <alignment horizontal="right" vertical="center"/>
    </xf>
    <xf numFmtId="0" fontId="1" fillId="18" borderId="1" xfId="0" applyFont="1" applyFill="1" applyBorder="1"/>
    <xf numFmtId="169" fontId="14" fillId="18" borderId="27" xfId="0" applyNumberFormat="1" applyFont="1" applyFill="1" applyBorder="1" applyAlignment="1">
      <alignment horizontal="center"/>
    </xf>
    <xf numFmtId="170" fontId="14" fillId="18" borderId="16" xfId="0" applyNumberFormat="1" applyFont="1" applyFill="1" applyBorder="1" applyAlignment="1">
      <alignment horizontal="center"/>
    </xf>
    <xf numFmtId="171" fontId="14" fillId="18" borderId="28" xfId="0" applyNumberFormat="1" applyFont="1" applyFill="1" applyBorder="1" applyAlignment="1">
      <alignment horizontal="center"/>
    </xf>
    <xf numFmtId="172" fontId="14" fillId="18" borderId="16" xfId="0" applyNumberFormat="1" applyFont="1" applyFill="1" applyBorder="1" applyAlignment="1">
      <alignment horizontal="center"/>
    </xf>
    <xf numFmtId="164" fontId="1" fillId="18" borderId="1" xfId="0" applyNumberFormat="1" applyFont="1" applyFill="1" applyBorder="1" applyAlignment="1">
      <alignment horizontal="center"/>
    </xf>
    <xf numFmtId="164" fontId="14" fillId="18" borderId="16" xfId="0" applyNumberFormat="1" applyFont="1" applyFill="1" applyBorder="1" applyAlignment="1">
      <alignment horizontal="center"/>
    </xf>
    <xf numFmtId="175" fontId="14" fillId="18" borderId="16" xfId="0" applyNumberFormat="1" applyFont="1" applyFill="1" applyBorder="1"/>
    <xf numFmtId="0" fontId="9" fillId="10" borderId="1" xfId="0" applyFont="1" applyFill="1" applyBorder="1" applyAlignment="1">
      <alignment horizontal="left" vertical="center"/>
    </xf>
    <xf numFmtId="40" fontId="10" fillId="1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75" fontId="9" fillId="10" borderId="16" xfId="0" applyNumberFormat="1" applyFont="1" applyFill="1" applyBorder="1" applyAlignment="1">
      <alignment horizontal="right"/>
    </xf>
    <xf numFmtId="175" fontId="1" fillId="0" borderId="0" xfId="0" applyNumberFormat="1" applyFont="1"/>
    <xf numFmtId="170" fontId="9" fillId="10" borderId="1" xfId="0" applyNumberFormat="1" applyFont="1" applyFill="1" applyBorder="1" applyAlignment="1">
      <alignment horizontal="center" vertical="center"/>
    </xf>
    <xf numFmtId="171" fontId="9" fillId="10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40" fontId="10" fillId="10" borderId="1" xfId="0" applyNumberFormat="1" applyFont="1" applyFill="1" applyBorder="1" applyAlignment="1">
      <alignment horizontal="right" vertical="center"/>
    </xf>
    <xf numFmtId="40" fontId="10" fillId="10" borderId="1" xfId="0" applyNumberFormat="1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/>
    </xf>
    <xf numFmtId="40" fontId="1" fillId="0" borderId="0" xfId="0" applyNumberFormat="1" applyFont="1"/>
    <xf numFmtId="0" fontId="19" fillId="0" borderId="0" xfId="0" applyFont="1"/>
    <xf numFmtId="40" fontId="1" fillId="10" borderId="1" xfId="0" applyNumberFormat="1" applyFont="1" applyFill="1" applyBorder="1"/>
    <xf numFmtId="0" fontId="1" fillId="10" borderId="1" xfId="0" applyFont="1" applyFill="1" applyBorder="1" applyAlignment="1">
      <alignment vertical="center"/>
    </xf>
    <xf numFmtId="40" fontId="1" fillId="10" borderId="1" xfId="0" applyNumberFormat="1" applyFont="1" applyFill="1" applyBorder="1" applyAlignment="1">
      <alignment vertical="center"/>
    </xf>
    <xf numFmtId="0" fontId="20" fillId="12" borderId="1" xfId="0" applyFont="1" applyFill="1" applyBorder="1"/>
    <xf numFmtId="4" fontId="9" fillId="10" borderId="1" xfId="0" applyNumberFormat="1" applyFont="1" applyFill="1" applyBorder="1" applyAlignment="1">
      <alignment horizontal="right" vertical="center"/>
    </xf>
    <xf numFmtId="4" fontId="14" fillId="10" borderId="1" xfId="0" applyNumberFormat="1" applyFont="1" applyFill="1" applyBorder="1" applyAlignment="1">
      <alignment horizontal="right" vertical="center"/>
    </xf>
    <xf numFmtId="175" fontId="9" fillId="10" borderId="16" xfId="0" applyNumberFormat="1" applyFont="1" applyFill="1" applyBorder="1" applyAlignment="1">
      <alignment horizontal="right" vertical="center"/>
    </xf>
    <xf numFmtId="164" fontId="14" fillId="0" borderId="16" xfId="0" applyNumberFormat="1" applyFont="1" applyBorder="1" applyAlignment="1">
      <alignment horizontal="left"/>
    </xf>
    <xf numFmtId="2" fontId="2" fillId="0" borderId="0" xfId="0" applyNumberFormat="1" applyFont="1"/>
    <xf numFmtId="172" fontId="14" fillId="16" borderId="1" xfId="0" applyNumberFormat="1" applyFont="1" applyFill="1" applyBorder="1" applyAlignment="1">
      <alignment horizontal="center"/>
    </xf>
    <xf numFmtId="164" fontId="14" fillId="16" borderId="1" xfId="0" applyNumberFormat="1" applyFont="1" applyFill="1" applyBorder="1" applyAlignment="1">
      <alignment horizontal="center"/>
    </xf>
    <xf numFmtId="0" fontId="14" fillId="16" borderId="1" xfId="0" applyFont="1" applyFill="1" applyBorder="1" applyAlignment="1">
      <alignment horizontal="left"/>
    </xf>
    <xf numFmtId="4" fontId="14" fillId="16" borderId="1" xfId="0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center" vertical="center"/>
    </xf>
    <xf numFmtId="4" fontId="9" fillId="16" borderId="1" xfId="0" applyNumberFormat="1" applyFont="1" applyFill="1" applyBorder="1" applyAlignment="1">
      <alignment horizontal="right" vertical="center"/>
    </xf>
    <xf numFmtId="0" fontId="12" fillId="8" borderId="16" xfId="0" applyFont="1" applyFill="1" applyBorder="1" applyAlignment="1">
      <alignment horizontal="center" vertical="center" wrapText="1"/>
    </xf>
    <xf numFmtId="169" fontId="9" fillId="0" borderId="16" xfId="0" applyNumberFormat="1" applyFont="1" applyBorder="1" applyAlignment="1">
      <alignment horizontal="center" vertical="center"/>
    </xf>
    <xf numFmtId="170" fontId="9" fillId="0" borderId="16" xfId="0" applyNumberFormat="1" applyFont="1" applyBorder="1" applyAlignment="1">
      <alignment horizontal="center" vertical="center"/>
    </xf>
    <xf numFmtId="171" fontId="9" fillId="0" borderId="16" xfId="0" applyNumberFormat="1" applyFont="1" applyBorder="1" applyAlignment="1">
      <alignment horizontal="center" vertical="center"/>
    </xf>
    <xf numFmtId="172" fontId="9" fillId="0" borderId="16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40" fontId="9" fillId="0" borderId="16" xfId="0" applyNumberFormat="1" applyFont="1" applyBorder="1" applyAlignment="1">
      <alignment horizontal="right" vertical="center"/>
    </xf>
    <xf numFmtId="169" fontId="9" fillId="0" borderId="16" xfId="0" applyNumberFormat="1" applyFont="1" applyBorder="1" applyAlignment="1">
      <alignment horizontal="center"/>
    </xf>
    <xf numFmtId="40" fontId="1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right" vertical="center"/>
    </xf>
    <xf numFmtId="0" fontId="2" fillId="0" borderId="16" xfId="0" applyFont="1" applyBorder="1"/>
    <xf numFmtId="0" fontId="14" fillId="14" borderId="16" xfId="0" applyFont="1" applyFill="1" applyBorder="1" applyAlignment="1">
      <alignment horizontal="center"/>
    </xf>
    <xf numFmtId="40" fontId="1" fillId="14" borderId="16" xfId="0" applyNumberFormat="1" applyFont="1" applyFill="1" applyBorder="1" applyAlignment="1">
      <alignment horizontal="right"/>
    </xf>
    <xf numFmtId="175" fontId="14" fillId="14" borderId="16" xfId="0" applyNumberFormat="1" applyFont="1" applyFill="1" applyBorder="1" applyAlignment="1">
      <alignment horizontal="right"/>
    </xf>
    <xf numFmtId="40" fontId="9" fillId="14" borderId="16" xfId="0" applyNumberFormat="1" applyFont="1" applyFill="1" applyBorder="1" applyAlignment="1">
      <alignment horizontal="right" vertical="center"/>
    </xf>
    <xf numFmtId="175" fontId="14" fillId="14" borderId="16" xfId="0" applyNumberFormat="1" applyFont="1" applyFill="1" applyBorder="1"/>
    <xf numFmtId="0" fontId="9" fillId="14" borderId="16" xfId="0" applyFont="1" applyFill="1" applyBorder="1" applyAlignment="1">
      <alignment horizontal="right" vertical="center"/>
    </xf>
    <xf numFmtId="169" fontId="14" fillId="14" borderId="16" xfId="0" applyNumberFormat="1" applyFont="1" applyFill="1" applyBorder="1" applyAlignment="1">
      <alignment horizontal="center"/>
    </xf>
    <xf numFmtId="170" fontId="14" fillId="14" borderId="16" xfId="0" applyNumberFormat="1" applyFont="1" applyFill="1" applyBorder="1" applyAlignment="1">
      <alignment horizontal="center"/>
    </xf>
    <xf numFmtId="171" fontId="14" fillId="14" borderId="16" xfId="0" applyNumberFormat="1" applyFont="1" applyFill="1" applyBorder="1" applyAlignment="1">
      <alignment horizontal="center"/>
    </xf>
    <xf numFmtId="172" fontId="14" fillId="14" borderId="16" xfId="0" applyNumberFormat="1" applyFont="1" applyFill="1" applyBorder="1" applyAlignment="1">
      <alignment horizontal="center"/>
    </xf>
    <xf numFmtId="164" fontId="14" fillId="14" borderId="16" xfId="0" applyNumberFormat="1" applyFont="1" applyFill="1" applyBorder="1" applyAlignment="1">
      <alignment horizontal="center"/>
    </xf>
    <xf numFmtId="175" fontId="14" fillId="14" borderId="16" xfId="0" applyNumberFormat="1" applyFont="1" applyFill="1" applyBorder="1" applyAlignment="1">
      <alignment horizontal="right" vertical="center"/>
    </xf>
    <xf numFmtId="169" fontId="14" fillId="0" borderId="16" xfId="0" applyNumberFormat="1" applyFont="1" applyBorder="1" applyAlignment="1">
      <alignment horizontal="center"/>
    </xf>
    <xf numFmtId="171" fontId="14" fillId="0" borderId="16" xfId="0" applyNumberFormat="1" applyFont="1" applyBorder="1" applyAlignment="1">
      <alignment horizontal="center"/>
    </xf>
    <xf numFmtId="0" fontId="2" fillId="19" borderId="0" xfId="0" applyFont="1" applyFill="1"/>
    <xf numFmtId="0" fontId="13" fillId="19" borderId="0" xfId="0" applyFont="1" applyFill="1" applyAlignment="1">
      <alignment horizontal="center" vertical="center"/>
    </xf>
    <xf numFmtId="0" fontId="17" fillId="19" borderId="0" xfId="0" applyFont="1" applyFill="1"/>
    <xf numFmtId="164" fontId="14" fillId="0" borderId="20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176" fontId="24" fillId="2" borderId="35" xfId="0" applyNumberFormat="1" applyFont="1" applyFill="1" applyBorder="1" applyAlignment="1">
      <alignment horizontal="center"/>
    </xf>
    <xf numFmtId="0" fontId="24" fillId="2" borderId="36" xfId="0" applyFont="1" applyFill="1" applyBorder="1" applyAlignment="1">
      <alignment horizontal="left"/>
    </xf>
    <xf numFmtId="177" fontId="17" fillId="0" borderId="37" xfId="0" applyNumberFormat="1" applyFont="1" applyBorder="1" applyAlignment="1">
      <alignment horizontal="center"/>
    </xf>
    <xf numFmtId="4" fontId="17" fillId="0" borderId="38" xfId="0" applyNumberFormat="1" applyFont="1" applyBorder="1" applyAlignment="1">
      <alignment horizontal="center"/>
    </xf>
    <xf numFmtId="176" fontId="24" fillId="2" borderId="39" xfId="0" applyNumberFormat="1" applyFont="1" applyFill="1" applyBorder="1" applyAlignment="1">
      <alignment horizontal="center"/>
    </xf>
    <xf numFmtId="0" fontId="24" fillId="2" borderId="40" xfId="0" applyFont="1" applyFill="1" applyBorder="1" applyAlignment="1">
      <alignment horizontal="left"/>
    </xf>
    <xf numFmtId="177" fontId="17" fillId="0" borderId="22" xfId="0" applyNumberFormat="1" applyFont="1" applyBorder="1" applyAlignment="1">
      <alignment horizontal="center"/>
    </xf>
    <xf numFmtId="4" fontId="17" fillId="0" borderId="41" xfId="0" applyNumberFormat="1" applyFont="1" applyBorder="1" applyAlignment="1">
      <alignment horizontal="center"/>
    </xf>
    <xf numFmtId="0" fontId="1" fillId="0" borderId="0" xfId="0" applyFont="1"/>
    <xf numFmtId="0" fontId="1" fillId="0" borderId="0" xfId="0" quotePrefix="1" applyFont="1"/>
    <xf numFmtId="177" fontId="17" fillId="0" borderId="16" xfId="0" applyNumberFormat="1" applyFont="1" applyBorder="1" applyAlignment="1">
      <alignment horizontal="center"/>
    </xf>
    <xf numFmtId="4" fontId="17" fillId="0" borderId="42" xfId="0" applyNumberFormat="1" applyFont="1" applyBorder="1" applyAlignment="1">
      <alignment horizontal="center"/>
    </xf>
    <xf numFmtId="177" fontId="17" fillId="0" borderId="17" xfId="0" applyNumberFormat="1" applyFont="1" applyBorder="1" applyAlignment="1">
      <alignment horizontal="center"/>
    </xf>
    <xf numFmtId="176" fontId="24" fillId="2" borderId="43" xfId="0" applyNumberFormat="1" applyFont="1" applyFill="1" applyBorder="1" applyAlignment="1">
      <alignment horizontal="center"/>
    </xf>
    <xf numFmtId="0" fontId="24" fillId="2" borderId="44" xfId="0" applyFont="1" applyFill="1" applyBorder="1" applyAlignment="1">
      <alignment horizontal="left"/>
    </xf>
    <xf numFmtId="4" fontId="17" fillId="21" borderId="1" xfId="0" applyNumberFormat="1" applyFont="1" applyFill="1" applyBorder="1" applyAlignment="1">
      <alignment horizontal="center"/>
    </xf>
    <xf numFmtId="176" fontId="24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178" fontId="18" fillId="2" borderId="44" xfId="0" applyNumberFormat="1" applyFont="1" applyFill="1" applyBorder="1" applyAlignment="1">
      <alignment horizontal="center"/>
    </xf>
    <xf numFmtId="178" fontId="18" fillId="2" borderId="16" xfId="0" applyNumberFormat="1" applyFont="1" applyFill="1" applyBorder="1" applyAlignment="1">
      <alignment horizontal="left"/>
    </xf>
    <xf numFmtId="4" fontId="14" fillId="0" borderId="16" xfId="0" applyNumberFormat="1" applyFont="1" applyBorder="1"/>
    <xf numFmtId="4" fontId="14" fillId="0" borderId="42" xfId="0" applyNumberFormat="1" applyFont="1" applyBorder="1"/>
    <xf numFmtId="178" fontId="18" fillId="2" borderId="46" xfId="0" applyNumberFormat="1" applyFont="1" applyFill="1" applyBorder="1" applyAlignment="1">
      <alignment horizontal="center"/>
    </xf>
    <xf numFmtId="178" fontId="18" fillId="2" borderId="47" xfId="0" applyNumberFormat="1" applyFont="1" applyFill="1" applyBorder="1" applyAlignment="1">
      <alignment horizontal="left"/>
    </xf>
    <xf numFmtId="4" fontId="14" fillId="0" borderId="48" xfId="0" applyNumberFormat="1" applyFont="1" applyBorder="1"/>
    <xf numFmtId="178" fontId="26" fillId="0" borderId="0" xfId="0" applyNumberFormat="1" applyFont="1"/>
    <xf numFmtId="0" fontId="26" fillId="21" borderId="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69" fontId="9" fillId="0" borderId="53" xfId="0" applyNumberFormat="1" applyFont="1" applyBorder="1" applyAlignment="1">
      <alignment horizontal="center" vertical="center"/>
    </xf>
    <xf numFmtId="170" fontId="9" fillId="0" borderId="49" xfId="0" applyNumberFormat="1" applyFont="1" applyBorder="1" applyAlignment="1">
      <alignment horizontal="center" vertical="center"/>
    </xf>
    <xf numFmtId="171" fontId="9" fillId="0" borderId="49" xfId="0" applyNumberFormat="1" applyFont="1" applyBorder="1" applyAlignment="1">
      <alignment horizontal="center" vertical="center"/>
    </xf>
    <xf numFmtId="172" fontId="9" fillId="0" borderId="49" xfId="0" applyNumberFormat="1" applyFont="1" applyBorder="1" applyAlignment="1">
      <alignment horizontal="center" vertical="center"/>
    </xf>
    <xf numFmtId="164" fontId="9" fillId="0" borderId="49" xfId="0" applyNumberFormat="1" applyFont="1" applyBorder="1" applyAlignment="1">
      <alignment horizontal="center" vertical="center"/>
    </xf>
    <xf numFmtId="0" fontId="9" fillId="0" borderId="49" xfId="0" applyFont="1" applyBorder="1" applyAlignment="1">
      <alignment horizontal="left" vertical="center"/>
    </xf>
    <xf numFmtId="40" fontId="10" fillId="0" borderId="49" xfId="0" applyNumberFormat="1" applyFont="1" applyBorder="1" applyAlignment="1">
      <alignment horizontal="right" vertical="center"/>
    </xf>
    <xf numFmtId="40" fontId="10" fillId="0" borderId="49" xfId="0" applyNumberFormat="1" applyFont="1" applyBorder="1" applyAlignment="1">
      <alignment vertical="center"/>
    </xf>
    <xf numFmtId="40" fontId="10" fillId="0" borderId="49" xfId="0" applyNumberFormat="1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23" borderId="55" xfId="0" applyFont="1" applyFill="1" applyBorder="1" applyAlignment="1">
      <alignment horizontal="center" vertical="center"/>
    </xf>
    <xf numFmtId="0" fontId="9" fillId="23" borderId="56" xfId="0" applyFont="1" applyFill="1" applyBorder="1" applyAlignment="1">
      <alignment horizontal="center" vertical="center"/>
    </xf>
    <xf numFmtId="0" fontId="9" fillId="23" borderId="56" xfId="0" applyFont="1" applyFill="1" applyBorder="1" applyAlignment="1">
      <alignment horizontal="left" vertical="center"/>
    </xf>
    <xf numFmtId="40" fontId="10" fillId="23" borderId="56" xfId="0" applyNumberFormat="1" applyFont="1" applyFill="1" applyBorder="1" applyAlignment="1">
      <alignment horizontal="right" vertical="center"/>
    </xf>
    <xf numFmtId="0" fontId="9" fillId="23" borderId="57" xfId="0" applyFont="1" applyFill="1" applyBorder="1" applyAlignment="1">
      <alignment horizontal="center" vertical="center"/>
    </xf>
    <xf numFmtId="0" fontId="11" fillId="24" borderId="50" xfId="0" applyFont="1" applyFill="1" applyBorder="1" applyAlignment="1">
      <alignment horizontal="center" vertical="center" wrapText="1"/>
    </xf>
    <xf numFmtId="0" fontId="11" fillId="24" borderId="51" xfId="0" applyFont="1" applyFill="1" applyBorder="1" applyAlignment="1">
      <alignment horizontal="center" vertical="center" wrapText="1"/>
    </xf>
    <xf numFmtId="0" fontId="11" fillId="24" borderId="52" xfId="0" applyFont="1" applyFill="1" applyBorder="1" applyAlignment="1">
      <alignment horizontal="center" vertical="center" wrapText="1"/>
    </xf>
    <xf numFmtId="14" fontId="12" fillId="25" borderId="50" xfId="0" applyNumberFormat="1" applyFont="1" applyFill="1" applyBorder="1" applyAlignment="1">
      <alignment horizontal="center" vertical="center"/>
    </xf>
    <xf numFmtId="14" fontId="12" fillId="25" borderId="51" xfId="0" applyNumberFormat="1" applyFont="1" applyFill="1" applyBorder="1" applyAlignment="1">
      <alignment horizontal="center" vertical="center"/>
    </xf>
    <xf numFmtId="0" fontId="13" fillId="25" borderId="51" xfId="0" applyFont="1" applyFill="1" applyBorder="1" applyAlignment="1">
      <alignment horizontal="center" vertical="center"/>
    </xf>
    <xf numFmtId="0" fontId="13" fillId="25" borderId="52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4" fontId="9" fillId="0" borderId="49" xfId="0" applyNumberFormat="1" applyFont="1" applyBorder="1" applyAlignment="1">
      <alignment horizontal="right" vertical="center"/>
    </xf>
    <xf numFmtId="4" fontId="9" fillId="0" borderId="54" xfId="0" applyNumberFormat="1" applyFont="1" applyBorder="1" applyAlignment="1">
      <alignment horizontal="right" vertical="center"/>
    </xf>
    <xf numFmtId="0" fontId="9" fillId="23" borderId="56" xfId="0" applyFont="1" applyFill="1" applyBorder="1" applyAlignment="1">
      <alignment horizontal="center"/>
    </xf>
    <xf numFmtId="4" fontId="9" fillId="23" borderId="56" xfId="0" applyNumberFormat="1" applyFont="1" applyFill="1" applyBorder="1" applyAlignment="1">
      <alignment horizontal="right" vertical="center"/>
    </xf>
    <xf numFmtId="4" fontId="9" fillId="23" borderId="57" xfId="0" applyNumberFormat="1" applyFont="1" applyFill="1" applyBorder="1" applyAlignment="1">
      <alignment horizontal="right" vertical="center"/>
    </xf>
    <xf numFmtId="0" fontId="11" fillId="23" borderId="50" xfId="0" applyFont="1" applyFill="1" applyBorder="1" applyAlignment="1">
      <alignment horizontal="center" vertical="center"/>
    </xf>
    <xf numFmtId="0" fontId="11" fillId="23" borderId="51" xfId="0" applyFont="1" applyFill="1" applyBorder="1" applyAlignment="1">
      <alignment horizontal="center" vertical="center"/>
    </xf>
    <xf numFmtId="4" fontId="11" fillId="23" borderId="51" xfId="0" applyNumberFormat="1" applyFont="1" applyFill="1" applyBorder="1" applyAlignment="1">
      <alignment horizontal="center" vertical="center"/>
    </xf>
    <xf numFmtId="0" fontId="11" fillId="23" borderId="52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left"/>
    </xf>
    <xf numFmtId="173" fontId="14" fillId="0" borderId="49" xfId="0" applyNumberFormat="1" applyFont="1" applyBorder="1" applyAlignment="1">
      <alignment horizontal="right" vertical="center"/>
    </xf>
    <xf numFmtId="0" fontId="14" fillId="0" borderId="49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23" borderId="55" xfId="0" applyFont="1" applyFill="1" applyBorder="1" applyAlignment="1">
      <alignment horizontal="center" vertical="center"/>
    </xf>
    <xf numFmtId="0" fontId="14" fillId="23" borderId="56" xfId="0" applyFont="1" applyFill="1" applyBorder="1" applyAlignment="1">
      <alignment horizontal="center" vertical="center"/>
    </xf>
    <xf numFmtId="0" fontId="14" fillId="23" borderId="56" xfId="0" applyFont="1" applyFill="1" applyBorder="1" applyAlignment="1">
      <alignment horizontal="left" vertical="center"/>
    </xf>
    <xf numFmtId="4" fontId="14" fillId="23" borderId="56" xfId="0" applyNumberFormat="1" applyFont="1" applyFill="1" applyBorder="1" applyAlignment="1">
      <alignment horizontal="right" vertical="center"/>
    </xf>
    <xf numFmtId="0" fontId="14" fillId="23" borderId="57" xfId="0" applyFont="1" applyFill="1" applyBorder="1" applyAlignment="1">
      <alignment horizontal="center" vertical="center"/>
    </xf>
    <xf numFmtId="0" fontId="0" fillId="0" borderId="30" xfId="0" applyBorder="1"/>
    <xf numFmtId="0" fontId="12" fillId="8" borderId="50" xfId="0" applyFont="1" applyFill="1" applyBorder="1" applyAlignment="1">
      <alignment horizontal="center" vertical="center" wrapText="1"/>
    </xf>
    <xf numFmtId="0" fontId="12" fillId="8" borderId="51" xfId="0" applyFont="1" applyFill="1" applyBorder="1" applyAlignment="1">
      <alignment horizontal="center" vertical="center" wrapText="1"/>
    </xf>
    <xf numFmtId="0" fontId="12" fillId="8" borderId="52" xfId="0" applyFont="1" applyFill="1" applyBorder="1" applyAlignment="1">
      <alignment horizontal="center" vertical="center" wrapText="1"/>
    </xf>
    <xf numFmtId="164" fontId="9" fillId="0" borderId="49" xfId="0" applyNumberFormat="1" applyFont="1" applyBorder="1" applyAlignment="1">
      <alignment horizontal="center"/>
    </xf>
    <xf numFmtId="175" fontId="9" fillId="0" borderId="49" xfId="0" applyNumberFormat="1" applyFont="1" applyBorder="1"/>
    <xf numFmtId="175" fontId="9" fillId="0" borderId="49" xfId="0" applyNumberFormat="1" applyFont="1" applyBorder="1" applyAlignment="1">
      <alignment horizontal="right"/>
    </xf>
    <xf numFmtId="175" fontId="9" fillId="0" borderId="49" xfId="0" applyNumberFormat="1" applyFont="1" applyBorder="1" applyAlignment="1">
      <alignment horizontal="right" vertical="center"/>
    </xf>
    <xf numFmtId="40" fontId="9" fillId="0" borderId="54" xfId="0" applyNumberFormat="1" applyFont="1" applyBorder="1" applyAlignment="1">
      <alignment horizontal="right" vertical="center"/>
    </xf>
    <xf numFmtId="169" fontId="9" fillId="0" borderId="53" xfId="0" applyNumberFormat="1" applyFont="1" applyBorder="1" applyAlignment="1">
      <alignment horizontal="center"/>
    </xf>
    <xf numFmtId="170" fontId="9" fillId="0" borderId="49" xfId="0" applyNumberFormat="1" applyFont="1" applyBorder="1" applyAlignment="1">
      <alignment horizontal="center"/>
    </xf>
    <xf numFmtId="171" fontId="9" fillId="0" borderId="49" xfId="0" applyNumberFormat="1" applyFont="1" applyBorder="1" applyAlignment="1">
      <alignment horizontal="center"/>
    </xf>
    <xf numFmtId="172" fontId="9" fillId="0" borderId="49" xfId="0" applyNumberFormat="1" applyFont="1" applyBorder="1" applyAlignment="1">
      <alignment horizontal="center"/>
    </xf>
    <xf numFmtId="0" fontId="14" fillId="23" borderId="55" xfId="0" applyFont="1" applyFill="1" applyBorder="1" applyAlignment="1">
      <alignment horizontal="center"/>
    </xf>
    <xf numFmtId="0" fontId="14" fillId="23" borderId="56" xfId="0" applyFont="1" applyFill="1" applyBorder="1" applyAlignment="1">
      <alignment horizontal="center"/>
    </xf>
    <xf numFmtId="0" fontId="9" fillId="23" borderId="57" xfId="0" applyFont="1" applyFill="1" applyBorder="1" applyAlignment="1">
      <alignment horizontal="right" vertical="center"/>
    </xf>
    <xf numFmtId="164" fontId="14" fillId="0" borderId="49" xfId="0" applyNumberFormat="1" applyFont="1" applyBorder="1" applyAlignment="1">
      <alignment horizontal="center"/>
    </xf>
    <xf numFmtId="175" fontId="14" fillId="0" borderId="49" xfId="0" applyNumberFormat="1" applyFont="1" applyBorder="1"/>
    <xf numFmtId="40" fontId="1" fillId="23" borderId="56" xfId="0" applyNumberFormat="1" applyFont="1" applyFill="1" applyBorder="1" applyAlignment="1">
      <alignment horizontal="right"/>
    </xf>
    <xf numFmtId="40" fontId="9" fillId="23" borderId="56" xfId="0" applyNumberFormat="1" applyFont="1" applyFill="1" applyBorder="1" applyAlignment="1">
      <alignment horizontal="right" vertical="center"/>
    </xf>
    <xf numFmtId="0" fontId="0" fillId="26" borderId="0" xfId="0" applyFill="1"/>
    <xf numFmtId="2" fontId="0" fillId="23" borderId="56" xfId="0" applyNumberFormat="1" applyFill="1" applyBorder="1"/>
    <xf numFmtId="2" fontId="0" fillId="0" borderId="51" xfId="0" applyNumberFormat="1" applyBorder="1"/>
    <xf numFmtId="172" fontId="9" fillId="27" borderId="49" xfId="0" applyNumberFormat="1" applyFont="1" applyFill="1" applyBorder="1" applyAlignment="1">
      <alignment horizontal="center" vertical="center"/>
    </xf>
    <xf numFmtId="43" fontId="14" fillId="23" borderId="56" xfId="1" applyFont="1" applyFill="1" applyBorder="1" applyAlignment="1">
      <alignment horizontal="center" vertical="center"/>
    </xf>
    <xf numFmtId="43" fontId="1" fillId="23" borderId="56" xfId="1" applyFont="1" applyFill="1" applyBorder="1" applyAlignment="1">
      <alignment horizontal="center" vertical="center"/>
    </xf>
    <xf numFmtId="43" fontId="9" fillId="23" borderId="56" xfId="1" applyFont="1" applyFill="1" applyBorder="1" applyAlignment="1">
      <alignment horizontal="center" vertical="center"/>
    </xf>
    <xf numFmtId="40" fontId="9" fillId="0" borderId="49" xfId="0" applyNumberFormat="1" applyFont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 wrapText="1"/>
    </xf>
    <xf numFmtId="169" fontId="9" fillId="0" borderId="49" xfId="0" applyNumberFormat="1" applyFont="1" applyBorder="1" applyAlignment="1">
      <alignment horizontal="center" vertical="center"/>
    </xf>
    <xf numFmtId="0" fontId="14" fillId="23" borderId="49" xfId="0" applyFont="1" applyFill="1" applyBorder="1" applyAlignment="1">
      <alignment horizontal="center"/>
    </xf>
    <xf numFmtId="0" fontId="9" fillId="23" borderId="49" xfId="0" applyFont="1" applyFill="1" applyBorder="1" applyAlignment="1">
      <alignment horizontal="right" vertical="center"/>
    </xf>
    <xf numFmtId="0" fontId="0" fillId="23" borderId="49" xfId="0" applyFill="1" applyBorder="1"/>
    <xf numFmtId="175" fontId="0" fillId="23" borderId="49" xfId="0" applyNumberFormat="1" applyFill="1" applyBorder="1"/>
    <xf numFmtId="1" fontId="0" fillId="0" borderId="0" xfId="0" applyNumberFormat="1"/>
    <xf numFmtId="164" fontId="9" fillId="22" borderId="49" xfId="0" applyNumberFormat="1" applyFont="1" applyFill="1" applyBorder="1" applyAlignment="1">
      <alignment horizontal="center"/>
    </xf>
    <xf numFmtId="164" fontId="14" fillId="23" borderId="56" xfId="0" applyNumberFormat="1" applyFont="1" applyFill="1" applyBorder="1" applyAlignment="1">
      <alignment horizontal="center"/>
    </xf>
    <xf numFmtId="40" fontId="10" fillId="28" borderId="49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9" fillId="0" borderId="56" xfId="0" applyFont="1" applyBorder="1" applyAlignment="1">
      <alignment horizontal="left" vertical="center"/>
    </xf>
    <xf numFmtId="169" fontId="9" fillId="0" borderId="50" xfId="0" applyNumberFormat="1" applyFont="1" applyBorder="1" applyAlignment="1">
      <alignment horizontal="center" vertical="center"/>
    </xf>
    <xf numFmtId="170" fontId="9" fillId="0" borderId="51" xfId="0" applyNumberFormat="1" applyFont="1" applyBorder="1" applyAlignment="1">
      <alignment horizontal="center" vertical="center"/>
    </xf>
    <xf numFmtId="171" fontId="9" fillId="0" borderId="51" xfId="0" applyNumberFormat="1" applyFont="1" applyBorder="1" applyAlignment="1">
      <alignment horizontal="center" vertical="center"/>
    </xf>
    <xf numFmtId="172" fontId="9" fillId="0" borderId="51" xfId="0" applyNumberFormat="1" applyFont="1" applyBorder="1" applyAlignment="1">
      <alignment horizontal="center" vertical="center"/>
    </xf>
    <xf numFmtId="164" fontId="9" fillId="0" borderId="51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left" vertical="center"/>
    </xf>
    <xf numFmtId="40" fontId="10" fillId="0" borderId="51" xfId="0" applyNumberFormat="1" applyFont="1" applyBorder="1" applyAlignment="1">
      <alignment horizontal="right" vertical="center"/>
    </xf>
    <xf numFmtId="40" fontId="10" fillId="0" borderId="51" xfId="0" applyNumberFormat="1" applyFont="1" applyBorder="1" applyAlignment="1">
      <alignment vertical="center"/>
    </xf>
    <xf numFmtId="40" fontId="10" fillId="0" borderId="51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28" fillId="24" borderId="58" xfId="0" applyFont="1" applyFill="1" applyBorder="1" applyAlignment="1">
      <alignment horizontal="center" vertical="center" wrapText="1"/>
    </xf>
    <xf numFmtId="0" fontId="28" fillId="24" borderId="59" xfId="0" applyFont="1" applyFill="1" applyBorder="1" applyAlignment="1">
      <alignment horizontal="center" vertical="center" wrapText="1"/>
    </xf>
    <xf numFmtId="0" fontId="28" fillId="24" borderId="60" xfId="0" applyFont="1" applyFill="1" applyBorder="1" applyAlignment="1">
      <alignment horizontal="center" vertical="center" wrapText="1"/>
    </xf>
    <xf numFmtId="169" fontId="9" fillId="0" borderId="55" xfId="0" applyNumberFormat="1" applyFont="1" applyBorder="1" applyAlignment="1">
      <alignment horizontal="center" vertical="center"/>
    </xf>
    <xf numFmtId="170" fontId="9" fillId="0" borderId="56" xfId="0" applyNumberFormat="1" applyFont="1" applyBorder="1" applyAlignment="1">
      <alignment horizontal="center" vertical="center"/>
    </xf>
    <xf numFmtId="171" fontId="9" fillId="0" borderId="56" xfId="0" applyNumberFormat="1" applyFont="1" applyBorder="1" applyAlignment="1">
      <alignment horizontal="center" vertical="center"/>
    </xf>
    <xf numFmtId="172" fontId="9" fillId="0" borderId="56" xfId="0" applyNumberFormat="1" applyFont="1" applyBorder="1" applyAlignment="1">
      <alignment horizontal="center" vertical="center"/>
    </xf>
    <xf numFmtId="164" fontId="9" fillId="0" borderId="56" xfId="0" applyNumberFormat="1" applyFont="1" applyBorder="1" applyAlignment="1">
      <alignment horizontal="center" vertical="center"/>
    </xf>
    <xf numFmtId="40" fontId="10" fillId="0" borderId="56" xfId="0" applyNumberFormat="1" applyFont="1" applyBorder="1" applyAlignment="1">
      <alignment horizontal="center" vertical="center"/>
    </xf>
    <xf numFmtId="0" fontId="29" fillId="23" borderId="58" xfId="0" applyFont="1" applyFill="1" applyBorder="1" applyAlignment="1">
      <alignment horizontal="center" vertical="center"/>
    </xf>
    <xf numFmtId="0" fontId="29" fillId="23" borderId="59" xfId="0" applyFont="1" applyFill="1" applyBorder="1" applyAlignment="1">
      <alignment horizontal="center" vertical="center"/>
    </xf>
    <xf numFmtId="0" fontId="29" fillId="23" borderId="59" xfId="0" applyFont="1" applyFill="1" applyBorder="1" applyAlignment="1">
      <alignment horizontal="left" vertical="center"/>
    </xf>
    <xf numFmtId="40" fontId="30" fillId="23" borderId="59" xfId="0" applyNumberFormat="1" applyFont="1" applyFill="1" applyBorder="1" applyAlignment="1">
      <alignment horizontal="right" vertical="center"/>
    </xf>
    <xf numFmtId="0" fontId="29" fillId="23" borderId="60" xfId="0" applyFont="1" applyFill="1" applyBorder="1" applyAlignment="1">
      <alignment horizontal="center" vertical="center"/>
    </xf>
    <xf numFmtId="0" fontId="9" fillId="0" borderId="56" xfId="0" applyFont="1" applyBorder="1" applyAlignment="1">
      <alignment horizontal="center"/>
    </xf>
    <xf numFmtId="4" fontId="9" fillId="0" borderId="56" xfId="0" applyNumberFormat="1" applyFont="1" applyBorder="1" applyAlignment="1">
      <alignment horizontal="right" vertical="center"/>
    </xf>
    <xf numFmtId="4" fontId="9" fillId="0" borderId="57" xfId="0" applyNumberFormat="1" applyFont="1" applyBorder="1" applyAlignment="1">
      <alignment horizontal="right" vertical="center"/>
    </xf>
    <xf numFmtId="0" fontId="9" fillId="0" borderId="51" xfId="0" applyFont="1" applyBorder="1" applyAlignment="1">
      <alignment horizontal="center"/>
    </xf>
    <xf numFmtId="4" fontId="9" fillId="0" borderId="51" xfId="0" applyNumberFormat="1" applyFont="1" applyBorder="1" applyAlignment="1">
      <alignment horizontal="right" vertical="center"/>
    </xf>
    <xf numFmtId="4" fontId="9" fillId="0" borderId="52" xfId="0" applyNumberFormat="1" applyFont="1" applyBorder="1" applyAlignment="1">
      <alignment horizontal="right" vertical="center"/>
    </xf>
    <xf numFmtId="14" fontId="31" fillId="25" borderId="58" xfId="0" applyNumberFormat="1" applyFont="1" applyFill="1" applyBorder="1" applyAlignment="1">
      <alignment horizontal="center" vertical="center"/>
    </xf>
    <xf numFmtId="14" fontId="31" fillId="25" borderId="59" xfId="0" applyNumberFormat="1" applyFont="1" applyFill="1" applyBorder="1" applyAlignment="1">
      <alignment horizontal="center" vertical="center"/>
    </xf>
    <xf numFmtId="0" fontId="32" fillId="25" borderId="59" xfId="0" applyFont="1" applyFill="1" applyBorder="1" applyAlignment="1">
      <alignment horizontal="center" vertical="center"/>
    </xf>
    <xf numFmtId="0" fontId="32" fillId="25" borderId="60" xfId="0" applyFont="1" applyFill="1" applyBorder="1" applyAlignment="1">
      <alignment horizontal="center" vertical="center"/>
    </xf>
    <xf numFmtId="14" fontId="9" fillId="0" borderId="56" xfId="0" applyNumberFormat="1" applyFont="1" applyBorder="1" applyAlignment="1">
      <alignment horizontal="center"/>
    </xf>
    <xf numFmtId="0" fontId="29" fillId="23" borderId="59" xfId="0" applyFont="1" applyFill="1" applyBorder="1" applyAlignment="1">
      <alignment horizontal="center"/>
    </xf>
    <xf numFmtId="4" fontId="29" fillId="23" borderId="59" xfId="0" applyNumberFormat="1" applyFont="1" applyFill="1" applyBorder="1" applyAlignment="1">
      <alignment horizontal="right" vertical="center"/>
    </xf>
    <xf numFmtId="4" fontId="29" fillId="23" borderId="60" xfId="0" applyNumberFormat="1" applyFont="1" applyFill="1" applyBorder="1" applyAlignment="1">
      <alignment horizontal="right" vertical="center"/>
    </xf>
    <xf numFmtId="0" fontId="14" fillId="0" borderId="51" xfId="0" applyFont="1" applyBorder="1" applyAlignment="1">
      <alignment horizontal="left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28" fillId="23" borderId="58" xfId="0" applyFont="1" applyFill="1" applyBorder="1" applyAlignment="1">
      <alignment horizontal="center" vertical="center"/>
    </xf>
    <xf numFmtId="0" fontId="28" fillId="23" borderId="59" xfId="0" applyFont="1" applyFill="1" applyBorder="1" applyAlignment="1">
      <alignment horizontal="center" vertical="center"/>
    </xf>
    <xf numFmtId="4" fontId="28" fillId="23" borderId="59" xfId="0" applyNumberFormat="1" applyFont="1" applyFill="1" applyBorder="1" applyAlignment="1">
      <alignment horizontal="center" vertical="center"/>
    </xf>
    <xf numFmtId="0" fontId="28" fillId="23" borderId="60" xfId="0" applyFont="1" applyFill="1" applyBorder="1" applyAlignment="1">
      <alignment horizontal="center" vertical="center"/>
    </xf>
    <xf numFmtId="0" fontId="33" fillId="23" borderId="58" xfId="0" applyFont="1" applyFill="1" applyBorder="1" applyAlignment="1">
      <alignment horizontal="center" vertical="center"/>
    </xf>
    <xf numFmtId="0" fontId="33" fillId="23" borderId="59" xfId="0" applyFont="1" applyFill="1" applyBorder="1" applyAlignment="1">
      <alignment horizontal="center" vertical="center"/>
    </xf>
    <xf numFmtId="0" fontId="33" fillId="23" borderId="59" xfId="0" applyFont="1" applyFill="1" applyBorder="1" applyAlignment="1">
      <alignment horizontal="left" vertical="center"/>
    </xf>
    <xf numFmtId="4" fontId="33" fillId="23" borderId="59" xfId="0" applyNumberFormat="1" applyFont="1" applyFill="1" applyBorder="1" applyAlignment="1">
      <alignment horizontal="right" vertical="center"/>
    </xf>
    <xf numFmtId="0" fontId="33" fillId="23" borderId="60" xfId="0" applyFont="1" applyFill="1" applyBorder="1" applyAlignment="1">
      <alignment horizontal="center" vertical="center"/>
    </xf>
    <xf numFmtId="175" fontId="14" fillId="0" borderId="56" xfId="0" applyNumberFormat="1" applyFont="1" applyBorder="1"/>
    <xf numFmtId="175" fontId="9" fillId="0" borderId="56" xfId="0" applyNumberFormat="1" applyFont="1" applyBorder="1" applyAlignment="1">
      <alignment horizontal="right" vertical="center"/>
    </xf>
    <xf numFmtId="164" fontId="9" fillId="0" borderId="51" xfId="0" applyNumberFormat="1" applyFont="1" applyBorder="1" applyAlignment="1">
      <alignment horizontal="center"/>
    </xf>
    <xf numFmtId="175" fontId="9" fillId="0" borderId="51" xfId="0" applyNumberFormat="1" applyFont="1" applyBorder="1"/>
    <xf numFmtId="175" fontId="9" fillId="0" borderId="51" xfId="0" applyNumberFormat="1" applyFont="1" applyBorder="1" applyAlignment="1">
      <alignment horizontal="right" vertical="center"/>
    </xf>
    <xf numFmtId="40" fontId="9" fillId="0" borderId="52" xfId="0" applyNumberFormat="1" applyFont="1" applyBorder="1" applyAlignment="1">
      <alignment horizontal="right" vertical="center"/>
    </xf>
    <xf numFmtId="0" fontId="31" fillId="31" borderId="58" xfId="0" applyFont="1" applyFill="1" applyBorder="1" applyAlignment="1">
      <alignment horizontal="center" vertical="center" wrapText="1"/>
    </xf>
    <xf numFmtId="0" fontId="31" fillId="31" borderId="59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169" fontId="9" fillId="0" borderId="55" xfId="0" applyNumberFormat="1" applyFont="1" applyBorder="1" applyAlignment="1">
      <alignment horizontal="center"/>
    </xf>
    <xf numFmtId="170" fontId="9" fillId="0" borderId="56" xfId="0" applyNumberFormat="1" applyFont="1" applyBorder="1" applyAlignment="1">
      <alignment horizontal="center"/>
    </xf>
    <xf numFmtId="171" fontId="9" fillId="0" borderId="56" xfId="0" applyNumberFormat="1" applyFont="1" applyBorder="1" applyAlignment="1">
      <alignment horizontal="center"/>
    </xf>
    <xf numFmtId="172" fontId="9" fillId="0" borderId="56" xfId="0" applyNumberFormat="1" applyFont="1" applyBorder="1" applyAlignment="1">
      <alignment horizontal="center"/>
    </xf>
    <xf numFmtId="164" fontId="9" fillId="0" borderId="56" xfId="0" applyNumberFormat="1" applyFont="1" applyBorder="1" applyAlignment="1">
      <alignment horizontal="center"/>
    </xf>
    <xf numFmtId="175" fontId="9" fillId="0" borderId="56" xfId="0" applyNumberFormat="1" applyFont="1" applyBorder="1"/>
    <xf numFmtId="175" fontId="9" fillId="0" borderId="56" xfId="0" applyNumberFormat="1" applyFont="1" applyBorder="1" applyAlignment="1">
      <alignment horizontal="right"/>
    </xf>
    <xf numFmtId="40" fontId="9" fillId="0" borderId="57" xfId="0" applyNumberFormat="1" applyFont="1" applyBorder="1" applyAlignment="1">
      <alignment horizontal="right" vertical="center"/>
    </xf>
    <xf numFmtId="0" fontId="33" fillId="23" borderId="58" xfId="0" applyFont="1" applyFill="1" applyBorder="1" applyAlignment="1">
      <alignment horizontal="center"/>
    </xf>
    <xf numFmtId="0" fontId="33" fillId="23" borderId="59" xfId="0" applyFont="1" applyFill="1" applyBorder="1" applyAlignment="1">
      <alignment horizontal="center"/>
    </xf>
    <xf numFmtId="175" fontId="33" fillId="23" borderId="59" xfId="0" applyNumberFormat="1" applyFont="1" applyFill="1" applyBorder="1"/>
    <xf numFmtId="175" fontId="34" fillId="23" borderId="59" xfId="0" applyNumberFormat="1" applyFont="1" applyFill="1" applyBorder="1" applyAlignment="1">
      <alignment horizontal="right"/>
    </xf>
    <xf numFmtId="175" fontId="29" fillId="23" borderId="59" xfId="0" applyNumberFormat="1" applyFont="1" applyFill="1" applyBorder="1" applyAlignment="1">
      <alignment horizontal="right" vertical="center"/>
    </xf>
    <xf numFmtId="0" fontId="29" fillId="23" borderId="60" xfId="0" applyFont="1" applyFill="1" applyBorder="1" applyAlignment="1">
      <alignment horizontal="right" vertical="center"/>
    </xf>
    <xf numFmtId="164" fontId="14" fillId="0" borderId="51" xfId="0" applyNumberFormat="1" applyFont="1" applyBorder="1" applyAlignment="1">
      <alignment horizontal="center"/>
    </xf>
    <xf numFmtId="175" fontId="14" fillId="0" borderId="51" xfId="0" applyNumberFormat="1" applyFont="1" applyBorder="1"/>
    <xf numFmtId="164" fontId="14" fillId="0" borderId="56" xfId="0" applyNumberFormat="1" applyFont="1" applyBorder="1" applyAlignment="1">
      <alignment horizontal="center"/>
    </xf>
    <xf numFmtId="40" fontId="34" fillId="23" borderId="59" xfId="0" applyNumberFormat="1" applyFont="1" applyFill="1" applyBorder="1" applyAlignment="1">
      <alignment horizontal="right"/>
    </xf>
    <xf numFmtId="40" fontId="29" fillId="23" borderId="59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14" fontId="9" fillId="0" borderId="49" xfId="0" applyNumberFormat="1" applyFont="1" applyBorder="1" applyAlignment="1">
      <alignment horizontal="center"/>
    </xf>
    <xf numFmtId="0" fontId="33" fillId="0" borderId="30" xfId="0" applyFont="1" applyBorder="1" applyAlignment="1">
      <alignment horizontal="center"/>
    </xf>
    <xf numFmtId="175" fontId="33" fillId="0" borderId="30" xfId="0" applyNumberFormat="1" applyFont="1" applyBorder="1"/>
    <xf numFmtId="175" fontId="34" fillId="0" borderId="30" xfId="0" applyNumberFormat="1" applyFont="1" applyBorder="1" applyAlignment="1">
      <alignment horizontal="right"/>
    </xf>
    <xf numFmtId="175" fontId="29" fillId="0" borderId="30" xfId="0" applyNumberFormat="1" applyFont="1" applyBorder="1" applyAlignment="1">
      <alignment horizontal="right" vertical="center"/>
    </xf>
    <xf numFmtId="0" fontId="29" fillId="0" borderId="30" xfId="0" applyFont="1" applyBorder="1" applyAlignment="1">
      <alignment horizontal="right" vertical="center"/>
    </xf>
    <xf numFmtId="172" fontId="9" fillId="32" borderId="49" xfId="0" applyNumberFormat="1" applyFont="1" applyFill="1" applyBorder="1" applyAlignment="1">
      <alignment horizontal="center" vertical="center"/>
    </xf>
    <xf numFmtId="0" fontId="0" fillId="32" borderId="0" xfId="0" applyFill="1"/>
    <xf numFmtId="169" fontId="9" fillId="0" borderId="1" xfId="0" applyNumberFormat="1" applyFont="1" applyBorder="1" applyAlignment="1">
      <alignment horizontal="center" vertical="center"/>
    </xf>
    <xf numFmtId="170" fontId="9" fillId="0" borderId="1" xfId="0" applyNumberFormat="1" applyFont="1" applyBorder="1" applyAlignment="1">
      <alignment horizontal="center" vertical="center"/>
    </xf>
    <xf numFmtId="171" fontId="9" fillId="0" borderId="1" xfId="0" applyNumberFormat="1" applyFont="1" applyBorder="1" applyAlignment="1">
      <alignment horizontal="center" vertical="center"/>
    </xf>
    <xf numFmtId="172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4" fontId="14" fillId="0" borderId="1" xfId="0" applyNumberFormat="1" applyFont="1" applyBorder="1" applyAlignment="1">
      <alignment horizontal="right" vertical="center"/>
    </xf>
    <xf numFmtId="164" fontId="9" fillId="0" borderId="51" xfId="0" applyNumberFormat="1" applyFont="1" applyBorder="1" applyAlignment="1">
      <alignment horizontal="left"/>
    </xf>
    <xf numFmtId="175" fontId="0" fillId="0" borderId="0" xfId="0" applyNumberFormat="1"/>
    <xf numFmtId="40" fontId="0" fillId="0" borderId="0" xfId="0" applyNumberFormat="1"/>
    <xf numFmtId="43" fontId="0" fillId="0" borderId="0" xfId="1" applyFont="1"/>
    <xf numFmtId="0" fontId="11" fillId="0" borderId="1" xfId="0" applyFont="1" applyBorder="1" applyAlignment="1">
      <alignment horizontal="center" vertical="center" wrapText="1"/>
    </xf>
    <xf numFmtId="43" fontId="10" fillId="0" borderId="0" xfId="1" applyFont="1" applyAlignment="1">
      <alignment horizontal="right" vertical="center"/>
    </xf>
    <xf numFmtId="43" fontId="10" fillId="0" borderId="0" xfId="1" applyFont="1" applyAlignment="1">
      <alignment vertical="center"/>
    </xf>
    <xf numFmtId="43" fontId="10" fillId="0" borderId="0" xfId="1" applyFont="1" applyAlignment="1">
      <alignment horizontal="center" vertical="center"/>
    </xf>
    <xf numFmtId="43" fontId="10" fillId="0" borderId="0" xfId="1" applyFont="1" applyBorder="1" applyAlignment="1">
      <alignment horizontal="right" vertical="center"/>
    </xf>
    <xf numFmtId="43" fontId="10" fillId="0" borderId="0" xfId="1" applyFont="1" applyBorder="1" applyAlignment="1">
      <alignment vertical="center"/>
    </xf>
    <xf numFmtId="43" fontId="10" fillId="0" borderId="0" xfId="1" applyFont="1" applyBorder="1" applyAlignment="1">
      <alignment horizontal="center" vertical="center"/>
    </xf>
    <xf numFmtId="43" fontId="10" fillId="0" borderId="1" xfId="1" applyFont="1" applyBorder="1" applyAlignment="1">
      <alignment horizontal="right" vertical="center"/>
    </xf>
    <xf numFmtId="43" fontId="10" fillId="0" borderId="1" xfId="1" applyFont="1" applyBorder="1" applyAlignment="1">
      <alignment vertical="center"/>
    </xf>
    <xf numFmtId="43" fontId="10" fillId="0" borderId="1" xfId="1" applyFont="1" applyBorder="1" applyAlignment="1">
      <alignment horizontal="center" vertical="center"/>
    </xf>
    <xf numFmtId="40" fontId="10" fillId="0" borderId="1" xfId="0" applyNumberFormat="1" applyFont="1" applyBorder="1" applyAlignment="1">
      <alignment horizontal="right" vertical="center"/>
    </xf>
    <xf numFmtId="40" fontId="10" fillId="0" borderId="1" xfId="0" applyNumberFormat="1" applyFont="1" applyBorder="1" applyAlignment="1">
      <alignment vertical="center"/>
    </xf>
    <xf numFmtId="40" fontId="10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right" vertical="center"/>
    </xf>
    <xf numFmtId="0" fontId="9" fillId="0" borderId="56" xfId="0" applyFont="1" applyBorder="1" applyAlignment="1">
      <alignment horizontal="center" vertical="center"/>
    </xf>
    <xf numFmtId="40" fontId="10" fillId="0" borderId="56" xfId="0" applyNumberFormat="1" applyFont="1" applyBorder="1" applyAlignment="1">
      <alignment horizontal="right" vertical="center"/>
    </xf>
    <xf numFmtId="0" fontId="9" fillId="0" borderId="57" xfId="0" applyFont="1" applyBorder="1" applyAlignment="1">
      <alignment horizontal="center" vertical="center"/>
    </xf>
    <xf numFmtId="40" fontId="10" fillId="0" borderId="56" xfId="0" applyNumberFormat="1" applyFont="1" applyBorder="1" applyAlignment="1">
      <alignment vertical="center"/>
    </xf>
    <xf numFmtId="0" fontId="28" fillId="24" borderId="61" xfId="0" applyFont="1" applyFill="1" applyBorder="1" applyAlignment="1">
      <alignment horizontal="center" vertical="center" wrapText="1"/>
    </xf>
    <xf numFmtId="0" fontId="28" fillId="24" borderId="62" xfId="0" applyFont="1" applyFill="1" applyBorder="1" applyAlignment="1">
      <alignment horizontal="center" vertical="center" wrapText="1"/>
    </xf>
    <xf numFmtId="0" fontId="28" fillId="24" borderId="63" xfId="0" applyFont="1" applyFill="1" applyBorder="1" applyAlignment="1">
      <alignment horizontal="center" vertical="center" wrapText="1"/>
    </xf>
    <xf numFmtId="0" fontId="29" fillId="23" borderId="64" xfId="0" applyFont="1" applyFill="1" applyBorder="1" applyAlignment="1">
      <alignment horizontal="center" vertical="center"/>
    </xf>
    <xf numFmtId="0" fontId="29" fillId="23" borderId="65" xfId="0" applyFont="1" applyFill="1" applyBorder="1" applyAlignment="1">
      <alignment horizontal="center" vertical="center"/>
    </xf>
    <xf numFmtId="0" fontId="29" fillId="23" borderId="65" xfId="0" applyFont="1" applyFill="1" applyBorder="1" applyAlignment="1">
      <alignment horizontal="left" vertical="center"/>
    </xf>
    <xf numFmtId="40" fontId="30" fillId="23" borderId="65" xfId="0" applyNumberFormat="1" applyFont="1" applyFill="1" applyBorder="1" applyAlignment="1">
      <alignment horizontal="right" vertical="center"/>
    </xf>
    <xf numFmtId="0" fontId="29" fillId="23" borderId="66" xfId="0" applyFont="1" applyFill="1" applyBorder="1" applyAlignment="1">
      <alignment horizontal="center" vertical="center"/>
    </xf>
    <xf numFmtId="14" fontId="9" fillId="0" borderId="51" xfId="0" applyNumberFormat="1" applyFont="1" applyBorder="1" applyAlignment="1">
      <alignment horizontal="center"/>
    </xf>
    <xf numFmtId="14" fontId="31" fillId="25" borderId="61" xfId="0" applyNumberFormat="1" applyFont="1" applyFill="1" applyBorder="1" applyAlignment="1">
      <alignment horizontal="center" vertical="center"/>
    </xf>
    <xf numFmtId="14" fontId="31" fillId="25" borderId="62" xfId="0" applyNumberFormat="1" applyFont="1" applyFill="1" applyBorder="1" applyAlignment="1">
      <alignment horizontal="center" vertical="center"/>
    </xf>
    <xf numFmtId="0" fontId="32" fillId="25" borderId="62" xfId="0" applyFont="1" applyFill="1" applyBorder="1" applyAlignment="1">
      <alignment horizontal="center" vertical="center"/>
    </xf>
    <xf numFmtId="0" fontId="32" fillId="25" borderId="63" xfId="0" applyFont="1" applyFill="1" applyBorder="1" applyAlignment="1">
      <alignment horizontal="center" vertical="center"/>
    </xf>
    <xf numFmtId="0" fontId="29" fillId="23" borderId="65" xfId="0" applyFont="1" applyFill="1" applyBorder="1" applyAlignment="1">
      <alignment horizontal="center"/>
    </xf>
    <xf numFmtId="4" fontId="29" fillId="23" borderId="65" xfId="0" applyNumberFormat="1" applyFont="1" applyFill="1" applyBorder="1" applyAlignment="1">
      <alignment horizontal="right" vertical="center"/>
    </xf>
    <xf numFmtId="4" fontId="29" fillId="23" borderId="66" xfId="0" applyNumberFormat="1" applyFont="1" applyFill="1" applyBorder="1" applyAlignment="1">
      <alignment horizontal="right"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6" xfId="0" applyFont="1" applyBorder="1" applyAlignment="1">
      <alignment horizontal="left"/>
    </xf>
    <xf numFmtId="0" fontId="28" fillId="23" borderId="61" xfId="0" applyFont="1" applyFill="1" applyBorder="1" applyAlignment="1">
      <alignment horizontal="center" vertical="center"/>
    </xf>
    <xf numFmtId="0" fontId="28" fillId="23" borderId="62" xfId="0" applyFont="1" applyFill="1" applyBorder="1" applyAlignment="1">
      <alignment horizontal="center" vertical="center"/>
    </xf>
    <xf numFmtId="4" fontId="28" fillId="23" borderId="62" xfId="0" applyNumberFormat="1" applyFont="1" applyFill="1" applyBorder="1" applyAlignment="1">
      <alignment horizontal="center" vertical="center"/>
    </xf>
    <xf numFmtId="0" fontId="28" fillId="23" borderId="63" xfId="0" applyFont="1" applyFill="1" applyBorder="1" applyAlignment="1">
      <alignment horizontal="center" vertical="center"/>
    </xf>
    <xf numFmtId="0" fontId="33" fillId="23" borderId="64" xfId="0" applyFont="1" applyFill="1" applyBorder="1" applyAlignment="1">
      <alignment horizontal="center" vertical="center"/>
    </xf>
    <xf numFmtId="0" fontId="33" fillId="23" borderId="65" xfId="0" applyFont="1" applyFill="1" applyBorder="1" applyAlignment="1">
      <alignment horizontal="center" vertical="center"/>
    </xf>
    <xf numFmtId="0" fontId="33" fillId="23" borderId="65" xfId="0" applyFont="1" applyFill="1" applyBorder="1" applyAlignment="1">
      <alignment horizontal="left" vertical="center"/>
    </xf>
    <xf numFmtId="4" fontId="33" fillId="23" borderId="65" xfId="0" applyNumberFormat="1" applyFont="1" applyFill="1" applyBorder="1" applyAlignment="1">
      <alignment horizontal="right" vertical="center"/>
    </xf>
    <xf numFmtId="0" fontId="33" fillId="23" borderId="66" xfId="0" applyFont="1" applyFill="1" applyBorder="1" applyAlignment="1">
      <alignment horizontal="center" vertic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9" fillId="0" borderId="57" xfId="0" applyFont="1" applyBorder="1" applyAlignment="1">
      <alignment horizontal="right" vertical="center"/>
    </xf>
    <xf numFmtId="175" fontId="9" fillId="0" borderId="51" xfId="0" applyNumberFormat="1" applyFont="1" applyBorder="1" applyAlignment="1">
      <alignment horizontal="right"/>
    </xf>
    <xf numFmtId="40" fontId="1" fillId="0" borderId="56" xfId="0" applyNumberFormat="1" applyFont="1" applyBorder="1" applyAlignment="1">
      <alignment horizontal="right"/>
    </xf>
    <xf numFmtId="40" fontId="9" fillId="0" borderId="56" xfId="0" applyNumberFormat="1" applyFont="1" applyBorder="1" applyAlignment="1">
      <alignment horizontal="right" vertical="center"/>
    </xf>
    <xf numFmtId="0" fontId="31" fillId="31" borderId="61" xfId="0" applyFont="1" applyFill="1" applyBorder="1" applyAlignment="1">
      <alignment horizontal="center" vertical="center" wrapText="1"/>
    </xf>
    <xf numFmtId="0" fontId="31" fillId="31" borderId="62" xfId="0" applyFont="1" applyFill="1" applyBorder="1" applyAlignment="1">
      <alignment horizontal="center" vertical="center" wrapText="1"/>
    </xf>
    <xf numFmtId="0" fontId="31" fillId="31" borderId="63" xfId="0" applyFont="1" applyFill="1" applyBorder="1" applyAlignment="1">
      <alignment horizontal="center" vertical="center" wrapText="1"/>
    </xf>
    <xf numFmtId="0" fontId="33" fillId="23" borderId="64" xfId="0" applyFont="1" applyFill="1" applyBorder="1" applyAlignment="1">
      <alignment horizontal="center"/>
    </xf>
    <xf numFmtId="0" fontId="33" fillId="23" borderId="65" xfId="0" applyFont="1" applyFill="1" applyBorder="1" applyAlignment="1">
      <alignment horizontal="center"/>
    </xf>
    <xf numFmtId="40" fontId="34" fillId="23" borderId="65" xfId="0" applyNumberFormat="1" applyFont="1" applyFill="1" applyBorder="1" applyAlignment="1">
      <alignment horizontal="right"/>
    </xf>
    <xf numFmtId="40" fontId="29" fillId="23" borderId="65" xfId="0" applyNumberFormat="1" applyFont="1" applyFill="1" applyBorder="1" applyAlignment="1">
      <alignment horizontal="right" vertical="center"/>
    </xf>
    <xf numFmtId="0" fontId="29" fillId="23" borderId="66" xfId="0" applyFont="1" applyFill="1" applyBorder="1" applyAlignment="1">
      <alignment horizontal="right" vertical="center"/>
    </xf>
    <xf numFmtId="0" fontId="31" fillId="8" borderId="61" xfId="0" applyFont="1" applyFill="1" applyBorder="1" applyAlignment="1">
      <alignment horizontal="center" vertical="center" wrapText="1"/>
    </xf>
    <xf numFmtId="0" fontId="31" fillId="8" borderId="62" xfId="0" applyFont="1" applyFill="1" applyBorder="1" applyAlignment="1">
      <alignment horizontal="center" vertical="center" wrapText="1"/>
    </xf>
    <xf numFmtId="0" fontId="31" fillId="8" borderId="63" xfId="0" applyFont="1" applyFill="1" applyBorder="1" applyAlignment="1">
      <alignment horizontal="center" vertical="center" wrapText="1"/>
    </xf>
    <xf numFmtId="175" fontId="33" fillId="23" borderId="65" xfId="0" applyNumberFormat="1" applyFont="1" applyFill="1" applyBorder="1"/>
    <xf numFmtId="175" fontId="34" fillId="23" borderId="65" xfId="0" applyNumberFormat="1" applyFont="1" applyFill="1" applyBorder="1" applyAlignment="1">
      <alignment horizontal="right"/>
    </xf>
    <xf numFmtId="175" fontId="29" fillId="23" borderId="65" xfId="0" applyNumberFormat="1" applyFont="1" applyFill="1" applyBorder="1" applyAlignment="1">
      <alignment horizontal="right" vertical="center"/>
    </xf>
    <xf numFmtId="175" fontId="14" fillId="0" borderId="51" xfId="0" applyNumberFormat="1" applyFont="1" applyBorder="1" applyAlignment="1">
      <alignment horizontal="right" vertical="center"/>
    </xf>
    <xf numFmtId="1" fontId="0" fillId="33" borderId="30" xfId="0" applyNumberFormat="1" applyFill="1" applyBorder="1"/>
    <xf numFmtId="1" fontId="0" fillId="2" borderId="30" xfId="0" applyNumberFormat="1" applyFill="1" applyBorder="1"/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7" fontId="8" fillId="9" borderId="2" xfId="0" applyNumberFormat="1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13" fillId="11" borderId="24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26" xfId="0" applyFont="1" applyBorder="1"/>
    <xf numFmtId="166" fontId="7" fillId="7" borderId="2" xfId="0" applyNumberFormat="1" applyFont="1" applyFill="1" applyBorder="1" applyAlignment="1">
      <alignment horizontal="center" vertical="center"/>
    </xf>
    <xf numFmtId="167" fontId="7" fillId="7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165" fontId="16" fillId="15" borderId="2" xfId="0" applyNumberFormat="1" applyFont="1" applyFill="1" applyBorder="1" applyAlignment="1">
      <alignment horizontal="center" vertical="center"/>
    </xf>
    <xf numFmtId="168" fontId="7" fillId="8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3" fillId="11" borderId="29" xfId="0" applyFont="1" applyFill="1" applyBorder="1" applyAlignment="1">
      <alignment horizontal="center" vertical="center"/>
    </xf>
    <xf numFmtId="0" fontId="4" fillId="0" borderId="30" xfId="0" applyFont="1" applyBorder="1"/>
    <xf numFmtId="0" fontId="4" fillId="0" borderId="31" xfId="0" applyFont="1" applyBorder="1"/>
    <xf numFmtId="167" fontId="8" fillId="29" borderId="2" xfId="0" applyNumberFormat="1" applyFont="1" applyFill="1" applyBorder="1" applyAlignment="1">
      <alignment horizontal="center"/>
    </xf>
    <xf numFmtId="0" fontId="4" fillId="30" borderId="3" xfId="0" applyFont="1" applyFill="1" applyBorder="1"/>
    <xf numFmtId="0" fontId="4" fillId="30" borderId="4" xfId="0" applyFont="1" applyFill="1" applyBorder="1"/>
    <xf numFmtId="0" fontId="3" fillId="15" borderId="3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3" fillId="11" borderId="25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17" fontId="23" fillId="20" borderId="32" xfId="0" applyNumberFormat="1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176" fontId="24" fillId="0" borderId="45" xfId="0" applyNumberFormat="1" applyFont="1" applyBorder="1" applyAlignment="1">
      <alignment horizontal="center"/>
    </xf>
    <xf numFmtId="0" fontId="4" fillId="0" borderId="45" xfId="0" applyFont="1" applyBorder="1"/>
    <xf numFmtId="0" fontId="25" fillId="0" borderId="0" xfId="0" applyFont="1" applyAlignment="1">
      <alignment horizontal="center"/>
    </xf>
    <xf numFmtId="0" fontId="0" fillId="0" borderId="0" xfId="0"/>
    <xf numFmtId="4" fontId="9" fillId="34" borderId="1" xfId="0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6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6" tint="-0.499984740745262"/>
        <name val="Calibri"/>
        <scheme val="none"/>
      </font>
      <fill>
        <patternFill patternType="solid">
          <fgColor rgb="FFBFBFBF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rgb="FFA5A5A5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##\-########\-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0" formatCode="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dd\-mm\-yy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\-########\-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6" tint="-0.499984740745262"/>
        <name val="Calibri"/>
        <scheme val="none"/>
      </font>
      <fill>
        <patternFill patternType="solid">
          <fgColor rgb="FFBFBFBF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rgb="FFA5A5A5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\-########\-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BFBFBF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A5A5A5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##\-########\-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0" formatCode="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dd\-mm\-yy"/>
      <alignment horizontal="center" vertical="center" textRotation="0" wrapText="0" indent="0" justifyLastLine="0" shrinkToFit="0" readingOrder="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7"/>
          <bgColor theme="7"/>
        </patternFill>
      </fill>
    </dxf>
  </dxfs>
  <tableStyles count="80">
    <tableStyle name="Lista_CUIT-style" pivot="0" count="3" xr9:uid="{00000000-0011-0000-FFFF-FFFF00000000}">
      <tableStyleElement type="headerRow" dxfId="609"/>
      <tableStyleElement type="firstRowStripe" dxfId="608"/>
      <tableStyleElement type="secondRowStripe" dxfId="607"/>
    </tableStyle>
    <tableStyle name="Abr-24-style" pivot="0" count="4" xr9:uid="{00000000-0011-0000-FFFF-FFFF01000000}">
      <tableStyleElement type="headerRow" dxfId="606"/>
      <tableStyleElement type="totalRow" dxfId="605"/>
      <tableStyleElement type="firstRowStripe" dxfId="604"/>
      <tableStyleElement type="secondRowStripe" dxfId="603"/>
    </tableStyle>
    <tableStyle name="Abr-24-style 2" pivot="0" count="4" xr9:uid="{00000000-0011-0000-FFFF-FFFF02000000}">
      <tableStyleElement type="headerRow" dxfId="602"/>
      <tableStyleElement type="totalRow" dxfId="601"/>
      <tableStyleElement type="firstRowStripe" dxfId="600"/>
      <tableStyleElement type="secondRowStripe" dxfId="599"/>
    </tableStyle>
    <tableStyle name="Abr-24-style 3" pivot="0" count="4" xr9:uid="{00000000-0011-0000-FFFF-FFFF03000000}">
      <tableStyleElement type="headerRow" dxfId="598"/>
      <tableStyleElement type="totalRow" dxfId="597"/>
      <tableStyleElement type="firstRowStripe" dxfId="596"/>
      <tableStyleElement type="secondRowStripe" dxfId="595"/>
    </tableStyle>
    <tableStyle name="Abr-24-style 4" pivot="0" count="4" xr9:uid="{00000000-0011-0000-FFFF-FFFF04000000}">
      <tableStyleElement type="headerRow" dxfId="594"/>
      <tableStyleElement type="totalRow" dxfId="593"/>
      <tableStyleElement type="firstRowStripe" dxfId="592"/>
      <tableStyleElement type="secondRowStripe" dxfId="591"/>
    </tableStyle>
    <tableStyle name="Abr-24-style 5" pivot="0" count="4" xr9:uid="{00000000-0011-0000-FFFF-FFFF05000000}">
      <tableStyleElement type="headerRow" dxfId="590"/>
      <tableStyleElement type="totalRow" dxfId="589"/>
      <tableStyleElement type="firstRowStripe" dxfId="588"/>
      <tableStyleElement type="secondRowStripe" dxfId="587"/>
    </tableStyle>
    <tableStyle name="Abr-24-style 6" pivot="0" count="4" xr9:uid="{00000000-0011-0000-FFFF-FFFF06000000}">
      <tableStyleElement type="headerRow" dxfId="586"/>
      <tableStyleElement type="totalRow" dxfId="585"/>
      <tableStyleElement type="firstRowStripe" dxfId="584"/>
      <tableStyleElement type="secondRowStripe" dxfId="583"/>
    </tableStyle>
    <tableStyle name="Abr-24-style 7" pivot="0" count="3" xr9:uid="{00000000-0011-0000-FFFF-FFFF07000000}">
      <tableStyleElement type="headerRow" dxfId="582"/>
      <tableStyleElement type="firstRowStripe" dxfId="581"/>
      <tableStyleElement type="secondRowStripe" dxfId="580"/>
    </tableStyle>
    <tableStyle name="May-24-style" pivot="0" count="4" xr9:uid="{00000000-0011-0000-FFFF-FFFF08000000}">
      <tableStyleElement type="headerRow" dxfId="579"/>
      <tableStyleElement type="totalRow" dxfId="578"/>
      <tableStyleElement type="firstRowStripe" dxfId="577"/>
      <tableStyleElement type="secondRowStripe" dxfId="576"/>
    </tableStyle>
    <tableStyle name="May-24-style 2" pivot="0" count="4" xr9:uid="{00000000-0011-0000-FFFF-FFFF09000000}">
      <tableStyleElement type="headerRow" dxfId="575"/>
      <tableStyleElement type="totalRow" dxfId="574"/>
      <tableStyleElement type="firstRowStripe" dxfId="573"/>
      <tableStyleElement type="secondRowStripe" dxfId="572"/>
    </tableStyle>
    <tableStyle name="May-24-style 3" pivot="0" count="4" xr9:uid="{00000000-0011-0000-FFFF-FFFF0A000000}">
      <tableStyleElement type="headerRow" dxfId="571"/>
      <tableStyleElement type="totalRow" dxfId="570"/>
      <tableStyleElement type="firstRowStripe" dxfId="569"/>
      <tableStyleElement type="secondRowStripe" dxfId="568"/>
    </tableStyle>
    <tableStyle name="May-24-style 4" pivot="0" count="4" xr9:uid="{00000000-0011-0000-FFFF-FFFF0B000000}">
      <tableStyleElement type="headerRow" dxfId="567"/>
      <tableStyleElement type="totalRow" dxfId="566"/>
      <tableStyleElement type="firstRowStripe" dxfId="565"/>
      <tableStyleElement type="secondRowStripe" dxfId="564"/>
    </tableStyle>
    <tableStyle name="May-24-style 5" pivot="0" count="4" xr9:uid="{00000000-0011-0000-FFFF-FFFF0C000000}">
      <tableStyleElement type="headerRow" dxfId="563"/>
      <tableStyleElement type="totalRow" dxfId="562"/>
      <tableStyleElement type="firstRowStripe" dxfId="561"/>
      <tableStyleElement type="secondRowStripe" dxfId="560"/>
    </tableStyle>
    <tableStyle name="May-24-style 6" pivot="0" count="4" xr9:uid="{00000000-0011-0000-FFFF-FFFF0D000000}">
      <tableStyleElement type="headerRow" dxfId="559"/>
      <tableStyleElement type="totalRow" dxfId="558"/>
      <tableStyleElement type="firstRowStripe" dxfId="557"/>
      <tableStyleElement type="secondRowStripe" dxfId="556"/>
    </tableStyle>
    <tableStyle name="May-24-style 7" pivot="0" count="3" xr9:uid="{00000000-0011-0000-FFFF-FFFF0E000000}">
      <tableStyleElement type="headerRow" dxfId="555"/>
      <tableStyleElement type="firstRowStripe" dxfId="554"/>
      <tableStyleElement type="secondRowStripe" dxfId="553"/>
    </tableStyle>
    <tableStyle name="Jun-24-style" pivot="0" count="4" xr9:uid="{00000000-0011-0000-FFFF-FFFF0F000000}">
      <tableStyleElement type="headerRow" dxfId="552"/>
      <tableStyleElement type="totalRow" dxfId="551"/>
      <tableStyleElement type="firstRowStripe" dxfId="550"/>
      <tableStyleElement type="secondRowStripe" dxfId="549"/>
    </tableStyle>
    <tableStyle name="Jun-24-style 2" pivot="0" count="4" xr9:uid="{00000000-0011-0000-FFFF-FFFF10000000}">
      <tableStyleElement type="headerRow" dxfId="548"/>
      <tableStyleElement type="totalRow" dxfId="547"/>
      <tableStyleElement type="firstRowStripe" dxfId="546"/>
      <tableStyleElement type="secondRowStripe" dxfId="545"/>
    </tableStyle>
    <tableStyle name="Jun-24-style 3" pivot="0" count="4" xr9:uid="{00000000-0011-0000-FFFF-FFFF11000000}">
      <tableStyleElement type="headerRow" dxfId="544"/>
      <tableStyleElement type="totalRow" dxfId="543"/>
      <tableStyleElement type="firstRowStripe" dxfId="542"/>
      <tableStyleElement type="secondRowStripe" dxfId="541"/>
    </tableStyle>
    <tableStyle name="Jun-24-style 4" pivot="0" count="4" xr9:uid="{00000000-0011-0000-FFFF-FFFF12000000}">
      <tableStyleElement type="headerRow" dxfId="540"/>
      <tableStyleElement type="totalRow" dxfId="539"/>
      <tableStyleElement type="firstRowStripe" dxfId="538"/>
      <tableStyleElement type="secondRowStripe" dxfId="537"/>
    </tableStyle>
    <tableStyle name="Jun-24-style 5" pivot="0" count="4" xr9:uid="{00000000-0011-0000-FFFF-FFFF13000000}">
      <tableStyleElement type="headerRow" dxfId="536"/>
      <tableStyleElement type="totalRow" dxfId="535"/>
      <tableStyleElement type="firstRowStripe" dxfId="534"/>
      <tableStyleElement type="secondRowStripe" dxfId="533"/>
    </tableStyle>
    <tableStyle name="Jun-24-style 6" pivot="0" count="4" xr9:uid="{00000000-0011-0000-FFFF-FFFF14000000}">
      <tableStyleElement type="headerRow" dxfId="532"/>
      <tableStyleElement type="totalRow" dxfId="531"/>
      <tableStyleElement type="firstRowStripe" dxfId="530"/>
      <tableStyleElement type="secondRowStripe" dxfId="529"/>
    </tableStyle>
    <tableStyle name="Jul-24-style" pivot="0" count="4" xr9:uid="{00000000-0011-0000-FFFF-FFFF15000000}">
      <tableStyleElement type="headerRow" dxfId="528"/>
      <tableStyleElement type="totalRow" dxfId="527"/>
      <tableStyleElement type="firstRowStripe" dxfId="526"/>
      <tableStyleElement type="secondRowStripe" dxfId="525"/>
    </tableStyle>
    <tableStyle name="Jul-24-style 2" pivot="0" count="4" xr9:uid="{00000000-0011-0000-FFFF-FFFF16000000}">
      <tableStyleElement type="headerRow" dxfId="524"/>
      <tableStyleElement type="totalRow" dxfId="523"/>
      <tableStyleElement type="firstRowStripe" dxfId="522"/>
      <tableStyleElement type="secondRowStripe" dxfId="521"/>
    </tableStyle>
    <tableStyle name="Jul-24-style 3" pivot="0" count="4" xr9:uid="{00000000-0011-0000-FFFF-FFFF17000000}">
      <tableStyleElement type="headerRow" dxfId="520"/>
      <tableStyleElement type="totalRow" dxfId="519"/>
      <tableStyleElement type="firstRowStripe" dxfId="518"/>
      <tableStyleElement type="secondRowStripe" dxfId="517"/>
    </tableStyle>
    <tableStyle name="Jul-24-style 4" pivot="0" count="4" xr9:uid="{00000000-0011-0000-FFFF-FFFF18000000}">
      <tableStyleElement type="headerRow" dxfId="516"/>
      <tableStyleElement type="totalRow" dxfId="515"/>
      <tableStyleElement type="firstRowStripe" dxfId="514"/>
      <tableStyleElement type="secondRowStripe" dxfId="513"/>
    </tableStyle>
    <tableStyle name="Jul-24-style 5" pivot="0" count="4" xr9:uid="{00000000-0011-0000-FFFF-FFFF19000000}">
      <tableStyleElement type="headerRow" dxfId="512"/>
      <tableStyleElement type="totalRow" dxfId="511"/>
      <tableStyleElement type="firstRowStripe" dxfId="510"/>
      <tableStyleElement type="secondRowStripe" dxfId="509"/>
    </tableStyle>
    <tableStyle name="Jul-24-style 6" pivot="0" count="4" xr9:uid="{00000000-0011-0000-FFFF-FFFF1A000000}">
      <tableStyleElement type="headerRow" dxfId="508"/>
      <tableStyleElement type="totalRow" dxfId="507"/>
      <tableStyleElement type="firstRowStripe" dxfId="506"/>
      <tableStyleElement type="secondRowStripe" dxfId="505"/>
    </tableStyle>
    <tableStyle name="Jul-24-style 7" pivot="0" count="3" xr9:uid="{00000000-0011-0000-FFFF-FFFF1B000000}">
      <tableStyleElement type="headerRow" dxfId="504"/>
      <tableStyleElement type="firstRowStripe" dxfId="503"/>
      <tableStyleElement type="secondRowStripe" dxfId="502"/>
    </tableStyle>
    <tableStyle name="Ago-24-style" pivot="0" count="4" xr9:uid="{00000000-0011-0000-FFFF-FFFF1C000000}">
      <tableStyleElement type="headerRow" dxfId="501"/>
      <tableStyleElement type="totalRow" dxfId="500"/>
      <tableStyleElement type="firstRowStripe" dxfId="499"/>
      <tableStyleElement type="secondRowStripe" dxfId="498"/>
    </tableStyle>
    <tableStyle name="Ago-24-style 2" pivot="0" count="4" xr9:uid="{00000000-0011-0000-FFFF-FFFF1D000000}">
      <tableStyleElement type="headerRow" dxfId="497"/>
      <tableStyleElement type="totalRow" dxfId="496"/>
      <tableStyleElement type="firstRowStripe" dxfId="495"/>
      <tableStyleElement type="secondRowStripe" dxfId="494"/>
    </tableStyle>
    <tableStyle name="Ago-24-style 3" pivot="0" count="4" xr9:uid="{00000000-0011-0000-FFFF-FFFF1E000000}">
      <tableStyleElement type="headerRow" dxfId="493"/>
      <tableStyleElement type="totalRow" dxfId="492"/>
      <tableStyleElement type="firstRowStripe" dxfId="491"/>
      <tableStyleElement type="secondRowStripe" dxfId="490"/>
    </tableStyle>
    <tableStyle name="Ago-24-style 4" pivot="0" count="4" xr9:uid="{00000000-0011-0000-FFFF-FFFF1F000000}">
      <tableStyleElement type="headerRow" dxfId="489"/>
      <tableStyleElement type="totalRow" dxfId="488"/>
      <tableStyleElement type="firstRowStripe" dxfId="487"/>
      <tableStyleElement type="secondRowStripe" dxfId="486"/>
    </tableStyle>
    <tableStyle name="Ago-24-style 5" pivot="0" count="4" xr9:uid="{00000000-0011-0000-FFFF-FFFF20000000}">
      <tableStyleElement type="headerRow" dxfId="485"/>
      <tableStyleElement type="totalRow" dxfId="484"/>
      <tableStyleElement type="firstRowStripe" dxfId="483"/>
      <tableStyleElement type="secondRowStripe" dxfId="482"/>
    </tableStyle>
    <tableStyle name="Ago-24-style 6" pivot="0" count="4" xr9:uid="{00000000-0011-0000-FFFF-FFFF21000000}">
      <tableStyleElement type="headerRow" dxfId="481"/>
      <tableStyleElement type="totalRow" dxfId="480"/>
      <tableStyleElement type="firstRowStripe" dxfId="479"/>
      <tableStyleElement type="secondRowStripe" dxfId="478"/>
    </tableStyle>
    <tableStyle name="Ago-24-style 7" pivot="0" count="3" xr9:uid="{00000000-0011-0000-FFFF-FFFF22000000}">
      <tableStyleElement type="headerRow" dxfId="477"/>
      <tableStyleElement type="firstRowStripe" dxfId="476"/>
      <tableStyleElement type="secondRowStripe" dxfId="475"/>
    </tableStyle>
    <tableStyle name="Sept-24-style" pivot="0" count="4" xr9:uid="{00000000-0011-0000-FFFF-FFFF23000000}">
      <tableStyleElement type="headerRow" dxfId="474"/>
      <tableStyleElement type="totalRow" dxfId="473"/>
      <tableStyleElement type="firstRowStripe" dxfId="472"/>
      <tableStyleElement type="secondRowStripe" dxfId="471"/>
    </tableStyle>
    <tableStyle name="Sept-24-style 2" pivot="0" count="4" xr9:uid="{00000000-0011-0000-FFFF-FFFF24000000}">
      <tableStyleElement type="headerRow" dxfId="470"/>
      <tableStyleElement type="totalRow" dxfId="469"/>
      <tableStyleElement type="firstRowStripe" dxfId="468"/>
      <tableStyleElement type="secondRowStripe" dxfId="467"/>
    </tableStyle>
    <tableStyle name="Sept-24-style 3" pivot="0" count="4" xr9:uid="{00000000-0011-0000-FFFF-FFFF25000000}">
      <tableStyleElement type="headerRow" dxfId="466"/>
      <tableStyleElement type="totalRow" dxfId="465"/>
      <tableStyleElement type="firstRowStripe" dxfId="464"/>
      <tableStyleElement type="secondRowStripe" dxfId="463"/>
    </tableStyle>
    <tableStyle name="Sept-24-style 4" pivot="0" count="4" xr9:uid="{00000000-0011-0000-FFFF-FFFF26000000}">
      <tableStyleElement type="headerRow" dxfId="462"/>
      <tableStyleElement type="totalRow" dxfId="461"/>
      <tableStyleElement type="firstRowStripe" dxfId="460"/>
      <tableStyleElement type="secondRowStripe" dxfId="459"/>
    </tableStyle>
    <tableStyle name="Sept-24-style 5" pivot="0" count="4" xr9:uid="{00000000-0011-0000-FFFF-FFFF27000000}">
      <tableStyleElement type="headerRow" dxfId="458"/>
      <tableStyleElement type="totalRow" dxfId="457"/>
      <tableStyleElement type="firstRowStripe" dxfId="456"/>
      <tableStyleElement type="secondRowStripe" dxfId="455"/>
    </tableStyle>
    <tableStyle name="Sept-24-style 6" pivot="0" count="4" xr9:uid="{00000000-0011-0000-FFFF-FFFF28000000}">
      <tableStyleElement type="headerRow" dxfId="454"/>
      <tableStyleElement type="totalRow" dxfId="453"/>
      <tableStyleElement type="firstRowStripe" dxfId="452"/>
      <tableStyleElement type="secondRowStripe" dxfId="451"/>
    </tableStyle>
    <tableStyle name="Sept-24-style 7" pivot="0" count="3" xr9:uid="{00000000-0011-0000-FFFF-FFFF29000000}">
      <tableStyleElement type="headerRow" dxfId="450"/>
      <tableStyleElement type="firstRowStripe" dxfId="449"/>
      <tableStyleElement type="secondRowStripe" dxfId="448"/>
    </tableStyle>
    <tableStyle name="Oct-24-style" pivot="0" count="4" xr9:uid="{00000000-0011-0000-FFFF-FFFF2A000000}">
      <tableStyleElement type="headerRow" dxfId="447"/>
      <tableStyleElement type="totalRow" dxfId="446"/>
      <tableStyleElement type="firstRowStripe" dxfId="445"/>
      <tableStyleElement type="secondRowStripe" dxfId="444"/>
    </tableStyle>
    <tableStyle name="Oct-24-style 2" pivot="0" count="4" xr9:uid="{00000000-0011-0000-FFFF-FFFF2B000000}">
      <tableStyleElement type="headerRow" dxfId="443"/>
      <tableStyleElement type="totalRow" dxfId="442"/>
      <tableStyleElement type="firstRowStripe" dxfId="441"/>
      <tableStyleElement type="secondRowStripe" dxfId="440"/>
    </tableStyle>
    <tableStyle name="Oct-24-style 3" pivot="0" count="4" xr9:uid="{00000000-0011-0000-FFFF-FFFF2C000000}">
      <tableStyleElement type="headerRow" dxfId="439"/>
      <tableStyleElement type="totalRow" dxfId="438"/>
      <tableStyleElement type="firstRowStripe" dxfId="437"/>
      <tableStyleElement type="secondRowStripe" dxfId="436"/>
    </tableStyle>
    <tableStyle name="Oct-24-style 4" pivot="0" count="4" xr9:uid="{00000000-0011-0000-FFFF-FFFF2D000000}">
      <tableStyleElement type="headerRow" dxfId="435"/>
      <tableStyleElement type="totalRow" dxfId="434"/>
      <tableStyleElement type="firstRowStripe" dxfId="433"/>
      <tableStyleElement type="secondRowStripe" dxfId="432"/>
    </tableStyle>
    <tableStyle name="Oct-24-style 5" pivot="0" count="4" xr9:uid="{00000000-0011-0000-FFFF-FFFF2E000000}">
      <tableStyleElement type="headerRow" dxfId="431"/>
      <tableStyleElement type="totalRow" dxfId="430"/>
      <tableStyleElement type="firstRowStripe" dxfId="429"/>
      <tableStyleElement type="secondRowStripe" dxfId="428"/>
    </tableStyle>
    <tableStyle name="Oct-24-style 6" pivot="0" count="3" xr9:uid="{00000000-0011-0000-FFFF-FFFF2F000000}">
      <tableStyleElement type="headerRow" dxfId="427"/>
      <tableStyleElement type="firstRowStripe" dxfId="426"/>
      <tableStyleElement type="secondRowStripe" dxfId="425"/>
    </tableStyle>
    <tableStyle name="Nov-24-style" pivot="0" count="4" xr9:uid="{00000000-0011-0000-FFFF-FFFF30000000}">
      <tableStyleElement type="headerRow" dxfId="424"/>
      <tableStyleElement type="totalRow" dxfId="423"/>
      <tableStyleElement type="firstRowStripe" dxfId="422"/>
      <tableStyleElement type="secondRowStripe" dxfId="421"/>
    </tableStyle>
    <tableStyle name="Nov-24-style 2" pivot="0" count="4" xr9:uid="{00000000-0011-0000-FFFF-FFFF31000000}">
      <tableStyleElement type="headerRow" dxfId="420"/>
      <tableStyleElement type="totalRow" dxfId="419"/>
      <tableStyleElement type="firstRowStripe" dxfId="418"/>
      <tableStyleElement type="secondRowStripe" dxfId="417"/>
    </tableStyle>
    <tableStyle name="Nov-24-style 3" pivot="0" count="4" xr9:uid="{00000000-0011-0000-FFFF-FFFF32000000}">
      <tableStyleElement type="headerRow" dxfId="416"/>
      <tableStyleElement type="totalRow" dxfId="415"/>
      <tableStyleElement type="firstRowStripe" dxfId="414"/>
      <tableStyleElement type="secondRowStripe" dxfId="413"/>
    </tableStyle>
    <tableStyle name="Nov-24-style 4" pivot="0" count="4" xr9:uid="{00000000-0011-0000-FFFF-FFFF33000000}">
      <tableStyleElement type="headerRow" dxfId="412"/>
      <tableStyleElement type="totalRow" dxfId="411"/>
      <tableStyleElement type="firstRowStripe" dxfId="410"/>
      <tableStyleElement type="secondRowStripe" dxfId="409"/>
    </tableStyle>
    <tableStyle name="Nov-24-style 5" pivot="0" count="4" xr9:uid="{00000000-0011-0000-FFFF-FFFF34000000}">
      <tableStyleElement type="headerRow" dxfId="408"/>
      <tableStyleElement type="totalRow" dxfId="407"/>
      <tableStyleElement type="firstRowStripe" dxfId="406"/>
      <tableStyleElement type="secondRowStripe" dxfId="405"/>
    </tableStyle>
    <tableStyle name="Nov-24-style 6" pivot="0" count="3" xr9:uid="{00000000-0011-0000-FFFF-FFFF35000000}">
      <tableStyleElement type="headerRow" dxfId="404"/>
      <tableStyleElement type="firstRowStripe" dxfId="403"/>
      <tableStyleElement type="secondRowStripe" dxfId="402"/>
    </tableStyle>
    <tableStyle name="Dic-24-style" pivot="0" count="4" xr9:uid="{00000000-0011-0000-FFFF-FFFF36000000}">
      <tableStyleElement type="headerRow" dxfId="401"/>
      <tableStyleElement type="totalRow" dxfId="400"/>
      <tableStyleElement type="firstRowStripe" dxfId="399"/>
      <tableStyleElement type="secondRowStripe" dxfId="398"/>
    </tableStyle>
    <tableStyle name="Dic-24-style 2" pivot="0" count="4" xr9:uid="{00000000-0011-0000-FFFF-FFFF37000000}">
      <tableStyleElement type="headerRow" dxfId="397"/>
      <tableStyleElement type="totalRow" dxfId="396"/>
      <tableStyleElement type="firstRowStripe" dxfId="395"/>
      <tableStyleElement type="secondRowStripe" dxfId="394"/>
    </tableStyle>
    <tableStyle name="Dic-24-style 3" pivot="0" count="4" xr9:uid="{00000000-0011-0000-FFFF-FFFF38000000}">
      <tableStyleElement type="headerRow" dxfId="393"/>
      <tableStyleElement type="totalRow" dxfId="392"/>
      <tableStyleElement type="firstRowStripe" dxfId="391"/>
      <tableStyleElement type="secondRowStripe" dxfId="390"/>
    </tableStyle>
    <tableStyle name="Dic-24-style 4" pivot="0" count="4" xr9:uid="{00000000-0011-0000-FFFF-FFFF39000000}">
      <tableStyleElement type="headerRow" dxfId="389"/>
      <tableStyleElement type="totalRow" dxfId="388"/>
      <tableStyleElement type="firstRowStripe" dxfId="387"/>
      <tableStyleElement type="secondRowStripe" dxfId="386"/>
    </tableStyle>
    <tableStyle name="Dic-24-style 5" pivot="0" count="4" xr9:uid="{00000000-0011-0000-FFFF-FFFF3A000000}">
      <tableStyleElement type="headerRow" dxfId="385"/>
      <tableStyleElement type="totalRow" dxfId="384"/>
      <tableStyleElement type="firstRowStripe" dxfId="383"/>
      <tableStyleElement type="secondRowStripe" dxfId="382"/>
    </tableStyle>
    <tableStyle name="Dic-24-style 6" pivot="0" count="4" xr9:uid="{00000000-0011-0000-FFFF-FFFF3B000000}">
      <tableStyleElement type="headerRow" dxfId="381"/>
      <tableStyleElement type="totalRow" dxfId="380"/>
      <tableStyleElement type="firstRowStripe" dxfId="379"/>
      <tableStyleElement type="secondRowStripe" dxfId="378"/>
    </tableStyle>
    <tableStyle name="Dic-24-style 7" pivot="0" count="3" xr9:uid="{00000000-0011-0000-FFFF-FFFF3C000000}">
      <tableStyleElement type="headerRow" dxfId="377"/>
      <tableStyleElement type="firstRowStripe" dxfId="376"/>
      <tableStyleElement type="secondRowStripe" dxfId="375"/>
    </tableStyle>
    <tableStyle name="Ene-25-style" pivot="0" count="4" xr9:uid="{00000000-0011-0000-FFFF-FFFF3D000000}">
      <tableStyleElement type="headerRow" dxfId="374"/>
      <tableStyleElement type="totalRow" dxfId="373"/>
      <tableStyleElement type="firstRowStripe" dxfId="372"/>
      <tableStyleElement type="secondRowStripe" dxfId="371"/>
    </tableStyle>
    <tableStyle name="Ene-25-style 2" pivot="0" count="4" xr9:uid="{00000000-0011-0000-FFFF-FFFF3E000000}">
      <tableStyleElement type="headerRow" dxfId="370"/>
      <tableStyleElement type="totalRow" dxfId="369"/>
      <tableStyleElement type="firstRowStripe" dxfId="368"/>
      <tableStyleElement type="secondRowStripe" dxfId="367"/>
    </tableStyle>
    <tableStyle name="Ene-25-style 3" pivot="0" count="4" xr9:uid="{00000000-0011-0000-FFFF-FFFF3F000000}">
      <tableStyleElement type="headerRow" dxfId="366"/>
      <tableStyleElement type="totalRow" dxfId="365"/>
      <tableStyleElement type="firstRowStripe" dxfId="364"/>
      <tableStyleElement type="secondRowStripe" dxfId="363"/>
    </tableStyle>
    <tableStyle name="Ene-25-style 4" pivot="0" count="4" xr9:uid="{00000000-0011-0000-FFFF-FFFF40000000}">
      <tableStyleElement type="headerRow" dxfId="362"/>
      <tableStyleElement type="totalRow" dxfId="361"/>
      <tableStyleElement type="firstRowStripe" dxfId="360"/>
      <tableStyleElement type="secondRowStripe" dxfId="359"/>
    </tableStyle>
    <tableStyle name="Ene-25-style 5" pivot="0" count="4" xr9:uid="{00000000-0011-0000-FFFF-FFFF41000000}">
      <tableStyleElement type="headerRow" dxfId="358"/>
      <tableStyleElement type="totalRow" dxfId="357"/>
      <tableStyleElement type="firstRowStripe" dxfId="356"/>
      <tableStyleElement type="secondRowStripe" dxfId="355"/>
    </tableStyle>
    <tableStyle name="Ene-25-style 6" pivot="0" count="3" xr9:uid="{00000000-0011-0000-FFFF-FFFF42000000}">
      <tableStyleElement type="headerRow" dxfId="354"/>
      <tableStyleElement type="firstRowStripe" dxfId="353"/>
      <tableStyleElement type="secondRowStripe" dxfId="352"/>
    </tableStyle>
    <tableStyle name="Feb-25-style" pivot="0" count="4" xr9:uid="{00000000-0011-0000-FFFF-FFFF43000000}">
      <tableStyleElement type="headerRow" dxfId="351"/>
      <tableStyleElement type="totalRow" dxfId="350"/>
      <tableStyleElement type="firstRowStripe" dxfId="349"/>
      <tableStyleElement type="secondRowStripe" dxfId="348"/>
    </tableStyle>
    <tableStyle name="Feb-25-style 2" pivot="0" count="4" xr9:uid="{00000000-0011-0000-FFFF-FFFF44000000}">
      <tableStyleElement type="headerRow" dxfId="347"/>
      <tableStyleElement type="totalRow" dxfId="346"/>
      <tableStyleElement type="firstRowStripe" dxfId="345"/>
      <tableStyleElement type="secondRowStripe" dxfId="344"/>
    </tableStyle>
    <tableStyle name="Feb-25-style 3" pivot="0" count="4" xr9:uid="{00000000-0011-0000-FFFF-FFFF45000000}">
      <tableStyleElement type="headerRow" dxfId="343"/>
      <tableStyleElement type="totalRow" dxfId="342"/>
      <tableStyleElement type="firstRowStripe" dxfId="341"/>
      <tableStyleElement type="secondRowStripe" dxfId="340"/>
    </tableStyle>
    <tableStyle name="Feb-25-style 4" pivot="0" count="4" xr9:uid="{00000000-0011-0000-FFFF-FFFF46000000}">
      <tableStyleElement type="headerRow" dxfId="339"/>
      <tableStyleElement type="totalRow" dxfId="338"/>
      <tableStyleElement type="firstRowStripe" dxfId="337"/>
      <tableStyleElement type="secondRowStripe" dxfId="336"/>
    </tableStyle>
    <tableStyle name="Feb-25-style 5" pivot="0" count="4" xr9:uid="{00000000-0011-0000-FFFF-FFFF47000000}">
      <tableStyleElement type="headerRow" dxfId="335"/>
      <tableStyleElement type="totalRow" dxfId="334"/>
      <tableStyleElement type="firstRowStripe" dxfId="333"/>
      <tableStyleElement type="secondRowStripe" dxfId="332"/>
    </tableStyle>
    <tableStyle name="Feb-25-style 6" pivot="0" count="4" xr9:uid="{00000000-0011-0000-FFFF-FFFF48000000}">
      <tableStyleElement type="headerRow" dxfId="331"/>
      <tableStyleElement type="totalRow" dxfId="330"/>
      <tableStyleElement type="firstRowStripe" dxfId="329"/>
      <tableStyleElement type="secondRowStripe" dxfId="328"/>
    </tableStyle>
    <tableStyle name="Feb-25-style 7" pivot="0" count="3" xr9:uid="{00000000-0011-0000-FFFF-FFFF49000000}">
      <tableStyleElement type="headerRow" dxfId="327"/>
      <tableStyleElement type="firstRowStripe" dxfId="326"/>
      <tableStyleElement type="secondRowStripe" dxfId="325"/>
    </tableStyle>
    <tableStyle name="Mar-25-style" pivot="0" count="4" xr9:uid="{00000000-0011-0000-FFFF-FFFF4A000000}">
      <tableStyleElement type="headerRow" dxfId="324"/>
      <tableStyleElement type="totalRow" dxfId="323"/>
      <tableStyleElement type="firstRowStripe" dxfId="322"/>
      <tableStyleElement type="secondRowStripe" dxfId="321"/>
    </tableStyle>
    <tableStyle name="Mar-25-style 2" pivot="0" count="4" xr9:uid="{00000000-0011-0000-FFFF-FFFF4B000000}">
      <tableStyleElement type="headerRow" dxfId="320"/>
      <tableStyleElement type="totalRow" dxfId="319"/>
      <tableStyleElement type="firstRowStripe" dxfId="318"/>
      <tableStyleElement type="secondRowStripe" dxfId="317"/>
    </tableStyle>
    <tableStyle name="Mar-25-style 3" pivot="0" count="4" xr9:uid="{00000000-0011-0000-FFFF-FFFF4C000000}">
      <tableStyleElement type="headerRow" dxfId="316"/>
      <tableStyleElement type="totalRow" dxfId="315"/>
      <tableStyleElement type="firstRowStripe" dxfId="314"/>
      <tableStyleElement type="secondRowStripe" dxfId="313"/>
    </tableStyle>
    <tableStyle name="Mar-25-style 4" pivot="0" count="4" xr9:uid="{00000000-0011-0000-FFFF-FFFF4D000000}">
      <tableStyleElement type="headerRow" dxfId="312"/>
      <tableStyleElement type="totalRow" dxfId="311"/>
      <tableStyleElement type="firstRowStripe" dxfId="310"/>
      <tableStyleElement type="secondRowStripe" dxfId="309"/>
    </tableStyle>
    <tableStyle name="Mar-25-style 5" pivot="0" count="4" xr9:uid="{00000000-0011-0000-FFFF-FFFF4E000000}">
      <tableStyleElement type="headerRow" dxfId="308"/>
      <tableStyleElement type="totalRow" dxfId="307"/>
      <tableStyleElement type="firstRowStripe" dxfId="306"/>
      <tableStyleElement type="secondRowStripe" dxfId="305"/>
    </tableStyle>
    <tableStyle name="Mar-25-style 6" pivot="0" count="3" xr9:uid="{00000000-0011-0000-FFFF-FFFF4F000000}">
      <tableStyleElement type="headerRow" dxfId="304"/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228600</xdr:colOff>
      <xdr:row>2</xdr:row>
      <xdr:rowOff>38100</xdr:rowOff>
    </xdr:from>
    <xdr:ext cx="2162175" cy="1790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11</xdr:row>
      <xdr:rowOff>133350</xdr:rowOff>
    </xdr:from>
    <xdr:ext cx="2143125" cy="3714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481">
  <autoFilter ref="A1:D1481" xr:uid="{00000000-0009-0000-0100-000001000000}"/>
  <sortState xmlns:xlrd2="http://schemas.microsoft.com/office/spreadsheetml/2017/richdata2" ref="A1107:D1251">
    <sortCondition ref="B1:B1481"/>
  </sortState>
  <tableColumns count="4">
    <tableColumn id="1" xr3:uid="{00000000-0010-0000-0000-000001000000}" name="CUIT"/>
    <tableColumn id="2" xr3:uid="{00000000-0010-0000-0000-000002000000}" name="RAZON SOCIAL"/>
    <tableColumn id="3" xr3:uid="{00000000-0010-0000-0000-000003000000}" name="Tipo de Gasto"/>
    <tableColumn id="4" xr3:uid="{00000000-0010-0000-0000-000004000000}" name="PROVINCIA"/>
  </tableColumns>
  <tableStyleInfo name="Lista_CU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8:R37">
  <autoFilter ref="B8:R37" xr:uid="{00000000-000C-0000-FFFF-FFFF01000000}"/>
  <tableColumns count="17">
    <tableColumn id="1" xr3:uid="{00000000-0010-0000-0100-000001000000}" name="FECHA"/>
    <tableColumn id="2" xr3:uid="{00000000-0010-0000-0100-000002000000}" name="TIPO"/>
    <tableColumn id="3" xr3:uid="{00000000-0010-0000-0100-000003000000}" name="PTO VTA"/>
    <tableColumn id="4" xr3:uid="{00000000-0010-0000-0100-000004000000}" name="NRO. CPTE"/>
    <tableColumn id="5" xr3:uid="{00000000-0010-0000-0100-000005000000}" name="CUIT"/>
    <tableColumn id="6" xr3:uid="{00000000-0010-0000-0100-000006000000}" name="RAZON SOCIAL"/>
    <tableColumn id="7" xr3:uid="{00000000-0010-0000-0100-000007000000}" name="NETO GRAVADO"/>
    <tableColumn id="8" xr3:uid="{00000000-0010-0000-0100-000008000000}" name="IVA 21 %"/>
    <tableColumn id="9" xr3:uid="{00000000-0010-0000-0100-000009000000}" name="IVA 27%"/>
    <tableColumn id="10" xr3:uid="{00000000-0010-0000-0100-00000A000000}" name="IVA 10,5%"/>
    <tableColumn id="11" xr3:uid="{00000000-0010-0000-0100-00000B000000}" name="PERC. IVA"/>
    <tableColumn id="12" xr3:uid="{00000000-0010-0000-0100-00000C000000}" name="PERC IIBB _x000a_BS AS"/>
    <tableColumn id="13" xr3:uid="{00000000-0010-0000-0100-00000D000000}" name="PERC. IIBB CABA"/>
    <tableColumn id="14" xr3:uid="{00000000-0010-0000-0100-00000E000000}" name="Otros / No Grav."/>
    <tableColumn id="15" xr3:uid="{00000000-0010-0000-0100-00000F000000}" name="TOTAL"/>
    <tableColumn id="16" xr3:uid="{00000000-0010-0000-0100-000010000000}" name="Tipo de Gasto"/>
    <tableColumn id="17" xr3:uid="{00000000-0010-0000-0100-000011000000}" name="Provincia"/>
  </tableColumns>
  <tableStyleInfo name="Abr-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43:M54">
  <tableColumns count="10">
    <tableColumn id="1" xr3:uid="{00000000-0010-0000-0200-000001000000}" name="FECHA"/>
    <tableColumn id="2" xr3:uid="{00000000-0010-0000-0200-000002000000}" name="NRO CPTE"/>
    <tableColumn id="3" xr3:uid="{00000000-0010-0000-0200-000003000000}" name="BANCO"/>
    <tableColumn id="4" xr3:uid="{00000000-0010-0000-0200-000004000000}" name="NETO"/>
    <tableColumn id="5" xr3:uid="{00000000-0010-0000-0200-000005000000}" name="IVA 21%"/>
    <tableColumn id="6" xr3:uid="{00000000-0010-0000-0200-000006000000}" name="IVA 10,5%"/>
    <tableColumn id="7" xr3:uid="{00000000-0010-0000-0200-000007000000}" name="RET IIBB CABA"/>
    <tableColumn id="8" xr3:uid="{00000000-0010-0000-0200-000008000000}" name="PERC IVA"/>
    <tableColumn id="9" xr3:uid="{00000000-0010-0000-0200-000009000000}" name="PERC IIBB"/>
    <tableColumn id="10" xr3:uid="{00000000-0010-0000-0200-00000A000000}" name="total"/>
  </tableColumns>
  <tableStyleInfo name="Abr-24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59:K72">
  <tableColumns count="8">
    <tableColumn id="1" xr3:uid="{00000000-0010-0000-0300-000001000000}" name="FECHA"/>
    <tableColumn id="2" xr3:uid="{00000000-0010-0000-0300-000002000000}" name="PTO VTA"/>
    <tableColumn id="3" xr3:uid="{00000000-0010-0000-0300-000003000000}" name="FC Nº"/>
    <tableColumn id="4" xr3:uid="{00000000-0010-0000-0300-000004000000}" name="CUIT"/>
    <tableColumn id="5" xr3:uid="{00000000-0010-0000-0300-000005000000}" name="RAZON SOCIAL"/>
    <tableColumn id="6" xr3:uid="{00000000-0010-0000-0300-000006000000}" name="TOTAL"/>
    <tableColumn id="7" xr3:uid="{00000000-0010-0000-0300-000007000000}" name="TIPO DE GASTO"/>
    <tableColumn id="8" xr3:uid="{00000000-0010-0000-0300-000008000000}" name="Provincia"/>
  </tableColumns>
  <tableStyleInfo name="Abr-24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77:M88">
  <tableColumns count="12">
    <tableColumn id="1" xr3:uid="{00000000-0010-0000-0400-000001000000}" name="FECHA"/>
    <tableColumn id="2" xr3:uid="{00000000-0010-0000-0400-000002000000}" name="TIPO"/>
    <tableColumn id="3" xr3:uid="{00000000-0010-0000-0400-000003000000}" name="PTO VENTA"/>
    <tableColumn id="4" xr3:uid="{00000000-0010-0000-0400-000004000000}" name="Nº FACTURA"/>
    <tableColumn id="5" xr3:uid="{00000000-0010-0000-0400-000005000000}" name="CUIT"/>
    <tableColumn id="6" xr3:uid="{00000000-0010-0000-0400-000006000000}" name="RAZON SOCIAL"/>
    <tableColumn id="7" xr3:uid="{00000000-0010-0000-0400-000007000000}" name="IMPORTE NETO"/>
    <tableColumn id="8" xr3:uid="{00000000-0010-0000-0400-000008000000}" name="IVA 21%"/>
    <tableColumn id="9" xr3:uid="{00000000-0010-0000-0400-000009000000}" name="IVA 10,5%"/>
    <tableColumn id="10" xr3:uid="{00000000-0010-0000-0400-00000A000000}" name="EXENTO"/>
    <tableColumn id="11" xr3:uid="{00000000-0010-0000-0400-00000B000000}" name="TOTAL"/>
    <tableColumn id="12" xr3:uid="{00000000-0010-0000-0400-00000C000000}" name="Provincia"/>
  </tableColumns>
  <tableStyleInfo name="Abr-24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91:M98">
  <tableColumns count="12">
    <tableColumn id="1" xr3:uid="{00000000-0010-0000-0500-000001000000}" name="FECHA"/>
    <tableColumn id="2" xr3:uid="{00000000-0010-0000-0500-000002000000}" name="TIPO"/>
    <tableColumn id="3" xr3:uid="{00000000-0010-0000-0500-000003000000}" name="PTO VENTA"/>
    <tableColumn id="4" xr3:uid="{00000000-0010-0000-0500-000004000000}" name="Nº FACTURA"/>
    <tableColumn id="5" xr3:uid="{00000000-0010-0000-0500-000005000000}" name="CUIT"/>
    <tableColumn id="6" xr3:uid="{00000000-0010-0000-0500-000006000000}" name="RAZON SOCIAL"/>
    <tableColumn id="7" xr3:uid="{00000000-0010-0000-0500-000007000000}" name="IMPORTE NETO"/>
    <tableColumn id="8" xr3:uid="{00000000-0010-0000-0500-000008000000}" name="IVA 21%"/>
    <tableColumn id="9" xr3:uid="{00000000-0010-0000-0500-000009000000}" name="IVA 10,5%"/>
    <tableColumn id="10" xr3:uid="{00000000-0010-0000-0500-00000A000000}" name="EXENTO"/>
    <tableColumn id="11" xr3:uid="{00000000-0010-0000-0500-00000B000000}" name="TOTAL"/>
    <tableColumn id="12" xr3:uid="{00000000-0010-0000-0500-00000C000000}" name="Provincia"/>
  </tableColumns>
  <tableStyleInfo name="Abr-24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02:M107">
  <tableColumns count="12">
    <tableColumn id="1" xr3:uid="{00000000-0010-0000-0600-000001000000}" name="FECHA"/>
    <tableColumn id="2" xr3:uid="{00000000-0010-0000-0600-000002000000}" name="TIPO"/>
    <tableColumn id="3" xr3:uid="{00000000-0010-0000-0600-000003000000}" name="PTO VENTA"/>
    <tableColumn id="4" xr3:uid="{00000000-0010-0000-0600-000004000000}" name="Nº FACTURA"/>
    <tableColumn id="5" xr3:uid="{00000000-0010-0000-0600-000005000000}" name="CUIT"/>
    <tableColumn id="6" xr3:uid="{00000000-0010-0000-0600-000006000000}" name="RAZON SOCIAL"/>
    <tableColumn id="7" xr3:uid="{00000000-0010-0000-0600-000007000000}" name="USD"/>
    <tableColumn id="8" xr3:uid="{00000000-0010-0000-0600-000008000000}" name="Columna2"/>
    <tableColumn id="9" xr3:uid="{00000000-0010-0000-0600-000009000000}" name="Columna1"/>
    <tableColumn id="10" xr3:uid="{00000000-0010-0000-0600-00000A000000}" name="TIPO DE CAMBIO2"/>
    <tableColumn id="11" xr3:uid="{00000000-0010-0000-0600-00000B000000}" name="TOTAL"/>
    <tableColumn id="12" xr3:uid="{00000000-0010-0000-0600-00000C000000}" name="Provincia"/>
  </tableColumns>
  <tableStyleInfo name="Abr-24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10:L115">
  <tableColumns count="10">
    <tableColumn id="1" xr3:uid="{00000000-0010-0000-0700-000001000000}" name="FECHA "/>
    <tableColumn id="2" xr3:uid="{00000000-0010-0000-0700-000002000000}" name="COMP Nº"/>
    <tableColumn id="3" xr3:uid="{00000000-0010-0000-0700-000003000000}" name="Columna1"/>
    <tableColumn id="4" xr3:uid="{00000000-0010-0000-0700-000004000000}" name="CUIT"/>
    <tableColumn id="5" xr3:uid="{00000000-0010-0000-0700-000005000000}" name="RAZON SOCIAL"/>
    <tableColumn id="6" xr3:uid="{00000000-0010-0000-0700-000006000000}" name="Ganancias"/>
    <tableColumn id="7" xr3:uid="{00000000-0010-0000-0700-000007000000}" name="IVA"/>
    <tableColumn id="8" xr3:uid="{00000000-0010-0000-0700-000008000000}" name="SUSS"/>
    <tableColumn id="9" xr3:uid="{00000000-0010-0000-0700-000009000000}" name="IIBB BSAS"/>
    <tableColumn id="10" xr3:uid="{00000000-0010-0000-0700-00000A000000}" name="IIBB CABA"/>
  </tableColumns>
  <tableStyleInfo name="Abr-24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8:R42">
  <autoFilter ref="B8:R42" xr:uid="{00000000-000C-0000-FFFF-FFFF08000000}"/>
  <tableColumns count="17">
    <tableColumn id="1" xr3:uid="{00000000-0010-0000-0800-000001000000}" name="FECHA"/>
    <tableColumn id="2" xr3:uid="{00000000-0010-0000-0800-000002000000}" name="TIPO"/>
    <tableColumn id="3" xr3:uid="{00000000-0010-0000-0800-000003000000}" name="PTO VTA"/>
    <tableColumn id="4" xr3:uid="{00000000-0010-0000-0800-000004000000}" name="NRO. CPTE"/>
    <tableColumn id="5" xr3:uid="{00000000-0010-0000-0800-000005000000}" name="CUIT"/>
    <tableColumn id="6" xr3:uid="{00000000-0010-0000-0800-000006000000}" name="RAZON SOCIAL"/>
    <tableColumn id="7" xr3:uid="{00000000-0010-0000-0800-000007000000}" name="NETO GRAVADO"/>
    <tableColumn id="8" xr3:uid="{00000000-0010-0000-0800-000008000000}" name="IVA 21 %"/>
    <tableColumn id="9" xr3:uid="{00000000-0010-0000-0800-000009000000}" name="IVA 27%"/>
    <tableColumn id="10" xr3:uid="{00000000-0010-0000-0800-00000A000000}" name="IVA 10,5%"/>
    <tableColumn id="11" xr3:uid="{00000000-0010-0000-0800-00000B000000}" name="PERC. IVA"/>
    <tableColumn id="12" xr3:uid="{00000000-0010-0000-0800-00000C000000}" name="PERC IIBB _x000a_BS AS"/>
    <tableColumn id="13" xr3:uid="{00000000-0010-0000-0800-00000D000000}" name="PERC. IIBB CABA"/>
    <tableColumn id="14" xr3:uid="{00000000-0010-0000-0800-00000E000000}" name="Otros / No Grav."/>
    <tableColumn id="15" xr3:uid="{00000000-0010-0000-0800-00000F000000}" name="TOTAL"/>
    <tableColumn id="16" xr3:uid="{00000000-0010-0000-0800-000010000000}" name="Tipo de Gasto"/>
    <tableColumn id="17" xr3:uid="{00000000-0010-0000-0800-000011000000}" name="Provincia"/>
  </tableColumns>
  <tableStyleInfo name="May-24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D48:L55">
  <tableColumns count="9">
    <tableColumn id="1" xr3:uid="{00000000-0010-0000-0900-000001000000}" name="FECHA"/>
    <tableColumn id="2" xr3:uid="{00000000-0010-0000-0900-000002000000}" name="NRO CPTE"/>
    <tableColumn id="3" xr3:uid="{00000000-0010-0000-0900-000003000000}" name="BANCO"/>
    <tableColumn id="4" xr3:uid="{00000000-0010-0000-0900-000004000000}" name="NETO"/>
    <tableColumn id="5" xr3:uid="{00000000-0010-0000-0900-000005000000}" name="IVA 21%"/>
    <tableColumn id="6" xr3:uid="{00000000-0010-0000-0900-000006000000}" name="IVA 10,5%"/>
    <tableColumn id="7" xr3:uid="{00000000-0010-0000-0900-000007000000}" name="RET IIBB CABA"/>
    <tableColumn id="8" xr3:uid="{00000000-0010-0000-0900-000008000000}" name="PERC IVA"/>
    <tableColumn id="9" xr3:uid="{00000000-0010-0000-0900-000009000000}" name="PERC IIBB"/>
  </tableColumns>
  <tableStyleInfo name="May-24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D60:K78">
  <tableColumns count="8">
    <tableColumn id="1" xr3:uid="{00000000-0010-0000-0A00-000001000000}" name="FECHA"/>
    <tableColumn id="2" xr3:uid="{00000000-0010-0000-0A00-000002000000}" name="PTO VTA"/>
    <tableColumn id="3" xr3:uid="{00000000-0010-0000-0A00-000003000000}" name="FC Nº"/>
    <tableColumn id="4" xr3:uid="{00000000-0010-0000-0A00-000004000000}" name="CUIT"/>
    <tableColumn id="5" xr3:uid="{00000000-0010-0000-0A00-000005000000}" name="RAZON SOCIAL"/>
    <tableColumn id="6" xr3:uid="{00000000-0010-0000-0A00-000006000000}" name="TOTAL"/>
    <tableColumn id="7" xr3:uid="{00000000-0010-0000-0A00-000007000000}" name="TIPO DE GASTO"/>
    <tableColumn id="8" xr3:uid="{00000000-0010-0000-0A00-000008000000}" name="Provincia"/>
  </tableColumns>
  <tableStyleInfo name="May-24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87:M104">
  <tableColumns count="12">
    <tableColumn id="1" xr3:uid="{00000000-0010-0000-0B00-000001000000}" name="FECHA"/>
    <tableColumn id="2" xr3:uid="{00000000-0010-0000-0B00-000002000000}" name="TIPO"/>
    <tableColumn id="3" xr3:uid="{00000000-0010-0000-0B00-000003000000}" name="PTO VENTA"/>
    <tableColumn id="4" xr3:uid="{00000000-0010-0000-0B00-000004000000}" name="Nº FACTURA"/>
    <tableColumn id="5" xr3:uid="{00000000-0010-0000-0B00-000005000000}" name="CUIT"/>
    <tableColumn id="6" xr3:uid="{00000000-0010-0000-0B00-000006000000}" name="RAZON SOCIAL"/>
    <tableColumn id="7" xr3:uid="{00000000-0010-0000-0B00-000007000000}" name="IMPORTE NETO"/>
    <tableColumn id="8" xr3:uid="{00000000-0010-0000-0B00-000008000000}" name="IVA 21%"/>
    <tableColumn id="9" xr3:uid="{00000000-0010-0000-0B00-000009000000}" name="IVA 10,5%"/>
    <tableColumn id="10" xr3:uid="{00000000-0010-0000-0B00-00000A000000}" name="EXENTO"/>
    <tableColumn id="11" xr3:uid="{00000000-0010-0000-0B00-00000B000000}" name="TOTAL"/>
    <tableColumn id="12" xr3:uid="{00000000-0010-0000-0B00-00000C000000}" name="Provincia"/>
  </tableColumns>
  <tableStyleInfo name="May-24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10:M116">
  <tableColumns count="12">
    <tableColumn id="1" xr3:uid="{00000000-0010-0000-0C00-000001000000}" name="FECHA"/>
    <tableColumn id="2" xr3:uid="{00000000-0010-0000-0C00-000002000000}" name="TIPO"/>
    <tableColumn id="3" xr3:uid="{00000000-0010-0000-0C00-000003000000}" name="PTO VENTA"/>
    <tableColumn id="4" xr3:uid="{00000000-0010-0000-0C00-000004000000}" name="Nº FACTURA"/>
    <tableColumn id="5" xr3:uid="{00000000-0010-0000-0C00-000005000000}" name="CUIT"/>
    <tableColumn id="6" xr3:uid="{00000000-0010-0000-0C00-000006000000}" name="RAZON SOCIAL"/>
    <tableColumn id="7" xr3:uid="{00000000-0010-0000-0C00-000007000000}" name="IMPORTE NETO"/>
    <tableColumn id="8" xr3:uid="{00000000-0010-0000-0C00-000008000000}" name="IVA 21%"/>
    <tableColumn id="9" xr3:uid="{00000000-0010-0000-0C00-000009000000}" name="IVA 10,5%"/>
    <tableColumn id="10" xr3:uid="{00000000-0010-0000-0C00-00000A000000}" name="EXENTO"/>
    <tableColumn id="11" xr3:uid="{00000000-0010-0000-0C00-00000B000000}" name="TOTAL"/>
    <tableColumn id="12" xr3:uid="{00000000-0010-0000-0C00-00000C000000}" name="Provincia"/>
  </tableColumns>
  <tableStyleInfo name="May-24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20:M141">
  <tableColumns count="12">
    <tableColumn id="1" xr3:uid="{00000000-0010-0000-0D00-000001000000}" name="FECHA"/>
    <tableColumn id="2" xr3:uid="{00000000-0010-0000-0D00-000002000000}" name="TIPO"/>
    <tableColumn id="3" xr3:uid="{00000000-0010-0000-0D00-000003000000}" name="PTO VENTA"/>
    <tableColumn id="4" xr3:uid="{00000000-0010-0000-0D00-000004000000}" name="Nº FACTURA"/>
    <tableColumn id="5" xr3:uid="{00000000-0010-0000-0D00-000005000000}" name="CUIT"/>
    <tableColumn id="6" xr3:uid="{00000000-0010-0000-0D00-000006000000}" name="RAZON SOCIAL"/>
    <tableColumn id="7" xr3:uid="{00000000-0010-0000-0D00-000007000000}" name="USD"/>
    <tableColumn id="8" xr3:uid="{00000000-0010-0000-0D00-000008000000}" name="Columna2"/>
    <tableColumn id="9" xr3:uid="{00000000-0010-0000-0D00-000009000000}" name="Columna1"/>
    <tableColumn id="10" xr3:uid="{00000000-0010-0000-0D00-00000A000000}" name="TIPO DE CAMBIO2"/>
    <tableColumn id="11" xr3:uid="{00000000-0010-0000-0D00-00000B000000}" name="TOTAL"/>
    <tableColumn id="12" xr3:uid="{00000000-0010-0000-0D00-00000C000000}" name="Provincia"/>
  </tableColumns>
  <tableStyleInfo name="May-24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47:L174">
  <tableColumns count="10">
    <tableColumn id="1" xr3:uid="{00000000-0010-0000-0E00-000001000000}" name="FECHA "/>
    <tableColumn id="2" xr3:uid="{00000000-0010-0000-0E00-000002000000}" name="COMP Nº"/>
    <tableColumn id="3" xr3:uid="{00000000-0010-0000-0E00-000003000000}" name="Columna1"/>
    <tableColumn id="4" xr3:uid="{00000000-0010-0000-0E00-000004000000}" name="CUIT"/>
    <tableColumn id="5" xr3:uid="{00000000-0010-0000-0E00-000005000000}" name="RAZON SOCIAL"/>
    <tableColumn id="6" xr3:uid="{00000000-0010-0000-0E00-000006000000}" name="Ganancias"/>
    <tableColumn id="7" xr3:uid="{00000000-0010-0000-0E00-000007000000}" name="IVA"/>
    <tableColumn id="8" xr3:uid="{00000000-0010-0000-0E00-000008000000}" name="SUSS"/>
    <tableColumn id="9" xr3:uid="{00000000-0010-0000-0E00-000009000000}" name="IIBB BSAS"/>
    <tableColumn id="10" xr3:uid="{00000000-0010-0000-0E00-00000A000000}" name="IIBB CABA"/>
  </tableColumns>
  <tableStyleInfo name="May-24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8:R45" totalsRowCount="1">
  <autoFilter ref="B8:R44" xr:uid="{00000000-000C-0000-FFFF-FFFF0F000000}"/>
  <tableColumns count="17">
    <tableColumn id="1" xr3:uid="{00000000-0010-0000-0F00-000001000000}" name="FECHA" totalsRowDxfId="301"/>
    <tableColumn id="2" xr3:uid="{00000000-0010-0000-0F00-000002000000}" name="TIPO" totalsRowDxfId="300"/>
    <tableColumn id="3" xr3:uid="{00000000-0010-0000-0F00-000003000000}" name="PTO VTA" totalsRowDxfId="299"/>
    <tableColumn id="4" xr3:uid="{00000000-0010-0000-0F00-000004000000}" name="NRO. CPTE" totalsRowDxfId="298"/>
    <tableColumn id="5" xr3:uid="{00000000-0010-0000-0F00-000005000000}" name="CUIT" totalsRowDxfId="297"/>
    <tableColumn id="6" xr3:uid="{00000000-0010-0000-0F00-000006000000}" name="RAZON SOCIAL" totalsRowDxfId="296"/>
    <tableColumn id="7" xr3:uid="{00000000-0010-0000-0F00-000007000000}" name="NETO GRAVADO" totalsRowFunction="custom" totalsRowDxfId="295">
      <totalsRowFormula>SUM(H23:H35,H18:H21,H9:H16)</totalsRowFormula>
    </tableColumn>
    <tableColumn id="8" xr3:uid="{00000000-0010-0000-0F00-000008000000}" name="IVA 21 %" totalsRowDxfId="294"/>
    <tableColumn id="9" xr3:uid="{00000000-0010-0000-0F00-000009000000}" name="IVA 27%" totalsRowDxfId="293"/>
    <tableColumn id="10" xr3:uid="{00000000-0010-0000-0F00-00000A000000}" name="IVA 10,5%" totalsRowDxfId="292"/>
    <tableColumn id="11" xr3:uid="{00000000-0010-0000-0F00-00000B000000}" name="PERC. IVA" totalsRowDxfId="291"/>
    <tableColumn id="12" xr3:uid="{00000000-0010-0000-0F00-00000C000000}" name="PERC IIBB _x000a_BS AS" totalsRowDxfId="290"/>
    <tableColumn id="13" xr3:uid="{00000000-0010-0000-0F00-00000D000000}" name="PERC. IIBB CABA" totalsRowDxfId="289"/>
    <tableColumn id="14" xr3:uid="{00000000-0010-0000-0F00-00000E000000}" name="Otros / No Grav." totalsRowDxfId="288"/>
    <tableColumn id="15" xr3:uid="{00000000-0010-0000-0F00-00000F000000}" name="TOTAL" totalsRowDxfId="287"/>
    <tableColumn id="16" xr3:uid="{00000000-0010-0000-0F00-000010000000}" name="Tipo de Gasto" totalsRowDxfId="286"/>
    <tableColumn id="17" xr3:uid="{00000000-0010-0000-0F00-000011000000}" name="Provincia" totalsRowDxfId="285"/>
  </tableColumns>
  <tableStyleInfo name="Jun-24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50:L54">
  <tableColumns count="9">
    <tableColumn id="1" xr3:uid="{00000000-0010-0000-1000-000001000000}" name="FECHA"/>
    <tableColumn id="2" xr3:uid="{00000000-0010-0000-1000-000002000000}" name="NRO CPTE"/>
    <tableColumn id="3" xr3:uid="{00000000-0010-0000-1000-000003000000}" name="BANCO"/>
    <tableColumn id="4" xr3:uid="{00000000-0010-0000-1000-000004000000}" name="NETO"/>
    <tableColumn id="5" xr3:uid="{00000000-0010-0000-1000-000005000000}" name="IVA 21%"/>
    <tableColumn id="6" xr3:uid="{00000000-0010-0000-1000-000006000000}" name="IVA 10,5%"/>
    <tableColumn id="7" xr3:uid="{00000000-0010-0000-1000-000007000000}" name="RET IIBB CABA"/>
    <tableColumn id="8" xr3:uid="{00000000-0010-0000-1000-000008000000}" name="PERC IVA"/>
    <tableColumn id="9" xr3:uid="{00000000-0010-0000-1000-000009000000}" name="PERC IIBB"/>
  </tableColumns>
  <tableStyleInfo name="Jun-24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57:K72">
  <tableColumns count="8">
    <tableColumn id="1" xr3:uid="{00000000-0010-0000-1100-000001000000}" name="FECHA"/>
    <tableColumn id="2" xr3:uid="{00000000-0010-0000-1100-000002000000}" name="PTO VTA"/>
    <tableColumn id="3" xr3:uid="{00000000-0010-0000-1100-000003000000}" name="FC Nº"/>
    <tableColumn id="4" xr3:uid="{00000000-0010-0000-1100-000004000000}" name="CUIT"/>
    <tableColumn id="5" xr3:uid="{00000000-0010-0000-1100-000005000000}" name="RAZON SOCIAL"/>
    <tableColumn id="6" xr3:uid="{00000000-0010-0000-1100-000006000000}" name="TOTAL"/>
    <tableColumn id="7" xr3:uid="{00000000-0010-0000-1100-000007000000}" name="TIPO DE GASTO"/>
    <tableColumn id="8" xr3:uid="{00000000-0010-0000-1100-000008000000}" name="Provincia"/>
  </tableColumns>
  <tableStyleInfo name="Jun-24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81:M91">
  <tableColumns count="12">
    <tableColumn id="1" xr3:uid="{00000000-0010-0000-1200-000001000000}" name="FECHA"/>
    <tableColumn id="2" xr3:uid="{00000000-0010-0000-1200-000002000000}" name="TIPO"/>
    <tableColumn id="3" xr3:uid="{00000000-0010-0000-1200-000003000000}" name="PTO VENTA"/>
    <tableColumn id="4" xr3:uid="{00000000-0010-0000-1200-000004000000}" name="Nº FACTURA"/>
    <tableColumn id="5" xr3:uid="{00000000-0010-0000-1200-000005000000}" name="CUIT"/>
    <tableColumn id="6" xr3:uid="{00000000-0010-0000-1200-000006000000}" name="RAZON SOCIAL"/>
    <tableColumn id="7" xr3:uid="{00000000-0010-0000-1200-000007000000}" name="IMPORTE NETO"/>
    <tableColumn id="8" xr3:uid="{00000000-0010-0000-1200-000008000000}" name="IVA 21%"/>
    <tableColumn id="9" xr3:uid="{00000000-0010-0000-1200-000009000000}" name="IVA 10,5%"/>
    <tableColumn id="10" xr3:uid="{00000000-0010-0000-1200-00000A000000}" name="EXENTO"/>
    <tableColumn id="11" xr3:uid="{00000000-0010-0000-1200-00000B000000}" name="TOTAL"/>
    <tableColumn id="12" xr3:uid="{00000000-0010-0000-1200-00000C000000}" name="Provincia"/>
  </tableColumns>
  <tableStyleInfo name="Jun-24-style 4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95:M102">
  <tableColumns count="12">
    <tableColumn id="1" xr3:uid="{00000000-0010-0000-1300-000001000000}" name="FECHA"/>
    <tableColumn id="2" xr3:uid="{00000000-0010-0000-1300-000002000000}" name="TIPO"/>
    <tableColumn id="3" xr3:uid="{00000000-0010-0000-1300-000003000000}" name="PTO VENTA"/>
    <tableColumn id="4" xr3:uid="{00000000-0010-0000-1300-000004000000}" name="Nº FACTURA"/>
    <tableColumn id="5" xr3:uid="{00000000-0010-0000-1300-000005000000}" name="CUIT"/>
    <tableColumn id="6" xr3:uid="{00000000-0010-0000-1300-000006000000}" name="RAZON SOCIAL"/>
    <tableColumn id="7" xr3:uid="{00000000-0010-0000-1300-000007000000}" name="IMPORTE NETO"/>
    <tableColumn id="8" xr3:uid="{00000000-0010-0000-1300-000008000000}" name="IVA 21%"/>
    <tableColumn id="9" xr3:uid="{00000000-0010-0000-1300-000009000000}" name="IVA 10,5%"/>
    <tableColumn id="10" xr3:uid="{00000000-0010-0000-1300-00000A000000}" name="EXENTO"/>
    <tableColumn id="11" xr3:uid="{00000000-0010-0000-1300-00000B000000}" name="TOTAL"/>
    <tableColumn id="12" xr3:uid="{00000000-0010-0000-1300-00000C000000}" name="Provincia"/>
  </tableColumns>
  <tableStyleInfo name="Jun-24-style 5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106:M127">
  <tableColumns count="12">
    <tableColumn id="1" xr3:uid="{00000000-0010-0000-1400-000001000000}" name="FECHA"/>
    <tableColumn id="2" xr3:uid="{00000000-0010-0000-1400-000002000000}" name="TIPO"/>
    <tableColumn id="3" xr3:uid="{00000000-0010-0000-1400-000003000000}" name="PTO VENTA"/>
    <tableColumn id="4" xr3:uid="{00000000-0010-0000-1400-000004000000}" name="Nº FACTURA"/>
    <tableColumn id="5" xr3:uid="{00000000-0010-0000-1400-000005000000}" name="CUIT"/>
    <tableColumn id="6" xr3:uid="{00000000-0010-0000-1400-000006000000}" name="RAZON SOCIAL"/>
    <tableColumn id="7" xr3:uid="{00000000-0010-0000-1400-000007000000}" name="USD"/>
    <tableColumn id="8" xr3:uid="{00000000-0010-0000-1400-000008000000}" name="Columna2"/>
    <tableColumn id="9" xr3:uid="{00000000-0010-0000-1400-000009000000}" name="Columna1"/>
    <tableColumn id="10" xr3:uid="{00000000-0010-0000-1400-00000A000000}" name="TIPO DE CAMBIO2"/>
    <tableColumn id="11" xr3:uid="{00000000-0010-0000-1400-00000B000000}" name="TOTAL"/>
    <tableColumn id="12" xr3:uid="{00000000-0010-0000-1400-00000C000000}" name="Provincia"/>
  </tableColumns>
  <tableStyleInfo name="Jun-24-style 6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8:R35">
  <autoFilter ref="B8:R35" xr:uid="{00000000-000C-0000-FFFF-FFFF15000000}"/>
  <tableColumns count="17">
    <tableColumn id="1" xr3:uid="{00000000-0010-0000-1500-000001000000}" name="FECHA"/>
    <tableColumn id="2" xr3:uid="{00000000-0010-0000-1500-000002000000}" name="TIPO"/>
    <tableColumn id="3" xr3:uid="{00000000-0010-0000-1500-000003000000}" name="PTO VTA"/>
    <tableColumn id="4" xr3:uid="{00000000-0010-0000-1500-000004000000}" name="NRO. CPTE"/>
    <tableColumn id="5" xr3:uid="{00000000-0010-0000-1500-000005000000}" name="CUIT"/>
    <tableColumn id="6" xr3:uid="{00000000-0010-0000-1500-000006000000}" name="RAZON SOCIAL"/>
    <tableColumn id="7" xr3:uid="{00000000-0010-0000-1500-000007000000}" name="NETO GRAVADO"/>
    <tableColumn id="8" xr3:uid="{00000000-0010-0000-1500-000008000000}" name="IVA 21 %"/>
    <tableColumn id="9" xr3:uid="{00000000-0010-0000-1500-000009000000}" name="IVA 27%"/>
    <tableColumn id="10" xr3:uid="{00000000-0010-0000-1500-00000A000000}" name="IVA 10,5%"/>
    <tableColumn id="11" xr3:uid="{00000000-0010-0000-1500-00000B000000}" name="PERC. IVA"/>
    <tableColumn id="12" xr3:uid="{00000000-0010-0000-1500-00000C000000}" name="PERC IIBB _x000a_BS AS"/>
    <tableColumn id="13" xr3:uid="{00000000-0010-0000-1500-00000D000000}" name="PERC. IIBB CABA"/>
    <tableColumn id="14" xr3:uid="{00000000-0010-0000-1500-00000E000000}" name="Otros / No Grav."/>
    <tableColumn id="15" xr3:uid="{00000000-0010-0000-1500-00000F000000}" name="TOTAL"/>
    <tableColumn id="16" xr3:uid="{00000000-0010-0000-1500-000010000000}" name="Tipo de Gasto"/>
    <tableColumn id="17" xr3:uid="{00000000-0010-0000-1500-000011000000}" name="Provincia"/>
  </tableColumns>
  <tableStyleInfo name="Jul-24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D41:L47">
  <tableColumns count="9">
    <tableColumn id="1" xr3:uid="{00000000-0010-0000-1600-000001000000}" name="FECHA"/>
    <tableColumn id="2" xr3:uid="{00000000-0010-0000-1600-000002000000}" name="NRO CPTE"/>
    <tableColumn id="3" xr3:uid="{00000000-0010-0000-1600-000003000000}" name="BANCO"/>
    <tableColumn id="4" xr3:uid="{00000000-0010-0000-1600-000004000000}" name="NETO"/>
    <tableColumn id="5" xr3:uid="{00000000-0010-0000-1600-000005000000}" name="IVA 21%"/>
    <tableColumn id="6" xr3:uid="{00000000-0010-0000-1600-000006000000}" name="IVA 10,5%"/>
    <tableColumn id="7" xr3:uid="{00000000-0010-0000-1600-000007000000}" name="RET IIBB CABA"/>
    <tableColumn id="8" xr3:uid="{00000000-0010-0000-1600-000008000000}" name="PERC IVA"/>
    <tableColumn id="9" xr3:uid="{00000000-0010-0000-1600-000009000000}" name="PERC IIBB"/>
  </tableColumns>
  <tableStyleInfo name="Jul-24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D52:K66">
  <tableColumns count="8">
    <tableColumn id="1" xr3:uid="{00000000-0010-0000-1700-000001000000}" name="FECHA"/>
    <tableColumn id="2" xr3:uid="{00000000-0010-0000-1700-000002000000}" name="PTO VTA"/>
    <tableColumn id="3" xr3:uid="{00000000-0010-0000-1700-000003000000}" name="FC Nº"/>
    <tableColumn id="4" xr3:uid="{00000000-0010-0000-1700-000004000000}" name="CUIT"/>
    <tableColumn id="5" xr3:uid="{00000000-0010-0000-1700-000005000000}" name="RAZON SOCIAL"/>
    <tableColumn id="6" xr3:uid="{00000000-0010-0000-1700-000006000000}" name="TOTAL"/>
    <tableColumn id="7" xr3:uid="{00000000-0010-0000-1700-000007000000}" name="TIPO DE GASTO"/>
    <tableColumn id="8" xr3:uid="{00000000-0010-0000-1700-000008000000}" name="Provincia"/>
  </tableColumns>
  <tableStyleInfo name="Jul-24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75:M86">
  <tableColumns count="12">
    <tableColumn id="1" xr3:uid="{00000000-0010-0000-1800-000001000000}" name="FECHA"/>
    <tableColumn id="2" xr3:uid="{00000000-0010-0000-1800-000002000000}" name="TIPO"/>
    <tableColumn id="3" xr3:uid="{00000000-0010-0000-1800-000003000000}" name="PTO VENTA"/>
    <tableColumn id="4" xr3:uid="{00000000-0010-0000-1800-000004000000}" name="Nº FACTURA"/>
    <tableColumn id="5" xr3:uid="{00000000-0010-0000-1800-000005000000}" name="CUIT"/>
    <tableColumn id="6" xr3:uid="{00000000-0010-0000-1800-000006000000}" name="RAZON SOCIAL"/>
    <tableColumn id="7" xr3:uid="{00000000-0010-0000-1800-000007000000}" name="IMPORTE NETO"/>
    <tableColumn id="8" xr3:uid="{00000000-0010-0000-1800-000008000000}" name="IVA 21%"/>
    <tableColumn id="9" xr3:uid="{00000000-0010-0000-1800-000009000000}" name="IVA 10,5%"/>
    <tableColumn id="10" xr3:uid="{00000000-0010-0000-1800-00000A000000}" name="EXENTO"/>
    <tableColumn id="11" xr3:uid="{00000000-0010-0000-1800-00000B000000}" name="TOTAL"/>
    <tableColumn id="12" xr3:uid="{00000000-0010-0000-1800-00000C000000}" name="Provincia"/>
  </tableColumns>
  <tableStyleInfo name="Jul-24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89:M96">
  <tableColumns count="12">
    <tableColumn id="1" xr3:uid="{00000000-0010-0000-1900-000001000000}" name="FECHA"/>
    <tableColumn id="2" xr3:uid="{00000000-0010-0000-1900-000002000000}" name="TIPO"/>
    <tableColumn id="3" xr3:uid="{00000000-0010-0000-1900-000003000000}" name="PTO VENTA"/>
    <tableColumn id="4" xr3:uid="{00000000-0010-0000-1900-000004000000}" name="Nº FACTURA"/>
    <tableColumn id="5" xr3:uid="{00000000-0010-0000-1900-000005000000}" name="CUIT"/>
    <tableColumn id="6" xr3:uid="{00000000-0010-0000-1900-000006000000}" name="RAZON SOCIAL"/>
    <tableColumn id="7" xr3:uid="{00000000-0010-0000-1900-000007000000}" name="IMPORTE NETO"/>
    <tableColumn id="8" xr3:uid="{00000000-0010-0000-1900-000008000000}" name="IVA 21%"/>
    <tableColumn id="9" xr3:uid="{00000000-0010-0000-1900-000009000000}" name="IVA 10,5%"/>
    <tableColumn id="10" xr3:uid="{00000000-0010-0000-1900-00000A000000}" name="EXENTO"/>
    <tableColumn id="11" xr3:uid="{00000000-0010-0000-1900-00000B000000}" name="TOTAL"/>
    <tableColumn id="12" xr3:uid="{00000000-0010-0000-1900-00000C000000}" name="Provincia"/>
  </tableColumns>
  <tableStyleInfo name="Jul-24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100:K103">
  <tableColumns count="10">
    <tableColumn id="1" xr3:uid="{00000000-0010-0000-1A00-000001000000}" name="FECHA"/>
    <tableColumn id="2" xr3:uid="{00000000-0010-0000-1A00-000002000000}" name="TIPO"/>
    <tableColumn id="3" xr3:uid="{00000000-0010-0000-1A00-000003000000}" name="PTO VENTA"/>
    <tableColumn id="4" xr3:uid="{00000000-0010-0000-1A00-000004000000}" name="Nº FACTURA"/>
    <tableColumn id="5" xr3:uid="{00000000-0010-0000-1A00-000005000000}" name="CUIT"/>
    <tableColumn id="6" xr3:uid="{00000000-0010-0000-1A00-000006000000}" name="RAZON SOCIAL"/>
    <tableColumn id="7" xr3:uid="{00000000-0010-0000-1A00-000007000000}" name="USD"/>
    <tableColumn id="8" xr3:uid="{00000000-0010-0000-1A00-000008000000}" name="TIPO DE CAMBIO2"/>
    <tableColumn id="9" xr3:uid="{00000000-0010-0000-1A00-000009000000}" name="TOTAL"/>
    <tableColumn id="10" xr3:uid="{00000000-0010-0000-1A00-00000A000000}" name="Pais"/>
  </tableColumns>
  <tableStyleInfo name="Jul-24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108:L113">
  <tableColumns count="10">
    <tableColumn id="1" xr3:uid="{00000000-0010-0000-1B00-000001000000}" name="FECHA "/>
    <tableColumn id="2" xr3:uid="{00000000-0010-0000-1B00-000002000000}" name="COMP Nº"/>
    <tableColumn id="3" xr3:uid="{00000000-0010-0000-1B00-000003000000}" name="Columna1"/>
    <tableColumn id="4" xr3:uid="{00000000-0010-0000-1B00-000004000000}" name="CUIT"/>
    <tableColumn id="5" xr3:uid="{00000000-0010-0000-1B00-000005000000}" name="RAZON SOCIAL"/>
    <tableColumn id="6" xr3:uid="{00000000-0010-0000-1B00-000006000000}" name="Ganancias"/>
    <tableColumn id="7" xr3:uid="{00000000-0010-0000-1B00-000007000000}" name="IVA"/>
    <tableColumn id="8" xr3:uid="{00000000-0010-0000-1B00-000008000000}" name="SUSS"/>
    <tableColumn id="9" xr3:uid="{00000000-0010-0000-1B00-000009000000}" name="IIBB BSAS"/>
    <tableColumn id="10" xr3:uid="{00000000-0010-0000-1B00-00000A000000}" name="IIBB CABA"/>
  </tableColumns>
  <tableStyleInfo name="Jul-24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8:T48">
  <tableColumns count="19">
    <tableColumn id="1" xr3:uid="{00000000-0010-0000-1C00-000001000000}" name="FECHA"/>
    <tableColumn id="2" xr3:uid="{00000000-0010-0000-1C00-000002000000}" name="TIPO"/>
    <tableColumn id="3" xr3:uid="{00000000-0010-0000-1C00-000003000000}" name="PTO VTA"/>
    <tableColumn id="4" xr3:uid="{00000000-0010-0000-1C00-000004000000}" name="NRO. CPTE"/>
    <tableColumn id="5" xr3:uid="{00000000-0010-0000-1C00-000005000000}" name="CUIT"/>
    <tableColumn id="6" xr3:uid="{00000000-0010-0000-1C00-000006000000}" name="RAZON SOCIAL"/>
    <tableColumn id="7" xr3:uid="{00000000-0010-0000-1C00-000007000000}" name="NETO GRAVADO"/>
    <tableColumn id="8" xr3:uid="{00000000-0010-0000-1C00-000008000000}" name="IVA 21 %"/>
    <tableColumn id="9" xr3:uid="{00000000-0010-0000-1C00-000009000000}" name="IVA 27%"/>
    <tableColumn id="10" xr3:uid="{00000000-0010-0000-1C00-00000A000000}" name="IVA 10,5%"/>
    <tableColumn id="11" xr3:uid="{00000000-0010-0000-1C00-00000B000000}" name="PERC. IVA"/>
    <tableColumn id="12" xr3:uid="{00000000-0010-0000-1C00-00000C000000}" name="PERC IIBB _x000a_BS AS"/>
    <tableColumn id="13" xr3:uid="{00000000-0010-0000-1C00-00000D000000}" name="PERC. IIBB CABA"/>
    <tableColumn id="14" xr3:uid="{00000000-0010-0000-1C00-00000E000000}" name="Otros / No Grav."/>
    <tableColumn id="15" xr3:uid="{00000000-0010-0000-1C00-00000F000000}" name="TOTAL"/>
    <tableColumn id="16" xr3:uid="{00000000-0010-0000-1C00-000010000000}" name="Tipo de Gasto"/>
    <tableColumn id="17" xr3:uid="{00000000-0010-0000-1C00-000011000000}" name="Provincia"/>
    <tableColumn id="18" xr3:uid="{00000000-0010-0000-1C00-000012000000}" name="Columna1"/>
    <tableColumn id="19" xr3:uid="{00000000-0010-0000-1C00-000013000000}" name="Columna2"/>
  </tableColumns>
  <tableStyleInfo name="Ago-24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D54:M60">
  <tableColumns count="10">
    <tableColumn id="1" xr3:uid="{00000000-0010-0000-1D00-000001000000}" name="FECHA"/>
    <tableColumn id="2" xr3:uid="{00000000-0010-0000-1D00-000002000000}" name="NRO CPTE"/>
    <tableColumn id="3" xr3:uid="{00000000-0010-0000-1D00-000003000000}" name="BANCO"/>
    <tableColumn id="4" xr3:uid="{00000000-0010-0000-1D00-000004000000}" name="NETO"/>
    <tableColumn id="5" xr3:uid="{00000000-0010-0000-1D00-000005000000}" name="IVA 21%"/>
    <tableColumn id="6" xr3:uid="{00000000-0010-0000-1D00-000006000000}" name="IVA 10,5%"/>
    <tableColumn id="7" xr3:uid="{00000000-0010-0000-1D00-000007000000}" name="RET IIBB CABA"/>
    <tableColumn id="8" xr3:uid="{00000000-0010-0000-1D00-000008000000}" name="PERC IVA"/>
    <tableColumn id="9" xr3:uid="{00000000-0010-0000-1D00-000009000000}" name="PERC IIBB"/>
    <tableColumn id="10" xr3:uid="{00000000-0010-0000-1D00-00000A000000}" name="TOTAL"/>
  </tableColumns>
  <tableStyleInfo name="Ago-24-style 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D65:K84">
  <tableColumns count="8">
    <tableColumn id="1" xr3:uid="{00000000-0010-0000-1E00-000001000000}" name="FECHA"/>
    <tableColumn id="2" xr3:uid="{00000000-0010-0000-1E00-000002000000}" name="PTO VTA"/>
    <tableColumn id="3" xr3:uid="{00000000-0010-0000-1E00-000003000000}" name="FC Nº"/>
    <tableColumn id="4" xr3:uid="{00000000-0010-0000-1E00-000004000000}" name="CUIT"/>
    <tableColumn id="5" xr3:uid="{00000000-0010-0000-1E00-000005000000}" name="RAZON SOCIAL"/>
    <tableColumn id="6" xr3:uid="{00000000-0010-0000-1E00-000006000000}" name="TOTAL"/>
    <tableColumn id="7" xr3:uid="{00000000-0010-0000-1E00-000007000000}" name="TIPO DE GASTO"/>
    <tableColumn id="8" xr3:uid="{00000000-0010-0000-1E00-000008000000}" name="Provincia"/>
  </tableColumns>
  <tableStyleInfo name="Ago-24-style 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93:M103">
  <tableColumns count="12">
    <tableColumn id="1" xr3:uid="{00000000-0010-0000-1F00-000001000000}" name="FECHA"/>
    <tableColumn id="2" xr3:uid="{00000000-0010-0000-1F00-000002000000}" name="TIPO"/>
    <tableColumn id="3" xr3:uid="{00000000-0010-0000-1F00-000003000000}" name="PTO VENTA"/>
    <tableColumn id="4" xr3:uid="{00000000-0010-0000-1F00-000004000000}" name="Nº FACTURA"/>
    <tableColumn id="5" xr3:uid="{00000000-0010-0000-1F00-000005000000}" name="CUIT"/>
    <tableColumn id="6" xr3:uid="{00000000-0010-0000-1F00-000006000000}" name="RAZON SOCIAL"/>
    <tableColumn id="7" xr3:uid="{00000000-0010-0000-1F00-000007000000}" name="IMPORTE NETO"/>
    <tableColumn id="8" xr3:uid="{00000000-0010-0000-1F00-000008000000}" name="IVA 21%"/>
    <tableColumn id="9" xr3:uid="{00000000-0010-0000-1F00-000009000000}" name="IVA 10,5%"/>
    <tableColumn id="10" xr3:uid="{00000000-0010-0000-1F00-00000A000000}" name="EXENTO"/>
    <tableColumn id="11" xr3:uid="{00000000-0010-0000-1F00-00000B000000}" name="TOTAL"/>
    <tableColumn id="12" xr3:uid="{00000000-0010-0000-1F00-00000C000000}" name="Provincia"/>
  </tableColumns>
  <tableStyleInfo name="Ago-24-style 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107:M114">
  <tableColumns count="12">
    <tableColumn id="1" xr3:uid="{00000000-0010-0000-2000-000001000000}" name="FECHA"/>
    <tableColumn id="2" xr3:uid="{00000000-0010-0000-2000-000002000000}" name="TIPO"/>
    <tableColumn id="3" xr3:uid="{00000000-0010-0000-2000-000003000000}" name="PTO VENTA"/>
    <tableColumn id="4" xr3:uid="{00000000-0010-0000-2000-000004000000}" name="Nº FACTURA"/>
    <tableColumn id="5" xr3:uid="{00000000-0010-0000-2000-000005000000}" name="CUIT"/>
    <tableColumn id="6" xr3:uid="{00000000-0010-0000-2000-000006000000}" name="RAZON SOCIAL"/>
    <tableColumn id="7" xr3:uid="{00000000-0010-0000-2000-000007000000}" name="IMPORTE NETO"/>
    <tableColumn id="8" xr3:uid="{00000000-0010-0000-2000-000008000000}" name="IVA 21%"/>
    <tableColumn id="9" xr3:uid="{00000000-0010-0000-2000-000009000000}" name="IVA 10,5%"/>
    <tableColumn id="10" xr3:uid="{00000000-0010-0000-2000-00000A000000}" name="EXENTO"/>
    <tableColumn id="11" xr3:uid="{00000000-0010-0000-2000-00000B000000}" name="TOTAL"/>
    <tableColumn id="12" xr3:uid="{00000000-0010-0000-2000-00000C000000}" name="Provincia"/>
  </tableColumns>
  <tableStyleInfo name="Ago-24-style 5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118:K129">
  <tableColumns count="10">
    <tableColumn id="1" xr3:uid="{00000000-0010-0000-2100-000001000000}" name="FECHA"/>
    <tableColumn id="2" xr3:uid="{00000000-0010-0000-2100-000002000000}" name="TIPO"/>
    <tableColumn id="3" xr3:uid="{00000000-0010-0000-2100-000003000000}" name="PTO VENTA"/>
    <tableColumn id="4" xr3:uid="{00000000-0010-0000-2100-000004000000}" name="Nº FACTURA"/>
    <tableColumn id="5" xr3:uid="{00000000-0010-0000-2100-000005000000}" name="CUIT"/>
    <tableColumn id="6" xr3:uid="{00000000-0010-0000-2100-000006000000}" name="RAZON SOCIAL"/>
    <tableColumn id="7" xr3:uid="{00000000-0010-0000-2100-000007000000}" name="USD"/>
    <tableColumn id="8" xr3:uid="{00000000-0010-0000-2100-000008000000}" name="TIPO DE CAMBIO2"/>
    <tableColumn id="9" xr3:uid="{00000000-0010-0000-2100-000009000000}" name="TOTAL"/>
    <tableColumn id="10" xr3:uid="{00000000-0010-0000-2100-00000A000000}" name="Pais"/>
  </tableColumns>
  <tableStyleInfo name="Ago-24-style 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C134:L139">
  <tableColumns count="10">
    <tableColumn id="1" xr3:uid="{00000000-0010-0000-2200-000001000000}" name="FECHA "/>
    <tableColumn id="2" xr3:uid="{00000000-0010-0000-2200-000002000000}" name="COMP Nº"/>
    <tableColumn id="3" xr3:uid="{00000000-0010-0000-2200-000003000000}" name="Columna1"/>
    <tableColumn id="4" xr3:uid="{00000000-0010-0000-2200-000004000000}" name="CUIT"/>
    <tableColumn id="5" xr3:uid="{00000000-0010-0000-2200-000005000000}" name="RAZON SOCIAL"/>
    <tableColumn id="6" xr3:uid="{00000000-0010-0000-2200-000006000000}" name="Ganancias"/>
    <tableColumn id="7" xr3:uid="{00000000-0010-0000-2200-000007000000}" name="IVA"/>
    <tableColumn id="8" xr3:uid="{00000000-0010-0000-2200-000008000000}" name="SUSS"/>
    <tableColumn id="9" xr3:uid="{00000000-0010-0000-2200-000009000000}" name="IIBB BSAS"/>
    <tableColumn id="10" xr3:uid="{00000000-0010-0000-2200-00000A000000}" name="IIBB CABA"/>
  </tableColumns>
  <tableStyleInfo name="Ago-24-style 7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8:R42">
  <tableColumns count="17">
    <tableColumn id="1" xr3:uid="{00000000-0010-0000-2300-000001000000}" name="FECHA"/>
    <tableColumn id="2" xr3:uid="{00000000-0010-0000-2300-000002000000}" name="TIPO"/>
    <tableColumn id="3" xr3:uid="{00000000-0010-0000-2300-000003000000}" name="PTO VTA"/>
    <tableColumn id="4" xr3:uid="{00000000-0010-0000-2300-000004000000}" name="NRO. CPTE"/>
    <tableColumn id="5" xr3:uid="{00000000-0010-0000-2300-000005000000}" name="CUIT"/>
    <tableColumn id="6" xr3:uid="{00000000-0010-0000-2300-000006000000}" name="RAZON SOCIAL"/>
    <tableColumn id="7" xr3:uid="{00000000-0010-0000-2300-000007000000}" name="NETO GRAVADO"/>
    <tableColumn id="8" xr3:uid="{00000000-0010-0000-2300-000008000000}" name="IVA 21 %"/>
    <tableColumn id="9" xr3:uid="{00000000-0010-0000-2300-000009000000}" name="IVA 27%"/>
    <tableColumn id="10" xr3:uid="{00000000-0010-0000-2300-00000A000000}" name="IVA 10,5%"/>
    <tableColumn id="11" xr3:uid="{00000000-0010-0000-2300-00000B000000}" name="PERC. IVA"/>
    <tableColumn id="12" xr3:uid="{00000000-0010-0000-2300-00000C000000}" name="PERC IIBB _x000a_BS AS"/>
    <tableColumn id="13" xr3:uid="{00000000-0010-0000-2300-00000D000000}" name="PERC. IIBB CABA"/>
    <tableColumn id="14" xr3:uid="{00000000-0010-0000-2300-00000E000000}" name="Otros / No Grav."/>
    <tableColumn id="15" xr3:uid="{00000000-0010-0000-2300-00000F000000}" name="TOTAL"/>
    <tableColumn id="16" xr3:uid="{00000000-0010-0000-2300-000010000000}" name="Tipo de Gasto"/>
    <tableColumn id="17" xr3:uid="{00000000-0010-0000-2300-000011000000}" name="Provincia"/>
  </tableColumns>
  <tableStyleInfo name="Sept-24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D48:L53">
  <tableColumns count="9">
    <tableColumn id="1" xr3:uid="{00000000-0010-0000-2400-000001000000}" name="FECHA"/>
    <tableColumn id="2" xr3:uid="{00000000-0010-0000-2400-000002000000}" name="NRO CPTE"/>
    <tableColumn id="3" xr3:uid="{00000000-0010-0000-2400-000003000000}" name="BANCO"/>
    <tableColumn id="4" xr3:uid="{00000000-0010-0000-2400-000004000000}" name="NETO"/>
    <tableColumn id="5" xr3:uid="{00000000-0010-0000-2400-000005000000}" name="IVA 21%"/>
    <tableColumn id="6" xr3:uid="{00000000-0010-0000-2400-000006000000}" name="IVA 10,5%"/>
    <tableColumn id="7" xr3:uid="{00000000-0010-0000-2400-000007000000}" name="RET IIBB CABA"/>
    <tableColumn id="8" xr3:uid="{00000000-0010-0000-2400-000008000000}" name="PERC IVA"/>
    <tableColumn id="9" xr3:uid="{00000000-0010-0000-2400-000009000000}" name="PERC IIBB"/>
  </tableColumns>
  <tableStyleInfo name="Sept-24-style 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D56:K71">
  <tableColumns count="8">
    <tableColumn id="1" xr3:uid="{00000000-0010-0000-2500-000001000000}" name="FECHA"/>
    <tableColumn id="2" xr3:uid="{00000000-0010-0000-2500-000002000000}" name="PTO VTA"/>
    <tableColumn id="3" xr3:uid="{00000000-0010-0000-2500-000003000000}" name="FC Nº"/>
    <tableColumn id="4" xr3:uid="{00000000-0010-0000-2500-000004000000}" name="CUIT"/>
    <tableColumn id="5" xr3:uid="{00000000-0010-0000-2500-000005000000}" name="RAZON SOCIAL"/>
    <tableColumn id="6" xr3:uid="{00000000-0010-0000-2500-000006000000}" name="TOTAL"/>
    <tableColumn id="7" xr3:uid="{00000000-0010-0000-2500-000007000000}" name="TIPO DE GASTO"/>
    <tableColumn id="8" xr3:uid="{00000000-0010-0000-2500-000008000000}" name="Provincia"/>
  </tableColumns>
  <tableStyleInfo name="Sept-24-style 3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80:M91">
  <tableColumns count="12">
    <tableColumn id="1" xr3:uid="{00000000-0010-0000-2600-000001000000}" name="FECHA"/>
    <tableColumn id="2" xr3:uid="{00000000-0010-0000-2600-000002000000}" name="TIPO"/>
    <tableColumn id="3" xr3:uid="{00000000-0010-0000-2600-000003000000}" name="PTO VENTA"/>
    <tableColumn id="4" xr3:uid="{00000000-0010-0000-2600-000004000000}" name="Nº FACTURA"/>
    <tableColumn id="5" xr3:uid="{00000000-0010-0000-2600-000005000000}" name="CUIT"/>
    <tableColumn id="6" xr3:uid="{00000000-0010-0000-2600-000006000000}" name="RAZON SOCIAL"/>
    <tableColumn id="7" xr3:uid="{00000000-0010-0000-2600-000007000000}" name="IMPORTE NETO"/>
    <tableColumn id="8" xr3:uid="{00000000-0010-0000-2600-000008000000}" name="IVA 21%"/>
    <tableColumn id="9" xr3:uid="{00000000-0010-0000-2600-000009000000}" name="IVA 10,5%"/>
    <tableColumn id="10" xr3:uid="{00000000-0010-0000-2600-00000A000000}" name="EXENTO"/>
    <tableColumn id="11" xr3:uid="{00000000-0010-0000-2600-00000B000000}" name="TOTAL"/>
    <tableColumn id="12" xr3:uid="{00000000-0010-0000-2600-00000C000000}" name="Provincia"/>
  </tableColumns>
  <tableStyleInfo name="Sept-24-style 4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94:M101">
  <tableColumns count="12">
    <tableColumn id="1" xr3:uid="{00000000-0010-0000-2700-000001000000}" name="FECHA"/>
    <tableColumn id="2" xr3:uid="{00000000-0010-0000-2700-000002000000}" name="TIPO"/>
    <tableColumn id="3" xr3:uid="{00000000-0010-0000-2700-000003000000}" name="PTO VENTA"/>
    <tableColumn id="4" xr3:uid="{00000000-0010-0000-2700-000004000000}" name="Nº FACTURA"/>
    <tableColumn id="5" xr3:uid="{00000000-0010-0000-2700-000005000000}" name="CUIT"/>
    <tableColumn id="6" xr3:uid="{00000000-0010-0000-2700-000006000000}" name="RAZON SOCIAL"/>
    <tableColumn id="7" xr3:uid="{00000000-0010-0000-2700-000007000000}" name="IMPORTE NETO"/>
    <tableColumn id="8" xr3:uid="{00000000-0010-0000-2700-000008000000}" name="IVA 21%"/>
    <tableColumn id="9" xr3:uid="{00000000-0010-0000-2700-000009000000}" name="IVA 10,5%"/>
    <tableColumn id="10" xr3:uid="{00000000-0010-0000-2700-00000A000000}" name="EXENTO"/>
    <tableColumn id="11" xr3:uid="{00000000-0010-0000-2700-00000B000000}" name="TOTAL"/>
    <tableColumn id="12" xr3:uid="{00000000-0010-0000-2700-00000C000000}" name="Provincia"/>
  </tableColumns>
  <tableStyleInfo name="Sept-24-style 5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104:M113">
  <tableColumns count="12">
    <tableColumn id="1" xr3:uid="{00000000-0010-0000-2800-000001000000}" name="FECHA"/>
    <tableColumn id="2" xr3:uid="{00000000-0010-0000-2800-000002000000}" name="TIPO"/>
    <tableColumn id="3" xr3:uid="{00000000-0010-0000-2800-000003000000}" name="PTO VENTA"/>
    <tableColumn id="4" xr3:uid="{00000000-0010-0000-2800-000004000000}" name="Nº FACTURA"/>
    <tableColumn id="5" xr3:uid="{00000000-0010-0000-2800-000005000000}" name="CUIT"/>
    <tableColumn id="6" xr3:uid="{00000000-0010-0000-2800-000006000000}" name="RAZON SOCIAL"/>
    <tableColumn id="7" xr3:uid="{00000000-0010-0000-2800-000007000000}" name="USD"/>
    <tableColumn id="8" xr3:uid="{00000000-0010-0000-2800-000008000000}" name="IVA 21%"/>
    <tableColumn id="9" xr3:uid="{00000000-0010-0000-2800-000009000000}" name="Columna1"/>
    <tableColumn id="10" xr3:uid="{00000000-0010-0000-2800-00000A000000}" name="TIPO DE CAMBIO2"/>
    <tableColumn id="11" xr3:uid="{00000000-0010-0000-2800-00000B000000}" name="TOTAL"/>
    <tableColumn id="12" xr3:uid="{00000000-0010-0000-2800-00000C000000}" name="PAIS"/>
  </tableColumns>
  <tableStyleInfo name="Sept-24-style 6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C116:L121">
  <tableColumns count="10">
    <tableColumn id="1" xr3:uid="{00000000-0010-0000-2900-000001000000}" name="FECHA "/>
    <tableColumn id="2" xr3:uid="{00000000-0010-0000-2900-000002000000}" name="COMP Nº"/>
    <tableColumn id="3" xr3:uid="{00000000-0010-0000-2900-000003000000}" name="Columna1"/>
    <tableColumn id="4" xr3:uid="{00000000-0010-0000-2900-000004000000}" name="CUIT"/>
    <tableColumn id="5" xr3:uid="{00000000-0010-0000-2900-000005000000}" name="RAZON SOCIAL"/>
    <tableColumn id="6" xr3:uid="{00000000-0010-0000-2900-000006000000}" name="Ganancias"/>
    <tableColumn id="7" xr3:uid="{00000000-0010-0000-2900-000007000000}" name="IVA"/>
    <tableColumn id="8" xr3:uid="{00000000-0010-0000-2900-000008000000}" name="SUSS"/>
    <tableColumn id="9" xr3:uid="{00000000-0010-0000-2900-000009000000}" name="IIBB BSAS"/>
    <tableColumn id="10" xr3:uid="{00000000-0010-0000-2900-00000A000000}" name="IIBB CABA"/>
  </tableColumns>
  <tableStyleInfo name="Sept-24-style 7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8:R63" headerRowDxfId="284" totalsRowDxfId="281" headerRowBorderDxfId="283" tableBorderDxfId="282">
  <autoFilter ref="B8:R63" xr:uid="{00000000-0009-0000-0100-00002B000000}"/>
  <tableColumns count="17">
    <tableColumn id="1" xr3:uid="{00000000-0010-0000-2A00-000001000000}" name="FECHA" dataDxfId="280"/>
    <tableColumn id="2" xr3:uid="{00000000-0010-0000-2A00-000002000000}" name="TIPO" dataDxfId="279"/>
    <tableColumn id="3" xr3:uid="{00000000-0010-0000-2A00-000003000000}" name="PTO VTA" dataDxfId="278"/>
    <tableColumn id="4" xr3:uid="{00000000-0010-0000-2A00-000004000000}" name="NRO. CPTE" dataDxfId="277"/>
    <tableColumn id="5" xr3:uid="{00000000-0010-0000-2A00-000005000000}" name="CUIT" dataDxfId="276"/>
    <tableColumn id="6" xr3:uid="{00000000-0010-0000-2A00-000006000000}" name="RAZON SOCIAL" dataDxfId="275"/>
    <tableColumn id="7" xr3:uid="{00000000-0010-0000-2A00-000007000000}" name="NETO GRAVADO" dataDxfId="274"/>
    <tableColumn id="8" xr3:uid="{00000000-0010-0000-2A00-000008000000}" name="IVA 21 %" dataDxfId="273"/>
    <tableColumn id="9" xr3:uid="{00000000-0010-0000-2A00-000009000000}" name="IVA 27%" dataDxfId="272"/>
    <tableColumn id="10" xr3:uid="{00000000-0010-0000-2A00-00000A000000}" name="IVA 10,5%" dataDxfId="271"/>
    <tableColumn id="11" xr3:uid="{00000000-0010-0000-2A00-00000B000000}" name="PERC. IVA" dataDxfId="270"/>
    <tableColumn id="12" xr3:uid="{00000000-0010-0000-2A00-00000C000000}" name="PERC IIBB _x000a_BS AS" dataDxfId="269"/>
    <tableColumn id="13" xr3:uid="{00000000-0010-0000-2A00-00000D000000}" name="PERC. IIBB CABA" dataDxfId="268"/>
    <tableColumn id="14" xr3:uid="{00000000-0010-0000-2A00-00000E000000}" name="Otros / No Grav." dataDxfId="267"/>
    <tableColumn id="15" xr3:uid="{00000000-0010-0000-2A00-00000F000000}" name="TOTAL" dataDxfId="266"/>
    <tableColumn id="16" xr3:uid="{00000000-0010-0000-2A00-000010000000}" name="Tipo de Gasto" dataDxfId="265"/>
    <tableColumn id="17" xr3:uid="{00000000-0010-0000-2A00-000011000000}" name="Provincia" dataDxfId="264"/>
  </tableColumns>
  <tableStyleInfo name="Oct-24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D69:M74" headerRowDxfId="263" totalsRowDxfId="260" headerRowBorderDxfId="262" tableBorderDxfId="261">
  <tableColumns count="10">
    <tableColumn id="1" xr3:uid="{00000000-0010-0000-2B00-000001000000}" name="FECHA" dataDxfId="259"/>
    <tableColumn id="2" xr3:uid="{00000000-0010-0000-2B00-000002000000}" name="NRO CPTE" dataDxfId="258"/>
    <tableColumn id="3" xr3:uid="{00000000-0010-0000-2B00-000003000000}" name="BANCO" dataDxfId="257"/>
    <tableColumn id="4" xr3:uid="{00000000-0010-0000-2B00-000004000000}" name="NETO" dataDxfId="256"/>
    <tableColumn id="5" xr3:uid="{00000000-0010-0000-2B00-000005000000}" name="IVA 21%" dataDxfId="255"/>
    <tableColumn id="6" xr3:uid="{00000000-0010-0000-2B00-000006000000}" name="IVA 10,5%" dataDxfId="254"/>
    <tableColumn id="7" xr3:uid="{00000000-0010-0000-2B00-000007000000}" name="RET IIBB CABA" dataDxfId="253"/>
    <tableColumn id="8" xr3:uid="{00000000-0010-0000-2B00-000008000000}" name="PERC IVA" dataDxfId="252"/>
    <tableColumn id="9" xr3:uid="{00000000-0010-0000-2B00-000009000000}" name="PERC IIBB" dataDxfId="251"/>
    <tableColumn id="10" xr3:uid="{00000000-0010-0000-2B00-00000A000000}" name="TOTAL" dataDxfId="250">
      <calculatedColumnFormula>SUM(Table_44[[#This Row],[NETO]:[PERC IIBB]])</calculatedColumnFormula>
    </tableColumn>
  </tableColumns>
  <tableStyleInfo name="Oct-24-style 2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D79:K100" headerRowDxfId="249" totalsRowDxfId="246" headerRowBorderDxfId="248" tableBorderDxfId="247">
  <tableColumns count="8">
    <tableColumn id="1" xr3:uid="{00000000-0010-0000-2C00-000001000000}" name="FECHA" dataDxfId="245"/>
    <tableColumn id="2" xr3:uid="{00000000-0010-0000-2C00-000002000000}" name="PTO VTA" dataDxfId="244"/>
    <tableColumn id="3" xr3:uid="{00000000-0010-0000-2C00-000003000000}" name="FC Nº" dataDxfId="243"/>
    <tableColumn id="4" xr3:uid="{00000000-0010-0000-2C00-000004000000}" name="CUIT" dataDxfId="242"/>
    <tableColumn id="5" xr3:uid="{00000000-0010-0000-2C00-000005000000}" name="RAZON SOCIAL" dataDxfId="241"/>
    <tableColumn id="6" xr3:uid="{00000000-0010-0000-2C00-000006000000}" name="TOTAL" dataDxfId="240"/>
    <tableColumn id="7" xr3:uid="{00000000-0010-0000-2C00-000007000000}" name="TIPO DE GASTO" dataDxfId="239"/>
    <tableColumn id="8" xr3:uid="{00000000-0010-0000-2C00-000008000000}" name="Provincia" dataDxfId="238"/>
  </tableColumns>
  <tableStyleInfo name="Oct-24-style 3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109:M119" headerRowDxfId="237" totalsRowDxfId="234" headerRowBorderDxfId="236" tableBorderDxfId="235">
  <tableColumns count="12">
    <tableColumn id="1" xr3:uid="{00000000-0010-0000-2D00-000001000000}" name="FECHA" dataDxfId="233"/>
    <tableColumn id="2" xr3:uid="{00000000-0010-0000-2D00-000002000000}" name="TIPO" dataDxfId="232"/>
    <tableColumn id="3" xr3:uid="{00000000-0010-0000-2D00-000003000000}" name="PTO VENTA" dataDxfId="231"/>
    <tableColumn id="4" xr3:uid="{00000000-0010-0000-2D00-000004000000}" name="Nº FACTURA" dataDxfId="230"/>
    <tableColumn id="5" xr3:uid="{00000000-0010-0000-2D00-000005000000}" name="CUIT" dataDxfId="229"/>
    <tableColumn id="6" xr3:uid="{00000000-0010-0000-2D00-000006000000}" name="RAZON SOCIAL" dataDxfId="228"/>
    <tableColumn id="7" xr3:uid="{00000000-0010-0000-2D00-000007000000}" name="IMPORTE NETO" dataDxfId="227"/>
    <tableColumn id="8" xr3:uid="{00000000-0010-0000-2D00-000008000000}" name="IVA 21%" dataDxfId="226"/>
    <tableColumn id="9" xr3:uid="{00000000-0010-0000-2D00-000009000000}" name="IVA 10,5%" dataDxfId="225"/>
    <tableColumn id="10" xr3:uid="{00000000-0010-0000-2D00-00000A000000}" name="EXENTO" dataDxfId="224"/>
    <tableColumn id="11" xr3:uid="{00000000-0010-0000-2D00-00000B000000}" name="TOTAL" dataDxfId="223"/>
    <tableColumn id="12" xr3:uid="{00000000-0010-0000-2D00-00000C000000}" name="Provincia" dataDxfId="222"/>
  </tableColumns>
  <tableStyleInfo name="Oct-24-style 4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123:M130" headerRowDxfId="221" totalsRowDxfId="218" headerRowBorderDxfId="220" tableBorderDxfId="219">
  <tableColumns count="12">
    <tableColumn id="1" xr3:uid="{00000000-0010-0000-2E00-000001000000}" name="FECHA" dataDxfId="217"/>
    <tableColumn id="2" xr3:uid="{00000000-0010-0000-2E00-000002000000}" name="TIPO" dataDxfId="216"/>
    <tableColumn id="3" xr3:uid="{00000000-0010-0000-2E00-000003000000}" name="PTO VENTA" dataDxfId="215"/>
    <tableColumn id="4" xr3:uid="{00000000-0010-0000-2E00-000004000000}" name="Nº FACTURA" dataDxfId="214"/>
    <tableColumn id="5" xr3:uid="{00000000-0010-0000-2E00-000005000000}" name="CUIT" dataDxfId="213"/>
    <tableColumn id="6" xr3:uid="{00000000-0010-0000-2E00-000006000000}" name="RAZON SOCIAL" dataDxfId="212">
      <calculatedColumnFormula>IFERROR(IF('Oct-24'!$F124="","-",VLOOKUP('Oct-24'!$F124,Lista_CUIT!$A$1:$D$2241,2,0)),"CUIT NO CARGADO")</calculatedColumnFormula>
    </tableColumn>
    <tableColumn id="7" xr3:uid="{00000000-0010-0000-2E00-000007000000}" name="USD" dataDxfId="211"/>
    <tableColumn id="8" xr3:uid="{00000000-0010-0000-2E00-000008000000}" name="IVA 21%" dataDxfId="210"/>
    <tableColumn id="9" xr3:uid="{00000000-0010-0000-2E00-000009000000}" name="IVA 10,5%" dataDxfId="209"/>
    <tableColumn id="10" xr3:uid="{00000000-0010-0000-2E00-00000A000000}" name="TIPO DE CAMBIO" dataDxfId="208"/>
    <tableColumn id="11" xr3:uid="{00000000-0010-0000-2E00-00000B000000}" name="TOTAL" dataDxfId="207"/>
    <tableColumn id="12" xr3:uid="{00000000-0010-0000-2E00-00000C000000}" name="Provincia" dataDxfId="206"/>
  </tableColumns>
  <tableStyleInfo name="Oct-24-style 5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F000000}" name="Table_49" displayName="Table_49" ref="B8:R49" headerRowDxfId="205" totalsRowDxfId="202" headerRowBorderDxfId="204" tableBorderDxfId="203">
  <autoFilter ref="B8:R49" xr:uid="{00000000-0009-0000-0100-000031000000}"/>
  <tableColumns count="17">
    <tableColumn id="1" xr3:uid="{00000000-0010-0000-2F00-000001000000}" name="FECHA" dataDxfId="201"/>
    <tableColumn id="2" xr3:uid="{00000000-0010-0000-2F00-000002000000}" name="TIPO" dataDxfId="200"/>
    <tableColumn id="3" xr3:uid="{00000000-0010-0000-2F00-000003000000}" name="PTO VTA" dataDxfId="199"/>
    <tableColumn id="4" xr3:uid="{00000000-0010-0000-2F00-000004000000}" name="NRO. CPTE" dataDxfId="198"/>
    <tableColumn id="5" xr3:uid="{00000000-0010-0000-2F00-000005000000}" name="CUIT" dataDxfId="197"/>
    <tableColumn id="6" xr3:uid="{00000000-0010-0000-2F00-000006000000}" name="RAZON SOCIAL" dataDxfId="196"/>
    <tableColumn id="7" xr3:uid="{00000000-0010-0000-2F00-000007000000}" name="NETO GRAVADO" dataDxfId="195"/>
    <tableColumn id="8" xr3:uid="{00000000-0010-0000-2F00-000008000000}" name="IVA 21 %" dataDxfId="194"/>
    <tableColumn id="9" xr3:uid="{00000000-0010-0000-2F00-000009000000}" name="IVA 27%" dataDxfId="193"/>
    <tableColumn id="10" xr3:uid="{00000000-0010-0000-2F00-00000A000000}" name="IVA 10,5%" dataDxfId="192"/>
    <tableColumn id="11" xr3:uid="{00000000-0010-0000-2F00-00000B000000}" name="PERC. IVA" dataDxfId="191"/>
    <tableColumn id="12" xr3:uid="{00000000-0010-0000-2F00-00000C000000}" name="PERC IIBB _x000a_BS AS" dataDxfId="190"/>
    <tableColumn id="13" xr3:uid="{00000000-0010-0000-2F00-00000D000000}" name="PERC. IIBB CABA" dataDxfId="189"/>
    <tableColumn id="14" xr3:uid="{00000000-0010-0000-2F00-00000E000000}" name="Otros / No Grav." dataDxfId="188"/>
    <tableColumn id="15" xr3:uid="{00000000-0010-0000-2F00-00000F000000}" name="TOTAL" dataDxfId="187"/>
    <tableColumn id="16" xr3:uid="{00000000-0010-0000-2F00-000010000000}" name="Tipo de Gasto" dataDxfId="186"/>
    <tableColumn id="17" xr3:uid="{00000000-0010-0000-2F00-000011000000}" name="Provincia" dataDxfId="185"/>
  </tableColumns>
  <tableStyleInfo name="Nov-24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Table_50" displayName="Table_50" ref="D55:L60" headerRowDxfId="184" totalsRowDxfId="181" headerRowBorderDxfId="183" tableBorderDxfId="182">
  <tableColumns count="9">
    <tableColumn id="1" xr3:uid="{00000000-0010-0000-3000-000001000000}" name="FECHA" dataDxfId="180"/>
    <tableColumn id="2" xr3:uid="{00000000-0010-0000-3000-000002000000}" name="NRO CPTE" dataDxfId="179"/>
    <tableColumn id="3" xr3:uid="{00000000-0010-0000-3000-000003000000}" name="BANCO" dataDxfId="178"/>
    <tableColumn id="4" xr3:uid="{00000000-0010-0000-3000-000004000000}" name="NETO" dataDxfId="177"/>
    <tableColumn id="5" xr3:uid="{00000000-0010-0000-3000-000005000000}" name="IVA 21%" dataDxfId="176"/>
    <tableColumn id="6" xr3:uid="{00000000-0010-0000-3000-000006000000}" name="IVA 10,5%" dataDxfId="175"/>
    <tableColumn id="7" xr3:uid="{00000000-0010-0000-3000-000007000000}" name="RET IIBB CABA" dataDxfId="174"/>
    <tableColumn id="8" xr3:uid="{00000000-0010-0000-3000-000008000000}" name="PERC IVA" dataDxfId="173"/>
    <tableColumn id="9" xr3:uid="{00000000-0010-0000-3000-000009000000}" name="PERC IIBB" dataDxfId="172"/>
  </tableColumns>
  <tableStyleInfo name="Nov-24-style 2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Table_51" displayName="Table_51" ref="D65:K80" headerRowDxfId="171" totalsRowDxfId="168" headerRowBorderDxfId="170" tableBorderDxfId="169">
  <tableColumns count="8">
    <tableColumn id="1" xr3:uid="{00000000-0010-0000-3100-000001000000}" name="FECHA" dataDxfId="167"/>
    <tableColumn id="2" xr3:uid="{00000000-0010-0000-3100-000002000000}" name="PTO VTA" dataDxfId="166"/>
    <tableColumn id="3" xr3:uid="{00000000-0010-0000-3100-000003000000}" name="FC Nº" dataDxfId="165"/>
    <tableColumn id="4" xr3:uid="{00000000-0010-0000-3100-000004000000}" name="CUIT" dataDxfId="164"/>
    <tableColumn id="5" xr3:uid="{00000000-0010-0000-3100-000005000000}" name="RAZON SOCIAL" dataDxfId="163"/>
    <tableColumn id="6" xr3:uid="{00000000-0010-0000-3100-000006000000}" name="TOTAL" dataDxfId="162"/>
    <tableColumn id="7" xr3:uid="{00000000-0010-0000-3100-000007000000}" name="TIPO DE GASTO" dataDxfId="161"/>
    <tableColumn id="8" xr3:uid="{00000000-0010-0000-3100-000008000000}" name="Provincia" dataDxfId="160"/>
  </tableColumns>
  <tableStyleInfo name="Nov-24-style 3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Table_52" displayName="Table_52" ref="B86:M96" headerRowDxfId="159" totalsRowDxfId="156" headerRowBorderDxfId="158" tableBorderDxfId="157">
  <tableColumns count="12">
    <tableColumn id="1" xr3:uid="{00000000-0010-0000-3200-000001000000}" name="FECHA" dataDxfId="155"/>
    <tableColumn id="2" xr3:uid="{00000000-0010-0000-3200-000002000000}" name="TIPO" dataDxfId="154"/>
    <tableColumn id="3" xr3:uid="{00000000-0010-0000-3200-000003000000}" name="PTO VENTA" dataDxfId="153"/>
    <tableColumn id="4" xr3:uid="{00000000-0010-0000-3200-000004000000}" name="Nº FACTURA" dataDxfId="152"/>
    <tableColumn id="5" xr3:uid="{00000000-0010-0000-3200-000005000000}" name="CUIT" dataDxfId="151"/>
    <tableColumn id="6" xr3:uid="{00000000-0010-0000-3200-000006000000}" name="RAZON SOCIAL" dataDxfId="150"/>
    <tableColumn id="7" xr3:uid="{00000000-0010-0000-3200-000007000000}" name="IMPORTE NETO" dataDxfId="149"/>
    <tableColumn id="8" xr3:uid="{00000000-0010-0000-3200-000008000000}" name="IVA 21%" dataDxfId="148"/>
    <tableColumn id="9" xr3:uid="{00000000-0010-0000-3200-000009000000}" name="IVA 10,5%" dataDxfId="147"/>
    <tableColumn id="10" xr3:uid="{00000000-0010-0000-3200-00000A000000}" name="EXENTO" dataDxfId="146"/>
    <tableColumn id="11" xr3:uid="{00000000-0010-0000-3200-00000B000000}" name="TOTAL" dataDxfId="145"/>
    <tableColumn id="12" xr3:uid="{00000000-0010-0000-3200-00000C000000}" name="Provincia" dataDxfId="144"/>
  </tableColumns>
  <tableStyleInfo name="Nov-24-style 4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Table_53" displayName="Table_53" ref="B112:M119" headerRowDxfId="143" totalsRowDxfId="140" headerRowBorderDxfId="142" tableBorderDxfId="141">
  <tableColumns count="12">
    <tableColumn id="1" xr3:uid="{00000000-0010-0000-3300-000001000000}" name="FECHA" dataDxfId="139"/>
    <tableColumn id="2" xr3:uid="{00000000-0010-0000-3300-000002000000}" name="TIPO" dataDxfId="138"/>
    <tableColumn id="3" xr3:uid="{00000000-0010-0000-3300-000003000000}" name="PTO VENTA" dataDxfId="137"/>
    <tableColumn id="4" xr3:uid="{00000000-0010-0000-3300-000004000000}" name="Nº FACTURA" dataDxfId="136"/>
    <tableColumn id="5" xr3:uid="{00000000-0010-0000-3300-000005000000}" name="CUIT" dataDxfId="135"/>
    <tableColumn id="6" xr3:uid="{00000000-0010-0000-3300-000006000000}" name="RAZON SOCIAL" dataDxfId="134"/>
    <tableColumn id="7" xr3:uid="{00000000-0010-0000-3300-000007000000}" name="IMPORTE NETO" dataDxfId="133"/>
    <tableColumn id="8" xr3:uid="{00000000-0010-0000-3300-000008000000}" name="IVA 21%" dataDxfId="132"/>
    <tableColumn id="9" xr3:uid="{00000000-0010-0000-3300-000009000000}" name="IVA 10,5%" dataDxfId="131"/>
    <tableColumn id="10" xr3:uid="{00000000-0010-0000-3300-00000A000000}" name="EXENTO" dataDxfId="130"/>
    <tableColumn id="11" xr3:uid="{00000000-0010-0000-3300-00000B000000}" name="TOTAL" dataDxfId="129"/>
    <tableColumn id="12" xr3:uid="{00000000-0010-0000-3300-00000C000000}" name="Provincia" dataDxfId="128"/>
  </tableColumns>
  <tableStyleInfo name="Nov-24-style 5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Table_54" displayName="Table_54" ref="C128:L133">
  <tableColumns count="10">
    <tableColumn id="1" xr3:uid="{00000000-0010-0000-3400-000001000000}" name="FECHA "/>
    <tableColumn id="2" xr3:uid="{00000000-0010-0000-3400-000002000000}" name="COMP Nº"/>
    <tableColumn id="3" xr3:uid="{00000000-0010-0000-3400-000003000000}" name="Columna1"/>
    <tableColumn id="4" xr3:uid="{00000000-0010-0000-3400-000004000000}" name="CUIT"/>
    <tableColumn id="5" xr3:uid="{00000000-0010-0000-3400-000005000000}" name="RAZON SOCIAL"/>
    <tableColumn id="6" xr3:uid="{00000000-0010-0000-3400-000006000000}" name="Ganancias"/>
    <tableColumn id="7" xr3:uid="{00000000-0010-0000-3400-000007000000}" name="IVA"/>
    <tableColumn id="8" xr3:uid="{00000000-0010-0000-3400-000008000000}" name="SUSS"/>
    <tableColumn id="9" xr3:uid="{00000000-0010-0000-3400-000009000000}" name="IIBB BSAS"/>
    <tableColumn id="10" xr3:uid="{00000000-0010-0000-3400-00000A000000}" name="IIBB CABA"/>
  </tableColumns>
  <tableStyleInfo name="Nov-24-style 6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5000000}" name="Table_4749" displayName="Table_4749" ref="B100:M107" headerRowDxfId="127" totalsRowDxfId="124" headerRowBorderDxfId="126" tableBorderDxfId="125">
  <tableColumns count="12">
    <tableColumn id="1" xr3:uid="{00000000-0010-0000-3500-000001000000}" name="FECHA" dataDxfId="123"/>
    <tableColumn id="2" xr3:uid="{00000000-0010-0000-3500-000002000000}" name="TIPO" dataDxfId="122"/>
    <tableColumn id="3" xr3:uid="{00000000-0010-0000-3500-000003000000}" name="PTO VENTA" dataDxfId="121"/>
    <tableColumn id="4" xr3:uid="{00000000-0010-0000-3500-000004000000}" name="Nº FACTURA" dataDxfId="120"/>
    <tableColumn id="5" xr3:uid="{00000000-0010-0000-3500-000005000000}" name="CUIT" dataDxfId="119"/>
    <tableColumn id="6" xr3:uid="{00000000-0010-0000-3500-000006000000}" name="RAZON SOCIAL" dataDxfId="118">
      <calculatedColumnFormula>IFERROR(IF('Oct-24'!$F96="","-",VLOOKUP('Oct-24'!$F96,Lista_CUIT!$A$1:$D$2241,2,0)),"CUIT NO CARGADO")</calculatedColumnFormula>
    </tableColumn>
    <tableColumn id="7" xr3:uid="{00000000-0010-0000-3500-000007000000}" name="USD" dataDxfId="117"/>
    <tableColumn id="8" xr3:uid="{00000000-0010-0000-3500-000008000000}" name="IVA 21%" dataDxfId="116"/>
    <tableColumn id="9" xr3:uid="{00000000-0010-0000-3500-000009000000}" name="IVA 10,5%" dataDxfId="115"/>
    <tableColumn id="10" xr3:uid="{00000000-0010-0000-3500-00000A000000}" name="TIPO DE CAMBIO" dataDxfId="114"/>
    <tableColumn id="11" xr3:uid="{00000000-0010-0000-3500-00000B000000}" name="TOTAL" dataDxfId="113"/>
    <tableColumn id="12" xr3:uid="{00000000-0010-0000-3500-00000C000000}" name="Provincia" dataDxfId="112"/>
  </tableColumns>
  <tableStyleInfo name="Oct-24-style 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8:R42" totalsRowCount="1" headerRowDxfId="111">
  <autoFilter ref="B8:R41" xr:uid="{00000000-0009-0000-0100-000037000000}"/>
  <tableColumns count="17">
    <tableColumn id="1" xr3:uid="{00000000-0010-0000-3600-000001000000}" name="FECHA" totalsRowDxfId="110"/>
    <tableColumn id="2" xr3:uid="{00000000-0010-0000-3600-000002000000}" name="TIPO" totalsRowDxfId="109"/>
    <tableColumn id="3" xr3:uid="{00000000-0010-0000-3600-000003000000}" name="PTO VTA" totalsRowDxfId="108"/>
    <tableColumn id="4" xr3:uid="{00000000-0010-0000-3600-000004000000}" name="NRO. CPTE" totalsRowDxfId="107"/>
    <tableColumn id="5" xr3:uid="{00000000-0010-0000-3600-000005000000}" name="CUIT" totalsRowDxfId="106"/>
    <tableColumn id="6" xr3:uid="{00000000-0010-0000-3600-000006000000}" name="RAZON SOCIAL" totalsRowDxfId="105"/>
    <tableColumn id="7" xr3:uid="{00000000-0010-0000-3600-000007000000}" name="NETO GRAVADO" totalsRowFunction="sum" totalsRowDxfId="104" dataCellStyle="Millares"/>
    <tableColumn id="8" xr3:uid="{00000000-0010-0000-3600-000008000000}" name="IVA 21 %" totalsRowFunction="sum" totalsRowDxfId="103" dataCellStyle="Millares"/>
    <tableColumn id="9" xr3:uid="{00000000-0010-0000-3600-000009000000}" name="IVA 27%" totalsRowFunction="sum" totalsRowDxfId="102" dataCellStyle="Millares"/>
    <tableColumn id="10" xr3:uid="{00000000-0010-0000-3600-00000A000000}" name="IVA 10,5%" totalsRowFunction="sum" totalsRowDxfId="101" dataCellStyle="Millares"/>
    <tableColumn id="11" xr3:uid="{00000000-0010-0000-3600-00000B000000}" name="PERC. IVA" totalsRowFunction="sum" totalsRowDxfId="100" dataCellStyle="Millares"/>
    <tableColumn id="12" xr3:uid="{00000000-0010-0000-3600-00000C000000}" name="PERC IIBB _x000a_BS AS" totalsRowFunction="sum" totalsRowDxfId="99" dataCellStyle="Millares"/>
    <tableColumn id="13" xr3:uid="{00000000-0010-0000-3600-00000D000000}" name="PERC. IIBB CABA" totalsRowFunction="sum" totalsRowDxfId="98" dataCellStyle="Millares"/>
    <tableColumn id="14" xr3:uid="{00000000-0010-0000-3600-00000E000000}" name="Otros / No Grav." totalsRowFunction="sum" totalsRowDxfId="97" dataCellStyle="Millares"/>
    <tableColumn id="15" xr3:uid="{00000000-0010-0000-3600-00000F000000}" name="TOTAL" totalsRowFunction="sum" totalsRowDxfId="96" dataCellStyle="Millares"/>
    <tableColumn id="16" xr3:uid="{00000000-0010-0000-3600-000010000000}" name="Tipo de Gasto" totalsRowFunction="sum" totalsRowDxfId="95"/>
    <tableColumn id="17" xr3:uid="{00000000-0010-0000-3600-000011000000}" name="Provincia" totalsRowFunction="sum" totalsRowDxfId="94"/>
  </tableColumns>
  <tableStyleInfo name="TableStyleLight8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D47:L51">
  <tableColumns count="9">
    <tableColumn id="1" xr3:uid="{00000000-0010-0000-3700-000001000000}" name="FECHA"/>
    <tableColumn id="2" xr3:uid="{00000000-0010-0000-3700-000002000000}" name="NRO CPTE"/>
    <tableColumn id="3" xr3:uid="{00000000-0010-0000-3700-000003000000}" name="BANCO"/>
    <tableColumn id="4" xr3:uid="{00000000-0010-0000-3700-000004000000}" name="NETO"/>
    <tableColumn id="5" xr3:uid="{00000000-0010-0000-3700-000005000000}" name="IVA 21%"/>
    <tableColumn id="6" xr3:uid="{00000000-0010-0000-3700-000006000000}" name="IVA 10,5%"/>
    <tableColumn id="7" xr3:uid="{00000000-0010-0000-3700-000007000000}" name="RET IIBB CABA"/>
    <tableColumn id="8" xr3:uid="{00000000-0010-0000-3700-000008000000}" name="PERC IVA"/>
    <tableColumn id="9" xr3:uid="{00000000-0010-0000-3700-000009000000}" name="PERC IIBB"/>
  </tableColumns>
  <tableStyleInfo name="Dic-24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D56:K73">
  <tableColumns count="8">
    <tableColumn id="1" xr3:uid="{00000000-0010-0000-3800-000001000000}" name="FECHA"/>
    <tableColumn id="2" xr3:uid="{00000000-0010-0000-3800-000002000000}" name="PTO VTA"/>
    <tableColumn id="3" xr3:uid="{00000000-0010-0000-3800-000003000000}" name="FC Nº"/>
    <tableColumn id="4" xr3:uid="{00000000-0010-0000-3800-000004000000}" name="CUIT"/>
    <tableColumn id="5" xr3:uid="{00000000-0010-0000-3800-000005000000}" name="RAZON SOCIAL"/>
    <tableColumn id="6" xr3:uid="{00000000-0010-0000-3800-000006000000}" name="TOTAL"/>
    <tableColumn id="7" xr3:uid="{00000000-0010-0000-3800-000007000000}" name="TIPO DE GASTO"/>
    <tableColumn id="8" xr3:uid="{00000000-0010-0000-3800-000008000000}" name="Provincia"/>
  </tableColumns>
  <tableStyleInfo name="Dic-24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82:M92" totalsRowCount="1">
  <tableColumns count="12">
    <tableColumn id="1" xr3:uid="{00000000-0010-0000-3900-000001000000}" name="FECHA"/>
    <tableColumn id="2" xr3:uid="{00000000-0010-0000-3900-000002000000}" name="TIPO"/>
    <tableColumn id="3" xr3:uid="{00000000-0010-0000-3900-000003000000}" name="PTO VENTA"/>
    <tableColumn id="4" xr3:uid="{00000000-0010-0000-3900-000004000000}" name="Nº FACTURA"/>
    <tableColumn id="5" xr3:uid="{00000000-0010-0000-3900-000005000000}" name="CUIT"/>
    <tableColumn id="6" xr3:uid="{00000000-0010-0000-3900-000006000000}" name="RAZON SOCIAL"/>
    <tableColumn id="7" xr3:uid="{00000000-0010-0000-3900-000007000000}" name="IMPORTE NETO" totalsRowFunction="sum"/>
    <tableColumn id="8" xr3:uid="{00000000-0010-0000-3900-000008000000}" name="IVA 21%" totalsRowFunction="sum"/>
    <tableColumn id="9" xr3:uid="{00000000-0010-0000-3900-000009000000}" name="IVA 10,5%" totalsRowFunction="sum"/>
    <tableColumn id="10" xr3:uid="{00000000-0010-0000-3900-00000A000000}" name="EXENTO" totalsRowFunction="sum"/>
    <tableColumn id="11" xr3:uid="{00000000-0010-0000-3900-00000B000000}" name="TOTAL" totalsRowFunction="sum"/>
    <tableColumn id="12" xr3:uid="{00000000-0010-0000-3900-00000C000000}" name="Provincia" totalsRowFunction="sum"/>
  </tableColumns>
  <tableStyleInfo name="Dic-24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95:M102">
  <tableColumns count="12">
    <tableColumn id="1" xr3:uid="{00000000-0010-0000-3A00-000001000000}" name="FECHA"/>
    <tableColumn id="2" xr3:uid="{00000000-0010-0000-3A00-000002000000}" name="TIPO"/>
    <tableColumn id="3" xr3:uid="{00000000-0010-0000-3A00-000003000000}" name="PTO VENTA"/>
    <tableColumn id="4" xr3:uid="{00000000-0010-0000-3A00-000004000000}" name="Nº FACTURA"/>
    <tableColumn id="5" xr3:uid="{00000000-0010-0000-3A00-000005000000}" name="CUIT"/>
    <tableColumn id="6" xr3:uid="{00000000-0010-0000-3A00-000006000000}" name="RAZON SOCIAL"/>
    <tableColumn id="7" xr3:uid="{00000000-0010-0000-3A00-000007000000}" name="IMPORTE NETO"/>
    <tableColumn id="8" xr3:uid="{00000000-0010-0000-3A00-000008000000}" name="IVA 21%"/>
    <tableColumn id="9" xr3:uid="{00000000-0010-0000-3A00-000009000000}" name="IVA 10,5%"/>
    <tableColumn id="10" xr3:uid="{00000000-0010-0000-3A00-00000A000000}" name="EXENTO"/>
    <tableColumn id="11" xr3:uid="{00000000-0010-0000-3A00-00000B000000}" name="TOTAL"/>
    <tableColumn id="12" xr3:uid="{00000000-0010-0000-3A00-00000C000000}" name="Provincia"/>
  </tableColumns>
  <tableStyleInfo name="Dic-24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05:M109">
  <tableColumns count="12">
    <tableColumn id="1" xr3:uid="{00000000-0010-0000-3B00-000001000000}" name="FECHA"/>
    <tableColumn id="2" xr3:uid="{00000000-0010-0000-3B00-000002000000}" name="TIPO"/>
    <tableColumn id="3" xr3:uid="{00000000-0010-0000-3B00-000003000000}" name="PTO VENTA"/>
    <tableColumn id="4" xr3:uid="{00000000-0010-0000-3B00-000004000000}" name="Nº FACTURA"/>
    <tableColumn id="5" xr3:uid="{00000000-0010-0000-3B00-000005000000}" name="CUIT"/>
    <tableColumn id="6" xr3:uid="{00000000-0010-0000-3B00-000006000000}" name="RAZON SOCIAL"/>
    <tableColumn id="7" xr3:uid="{00000000-0010-0000-3B00-000007000000}" name="USD"/>
    <tableColumn id="8" xr3:uid="{00000000-0010-0000-3B00-000008000000}" name="IVA 21%"/>
    <tableColumn id="9" xr3:uid="{00000000-0010-0000-3B00-000009000000}" name="Columna1"/>
    <tableColumn id="10" xr3:uid="{00000000-0010-0000-3B00-00000A000000}" name="TIPO DE CAMBIO2"/>
    <tableColumn id="11" xr3:uid="{00000000-0010-0000-3B00-00000B000000}" name="TOTAL"/>
    <tableColumn id="12" xr3:uid="{00000000-0010-0000-3B00-00000C000000}" name="PAIS"/>
  </tableColumns>
  <tableStyleInfo name="Dic-24-style 6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C117:L122">
  <tableColumns count="10">
    <tableColumn id="1" xr3:uid="{00000000-0010-0000-3C00-000001000000}" name="FECHA "/>
    <tableColumn id="2" xr3:uid="{00000000-0010-0000-3C00-000002000000}" name="COMP Nº"/>
    <tableColumn id="3" xr3:uid="{00000000-0010-0000-3C00-000003000000}" name="Columna1"/>
    <tableColumn id="4" xr3:uid="{00000000-0010-0000-3C00-000004000000}" name="CUIT"/>
    <tableColumn id="5" xr3:uid="{00000000-0010-0000-3C00-000005000000}" name="RAZON SOCIAL"/>
    <tableColumn id="6" xr3:uid="{00000000-0010-0000-3C00-000006000000}" name="Ganancias"/>
    <tableColumn id="7" xr3:uid="{00000000-0010-0000-3C00-000007000000}" name="IVA"/>
    <tableColumn id="8" xr3:uid="{00000000-0010-0000-3C00-000008000000}" name="SUSS"/>
    <tableColumn id="9" xr3:uid="{00000000-0010-0000-3C00-000009000000}" name="IIBB BSAS"/>
    <tableColumn id="10" xr3:uid="{00000000-0010-0000-3C00-00000A000000}" name="IIBB CABA"/>
  </tableColumns>
  <tableStyleInfo name="Dic-24-style 7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8:R32">
  <autoFilter ref="B8:R32" xr:uid="{00000000-0009-0000-0100-00003E000000}"/>
  <tableColumns count="17">
    <tableColumn id="1" xr3:uid="{00000000-0010-0000-3D00-000001000000}" name="FECHA"/>
    <tableColumn id="2" xr3:uid="{00000000-0010-0000-3D00-000002000000}" name="TIPO"/>
    <tableColumn id="3" xr3:uid="{00000000-0010-0000-3D00-000003000000}" name="PTO VTA"/>
    <tableColumn id="4" xr3:uid="{00000000-0010-0000-3D00-000004000000}" name="NRO. CPTE"/>
    <tableColumn id="5" xr3:uid="{00000000-0010-0000-3D00-000005000000}" name="CUIT"/>
    <tableColumn id="6" xr3:uid="{00000000-0010-0000-3D00-000006000000}" name="RAZON SOCIAL"/>
    <tableColumn id="7" xr3:uid="{00000000-0010-0000-3D00-000007000000}" name="NETO GRAVADO"/>
    <tableColumn id="8" xr3:uid="{00000000-0010-0000-3D00-000008000000}" name="IVA 21 %"/>
    <tableColumn id="9" xr3:uid="{00000000-0010-0000-3D00-000009000000}" name="IVA 27%"/>
    <tableColumn id="10" xr3:uid="{00000000-0010-0000-3D00-00000A000000}" name="IVA 10,5%"/>
    <tableColumn id="11" xr3:uid="{00000000-0010-0000-3D00-00000B000000}" name="PERC. IVA"/>
    <tableColumn id="12" xr3:uid="{00000000-0010-0000-3D00-00000C000000}" name="PERC IIBB _x000a_BS AS"/>
    <tableColumn id="13" xr3:uid="{00000000-0010-0000-3D00-00000D000000}" name="PERC. IIBB CABA"/>
    <tableColumn id="14" xr3:uid="{00000000-0010-0000-3D00-00000E000000}" name="Otros / No Grav."/>
    <tableColumn id="15" xr3:uid="{00000000-0010-0000-3D00-00000F000000}" name="TOTAL"/>
    <tableColumn id="16" xr3:uid="{00000000-0010-0000-3D00-000010000000}" name="Tipo de Gasto"/>
    <tableColumn id="17" xr3:uid="{00000000-0010-0000-3D00-000011000000}" name="Provincia"/>
  </tableColumns>
  <tableStyleInfo name="Ene-25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D38:L42">
  <tableColumns count="9">
    <tableColumn id="1" xr3:uid="{00000000-0010-0000-3E00-000001000000}" name="FECHA"/>
    <tableColumn id="2" xr3:uid="{00000000-0010-0000-3E00-000002000000}" name="NRO CPTE"/>
    <tableColumn id="3" xr3:uid="{00000000-0010-0000-3E00-000003000000}" name="BANCO"/>
    <tableColumn id="4" xr3:uid="{00000000-0010-0000-3E00-000004000000}" name="NETO"/>
    <tableColumn id="5" xr3:uid="{00000000-0010-0000-3E00-000005000000}" name="IVA 21%"/>
    <tableColumn id="6" xr3:uid="{00000000-0010-0000-3E00-000006000000}" name="IVA 10,5%"/>
    <tableColumn id="7" xr3:uid="{00000000-0010-0000-3E00-000007000000}" name="RET IIBB CABA"/>
    <tableColumn id="8" xr3:uid="{00000000-0010-0000-3E00-000008000000}" name="PERC IVA"/>
    <tableColumn id="9" xr3:uid="{00000000-0010-0000-3E00-000009000000}" name="PERC IIBB"/>
  </tableColumns>
  <tableStyleInfo name="Ene-25-style 2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D47:K62">
  <tableColumns count="8">
    <tableColumn id="1" xr3:uid="{00000000-0010-0000-3F00-000001000000}" name="FECHA"/>
    <tableColumn id="2" xr3:uid="{00000000-0010-0000-3F00-000002000000}" name="PTO VTA"/>
    <tableColumn id="3" xr3:uid="{00000000-0010-0000-3F00-000003000000}" name="FC Nº"/>
    <tableColumn id="4" xr3:uid="{00000000-0010-0000-3F00-000004000000}" name="CUIT"/>
    <tableColumn id="5" xr3:uid="{00000000-0010-0000-3F00-000005000000}" name="RAZON SOCIAL"/>
    <tableColumn id="6" xr3:uid="{00000000-0010-0000-3F00-000006000000}" name="TOTAL"/>
    <tableColumn id="7" xr3:uid="{00000000-0010-0000-3F00-000007000000}" name="TIPO DE GASTO"/>
    <tableColumn id="8" xr3:uid="{00000000-0010-0000-3F00-000008000000}" name="Provincia"/>
  </tableColumns>
  <tableStyleInfo name="Ene-25-style 3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71:M81">
  <tableColumns count="12">
    <tableColumn id="1" xr3:uid="{00000000-0010-0000-4000-000001000000}" name="FECHA"/>
    <tableColumn id="2" xr3:uid="{00000000-0010-0000-4000-000002000000}" name="TIPO"/>
    <tableColumn id="3" xr3:uid="{00000000-0010-0000-4000-000003000000}" name="PTO VENTA"/>
    <tableColumn id="4" xr3:uid="{00000000-0010-0000-4000-000004000000}" name="Nº FACTURA"/>
    <tableColumn id="5" xr3:uid="{00000000-0010-0000-4000-000005000000}" name="CUIT"/>
    <tableColumn id="6" xr3:uid="{00000000-0010-0000-4000-000006000000}" name="RAZON SOCIAL"/>
    <tableColumn id="7" xr3:uid="{00000000-0010-0000-4000-000007000000}" name="IMPORTE NETO"/>
    <tableColumn id="8" xr3:uid="{00000000-0010-0000-4000-000008000000}" name="IVA 21%"/>
    <tableColumn id="9" xr3:uid="{00000000-0010-0000-4000-000009000000}" name="IVA 10,5%"/>
    <tableColumn id="10" xr3:uid="{00000000-0010-0000-4000-00000A000000}" name="EXENTO"/>
    <tableColumn id="11" xr3:uid="{00000000-0010-0000-4000-00000B000000}" name="TOTAL"/>
    <tableColumn id="12" xr3:uid="{00000000-0010-0000-4000-00000C000000}" name="Provincia"/>
  </tableColumns>
  <tableStyleInfo name="Ene-25-style 4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85:M92">
  <tableColumns count="12">
    <tableColumn id="1" xr3:uid="{00000000-0010-0000-4100-000001000000}" name="FECHA"/>
    <tableColumn id="2" xr3:uid="{00000000-0010-0000-4100-000002000000}" name="TIPO"/>
    <tableColumn id="3" xr3:uid="{00000000-0010-0000-4100-000003000000}" name="PTO VENTA"/>
    <tableColumn id="4" xr3:uid="{00000000-0010-0000-4100-000004000000}" name="Nº FACTURA"/>
    <tableColumn id="5" xr3:uid="{00000000-0010-0000-4100-000005000000}" name="CUIT"/>
    <tableColumn id="6" xr3:uid="{00000000-0010-0000-4100-000006000000}" name="RAZON SOCIAL"/>
    <tableColumn id="7" xr3:uid="{00000000-0010-0000-4100-000007000000}" name="IMPORTE NETO"/>
    <tableColumn id="8" xr3:uid="{00000000-0010-0000-4100-000008000000}" name="IVA 21%"/>
    <tableColumn id="9" xr3:uid="{00000000-0010-0000-4100-000009000000}" name="IVA 10,5%"/>
    <tableColumn id="10" xr3:uid="{00000000-0010-0000-4100-00000A000000}" name="EXENTO"/>
    <tableColumn id="11" xr3:uid="{00000000-0010-0000-4100-00000B000000}" name="TOTAL"/>
    <tableColumn id="12" xr3:uid="{00000000-0010-0000-4100-00000C000000}" name="Provincia"/>
  </tableColumns>
  <tableStyleInfo name="Ene-25-style 5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C112:L117">
  <tableColumns count="10">
    <tableColumn id="1" xr3:uid="{00000000-0010-0000-4200-000001000000}" name="FECHA "/>
    <tableColumn id="2" xr3:uid="{00000000-0010-0000-4200-000002000000}" name="COMP Nº"/>
    <tableColumn id="3" xr3:uid="{00000000-0010-0000-4200-000003000000}" name="Columna1"/>
    <tableColumn id="4" xr3:uid="{00000000-0010-0000-4200-000004000000}" name="CUIT"/>
    <tableColumn id="5" xr3:uid="{00000000-0010-0000-4200-000005000000}" name="RAZON SOCIAL"/>
    <tableColumn id="6" xr3:uid="{00000000-0010-0000-4200-000006000000}" name="Ganancias"/>
    <tableColumn id="7" xr3:uid="{00000000-0010-0000-4200-000007000000}" name="IVA"/>
    <tableColumn id="8" xr3:uid="{00000000-0010-0000-4200-000008000000}" name="SUSS"/>
    <tableColumn id="9" xr3:uid="{00000000-0010-0000-4200-000009000000}" name="IIBB BSAS"/>
    <tableColumn id="10" xr3:uid="{00000000-0010-0000-4200-00000A000000}" name="IIBB CABA"/>
  </tableColumns>
  <tableStyleInfo name="Ene-25-style 6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Table_6083" displayName="Table_6083" ref="B95:M98">
  <tableColumns count="12">
    <tableColumn id="1" xr3:uid="{00000000-0010-0000-4300-000001000000}" name="FECHA"/>
    <tableColumn id="2" xr3:uid="{00000000-0010-0000-4300-000002000000}" name="TIPO"/>
    <tableColumn id="3" xr3:uid="{00000000-0010-0000-4300-000003000000}" name="PTO VENTA"/>
    <tableColumn id="4" xr3:uid="{00000000-0010-0000-4300-000004000000}" name="Nº FACTURA"/>
    <tableColumn id="5" xr3:uid="{00000000-0010-0000-4300-000005000000}" name="CUIT"/>
    <tableColumn id="6" xr3:uid="{00000000-0010-0000-4300-000006000000}" name="RAZON SOCIAL"/>
    <tableColumn id="7" xr3:uid="{00000000-0010-0000-4300-000007000000}" name="USD"/>
    <tableColumn id="8" xr3:uid="{00000000-0010-0000-4300-000008000000}" name="IVA 21%"/>
    <tableColumn id="9" xr3:uid="{00000000-0010-0000-4300-000009000000}" name="Columna1"/>
    <tableColumn id="10" xr3:uid="{00000000-0010-0000-4300-00000A000000}" name="TIPO DE CAMBIO2"/>
    <tableColumn id="11" xr3:uid="{00000000-0010-0000-4300-00000B000000}" name="TOTAL"/>
    <tableColumn id="12" xr3:uid="{00000000-0010-0000-4300-00000C000000}" name="PAIS"/>
  </tableColumns>
  <tableStyleInfo name="Dic-24-style 6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4000000}" name="Table_68" displayName="Table_68" ref="B8:R35" headerRowDxfId="93" totalsRowDxfId="90" headerRowBorderDxfId="92" tableBorderDxfId="91">
  <autoFilter ref="B8:R35" xr:uid="{00000000-000C-0000-FFFF-FFFF44000000}"/>
  <tableColumns count="17">
    <tableColumn id="1" xr3:uid="{00000000-0010-0000-4400-000001000000}" name="FECHA" dataDxfId="89"/>
    <tableColumn id="2" xr3:uid="{00000000-0010-0000-4400-000002000000}" name="TIPO" dataDxfId="88"/>
    <tableColumn id="3" xr3:uid="{00000000-0010-0000-4400-000003000000}" name="PTO VTA" dataDxfId="87"/>
    <tableColumn id="4" xr3:uid="{00000000-0010-0000-4400-000004000000}" name="NRO. CPTE" dataDxfId="86"/>
    <tableColumn id="5" xr3:uid="{00000000-0010-0000-4400-000005000000}" name="CUIT" dataDxfId="85"/>
    <tableColumn id="6" xr3:uid="{00000000-0010-0000-4400-000006000000}" name="RAZON SOCIAL" dataDxfId="84"/>
    <tableColumn id="7" xr3:uid="{00000000-0010-0000-4400-000007000000}" name="NETO GRAVADO" dataDxfId="83"/>
    <tableColumn id="8" xr3:uid="{00000000-0010-0000-4400-000008000000}" name="IVA 21 %" dataDxfId="82"/>
    <tableColumn id="9" xr3:uid="{00000000-0010-0000-4400-000009000000}" name="IVA 27%" dataDxfId="81"/>
    <tableColumn id="10" xr3:uid="{00000000-0010-0000-4400-00000A000000}" name="IVA 10,5%" dataDxfId="80"/>
    <tableColumn id="11" xr3:uid="{00000000-0010-0000-4400-00000B000000}" name="PERC. IVA" dataDxfId="79"/>
    <tableColumn id="12" xr3:uid="{00000000-0010-0000-4400-00000C000000}" name="PERC IIBB _x000a_BS AS" dataDxfId="78"/>
    <tableColumn id="13" xr3:uid="{00000000-0010-0000-4400-00000D000000}" name="PERC. IIBB CABA" dataDxfId="77"/>
    <tableColumn id="14" xr3:uid="{00000000-0010-0000-4400-00000E000000}" name="Otros / No Grav." dataDxfId="76"/>
    <tableColumn id="15" xr3:uid="{00000000-0010-0000-4400-00000F000000}" name="TOTAL" dataDxfId="75"/>
    <tableColumn id="16" xr3:uid="{00000000-0010-0000-4400-000010000000}" name="Tipo de Gasto" dataDxfId="74"/>
    <tableColumn id="17" xr3:uid="{00000000-0010-0000-4400-000011000000}" name="Provincia" dataDxfId="73"/>
  </tableColumns>
  <tableStyleInfo name="Feb-25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5000000}" name="Table_69" displayName="Table_69" ref="D41:L51" headerRowDxfId="72" totalsRowDxfId="69" headerRowBorderDxfId="71" tableBorderDxfId="70">
  <tableColumns count="9">
    <tableColumn id="1" xr3:uid="{00000000-0010-0000-4500-000001000000}" name="FECHA" dataDxfId="68"/>
    <tableColumn id="2" xr3:uid="{00000000-0010-0000-4500-000002000000}" name="NRO CPTE" dataDxfId="67"/>
    <tableColumn id="3" xr3:uid="{00000000-0010-0000-4500-000003000000}" name="BANCO" dataDxfId="66"/>
    <tableColumn id="4" xr3:uid="{00000000-0010-0000-4500-000004000000}" name="NETO" dataDxfId="65"/>
    <tableColumn id="5" xr3:uid="{00000000-0010-0000-4500-000005000000}" name="IVA 21%" dataDxfId="64"/>
    <tableColumn id="6" xr3:uid="{00000000-0010-0000-4500-000006000000}" name="IVA 10,5%" dataDxfId="63"/>
    <tableColumn id="7" xr3:uid="{00000000-0010-0000-4500-000007000000}" name="RET IIBB CABA" dataDxfId="62"/>
    <tableColumn id="8" xr3:uid="{00000000-0010-0000-4500-000008000000}" name="PERC IVA" dataDxfId="61"/>
    <tableColumn id="9" xr3:uid="{00000000-0010-0000-4500-000009000000}" name="PERC IIBB" dataDxfId="60"/>
  </tableColumns>
  <tableStyleInfo name="Feb-25-style 2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6000000}" name="Table_70" displayName="Table_70" ref="D56:K72" headerRowDxfId="59" totalsRowDxfId="56" headerRowBorderDxfId="58" tableBorderDxfId="57">
  <autoFilter ref="D56:K72" xr:uid="{00000000-000C-0000-FFFF-FFFF46000000}"/>
  <tableColumns count="8">
    <tableColumn id="1" xr3:uid="{00000000-0010-0000-4600-000001000000}" name="FECHA" dataDxfId="55"/>
    <tableColumn id="2" xr3:uid="{00000000-0010-0000-4600-000002000000}" name="PTO VTA" dataDxfId="54"/>
    <tableColumn id="3" xr3:uid="{00000000-0010-0000-4600-000003000000}" name="FC Nº" dataDxfId="53"/>
    <tableColumn id="4" xr3:uid="{00000000-0010-0000-4600-000004000000}" name="CUIT" dataDxfId="52"/>
    <tableColumn id="5" xr3:uid="{00000000-0010-0000-4600-000005000000}" name="RAZON SOCIAL" dataDxfId="51"/>
    <tableColumn id="6" xr3:uid="{00000000-0010-0000-4600-000006000000}" name="TOTAL" dataDxfId="50"/>
    <tableColumn id="7" xr3:uid="{00000000-0010-0000-4600-000007000000}" name="TIPO DE GASTO" dataDxfId="49"/>
    <tableColumn id="8" xr3:uid="{00000000-0010-0000-4600-000008000000}" name="Provincia" dataDxfId="48"/>
  </tableColumns>
  <tableStyleInfo name="Feb-25-style 3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7000000}" name="Table_71" displayName="Table_71" ref="B81:M91" headerRowDxfId="47" totalsRowDxfId="44" headerRowBorderDxfId="46" tableBorderDxfId="45">
  <tableColumns count="12">
    <tableColumn id="1" xr3:uid="{00000000-0010-0000-4700-000001000000}" name="FECHA" dataDxfId="43"/>
    <tableColumn id="2" xr3:uid="{00000000-0010-0000-4700-000002000000}" name="TIPO" dataDxfId="42"/>
    <tableColumn id="3" xr3:uid="{00000000-0010-0000-4700-000003000000}" name="PTO VENTA" dataDxfId="41"/>
    <tableColumn id="4" xr3:uid="{00000000-0010-0000-4700-000004000000}" name="Nº FACTURA" dataDxfId="40"/>
    <tableColumn id="5" xr3:uid="{00000000-0010-0000-4700-000005000000}" name="CUIT" dataDxfId="39"/>
    <tableColumn id="6" xr3:uid="{00000000-0010-0000-4700-000006000000}" name="RAZON SOCIAL" dataDxfId="38"/>
    <tableColumn id="7" xr3:uid="{00000000-0010-0000-4700-000007000000}" name="IMPORTE NETO" dataDxfId="37"/>
    <tableColumn id="8" xr3:uid="{00000000-0010-0000-4700-000008000000}" name="IVA 21%" dataDxfId="36"/>
    <tableColumn id="9" xr3:uid="{00000000-0010-0000-4700-000009000000}" name="IVA 10,5%" dataDxfId="35"/>
    <tableColumn id="10" xr3:uid="{00000000-0010-0000-4700-00000A000000}" name="EXENTO" dataDxfId="34"/>
    <tableColumn id="11" xr3:uid="{00000000-0010-0000-4700-00000B000000}" name="TOTAL" dataDxfId="33"/>
    <tableColumn id="12" xr3:uid="{00000000-0010-0000-4700-00000C000000}" name="Provincia" dataDxfId="32"/>
  </tableColumns>
  <tableStyleInfo name="Feb-25-style 4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8000000}" name="Table_72" displayName="Table_72" ref="B95:M102" headerRowDxfId="31" totalsRowDxfId="28" headerRowBorderDxfId="30" tableBorderDxfId="29">
  <tableColumns count="12">
    <tableColumn id="1" xr3:uid="{00000000-0010-0000-4800-000001000000}" name="FECHA" dataDxfId="27"/>
    <tableColumn id="2" xr3:uid="{00000000-0010-0000-4800-000002000000}" name="TIPO" dataDxfId="26"/>
    <tableColumn id="3" xr3:uid="{00000000-0010-0000-4800-000003000000}" name="PTO VENTA" dataDxfId="25"/>
    <tableColumn id="4" xr3:uid="{00000000-0010-0000-4800-000004000000}" name="Nº FACTURA" dataDxfId="24"/>
    <tableColumn id="5" xr3:uid="{00000000-0010-0000-4800-000005000000}" name="CUIT" dataDxfId="23"/>
    <tableColumn id="6" xr3:uid="{00000000-0010-0000-4800-000006000000}" name="RAZON SOCIAL" dataDxfId="22"/>
    <tableColumn id="7" xr3:uid="{00000000-0010-0000-4800-000007000000}" name="IMPORTE NETO" dataDxfId="21"/>
    <tableColumn id="8" xr3:uid="{00000000-0010-0000-4800-000008000000}" name="IVA 21%" dataDxfId="20"/>
    <tableColumn id="9" xr3:uid="{00000000-0010-0000-4800-000009000000}" name="IVA 10,5%" dataDxfId="19"/>
    <tableColumn id="10" xr3:uid="{00000000-0010-0000-4800-00000A000000}" name="EXENTO" dataDxfId="18"/>
    <tableColumn id="11" xr3:uid="{00000000-0010-0000-4800-00000B000000}" name="TOTAL" dataDxfId="17"/>
    <tableColumn id="12" xr3:uid="{00000000-0010-0000-4800-00000C000000}" name="Provincia" dataDxfId="16"/>
  </tableColumns>
  <tableStyleInfo name="Feb-25-style 5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9000000}" name="Table_73" displayName="Table_73" ref="B107:M111" headerRowDxfId="15" totalsRowDxfId="12" headerRowBorderDxfId="14" tableBorderDxfId="13">
  <tableColumns count="12">
    <tableColumn id="1" xr3:uid="{00000000-0010-0000-4900-000001000000}" name="FECHA" dataDxfId="11"/>
    <tableColumn id="2" xr3:uid="{00000000-0010-0000-4900-000002000000}" name="TIPO" dataDxfId="10"/>
    <tableColumn id="3" xr3:uid="{00000000-0010-0000-4900-000003000000}" name="PTO VENTA" dataDxfId="9"/>
    <tableColumn id="4" xr3:uid="{00000000-0010-0000-4900-000004000000}" name="Nº FACTURA" dataDxfId="8"/>
    <tableColumn id="5" xr3:uid="{00000000-0010-0000-4900-000005000000}" name="CUIT" dataDxfId="7"/>
    <tableColumn id="6" xr3:uid="{00000000-0010-0000-4900-000006000000}" name="RAZON SOCIAL" dataDxfId="6"/>
    <tableColumn id="7" xr3:uid="{00000000-0010-0000-4900-000007000000}" name="USD" dataDxfId="5"/>
    <tableColumn id="8" xr3:uid="{00000000-0010-0000-4900-000008000000}" name="IVA 21%" dataDxfId="4"/>
    <tableColumn id="9" xr3:uid="{00000000-0010-0000-4900-000009000000}" name="Columna1" dataDxfId="3"/>
    <tableColumn id="10" xr3:uid="{00000000-0010-0000-4900-00000A000000}" name="TIPO DE CAMBIO2" dataDxfId="2"/>
    <tableColumn id="11" xr3:uid="{00000000-0010-0000-4900-00000B000000}" name="TOTAL" dataDxfId="1"/>
    <tableColumn id="12" xr3:uid="{00000000-0010-0000-4900-00000C000000}" name="PAIS" dataDxfId="0"/>
  </tableColumns>
  <tableStyleInfo name="Feb-25-style 6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A000000}" name="Table_74" displayName="Table_74" ref="C117:L122">
  <tableColumns count="10">
    <tableColumn id="1" xr3:uid="{00000000-0010-0000-4A00-000001000000}" name="FECHA "/>
    <tableColumn id="2" xr3:uid="{00000000-0010-0000-4A00-000002000000}" name="COMP Nº"/>
    <tableColumn id="3" xr3:uid="{00000000-0010-0000-4A00-000003000000}" name="Columna1"/>
    <tableColumn id="4" xr3:uid="{00000000-0010-0000-4A00-000004000000}" name="CUIT"/>
    <tableColumn id="5" xr3:uid="{00000000-0010-0000-4A00-000005000000}" name="RAZON SOCIAL"/>
    <tableColumn id="6" xr3:uid="{00000000-0010-0000-4A00-000006000000}" name="Ganancias"/>
    <tableColumn id="7" xr3:uid="{00000000-0010-0000-4A00-000007000000}" name="IVA"/>
    <tableColumn id="8" xr3:uid="{00000000-0010-0000-4A00-000008000000}" name="SUSS"/>
    <tableColumn id="9" xr3:uid="{00000000-0010-0000-4A00-000009000000}" name="IIBB BSAS"/>
    <tableColumn id="10" xr3:uid="{00000000-0010-0000-4A00-00000A000000}" name="IIBB CABA"/>
  </tableColumns>
  <tableStyleInfo name="Feb-25-style 7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B000000}" name="Table_75" displayName="Table_75" ref="B8:R39">
  <autoFilter ref="B8:R39" xr:uid="{00000000-000C-0000-FFFF-FFFF4B000000}"/>
  <tableColumns count="17">
    <tableColumn id="1" xr3:uid="{00000000-0010-0000-4B00-000001000000}" name="FECHA"/>
    <tableColumn id="2" xr3:uid="{00000000-0010-0000-4B00-000002000000}" name="TIPO"/>
    <tableColumn id="3" xr3:uid="{00000000-0010-0000-4B00-000003000000}" name="PTO VTA"/>
    <tableColumn id="4" xr3:uid="{00000000-0010-0000-4B00-000004000000}" name="NRO. CPTE"/>
    <tableColumn id="5" xr3:uid="{00000000-0010-0000-4B00-000005000000}" name="CUIT"/>
    <tableColumn id="6" xr3:uid="{00000000-0010-0000-4B00-000006000000}" name="RAZON SOCIAL"/>
    <tableColumn id="7" xr3:uid="{00000000-0010-0000-4B00-000007000000}" name="NETO GRAVADO"/>
    <tableColumn id="8" xr3:uid="{00000000-0010-0000-4B00-000008000000}" name="IVA 21 %"/>
    <tableColumn id="9" xr3:uid="{00000000-0010-0000-4B00-000009000000}" name="IVA 27%"/>
    <tableColumn id="10" xr3:uid="{00000000-0010-0000-4B00-00000A000000}" name="IVA 10,5%"/>
    <tableColumn id="11" xr3:uid="{00000000-0010-0000-4B00-00000B000000}" name="PERC. IVA"/>
    <tableColumn id="12" xr3:uid="{00000000-0010-0000-4B00-00000C000000}" name="PERC IIBB _x000a_BS AS"/>
    <tableColumn id="13" xr3:uid="{00000000-0010-0000-4B00-00000D000000}" name="PERC. IIBB CABA"/>
    <tableColumn id="14" xr3:uid="{00000000-0010-0000-4B00-00000E000000}" name="Otros - No Grav."/>
    <tableColumn id="15" xr3:uid="{00000000-0010-0000-4B00-00000F000000}" name="TOTAL"/>
    <tableColumn id="16" xr3:uid="{00000000-0010-0000-4B00-000010000000}" name="Tipo de Gasto"/>
    <tableColumn id="17" xr3:uid="{00000000-0010-0000-4B00-000011000000}" name="Provincia"/>
  </tableColumns>
  <tableStyleInfo name="Mar-25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C000000}" name="Table_76" displayName="Table_76" ref="D45:L54">
  <tableColumns count="9">
    <tableColumn id="1" xr3:uid="{00000000-0010-0000-4C00-000001000000}" name="FECHA"/>
    <tableColumn id="2" xr3:uid="{00000000-0010-0000-4C00-000002000000}" name="NRO CPTE"/>
    <tableColumn id="3" xr3:uid="{00000000-0010-0000-4C00-000003000000}" name="BANCO"/>
    <tableColumn id="4" xr3:uid="{00000000-0010-0000-4C00-000004000000}" name="NETO"/>
    <tableColumn id="5" xr3:uid="{00000000-0010-0000-4C00-000005000000}" name="IVA 21%"/>
    <tableColumn id="6" xr3:uid="{00000000-0010-0000-4C00-000006000000}" name="IVA 10,5%"/>
    <tableColumn id="7" xr3:uid="{00000000-0010-0000-4C00-000007000000}" name="RET IIBB CABA"/>
    <tableColumn id="8" xr3:uid="{00000000-0010-0000-4C00-000008000000}" name="PERC IVA"/>
    <tableColumn id="9" xr3:uid="{00000000-0010-0000-4C00-000009000000}" name="PERC IIBB"/>
  </tableColumns>
  <tableStyleInfo name="Mar-25-style 2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D000000}" name="Table_77" displayName="Table_77" ref="D59:K76">
  <autoFilter ref="D59:K76" xr:uid="{00000000-000C-0000-FFFF-FFFF4D000000}"/>
  <tableColumns count="8">
    <tableColumn id="1" xr3:uid="{00000000-0010-0000-4D00-000001000000}" name="FECHA"/>
    <tableColumn id="2" xr3:uid="{00000000-0010-0000-4D00-000002000000}" name="PTO VTA"/>
    <tableColumn id="3" xr3:uid="{00000000-0010-0000-4D00-000003000000}" name="FC Nº"/>
    <tableColumn id="4" xr3:uid="{00000000-0010-0000-4D00-000004000000}" name="CUIT"/>
    <tableColumn id="5" xr3:uid="{00000000-0010-0000-4D00-000005000000}" name="RAZON SOCIAL"/>
    <tableColumn id="6" xr3:uid="{00000000-0010-0000-4D00-000006000000}" name="TOTAL"/>
    <tableColumn id="7" xr3:uid="{00000000-0010-0000-4D00-000007000000}" name="TIPO DE GASTO"/>
    <tableColumn id="8" xr3:uid="{00000000-0010-0000-4D00-000008000000}" name="Provincia"/>
  </tableColumns>
  <tableStyleInfo name="Mar-25-style 3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E000000}" name="Table_78" displayName="Table_78" ref="B84:M96">
  <tableColumns count="12">
    <tableColumn id="1" xr3:uid="{00000000-0010-0000-4E00-000001000000}" name="FECHA"/>
    <tableColumn id="2" xr3:uid="{00000000-0010-0000-4E00-000002000000}" name="TIPO"/>
    <tableColumn id="3" xr3:uid="{00000000-0010-0000-4E00-000003000000}" name="PTO VENTA"/>
    <tableColumn id="4" xr3:uid="{00000000-0010-0000-4E00-000004000000}" name="Nº FACTURA"/>
    <tableColumn id="5" xr3:uid="{00000000-0010-0000-4E00-000005000000}" name="CUIT"/>
    <tableColumn id="6" xr3:uid="{00000000-0010-0000-4E00-000006000000}" name="RAZON SOCIAL"/>
    <tableColumn id="7" xr3:uid="{00000000-0010-0000-4E00-000007000000}" name="IMPORTE NETO"/>
    <tableColumn id="8" xr3:uid="{00000000-0010-0000-4E00-000008000000}" name="IVA 21%"/>
    <tableColumn id="9" xr3:uid="{00000000-0010-0000-4E00-000009000000}" name="IVA 10,5%"/>
    <tableColumn id="10" xr3:uid="{00000000-0010-0000-4E00-00000A000000}" name="EXENTO"/>
    <tableColumn id="11" xr3:uid="{00000000-0010-0000-4E00-00000B000000}" name="TOTAL"/>
    <tableColumn id="12" xr3:uid="{00000000-0010-0000-4E00-00000C000000}" name="Provincia"/>
  </tableColumns>
  <tableStyleInfo name="Mar-25-style 4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F000000}" name="Table_79" displayName="Table_79" ref="B100:M107">
  <tableColumns count="12">
    <tableColumn id="1" xr3:uid="{00000000-0010-0000-4F00-000001000000}" name="FECHA"/>
    <tableColumn id="2" xr3:uid="{00000000-0010-0000-4F00-000002000000}" name="TIPO"/>
    <tableColumn id="3" xr3:uid="{00000000-0010-0000-4F00-000003000000}" name="PTO VENTA"/>
    <tableColumn id="4" xr3:uid="{00000000-0010-0000-4F00-000004000000}" name="Nº FACTURA"/>
    <tableColumn id="5" xr3:uid="{00000000-0010-0000-4F00-000005000000}" name="CUIT"/>
    <tableColumn id="6" xr3:uid="{00000000-0010-0000-4F00-000006000000}" name="RAZON SOCIAL"/>
    <tableColumn id="7" xr3:uid="{00000000-0010-0000-4F00-000007000000}" name="IMPORTE NETO"/>
    <tableColumn id="8" xr3:uid="{00000000-0010-0000-4F00-000008000000}" name="IVA 21%"/>
    <tableColumn id="9" xr3:uid="{00000000-0010-0000-4F00-000009000000}" name="IVA 10,5%"/>
    <tableColumn id="10" xr3:uid="{00000000-0010-0000-4F00-00000A000000}" name="EXENTO"/>
    <tableColumn id="11" xr3:uid="{00000000-0010-0000-4F00-00000B000000}" name="TOTAL"/>
    <tableColumn id="12" xr3:uid="{00000000-0010-0000-4F00-00000C000000}" name="Provincia"/>
  </tableColumns>
  <tableStyleInfo name="Mar-25-style 5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50000000}" name="Table_80" displayName="Table_80" ref="C116:L121">
  <tableColumns count="10">
    <tableColumn id="1" xr3:uid="{00000000-0010-0000-5000-000001000000}" name="FECHA "/>
    <tableColumn id="2" xr3:uid="{00000000-0010-0000-5000-000002000000}" name="COMP Nº"/>
    <tableColumn id="3" xr3:uid="{00000000-0010-0000-5000-000003000000}" name="Columna1"/>
    <tableColumn id="4" xr3:uid="{00000000-0010-0000-5000-000004000000}" name="CUIT"/>
    <tableColumn id="5" xr3:uid="{00000000-0010-0000-5000-000005000000}" name="RAZON SOCIAL"/>
    <tableColumn id="6" xr3:uid="{00000000-0010-0000-5000-000006000000}" name="Ganancias"/>
    <tableColumn id="7" xr3:uid="{00000000-0010-0000-5000-000007000000}" name="IVA"/>
    <tableColumn id="8" xr3:uid="{00000000-0010-0000-5000-000008000000}" name="SUSS"/>
    <tableColumn id="9" xr3:uid="{00000000-0010-0000-5000-000009000000}" name="IIBB BSAS"/>
    <tableColumn id="10" xr3:uid="{00000000-0010-0000-5000-00000A000000}" name="IIBB CABA"/>
  </tableColumns>
  <tableStyleInfo name="Mar-25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table" Target="../tables/table55.xml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7" Type="http://schemas.openxmlformats.org/officeDocument/2006/relationships/table" Target="../tables/table68.xml"/><Relationship Id="rId2" Type="http://schemas.openxmlformats.org/officeDocument/2006/relationships/table" Target="../tables/table63.xml"/><Relationship Id="rId1" Type="http://schemas.openxmlformats.org/officeDocument/2006/relationships/table" Target="../tables/table62.xml"/><Relationship Id="rId6" Type="http://schemas.openxmlformats.org/officeDocument/2006/relationships/table" Target="../tables/table67.xml"/><Relationship Id="rId5" Type="http://schemas.openxmlformats.org/officeDocument/2006/relationships/table" Target="../tables/table66.xml"/><Relationship Id="rId4" Type="http://schemas.openxmlformats.org/officeDocument/2006/relationships/table" Target="../tables/table6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table" Target="../tables/table76.xml"/><Relationship Id="rId6" Type="http://schemas.openxmlformats.org/officeDocument/2006/relationships/table" Target="../tables/table81.xml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1"/>
  <sheetViews>
    <sheetView topLeftCell="A1343" workbookViewId="0">
      <selection activeCell="C1359" sqref="C1359"/>
    </sheetView>
  </sheetViews>
  <sheetFormatPr baseColWidth="10" defaultColWidth="14.44140625" defaultRowHeight="15" customHeight="1" x14ac:dyDescent="0.3"/>
  <cols>
    <col min="1" max="1" width="13.33203125" customWidth="1"/>
    <col min="2" max="2" width="80.88671875" customWidth="1"/>
    <col min="3" max="3" width="20" customWidth="1"/>
    <col min="4" max="4" width="15" customWidth="1"/>
    <col min="5" max="6" width="10.6640625" customWidth="1"/>
    <col min="7" max="7" width="20.5546875" customWidth="1"/>
    <col min="8" max="26" width="10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ht="14.4" x14ac:dyDescent="0.3">
      <c r="A2" s="2">
        <v>30575019524</v>
      </c>
      <c r="B2" s="3" t="s">
        <v>4</v>
      </c>
      <c r="C2" s="1"/>
      <c r="D2" s="3"/>
      <c r="G2" s="4" t="s">
        <v>5</v>
      </c>
    </row>
    <row r="3" spans="1:7" ht="14.4" x14ac:dyDescent="0.3">
      <c r="A3" s="2">
        <v>30709829730</v>
      </c>
      <c r="B3" s="3" t="s">
        <v>6</v>
      </c>
      <c r="C3" s="1" t="s">
        <v>7</v>
      </c>
      <c r="D3" s="3"/>
      <c r="G3" s="5" t="s">
        <v>8</v>
      </c>
    </row>
    <row r="4" spans="1:7" ht="14.4" x14ac:dyDescent="0.3">
      <c r="A4" s="2">
        <v>30715223704</v>
      </c>
      <c r="B4" s="3" t="s">
        <v>9</v>
      </c>
      <c r="C4" s="1" t="s">
        <v>10</v>
      </c>
      <c r="D4" s="3"/>
      <c r="G4" s="4" t="s">
        <v>11</v>
      </c>
    </row>
    <row r="5" spans="1:7" ht="14.4" x14ac:dyDescent="0.3">
      <c r="A5" s="2">
        <v>30714869937</v>
      </c>
      <c r="B5" s="3" t="s">
        <v>12</v>
      </c>
      <c r="C5" s="1"/>
      <c r="D5" s="3"/>
      <c r="G5" s="5" t="s">
        <v>13</v>
      </c>
    </row>
    <row r="6" spans="1:7" ht="14.4" x14ac:dyDescent="0.3">
      <c r="A6" s="2">
        <v>30692212130</v>
      </c>
      <c r="B6" s="3" t="s">
        <v>14</v>
      </c>
      <c r="C6" s="1"/>
      <c r="D6" s="3"/>
      <c r="G6" s="4" t="s">
        <v>15</v>
      </c>
    </row>
    <row r="7" spans="1:7" ht="14.4" x14ac:dyDescent="0.3">
      <c r="A7" s="2">
        <v>30687722007</v>
      </c>
      <c r="B7" s="3" t="s">
        <v>16</v>
      </c>
      <c r="C7" s="1" t="s">
        <v>17</v>
      </c>
      <c r="D7" s="3"/>
      <c r="G7" s="5" t="s">
        <v>18</v>
      </c>
    </row>
    <row r="8" spans="1:7" ht="14.4" x14ac:dyDescent="0.3">
      <c r="A8" s="2">
        <v>30503874497</v>
      </c>
      <c r="B8" s="3" t="s">
        <v>19</v>
      </c>
      <c r="C8" s="1" t="s">
        <v>5</v>
      </c>
      <c r="D8" s="3"/>
      <c r="G8" s="4" t="s">
        <v>20</v>
      </c>
    </row>
    <row r="9" spans="1:7" ht="14.4" x14ac:dyDescent="0.3">
      <c r="A9" s="2">
        <v>30702017498</v>
      </c>
      <c r="B9" s="3" t="s">
        <v>21</v>
      </c>
      <c r="C9" s="1"/>
      <c r="D9" s="3"/>
      <c r="G9" s="5" t="s">
        <v>22</v>
      </c>
    </row>
    <row r="10" spans="1:7" ht="14.4" x14ac:dyDescent="0.3">
      <c r="A10" s="2">
        <v>20182999661</v>
      </c>
      <c r="B10" s="3" t="s">
        <v>23</v>
      </c>
      <c r="C10" s="1" t="s">
        <v>5</v>
      </c>
      <c r="D10" s="3"/>
      <c r="G10" s="4" t="s">
        <v>24</v>
      </c>
    </row>
    <row r="11" spans="1:7" ht="14.4" x14ac:dyDescent="0.3">
      <c r="A11" s="2">
        <v>30652000076</v>
      </c>
      <c r="B11" s="3" t="s">
        <v>25</v>
      </c>
      <c r="C11" s="1" t="s">
        <v>5</v>
      </c>
      <c r="D11" s="3"/>
      <c r="G11" s="5" t="s">
        <v>26</v>
      </c>
    </row>
    <row r="12" spans="1:7" ht="14.4" x14ac:dyDescent="0.3">
      <c r="A12" s="2">
        <v>30690536079</v>
      </c>
      <c r="B12" s="3" t="s">
        <v>27</v>
      </c>
      <c r="C12" s="1" t="s">
        <v>15</v>
      </c>
      <c r="D12" s="3"/>
      <c r="G12" s="4" t="s">
        <v>28</v>
      </c>
    </row>
    <row r="13" spans="1:7" ht="14.4" x14ac:dyDescent="0.3">
      <c r="A13" s="2">
        <v>30515585415</v>
      </c>
      <c r="B13" s="3" t="s">
        <v>29</v>
      </c>
      <c r="C13" s="1" t="s">
        <v>5</v>
      </c>
      <c r="D13" s="3"/>
      <c r="G13" s="5" t="s">
        <v>30</v>
      </c>
    </row>
    <row r="14" spans="1:7" ht="14.4" x14ac:dyDescent="0.3">
      <c r="A14" s="2">
        <v>33711942659</v>
      </c>
      <c r="B14" s="3" t="s">
        <v>31</v>
      </c>
      <c r="C14" s="1" t="s">
        <v>5</v>
      </c>
      <c r="D14" s="3"/>
      <c r="G14" s="4" t="s">
        <v>32</v>
      </c>
    </row>
    <row r="15" spans="1:7" ht="14.4" x14ac:dyDescent="0.3">
      <c r="A15" s="2">
        <v>30715243349</v>
      </c>
      <c r="B15" s="3" t="s">
        <v>33</v>
      </c>
      <c r="C15" s="1"/>
      <c r="D15" s="3"/>
      <c r="G15" s="5" t="s">
        <v>34</v>
      </c>
    </row>
    <row r="16" spans="1:7" ht="14.4" x14ac:dyDescent="0.3">
      <c r="A16" s="2">
        <v>20174004146</v>
      </c>
      <c r="B16" s="3" t="s">
        <v>35</v>
      </c>
      <c r="C16" s="1" t="s">
        <v>5</v>
      </c>
      <c r="D16" s="3"/>
      <c r="G16" s="4" t="s">
        <v>36</v>
      </c>
    </row>
    <row r="17" spans="1:7" ht="14.4" x14ac:dyDescent="0.3">
      <c r="A17" s="2">
        <v>30708555548</v>
      </c>
      <c r="B17" s="3" t="s">
        <v>37</v>
      </c>
      <c r="C17" s="1" t="s">
        <v>5</v>
      </c>
      <c r="D17" s="3"/>
      <c r="G17" s="5" t="s">
        <v>38</v>
      </c>
    </row>
    <row r="18" spans="1:7" ht="14.4" x14ac:dyDescent="0.3">
      <c r="A18" s="2">
        <v>30708263342</v>
      </c>
      <c r="B18" s="3" t="s">
        <v>39</v>
      </c>
      <c r="C18" s="1" t="s">
        <v>10</v>
      </c>
      <c r="D18" s="3"/>
      <c r="G18" s="4" t="s">
        <v>40</v>
      </c>
    </row>
    <row r="19" spans="1:7" ht="14.4" x14ac:dyDescent="0.3">
      <c r="A19" s="2">
        <v>30709565075</v>
      </c>
      <c r="B19" s="3" t="s">
        <v>41</v>
      </c>
      <c r="C19" s="1" t="s">
        <v>17</v>
      </c>
      <c r="D19" s="3"/>
      <c r="G19" s="5" t="s">
        <v>42</v>
      </c>
    </row>
    <row r="20" spans="1:7" ht="14.4" x14ac:dyDescent="0.3">
      <c r="A20" s="2">
        <v>30500229973</v>
      </c>
      <c r="B20" s="3" t="s">
        <v>43</v>
      </c>
      <c r="C20" s="1" t="s">
        <v>5</v>
      </c>
      <c r="D20" s="3"/>
      <c r="G20" s="4" t="s">
        <v>44</v>
      </c>
    </row>
    <row r="21" spans="1:7" ht="15.75" customHeight="1" x14ac:dyDescent="0.3">
      <c r="A21" s="2">
        <v>30710799241</v>
      </c>
      <c r="B21" s="3" t="s">
        <v>45</v>
      </c>
      <c r="C21" s="1"/>
      <c r="D21" s="3"/>
      <c r="G21" s="5" t="s">
        <v>46</v>
      </c>
    </row>
    <row r="22" spans="1:7" ht="15.75" customHeight="1" x14ac:dyDescent="0.3">
      <c r="A22" s="2">
        <v>20236101127</v>
      </c>
      <c r="B22" s="3" t="s">
        <v>47</v>
      </c>
      <c r="C22" s="1"/>
      <c r="D22" s="3"/>
      <c r="G22" s="4" t="s">
        <v>48</v>
      </c>
    </row>
    <row r="23" spans="1:7" ht="15.75" customHeight="1" x14ac:dyDescent="0.3">
      <c r="A23" s="2">
        <v>20291929126</v>
      </c>
      <c r="B23" s="3" t="s">
        <v>49</v>
      </c>
      <c r="C23" s="1"/>
      <c r="D23" s="3"/>
    </row>
    <row r="24" spans="1:7" ht="15.75" customHeight="1" x14ac:dyDescent="0.3">
      <c r="A24" s="2">
        <v>30709604887</v>
      </c>
      <c r="B24" s="3" t="s">
        <v>50</v>
      </c>
      <c r="C24" s="1" t="s">
        <v>7</v>
      </c>
      <c r="D24" s="3"/>
    </row>
    <row r="25" spans="1:7" ht="15.75" customHeight="1" x14ac:dyDescent="0.3">
      <c r="A25" s="2">
        <v>20083925680</v>
      </c>
      <c r="B25" s="3" t="s">
        <v>51</v>
      </c>
      <c r="C25" s="1" t="s">
        <v>15</v>
      </c>
      <c r="D25" s="3"/>
    </row>
    <row r="26" spans="1:7" ht="15.75" customHeight="1" x14ac:dyDescent="0.3">
      <c r="A26" s="2">
        <v>30656038752</v>
      </c>
      <c r="B26" s="3" t="s">
        <v>52</v>
      </c>
      <c r="C26" s="1" t="s">
        <v>5</v>
      </c>
      <c r="D26" s="3"/>
    </row>
    <row r="27" spans="1:7" ht="15.75" customHeight="1" x14ac:dyDescent="0.3">
      <c r="A27" s="2">
        <v>30504563894</v>
      </c>
      <c r="B27" s="3" t="s">
        <v>53</v>
      </c>
      <c r="C27" s="1" t="s">
        <v>5</v>
      </c>
      <c r="D27" s="3"/>
    </row>
    <row r="28" spans="1:7" ht="15.75" customHeight="1" x14ac:dyDescent="0.3">
      <c r="A28" s="2">
        <v>30602699826</v>
      </c>
      <c r="B28" s="3" t="s">
        <v>54</v>
      </c>
      <c r="C28" s="1"/>
      <c r="D28" s="3"/>
    </row>
    <row r="29" spans="1:7" ht="15.75" customHeight="1" x14ac:dyDescent="0.3">
      <c r="A29" s="2">
        <v>30715190385</v>
      </c>
      <c r="B29" s="3" t="s">
        <v>55</v>
      </c>
      <c r="C29" s="1"/>
      <c r="D29" s="3"/>
    </row>
    <row r="30" spans="1:7" ht="15.75" customHeight="1" x14ac:dyDescent="0.3">
      <c r="A30" s="2">
        <v>23945042079</v>
      </c>
      <c r="B30" s="3" t="s">
        <v>56</v>
      </c>
      <c r="C30" s="1" t="s">
        <v>15</v>
      </c>
      <c r="D30" s="3"/>
    </row>
    <row r="31" spans="1:7" ht="15.75" customHeight="1" x14ac:dyDescent="0.3">
      <c r="A31" s="2">
        <v>20040616498</v>
      </c>
      <c r="B31" s="3" t="s">
        <v>57</v>
      </c>
      <c r="C31" s="1"/>
      <c r="D31" s="3"/>
    </row>
    <row r="32" spans="1:7" ht="15.75" customHeight="1" x14ac:dyDescent="0.3">
      <c r="A32" s="2">
        <v>30710587147</v>
      </c>
      <c r="B32" s="3" t="s">
        <v>58</v>
      </c>
      <c r="C32" s="1" t="s">
        <v>17</v>
      </c>
      <c r="D32" s="3"/>
    </row>
    <row r="33" spans="1:4" ht="15.75" customHeight="1" x14ac:dyDescent="0.3">
      <c r="A33" s="2">
        <v>30663288497</v>
      </c>
      <c r="B33" s="3" t="s">
        <v>59</v>
      </c>
      <c r="C33" s="1"/>
      <c r="D33" s="3"/>
    </row>
    <row r="34" spans="1:4" ht="15.75" customHeight="1" x14ac:dyDescent="0.3">
      <c r="A34" s="2">
        <v>27108310559</v>
      </c>
      <c r="B34" s="3" t="s">
        <v>60</v>
      </c>
      <c r="C34" s="1"/>
      <c r="D34" s="3"/>
    </row>
    <row r="35" spans="1:4" ht="15.75" customHeight="1" x14ac:dyDescent="0.3">
      <c r="A35" s="2">
        <v>30502375535</v>
      </c>
      <c r="B35" s="3" t="s">
        <v>61</v>
      </c>
      <c r="C35" s="1"/>
      <c r="D35" s="3"/>
    </row>
    <row r="36" spans="1:4" ht="15.75" customHeight="1" x14ac:dyDescent="0.3">
      <c r="A36" s="2">
        <v>30709251739</v>
      </c>
      <c r="B36" s="3" t="s">
        <v>62</v>
      </c>
      <c r="C36" s="1"/>
      <c r="D36" s="3"/>
    </row>
    <row r="37" spans="1:4" ht="15.75" customHeight="1" x14ac:dyDescent="0.3">
      <c r="A37" s="2">
        <v>30709948667</v>
      </c>
      <c r="B37" s="3" t="s">
        <v>63</v>
      </c>
      <c r="C37" s="1" t="s">
        <v>5</v>
      </c>
      <c r="D37" s="3"/>
    </row>
    <row r="38" spans="1:4" ht="15.75" customHeight="1" x14ac:dyDescent="0.3">
      <c r="A38" s="2">
        <v>30683702060</v>
      </c>
      <c r="B38" s="3" t="s">
        <v>64</v>
      </c>
      <c r="C38" s="1" t="s">
        <v>5</v>
      </c>
      <c r="D38" s="3"/>
    </row>
    <row r="39" spans="1:4" ht="15.75" customHeight="1" x14ac:dyDescent="0.3">
      <c r="A39" s="2">
        <v>30715985124</v>
      </c>
      <c r="B39" s="3" t="s">
        <v>65</v>
      </c>
      <c r="C39" s="1"/>
      <c r="D39" s="3"/>
    </row>
    <row r="40" spans="1:4" ht="15.75" customHeight="1" x14ac:dyDescent="0.3">
      <c r="A40" s="2">
        <v>30714344656</v>
      </c>
      <c r="B40" s="3" t="s">
        <v>66</v>
      </c>
      <c r="C40" s="1" t="s">
        <v>5</v>
      </c>
      <c r="D40" s="3"/>
    </row>
    <row r="41" spans="1:4" ht="15.75" customHeight="1" x14ac:dyDescent="0.3">
      <c r="A41" s="2">
        <v>30712000372</v>
      </c>
      <c r="B41" s="3" t="s">
        <v>67</v>
      </c>
      <c r="C41" s="1" t="s">
        <v>5</v>
      </c>
      <c r="D41" s="3"/>
    </row>
    <row r="42" spans="1:4" ht="15.75" customHeight="1" x14ac:dyDescent="0.3">
      <c r="A42" s="2">
        <v>30714741167</v>
      </c>
      <c r="B42" s="3" t="s">
        <v>68</v>
      </c>
      <c r="C42" s="1"/>
      <c r="D42" s="3"/>
    </row>
    <row r="43" spans="1:4" ht="15.75" customHeight="1" x14ac:dyDescent="0.3">
      <c r="A43" s="2">
        <v>20927832136</v>
      </c>
      <c r="B43" s="3" t="s">
        <v>69</v>
      </c>
      <c r="C43" s="1" t="s">
        <v>15</v>
      </c>
      <c r="D43" s="3"/>
    </row>
    <row r="44" spans="1:4" ht="15.75" customHeight="1" x14ac:dyDescent="0.3">
      <c r="A44" s="2">
        <v>27135302835</v>
      </c>
      <c r="B44" s="3" t="s">
        <v>70</v>
      </c>
      <c r="C44" s="1"/>
      <c r="D44" s="3"/>
    </row>
    <row r="45" spans="1:4" ht="15.75" customHeight="1" x14ac:dyDescent="0.3">
      <c r="A45" s="2">
        <v>27276671109</v>
      </c>
      <c r="B45" s="3" t="s">
        <v>71</v>
      </c>
      <c r="C45" s="1" t="s">
        <v>5</v>
      </c>
      <c r="D45" s="3"/>
    </row>
    <row r="46" spans="1:4" ht="15.75" customHeight="1" x14ac:dyDescent="0.3">
      <c r="A46" s="2">
        <v>30711597499</v>
      </c>
      <c r="B46" s="3" t="s">
        <v>72</v>
      </c>
      <c r="C46" s="1"/>
      <c r="D46" s="3"/>
    </row>
    <row r="47" spans="1:4" ht="15.75" customHeight="1" x14ac:dyDescent="0.3">
      <c r="A47" s="2">
        <v>30600907553</v>
      </c>
      <c r="B47" s="3" t="s">
        <v>73</v>
      </c>
      <c r="C47" s="1"/>
      <c r="D47" s="3"/>
    </row>
    <row r="48" spans="1:4" ht="15.75" customHeight="1" x14ac:dyDescent="0.3">
      <c r="A48" s="2">
        <v>30709585262</v>
      </c>
      <c r="B48" s="3" t="s">
        <v>74</v>
      </c>
      <c r="C48" s="1" t="s">
        <v>7</v>
      </c>
      <c r="D48" s="3"/>
    </row>
    <row r="49" spans="1:4" ht="15.75" customHeight="1" x14ac:dyDescent="0.3">
      <c r="A49" s="2">
        <v>30614941509</v>
      </c>
      <c r="B49" s="3" t="s">
        <v>75</v>
      </c>
      <c r="C49" s="1"/>
      <c r="D49" s="3"/>
    </row>
    <row r="50" spans="1:4" ht="15.75" customHeight="1" x14ac:dyDescent="0.3">
      <c r="A50" s="2">
        <v>30560443648</v>
      </c>
      <c r="B50" s="3" t="s">
        <v>76</v>
      </c>
      <c r="C50" s="1"/>
      <c r="D50" s="3"/>
    </row>
    <row r="51" spans="1:4" ht="15.75" customHeight="1" x14ac:dyDescent="0.3">
      <c r="A51" s="2">
        <v>30708547790</v>
      </c>
      <c r="B51" s="3" t="s">
        <v>77</v>
      </c>
      <c r="C51" s="1"/>
      <c r="D51" s="3"/>
    </row>
    <row r="52" spans="1:4" ht="15.75" customHeight="1" x14ac:dyDescent="0.3">
      <c r="A52" s="2">
        <v>30711624402</v>
      </c>
      <c r="B52" s="3" t="s">
        <v>78</v>
      </c>
      <c r="C52" s="1"/>
      <c r="D52" s="3"/>
    </row>
    <row r="53" spans="1:4" ht="15.75" customHeight="1" x14ac:dyDescent="0.3">
      <c r="A53" s="2">
        <v>20045180620</v>
      </c>
      <c r="B53" s="3" t="s">
        <v>79</v>
      </c>
      <c r="C53" s="1" t="s">
        <v>15</v>
      </c>
      <c r="D53" s="3"/>
    </row>
    <row r="54" spans="1:4" ht="15.75" customHeight="1" x14ac:dyDescent="0.3">
      <c r="A54" s="2">
        <v>30692175243</v>
      </c>
      <c r="B54" s="3" t="s">
        <v>80</v>
      </c>
      <c r="C54" s="1"/>
      <c r="D54" s="3"/>
    </row>
    <row r="55" spans="1:4" ht="15.75" customHeight="1" x14ac:dyDescent="0.3">
      <c r="A55" s="2">
        <v>30708973501</v>
      </c>
      <c r="B55" s="3" t="s">
        <v>81</v>
      </c>
      <c r="C55" s="1" t="s">
        <v>5</v>
      </c>
      <c r="D55" s="3"/>
    </row>
    <row r="56" spans="1:4" ht="15.75" customHeight="1" x14ac:dyDescent="0.3">
      <c r="A56" s="2">
        <v>30590354798</v>
      </c>
      <c r="B56" s="3" t="s">
        <v>82</v>
      </c>
      <c r="C56" s="1"/>
      <c r="D56" s="3"/>
    </row>
    <row r="57" spans="1:4" ht="15.75" customHeight="1" x14ac:dyDescent="0.3">
      <c r="A57" s="2">
        <v>30709860840</v>
      </c>
      <c r="B57" s="3" t="s">
        <v>83</v>
      </c>
      <c r="C57" s="1"/>
      <c r="D57" s="3"/>
    </row>
    <row r="58" spans="1:4" ht="15.75" customHeight="1" x14ac:dyDescent="0.3">
      <c r="A58" s="2">
        <v>30544712833</v>
      </c>
      <c r="B58" s="3" t="s">
        <v>84</v>
      </c>
      <c r="C58" s="1" t="s">
        <v>5</v>
      </c>
      <c r="D58" s="3"/>
    </row>
    <row r="59" spans="1:4" ht="15.75" customHeight="1" x14ac:dyDescent="0.3">
      <c r="A59" s="2">
        <v>30715031252</v>
      </c>
      <c r="B59" s="3" t="s">
        <v>85</v>
      </c>
      <c r="C59" s="1"/>
      <c r="D59" s="3"/>
    </row>
    <row r="60" spans="1:4" ht="15.75" customHeight="1" x14ac:dyDescent="0.3">
      <c r="A60" s="2">
        <v>30711934754</v>
      </c>
      <c r="B60" s="3" t="s">
        <v>86</v>
      </c>
      <c r="C60" s="1"/>
      <c r="D60" s="3"/>
    </row>
    <row r="61" spans="1:4" ht="15.75" customHeight="1" x14ac:dyDescent="0.3">
      <c r="A61" s="2">
        <v>30670528592</v>
      </c>
      <c r="B61" s="3" t="s">
        <v>87</v>
      </c>
      <c r="C61" s="1"/>
      <c r="D61" s="3"/>
    </row>
    <row r="62" spans="1:4" ht="15.75" customHeight="1" x14ac:dyDescent="0.3">
      <c r="A62" s="2">
        <v>30574876474</v>
      </c>
      <c r="B62" s="3" t="s">
        <v>88</v>
      </c>
      <c r="C62" s="1"/>
      <c r="D62" s="3"/>
    </row>
    <row r="63" spans="1:4" ht="15.75" customHeight="1" x14ac:dyDescent="0.3">
      <c r="A63" s="2">
        <v>30677237119</v>
      </c>
      <c r="B63" s="3" t="s">
        <v>89</v>
      </c>
      <c r="C63" s="1"/>
      <c r="D63" s="3"/>
    </row>
    <row r="64" spans="1:4" ht="15.75" customHeight="1" x14ac:dyDescent="0.3">
      <c r="A64" s="2" t="s">
        <v>90</v>
      </c>
      <c r="B64" s="3" t="s">
        <v>91</v>
      </c>
      <c r="C64" s="1"/>
      <c r="D64" s="3"/>
    </row>
    <row r="65" spans="1:4" ht="15.75" customHeight="1" x14ac:dyDescent="0.3">
      <c r="A65" s="2">
        <v>20278462790</v>
      </c>
      <c r="B65" s="3" t="s">
        <v>92</v>
      </c>
      <c r="C65" s="1"/>
      <c r="D65" s="3"/>
    </row>
    <row r="66" spans="1:4" ht="15.75" customHeight="1" x14ac:dyDescent="0.3">
      <c r="A66" s="2">
        <v>30715963872</v>
      </c>
      <c r="B66" s="3" t="s">
        <v>93</v>
      </c>
      <c r="C66" s="1"/>
      <c r="D66" s="3"/>
    </row>
    <row r="67" spans="1:4" ht="15.75" customHeight="1" x14ac:dyDescent="0.3">
      <c r="A67" s="2">
        <v>20083762102</v>
      </c>
      <c r="B67" s="3" t="s">
        <v>94</v>
      </c>
      <c r="C67" s="1"/>
      <c r="D67" s="3"/>
    </row>
    <row r="68" spans="1:4" ht="15.75" customHeight="1" x14ac:dyDescent="0.3">
      <c r="A68" s="2">
        <v>20287830980</v>
      </c>
      <c r="B68" s="3" t="s">
        <v>95</v>
      </c>
      <c r="C68" s="1"/>
      <c r="D68" s="3"/>
    </row>
    <row r="69" spans="1:4" ht="15.75" customHeight="1" x14ac:dyDescent="0.3">
      <c r="A69" s="2">
        <v>30506919009</v>
      </c>
      <c r="B69" s="3" t="s">
        <v>96</v>
      </c>
      <c r="C69" s="1" t="s">
        <v>97</v>
      </c>
      <c r="D69" s="3"/>
    </row>
    <row r="70" spans="1:4" ht="15.75" customHeight="1" x14ac:dyDescent="0.3">
      <c r="A70" s="2">
        <v>30535612117</v>
      </c>
      <c r="B70" s="3" t="s">
        <v>98</v>
      </c>
      <c r="C70" s="1"/>
      <c r="D70" s="3"/>
    </row>
    <row r="71" spans="1:4" ht="15.75" customHeight="1" x14ac:dyDescent="0.3">
      <c r="A71" s="2">
        <v>33711430879</v>
      </c>
      <c r="B71" s="3" t="s">
        <v>99</v>
      </c>
      <c r="C71" s="1" t="s">
        <v>5</v>
      </c>
      <c r="D71" s="3"/>
    </row>
    <row r="72" spans="1:4" ht="15.75" customHeight="1" x14ac:dyDescent="0.3">
      <c r="A72" s="2">
        <v>20179619483</v>
      </c>
      <c r="B72" s="3" t="s">
        <v>100</v>
      </c>
      <c r="C72" s="1"/>
      <c r="D72" s="3"/>
    </row>
    <row r="73" spans="1:4" ht="15.75" customHeight="1" x14ac:dyDescent="0.3">
      <c r="A73" s="2">
        <v>30711941718</v>
      </c>
      <c r="B73" s="3" t="s">
        <v>101</v>
      </c>
      <c r="C73" s="1" t="s">
        <v>5</v>
      </c>
      <c r="D73" s="3"/>
    </row>
    <row r="74" spans="1:4" ht="15.75" customHeight="1" x14ac:dyDescent="0.3">
      <c r="A74" s="2">
        <v>30580189411</v>
      </c>
      <c r="B74" s="3" t="s">
        <v>102</v>
      </c>
      <c r="C74" s="1"/>
      <c r="D74" s="3"/>
    </row>
    <row r="75" spans="1:4" ht="15.75" customHeight="1" x14ac:dyDescent="0.3">
      <c r="A75" s="2">
        <v>30500008454</v>
      </c>
      <c r="B75" s="3" t="s">
        <v>103</v>
      </c>
      <c r="C75" s="1" t="s">
        <v>34</v>
      </c>
      <c r="D75" s="3"/>
    </row>
    <row r="76" spans="1:4" ht="15.75" customHeight="1" x14ac:dyDescent="0.3">
      <c r="A76" s="2">
        <v>30646362675</v>
      </c>
      <c r="B76" s="3" t="s">
        <v>104</v>
      </c>
      <c r="C76" s="1"/>
      <c r="D76" s="3"/>
    </row>
    <row r="77" spans="1:4" ht="15.75" customHeight="1" x14ac:dyDescent="0.3">
      <c r="A77" s="2">
        <v>30712458468</v>
      </c>
      <c r="B77" s="3" t="s">
        <v>105</v>
      </c>
      <c r="C77" s="1" t="s">
        <v>15</v>
      </c>
      <c r="D77" s="3"/>
    </row>
    <row r="78" spans="1:4" ht="15.75" customHeight="1" x14ac:dyDescent="0.3">
      <c r="A78" s="2">
        <v>30714675601</v>
      </c>
      <c r="B78" s="3" t="s">
        <v>106</v>
      </c>
      <c r="C78" s="1"/>
      <c r="D78" s="3"/>
    </row>
    <row r="79" spans="1:4" ht="15.75" customHeight="1" x14ac:dyDescent="0.3">
      <c r="A79" s="2">
        <v>30568222187</v>
      </c>
      <c r="B79" s="3" t="s">
        <v>107</v>
      </c>
      <c r="C79" s="1"/>
      <c r="D79" s="3"/>
    </row>
    <row r="80" spans="1:4" ht="15.75" customHeight="1" x14ac:dyDescent="0.3">
      <c r="A80" s="2">
        <v>27248212646</v>
      </c>
      <c r="B80" s="3" t="s">
        <v>108</v>
      </c>
      <c r="C80" s="1"/>
      <c r="D80" s="3"/>
    </row>
    <row r="81" spans="1:4" ht="15.75" customHeight="1" x14ac:dyDescent="0.3">
      <c r="A81" s="2">
        <v>27115740666</v>
      </c>
      <c r="B81" s="3" t="s">
        <v>109</v>
      </c>
      <c r="C81" s="1"/>
      <c r="D81" s="3"/>
    </row>
    <row r="82" spans="1:4" ht="15.75" customHeight="1" x14ac:dyDescent="0.3">
      <c r="A82" s="2">
        <v>27129411010</v>
      </c>
      <c r="B82" s="3" t="s">
        <v>110</v>
      </c>
      <c r="C82" s="1"/>
      <c r="D82" s="3"/>
    </row>
    <row r="83" spans="1:4" ht="15.75" customHeight="1" x14ac:dyDescent="0.3">
      <c r="A83" s="2">
        <v>23301961944</v>
      </c>
      <c r="B83" s="3" t="s">
        <v>111</v>
      </c>
      <c r="C83" s="1"/>
      <c r="D83" s="3"/>
    </row>
    <row r="84" spans="1:4" ht="15.75" customHeight="1" x14ac:dyDescent="0.3">
      <c r="A84" s="2">
        <v>30710067763</v>
      </c>
      <c r="B84" s="3" t="s">
        <v>112</v>
      </c>
      <c r="C84" s="1"/>
      <c r="D84" s="3"/>
    </row>
    <row r="85" spans="1:4" ht="15.75" customHeight="1" x14ac:dyDescent="0.3">
      <c r="A85" s="2">
        <v>30712387315</v>
      </c>
      <c r="B85" s="3" t="s">
        <v>113</v>
      </c>
      <c r="C85" s="1" t="s">
        <v>15</v>
      </c>
      <c r="D85" s="3"/>
    </row>
    <row r="86" spans="1:4" ht="15.75" customHeight="1" x14ac:dyDescent="0.3">
      <c r="A86" s="2">
        <v>30715210637</v>
      </c>
      <c r="B86" s="3" t="s">
        <v>114</v>
      </c>
      <c r="C86" s="1" t="s">
        <v>5</v>
      </c>
      <c r="D86" s="3"/>
    </row>
    <row r="87" spans="1:4" ht="15.75" customHeight="1" x14ac:dyDescent="0.3">
      <c r="A87" s="2">
        <v>30712230459</v>
      </c>
      <c r="B87" s="3" t="s">
        <v>115</v>
      </c>
      <c r="C87" s="1" t="s">
        <v>5</v>
      </c>
      <c r="D87" s="3"/>
    </row>
    <row r="88" spans="1:4" ht="15.75" customHeight="1" x14ac:dyDescent="0.3">
      <c r="A88" s="2">
        <v>30697652694</v>
      </c>
      <c r="B88" s="3" t="s">
        <v>116</v>
      </c>
      <c r="C88" s="1"/>
      <c r="D88" s="3"/>
    </row>
    <row r="89" spans="1:4" ht="15.75" customHeight="1" x14ac:dyDescent="0.3">
      <c r="A89" s="2">
        <v>30712476857</v>
      </c>
      <c r="B89" s="3" t="s">
        <v>117</v>
      </c>
      <c r="C89" s="1" t="s">
        <v>10</v>
      </c>
      <c r="D89" s="3"/>
    </row>
    <row r="90" spans="1:4" ht="15.75" customHeight="1" x14ac:dyDescent="0.3">
      <c r="A90" s="2">
        <v>30708270462</v>
      </c>
      <c r="B90" s="3" t="s">
        <v>118</v>
      </c>
      <c r="C90" s="1"/>
      <c r="D90" s="3"/>
    </row>
    <row r="91" spans="1:4" ht="15.75" customHeight="1" x14ac:dyDescent="0.3">
      <c r="A91" s="2">
        <v>23253931159</v>
      </c>
      <c r="B91" s="3" t="s">
        <v>119</v>
      </c>
      <c r="C91" s="1"/>
      <c r="D91" s="3"/>
    </row>
    <row r="92" spans="1:4" ht="15.75" customHeight="1" x14ac:dyDescent="0.3">
      <c r="A92" s="2">
        <v>30655186693</v>
      </c>
      <c r="B92" s="3" t="s">
        <v>120</v>
      </c>
      <c r="C92" s="1"/>
      <c r="D92" s="3"/>
    </row>
    <row r="93" spans="1:4" ht="15.75" customHeight="1" x14ac:dyDescent="0.3">
      <c r="A93" s="2">
        <v>20389908569</v>
      </c>
      <c r="B93" s="3" t="s">
        <v>121</v>
      </c>
      <c r="C93" s="1" t="s">
        <v>1560</v>
      </c>
      <c r="D93" s="3"/>
    </row>
    <row r="94" spans="1:4" ht="15.75" customHeight="1" x14ac:dyDescent="0.3">
      <c r="A94" s="2">
        <v>30515676178</v>
      </c>
      <c r="B94" s="3" t="s">
        <v>123</v>
      </c>
      <c r="C94" s="1" t="s">
        <v>5</v>
      </c>
      <c r="D94" s="3"/>
    </row>
    <row r="95" spans="1:4" ht="15.75" customHeight="1" x14ac:dyDescent="0.3">
      <c r="A95" s="2">
        <v>33711821649</v>
      </c>
      <c r="B95" s="3" t="s">
        <v>124</v>
      </c>
      <c r="C95" s="1"/>
      <c r="D95" s="3"/>
    </row>
    <row r="96" spans="1:4" ht="15.75" customHeight="1" x14ac:dyDescent="0.3">
      <c r="A96" s="2">
        <v>30715122657</v>
      </c>
      <c r="B96" s="3" t="s">
        <v>125</v>
      </c>
      <c r="C96" s="1"/>
      <c r="D96" s="3"/>
    </row>
    <row r="97" spans="1:4" ht="15.75" customHeight="1" x14ac:dyDescent="0.3">
      <c r="A97" s="2">
        <v>30715549871</v>
      </c>
      <c r="B97" s="3" t="s">
        <v>126</v>
      </c>
      <c r="C97" s="1"/>
      <c r="D97" s="3"/>
    </row>
    <row r="98" spans="1:4" ht="15.75" customHeight="1" x14ac:dyDescent="0.3">
      <c r="A98" s="2">
        <v>20085280512</v>
      </c>
      <c r="B98" s="3" t="s">
        <v>127</v>
      </c>
      <c r="C98" s="1" t="s">
        <v>5</v>
      </c>
      <c r="D98" s="3"/>
    </row>
    <row r="99" spans="1:4" ht="15.75" customHeight="1" x14ac:dyDescent="0.3">
      <c r="A99" s="2">
        <v>30595442369</v>
      </c>
      <c r="B99" s="3" t="s">
        <v>128</v>
      </c>
      <c r="C99" s="1" t="s">
        <v>5</v>
      </c>
      <c r="D99" s="3"/>
    </row>
    <row r="100" spans="1:4" ht="15.75" customHeight="1" x14ac:dyDescent="0.3">
      <c r="A100" s="2">
        <v>27289847141</v>
      </c>
      <c r="B100" s="3" t="s">
        <v>129</v>
      </c>
      <c r="C100" s="1" t="s">
        <v>130</v>
      </c>
      <c r="D100" s="3"/>
    </row>
    <row r="101" spans="1:4" ht="15.75" customHeight="1" x14ac:dyDescent="0.3">
      <c r="A101" s="2">
        <v>30715920502</v>
      </c>
      <c r="B101" s="3" t="s">
        <v>131</v>
      </c>
      <c r="C101" s="1"/>
      <c r="D101" s="3"/>
    </row>
    <row r="102" spans="1:4" ht="15.75" customHeight="1" x14ac:dyDescent="0.3">
      <c r="A102" s="2">
        <v>30573652084</v>
      </c>
      <c r="B102" s="3" t="s">
        <v>132</v>
      </c>
      <c r="C102" s="1" t="s">
        <v>17</v>
      </c>
      <c r="D102" s="3"/>
    </row>
    <row r="103" spans="1:4" ht="15.75" customHeight="1" x14ac:dyDescent="0.3">
      <c r="A103" s="2">
        <v>30606248519</v>
      </c>
      <c r="B103" s="3" t="s">
        <v>133</v>
      </c>
      <c r="C103" s="1" t="s">
        <v>5</v>
      </c>
      <c r="D103" s="3"/>
    </row>
    <row r="104" spans="1:4" ht="15.75" customHeight="1" x14ac:dyDescent="0.3">
      <c r="A104" s="2">
        <v>20265226664</v>
      </c>
      <c r="B104" s="3" t="s">
        <v>134</v>
      </c>
      <c r="C104" s="1"/>
      <c r="D104" s="3"/>
    </row>
    <row r="105" spans="1:4" ht="15.75" customHeight="1" x14ac:dyDescent="0.3">
      <c r="A105" s="2">
        <v>27178101647</v>
      </c>
      <c r="B105" s="3" t="s">
        <v>135</v>
      </c>
      <c r="C105" s="1"/>
      <c r="D105" s="3"/>
    </row>
    <row r="106" spans="1:4" ht="15.75" customHeight="1" x14ac:dyDescent="0.3">
      <c r="A106" s="2">
        <v>30685020633</v>
      </c>
      <c r="B106" s="3" t="s">
        <v>136</v>
      </c>
      <c r="C106" s="1" t="s">
        <v>5</v>
      </c>
      <c r="D106" s="3"/>
    </row>
    <row r="107" spans="1:4" ht="15.75" customHeight="1" x14ac:dyDescent="0.3">
      <c r="A107" s="2">
        <v>30709876135</v>
      </c>
      <c r="B107" s="3" t="s">
        <v>137</v>
      </c>
      <c r="C107" s="1" t="s">
        <v>5</v>
      </c>
      <c r="D107" s="3"/>
    </row>
    <row r="108" spans="1:4" ht="15.75" customHeight="1" x14ac:dyDescent="0.3">
      <c r="A108" s="2">
        <v>20182721787</v>
      </c>
      <c r="B108" s="3" t="s">
        <v>138</v>
      </c>
      <c r="C108" s="1" t="s">
        <v>5</v>
      </c>
      <c r="D108" s="3"/>
    </row>
    <row r="109" spans="1:4" ht="15.75" customHeight="1" x14ac:dyDescent="0.3">
      <c r="A109" s="2">
        <v>20271174803</v>
      </c>
      <c r="B109" s="3" t="s">
        <v>139</v>
      </c>
      <c r="C109" s="1"/>
      <c r="D109" s="3"/>
    </row>
    <row r="110" spans="1:4" ht="15.75" customHeight="1" x14ac:dyDescent="0.3">
      <c r="A110" s="2">
        <v>20101384412</v>
      </c>
      <c r="B110" s="3" t="s">
        <v>140</v>
      </c>
      <c r="C110" s="1" t="s">
        <v>5</v>
      </c>
      <c r="D110" s="3"/>
    </row>
    <row r="111" spans="1:4" ht="15.75" customHeight="1" x14ac:dyDescent="0.3">
      <c r="A111" s="2">
        <v>20129871947</v>
      </c>
      <c r="B111" s="3" t="s">
        <v>141</v>
      </c>
      <c r="C111" s="1" t="s">
        <v>5</v>
      </c>
      <c r="D111" s="3"/>
    </row>
    <row r="112" spans="1:4" ht="15.75" customHeight="1" x14ac:dyDescent="0.3">
      <c r="A112" s="2">
        <v>33503921249</v>
      </c>
      <c r="B112" s="3" t="s">
        <v>142</v>
      </c>
      <c r="C112" s="1" t="s">
        <v>5</v>
      </c>
      <c r="D112" s="3"/>
    </row>
    <row r="113" spans="1:4" ht="15.75" customHeight="1" x14ac:dyDescent="0.3">
      <c r="A113" s="2">
        <v>30525517094</v>
      </c>
      <c r="B113" s="3" t="s">
        <v>143</v>
      </c>
      <c r="C113" s="1"/>
      <c r="D113" s="3"/>
    </row>
    <row r="114" spans="1:4" ht="15.75" customHeight="1" x14ac:dyDescent="0.3">
      <c r="A114" s="2">
        <v>33712276539</v>
      </c>
      <c r="B114" s="3" t="s">
        <v>144</v>
      </c>
      <c r="C114" s="1" t="s">
        <v>5</v>
      </c>
      <c r="D114" s="3"/>
    </row>
    <row r="115" spans="1:4" ht="15.75" customHeight="1" x14ac:dyDescent="0.3">
      <c r="A115" s="2">
        <v>30710176325</v>
      </c>
      <c r="B115" s="3" t="s">
        <v>145</v>
      </c>
      <c r="C115" s="1"/>
      <c r="D115" s="3"/>
    </row>
    <row r="116" spans="1:4" ht="15.75" customHeight="1" x14ac:dyDescent="0.3">
      <c r="A116" s="2">
        <v>30697574480</v>
      </c>
      <c r="B116" s="3" t="s">
        <v>146</v>
      </c>
      <c r="C116" s="1"/>
      <c r="D116" s="3"/>
    </row>
    <row r="117" spans="1:4" ht="15.75" customHeight="1" x14ac:dyDescent="0.3">
      <c r="A117" s="2">
        <v>30568463591</v>
      </c>
      <c r="B117" s="3" t="s">
        <v>147</v>
      </c>
      <c r="C117" s="1"/>
      <c r="D117" s="3"/>
    </row>
    <row r="118" spans="1:4" ht="15.75" customHeight="1" x14ac:dyDescent="0.3">
      <c r="A118" s="2">
        <v>30590360763</v>
      </c>
      <c r="B118" s="3" t="s">
        <v>148</v>
      </c>
      <c r="C118" s="1" t="s">
        <v>15</v>
      </c>
      <c r="D118" s="3"/>
    </row>
    <row r="119" spans="1:4" ht="15.75" customHeight="1" x14ac:dyDescent="0.3">
      <c r="A119" s="2">
        <v>30707612971</v>
      </c>
      <c r="B119" s="3" t="s">
        <v>149</v>
      </c>
      <c r="C119" s="1"/>
      <c r="D119" s="3"/>
    </row>
    <row r="120" spans="1:4" ht="15.75" customHeight="1" x14ac:dyDescent="0.3">
      <c r="A120" s="2">
        <v>20182095215</v>
      </c>
      <c r="B120" s="3" t="s">
        <v>150</v>
      </c>
      <c r="C120" s="1"/>
      <c r="D120" s="3"/>
    </row>
    <row r="121" spans="1:4" ht="15.75" customHeight="1" x14ac:dyDescent="0.3">
      <c r="A121" s="2">
        <v>30708741562</v>
      </c>
      <c r="B121" s="3" t="s">
        <v>151</v>
      </c>
      <c r="C121" s="1" t="s">
        <v>5</v>
      </c>
      <c r="D121" s="3"/>
    </row>
    <row r="122" spans="1:4" ht="15.75" customHeight="1" x14ac:dyDescent="0.3">
      <c r="A122" s="2">
        <v>30712192735</v>
      </c>
      <c r="B122" s="3" t="s">
        <v>152</v>
      </c>
      <c r="C122" s="1"/>
      <c r="D122" s="3"/>
    </row>
    <row r="123" spans="1:4" ht="15.75" customHeight="1" x14ac:dyDescent="0.3">
      <c r="A123" s="2">
        <v>30656459677</v>
      </c>
      <c r="B123" s="3" t="s">
        <v>153</v>
      </c>
      <c r="C123" s="1"/>
      <c r="D123" s="3"/>
    </row>
    <row r="124" spans="1:4" ht="15.75" customHeight="1" x14ac:dyDescent="0.3">
      <c r="A124" s="2">
        <v>27945274110</v>
      </c>
      <c r="B124" s="3" t="s">
        <v>154</v>
      </c>
      <c r="C124" s="1" t="s">
        <v>5</v>
      </c>
      <c r="D124" s="3"/>
    </row>
    <row r="125" spans="1:4" ht="15.75" customHeight="1" x14ac:dyDescent="0.3">
      <c r="A125" s="2">
        <v>30707986189</v>
      </c>
      <c r="B125" s="3" t="s">
        <v>155</v>
      </c>
      <c r="C125" s="1" t="s">
        <v>5</v>
      </c>
      <c r="D125" s="3"/>
    </row>
    <row r="126" spans="1:4" ht="15.75" customHeight="1" x14ac:dyDescent="0.3">
      <c r="A126" s="2">
        <v>30714500933</v>
      </c>
      <c r="B126" s="3" t="s">
        <v>156</v>
      </c>
      <c r="C126" s="1"/>
      <c r="D126" s="3"/>
    </row>
    <row r="127" spans="1:4" ht="15.75" customHeight="1" x14ac:dyDescent="0.3">
      <c r="A127" s="2">
        <v>30702286987</v>
      </c>
      <c r="B127" s="3" t="s">
        <v>157</v>
      </c>
      <c r="C127" s="1" t="s">
        <v>15</v>
      </c>
      <c r="D127" s="3"/>
    </row>
    <row r="128" spans="1:4" ht="15.75" customHeight="1" x14ac:dyDescent="0.3">
      <c r="A128" s="2">
        <v>30708651644</v>
      </c>
      <c r="B128" s="3" t="s">
        <v>158</v>
      </c>
      <c r="C128" s="1"/>
      <c r="D128" s="3"/>
    </row>
    <row r="129" spans="1:4" ht="15.75" customHeight="1" x14ac:dyDescent="0.3">
      <c r="A129" s="2">
        <v>27172039036</v>
      </c>
      <c r="B129" s="3" t="s">
        <v>159</v>
      </c>
      <c r="C129" s="1"/>
      <c r="D129" s="3"/>
    </row>
    <row r="130" spans="1:4" ht="15.75" customHeight="1" x14ac:dyDescent="0.3">
      <c r="A130" s="2">
        <v>20927573483</v>
      </c>
      <c r="B130" s="3" t="s">
        <v>160</v>
      </c>
      <c r="C130" s="1"/>
      <c r="D130" s="3"/>
    </row>
    <row r="131" spans="1:4" ht="15.75" customHeight="1" x14ac:dyDescent="0.3">
      <c r="A131" s="2">
        <v>30628878966</v>
      </c>
      <c r="B131" s="3" t="s">
        <v>161</v>
      </c>
      <c r="C131" s="1"/>
      <c r="D131" s="3"/>
    </row>
    <row r="132" spans="1:4" ht="15.75" customHeight="1" x14ac:dyDescent="0.3">
      <c r="A132" s="2">
        <v>30530328348</v>
      </c>
      <c r="B132" s="3" t="s">
        <v>162</v>
      </c>
      <c r="C132" s="1"/>
      <c r="D132" s="3"/>
    </row>
    <row r="133" spans="1:4" ht="15.75" customHeight="1" x14ac:dyDescent="0.3">
      <c r="A133" s="2">
        <v>30525390086</v>
      </c>
      <c r="B133" s="3" t="s">
        <v>163</v>
      </c>
      <c r="C133" s="1"/>
      <c r="D133" s="3"/>
    </row>
    <row r="134" spans="1:4" ht="15.75" customHeight="1" x14ac:dyDescent="0.3">
      <c r="A134" s="2">
        <v>30638177826</v>
      </c>
      <c r="B134" s="3" t="s">
        <v>164</v>
      </c>
      <c r="C134" s="1"/>
      <c r="D134" s="3"/>
    </row>
    <row r="135" spans="1:4" ht="15.75" customHeight="1" x14ac:dyDescent="0.3">
      <c r="A135" s="2">
        <v>23117888169</v>
      </c>
      <c r="B135" s="3" t="s">
        <v>165</v>
      </c>
      <c r="C135" s="1" t="s">
        <v>5</v>
      </c>
      <c r="D135" s="3"/>
    </row>
    <row r="136" spans="1:4" ht="15.75" customHeight="1" x14ac:dyDescent="0.3">
      <c r="A136" s="2">
        <v>30688140923</v>
      </c>
      <c r="B136" s="3" t="s">
        <v>166</v>
      </c>
      <c r="C136" s="1" t="s">
        <v>5</v>
      </c>
      <c r="D136" s="3"/>
    </row>
    <row r="137" spans="1:4" ht="15.75" customHeight="1" x14ac:dyDescent="0.3">
      <c r="A137" s="2">
        <v>30707212698</v>
      </c>
      <c r="B137" s="3" t="s">
        <v>167</v>
      </c>
      <c r="C137" s="1" t="s">
        <v>15</v>
      </c>
      <c r="D137" s="3"/>
    </row>
    <row r="138" spans="1:4" ht="15.75" customHeight="1" x14ac:dyDescent="0.3">
      <c r="A138" s="2">
        <v>30707212698</v>
      </c>
      <c r="B138" s="3" t="s">
        <v>168</v>
      </c>
      <c r="C138" s="1" t="s">
        <v>5</v>
      </c>
      <c r="D138" s="3"/>
    </row>
    <row r="139" spans="1:4" ht="15.75" customHeight="1" x14ac:dyDescent="0.3">
      <c r="A139" s="2">
        <v>30519492136</v>
      </c>
      <c r="B139" s="3" t="s">
        <v>169</v>
      </c>
      <c r="C139" s="1" t="s">
        <v>5</v>
      </c>
      <c r="D139" s="3"/>
    </row>
    <row r="140" spans="1:4" ht="15.75" customHeight="1" x14ac:dyDescent="0.3">
      <c r="A140" s="2" t="s">
        <v>170</v>
      </c>
      <c r="B140" s="3" t="s">
        <v>171</v>
      </c>
      <c r="C140" s="1"/>
      <c r="D140" s="3"/>
    </row>
    <row r="141" spans="1:4" ht="15.75" customHeight="1" x14ac:dyDescent="0.3">
      <c r="A141" s="2">
        <v>30518455970</v>
      </c>
      <c r="B141" s="3" t="s">
        <v>172</v>
      </c>
      <c r="C141" s="1"/>
      <c r="D141" s="3"/>
    </row>
    <row r="142" spans="1:4" ht="15.75" customHeight="1" x14ac:dyDescent="0.3">
      <c r="A142" s="2">
        <v>30682115722</v>
      </c>
      <c r="B142" s="3" t="s">
        <v>173</v>
      </c>
      <c r="C142" s="1"/>
      <c r="D142" s="3"/>
    </row>
    <row r="143" spans="1:4" ht="15.75" customHeight="1" x14ac:dyDescent="0.3">
      <c r="A143" s="2">
        <v>30649331916</v>
      </c>
      <c r="B143" s="3" t="s">
        <v>174</v>
      </c>
      <c r="C143" s="1"/>
      <c r="D143" s="3"/>
    </row>
    <row r="144" spans="1:4" ht="15.75" customHeight="1" x14ac:dyDescent="0.3">
      <c r="A144" s="2">
        <v>30605344352</v>
      </c>
      <c r="B144" s="3" t="s">
        <v>175</v>
      </c>
      <c r="C144" s="1" t="s">
        <v>176</v>
      </c>
      <c r="D144" s="3"/>
    </row>
    <row r="145" spans="1:4" ht="15.75" customHeight="1" x14ac:dyDescent="0.3">
      <c r="A145" s="2">
        <v>30714510092</v>
      </c>
      <c r="B145" s="3" t="s">
        <v>177</v>
      </c>
      <c r="C145" s="1" t="s">
        <v>5</v>
      </c>
      <c r="D145" s="3"/>
    </row>
    <row r="146" spans="1:4" ht="15.75" customHeight="1" x14ac:dyDescent="0.3">
      <c r="A146" s="2">
        <v>30715904868</v>
      </c>
      <c r="B146" s="3" t="s">
        <v>178</v>
      </c>
      <c r="C146" s="1"/>
      <c r="D146" s="3"/>
    </row>
    <row r="147" spans="1:4" ht="15.75" customHeight="1" x14ac:dyDescent="0.3">
      <c r="A147" s="2">
        <v>33714788219</v>
      </c>
      <c r="B147" s="3" t="s">
        <v>179</v>
      </c>
      <c r="C147" s="1"/>
      <c r="D147" s="3"/>
    </row>
    <row r="148" spans="1:4" ht="15.75" customHeight="1" x14ac:dyDescent="0.3">
      <c r="A148" s="2">
        <v>20134281783</v>
      </c>
      <c r="B148" s="3" t="s">
        <v>180</v>
      </c>
      <c r="C148" s="1" t="s">
        <v>5</v>
      </c>
      <c r="D148" s="3"/>
    </row>
    <row r="149" spans="1:4" ht="15.75" customHeight="1" x14ac:dyDescent="0.3">
      <c r="A149" s="2">
        <v>30519678205</v>
      </c>
      <c r="B149" s="3" t="s">
        <v>181</v>
      </c>
      <c r="C149" s="1"/>
      <c r="D149" s="3"/>
    </row>
    <row r="150" spans="1:4" ht="15.75" customHeight="1" x14ac:dyDescent="0.3">
      <c r="A150" s="2">
        <v>30548345525</v>
      </c>
      <c r="B150" s="3" t="s">
        <v>182</v>
      </c>
      <c r="C150" s="1" t="s">
        <v>15</v>
      </c>
      <c r="D150" s="3"/>
    </row>
    <row r="151" spans="1:4" ht="15.75" customHeight="1" x14ac:dyDescent="0.3">
      <c r="A151" s="2">
        <v>30549345525</v>
      </c>
      <c r="B151" s="3" t="s">
        <v>182</v>
      </c>
      <c r="C151" s="1" t="s">
        <v>17</v>
      </c>
      <c r="D151" s="3"/>
    </row>
    <row r="152" spans="1:4" ht="15.75" customHeight="1" x14ac:dyDescent="0.3">
      <c r="A152" s="2">
        <v>30693761421</v>
      </c>
      <c r="B152" s="3" t="s">
        <v>183</v>
      </c>
      <c r="C152" s="1"/>
      <c r="D152" s="3"/>
    </row>
    <row r="153" spans="1:4" ht="15.75" customHeight="1" x14ac:dyDescent="0.3">
      <c r="A153" s="2">
        <v>30709479624</v>
      </c>
      <c r="B153" s="3" t="s">
        <v>184</v>
      </c>
      <c r="C153" s="1"/>
      <c r="D153" s="3"/>
    </row>
    <row r="154" spans="1:4" ht="15.75" customHeight="1" x14ac:dyDescent="0.3">
      <c r="A154" s="2">
        <v>23115425099</v>
      </c>
      <c r="B154" s="3" t="s">
        <v>185</v>
      </c>
      <c r="C154" s="1"/>
      <c r="D154" s="3"/>
    </row>
    <row r="155" spans="1:4" ht="15.75" customHeight="1" x14ac:dyDescent="0.3">
      <c r="A155" s="2">
        <v>30548083156</v>
      </c>
      <c r="B155" s="3" t="s">
        <v>186</v>
      </c>
      <c r="C155" s="1" t="s">
        <v>15</v>
      </c>
      <c r="D155" s="3"/>
    </row>
    <row r="156" spans="1:4" ht="15.75" customHeight="1" x14ac:dyDescent="0.3">
      <c r="A156" s="2">
        <v>30714436437</v>
      </c>
      <c r="B156" s="3" t="s">
        <v>187</v>
      </c>
      <c r="C156" s="1"/>
      <c r="D156" s="3"/>
    </row>
    <row r="157" spans="1:4" ht="15.75" customHeight="1" x14ac:dyDescent="0.3">
      <c r="A157" s="2">
        <v>33709258619</v>
      </c>
      <c r="B157" s="3" t="s">
        <v>188</v>
      </c>
      <c r="C157" s="1" t="s">
        <v>10</v>
      </c>
      <c r="D157" s="3"/>
    </row>
    <row r="158" spans="1:4" ht="15.75" customHeight="1" x14ac:dyDescent="0.3">
      <c r="A158" s="2">
        <v>30610255783</v>
      </c>
      <c r="B158" s="3" t="s">
        <v>189</v>
      </c>
      <c r="C158" s="1" t="s">
        <v>5</v>
      </c>
      <c r="D158" s="3"/>
    </row>
    <row r="159" spans="1:4" ht="15.75" customHeight="1" x14ac:dyDescent="0.3">
      <c r="A159" s="2">
        <v>30715406043</v>
      </c>
      <c r="B159" s="3" t="s">
        <v>190</v>
      </c>
      <c r="C159" s="1" t="s">
        <v>15</v>
      </c>
      <c r="D159" s="3"/>
    </row>
    <row r="160" spans="1:4" ht="15.75" customHeight="1" x14ac:dyDescent="0.3">
      <c r="A160" s="2">
        <v>20224565314</v>
      </c>
      <c r="B160" s="3" t="s">
        <v>191</v>
      </c>
      <c r="C160" s="1"/>
      <c r="D160" s="3"/>
    </row>
    <row r="161" spans="1:4" ht="15.75" customHeight="1" x14ac:dyDescent="0.3">
      <c r="A161" s="2">
        <v>30710986416</v>
      </c>
      <c r="B161" s="3" t="s">
        <v>192</v>
      </c>
      <c r="C161" s="1" t="s">
        <v>5</v>
      </c>
      <c r="D161" s="3"/>
    </row>
    <row r="162" spans="1:4" ht="15.75" customHeight="1" x14ac:dyDescent="0.3">
      <c r="A162" s="2">
        <v>30648270417</v>
      </c>
      <c r="B162" s="3" t="s">
        <v>193</v>
      </c>
      <c r="C162" s="1" t="s">
        <v>5</v>
      </c>
      <c r="D162" s="3"/>
    </row>
    <row r="163" spans="1:4" ht="15.75" customHeight="1" x14ac:dyDescent="0.3">
      <c r="A163" s="2">
        <v>30710335008</v>
      </c>
      <c r="B163" s="3" t="s">
        <v>194</v>
      </c>
      <c r="C163" s="1"/>
      <c r="D163" s="3"/>
    </row>
    <row r="164" spans="1:4" ht="15.75" customHeight="1" x14ac:dyDescent="0.3">
      <c r="A164" s="2">
        <v>20125815511</v>
      </c>
      <c r="B164" s="3" t="s">
        <v>195</v>
      </c>
      <c r="C164" s="1"/>
      <c r="D164" s="3"/>
    </row>
    <row r="165" spans="1:4" ht="15.75" customHeight="1" x14ac:dyDescent="0.3">
      <c r="A165" s="2">
        <v>30712070133</v>
      </c>
      <c r="B165" s="3" t="s">
        <v>196</v>
      </c>
      <c r="C165" s="1"/>
      <c r="D165" s="3"/>
    </row>
    <row r="166" spans="1:4" ht="15.75" customHeight="1" x14ac:dyDescent="0.3">
      <c r="A166" s="2">
        <v>23172107559</v>
      </c>
      <c r="B166" s="3" t="s">
        <v>197</v>
      </c>
      <c r="C166" s="1"/>
      <c r="D166" s="3"/>
    </row>
    <row r="167" spans="1:4" ht="15.75" customHeight="1" x14ac:dyDescent="0.3">
      <c r="A167" s="2">
        <v>30597228984</v>
      </c>
      <c r="B167" s="3" t="s">
        <v>198</v>
      </c>
      <c r="C167" s="1"/>
      <c r="D167" s="3"/>
    </row>
    <row r="168" spans="1:4" ht="15.75" customHeight="1" x14ac:dyDescent="0.3">
      <c r="A168" s="2">
        <v>30710984332</v>
      </c>
      <c r="B168" s="3" t="s">
        <v>199</v>
      </c>
      <c r="C168" s="1"/>
      <c r="D168" s="3"/>
    </row>
    <row r="169" spans="1:4" ht="15.75" customHeight="1" x14ac:dyDescent="0.3">
      <c r="A169" s="2">
        <v>27216710253</v>
      </c>
      <c r="B169" s="3" t="s">
        <v>200</v>
      </c>
      <c r="C169" s="1" t="s">
        <v>5</v>
      </c>
      <c r="D169" s="3"/>
    </row>
    <row r="170" spans="1:4" ht="15.75" customHeight="1" x14ac:dyDescent="0.3">
      <c r="A170" s="2">
        <v>27308260440</v>
      </c>
      <c r="B170" s="3" t="s">
        <v>201</v>
      </c>
      <c r="C170" s="1" t="s">
        <v>15</v>
      </c>
      <c r="D170" s="3"/>
    </row>
    <row r="171" spans="1:4" ht="15.75" customHeight="1" x14ac:dyDescent="0.3">
      <c r="A171" s="2">
        <v>30710513895</v>
      </c>
      <c r="B171" s="3" t="s">
        <v>202</v>
      </c>
      <c r="C171" s="1"/>
      <c r="D171" s="3"/>
    </row>
    <row r="172" spans="1:4" ht="15.75" customHeight="1" x14ac:dyDescent="0.3">
      <c r="A172" s="2">
        <v>30522798106</v>
      </c>
      <c r="B172" s="3" t="s">
        <v>203</v>
      </c>
      <c r="C172" s="1"/>
      <c r="D172" s="3"/>
    </row>
    <row r="173" spans="1:4" ht="15.75" customHeight="1" x14ac:dyDescent="0.3">
      <c r="A173" s="2">
        <v>33715370269</v>
      </c>
      <c r="B173" s="3" t="s">
        <v>204</v>
      </c>
      <c r="C173" s="1" t="s">
        <v>5</v>
      </c>
      <c r="D173" s="3"/>
    </row>
    <row r="174" spans="1:4" ht="15.75" customHeight="1" x14ac:dyDescent="0.3">
      <c r="A174" s="2">
        <v>30710988109</v>
      </c>
      <c r="B174" s="3" t="s">
        <v>205</v>
      </c>
      <c r="C174" s="1"/>
      <c r="D174" s="3"/>
    </row>
    <row r="175" spans="1:4" ht="15.75" customHeight="1" x14ac:dyDescent="0.3">
      <c r="A175" s="2">
        <v>30516186670</v>
      </c>
      <c r="B175" s="3" t="s">
        <v>206</v>
      </c>
      <c r="C175" s="1" t="s">
        <v>5</v>
      </c>
      <c r="D175" s="3"/>
    </row>
    <row r="176" spans="1:4" ht="15.75" customHeight="1" x14ac:dyDescent="0.3">
      <c r="A176" s="2">
        <v>27340766445</v>
      </c>
      <c r="B176" s="3" t="s">
        <v>207</v>
      </c>
      <c r="C176" s="1" t="s">
        <v>5</v>
      </c>
      <c r="D176" s="3"/>
    </row>
    <row r="177" spans="1:4" ht="15.75" customHeight="1" x14ac:dyDescent="0.3">
      <c r="A177" s="2">
        <v>20222786054</v>
      </c>
      <c r="B177" s="3" t="s">
        <v>208</v>
      </c>
      <c r="C177" s="1"/>
      <c r="D177" s="3"/>
    </row>
    <row r="178" spans="1:4" ht="15.75" customHeight="1" x14ac:dyDescent="0.3">
      <c r="A178" s="2">
        <v>33700851279</v>
      </c>
      <c r="B178" s="3" t="s">
        <v>209</v>
      </c>
      <c r="C178" s="1" t="s">
        <v>5</v>
      </c>
      <c r="D178" s="3"/>
    </row>
    <row r="179" spans="1:4" ht="15.75" customHeight="1" x14ac:dyDescent="0.3">
      <c r="A179" s="2">
        <v>20045615473</v>
      </c>
      <c r="B179" s="3" t="s">
        <v>210</v>
      </c>
      <c r="C179" s="1" t="s">
        <v>5</v>
      </c>
      <c r="D179" s="3"/>
    </row>
    <row r="180" spans="1:4" ht="15.75" customHeight="1" x14ac:dyDescent="0.3">
      <c r="A180" s="2">
        <v>30685849751</v>
      </c>
      <c r="B180" s="3" t="s">
        <v>211</v>
      </c>
      <c r="C180" s="1"/>
      <c r="D180" s="3"/>
    </row>
    <row r="181" spans="1:4" ht="15.75" customHeight="1" x14ac:dyDescent="0.3">
      <c r="A181" s="2">
        <v>20271532483</v>
      </c>
      <c r="B181" s="3" t="s">
        <v>212</v>
      </c>
      <c r="C181" s="1" t="s">
        <v>5</v>
      </c>
      <c r="D181" s="3"/>
    </row>
    <row r="182" spans="1:4" ht="15.75" customHeight="1" x14ac:dyDescent="0.3">
      <c r="A182" s="2">
        <v>30522536748</v>
      </c>
      <c r="B182" s="3" t="s">
        <v>213</v>
      </c>
      <c r="C182" s="1" t="s">
        <v>5</v>
      </c>
      <c r="D182" s="3"/>
    </row>
    <row r="183" spans="1:4" ht="15.75" customHeight="1" x14ac:dyDescent="0.3">
      <c r="A183" s="2">
        <v>20273758063</v>
      </c>
      <c r="B183" s="3" t="s">
        <v>214</v>
      </c>
      <c r="C183" s="1"/>
      <c r="D183" s="3"/>
    </row>
    <row r="184" spans="1:4" ht="15.75" customHeight="1" x14ac:dyDescent="0.3">
      <c r="A184" s="2">
        <v>20181701820</v>
      </c>
      <c r="B184" s="3" t="s">
        <v>215</v>
      </c>
      <c r="C184" s="1"/>
      <c r="D184" s="3"/>
    </row>
    <row r="185" spans="1:4" ht="15.75" customHeight="1" x14ac:dyDescent="0.3">
      <c r="A185" s="2">
        <v>30505345793</v>
      </c>
      <c r="B185" s="3" t="s">
        <v>216</v>
      </c>
      <c r="C185" s="1" t="s">
        <v>5</v>
      </c>
      <c r="D185" s="3"/>
    </row>
    <row r="186" spans="1:4" ht="15.75" customHeight="1" x14ac:dyDescent="0.3">
      <c r="A186" s="2">
        <v>30663011746</v>
      </c>
      <c r="B186" s="3" t="s">
        <v>217</v>
      </c>
      <c r="C186" s="1" t="s">
        <v>5</v>
      </c>
      <c r="D186" s="3"/>
    </row>
    <row r="187" spans="1:4" ht="15.75" customHeight="1" x14ac:dyDescent="0.3">
      <c r="A187" s="2">
        <v>30694549817</v>
      </c>
      <c r="B187" s="3" t="s">
        <v>218</v>
      </c>
      <c r="C187" s="1" t="s">
        <v>5</v>
      </c>
      <c r="D187" s="3"/>
    </row>
    <row r="188" spans="1:4" ht="15.75" customHeight="1" x14ac:dyDescent="0.3">
      <c r="A188" s="2">
        <v>23117702529</v>
      </c>
      <c r="B188" s="3" t="s">
        <v>219</v>
      </c>
      <c r="C188" s="1" t="s">
        <v>5</v>
      </c>
      <c r="D188" s="3"/>
    </row>
    <row r="189" spans="1:4" ht="15.75" customHeight="1" x14ac:dyDescent="0.3">
      <c r="A189" s="2">
        <v>30709410144</v>
      </c>
      <c r="B189" s="3" t="s">
        <v>220</v>
      </c>
      <c r="C189" s="1" t="s">
        <v>5</v>
      </c>
      <c r="D189" s="3"/>
    </row>
    <row r="190" spans="1:4" ht="15.75" customHeight="1" x14ac:dyDescent="0.3">
      <c r="A190" s="2">
        <v>30683009195</v>
      </c>
      <c r="B190" s="3" t="s">
        <v>221</v>
      </c>
      <c r="C190" s="1"/>
      <c r="D190" s="3"/>
    </row>
    <row r="191" spans="1:4" ht="15.75" customHeight="1" x14ac:dyDescent="0.3">
      <c r="A191" s="2">
        <v>33714212589</v>
      </c>
      <c r="B191" s="3" t="s">
        <v>222</v>
      </c>
      <c r="C191" s="1" t="s">
        <v>5</v>
      </c>
      <c r="D191" s="3"/>
    </row>
    <row r="192" spans="1:4" ht="15.75" customHeight="1" x14ac:dyDescent="0.3">
      <c r="A192" s="2">
        <v>27206941419</v>
      </c>
      <c r="B192" s="3" t="s">
        <v>223</v>
      </c>
      <c r="C192" s="1"/>
      <c r="D192" s="3"/>
    </row>
    <row r="193" spans="1:4" ht="15.75" customHeight="1" x14ac:dyDescent="0.3">
      <c r="A193" s="2">
        <v>27185433736</v>
      </c>
      <c r="B193" s="3" t="s">
        <v>224</v>
      </c>
      <c r="C193" s="1"/>
      <c r="D193" s="3"/>
    </row>
    <row r="194" spans="1:4" ht="15.75" customHeight="1" x14ac:dyDescent="0.3">
      <c r="A194" s="2">
        <v>20291523626</v>
      </c>
      <c r="B194" s="3" t="s">
        <v>225</v>
      </c>
      <c r="C194" s="1"/>
      <c r="D194" s="3"/>
    </row>
    <row r="195" spans="1:4" ht="15.75" customHeight="1" x14ac:dyDescent="0.3">
      <c r="A195" s="2">
        <v>30711974268</v>
      </c>
      <c r="B195" s="3" t="s">
        <v>226</v>
      </c>
      <c r="C195" s="1"/>
      <c r="D195" s="3"/>
    </row>
    <row r="196" spans="1:4" ht="15.75" customHeight="1" x14ac:dyDescent="0.3">
      <c r="A196" s="2">
        <v>30702966066</v>
      </c>
      <c r="B196" s="3" t="s">
        <v>227</v>
      </c>
      <c r="C196" s="1" t="s">
        <v>5</v>
      </c>
      <c r="D196" s="3"/>
    </row>
    <row r="197" spans="1:4" ht="15.75" customHeight="1" x14ac:dyDescent="0.3">
      <c r="A197" s="2">
        <v>27149042488</v>
      </c>
      <c r="B197" s="3" t="s">
        <v>228</v>
      </c>
      <c r="C197" s="1" t="s">
        <v>15</v>
      </c>
      <c r="D197" s="3"/>
    </row>
    <row r="198" spans="1:4" ht="15.75" customHeight="1" x14ac:dyDescent="0.3">
      <c r="A198" s="2">
        <v>30711727236</v>
      </c>
      <c r="B198" s="3" t="s">
        <v>229</v>
      </c>
      <c r="C198" s="1" t="s">
        <v>15</v>
      </c>
      <c r="D198" s="3"/>
    </row>
    <row r="199" spans="1:4" ht="15.75" customHeight="1" x14ac:dyDescent="0.3">
      <c r="A199" s="2">
        <v>30707791728</v>
      </c>
      <c r="B199" s="3" t="s">
        <v>230</v>
      </c>
      <c r="C199" s="1" t="s">
        <v>15</v>
      </c>
      <c r="D199" s="3"/>
    </row>
    <row r="200" spans="1:4" ht="15.75" customHeight="1" x14ac:dyDescent="0.3">
      <c r="A200" s="2">
        <v>30655116202</v>
      </c>
      <c r="B200" s="3" t="s">
        <v>231</v>
      </c>
      <c r="C200" s="1"/>
      <c r="D200" s="3"/>
    </row>
    <row r="201" spans="1:4" ht="15.75" customHeight="1" x14ac:dyDescent="0.3">
      <c r="A201" s="2">
        <v>30655116512</v>
      </c>
      <c r="B201" s="3" t="s">
        <v>232</v>
      </c>
      <c r="C201" s="1" t="s">
        <v>17</v>
      </c>
      <c r="D201" s="3"/>
    </row>
    <row r="202" spans="1:4" ht="15.75" customHeight="1" x14ac:dyDescent="0.3">
      <c r="A202" s="2">
        <v>20045397506</v>
      </c>
      <c r="B202" s="3" t="s">
        <v>233</v>
      </c>
      <c r="C202" s="1" t="s">
        <v>5</v>
      </c>
      <c r="D202" s="3"/>
    </row>
    <row r="203" spans="1:4" ht="15.75" customHeight="1" x14ac:dyDescent="0.3">
      <c r="A203" s="2">
        <v>30555405428</v>
      </c>
      <c r="B203" s="3" t="s">
        <v>234</v>
      </c>
      <c r="C203" s="1"/>
      <c r="D203" s="3"/>
    </row>
    <row r="204" spans="1:4" ht="15.75" customHeight="1" x14ac:dyDescent="0.3">
      <c r="A204" s="2">
        <v>30500039430</v>
      </c>
      <c r="B204" s="3" t="s">
        <v>235</v>
      </c>
      <c r="C204" s="1"/>
      <c r="D204" s="3"/>
    </row>
    <row r="205" spans="1:4" ht="15.75" customHeight="1" x14ac:dyDescent="0.3">
      <c r="A205" s="2">
        <v>30709363944</v>
      </c>
      <c r="B205" s="3" t="s">
        <v>236</v>
      </c>
      <c r="C205" s="1"/>
      <c r="D205" s="3"/>
    </row>
    <row r="206" spans="1:4" ht="15.75" customHeight="1" x14ac:dyDescent="0.3">
      <c r="A206" s="2">
        <v>30543659734</v>
      </c>
      <c r="B206" s="3" t="s">
        <v>237</v>
      </c>
      <c r="C206" s="1" t="s">
        <v>7</v>
      </c>
      <c r="D206" s="3"/>
    </row>
    <row r="207" spans="1:4" ht="15.75" customHeight="1" x14ac:dyDescent="0.3">
      <c r="A207" s="2">
        <v>27290073419</v>
      </c>
      <c r="B207" s="3" t="s">
        <v>238</v>
      </c>
      <c r="C207" s="1" t="s">
        <v>15</v>
      </c>
      <c r="D207" s="3"/>
    </row>
    <row r="208" spans="1:4" ht="15.75" customHeight="1" x14ac:dyDescent="0.3">
      <c r="A208" s="2">
        <v>30709641073</v>
      </c>
      <c r="B208" s="3" t="s">
        <v>239</v>
      </c>
      <c r="C208" s="1"/>
      <c r="D208" s="3"/>
    </row>
    <row r="209" spans="1:4" ht="15.75" customHeight="1" x14ac:dyDescent="0.3">
      <c r="A209" s="2">
        <v>30709131865</v>
      </c>
      <c r="B209" s="3" t="s">
        <v>240</v>
      </c>
      <c r="C209" s="1"/>
      <c r="D209" s="3"/>
    </row>
    <row r="210" spans="1:4" ht="15.75" customHeight="1" x14ac:dyDescent="0.3">
      <c r="A210" s="2">
        <v>30707397256</v>
      </c>
      <c r="B210" s="3" t="s">
        <v>241</v>
      </c>
      <c r="C210" s="1" t="s">
        <v>242</v>
      </c>
      <c r="D210" s="3"/>
    </row>
    <row r="211" spans="1:4" ht="15.75" customHeight="1" x14ac:dyDescent="0.3">
      <c r="A211" s="2">
        <v>23136548719</v>
      </c>
      <c r="B211" s="3" t="s">
        <v>243</v>
      </c>
      <c r="C211" s="1"/>
      <c r="D211" s="3"/>
    </row>
    <row r="212" spans="1:4" ht="15.75" customHeight="1" x14ac:dyDescent="0.3">
      <c r="A212" s="2">
        <v>30517613165</v>
      </c>
      <c r="B212" s="3" t="s">
        <v>244</v>
      </c>
      <c r="C212" s="1" t="s">
        <v>5</v>
      </c>
      <c r="D212" s="3"/>
    </row>
    <row r="213" spans="1:4" ht="15.75" customHeight="1" x14ac:dyDescent="0.3">
      <c r="A213" s="2">
        <v>30709368067</v>
      </c>
      <c r="B213" s="3" t="s">
        <v>245</v>
      </c>
      <c r="C213" s="1" t="s">
        <v>130</v>
      </c>
      <c r="D213" s="3"/>
    </row>
    <row r="214" spans="1:4" ht="15.75" customHeight="1" x14ac:dyDescent="0.3">
      <c r="A214" s="2">
        <v>30614104712</v>
      </c>
      <c r="B214" s="3" t="s">
        <v>246</v>
      </c>
      <c r="C214" s="1" t="s">
        <v>15</v>
      </c>
      <c r="D214" s="3"/>
    </row>
    <row r="215" spans="1:4" ht="15.75" customHeight="1" x14ac:dyDescent="0.3">
      <c r="A215" s="2">
        <v>30711861552</v>
      </c>
      <c r="B215" s="3" t="s">
        <v>247</v>
      </c>
      <c r="C215" s="1" t="s">
        <v>5</v>
      </c>
      <c r="D215" s="3"/>
    </row>
    <row r="216" spans="1:4" ht="15.75" customHeight="1" x14ac:dyDescent="0.3">
      <c r="A216" s="2">
        <v>33714662819</v>
      </c>
      <c r="B216" s="3" t="s">
        <v>248</v>
      </c>
      <c r="C216" s="1" t="s">
        <v>5</v>
      </c>
      <c r="D216" s="3"/>
    </row>
    <row r="217" spans="1:4" ht="15.75" customHeight="1" x14ac:dyDescent="0.3">
      <c r="A217" s="2">
        <v>33502734259</v>
      </c>
      <c r="B217" s="3" t="s">
        <v>249</v>
      </c>
      <c r="C217" s="1" t="s">
        <v>5</v>
      </c>
      <c r="D217" s="3"/>
    </row>
    <row r="218" spans="1:4" ht="15.75" customHeight="1" x14ac:dyDescent="0.3">
      <c r="A218" s="2">
        <v>30503255533</v>
      </c>
      <c r="B218" s="3" t="s">
        <v>250</v>
      </c>
      <c r="C218" s="1" t="s">
        <v>5</v>
      </c>
      <c r="D218" s="3"/>
    </row>
    <row r="219" spans="1:4" ht="15.75" customHeight="1" x14ac:dyDescent="0.3">
      <c r="A219" s="2">
        <v>20140958213</v>
      </c>
      <c r="B219" s="3" t="s">
        <v>251</v>
      </c>
      <c r="C219" s="1" t="s">
        <v>5</v>
      </c>
      <c r="D219" s="3"/>
    </row>
    <row r="220" spans="1:4" ht="15.75" customHeight="1" x14ac:dyDescent="0.3">
      <c r="A220" s="2">
        <v>30659276964</v>
      </c>
      <c r="B220" s="3" t="s">
        <v>252</v>
      </c>
      <c r="C220" s="1"/>
      <c r="D220" s="3"/>
    </row>
    <row r="221" spans="1:4" ht="15.75" customHeight="1" x14ac:dyDescent="0.3">
      <c r="A221" s="2">
        <v>20333309433</v>
      </c>
      <c r="B221" s="3" t="s">
        <v>253</v>
      </c>
      <c r="C221" s="1"/>
      <c r="D221" s="3"/>
    </row>
    <row r="222" spans="1:4" ht="15.75" customHeight="1" x14ac:dyDescent="0.3">
      <c r="A222" s="2">
        <v>27134817858</v>
      </c>
      <c r="B222" s="3" t="s">
        <v>254</v>
      </c>
      <c r="C222" s="1" t="s">
        <v>15</v>
      </c>
      <c r="D222" s="3"/>
    </row>
    <row r="223" spans="1:4" ht="15.75" customHeight="1" x14ac:dyDescent="0.3">
      <c r="A223" s="2">
        <v>27134817856</v>
      </c>
      <c r="B223" s="3" t="s">
        <v>254</v>
      </c>
      <c r="C223" s="1" t="s">
        <v>15</v>
      </c>
      <c r="D223" s="3"/>
    </row>
    <row r="224" spans="1:4" ht="15.75" customHeight="1" x14ac:dyDescent="0.3">
      <c r="A224" s="2">
        <v>30709440515</v>
      </c>
      <c r="B224" s="3" t="s">
        <v>255</v>
      </c>
      <c r="C224" s="1"/>
      <c r="D224" s="3"/>
    </row>
    <row r="225" spans="1:4" ht="15.75" customHeight="1" x14ac:dyDescent="0.3">
      <c r="A225" s="2">
        <v>33649668029</v>
      </c>
      <c r="B225" s="3" t="s">
        <v>256</v>
      </c>
      <c r="C225" s="1"/>
      <c r="D225" s="3"/>
    </row>
    <row r="226" spans="1:4" ht="15.75" customHeight="1" x14ac:dyDescent="0.3">
      <c r="A226" s="2">
        <v>20075959134</v>
      </c>
      <c r="B226" s="3" t="s">
        <v>257</v>
      </c>
      <c r="C226" s="1" t="s">
        <v>122</v>
      </c>
      <c r="D226" s="3"/>
    </row>
    <row r="227" spans="1:4" ht="15.75" customHeight="1" x14ac:dyDescent="0.3">
      <c r="A227" s="2">
        <v>20086277523</v>
      </c>
      <c r="B227" s="3" t="s">
        <v>258</v>
      </c>
      <c r="C227" s="1" t="s">
        <v>1560</v>
      </c>
      <c r="D227" s="3"/>
    </row>
    <row r="228" spans="1:4" ht="15.75" customHeight="1" x14ac:dyDescent="0.3">
      <c r="A228" s="2">
        <v>30716109158</v>
      </c>
      <c r="B228" s="3" t="s">
        <v>259</v>
      </c>
      <c r="C228" s="1"/>
      <c r="D228" s="3"/>
    </row>
    <row r="229" spans="1:4" ht="15.75" customHeight="1" x14ac:dyDescent="0.3">
      <c r="A229" s="2">
        <v>33714956049</v>
      </c>
      <c r="B229" s="3" t="s">
        <v>260</v>
      </c>
      <c r="C229" s="1"/>
      <c r="D229" s="3"/>
    </row>
    <row r="230" spans="1:4" ht="15.75" customHeight="1" x14ac:dyDescent="0.3">
      <c r="A230" s="2">
        <v>30526582884</v>
      </c>
      <c r="B230" s="3" t="s">
        <v>261</v>
      </c>
      <c r="C230" s="1"/>
      <c r="D230" s="3"/>
    </row>
    <row r="231" spans="1:4" ht="15.75" customHeight="1" x14ac:dyDescent="0.3">
      <c r="A231" s="2">
        <v>30708007761</v>
      </c>
      <c r="B231" s="3" t="s">
        <v>262</v>
      </c>
      <c r="C231" s="1" t="s">
        <v>5</v>
      </c>
      <c r="D231" s="3"/>
    </row>
    <row r="232" spans="1:4" ht="15.75" customHeight="1" x14ac:dyDescent="0.3">
      <c r="A232" s="2">
        <v>30709001554</v>
      </c>
      <c r="B232" s="3" t="s">
        <v>263</v>
      </c>
      <c r="C232" s="1" t="s">
        <v>5</v>
      </c>
      <c r="D232" s="3"/>
    </row>
    <row r="233" spans="1:4" ht="15.75" customHeight="1" x14ac:dyDescent="0.3">
      <c r="A233" s="2">
        <v>30715980807</v>
      </c>
      <c r="B233" s="3" t="s">
        <v>264</v>
      </c>
      <c r="C233" s="1"/>
      <c r="D233" s="3"/>
    </row>
    <row r="234" spans="1:4" ht="15.75" customHeight="1" x14ac:dyDescent="0.3">
      <c r="A234" s="2">
        <v>30502443719</v>
      </c>
      <c r="B234" s="3" t="s">
        <v>265</v>
      </c>
      <c r="C234" s="1" t="s">
        <v>5</v>
      </c>
      <c r="D234" s="3"/>
    </row>
    <row r="235" spans="1:4" ht="15.75" customHeight="1" x14ac:dyDescent="0.3">
      <c r="A235" s="2">
        <v>30655725829</v>
      </c>
      <c r="B235" s="3" t="s">
        <v>266</v>
      </c>
      <c r="C235" s="1"/>
      <c r="D235" s="3"/>
    </row>
    <row r="236" spans="1:4" ht="15.75" customHeight="1" x14ac:dyDescent="0.3">
      <c r="A236" s="2">
        <v>33709432279</v>
      </c>
      <c r="B236" s="3" t="s">
        <v>267</v>
      </c>
      <c r="C236" s="1" t="s">
        <v>10</v>
      </c>
      <c r="D236" s="3"/>
    </row>
    <row r="237" spans="1:4" ht="15.75" customHeight="1" x14ac:dyDescent="0.3">
      <c r="A237" s="2">
        <v>30517914874</v>
      </c>
      <c r="B237" s="3" t="s">
        <v>268</v>
      </c>
      <c r="C237" s="1" t="s">
        <v>5</v>
      </c>
      <c r="D237" s="3"/>
    </row>
    <row r="238" spans="1:4" ht="15.75" customHeight="1" x14ac:dyDescent="0.3">
      <c r="A238" s="2">
        <v>33707366589</v>
      </c>
      <c r="B238" s="3" t="s">
        <v>269</v>
      </c>
      <c r="C238" s="1" t="s">
        <v>270</v>
      </c>
      <c r="D238" s="3"/>
    </row>
    <row r="239" spans="1:4" ht="15.75" customHeight="1" x14ac:dyDescent="0.3">
      <c r="A239" s="2">
        <v>20400104094</v>
      </c>
      <c r="B239" s="3" t="s">
        <v>271</v>
      </c>
      <c r="C239" s="1" t="s">
        <v>1560</v>
      </c>
      <c r="D239" s="3"/>
    </row>
    <row r="240" spans="1:4" ht="15.75" customHeight="1" x14ac:dyDescent="0.3">
      <c r="A240" s="2">
        <v>20317075430</v>
      </c>
      <c r="B240" s="3" t="s">
        <v>272</v>
      </c>
      <c r="C240" s="1"/>
      <c r="D240" s="3"/>
    </row>
    <row r="241" spans="1:4" ht="15.75" customHeight="1" x14ac:dyDescent="0.3">
      <c r="A241" s="2">
        <v>30712231595</v>
      </c>
      <c r="B241" s="3" t="s">
        <v>273</v>
      </c>
      <c r="C241" s="1"/>
      <c r="D241" s="3"/>
    </row>
    <row r="242" spans="1:4" ht="15.75" customHeight="1" x14ac:dyDescent="0.3">
      <c r="A242" s="2">
        <v>20173651172</v>
      </c>
      <c r="B242" s="3" t="s">
        <v>274</v>
      </c>
      <c r="C242" s="1"/>
      <c r="D242" s="3"/>
    </row>
    <row r="243" spans="1:4" ht="15.75" customHeight="1" x14ac:dyDescent="0.3">
      <c r="A243" s="2">
        <v>30661667822</v>
      </c>
      <c r="B243" s="3" t="s">
        <v>275</v>
      </c>
      <c r="C243" s="1" t="s">
        <v>5</v>
      </c>
      <c r="D243" s="3"/>
    </row>
    <row r="244" spans="1:4" ht="15.75" customHeight="1" x14ac:dyDescent="0.3">
      <c r="A244" s="2">
        <v>30540918364</v>
      </c>
      <c r="B244" s="3" t="s">
        <v>276</v>
      </c>
      <c r="C244" s="1" t="s">
        <v>15</v>
      </c>
      <c r="D244" s="3"/>
    </row>
    <row r="245" spans="1:4" ht="15.75" customHeight="1" x14ac:dyDescent="0.3">
      <c r="A245" s="2">
        <v>20082650424</v>
      </c>
      <c r="B245" s="3" t="s">
        <v>277</v>
      </c>
      <c r="C245" s="1"/>
      <c r="D245" s="3"/>
    </row>
    <row r="246" spans="1:4" ht="15.75" customHeight="1" x14ac:dyDescent="0.3">
      <c r="A246" s="2">
        <v>30716243946</v>
      </c>
      <c r="B246" s="3" t="s">
        <v>278</v>
      </c>
      <c r="C246" s="1" t="s">
        <v>279</v>
      </c>
      <c r="D246" s="3"/>
    </row>
    <row r="247" spans="1:4" ht="15.75" customHeight="1" x14ac:dyDescent="0.3">
      <c r="A247" s="2">
        <v>30709453293</v>
      </c>
      <c r="B247" s="3" t="s">
        <v>280</v>
      </c>
      <c r="C247" s="1"/>
      <c r="D247" s="3"/>
    </row>
    <row r="248" spans="1:4" ht="15.75" customHeight="1" x14ac:dyDescent="0.3">
      <c r="A248" s="2">
        <v>30525341263</v>
      </c>
      <c r="B248" s="3" t="s">
        <v>281</v>
      </c>
      <c r="C248" s="1" t="s">
        <v>5</v>
      </c>
      <c r="D248" s="3"/>
    </row>
    <row r="249" spans="1:4" ht="15.75" customHeight="1" x14ac:dyDescent="0.3">
      <c r="A249" s="2">
        <v>33707529879</v>
      </c>
      <c r="B249" s="3" t="s">
        <v>282</v>
      </c>
      <c r="C249" s="1" t="s">
        <v>5</v>
      </c>
      <c r="D249" s="3"/>
    </row>
    <row r="250" spans="1:4" ht="15.75" customHeight="1" x14ac:dyDescent="0.3">
      <c r="A250" s="2">
        <v>20287501588</v>
      </c>
      <c r="B250" s="3" t="s">
        <v>283</v>
      </c>
      <c r="C250" s="1" t="s">
        <v>284</v>
      </c>
      <c r="D250" s="3"/>
    </row>
    <row r="251" spans="1:4" ht="15.75" customHeight="1" x14ac:dyDescent="0.3">
      <c r="A251" s="2">
        <v>30708854456</v>
      </c>
      <c r="B251" s="3" t="s">
        <v>285</v>
      </c>
      <c r="C251" s="1" t="s">
        <v>10</v>
      </c>
      <c r="D251" s="3"/>
    </row>
    <row r="252" spans="1:4" ht="15.75" customHeight="1" x14ac:dyDescent="0.3">
      <c r="A252" s="2">
        <v>20111225304</v>
      </c>
      <c r="B252" s="3" t="s">
        <v>286</v>
      </c>
      <c r="C252" s="1"/>
      <c r="D252" s="3"/>
    </row>
    <row r="253" spans="1:4" ht="15.75" customHeight="1" x14ac:dyDescent="0.3">
      <c r="A253" s="2">
        <v>30516348727</v>
      </c>
      <c r="B253" s="3" t="s">
        <v>287</v>
      </c>
      <c r="C253" s="1" t="s">
        <v>5</v>
      </c>
      <c r="D253" s="3"/>
    </row>
    <row r="254" spans="1:4" ht="15.75" customHeight="1" x14ac:dyDescent="0.3">
      <c r="A254" s="2">
        <v>30695097596</v>
      </c>
      <c r="B254" s="3" t="s">
        <v>288</v>
      </c>
      <c r="C254" s="1"/>
      <c r="D254" s="3"/>
    </row>
    <row r="255" spans="1:4" ht="15.75" customHeight="1" x14ac:dyDescent="0.3">
      <c r="A255" s="2">
        <v>30708363126</v>
      </c>
      <c r="B255" s="3" t="s">
        <v>289</v>
      </c>
      <c r="C255" s="1" t="s">
        <v>7</v>
      </c>
      <c r="D255" s="3"/>
    </row>
    <row r="256" spans="1:4" ht="15.75" customHeight="1" x14ac:dyDescent="0.3">
      <c r="A256" s="2">
        <v>30711166927</v>
      </c>
      <c r="B256" s="3" t="s">
        <v>290</v>
      </c>
      <c r="C256" s="1"/>
      <c r="D256" s="3"/>
    </row>
    <row r="257" spans="1:4" ht="15.75" customHeight="1" x14ac:dyDescent="0.3">
      <c r="A257" s="2">
        <v>20934275218</v>
      </c>
      <c r="B257" s="3" t="s">
        <v>291</v>
      </c>
      <c r="C257" s="1"/>
      <c r="D257" s="3"/>
    </row>
    <row r="258" spans="1:4" ht="15.75" customHeight="1" x14ac:dyDescent="0.3">
      <c r="A258" s="2">
        <v>33714230129</v>
      </c>
      <c r="B258" s="3" t="s">
        <v>292</v>
      </c>
      <c r="C258" s="1"/>
      <c r="D258" s="3"/>
    </row>
    <row r="259" spans="1:4" ht="15.75" customHeight="1" x14ac:dyDescent="0.3">
      <c r="A259" s="2">
        <v>30526874249</v>
      </c>
      <c r="B259" s="3" t="s">
        <v>293</v>
      </c>
      <c r="C259" s="1"/>
      <c r="D259" s="3"/>
    </row>
    <row r="260" spans="1:4" ht="15.75" customHeight="1" x14ac:dyDescent="0.3">
      <c r="A260" s="2">
        <v>30711491801</v>
      </c>
      <c r="B260" s="3" t="s">
        <v>294</v>
      </c>
      <c r="C260" s="1"/>
      <c r="D260" s="3"/>
    </row>
    <row r="261" spans="1:4" ht="15.75" customHeight="1" x14ac:dyDescent="0.3">
      <c r="A261" s="2">
        <v>30657418877</v>
      </c>
      <c r="B261" s="3" t="s">
        <v>295</v>
      </c>
      <c r="C261" s="1"/>
      <c r="D261" s="3"/>
    </row>
    <row r="262" spans="1:4" ht="15.75" customHeight="1" x14ac:dyDescent="0.3">
      <c r="A262" s="2">
        <v>30535302606</v>
      </c>
      <c r="B262" s="3" t="s">
        <v>296</v>
      </c>
      <c r="C262" s="1" t="s">
        <v>5</v>
      </c>
      <c r="D262" s="3"/>
    </row>
    <row r="263" spans="1:4" ht="15.75" customHeight="1" x14ac:dyDescent="0.3">
      <c r="A263" s="2">
        <v>30500987878</v>
      </c>
      <c r="B263" s="3" t="s">
        <v>297</v>
      </c>
      <c r="C263" s="1" t="s">
        <v>298</v>
      </c>
      <c r="D263" s="3"/>
    </row>
    <row r="264" spans="1:4" ht="15.75" customHeight="1" x14ac:dyDescent="0.3">
      <c r="A264" s="2">
        <v>23920485979</v>
      </c>
      <c r="B264" s="3" t="s">
        <v>299</v>
      </c>
      <c r="C264" s="1" t="s">
        <v>15</v>
      </c>
      <c r="D264" s="3"/>
    </row>
    <row r="265" spans="1:4" ht="15.75" customHeight="1" x14ac:dyDescent="0.3">
      <c r="A265" s="2">
        <v>30699695242</v>
      </c>
      <c r="B265" s="3" t="s">
        <v>300</v>
      </c>
      <c r="C265" s="1"/>
      <c r="D265" s="3"/>
    </row>
    <row r="266" spans="1:4" ht="15.75" customHeight="1" x14ac:dyDescent="0.3">
      <c r="A266" s="2">
        <v>30698914277</v>
      </c>
      <c r="B266" s="3" t="s">
        <v>301</v>
      </c>
      <c r="C266" s="1"/>
      <c r="D266" s="3"/>
    </row>
    <row r="267" spans="1:4" ht="15.75" customHeight="1" x14ac:dyDescent="0.3">
      <c r="A267" s="2">
        <v>30522428163</v>
      </c>
      <c r="B267" s="3" t="s">
        <v>302</v>
      </c>
      <c r="C267" s="1"/>
      <c r="D267" s="3"/>
    </row>
    <row r="268" spans="1:4" ht="15.75" customHeight="1" x14ac:dyDescent="0.3">
      <c r="A268" s="2">
        <v>30685228501</v>
      </c>
      <c r="B268" s="3" t="s">
        <v>303</v>
      </c>
      <c r="C268" s="1"/>
      <c r="D268" s="3"/>
    </row>
    <row r="269" spans="1:4" ht="15.75" customHeight="1" x14ac:dyDescent="0.3">
      <c r="A269" s="2">
        <v>20214688590</v>
      </c>
      <c r="B269" s="3" t="s">
        <v>304</v>
      </c>
      <c r="C269" s="1" t="s">
        <v>15</v>
      </c>
      <c r="D269" s="3"/>
    </row>
    <row r="270" spans="1:4" ht="15.75" customHeight="1" x14ac:dyDescent="0.3">
      <c r="A270" s="2">
        <v>30639782383</v>
      </c>
      <c r="B270" s="3" t="s">
        <v>305</v>
      </c>
      <c r="C270" s="1" t="s">
        <v>15</v>
      </c>
      <c r="D270" s="3"/>
    </row>
    <row r="271" spans="1:4" ht="15.75" customHeight="1" x14ac:dyDescent="0.3">
      <c r="A271" s="2">
        <v>20101268897</v>
      </c>
      <c r="B271" s="3" t="s">
        <v>306</v>
      </c>
      <c r="C271" s="1"/>
      <c r="D271" s="3"/>
    </row>
    <row r="272" spans="1:4" ht="15.75" customHeight="1" x14ac:dyDescent="0.3">
      <c r="A272" s="2">
        <v>30544052027</v>
      </c>
      <c r="B272" s="3" t="s">
        <v>307</v>
      </c>
      <c r="C272" s="1" t="s">
        <v>5</v>
      </c>
      <c r="D272" s="3"/>
    </row>
    <row r="273" spans="1:4" ht="15.75" customHeight="1" x14ac:dyDescent="0.3">
      <c r="A273" s="2">
        <v>30709737348</v>
      </c>
      <c r="B273" s="3" t="s">
        <v>308</v>
      </c>
      <c r="C273" s="1" t="s">
        <v>15</v>
      </c>
      <c r="D273" s="3"/>
    </row>
    <row r="274" spans="1:4" ht="15.75" customHeight="1" x14ac:dyDescent="0.3">
      <c r="A274" s="2">
        <v>30708855975</v>
      </c>
      <c r="B274" s="3" t="s">
        <v>309</v>
      </c>
      <c r="C274" s="1" t="s">
        <v>5</v>
      </c>
      <c r="D274" s="3"/>
    </row>
    <row r="275" spans="1:4" ht="15.75" customHeight="1" x14ac:dyDescent="0.3">
      <c r="A275" s="2">
        <v>20225327638</v>
      </c>
      <c r="B275" s="3" t="s">
        <v>310</v>
      </c>
      <c r="C275" s="1" t="s">
        <v>5</v>
      </c>
      <c r="D275" s="3"/>
    </row>
    <row r="276" spans="1:4" ht="15.75" customHeight="1" x14ac:dyDescent="0.3">
      <c r="A276" s="2">
        <v>30546694263</v>
      </c>
      <c r="B276" s="3" t="s">
        <v>311</v>
      </c>
      <c r="C276" s="1"/>
      <c r="D276" s="3"/>
    </row>
    <row r="277" spans="1:4" ht="15.75" customHeight="1" x14ac:dyDescent="0.3">
      <c r="A277" s="2">
        <v>27217642464</v>
      </c>
      <c r="B277" s="3" t="s">
        <v>312</v>
      </c>
      <c r="C277" s="1" t="s">
        <v>15</v>
      </c>
      <c r="D277" s="3"/>
    </row>
    <row r="278" spans="1:4" ht="15.75" customHeight="1" x14ac:dyDescent="0.3">
      <c r="A278" s="2">
        <v>30711950113</v>
      </c>
      <c r="B278" s="3" t="s">
        <v>313</v>
      </c>
      <c r="C278" s="1" t="s">
        <v>5</v>
      </c>
      <c r="D278" s="3"/>
    </row>
    <row r="279" spans="1:4" ht="15.75" customHeight="1" x14ac:dyDescent="0.3">
      <c r="A279" s="2">
        <v>30626885981</v>
      </c>
      <c r="B279" s="3" t="s">
        <v>314</v>
      </c>
      <c r="C279" s="1" t="s">
        <v>5</v>
      </c>
      <c r="D279" s="3"/>
    </row>
    <row r="280" spans="1:4" ht="15.75" customHeight="1" x14ac:dyDescent="0.3">
      <c r="A280" s="2">
        <v>30711069573</v>
      </c>
      <c r="B280" s="3" t="s">
        <v>315</v>
      </c>
      <c r="C280" s="1" t="s">
        <v>5</v>
      </c>
      <c r="D280" s="3"/>
    </row>
    <row r="281" spans="1:4" ht="15.75" customHeight="1" x14ac:dyDescent="0.3">
      <c r="A281" s="2">
        <v>30715003666</v>
      </c>
      <c r="B281" s="3" t="s">
        <v>316</v>
      </c>
      <c r="C281" s="1" t="s">
        <v>10</v>
      </c>
      <c r="D281" s="3"/>
    </row>
    <row r="282" spans="1:4" ht="15.75" customHeight="1" x14ac:dyDescent="0.3">
      <c r="A282" s="2">
        <v>20361501722</v>
      </c>
      <c r="B282" s="3" t="s">
        <v>317</v>
      </c>
      <c r="C282" s="1" t="s">
        <v>15</v>
      </c>
      <c r="D282" s="3"/>
    </row>
    <row r="283" spans="1:4" ht="15.75" customHeight="1" x14ac:dyDescent="0.3">
      <c r="A283" s="2">
        <v>23258555333</v>
      </c>
      <c r="B283" s="3" t="s">
        <v>318</v>
      </c>
      <c r="C283" s="1"/>
      <c r="D283" s="3"/>
    </row>
    <row r="284" spans="1:4" ht="15.75" customHeight="1" x14ac:dyDescent="0.3">
      <c r="A284" s="2">
        <v>30715303791</v>
      </c>
      <c r="B284" s="3" t="s">
        <v>319</v>
      </c>
      <c r="C284" s="1"/>
      <c r="D284" s="3"/>
    </row>
    <row r="285" spans="1:4" ht="15.75" customHeight="1" x14ac:dyDescent="0.3">
      <c r="A285" s="2">
        <v>3368716053.9000001</v>
      </c>
      <c r="B285" s="3" t="s">
        <v>320</v>
      </c>
      <c r="C285" s="1" t="s">
        <v>5</v>
      </c>
      <c r="D285" s="3"/>
    </row>
    <row r="286" spans="1:4" ht="15.75" customHeight="1" x14ac:dyDescent="0.3">
      <c r="A286" s="2">
        <v>33687160539</v>
      </c>
      <c r="B286" s="3" t="s">
        <v>320</v>
      </c>
      <c r="C286" s="1" t="s">
        <v>5</v>
      </c>
      <c r="D286" s="3"/>
    </row>
    <row r="287" spans="1:4" ht="15.75" customHeight="1" x14ac:dyDescent="0.3">
      <c r="A287" s="2">
        <v>30707867325</v>
      </c>
      <c r="B287" s="3" t="s">
        <v>321</v>
      </c>
      <c r="C287" s="1"/>
      <c r="D287" s="3"/>
    </row>
    <row r="288" spans="1:4" ht="15.75" customHeight="1" x14ac:dyDescent="0.3">
      <c r="A288" s="2">
        <v>20050719864</v>
      </c>
      <c r="B288" s="3" t="s">
        <v>322</v>
      </c>
      <c r="C288" s="1"/>
      <c r="D288" s="3"/>
    </row>
    <row r="289" spans="1:4" ht="15.75" customHeight="1" x14ac:dyDescent="0.3">
      <c r="A289" s="2">
        <v>30633217803</v>
      </c>
      <c r="B289" s="3" t="s">
        <v>323</v>
      </c>
      <c r="C289" s="1"/>
      <c r="D289" s="3"/>
    </row>
    <row r="290" spans="1:4" ht="15.75" customHeight="1" x14ac:dyDescent="0.3">
      <c r="A290" s="2">
        <v>30712776403</v>
      </c>
      <c r="B290" s="3" t="s">
        <v>324</v>
      </c>
      <c r="C290" s="1"/>
      <c r="D290" s="3"/>
    </row>
    <row r="291" spans="1:4" ht="15.75" customHeight="1" x14ac:dyDescent="0.3">
      <c r="A291" s="2">
        <v>30712778403</v>
      </c>
      <c r="B291" s="3" t="s">
        <v>325</v>
      </c>
      <c r="C291" s="1" t="s">
        <v>130</v>
      </c>
      <c r="D291" s="3"/>
    </row>
    <row r="292" spans="1:4" ht="15.75" customHeight="1" x14ac:dyDescent="0.3">
      <c r="A292" s="2">
        <v>33695089789</v>
      </c>
      <c r="B292" s="3" t="s">
        <v>326</v>
      </c>
      <c r="C292" s="1"/>
      <c r="D292" s="3"/>
    </row>
    <row r="293" spans="1:4" ht="15.75" customHeight="1" x14ac:dyDescent="0.3">
      <c r="A293" s="2">
        <v>30712460969</v>
      </c>
      <c r="B293" s="3" t="s">
        <v>327</v>
      </c>
      <c r="C293" s="1" t="s">
        <v>10</v>
      </c>
      <c r="D293" s="3"/>
    </row>
    <row r="294" spans="1:4" ht="15.75" customHeight="1" x14ac:dyDescent="0.3">
      <c r="A294" s="2">
        <v>30663498513</v>
      </c>
      <c r="B294" s="3" t="s">
        <v>328</v>
      </c>
      <c r="C294" s="1"/>
      <c r="D294" s="3"/>
    </row>
    <row r="295" spans="1:4" ht="15.75" customHeight="1" x14ac:dyDescent="0.3">
      <c r="A295" s="2">
        <v>30715775014</v>
      </c>
      <c r="B295" s="3" t="s">
        <v>329</v>
      </c>
      <c r="C295" s="1"/>
      <c r="D295" s="3"/>
    </row>
    <row r="296" spans="1:4" ht="15.75" customHeight="1" x14ac:dyDescent="0.3">
      <c r="A296" s="2">
        <v>30709227161</v>
      </c>
      <c r="B296" s="3" t="s">
        <v>330</v>
      </c>
      <c r="C296" s="1"/>
      <c r="D296" s="3"/>
    </row>
    <row r="297" spans="1:4" ht="15.75" customHeight="1" x14ac:dyDescent="0.3">
      <c r="A297" s="2">
        <v>20940658609</v>
      </c>
      <c r="B297" s="3" t="s">
        <v>331</v>
      </c>
      <c r="C297" s="1"/>
      <c r="D297" s="3"/>
    </row>
    <row r="298" spans="1:4" ht="15.75" customHeight="1" x14ac:dyDescent="0.3">
      <c r="A298" s="2">
        <v>30541849307</v>
      </c>
      <c r="B298" s="3" t="s">
        <v>332</v>
      </c>
      <c r="C298" s="1" t="s">
        <v>5</v>
      </c>
      <c r="D298" s="3"/>
    </row>
    <row r="299" spans="1:4" ht="15.75" customHeight="1" x14ac:dyDescent="0.3">
      <c r="A299" s="2">
        <v>30582876661</v>
      </c>
      <c r="B299" s="3" t="s">
        <v>333</v>
      </c>
      <c r="C299" s="1"/>
      <c r="D299" s="3"/>
    </row>
    <row r="300" spans="1:4" ht="15.75" customHeight="1" x14ac:dyDescent="0.3">
      <c r="A300" s="2">
        <v>20270084304</v>
      </c>
      <c r="B300" s="3" t="s">
        <v>334</v>
      </c>
      <c r="C300" s="1" t="s">
        <v>5</v>
      </c>
      <c r="D300" s="3"/>
    </row>
    <row r="301" spans="1:4" ht="15.75" customHeight="1" x14ac:dyDescent="0.3">
      <c r="A301" s="2">
        <v>20144078188</v>
      </c>
      <c r="B301" s="3" t="s">
        <v>335</v>
      </c>
      <c r="C301" s="1"/>
      <c r="D301" s="3"/>
    </row>
    <row r="302" spans="1:4" ht="15.75" customHeight="1" x14ac:dyDescent="0.3">
      <c r="A302" s="2">
        <v>20108381508</v>
      </c>
      <c r="B302" s="3" t="s">
        <v>336</v>
      </c>
      <c r="C302" s="1" t="s">
        <v>5</v>
      </c>
      <c r="D302" s="3"/>
    </row>
    <row r="303" spans="1:4" ht="15.75" customHeight="1" x14ac:dyDescent="0.3">
      <c r="A303" s="2">
        <v>20253264390</v>
      </c>
      <c r="B303" s="3" t="s">
        <v>337</v>
      </c>
      <c r="C303" s="1" t="s">
        <v>5</v>
      </c>
      <c r="D303" s="3"/>
    </row>
    <row r="304" spans="1:4" ht="15.75" customHeight="1" x14ac:dyDescent="0.3">
      <c r="A304" s="2">
        <v>30570945285</v>
      </c>
      <c r="B304" s="3" t="s">
        <v>338</v>
      </c>
      <c r="C304" s="1"/>
      <c r="D304" s="3"/>
    </row>
    <row r="305" spans="1:4" ht="15.75" customHeight="1" x14ac:dyDescent="0.3">
      <c r="A305" s="2">
        <v>30593410354</v>
      </c>
      <c r="B305" s="3" t="s">
        <v>339</v>
      </c>
      <c r="C305" s="1"/>
      <c r="D305" s="3"/>
    </row>
    <row r="306" spans="1:4" ht="15.75" customHeight="1" x14ac:dyDescent="0.3">
      <c r="A306" s="2">
        <v>20275447057</v>
      </c>
      <c r="B306" s="3" t="s">
        <v>340</v>
      </c>
      <c r="C306" s="1" t="s">
        <v>15</v>
      </c>
      <c r="D306" s="3"/>
    </row>
    <row r="307" spans="1:4" ht="15.75" customHeight="1" x14ac:dyDescent="0.3">
      <c r="A307" s="2">
        <v>23219640269</v>
      </c>
      <c r="B307" s="3" t="s">
        <v>341</v>
      </c>
      <c r="C307" s="1" t="s">
        <v>5</v>
      </c>
      <c r="D307" s="3"/>
    </row>
    <row r="308" spans="1:4" ht="15.75" customHeight="1" x14ac:dyDescent="0.3">
      <c r="A308" s="2">
        <v>30699407476</v>
      </c>
      <c r="B308" s="3" t="s">
        <v>342</v>
      </c>
      <c r="C308" s="1" t="s">
        <v>5</v>
      </c>
      <c r="D308" s="3"/>
    </row>
    <row r="309" spans="1:4" ht="15.75" customHeight="1" x14ac:dyDescent="0.3">
      <c r="A309" s="2">
        <v>30708508221</v>
      </c>
      <c r="B309" s="3" t="s">
        <v>343</v>
      </c>
      <c r="C309" s="1" t="s">
        <v>1568</v>
      </c>
      <c r="D309" s="3"/>
    </row>
    <row r="310" spans="1:4" ht="15.75" customHeight="1" x14ac:dyDescent="0.3">
      <c r="A310" s="2">
        <v>30551450445</v>
      </c>
      <c r="B310" s="3" t="s">
        <v>344</v>
      </c>
      <c r="C310" s="1" t="s">
        <v>5</v>
      </c>
      <c r="D310" s="3"/>
    </row>
    <row r="311" spans="1:4" ht="15.75" customHeight="1" x14ac:dyDescent="0.3">
      <c r="A311" s="2">
        <v>27171152610</v>
      </c>
      <c r="B311" s="3" t="s">
        <v>345</v>
      </c>
      <c r="C311" s="1"/>
      <c r="D311" s="3"/>
    </row>
    <row r="312" spans="1:4" ht="15.75" customHeight="1" x14ac:dyDescent="0.3">
      <c r="A312" s="2">
        <v>20255683595</v>
      </c>
      <c r="B312" s="3" t="s">
        <v>346</v>
      </c>
      <c r="C312" s="1"/>
      <c r="D312" s="3"/>
    </row>
    <row r="313" spans="1:4" ht="15.75" customHeight="1" x14ac:dyDescent="0.3">
      <c r="A313" s="2">
        <v>30631285038</v>
      </c>
      <c r="B313" s="3" t="s">
        <v>347</v>
      </c>
      <c r="C313" s="1"/>
      <c r="D313" s="3"/>
    </row>
    <row r="314" spans="1:4" ht="15.75" customHeight="1" x14ac:dyDescent="0.3">
      <c r="A314" s="2">
        <v>30714254533</v>
      </c>
      <c r="B314" s="3" t="s">
        <v>348</v>
      </c>
      <c r="C314" s="1" t="s">
        <v>5</v>
      </c>
      <c r="D314" s="3"/>
    </row>
    <row r="315" spans="1:4" ht="15.75" customHeight="1" x14ac:dyDescent="0.3">
      <c r="A315" s="2">
        <v>30712354409</v>
      </c>
      <c r="B315" s="3" t="s">
        <v>349</v>
      </c>
      <c r="C315" s="1" t="s">
        <v>5</v>
      </c>
      <c r="D315" s="3"/>
    </row>
    <row r="316" spans="1:4" ht="15.75" customHeight="1" x14ac:dyDescent="0.3">
      <c r="A316" s="2">
        <v>30576631665</v>
      </c>
      <c r="B316" s="3" t="s">
        <v>350</v>
      </c>
      <c r="C316" s="1" t="s">
        <v>5</v>
      </c>
      <c r="D316" s="3"/>
    </row>
    <row r="317" spans="1:4" ht="15.75" customHeight="1" x14ac:dyDescent="0.3">
      <c r="A317" s="2">
        <v>30691712350</v>
      </c>
      <c r="B317" s="3" t="s">
        <v>351</v>
      </c>
      <c r="C317" s="1"/>
      <c r="D317" s="3"/>
    </row>
    <row r="318" spans="1:4" ht="15.75" customHeight="1" x14ac:dyDescent="0.3">
      <c r="A318" s="2">
        <v>30714696153</v>
      </c>
      <c r="B318" s="3" t="s">
        <v>352</v>
      </c>
      <c r="C318" s="1" t="s">
        <v>5</v>
      </c>
      <c r="D318" s="3"/>
    </row>
    <row r="319" spans="1:4" ht="15.75" customHeight="1" x14ac:dyDescent="0.3">
      <c r="A319" s="2">
        <v>30711017697</v>
      </c>
      <c r="B319" s="3" t="s">
        <v>353</v>
      </c>
      <c r="C319" s="1"/>
      <c r="D319" s="3"/>
    </row>
    <row r="320" spans="1:4" ht="15.75" customHeight="1" x14ac:dyDescent="0.3">
      <c r="A320" s="2">
        <v>23940960509</v>
      </c>
      <c r="B320" s="3" t="s">
        <v>354</v>
      </c>
      <c r="C320" s="1" t="s">
        <v>7</v>
      </c>
      <c r="D320" s="3"/>
    </row>
    <row r="321" spans="1:4" ht="15.75" customHeight="1" x14ac:dyDescent="0.3">
      <c r="A321" s="2">
        <v>30715578154</v>
      </c>
      <c r="B321" s="3" t="s">
        <v>355</v>
      </c>
      <c r="C321" s="1"/>
      <c r="D321" s="3"/>
    </row>
    <row r="322" spans="1:4" ht="15.75" customHeight="1" x14ac:dyDescent="0.3">
      <c r="A322" s="2">
        <v>30643827197</v>
      </c>
      <c r="B322" s="3" t="s">
        <v>356</v>
      </c>
      <c r="C322" s="1" t="s">
        <v>97</v>
      </c>
      <c r="D322" s="3"/>
    </row>
    <row r="323" spans="1:4" ht="15.75" customHeight="1" x14ac:dyDescent="0.3">
      <c r="A323" s="2">
        <v>30667805283</v>
      </c>
      <c r="B323" s="3" t="s">
        <v>357</v>
      </c>
      <c r="C323" s="1"/>
      <c r="D323" s="3"/>
    </row>
    <row r="324" spans="1:4" ht="15.75" customHeight="1" x14ac:dyDescent="0.3">
      <c r="A324" s="2">
        <v>30709443220</v>
      </c>
      <c r="B324" s="3" t="s">
        <v>358</v>
      </c>
      <c r="C324" s="1" t="s">
        <v>5</v>
      </c>
      <c r="D324" s="3"/>
    </row>
    <row r="325" spans="1:4" ht="15.75" customHeight="1" x14ac:dyDescent="0.3">
      <c r="A325" s="2">
        <v>30710457162</v>
      </c>
      <c r="B325" s="3" t="s">
        <v>359</v>
      </c>
      <c r="C325" s="1"/>
      <c r="D325" s="3"/>
    </row>
    <row r="326" spans="1:4" ht="15.75" customHeight="1" x14ac:dyDescent="0.3">
      <c r="A326" s="2">
        <v>33714935009</v>
      </c>
      <c r="B326" s="3" t="s">
        <v>360</v>
      </c>
      <c r="C326" s="1" t="s">
        <v>7</v>
      </c>
      <c r="D326" s="3"/>
    </row>
    <row r="327" spans="1:4" ht="15.75" customHeight="1" x14ac:dyDescent="0.3">
      <c r="A327" s="2">
        <v>30715237071</v>
      </c>
      <c r="B327" s="3" t="s">
        <v>361</v>
      </c>
      <c r="C327" s="1"/>
      <c r="D327" s="3"/>
    </row>
    <row r="328" spans="1:4" ht="15.75" customHeight="1" x14ac:dyDescent="0.3">
      <c r="A328" s="2">
        <v>20104571507</v>
      </c>
      <c r="B328" s="3" t="s">
        <v>362</v>
      </c>
      <c r="C328" s="1"/>
      <c r="D328" s="3"/>
    </row>
    <row r="329" spans="1:4" ht="15.75" customHeight="1" x14ac:dyDescent="0.3">
      <c r="A329" s="2">
        <v>30651822021</v>
      </c>
      <c r="B329" s="3" t="s">
        <v>363</v>
      </c>
      <c r="C329" s="1" t="s">
        <v>5</v>
      </c>
      <c r="D329" s="3"/>
    </row>
    <row r="330" spans="1:4" ht="15.75" customHeight="1" x14ac:dyDescent="0.3">
      <c r="A330" s="2">
        <v>30627739571</v>
      </c>
      <c r="B330" s="3" t="s">
        <v>364</v>
      </c>
      <c r="C330" s="1"/>
      <c r="D330" s="3"/>
    </row>
    <row r="331" spans="1:4" ht="15.75" customHeight="1" x14ac:dyDescent="0.3">
      <c r="A331" s="2">
        <v>30710149468</v>
      </c>
      <c r="B331" s="3" t="s">
        <v>365</v>
      </c>
      <c r="C331" s="1" t="s">
        <v>5</v>
      </c>
      <c r="D331" s="3"/>
    </row>
    <row r="332" spans="1:4" ht="15.75" customHeight="1" x14ac:dyDescent="0.3">
      <c r="A332" s="2">
        <v>30688241614</v>
      </c>
      <c r="B332" s="3" t="s">
        <v>366</v>
      </c>
      <c r="C332" s="1"/>
      <c r="D332" s="3"/>
    </row>
    <row r="333" spans="1:4" ht="15.75" customHeight="1" x14ac:dyDescent="0.3">
      <c r="A333" s="2">
        <v>30712479945</v>
      </c>
      <c r="B333" s="3" t="s">
        <v>367</v>
      </c>
      <c r="C333" s="1"/>
      <c r="D333" s="3"/>
    </row>
    <row r="334" spans="1:4" ht="15.75" customHeight="1" x14ac:dyDescent="0.3">
      <c r="A334" s="2">
        <v>30711738130</v>
      </c>
      <c r="B334" s="3" t="s">
        <v>368</v>
      </c>
      <c r="C334" s="1"/>
      <c r="D334" s="3"/>
    </row>
    <row r="335" spans="1:4" ht="15.75" customHeight="1" x14ac:dyDescent="0.3">
      <c r="A335" s="2">
        <v>30697770069</v>
      </c>
      <c r="B335" s="3" t="s">
        <v>369</v>
      </c>
      <c r="C335" s="1" t="s">
        <v>5</v>
      </c>
      <c r="D335" s="3"/>
    </row>
    <row r="336" spans="1:4" ht="15.75" customHeight="1" x14ac:dyDescent="0.3">
      <c r="A336" s="2">
        <v>33715678689</v>
      </c>
      <c r="B336" s="3" t="s">
        <v>370</v>
      </c>
      <c r="C336" s="1" t="s">
        <v>5</v>
      </c>
      <c r="D336" s="3"/>
    </row>
    <row r="337" spans="1:4" ht="15.75" customHeight="1" x14ac:dyDescent="0.3">
      <c r="A337" s="2">
        <v>30699010983</v>
      </c>
      <c r="B337" s="3" t="s">
        <v>371</v>
      </c>
      <c r="C337" s="1"/>
      <c r="D337" s="3"/>
    </row>
    <row r="338" spans="1:4" ht="15.75" customHeight="1" x14ac:dyDescent="0.3">
      <c r="A338" s="2">
        <v>30701498875</v>
      </c>
      <c r="B338" s="3" t="s">
        <v>372</v>
      </c>
      <c r="C338" s="1" t="s">
        <v>10</v>
      </c>
      <c r="D338" s="3"/>
    </row>
    <row r="339" spans="1:4" ht="15.75" customHeight="1" x14ac:dyDescent="0.3">
      <c r="A339" s="2">
        <v>30559807970</v>
      </c>
      <c r="B339" s="3" t="s">
        <v>373</v>
      </c>
      <c r="C339" s="1" t="s">
        <v>5</v>
      </c>
      <c r="D339" s="3"/>
    </row>
    <row r="340" spans="1:4" ht="15.75" customHeight="1" x14ac:dyDescent="0.3">
      <c r="A340" s="2">
        <v>30708214813</v>
      </c>
      <c r="B340" s="3" t="s">
        <v>374</v>
      </c>
      <c r="C340" s="1" t="s">
        <v>5</v>
      </c>
      <c r="D340" s="3"/>
    </row>
    <row r="341" spans="1:4" ht="15.75" customHeight="1" x14ac:dyDescent="0.3">
      <c r="A341" s="2">
        <v>30712187316</v>
      </c>
      <c r="B341" s="3" t="s">
        <v>375</v>
      </c>
      <c r="C341" s="1"/>
      <c r="D341" s="3"/>
    </row>
    <row r="342" spans="1:4" ht="15.75" customHeight="1" x14ac:dyDescent="0.3">
      <c r="A342" s="2">
        <v>30547076679</v>
      </c>
      <c r="B342" s="3" t="s">
        <v>376</v>
      </c>
      <c r="C342" s="1"/>
      <c r="D342" s="3"/>
    </row>
    <row r="343" spans="1:4" ht="15.75" customHeight="1" x14ac:dyDescent="0.3">
      <c r="A343" s="2">
        <v>30709267821</v>
      </c>
      <c r="B343" s="3" t="s">
        <v>377</v>
      </c>
      <c r="C343" s="1" t="s">
        <v>5</v>
      </c>
      <c r="D343" s="3"/>
    </row>
    <row r="344" spans="1:4" ht="15.75" customHeight="1" x14ac:dyDescent="0.3">
      <c r="A344" s="2">
        <v>30707249001</v>
      </c>
      <c r="B344" s="3" t="s">
        <v>378</v>
      </c>
      <c r="C344" s="1" t="s">
        <v>5</v>
      </c>
      <c r="D344" s="3"/>
    </row>
    <row r="345" spans="1:4" ht="15.75" customHeight="1" x14ac:dyDescent="0.3">
      <c r="A345" s="2">
        <v>30709273465</v>
      </c>
      <c r="B345" s="3" t="s">
        <v>379</v>
      </c>
      <c r="C345" s="1" t="s">
        <v>5</v>
      </c>
      <c r="D345" s="3"/>
    </row>
    <row r="346" spans="1:4" ht="15.75" customHeight="1" x14ac:dyDescent="0.3">
      <c r="A346" s="2">
        <v>30550095714</v>
      </c>
      <c r="B346" s="3" t="s">
        <v>379</v>
      </c>
      <c r="C346" s="1" t="s">
        <v>5</v>
      </c>
      <c r="D346" s="3"/>
    </row>
    <row r="347" spans="1:4" ht="15.75" customHeight="1" x14ac:dyDescent="0.3">
      <c r="A347" s="2">
        <v>30636074280</v>
      </c>
      <c r="B347" s="3" t="s">
        <v>380</v>
      </c>
      <c r="C347" s="1"/>
      <c r="D347" s="3"/>
    </row>
    <row r="348" spans="1:4" ht="15.75" customHeight="1" x14ac:dyDescent="0.3">
      <c r="A348" s="2">
        <v>30714306355</v>
      </c>
      <c r="B348" s="3" t="s">
        <v>381</v>
      </c>
      <c r="C348" s="1"/>
      <c r="D348" s="3"/>
    </row>
    <row r="349" spans="1:4" ht="15.75" customHeight="1" x14ac:dyDescent="0.3">
      <c r="A349" s="2">
        <v>30506357841</v>
      </c>
      <c r="B349" s="3" t="s">
        <v>382</v>
      </c>
      <c r="C349" s="1"/>
      <c r="D349" s="3"/>
    </row>
    <row r="350" spans="1:4" ht="15.75" customHeight="1" x14ac:dyDescent="0.3">
      <c r="A350" s="2">
        <v>24931553247</v>
      </c>
      <c r="B350" s="3" t="s">
        <v>383</v>
      </c>
      <c r="C350" s="1"/>
      <c r="D350" s="3"/>
    </row>
    <row r="351" spans="1:4" ht="15.75" customHeight="1" x14ac:dyDescent="0.3">
      <c r="A351" s="2">
        <v>33649669029</v>
      </c>
      <c r="B351" s="3" t="s">
        <v>384</v>
      </c>
      <c r="C351" s="1"/>
      <c r="D351" s="3"/>
    </row>
    <row r="352" spans="1:4" ht="15.75" customHeight="1" x14ac:dyDescent="0.3">
      <c r="A352" s="2">
        <v>20929018347</v>
      </c>
      <c r="B352" s="3" t="s">
        <v>385</v>
      </c>
      <c r="C352" s="1" t="s">
        <v>279</v>
      </c>
      <c r="D352" s="3"/>
    </row>
    <row r="353" spans="1:4" ht="15.75" customHeight="1" x14ac:dyDescent="0.3">
      <c r="A353" s="2">
        <v>20183380231</v>
      </c>
      <c r="B353" s="3" t="s">
        <v>386</v>
      </c>
      <c r="C353" s="1" t="s">
        <v>15</v>
      </c>
      <c r="D353" s="3"/>
    </row>
    <row r="354" spans="1:4" ht="15.75" customHeight="1" x14ac:dyDescent="0.3">
      <c r="A354" s="2">
        <v>20236755526</v>
      </c>
      <c r="B354" s="3" t="s">
        <v>387</v>
      </c>
      <c r="C354" s="1" t="s">
        <v>5</v>
      </c>
      <c r="D354" s="3"/>
    </row>
    <row r="355" spans="1:4" ht="15.75" customHeight="1" x14ac:dyDescent="0.3">
      <c r="A355" s="2">
        <v>20165471491</v>
      </c>
      <c r="B355" s="3" t="s">
        <v>388</v>
      </c>
      <c r="C355" s="1"/>
      <c r="D355" s="3"/>
    </row>
    <row r="356" spans="1:4" ht="15.75" customHeight="1" x14ac:dyDescent="0.3">
      <c r="A356" s="2">
        <v>30678264969</v>
      </c>
      <c r="B356" s="3" t="s">
        <v>389</v>
      </c>
      <c r="C356" s="1" t="s">
        <v>5</v>
      </c>
      <c r="D356" s="3"/>
    </row>
    <row r="357" spans="1:4" ht="15.75" customHeight="1" x14ac:dyDescent="0.3">
      <c r="A357" s="2">
        <v>30707682279</v>
      </c>
      <c r="B357" s="3" t="s">
        <v>390</v>
      </c>
      <c r="C357" s="1" t="s">
        <v>5</v>
      </c>
      <c r="D357" s="3"/>
    </row>
    <row r="358" spans="1:4" ht="15.75" customHeight="1" x14ac:dyDescent="0.3">
      <c r="A358" s="2">
        <v>30631965284</v>
      </c>
      <c r="B358" s="3" t="s">
        <v>391</v>
      </c>
      <c r="C358" s="1"/>
      <c r="D358" s="3"/>
    </row>
    <row r="359" spans="1:4" ht="15.75" customHeight="1" x14ac:dyDescent="0.3">
      <c r="A359" s="2">
        <v>30500805222</v>
      </c>
      <c r="B359" s="3" t="s">
        <v>392</v>
      </c>
      <c r="C359" s="1" t="s">
        <v>5</v>
      </c>
      <c r="D359" s="3"/>
    </row>
    <row r="360" spans="1:4" ht="15.75" customHeight="1" x14ac:dyDescent="0.3">
      <c r="A360" s="2">
        <v>33709050589</v>
      </c>
      <c r="B360" s="3" t="s">
        <v>393</v>
      </c>
      <c r="C360" s="1" t="s">
        <v>5</v>
      </c>
      <c r="D360" s="3"/>
    </row>
    <row r="361" spans="1:4" ht="15.75" customHeight="1" x14ac:dyDescent="0.3">
      <c r="A361" s="2">
        <v>23220104389</v>
      </c>
      <c r="B361" s="3" t="s">
        <v>394</v>
      </c>
      <c r="C361" s="1"/>
      <c r="D361" s="3"/>
    </row>
    <row r="362" spans="1:4" ht="15.75" customHeight="1" x14ac:dyDescent="0.3">
      <c r="A362" s="2">
        <v>30714185574</v>
      </c>
      <c r="B362" s="3" t="s">
        <v>395</v>
      </c>
      <c r="C362" s="1"/>
      <c r="D362" s="3"/>
    </row>
    <row r="363" spans="1:4" ht="15.75" customHeight="1" x14ac:dyDescent="0.3">
      <c r="A363" s="2">
        <v>30707918914</v>
      </c>
      <c r="B363" s="3" t="s">
        <v>396</v>
      </c>
      <c r="C363" s="1"/>
      <c r="D363" s="3"/>
    </row>
    <row r="364" spans="1:4" ht="15.75" customHeight="1" x14ac:dyDescent="0.3">
      <c r="A364" s="2">
        <v>33708853459</v>
      </c>
      <c r="B364" s="3" t="s">
        <v>397</v>
      </c>
      <c r="C364" s="1" t="s">
        <v>10</v>
      </c>
      <c r="D364" s="3"/>
    </row>
    <row r="365" spans="1:4" ht="15.75" customHeight="1" x14ac:dyDescent="0.3">
      <c r="A365" s="2">
        <v>33531122599</v>
      </c>
      <c r="B365" s="3" t="s">
        <v>398</v>
      </c>
      <c r="C365" s="1" t="s">
        <v>15</v>
      </c>
      <c r="D365" s="3"/>
    </row>
    <row r="366" spans="1:4" ht="15.75" customHeight="1" x14ac:dyDescent="0.3">
      <c r="A366" s="2">
        <v>30645614735</v>
      </c>
      <c r="B366" s="3" t="s">
        <v>399</v>
      </c>
      <c r="C366" s="1"/>
      <c r="D366" s="3"/>
    </row>
    <row r="367" spans="1:4" ht="15.75" customHeight="1" x14ac:dyDescent="0.3">
      <c r="A367" s="2">
        <v>30500051163</v>
      </c>
      <c r="B367" s="3" t="s">
        <v>400</v>
      </c>
      <c r="C367" s="1"/>
      <c r="D367" s="3"/>
    </row>
    <row r="368" spans="1:4" ht="15.75" customHeight="1" x14ac:dyDescent="0.3">
      <c r="A368" s="2">
        <v>30585254297</v>
      </c>
      <c r="B368" s="3" t="s">
        <v>401</v>
      </c>
      <c r="C368" s="1"/>
      <c r="D368" s="3"/>
    </row>
    <row r="369" spans="1:4" ht="15.75" customHeight="1" x14ac:dyDescent="0.3">
      <c r="A369" s="2">
        <v>20043924312</v>
      </c>
      <c r="B369" s="3" t="s">
        <v>402</v>
      </c>
      <c r="C369" s="1"/>
      <c r="D369" s="3"/>
    </row>
    <row r="370" spans="1:4" ht="15.75" customHeight="1" x14ac:dyDescent="0.3">
      <c r="A370" s="2">
        <v>20121778042</v>
      </c>
      <c r="B370" s="3" t="s">
        <v>403</v>
      </c>
      <c r="C370" s="1"/>
      <c r="D370" s="3"/>
    </row>
    <row r="371" spans="1:4" ht="15.75" customHeight="1" x14ac:dyDescent="0.3">
      <c r="A371" s="2">
        <v>27249631413</v>
      </c>
      <c r="B371" s="3" t="s">
        <v>404</v>
      </c>
      <c r="C371" s="1"/>
      <c r="D371" s="3"/>
    </row>
    <row r="372" spans="1:4" ht="15.75" customHeight="1" x14ac:dyDescent="0.3">
      <c r="A372" s="2">
        <v>30679107220</v>
      </c>
      <c r="B372" s="3" t="s">
        <v>405</v>
      </c>
      <c r="C372" s="1"/>
      <c r="D372" s="3"/>
    </row>
    <row r="373" spans="1:4" ht="15.75" customHeight="1" x14ac:dyDescent="0.3">
      <c r="A373" s="2">
        <v>30709153095</v>
      </c>
      <c r="B373" s="3" t="s">
        <v>406</v>
      </c>
      <c r="C373" s="1" t="s">
        <v>5</v>
      </c>
      <c r="D373" s="3"/>
    </row>
    <row r="374" spans="1:4" ht="15.75" customHeight="1" x14ac:dyDescent="0.3">
      <c r="A374" s="2">
        <v>30710374801</v>
      </c>
      <c r="B374" s="3" t="s">
        <v>407</v>
      </c>
      <c r="C374" s="1" t="s">
        <v>15</v>
      </c>
      <c r="D374" s="3"/>
    </row>
    <row r="375" spans="1:4" ht="15.75" customHeight="1" x14ac:dyDescent="0.3">
      <c r="A375" s="2">
        <v>30710386559</v>
      </c>
      <c r="B375" s="3" t="s">
        <v>408</v>
      </c>
      <c r="C375" s="1" t="s">
        <v>5</v>
      </c>
      <c r="D375" s="3"/>
    </row>
    <row r="376" spans="1:4" ht="15.75" customHeight="1" x14ac:dyDescent="0.3">
      <c r="A376" s="2">
        <v>3079881767</v>
      </c>
      <c r="B376" s="3" t="s">
        <v>409</v>
      </c>
      <c r="C376" s="1"/>
      <c r="D376" s="3"/>
    </row>
    <row r="377" spans="1:4" ht="15.75" customHeight="1" x14ac:dyDescent="0.3">
      <c r="A377" s="2">
        <v>20162031326</v>
      </c>
      <c r="B377" s="3" t="s">
        <v>410</v>
      </c>
      <c r="C377" s="1" t="s">
        <v>5</v>
      </c>
      <c r="D377" s="3"/>
    </row>
    <row r="378" spans="1:4" ht="15.75" customHeight="1" x14ac:dyDescent="0.3">
      <c r="A378" s="2">
        <v>20041802082</v>
      </c>
      <c r="B378" s="3" t="s">
        <v>411</v>
      </c>
      <c r="C378" s="1" t="s">
        <v>15</v>
      </c>
      <c r="D378" s="3"/>
    </row>
    <row r="379" spans="1:4" ht="15.75" customHeight="1" x14ac:dyDescent="0.3">
      <c r="A379" s="2">
        <v>23223377734</v>
      </c>
      <c r="B379" s="3" t="s">
        <v>412</v>
      </c>
      <c r="C379" s="1"/>
      <c r="D379" s="3"/>
    </row>
    <row r="380" spans="1:4" ht="15.75" customHeight="1" x14ac:dyDescent="0.3">
      <c r="A380" s="2">
        <v>30661041486</v>
      </c>
      <c r="B380" s="3" t="s">
        <v>413</v>
      </c>
      <c r="C380" s="1"/>
      <c r="D380" s="3"/>
    </row>
    <row r="381" spans="1:4" ht="15.75" customHeight="1" x14ac:dyDescent="0.3">
      <c r="A381" s="2">
        <v>30715723871</v>
      </c>
      <c r="B381" s="3" t="s">
        <v>414</v>
      </c>
      <c r="C381" s="1"/>
      <c r="D381" s="3"/>
    </row>
    <row r="382" spans="1:4" ht="15.75" customHeight="1" x14ac:dyDescent="0.3">
      <c r="A382" s="2">
        <v>20115545397</v>
      </c>
      <c r="B382" s="3" t="s">
        <v>415</v>
      </c>
      <c r="C382" s="1" t="s">
        <v>5</v>
      </c>
      <c r="D382" s="3"/>
    </row>
    <row r="383" spans="1:4" ht="15.75" customHeight="1" x14ac:dyDescent="0.3">
      <c r="A383" s="2">
        <v>30715148958</v>
      </c>
      <c r="B383" s="3" t="s">
        <v>416</v>
      </c>
      <c r="C383" s="1" t="s">
        <v>15</v>
      </c>
      <c r="D383" s="3"/>
    </row>
    <row r="384" spans="1:4" ht="15.75" customHeight="1" x14ac:dyDescent="0.3">
      <c r="A384" s="2">
        <v>30679067431</v>
      </c>
      <c r="B384" s="3" t="s">
        <v>417</v>
      </c>
      <c r="C384" s="1" t="s">
        <v>5</v>
      </c>
      <c r="D384" s="3"/>
    </row>
    <row r="385" spans="1:4" ht="15.75" customHeight="1" x14ac:dyDescent="0.3">
      <c r="A385" s="2">
        <v>20942259744</v>
      </c>
      <c r="B385" s="3" t="s">
        <v>418</v>
      </c>
      <c r="C385" s="1" t="s">
        <v>15</v>
      </c>
      <c r="D385" s="3"/>
    </row>
    <row r="386" spans="1:4" ht="15.75" customHeight="1" x14ac:dyDescent="0.3">
      <c r="A386" s="2">
        <v>20262808557</v>
      </c>
      <c r="B386" s="3" t="s">
        <v>419</v>
      </c>
      <c r="C386" s="1" t="s">
        <v>15</v>
      </c>
      <c r="D386" s="3"/>
    </row>
    <row r="387" spans="1:4" ht="15.75" customHeight="1" x14ac:dyDescent="0.3">
      <c r="A387" s="2">
        <v>27129657710</v>
      </c>
      <c r="B387" s="3" t="s">
        <v>420</v>
      </c>
      <c r="C387" s="1"/>
      <c r="D387" s="3"/>
    </row>
    <row r="388" spans="1:4" ht="15.75" customHeight="1" x14ac:dyDescent="0.3">
      <c r="A388" s="2">
        <v>30708326794</v>
      </c>
      <c r="B388" s="3" t="s">
        <v>421</v>
      </c>
      <c r="C388" s="1"/>
      <c r="D388" s="3"/>
    </row>
    <row r="389" spans="1:4" ht="15.75" customHeight="1" x14ac:dyDescent="0.3">
      <c r="A389" s="2">
        <v>30708035633</v>
      </c>
      <c r="B389" s="3" t="s">
        <v>422</v>
      </c>
      <c r="C389" s="1"/>
      <c r="D389" s="3"/>
    </row>
    <row r="390" spans="1:4" ht="15.75" customHeight="1" x14ac:dyDescent="0.3">
      <c r="A390" s="2">
        <v>30714647594</v>
      </c>
      <c r="B390" s="3" t="s">
        <v>423</v>
      </c>
      <c r="C390" s="1"/>
      <c r="D390" s="3"/>
    </row>
    <row r="391" spans="1:4" ht="15.75" customHeight="1" x14ac:dyDescent="0.3">
      <c r="A391" s="2">
        <v>30710265425</v>
      </c>
      <c r="B391" s="3" t="s">
        <v>424</v>
      </c>
      <c r="C391" s="1"/>
      <c r="D391" s="3"/>
    </row>
    <row r="392" spans="1:4" ht="15.75" customHeight="1" x14ac:dyDescent="0.3">
      <c r="A392" s="2">
        <v>30500833781</v>
      </c>
      <c r="B392" s="3" t="s">
        <v>425</v>
      </c>
      <c r="C392" s="1" t="s">
        <v>5</v>
      </c>
      <c r="D392" s="3"/>
    </row>
    <row r="393" spans="1:4" ht="15.75" customHeight="1" x14ac:dyDescent="0.3">
      <c r="A393" s="2">
        <v>27345827841</v>
      </c>
      <c r="B393" s="3" t="s">
        <v>426</v>
      </c>
      <c r="C393" s="1" t="s">
        <v>5</v>
      </c>
      <c r="D393" s="3"/>
    </row>
    <row r="394" spans="1:4" ht="15.75" customHeight="1" x14ac:dyDescent="0.3">
      <c r="A394" s="2">
        <v>20345836404</v>
      </c>
      <c r="B394" s="3" t="s">
        <v>427</v>
      </c>
      <c r="C394" s="1" t="s">
        <v>15</v>
      </c>
      <c r="D394" s="3"/>
    </row>
    <row r="395" spans="1:4" ht="15.75" customHeight="1" x14ac:dyDescent="0.3">
      <c r="A395" s="2">
        <v>20932821851</v>
      </c>
      <c r="B395" s="3" t="s">
        <v>428</v>
      </c>
      <c r="C395" s="1" t="s">
        <v>15</v>
      </c>
      <c r="D395" s="3"/>
    </row>
    <row r="396" spans="1:4" ht="15.75" customHeight="1" x14ac:dyDescent="0.3">
      <c r="A396" s="2">
        <v>23084885029</v>
      </c>
      <c r="B396" s="3" t="s">
        <v>429</v>
      </c>
      <c r="C396" s="1"/>
      <c r="D396" s="3"/>
    </row>
    <row r="397" spans="1:4" ht="15.75" customHeight="1" x14ac:dyDescent="0.3">
      <c r="A397" s="2">
        <v>30711561494</v>
      </c>
      <c r="B397" s="3" t="s">
        <v>430</v>
      </c>
      <c r="C397" s="1" t="s">
        <v>15</v>
      </c>
      <c r="D397" s="3"/>
    </row>
    <row r="398" spans="1:4" ht="15.75" customHeight="1" x14ac:dyDescent="0.3">
      <c r="A398" s="2">
        <v>30651861299</v>
      </c>
      <c r="B398" s="3" t="s">
        <v>431</v>
      </c>
      <c r="C398" s="1" t="s">
        <v>5</v>
      </c>
      <c r="D398" s="3"/>
    </row>
    <row r="399" spans="1:4" ht="15.75" customHeight="1" x14ac:dyDescent="0.3">
      <c r="A399" s="2">
        <v>30589621499</v>
      </c>
      <c r="B399" s="3" t="s">
        <v>432</v>
      </c>
      <c r="C399" s="1"/>
      <c r="D399" s="3"/>
    </row>
    <row r="400" spans="1:4" ht="15.75" customHeight="1" x14ac:dyDescent="0.3">
      <c r="A400" s="2">
        <v>20120338529</v>
      </c>
      <c r="B400" s="3" t="s">
        <v>433</v>
      </c>
      <c r="C400" s="1"/>
      <c r="D400" s="3"/>
    </row>
    <row r="401" spans="1:4" ht="15.75" customHeight="1" x14ac:dyDescent="0.3">
      <c r="A401" s="2">
        <v>20182873277</v>
      </c>
      <c r="B401" s="3" t="s">
        <v>434</v>
      </c>
      <c r="C401" s="1" t="s">
        <v>5</v>
      </c>
      <c r="D401" s="3"/>
    </row>
    <row r="402" spans="1:4" ht="15.75" customHeight="1" x14ac:dyDescent="0.3">
      <c r="A402" s="2">
        <v>20044258898</v>
      </c>
      <c r="B402" s="3" t="s">
        <v>435</v>
      </c>
      <c r="C402" s="1"/>
      <c r="D402" s="3"/>
    </row>
    <row r="403" spans="1:4" ht="15.75" customHeight="1" x14ac:dyDescent="0.3">
      <c r="A403" s="2">
        <v>27101420391</v>
      </c>
      <c r="B403" s="3" t="s">
        <v>436</v>
      </c>
      <c r="C403" s="1" t="s">
        <v>5</v>
      </c>
      <c r="D403" s="3"/>
    </row>
    <row r="404" spans="1:4" ht="15.75" customHeight="1" x14ac:dyDescent="0.3">
      <c r="A404" s="2">
        <v>27228778937</v>
      </c>
      <c r="B404" s="3" t="s">
        <v>437</v>
      </c>
      <c r="C404" s="1"/>
      <c r="D404" s="3"/>
    </row>
    <row r="405" spans="1:4" ht="15.75" customHeight="1" x14ac:dyDescent="0.3">
      <c r="A405" s="2">
        <v>20202134700</v>
      </c>
      <c r="B405" s="3" t="s">
        <v>438</v>
      </c>
      <c r="C405" s="1"/>
      <c r="D405" s="3"/>
    </row>
    <row r="406" spans="1:4" ht="15.75" customHeight="1" x14ac:dyDescent="0.3">
      <c r="A406" s="2">
        <v>20044447437</v>
      </c>
      <c r="B406" s="3" t="s">
        <v>439</v>
      </c>
      <c r="C406" s="1" t="s">
        <v>5</v>
      </c>
      <c r="D406" s="3"/>
    </row>
    <row r="407" spans="1:4" ht="15.75" customHeight="1" x14ac:dyDescent="0.3">
      <c r="A407" s="2">
        <v>30707963065</v>
      </c>
      <c r="B407" s="3" t="s">
        <v>440</v>
      </c>
      <c r="C407" s="1"/>
      <c r="D407" s="3"/>
    </row>
    <row r="408" spans="1:4" ht="15.75" customHeight="1" x14ac:dyDescent="0.3">
      <c r="A408" s="2">
        <v>30715009826</v>
      </c>
      <c r="B408" s="3" t="s">
        <v>441</v>
      </c>
      <c r="C408" s="1"/>
      <c r="D408" s="3"/>
    </row>
    <row r="409" spans="1:4" ht="15.75" customHeight="1" x14ac:dyDescent="0.3">
      <c r="A409" s="2">
        <v>30568557464</v>
      </c>
      <c r="B409" s="3" t="s">
        <v>442</v>
      </c>
      <c r="C409" s="1"/>
      <c r="D409" s="3"/>
    </row>
    <row r="410" spans="1:4" ht="15.75" customHeight="1" x14ac:dyDescent="0.3">
      <c r="A410" s="2">
        <v>20217165114</v>
      </c>
      <c r="B410" s="3" t="s">
        <v>443</v>
      </c>
      <c r="C410" s="1" t="s">
        <v>97</v>
      </c>
      <c r="D410" s="3"/>
    </row>
    <row r="411" spans="1:4" ht="15.75" customHeight="1" x14ac:dyDescent="0.3">
      <c r="A411" s="2">
        <v>23233422029</v>
      </c>
      <c r="B411" s="3" t="s">
        <v>444</v>
      </c>
      <c r="C411" s="1" t="s">
        <v>5</v>
      </c>
      <c r="D411" s="3"/>
    </row>
    <row r="412" spans="1:4" ht="15.75" customHeight="1" x14ac:dyDescent="0.3">
      <c r="A412" s="2">
        <v>30612865333</v>
      </c>
      <c r="B412" s="3" t="s">
        <v>445</v>
      </c>
      <c r="C412" s="1"/>
      <c r="D412" s="3"/>
    </row>
    <row r="413" spans="1:4" ht="15.75" customHeight="1" x14ac:dyDescent="0.3">
      <c r="A413" s="2">
        <v>30709982326</v>
      </c>
      <c r="B413" s="3" t="s">
        <v>446</v>
      </c>
      <c r="C413" s="1"/>
      <c r="D413" s="3"/>
    </row>
    <row r="414" spans="1:4" ht="15.75" customHeight="1" x14ac:dyDescent="0.3">
      <c r="A414" s="2">
        <v>30707518541</v>
      </c>
      <c r="B414" s="3" t="s">
        <v>447</v>
      </c>
      <c r="C414" s="1"/>
      <c r="D414" s="3"/>
    </row>
    <row r="415" spans="1:4" ht="15.75" customHeight="1" x14ac:dyDescent="0.3">
      <c r="A415" s="2">
        <v>30711731217</v>
      </c>
      <c r="B415" s="3" t="s">
        <v>448</v>
      </c>
      <c r="C415" s="1" t="s">
        <v>449</v>
      </c>
      <c r="D415" s="3"/>
    </row>
    <row r="416" spans="1:4" ht="15.75" customHeight="1" x14ac:dyDescent="0.3">
      <c r="A416" s="2">
        <v>20131581298</v>
      </c>
      <c r="B416" s="3" t="s">
        <v>450</v>
      </c>
      <c r="C416" s="1" t="s">
        <v>15</v>
      </c>
      <c r="D416" s="3"/>
    </row>
    <row r="417" spans="1:4" ht="15.75" customHeight="1" x14ac:dyDescent="0.3">
      <c r="A417" s="2">
        <v>30715672290</v>
      </c>
      <c r="B417" s="3" t="s">
        <v>451</v>
      </c>
      <c r="C417" s="1" t="s">
        <v>5</v>
      </c>
      <c r="D417" s="3"/>
    </row>
    <row r="418" spans="1:4" ht="15.75" customHeight="1" x14ac:dyDescent="0.3">
      <c r="A418" s="2">
        <v>30707042679</v>
      </c>
      <c r="B418" s="3" t="s">
        <v>452</v>
      </c>
      <c r="C418" s="1" t="s">
        <v>5</v>
      </c>
      <c r="D418" s="3"/>
    </row>
    <row r="419" spans="1:4" ht="15.75" customHeight="1" x14ac:dyDescent="0.3">
      <c r="A419" s="2">
        <v>30546771314</v>
      </c>
      <c r="B419" s="3" t="s">
        <v>453</v>
      </c>
      <c r="C419" s="1"/>
      <c r="D419" s="3"/>
    </row>
    <row r="420" spans="1:4" ht="15.75" customHeight="1" x14ac:dyDescent="0.3">
      <c r="A420" s="2">
        <v>20229907523</v>
      </c>
      <c r="B420" s="3" t="s">
        <v>454</v>
      </c>
      <c r="C420" s="1"/>
      <c r="D420" s="3"/>
    </row>
    <row r="421" spans="1:4" ht="15.75" customHeight="1" x14ac:dyDescent="0.3">
      <c r="A421" s="2">
        <v>30714352535</v>
      </c>
      <c r="B421" s="3" t="s">
        <v>455</v>
      </c>
      <c r="C421" s="1"/>
      <c r="D421" s="3"/>
    </row>
    <row r="422" spans="1:4" ht="15.75" customHeight="1" x14ac:dyDescent="0.3">
      <c r="A422" s="2">
        <v>30709319929</v>
      </c>
      <c r="B422" s="3" t="s">
        <v>456</v>
      </c>
      <c r="C422" s="1"/>
      <c r="D422" s="3"/>
    </row>
    <row r="423" spans="1:4" ht="15.75" customHeight="1" x14ac:dyDescent="0.3">
      <c r="A423" s="2">
        <v>20077901370</v>
      </c>
      <c r="B423" s="3" t="s">
        <v>457</v>
      </c>
      <c r="C423" s="1" t="s">
        <v>5</v>
      </c>
      <c r="D423" s="3"/>
    </row>
    <row r="424" spans="1:4" ht="15.75" customHeight="1" x14ac:dyDescent="0.3">
      <c r="A424" s="2">
        <v>30712800700</v>
      </c>
      <c r="B424" s="3" t="s">
        <v>458</v>
      </c>
      <c r="C424" s="1"/>
      <c r="D424" s="3"/>
    </row>
    <row r="425" spans="1:4" ht="15.75" customHeight="1" x14ac:dyDescent="0.3">
      <c r="A425" s="2">
        <v>30715686054</v>
      </c>
      <c r="B425" s="3" t="s">
        <v>459</v>
      </c>
      <c r="C425" s="1"/>
      <c r="D425" s="3"/>
    </row>
    <row r="426" spans="1:4" ht="15.75" customHeight="1" x14ac:dyDescent="0.3">
      <c r="A426" s="2">
        <v>30710816049</v>
      </c>
      <c r="B426" s="3" t="s">
        <v>460</v>
      </c>
      <c r="C426" s="1" t="s">
        <v>5</v>
      </c>
      <c r="D426" s="3"/>
    </row>
    <row r="427" spans="1:4" ht="15.75" customHeight="1" x14ac:dyDescent="0.3">
      <c r="A427" s="2">
        <v>27119872311</v>
      </c>
      <c r="B427" s="3" t="s">
        <v>461</v>
      </c>
      <c r="C427" s="1"/>
      <c r="D427" s="3"/>
    </row>
    <row r="428" spans="1:4" ht="15.75" customHeight="1" x14ac:dyDescent="0.3">
      <c r="A428" s="2">
        <v>27144787019</v>
      </c>
      <c r="B428" s="3" t="s">
        <v>462</v>
      </c>
      <c r="C428" s="1"/>
      <c r="D428" s="3"/>
    </row>
    <row r="429" spans="1:4" ht="15.75" customHeight="1" x14ac:dyDescent="0.3">
      <c r="A429" s="2">
        <v>20117741398</v>
      </c>
      <c r="B429" s="3" t="s">
        <v>463</v>
      </c>
      <c r="C429" s="1"/>
      <c r="D429" s="3"/>
    </row>
    <row r="430" spans="1:4" ht="15.75" customHeight="1" x14ac:dyDescent="0.3">
      <c r="A430" s="2">
        <v>30707661492</v>
      </c>
      <c r="B430" s="3" t="s">
        <v>464</v>
      </c>
      <c r="C430" s="1"/>
      <c r="D430" s="3"/>
    </row>
    <row r="431" spans="1:4" ht="15.75" customHeight="1" x14ac:dyDescent="0.3">
      <c r="A431" s="2">
        <v>30703088534</v>
      </c>
      <c r="B431" s="3" t="s">
        <v>465</v>
      </c>
      <c r="C431" s="1" t="s">
        <v>466</v>
      </c>
      <c r="D431" s="3"/>
    </row>
    <row r="432" spans="1:4" ht="15.75" customHeight="1" x14ac:dyDescent="0.3">
      <c r="A432" s="2">
        <v>30679139122</v>
      </c>
      <c r="B432" s="3" t="s">
        <v>467</v>
      </c>
      <c r="C432" s="1" t="s">
        <v>5</v>
      </c>
      <c r="D432" s="3"/>
    </row>
    <row r="433" spans="1:4" ht="15.75" customHeight="1" x14ac:dyDescent="0.3">
      <c r="A433" s="2">
        <v>30549180783</v>
      </c>
      <c r="B433" s="3" t="s">
        <v>468</v>
      </c>
      <c r="C433" s="1"/>
      <c r="D433" s="3"/>
    </row>
    <row r="434" spans="1:4" ht="15.75" customHeight="1" x14ac:dyDescent="0.3">
      <c r="A434" s="2">
        <v>30520045798</v>
      </c>
      <c r="B434" s="3" t="s">
        <v>469</v>
      </c>
      <c r="C434" s="1"/>
      <c r="D434" s="3"/>
    </row>
    <row r="435" spans="1:4" ht="15.75" customHeight="1" x14ac:dyDescent="0.3">
      <c r="A435" s="2">
        <v>30709016012</v>
      </c>
      <c r="B435" s="3" t="s">
        <v>470</v>
      </c>
      <c r="C435" s="1"/>
      <c r="D435" s="3"/>
    </row>
    <row r="436" spans="1:4" ht="15.75" customHeight="1" x14ac:dyDescent="0.3">
      <c r="A436" s="2">
        <v>30708469986</v>
      </c>
      <c r="B436" s="3" t="s">
        <v>471</v>
      </c>
      <c r="C436" s="1" t="s">
        <v>5</v>
      </c>
      <c r="D436" s="3"/>
    </row>
    <row r="437" spans="1:4" ht="15.75" customHeight="1" x14ac:dyDescent="0.3">
      <c r="A437" s="2">
        <v>20171635285</v>
      </c>
      <c r="B437" s="3" t="s">
        <v>472</v>
      </c>
      <c r="C437" s="1"/>
      <c r="D437" s="3"/>
    </row>
    <row r="438" spans="1:4" ht="15.75" customHeight="1" x14ac:dyDescent="0.3">
      <c r="A438" s="2">
        <v>30517306866</v>
      </c>
      <c r="B438" s="3" t="s">
        <v>473</v>
      </c>
      <c r="C438" s="1" t="s">
        <v>7</v>
      </c>
      <c r="D438" s="3"/>
    </row>
    <row r="439" spans="1:4" ht="15.75" customHeight="1" x14ac:dyDescent="0.3">
      <c r="A439" s="2">
        <v>27101205733</v>
      </c>
      <c r="B439" s="3" t="s">
        <v>474</v>
      </c>
      <c r="C439" s="1" t="s">
        <v>15</v>
      </c>
      <c r="D439" s="3"/>
    </row>
    <row r="440" spans="1:4" ht="15.75" customHeight="1" x14ac:dyDescent="0.3">
      <c r="A440" s="2">
        <v>30685116657</v>
      </c>
      <c r="B440" s="3" t="s">
        <v>475</v>
      </c>
      <c r="C440" s="1" t="s">
        <v>97</v>
      </c>
      <c r="D440" s="3"/>
    </row>
    <row r="441" spans="1:4" ht="15.75" customHeight="1" x14ac:dyDescent="0.3">
      <c r="A441" s="2">
        <v>30715772783</v>
      </c>
      <c r="B441" s="3" t="s">
        <v>476</v>
      </c>
      <c r="C441" s="1" t="s">
        <v>5</v>
      </c>
      <c r="D441" s="3"/>
    </row>
    <row r="442" spans="1:4" ht="15.75" customHeight="1" x14ac:dyDescent="0.3">
      <c r="A442" s="2">
        <v>20120766598</v>
      </c>
      <c r="B442" s="3" t="s">
        <v>477</v>
      </c>
      <c r="C442" s="1"/>
      <c r="D442" s="3"/>
    </row>
    <row r="443" spans="1:4" ht="15.75" customHeight="1" x14ac:dyDescent="0.3">
      <c r="A443" s="2">
        <v>20269013746</v>
      </c>
      <c r="B443" s="3" t="s">
        <v>478</v>
      </c>
      <c r="C443" s="1" t="s">
        <v>5</v>
      </c>
      <c r="D443" s="3"/>
    </row>
    <row r="444" spans="1:4" ht="15.75" customHeight="1" x14ac:dyDescent="0.3">
      <c r="A444" s="2">
        <v>20291935401</v>
      </c>
      <c r="B444" s="3" t="s">
        <v>479</v>
      </c>
      <c r="C444" s="1" t="s">
        <v>5</v>
      </c>
      <c r="D444" s="3"/>
    </row>
    <row r="445" spans="1:4" ht="15.75" customHeight="1" x14ac:dyDescent="0.3">
      <c r="A445" s="2">
        <v>30500858628</v>
      </c>
      <c r="B445" s="3" t="s">
        <v>480</v>
      </c>
      <c r="C445" s="1"/>
      <c r="D445" s="3"/>
    </row>
    <row r="446" spans="1:4" ht="15.75" customHeight="1" x14ac:dyDescent="0.3">
      <c r="A446" s="2">
        <v>30709676926</v>
      </c>
      <c r="B446" s="3" t="s">
        <v>481</v>
      </c>
      <c r="C446" s="1" t="s">
        <v>10</v>
      </c>
      <c r="D446" s="3"/>
    </row>
    <row r="447" spans="1:4" ht="15.75" customHeight="1" x14ac:dyDescent="0.3">
      <c r="A447" s="2">
        <v>20081262897</v>
      </c>
      <c r="B447" s="3" t="s">
        <v>482</v>
      </c>
      <c r="C447" s="1" t="s">
        <v>5</v>
      </c>
      <c r="D447" s="3"/>
    </row>
    <row r="448" spans="1:4" ht="15.75" customHeight="1" x14ac:dyDescent="0.3">
      <c r="A448" s="2">
        <v>30708608994</v>
      </c>
      <c r="B448" s="3" t="s">
        <v>483</v>
      </c>
      <c r="C448" s="1"/>
      <c r="D448" s="3"/>
    </row>
    <row r="449" spans="1:4" ht="15.75" customHeight="1" x14ac:dyDescent="0.3">
      <c r="A449" s="2">
        <v>30713713909</v>
      </c>
      <c r="B449" s="3" t="s">
        <v>484</v>
      </c>
      <c r="C449" s="1"/>
      <c r="D449" s="3"/>
    </row>
    <row r="450" spans="1:4" ht="15.75" customHeight="1" x14ac:dyDescent="0.3">
      <c r="A450" s="2">
        <v>30632563856</v>
      </c>
      <c r="B450" s="3" t="s">
        <v>485</v>
      </c>
      <c r="C450" s="1"/>
      <c r="D450" s="3"/>
    </row>
    <row r="451" spans="1:4" ht="15.75" customHeight="1" x14ac:dyDescent="0.3">
      <c r="A451" s="2">
        <v>30557676798</v>
      </c>
      <c r="B451" s="3" t="s">
        <v>486</v>
      </c>
      <c r="C451" s="1"/>
      <c r="D451" s="3"/>
    </row>
    <row r="452" spans="1:4" ht="15.75" customHeight="1" x14ac:dyDescent="0.3">
      <c r="A452" s="2">
        <v>30573785742</v>
      </c>
      <c r="B452" s="3" t="s">
        <v>487</v>
      </c>
      <c r="C452" s="1"/>
      <c r="D452" s="3"/>
    </row>
    <row r="453" spans="1:4" ht="15.75" customHeight="1" x14ac:dyDescent="0.3">
      <c r="A453" s="2">
        <v>33608724279</v>
      </c>
      <c r="B453" s="3" t="s">
        <v>488</v>
      </c>
      <c r="C453" s="1" t="s">
        <v>97</v>
      </c>
      <c r="D453" s="3"/>
    </row>
    <row r="454" spans="1:4" ht="15.75" customHeight="1" x14ac:dyDescent="0.3">
      <c r="A454" s="2">
        <v>30707983732</v>
      </c>
      <c r="B454" s="3" t="s">
        <v>489</v>
      </c>
      <c r="C454" s="1" t="s">
        <v>97</v>
      </c>
      <c r="D454" s="3"/>
    </row>
    <row r="455" spans="1:4" ht="15.75" customHeight="1" x14ac:dyDescent="0.3">
      <c r="A455" s="2">
        <v>27209563113</v>
      </c>
      <c r="B455" s="3" t="s">
        <v>490</v>
      </c>
      <c r="C455" s="1"/>
      <c r="D455" s="3"/>
    </row>
    <row r="456" spans="1:4" ht="15.75" customHeight="1" x14ac:dyDescent="0.3">
      <c r="A456" s="2">
        <v>30713979704</v>
      </c>
      <c r="B456" s="3" t="s">
        <v>491</v>
      </c>
      <c r="C456" s="1" t="s">
        <v>5</v>
      </c>
      <c r="D456" s="3"/>
    </row>
    <row r="457" spans="1:4" ht="15.75" customHeight="1" x14ac:dyDescent="0.3">
      <c r="A457" s="2">
        <v>20181837617</v>
      </c>
      <c r="B457" s="3" t="s">
        <v>492</v>
      </c>
      <c r="C457" s="1"/>
      <c r="D457" s="3"/>
    </row>
    <row r="458" spans="1:4" ht="15.75" customHeight="1" x14ac:dyDescent="0.3">
      <c r="A458" s="2">
        <v>30652010489</v>
      </c>
      <c r="B458" s="3" t="s">
        <v>493</v>
      </c>
      <c r="C458" s="1" t="s">
        <v>15</v>
      </c>
      <c r="D458" s="3"/>
    </row>
    <row r="459" spans="1:4" ht="15.75" customHeight="1" x14ac:dyDescent="0.3">
      <c r="A459" s="2">
        <v>27259489976</v>
      </c>
      <c r="B459" s="3" t="s">
        <v>494</v>
      </c>
      <c r="C459" s="1"/>
      <c r="D459" s="3"/>
    </row>
    <row r="460" spans="1:4" ht="15.75" customHeight="1" x14ac:dyDescent="0.3">
      <c r="A460" s="2">
        <v>30598946694</v>
      </c>
      <c r="B460" s="3" t="s">
        <v>495</v>
      </c>
      <c r="C460" s="1" t="s">
        <v>5</v>
      </c>
      <c r="D460" s="3"/>
    </row>
    <row r="461" spans="1:4" ht="15.75" customHeight="1" x14ac:dyDescent="0.3">
      <c r="A461" s="2">
        <v>30546764040</v>
      </c>
      <c r="B461" s="3" t="s">
        <v>496</v>
      </c>
      <c r="C461" s="1" t="s">
        <v>632</v>
      </c>
      <c r="D461" s="3"/>
    </row>
    <row r="462" spans="1:4" ht="15.75" customHeight="1" x14ac:dyDescent="0.3">
      <c r="A462" s="2">
        <v>20232991527</v>
      </c>
      <c r="B462" s="3" t="s">
        <v>497</v>
      </c>
      <c r="C462" s="1" t="s">
        <v>5</v>
      </c>
      <c r="D462" s="3"/>
    </row>
    <row r="463" spans="1:4" ht="15.75" customHeight="1" x14ac:dyDescent="0.3">
      <c r="A463" s="2">
        <v>30709822116</v>
      </c>
      <c r="B463" s="3" t="s">
        <v>498</v>
      </c>
      <c r="C463" s="1"/>
      <c r="D463" s="3"/>
    </row>
    <row r="464" spans="1:4" ht="15.75" customHeight="1" x14ac:dyDescent="0.3">
      <c r="A464" s="2">
        <v>20251270202</v>
      </c>
      <c r="B464" s="3" t="s">
        <v>499</v>
      </c>
      <c r="C464" s="1"/>
      <c r="D464" s="3"/>
    </row>
    <row r="465" spans="1:4" ht="15.75" customHeight="1" x14ac:dyDescent="0.3">
      <c r="A465" s="2">
        <v>20298653541</v>
      </c>
      <c r="B465" s="3" t="s">
        <v>500</v>
      </c>
      <c r="C465" s="1"/>
      <c r="D465" s="3"/>
    </row>
    <row r="466" spans="1:4" ht="15.75" customHeight="1" x14ac:dyDescent="0.3">
      <c r="A466" s="2">
        <v>20171082464</v>
      </c>
      <c r="B466" s="3" t="s">
        <v>501</v>
      </c>
      <c r="C466" s="1" t="s">
        <v>15</v>
      </c>
      <c r="D466" s="3"/>
    </row>
    <row r="467" spans="1:4" ht="15.75" customHeight="1" x14ac:dyDescent="0.3">
      <c r="A467" s="2">
        <v>23147243669</v>
      </c>
      <c r="B467" s="3" t="s">
        <v>502</v>
      </c>
      <c r="C467" s="1"/>
      <c r="D467" s="3"/>
    </row>
    <row r="468" spans="1:4" ht="15.75" customHeight="1" x14ac:dyDescent="0.3">
      <c r="A468" s="2">
        <v>30686222086</v>
      </c>
      <c r="B468" s="3" t="s">
        <v>503</v>
      </c>
      <c r="C468" s="1"/>
      <c r="D468" s="3"/>
    </row>
    <row r="469" spans="1:4" ht="15.75" customHeight="1" x14ac:dyDescent="0.3">
      <c r="A469" s="2">
        <v>30715564749</v>
      </c>
      <c r="B469" s="3" t="s">
        <v>504</v>
      </c>
      <c r="C469" s="1" t="s">
        <v>5</v>
      </c>
      <c r="D469" s="3"/>
    </row>
    <row r="470" spans="1:4" ht="15.75" customHeight="1" x14ac:dyDescent="0.3">
      <c r="A470" s="2">
        <v>30625911334</v>
      </c>
      <c r="B470" s="3" t="s">
        <v>505</v>
      </c>
      <c r="C470" s="1" t="s">
        <v>5</v>
      </c>
      <c r="D470" s="3"/>
    </row>
    <row r="471" spans="1:4" ht="15.75" customHeight="1" x14ac:dyDescent="0.3">
      <c r="A471" s="2">
        <v>30685437011</v>
      </c>
      <c r="B471" s="3" t="s">
        <v>506</v>
      </c>
      <c r="C471" s="1"/>
      <c r="D471" s="3"/>
    </row>
    <row r="472" spans="1:4" ht="15.75" customHeight="1" x14ac:dyDescent="0.3">
      <c r="A472" s="2">
        <v>30709318965</v>
      </c>
      <c r="B472" s="3" t="s">
        <v>507</v>
      </c>
      <c r="C472" s="1"/>
      <c r="D472" s="3"/>
    </row>
    <row r="473" spans="1:4" ht="15.75" customHeight="1" x14ac:dyDescent="0.3">
      <c r="A473" s="2">
        <v>30714113395</v>
      </c>
      <c r="B473" s="3" t="s">
        <v>508</v>
      </c>
      <c r="C473" s="1"/>
      <c r="D473" s="3"/>
    </row>
    <row r="474" spans="1:4" ht="15.75" customHeight="1" x14ac:dyDescent="0.3">
      <c r="A474" s="2">
        <v>30715263676</v>
      </c>
      <c r="B474" s="3" t="s">
        <v>509</v>
      </c>
      <c r="C474" s="1"/>
      <c r="D474" s="3"/>
    </row>
    <row r="475" spans="1:4" ht="15.75" customHeight="1" x14ac:dyDescent="0.3">
      <c r="A475" s="2">
        <v>30702652975</v>
      </c>
      <c r="B475" s="3" t="s">
        <v>510</v>
      </c>
      <c r="C475" s="1" t="s">
        <v>17</v>
      </c>
      <c r="D475" s="3"/>
    </row>
    <row r="476" spans="1:4" ht="15.75" customHeight="1" x14ac:dyDescent="0.3">
      <c r="A476" s="2">
        <v>30714187658</v>
      </c>
      <c r="B476" s="3" t="s">
        <v>511</v>
      </c>
      <c r="C476" s="1" t="s">
        <v>5</v>
      </c>
      <c r="D476" s="3"/>
    </row>
    <row r="477" spans="1:4" ht="15.75" customHeight="1" x14ac:dyDescent="0.3">
      <c r="A477" s="2">
        <v>30707215689</v>
      </c>
      <c r="B477" s="3" t="s">
        <v>512</v>
      </c>
      <c r="C477" s="1" t="s">
        <v>449</v>
      </c>
      <c r="D477" s="3"/>
    </row>
    <row r="478" spans="1:4" ht="15.75" customHeight="1" x14ac:dyDescent="0.3">
      <c r="A478" s="2">
        <v>30504854023</v>
      </c>
      <c r="B478" s="3" t="s">
        <v>513</v>
      </c>
      <c r="C478" s="1" t="s">
        <v>5</v>
      </c>
      <c r="D478" s="3"/>
    </row>
    <row r="479" spans="1:4" ht="15.75" customHeight="1" x14ac:dyDescent="0.3">
      <c r="A479" s="2">
        <v>30500053522</v>
      </c>
      <c r="B479" s="3" t="s">
        <v>514</v>
      </c>
      <c r="C479" s="1"/>
      <c r="D479" s="3"/>
    </row>
    <row r="480" spans="1:4" ht="15.75" customHeight="1" x14ac:dyDescent="0.3">
      <c r="A480" s="2">
        <v>30658137642</v>
      </c>
      <c r="B480" s="3" t="s">
        <v>515</v>
      </c>
      <c r="C480" s="1"/>
      <c r="D480" s="3"/>
    </row>
    <row r="481" spans="1:4" ht="15.75" customHeight="1" x14ac:dyDescent="0.3">
      <c r="A481" s="2">
        <v>33600011869</v>
      </c>
      <c r="B481" s="3" t="s">
        <v>516</v>
      </c>
      <c r="C481" s="1"/>
      <c r="D481" s="3"/>
    </row>
    <row r="482" spans="1:4" ht="15.75" customHeight="1" x14ac:dyDescent="0.3">
      <c r="A482" s="2">
        <v>30609521941</v>
      </c>
      <c r="B482" s="3" t="s">
        <v>517</v>
      </c>
      <c r="C482" s="1"/>
      <c r="D482" s="3"/>
    </row>
    <row r="483" spans="1:4" ht="15.75" customHeight="1" x14ac:dyDescent="0.3">
      <c r="A483" s="2">
        <v>30590412631</v>
      </c>
      <c r="B483" s="3" t="s">
        <v>518</v>
      </c>
      <c r="C483" s="1"/>
      <c r="D483" s="3"/>
    </row>
    <row r="484" spans="1:4" ht="15.75" customHeight="1" x14ac:dyDescent="0.3">
      <c r="A484" s="2">
        <v>30585412453</v>
      </c>
      <c r="B484" s="3" t="s">
        <v>519</v>
      </c>
      <c r="C484" s="1"/>
      <c r="D484" s="3"/>
    </row>
    <row r="485" spans="1:4" ht="15.75" customHeight="1" x14ac:dyDescent="0.3">
      <c r="A485" s="2">
        <v>30546846217</v>
      </c>
      <c r="B485" s="3" t="s">
        <v>520</v>
      </c>
      <c r="C485" s="1"/>
      <c r="D485" s="3"/>
    </row>
    <row r="486" spans="1:4" ht="15.75" customHeight="1" x14ac:dyDescent="0.3">
      <c r="A486" s="2">
        <v>30714911976</v>
      </c>
      <c r="B486" s="3" t="s">
        <v>521</v>
      </c>
      <c r="C486" s="1" t="s">
        <v>5</v>
      </c>
      <c r="D486" s="3"/>
    </row>
    <row r="487" spans="1:4" ht="15.75" customHeight="1" x14ac:dyDescent="0.3">
      <c r="A487" s="2">
        <v>20177474844</v>
      </c>
      <c r="B487" s="3" t="s">
        <v>522</v>
      </c>
      <c r="C487" s="1"/>
      <c r="D487" s="3"/>
    </row>
    <row r="488" spans="1:4" ht="15.75" customHeight="1" x14ac:dyDescent="0.3">
      <c r="A488" s="2">
        <v>30708387114</v>
      </c>
      <c r="B488" s="3" t="s">
        <v>523</v>
      </c>
      <c r="C488" s="1" t="s">
        <v>5</v>
      </c>
      <c r="D488" s="3"/>
    </row>
    <row r="489" spans="1:4" ht="15.75" customHeight="1" x14ac:dyDescent="0.3">
      <c r="A489" s="2">
        <v>30709059471</v>
      </c>
      <c r="B489" s="3" t="s">
        <v>524</v>
      </c>
      <c r="C489" s="1" t="s">
        <v>5</v>
      </c>
      <c r="D489" s="3"/>
    </row>
    <row r="490" spans="1:4" ht="15.75" customHeight="1" x14ac:dyDescent="0.3">
      <c r="A490" s="2">
        <v>30702843576</v>
      </c>
      <c r="B490" s="3" t="s">
        <v>525</v>
      </c>
      <c r="C490" s="1" t="s">
        <v>5</v>
      </c>
      <c r="D490" s="3"/>
    </row>
    <row r="491" spans="1:4" ht="15.75" customHeight="1" x14ac:dyDescent="0.3">
      <c r="A491" s="2">
        <v>30707092781</v>
      </c>
      <c r="B491" s="3" t="s">
        <v>526</v>
      </c>
      <c r="C491" s="1" t="s">
        <v>15</v>
      </c>
      <c r="D491" s="3"/>
    </row>
    <row r="492" spans="1:4" ht="15.75" customHeight="1" x14ac:dyDescent="0.3">
      <c r="A492" s="2">
        <v>27937907473</v>
      </c>
      <c r="B492" s="3" t="s">
        <v>527</v>
      </c>
      <c r="C492" s="1" t="s">
        <v>15</v>
      </c>
      <c r="D492" s="3"/>
    </row>
    <row r="493" spans="1:4" ht="15.75" customHeight="1" x14ac:dyDescent="0.3">
      <c r="A493" s="2">
        <v>30603810550</v>
      </c>
      <c r="B493" s="3" t="s">
        <v>528</v>
      </c>
      <c r="C493" s="1" t="s">
        <v>15</v>
      </c>
      <c r="D493" s="3"/>
    </row>
    <row r="494" spans="1:4" ht="15.75" customHeight="1" x14ac:dyDescent="0.3">
      <c r="A494" s="2">
        <v>30712341803</v>
      </c>
      <c r="B494" s="3" t="s">
        <v>529</v>
      </c>
      <c r="C494" s="1"/>
      <c r="D494" s="3"/>
    </row>
    <row r="495" spans="1:4" ht="15.75" customHeight="1" x14ac:dyDescent="0.3">
      <c r="A495" s="2">
        <v>30550245309</v>
      </c>
      <c r="B495" s="3" t="s">
        <v>530</v>
      </c>
      <c r="C495" s="1"/>
      <c r="D495" s="3"/>
    </row>
    <row r="496" spans="1:4" ht="15.75" customHeight="1" x14ac:dyDescent="0.3">
      <c r="A496" s="2">
        <v>30655042772</v>
      </c>
      <c r="B496" s="3" t="s">
        <v>531</v>
      </c>
      <c r="C496" s="1"/>
      <c r="D496" s="3"/>
    </row>
    <row r="497" spans="1:4" ht="15.75" customHeight="1" x14ac:dyDescent="0.3">
      <c r="A497" s="2">
        <v>30678774495</v>
      </c>
      <c r="B497" s="3" t="s">
        <v>532</v>
      </c>
      <c r="C497" s="1" t="s">
        <v>97</v>
      </c>
      <c r="D497" s="3"/>
    </row>
    <row r="498" spans="1:4" ht="15.75" customHeight="1" x14ac:dyDescent="0.3">
      <c r="A498" s="2">
        <v>30611371213</v>
      </c>
      <c r="B498" s="3" t="s">
        <v>533</v>
      </c>
      <c r="C498" s="1" t="s">
        <v>5</v>
      </c>
      <c r="D498" s="3"/>
    </row>
    <row r="499" spans="1:4" ht="15.75" customHeight="1" x14ac:dyDescent="0.3">
      <c r="A499" s="2">
        <v>30500597557</v>
      </c>
      <c r="B499" s="3" t="s">
        <v>533</v>
      </c>
      <c r="C499" s="1" t="s">
        <v>5</v>
      </c>
      <c r="D499" s="3"/>
    </row>
    <row r="500" spans="1:4" ht="15.75" customHeight="1" x14ac:dyDescent="0.3">
      <c r="A500" s="2">
        <v>30536259194</v>
      </c>
      <c r="B500" s="3" t="s">
        <v>534</v>
      </c>
      <c r="C500" s="1"/>
      <c r="D500" s="3"/>
    </row>
    <row r="501" spans="1:4" ht="15.75" customHeight="1" x14ac:dyDescent="0.3">
      <c r="A501" s="2">
        <v>30688264711</v>
      </c>
      <c r="B501" s="3" t="s">
        <v>535</v>
      </c>
      <c r="C501" s="1"/>
      <c r="D501" s="3"/>
    </row>
    <row r="502" spans="1:4" ht="15.75" customHeight="1" x14ac:dyDescent="0.3">
      <c r="A502" s="2">
        <v>30661498575</v>
      </c>
      <c r="B502" s="3" t="s">
        <v>536</v>
      </c>
      <c r="C502" s="1" t="s">
        <v>5</v>
      </c>
      <c r="D502" s="3"/>
    </row>
    <row r="503" spans="1:4" ht="15.75" customHeight="1" x14ac:dyDescent="0.3">
      <c r="A503" s="2">
        <v>33709738459</v>
      </c>
      <c r="B503" s="3" t="s">
        <v>537</v>
      </c>
      <c r="C503" s="1" t="s">
        <v>5</v>
      </c>
      <c r="D503" s="3"/>
    </row>
    <row r="504" spans="1:4" ht="15.75" customHeight="1" x14ac:dyDescent="0.3">
      <c r="A504" s="2">
        <v>30696246234</v>
      </c>
      <c r="B504" s="3" t="s">
        <v>538</v>
      </c>
      <c r="C504" s="1" t="s">
        <v>5</v>
      </c>
      <c r="D504" s="3"/>
    </row>
    <row r="505" spans="1:4" ht="15.75" customHeight="1" x14ac:dyDescent="0.3">
      <c r="A505" s="2">
        <v>30518922897</v>
      </c>
      <c r="B505" s="3" t="s">
        <v>539</v>
      </c>
      <c r="C505" s="1"/>
      <c r="D505" s="3"/>
    </row>
    <row r="506" spans="1:4" ht="15.75" customHeight="1" x14ac:dyDescent="0.3">
      <c r="A506" s="2">
        <v>30600271004</v>
      </c>
      <c r="B506" s="3" t="s">
        <v>540</v>
      </c>
      <c r="C506" s="1"/>
      <c r="D506" s="3"/>
    </row>
    <row r="507" spans="1:4" ht="15.75" customHeight="1" x14ac:dyDescent="0.3">
      <c r="A507" s="2">
        <v>30707080198</v>
      </c>
      <c r="B507" s="3" t="s">
        <v>541</v>
      </c>
      <c r="C507" s="1" t="s">
        <v>5</v>
      </c>
      <c r="D507" s="3"/>
    </row>
    <row r="508" spans="1:4" ht="15.75" customHeight="1" x14ac:dyDescent="0.3">
      <c r="A508" s="2">
        <v>30643862928</v>
      </c>
      <c r="B508" s="3" t="s">
        <v>542</v>
      </c>
      <c r="C508" s="1" t="s">
        <v>5</v>
      </c>
      <c r="D508" s="3"/>
    </row>
    <row r="509" spans="1:4" ht="15.75" customHeight="1" x14ac:dyDescent="0.3">
      <c r="A509" s="2">
        <v>30709517976</v>
      </c>
      <c r="B509" s="3" t="s">
        <v>543</v>
      </c>
      <c r="C509" s="1"/>
      <c r="D509" s="3"/>
    </row>
    <row r="510" spans="1:4" ht="15.75" customHeight="1" x14ac:dyDescent="0.3">
      <c r="A510" s="2">
        <v>20266254084</v>
      </c>
      <c r="B510" s="3" t="s">
        <v>544</v>
      </c>
      <c r="C510" s="1"/>
      <c r="D510" s="3"/>
    </row>
    <row r="511" spans="1:4" ht="15.75" customHeight="1" x14ac:dyDescent="0.3">
      <c r="A511" s="2">
        <v>30707801987</v>
      </c>
      <c r="B511" s="3" t="s">
        <v>545</v>
      </c>
      <c r="C511" s="1"/>
      <c r="D511" s="3"/>
    </row>
    <row r="512" spans="1:4" ht="15.75" customHeight="1" x14ac:dyDescent="0.3">
      <c r="A512" s="2">
        <v>30695542476</v>
      </c>
      <c r="B512" s="3" t="s">
        <v>546</v>
      </c>
      <c r="C512" s="1"/>
      <c r="D512" s="3"/>
    </row>
    <row r="513" spans="1:4" ht="15.75" customHeight="1" x14ac:dyDescent="0.3">
      <c r="A513" s="2">
        <v>30591633984</v>
      </c>
      <c r="B513" s="3" t="s">
        <v>547</v>
      </c>
      <c r="C513" s="1" t="s">
        <v>5</v>
      </c>
      <c r="D513" s="3"/>
    </row>
    <row r="514" spans="1:4" ht="15.75" customHeight="1" x14ac:dyDescent="0.3">
      <c r="A514" s="2">
        <v>20935729662</v>
      </c>
      <c r="B514" s="3" t="s">
        <v>548</v>
      </c>
      <c r="C514" s="1"/>
      <c r="D514" s="3"/>
    </row>
    <row r="515" spans="1:4" ht="15.75" customHeight="1" x14ac:dyDescent="0.3">
      <c r="A515" s="2">
        <v>30588917157</v>
      </c>
      <c r="B515" s="3" t="s">
        <v>549</v>
      </c>
      <c r="C515" s="1" t="s">
        <v>5</v>
      </c>
      <c r="D515" s="3"/>
    </row>
    <row r="516" spans="1:4" ht="15.75" customHeight="1" x14ac:dyDescent="0.3">
      <c r="A516" s="2">
        <v>30687255492</v>
      </c>
      <c r="B516" s="3" t="s">
        <v>550</v>
      </c>
      <c r="C516" s="1"/>
      <c r="D516" s="3"/>
    </row>
    <row r="517" spans="1:4" ht="15.75" customHeight="1" x14ac:dyDescent="0.3">
      <c r="A517" s="2">
        <v>30605041287</v>
      </c>
      <c r="B517" s="3" t="s">
        <v>551</v>
      </c>
      <c r="C517" s="1" t="s">
        <v>15</v>
      </c>
      <c r="D517" s="3"/>
    </row>
    <row r="518" spans="1:4" ht="15.75" customHeight="1" x14ac:dyDescent="0.3">
      <c r="A518" s="2">
        <v>30715401114</v>
      </c>
      <c r="B518" s="3" t="s">
        <v>552</v>
      </c>
      <c r="C518" s="1" t="s">
        <v>5</v>
      </c>
      <c r="D518" s="3"/>
    </row>
    <row r="519" spans="1:4" ht="15.75" customHeight="1" x14ac:dyDescent="0.3">
      <c r="A519" s="2">
        <v>16218369</v>
      </c>
      <c r="B519" s="3" t="s">
        <v>553</v>
      </c>
      <c r="C519" s="1"/>
      <c r="D519" s="3"/>
    </row>
    <row r="520" spans="1:4" ht="15.75" customHeight="1" x14ac:dyDescent="0.3">
      <c r="A520" s="2">
        <v>30707515232</v>
      </c>
      <c r="B520" s="3" t="s">
        <v>554</v>
      </c>
      <c r="C520" s="1"/>
      <c r="D520" s="3"/>
    </row>
    <row r="521" spans="1:4" ht="15.75" customHeight="1" x14ac:dyDescent="0.3">
      <c r="A521" s="2">
        <v>27127809521</v>
      </c>
      <c r="B521" s="3" t="s">
        <v>555</v>
      </c>
      <c r="C521" s="1"/>
      <c r="D521" s="3"/>
    </row>
    <row r="522" spans="1:4" ht="15.75" customHeight="1" x14ac:dyDescent="0.3">
      <c r="A522" s="2">
        <v>30708084944</v>
      </c>
      <c r="B522" s="3" t="s">
        <v>556</v>
      </c>
      <c r="C522" s="1"/>
      <c r="D522" s="3"/>
    </row>
    <row r="523" spans="1:4" ht="15.75" customHeight="1" x14ac:dyDescent="0.3">
      <c r="A523" s="2">
        <v>26198343</v>
      </c>
      <c r="B523" s="3" t="s">
        <v>557</v>
      </c>
      <c r="C523" s="1"/>
      <c r="D523" s="3"/>
    </row>
    <row r="524" spans="1:4" ht="15.75" customHeight="1" x14ac:dyDescent="0.3">
      <c r="A524" s="2">
        <v>23131563779</v>
      </c>
      <c r="B524" s="3" t="s">
        <v>558</v>
      </c>
      <c r="C524" s="1"/>
      <c r="D524" s="3"/>
    </row>
    <row r="525" spans="1:4" ht="15.75" customHeight="1" x14ac:dyDescent="0.3">
      <c r="A525" s="2">
        <v>20277890306</v>
      </c>
      <c r="B525" s="3" t="s">
        <v>559</v>
      </c>
      <c r="C525" s="1" t="s">
        <v>5</v>
      </c>
      <c r="D525" s="3"/>
    </row>
    <row r="526" spans="1:4" ht="15.75" customHeight="1" x14ac:dyDescent="0.3">
      <c r="A526" s="2">
        <v>30709975427</v>
      </c>
      <c r="B526" s="3" t="s">
        <v>560</v>
      </c>
      <c r="C526" s="1"/>
      <c r="D526" s="3"/>
    </row>
    <row r="527" spans="1:4" ht="15.75" customHeight="1" x14ac:dyDescent="0.3">
      <c r="A527" s="2">
        <v>33714646899</v>
      </c>
      <c r="B527" s="3" t="s">
        <v>561</v>
      </c>
      <c r="C527" s="1"/>
      <c r="D527" s="3"/>
    </row>
    <row r="528" spans="1:4" ht="15.75" customHeight="1" x14ac:dyDescent="0.3">
      <c r="A528" s="2">
        <v>30504744538</v>
      </c>
      <c r="B528" s="3" t="s">
        <v>562</v>
      </c>
      <c r="C528" s="1"/>
      <c r="D528" s="3"/>
    </row>
    <row r="529" spans="1:4" ht="15.75" customHeight="1" x14ac:dyDescent="0.3">
      <c r="A529" s="2">
        <v>20113613646</v>
      </c>
      <c r="B529" s="3" t="s">
        <v>563</v>
      </c>
      <c r="C529" s="1" t="s">
        <v>15</v>
      </c>
      <c r="D529" s="3"/>
    </row>
    <row r="530" spans="1:4" ht="15.75" customHeight="1" x14ac:dyDescent="0.3">
      <c r="A530" s="2">
        <v>30502174904</v>
      </c>
      <c r="B530" s="3" t="s">
        <v>564</v>
      </c>
      <c r="C530" s="1" t="s">
        <v>5</v>
      </c>
      <c r="D530" s="3"/>
    </row>
    <row r="531" spans="1:4" ht="15.75" customHeight="1" x14ac:dyDescent="0.3">
      <c r="A531" s="2">
        <v>30707228098</v>
      </c>
      <c r="B531" s="3" t="s">
        <v>565</v>
      </c>
      <c r="C531" s="1"/>
      <c r="D531" s="3"/>
    </row>
    <row r="532" spans="1:4" ht="15.75" customHeight="1" x14ac:dyDescent="0.3">
      <c r="A532" s="2">
        <v>20325657988</v>
      </c>
      <c r="B532" s="3" t="s">
        <v>566</v>
      </c>
      <c r="C532" s="1"/>
      <c r="D532" s="3"/>
    </row>
    <row r="533" spans="1:4" ht="15.75" customHeight="1" x14ac:dyDescent="0.3">
      <c r="A533" s="2">
        <v>30646512952</v>
      </c>
      <c r="B533" s="3" t="s">
        <v>567</v>
      </c>
      <c r="C533" s="1" t="s">
        <v>7</v>
      </c>
      <c r="D533" s="3"/>
    </row>
    <row r="534" spans="1:4" ht="15.75" customHeight="1" x14ac:dyDescent="0.3">
      <c r="A534" s="2">
        <v>30577428618</v>
      </c>
      <c r="B534" s="3" t="s">
        <v>568</v>
      </c>
      <c r="C534" s="1" t="s">
        <v>5</v>
      </c>
      <c r="D534" s="3"/>
    </row>
    <row r="535" spans="1:4" ht="15.75" customHeight="1" x14ac:dyDescent="0.3">
      <c r="A535" s="2">
        <v>30697754063</v>
      </c>
      <c r="B535" s="3" t="s">
        <v>569</v>
      </c>
      <c r="C535" s="1"/>
      <c r="D535" s="3"/>
    </row>
    <row r="536" spans="1:4" ht="15.75" customHeight="1" x14ac:dyDescent="0.3">
      <c r="A536" s="2">
        <v>30714848034</v>
      </c>
      <c r="B536" s="3" t="s">
        <v>570</v>
      </c>
      <c r="C536" s="1" t="s">
        <v>5</v>
      </c>
      <c r="D536" s="3"/>
    </row>
    <row r="537" spans="1:4" ht="15.75" customHeight="1" x14ac:dyDescent="0.3">
      <c r="A537" s="2">
        <v>30555517757</v>
      </c>
      <c r="B537" s="3" t="s">
        <v>571</v>
      </c>
      <c r="C537" s="1"/>
      <c r="D537" s="3"/>
    </row>
    <row r="538" spans="1:4" ht="15.75" customHeight="1" x14ac:dyDescent="0.3">
      <c r="A538" s="2">
        <v>20304493039</v>
      </c>
      <c r="B538" s="3" t="s">
        <v>572</v>
      </c>
      <c r="C538" s="1" t="s">
        <v>5</v>
      </c>
      <c r="D538" s="3"/>
    </row>
    <row r="539" spans="1:4" ht="15.75" customHeight="1" x14ac:dyDescent="0.3">
      <c r="A539" s="2">
        <v>30601399446</v>
      </c>
      <c r="B539" s="3" t="s">
        <v>573</v>
      </c>
      <c r="C539" s="1"/>
      <c r="D539" s="3"/>
    </row>
    <row r="540" spans="1:4" ht="15.75" customHeight="1" x14ac:dyDescent="0.3">
      <c r="A540" s="2">
        <v>30714249416</v>
      </c>
      <c r="B540" s="3" t="s">
        <v>574</v>
      </c>
      <c r="C540" s="1"/>
      <c r="D540" s="3"/>
    </row>
    <row r="541" spans="1:4" ht="15.75" customHeight="1" x14ac:dyDescent="0.3">
      <c r="A541" s="2">
        <v>33517024819</v>
      </c>
      <c r="B541" s="3" t="s">
        <v>575</v>
      </c>
      <c r="C541" s="1" t="s">
        <v>5</v>
      </c>
      <c r="D541" s="3"/>
    </row>
    <row r="542" spans="1:4" ht="15.75" customHeight="1" x14ac:dyDescent="0.3">
      <c r="A542" s="2">
        <v>27203132722</v>
      </c>
      <c r="B542" s="3" t="s">
        <v>576</v>
      </c>
      <c r="C542" s="1"/>
      <c r="D542" s="3"/>
    </row>
    <row r="543" spans="1:4" ht="15.75" customHeight="1" x14ac:dyDescent="0.3">
      <c r="A543" s="2">
        <v>30583464138</v>
      </c>
      <c r="B543" s="3" t="s">
        <v>577</v>
      </c>
      <c r="C543" s="1"/>
      <c r="D543" s="3"/>
    </row>
    <row r="544" spans="1:4" ht="15.75" customHeight="1" x14ac:dyDescent="0.3">
      <c r="A544" s="2">
        <v>30711122911</v>
      </c>
      <c r="B544" s="3" t="s">
        <v>578</v>
      </c>
      <c r="C544" s="1"/>
      <c r="D544" s="3"/>
    </row>
    <row r="545" spans="1:4" ht="15.75" customHeight="1" x14ac:dyDescent="0.3">
      <c r="A545" s="2">
        <v>30550005987</v>
      </c>
      <c r="B545" s="3" t="s">
        <v>579</v>
      </c>
      <c r="C545" s="1"/>
      <c r="D545" s="3"/>
    </row>
    <row r="546" spans="1:4" ht="15.75" customHeight="1" x14ac:dyDescent="0.3">
      <c r="A546" s="2">
        <v>30709568260</v>
      </c>
      <c r="B546" s="3" t="s">
        <v>580</v>
      </c>
      <c r="C546" s="1" t="s">
        <v>5</v>
      </c>
      <c r="D546" s="3"/>
    </row>
    <row r="547" spans="1:4" ht="15.75" customHeight="1" x14ac:dyDescent="0.3">
      <c r="A547" s="2">
        <v>30707970010</v>
      </c>
      <c r="B547" s="3" t="s">
        <v>581</v>
      </c>
      <c r="C547" s="1"/>
      <c r="D547" s="3"/>
    </row>
    <row r="548" spans="1:4" ht="15.75" customHeight="1" x14ac:dyDescent="0.3">
      <c r="A548" s="2">
        <v>33714326029</v>
      </c>
      <c r="B548" s="3" t="s">
        <v>582</v>
      </c>
      <c r="C548" s="1"/>
      <c r="D548" s="3"/>
    </row>
    <row r="549" spans="1:4" ht="15.75" customHeight="1" x14ac:dyDescent="0.3">
      <c r="A549" s="2">
        <v>30710207190</v>
      </c>
      <c r="B549" s="3" t="s">
        <v>583</v>
      </c>
      <c r="C549" s="1"/>
      <c r="D549" s="3"/>
    </row>
    <row r="550" spans="1:4" ht="15.75" customHeight="1" x14ac:dyDescent="0.3">
      <c r="A550" s="2">
        <v>30660432961</v>
      </c>
      <c r="B550" s="3" t="s">
        <v>584</v>
      </c>
      <c r="C550" s="1"/>
      <c r="D550" s="3"/>
    </row>
    <row r="551" spans="1:4" ht="15.75" customHeight="1" x14ac:dyDescent="0.3">
      <c r="A551" s="2">
        <v>20174240125</v>
      </c>
      <c r="B551" s="3" t="s">
        <v>585</v>
      </c>
      <c r="C551" s="1"/>
      <c r="D551" s="3"/>
    </row>
    <row r="552" spans="1:4" ht="15.75" customHeight="1" x14ac:dyDescent="0.3">
      <c r="A552" s="2">
        <v>30503940147</v>
      </c>
      <c r="B552" s="3" t="s">
        <v>586</v>
      </c>
      <c r="C552" s="1"/>
      <c r="D552" s="3"/>
    </row>
    <row r="553" spans="1:4" ht="15.75" customHeight="1" x14ac:dyDescent="0.3">
      <c r="A553" s="2">
        <v>27163348190</v>
      </c>
      <c r="B553" s="3" t="s">
        <v>587</v>
      </c>
      <c r="C553" s="1" t="s">
        <v>5</v>
      </c>
      <c r="D553" s="3"/>
    </row>
    <row r="554" spans="1:4" ht="15.75" customHeight="1" x14ac:dyDescent="0.3">
      <c r="A554" s="2">
        <v>30568731936</v>
      </c>
      <c r="B554" s="3" t="s">
        <v>588</v>
      </c>
      <c r="C554" s="1"/>
      <c r="D554" s="3"/>
    </row>
    <row r="555" spans="1:4" ht="15.75" customHeight="1" x14ac:dyDescent="0.3">
      <c r="A555" s="2">
        <v>30517345039</v>
      </c>
      <c r="B555" s="3" t="s">
        <v>589</v>
      </c>
      <c r="C555" s="1" t="s">
        <v>5</v>
      </c>
      <c r="D555" s="3"/>
    </row>
    <row r="556" spans="1:4" ht="15.75" customHeight="1" x14ac:dyDescent="0.3">
      <c r="A556" s="2">
        <v>12892105</v>
      </c>
      <c r="B556" s="3" t="s">
        <v>590</v>
      </c>
      <c r="C556" s="1"/>
      <c r="D556" s="3"/>
    </row>
    <row r="557" spans="1:4" ht="15.75" customHeight="1" x14ac:dyDescent="0.3">
      <c r="A557" s="2">
        <v>27233748205</v>
      </c>
      <c r="B557" s="3" t="s">
        <v>591</v>
      </c>
      <c r="C557" s="1"/>
      <c r="D557" s="3"/>
    </row>
    <row r="558" spans="1:4" ht="15.75" customHeight="1" x14ac:dyDescent="0.3">
      <c r="A558" s="2">
        <v>20082988786</v>
      </c>
      <c r="B558" s="3" t="s">
        <v>592</v>
      </c>
      <c r="C558" s="1" t="s">
        <v>5</v>
      </c>
      <c r="D558" s="3"/>
    </row>
    <row r="559" spans="1:4" ht="15.75" customHeight="1" x14ac:dyDescent="0.3">
      <c r="A559" s="2">
        <v>30707370552</v>
      </c>
      <c r="B559" s="3" t="s">
        <v>593</v>
      </c>
      <c r="C559" s="1" t="s">
        <v>5</v>
      </c>
      <c r="D559" s="3"/>
    </row>
    <row r="560" spans="1:4" ht="15.75" customHeight="1" x14ac:dyDescent="0.3">
      <c r="A560" s="2">
        <v>27179366741</v>
      </c>
      <c r="B560" s="3" t="s">
        <v>594</v>
      </c>
      <c r="C560" s="1"/>
      <c r="D560" s="3"/>
    </row>
    <row r="561" spans="1:4" ht="15.75" customHeight="1" x14ac:dyDescent="0.3">
      <c r="A561" s="2">
        <v>30711877386</v>
      </c>
      <c r="B561" s="3" t="s">
        <v>595</v>
      </c>
      <c r="C561" s="1" t="s">
        <v>596</v>
      </c>
      <c r="D561" s="3"/>
    </row>
    <row r="562" spans="1:4" ht="15.75" customHeight="1" x14ac:dyDescent="0.3">
      <c r="A562" s="2">
        <v>30715645579</v>
      </c>
      <c r="B562" s="3" t="s">
        <v>597</v>
      </c>
      <c r="C562" s="1" t="s">
        <v>5</v>
      </c>
      <c r="D562" s="3"/>
    </row>
    <row r="563" spans="1:4" ht="15.75" customHeight="1" x14ac:dyDescent="0.3">
      <c r="A563" s="2">
        <v>20043154835</v>
      </c>
      <c r="B563" s="3" t="s">
        <v>598</v>
      </c>
      <c r="C563" s="1"/>
      <c r="D563" s="3"/>
    </row>
    <row r="564" spans="1:4" ht="15.75" customHeight="1" x14ac:dyDescent="0.3">
      <c r="A564" s="2">
        <v>33708793219</v>
      </c>
      <c r="B564" s="3" t="s">
        <v>599</v>
      </c>
      <c r="C564" s="1" t="s">
        <v>15</v>
      </c>
      <c r="D564" s="3"/>
    </row>
    <row r="565" spans="1:4" ht="15.75" customHeight="1" x14ac:dyDescent="0.3">
      <c r="A565" s="2">
        <v>30709836230</v>
      </c>
      <c r="B565" s="3" t="s">
        <v>600</v>
      </c>
      <c r="C565" s="1" t="s">
        <v>5</v>
      </c>
      <c r="D565" s="3"/>
    </row>
    <row r="566" spans="1:4" ht="15.75" customHeight="1" x14ac:dyDescent="0.3">
      <c r="A566" s="2">
        <v>33711399149</v>
      </c>
      <c r="B566" s="3" t="s">
        <v>601</v>
      </c>
      <c r="C566" s="1"/>
      <c r="D566" s="3"/>
    </row>
    <row r="567" spans="1:4" ht="15.75" customHeight="1" x14ac:dyDescent="0.3">
      <c r="A567" s="2">
        <v>23181104589</v>
      </c>
      <c r="B567" s="3" t="s">
        <v>602</v>
      </c>
      <c r="C567" s="1" t="s">
        <v>5</v>
      </c>
      <c r="D567" s="3"/>
    </row>
    <row r="568" spans="1:4" ht="15.75" customHeight="1" x14ac:dyDescent="0.3">
      <c r="A568" s="2">
        <v>30711713138</v>
      </c>
      <c r="B568" s="3" t="s">
        <v>603</v>
      </c>
      <c r="C568" s="1" t="s">
        <v>5</v>
      </c>
      <c r="D568" s="3"/>
    </row>
    <row r="569" spans="1:4" ht="15.75" customHeight="1" x14ac:dyDescent="0.3">
      <c r="A569" s="2">
        <v>20085119614</v>
      </c>
      <c r="B569" s="3" t="s">
        <v>604</v>
      </c>
      <c r="C569" s="1"/>
      <c r="D569" s="3"/>
    </row>
    <row r="570" spans="1:4" ht="15.75" customHeight="1" x14ac:dyDescent="0.3">
      <c r="A570" s="2">
        <v>30663944939</v>
      </c>
      <c r="B570" s="3" t="s">
        <v>605</v>
      </c>
      <c r="C570" s="1" t="s">
        <v>5</v>
      </c>
      <c r="D570" s="3"/>
    </row>
    <row r="571" spans="1:4" ht="15.75" customHeight="1" x14ac:dyDescent="0.3">
      <c r="A571" s="2">
        <v>30715141201</v>
      </c>
      <c r="B571" s="3" t="s">
        <v>606</v>
      </c>
      <c r="C571" s="1" t="s">
        <v>5</v>
      </c>
      <c r="D571" s="3"/>
    </row>
    <row r="572" spans="1:4" ht="15.75" customHeight="1" x14ac:dyDescent="0.3">
      <c r="A572" s="2">
        <v>30709214078</v>
      </c>
      <c r="B572" s="3" t="s">
        <v>607</v>
      </c>
      <c r="C572" s="1" t="s">
        <v>5</v>
      </c>
      <c r="D572" s="3"/>
    </row>
    <row r="573" spans="1:4" ht="15.75" customHeight="1" x14ac:dyDescent="0.3">
      <c r="A573" s="2">
        <v>30501136510</v>
      </c>
      <c r="B573" s="3" t="s">
        <v>608</v>
      </c>
      <c r="C573" s="1"/>
      <c r="D573" s="3"/>
    </row>
    <row r="574" spans="1:4" ht="15.75" customHeight="1" x14ac:dyDescent="0.3">
      <c r="A574" s="2">
        <v>20217488738</v>
      </c>
      <c r="B574" s="3" t="s">
        <v>609</v>
      </c>
      <c r="C574" s="1" t="s">
        <v>610</v>
      </c>
      <c r="D574" s="3"/>
    </row>
    <row r="575" spans="1:4" ht="15.75" customHeight="1" x14ac:dyDescent="0.3">
      <c r="A575" s="2">
        <v>30708376554</v>
      </c>
      <c r="B575" s="3" t="s">
        <v>611</v>
      </c>
      <c r="C575" s="1" t="s">
        <v>5</v>
      </c>
      <c r="D575" s="3"/>
    </row>
    <row r="576" spans="1:4" ht="15.75" customHeight="1" x14ac:dyDescent="0.3">
      <c r="A576" s="2">
        <v>30612958528</v>
      </c>
      <c r="B576" s="3" t="s">
        <v>612</v>
      </c>
      <c r="C576" s="1" t="s">
        <v>5</v>
      </c>
      <c r="D576" s="3"/>
    </row>
    <row r="577" spans="1:4" ht="15.75" customHeight="1" x14ac:dyDescent="0.3">
      <c r="A577" s="2">
        <v>30525966859</v>
      </c>
      <c r="B577" s="3" t="s">
        <v>613</v>
      </c>
      <c r="C577" s="1"/>
      <c r="D577" s="3"/>
    </row>
    <row r="578" spans="1:4" ht="15.75" customHeight="1" x14ac:dyDescent="0.3">
      <c r="A578" s="2">
        <v>20210807889</v>
      </c>
      <c r="B578" s="3" t="s">
        <v>614</v>
      </c>
      <c r="C578" s="1"/>
      <c r="D578" s="3"/>
    </row>
    <row r="579" spans="1:4" ht="15.75" customHeight="1" x14ac:dyDescent="0.3">
      <c r="A579" s="2">
        <v>30714642762</v>
      </c>
      <c r="B579" s="3" t="s">
        <v>615</v>
      </c>
      <c r="C579" s="1"/>
      <c r="D579" s="3"/>
    </row>
    <row r="580" spans="1:4" ht="15.75" customHeight="1" x14ac:dyDescent="0.3">
      <c r="A580" s="2">
        <v>30608642869</v>
      </c>
      <c r="B580" s="3" t="s">
        <v>616</v>
      </c>
      <c r="C580" s="1"/>
      <c r="D580" s="3"/>
    </row>
    <row r="581" spans="1:4" ht="15.75" customHeight="1" x14ac:dyDescent="0.3">
      <c r="A581" s="2">
        <v>30712273158</v>
      </c>
      <c r="B581" s="3" t="s">
        <v>617</v>
      </c>
      <c r="C581" s="1" t="s">
        <v>298</v>
      </c>
      <c r="D581" s="3"/>
    </row>
    <row r="582" spans="1:4" ht="15.75" customHeight="1" x14ac:dyDescent="0.3">
      <c r="A582" s="2">
        <v>23106878269</v>
      </c>
      <c r="B582" s="3" t="s">
        <v>618</v>
      </c>
      <c r="C582" s="1" t="s">
        <v>5</v>
      </c>
      <c r="D582" s="3"/>
    </row>
    <row r="583" spans="1:4" ht="15.75" customHeight="1" x14ac:dyDescent="0.3">
      <c r="A583" s="2">
        <v>30709497789</v>
      </c>
      <c r="B583" s="3" t="s">
        <v>619</v>
      </c>
      <c r="C583" s="1"/>
      <c r="D583" s="3"/>
    </row>
    <row r="584" spans="1:4" ht="15.75" customHeight="1" x14ac:dyDescent="0.3">
      <c r="A584" s="2">
        <v>20162253310</v>
      </c>
      <c r="B584" s="3" t="s">
        <v>620</v>
      </c>
      <c r="C584" s="1" t="s">
        <v>15</v>
      </c>
      <c r="D584" s="3"/>
    </row>
    <row r="585" spans="1:4" ht="15.75" customHeight="1" x14ac:dyDescent="0.3">
      <c r="A585" s="2">
        <v>20078690284</v>
      </c>
      <c r="B585" s="3" t="s">
        <v>621</v>
      </c>
      <c r="C585" s="1" t="s">
        <v>5</v>
      </c>
      <c r="D585" s="3"/>
    </row>
    <row r="586" spans="1:4" ht="15.75" customHeight="1" x14ac:dyDescent="0.3">
      <c r="A586" s="2">
        <v>30714732540</v>
      </c>
      <c r="B586" s="3" t="s">
        <v>622</v>
      </c>
      <c r="C586" s="1"/>
      <c r="D586" s="3"/>
    </row>
    <row r="587" spans="1:4" ht="15.75" customHeight="1" x14ac:dyDescent="0.3">
      <c r="A587" s="2">
        <v>33715567089</v>
      </c>
      <c r="B587" s="3" t="s">
        <v>623</v>
      </c>
      <c r="C587" s="1" t="s">
        <v>5</v>
      </c>
      <c r="D587" s="3"/>
    </row>
    <row r="588" spans="1:4" ht="15.75" customHeight="1" x14ac:dyDescent="0.3">
      <c r="A588" s="2">
        <v>20120875141</v>
      </c>
      <c r="B588" s="3" t="s">
        <v>624</v>
      </c>
      <c r="C588" s="1" t="s">
        <v>5</v>
      </c>
      <c r="D588" s="3"/>
    </row>
    <row r="589" spans="1:4" ht="15.75" customHeight="1" x14ac:dyDescent="0.3">
      <c r="A589" s="2">
        <v>20049749814</v>
      </c>
      <c r="B589" s="3" t="s">
        <v>625</v>
      </c>
      <c r="C589" s="1"/>
      <c r="D589" s="3"/>
    </row>
    <row r="590" spans="1:4" ht="15.75" customHeight="1" x14ac:dyDescent="0.3">
      <c r="A590" s="2">
        <v>30708263849</v>
      </c>
      <c r="B590" s="3" t="s">
        <v>626</v>
      </c>
      <c r="C590" s="1"/>
      <c r="D590" s="3"/>
    </row>
    <row r="591" spans="1:4" ht="15.75" customHeight="1" x14ac:dyDescent="0.3">
      <c r="A591" s="2">
        <v>20110668733</v>
      </c>
      <c r="B591" s="3" t="s">
        <v>627</v>
      </c>
      <c r="C591" s="1" t="s">
        <v>5</v>
      </c>
      <c r="D591" s="3"/>
    </row>
    <row r="592" spans="1:4" ht="15.75" customHeight="1" x14ac:dyDescent="0.3">
      <c r="A592" s="2">
        <v>30576393381</v>
      </c>
      <c r="B592" s="3" t="s">
        <v>628</v>
      </c>
      <c r="C592" s="1" t="s">
        <v>17</v>
      </c>
      <c r="D592" s="3"/>
    </row>
    <row r="593" spans="1:4" ht="15.75" customHeight="1" x14ac:dyDescent="0.3">
      <c r="A593" s="2">
        <v>30714654701</v>
      </c>
      <c r="B593" s="3" t="s">
        <v>629</v>
      </c>
      <c r="C593" s="1" t="s">
        <v>7</v>
      </c>
      <c r="D593" s="3"/>
    </row>
    <row r="594" spans="1:4" ht="15.75" customHeight="1" x14ac:dyDescent="0.3">
      <c r="A594" s="2">
        <v>20233320294</v>
      </c>
      <c r="B594" s="3" t="s">
        <v>630</v>
      </c>
      <c r="C594" s="1" t="s">
        <v>5</v>
      </c>
      <c r="D594" s="3"/>
    </row>
    <row r="595" spans="1:4" ht="15.75" customHeight="1" x14ac:dyDescent="0.3">
      <c r="A595" s="2">
        <v>30715048066</v>
      </c>
      <c r="B595" s="3" t="s">
        <v>631</v>
      </c>
      <c r="C595" s="1" t="s">
        <v>632</v>
      </c>
      <c r="D595" s="3"/>
    </row>
    <row r="596" spans="1:4" ht="15.75" customHeight="1" x14ac:dyDescent="0.3">
      <c r="A596" s="2">
        <v>20043702611</v>
      </c>
      <c r="B596" s="3" t="s">
        <v>633</v>
      </c>
      <c r="C596" s="1" t="s">
        <v>5</v>
      </c>
      <c r="D596" s="3"/>
    </row>
    <row r="597" spans="1:4" ht="15.75" customHeight="1" x14ac:dyDescent="0.3">
      <c r="A597" s="2">
        <v>20229507525</v>
      </c>
      <c r="B597" s="3" t="s">
        <v>634</v>
      </c>
      <c r="C597" s="1"/>
      <c r="D597" s="3"/>
    </row>
    <row r="598" spans="1:4" ht="15.75" customHeight="1" x14ac:dyDescent="0.3">
      <c r="A598" s="2">
        <v>30521596135</v>
      </c>
      <c r="B598" s="3" t="s">
        <v>635</v>
      </c>
      <c r="C598" s="1" t="s">
        <v>5</v>
      </c>
      <c r="D598" s="3"/>
    </row>
    <row r="599" spans="1:4" ht="15.75" customHeight="1" x14ac:dyDescent="0.3">
      <c r="A599" s="2">
        <v>4829719</v>
      </c>
      <c r="B599" s="3" t="s">
        <v>636</v>
      </c>
      <c r="C599" s="1"/>
      <c r="D599" s="3"/>
    </row>
    <row r="600" spans="1:4" ht="15.75" customHeight="1" x14ac:dyDescent="0.3">
      <c r="A600" s="2">
        <v>30540721722</v>
      </c>
      <c r="B600" s="3" t="s">
        <v>637</v>
      </c>
      <c r="C600" s="1" t="s">
        <v>5</v>
      </c>
      <c r="D600" s="3"/>
    </row>
    <row r="601" spans="1:4" ht="15.75" customHeight="1" x14ac:dyDescent="0.3">
      <c r="A601" s="2">
        <v>30710444877</v>
      </c>
      <c r="B601" s="3" t="s">
        <v>638</v>
      </c>
      <c r="C601" s="1" t="s">
        <v>15</v>
      </c>
      <c r="D601" s="3"/>
    </row>
    <row r="602" spans="1:4" ht="15.75" customHeight="1" x14ac:dyDescent="0.3">
      <c r="A602" s="2">
        <v>33709108129</v>
      </c>
      <c r="B602" s="3" t="s">
        <v>639</v>
      </c>
      <c r="C602" s="1" t="s">
        <v>15</v>
      </c>
      <c r="D602" s="3"/>
    </row>
    <row r="603" spans="1:4" ht="15.75" customHeight="1" x14ac:dyDescent="0.3">
      <c r="A603" s="2">
        <v>30506730038</v>
      </c>
      <c r="B603" s="3" t="s">
        <v>640</v>
      </c>
      <c r="C603" s="1"/>
      <c r="D603" s="3"/>
    </row>
    <row r="604" spans="1:4" ht="15.75" customHeight="1" x14ac:dyDescent="0.3">
      <c r="A604" s="2">
        <v>30558706836</v>
      </c>
      <c r="B604" s="3" t="s">
        <v>641</v>
      </c>
      <c r="C604" s="1" t="s">
        <v>5</v>
      </c>
      <c r="D604" s="3"/>
    </row>
    <row r="605" spans="1:4" ht="15.75" customHeight="1" x14ac:dyDescent="0.3">
      <c r="A605" s="2">
        <v>30610511801</v>
      </c>
      <c r="B605" s="3" t="s">
        <v>642</v>
      </c>
      <c r="C605" s="1"/>
      <c r="D605" s="3"/>
    </row>
    <row r="606" spans="1:4" ht="15.75" customHeight="1" x14ac:dyDescent="0.3">
      <c r="A606" s="2">
        <v>30500529071</v>
      </c>
      <c r="B606" s="3" t="s">
        <v>643</v>
      </c>
      <c r="C606" s="1" t="s">
        <v>5</v>
      </c>
      <c r="D606" s="3"/>
    </row>
    <row r="607" spans="1:4" ht="15.75" customHeight="1" x14ac:dyDescent="0.3">
      <c r="A607" s="2">
        <v>30645922715</v>
      </c>
      <c r="B607" s="3" t="s">
        <v>644</v>
      </c>
      <c r="C607" s="1"/>
      <c r="D607" s="3"/>
    </row>
    <row r="608" spans="1:4" ht="15.75" customHeight="1" x14ac:dyDescent="0.3">
      <c r="A608" s="2">
        <v>6209031</v>
      </c>
      <c r="B608" s="3" t="s">
        <v>645</v>
      </c>
      <c r="C608" s="1"/>
      <c r="D608" s="3"/>
    </row>
    <row r="609" spans="1:4" ht="15.75" customHeight="1" x14ac:dyDescent="0.3">
      <c r="A609" s="2">
        <v>30645585654</v>
      </c>
      <c r="B609" s="3" t="s">
        <v>646</v>
      </c>
      <c r="C609" s="1"/>
      <c r="D609" s="3"/>
    </row>
    <row r="610" spans="1:4" ht="15.75" customHeight="1" x14ac:dyDescent="0.3">
      <c r="A610" s="2">
        <v>30711553564</v>
      </c>
      <c r="B610" s="3" t="s">
        <v>647</v>
      </c>
      <c r="C610" s="1" t="s">
        <v>5</v>
      </c>
      <c r="D610" s="3"/>
    </row>
    <row r="611" spans="1:4" ht="15.75" customHeight="1" x14ac:dyDescent="0.3">
      <c r="A611" s="2">
        <v>94018871</v>
      </c>
      <c r="B611" s="3" t="s">
        <v>648</v>
      </c>
      <c r="C611" s="1"/>
      <c r="D611" s="3"/>
    </row>
    <row r="612" spans="1:4" ht="15.75" customHeight="1" x14ac:dyDescent="0.3">
      <c r="A612" s="2">
        <v>30714079405</v>
      </c>
      <c r="B612" s="3" t="s">
        <v>649</v>
      </c>
      <c r="C612" s="1" t="s">
        <v>5</v>
      </c>
      <c r="D612" s="3"/>
    </row>
    <row r="613" spans="1:4" ht="15.75" customHeight="1" x14ac:dyDescent="0.3">
      <c r="A613" s="2">
        <v>27240421513</v>
      </c>
      <c r="B613" s="3" t="s">
        <v>650</v>
      </c>
      <c r="C613" s="1"/>
      <c r="D613" s="3"/>
    </row>
    <row r="614" spans="1:4" ht="15.75" customHeight="1" x14ac:dyDescent="0.3">
      <c r="A614" s="2">
        <v>30708428082</v>
      </c>
      <c r="B614" s="3" t="s">
        <v>651</v>
      </c>
      <c r="C614" s="1"/>
      <c r="D614" s="3"/>
    </row>
    <row r="615" spans="1:4" ht="15.75" customHeight="1" x14ac:dyDescent="0.3">
      <c r="A615" s="2">
        <v>30631047145</v>
      </c>
      <c r="B615" s="3" t="s">
        <v>652</v>
      </c>
      <c r="C615" s="1" t="s">
        <v>5</v>
      </c>
      <c r="D615" s="3"/>
    </row>
    <row r="616" spans="1:4" ht="15.75" customHeight="1" x14ac:dyDescent="0.3">
      <c r="A616" s="2">
        <v>30711105014</v>
      </c>
      <c r="B616" s="3" t="s">
        <v>653</v>
      </c>
      <c r="C616" s="1"/>
      <c r="D616" s="3"/>
    </row>
    <row r="617" spans="1:4" ht="15.75" customHeight="1" x14ac:dyDescent="0.3">
      <c r="A617" s="2">
        <v>30683684143</v>
      </c>
      <c r="B617" s="3" t="s">
        <v>654</v>
      </c>
      <c r="C617" s="1"/>
      <c r="D617" s="3"/>
    </row>
    <row r="618" spans="1:4" ht="15.75" customHeight="1" x14ac:dyDescent="0.3">
      <c r="A618" s="2">
        <v>30645330184</v>
      </c>
      <c r="B618" s="3" t="s">
        <v>655</v>
      </c>
      <c r="C618" s="1"/>
      <c r="D618" s="3"/>
    </row>
    <row r="619" spans="1:4" ht="15.75" customHeight="1" x14ac:dyDescent="0.3">
      <c r="A619" s="2">
        <v>30610025915</v>
      </c>
      <c r="B619" s="3" t="s">
        <v>656</v>
      </c>
      <c r="C619" s="1"/>
      <c r="D619" s="3"/>
    </row>
    <row r="620" spans="1:4" ht="15.75" customHeight="1" x14ac:dyDescent="0.3">
      <c r="A620" s="2">
        <v>30616500593</v>
      </c>
      <c r="B620" s="3" t="s">
        <v>657</v>
      </c>
      <c r="C620" s="1"/>
      <c r="D620" s="3"/>
    </row>
    <row r="621" spans="1:4" ht="15.75" customHeight="1" x14ac:dyDescent="0.3">
      <c r="A621" s="2">
        <v>30574300858</v>
      </c>
      <c r="B621" s="3" t="s">
        <v>658</v>
      </c>
      <c r="C621" s="1" t="s">
        <v>97</v>
      </c>
      <c r="D621" s="3"/>
    </row>
    <row r="622" spans="1:4" ht="15.75" customHeight="1" x14ac:dyDescent="0.3">
      <c r="A622" s="2">
        <v>30699419245</v>
      </c>
      <c r="B622" s="3" t="s">
        <v>659</v>
      </c>
      <c r="C622" s="1" t="s">
        <v>15</v>
      </c>
      <c r="D622" s="3"/>
    </row>
    <row r="623" spans="1:4" ht="15.75" customHeight="1" x14ac:dyDescent="0.3">
      <c r="A623" s="2">
        <v>31335549</v>
      </c>
      <c r="B623" s="3" t="s">
        <v>660</v>
      </c>
      <c r="C623" s="1"/>
      <c r="D623" s="3"/>
    </row>
    <row r="624" spans="1:4" ht="15.75" customHeight="1" x14ac:dyDescent="0.3">
      <c r="A624" s="2">
        <v>20184103924</v>
      </c>
      <c r="B624" s="3" t="s">
        <v>661</v>
      </c>
      <c r="C624" s="1"/>
      <c r="D624" s="3"/>
    </row>
    <row r="625" spans="1:4" ht="15.75" customHeight="1" x14ac:dyDescent="0.3">
      <c r="A625" s="2">
        <v>20926929128</v>
      </c>
      <c r="B625" s="3" t="s">
        <v>662</v>
      </c>
      <c r="C625" s="1" t="s">
        <v>15</v>
      </c>
      <c r="D625" s="3"/>
    </row>
    <row r="626" spans="1:4" ht="15.75" customHeight="1" x14ac:dyDescent="0.3">
      <c r="A626" s="2">
        <v>30663434191</v>
      </c>
      <c r="B626" s="3" t="s">
        <v>663</v>
      </c>
      <c r="C626" s="1"/>
      <c r="D626" s="3"/>
    </row>
    <row r="627" spans="1:4" ht="15.75" customHeight="1" x14ac:dyDescent="0.3">
      <c r="A627" s="2">
        <v>30598960093</v>
      </c>
      <c r="B627" s="3" t="s">
        <v>664</v>
      </c>
      <c r="C627" s="1" t="s">
        <v>5</v>
      </c>
      <c r="D627" s="3"/>
    </row>
    <row r="628" spans="1:4" ht="15.75" customHeight="1" x14ac:dyDescent="0.3">
      <c r="A628" s="2">
        <v>30707833765</v>
      </c>
      <c r="B628" s="3" t="s">
        <v>665</v>
      </c>
      <c r="C628" s="1"/>
      <c r="D628" s="3"/>
    </row>
    <row r="629" spans="1:4" ht="15.75" customHeight="1" x14ac:dyDescent="0.3">
      <c r="A629" s="2">
        <v>30528650003</v>
      </c>
      <c r="B629" s="3" t="s">
        <v>666</v>
      </c>
      <c r="C629" s="1"/>
      <c r="D629" s="3"/>
    </row>
    <row r="630" spans="1:4" ht="15.75" customHeight="1" x14ac:dyDescent="0.3">
      <c r="A630" s="2">
        <v>30715504037</v>
      </c>
      <c r="B630" s="3" t="s">
        <v>667</v>
      </c>
      <c r="C630" s="1" t="s">
        <v>5</v>
      </c>
      <c r="D630" s="3"/>
    </row>
    <row r="631" spans="1:4" ht="15.75" customHeight="1" x14ac:dyDescent="0.3">
      <c r="A631" s="2">
        <v>30665725829</v>
      </c>
      <c r="B631" s="3" t="s">
        <v>668</v>
      </c>
      <c r="C631" s="1"/>
      <c r="D631" s="3"/>
    </row>
    <row r="632" spans="1:4" ht="15.75" customHeight="1" x14ac:dyDescent="0.3">
      <c r="A632" s="2">
        <v>30715487876</v>
      </c>
      <c r="B632" s="3" t="s">
        <v>669</v>
      </c>
      <c r="C632" s="1"/>
      <c r="D632" s="3"/>
    </row>
    <row r="633" spans="1:4" ht="15.75" customHeight="1" x14ac:dyDescent="0.3">
      <c r="A633" s="2">
        <v>30654118767</v>
      </c>
      <c r="B633" s="3" t="s">
        <v>670</v>
      </c>
      <c r="C633" s="1"/>
      <c r="D633" s="3"/>
    </row>
    <row r="634" spans="1:4" ht="15.75" customHeight="1" x14ac:dyDescent="0.3">
      <c r="A634" s="2">
        <v>30709040908</v>
      </c>
      <c r="B634" s="3" t="s">
        <v>671</v>
      </c>
      <c r="C634" s="1"/>
      <c r="D634" s="3"/>
    </row>
    <row r="635" spans="1:4" ht="15.75" customHeight="1" x14ac:dyDescent="0.3">
      <c r="A635" s="2">
        <v>30688387201</v>
      </c>
      <c r="B635" s="3" t="s">
        <v>672</v>
      </c>
      <c r="C635" s="1" t="s">
        <v>5</v>
      </c>
      <c r="D635" s="3"/>
    </row>
    <row r="636" spans="1:4" ht="15.75" customHeight="1" x14ac:dyDescent="0.3">
      <c r="A636" s="2">
        <v>27066622997</v>
      </c>
      <c r="B636" s="3" t="s">
        <v>673</v>
      </c>
      <c r="C636" s="1" t="s">
        <v>5</v>
      </c>
      <c r="D636" s="3"/>
    </row>
    <row r="637" spans="1:4" ht="15.75" customHeight="1" x14ac:dyDescent="0.3">
      <c r="A637" s="2">
        <v>33711882729</v>
      </c>
      <c r="B637" s="3" t="s">
        <v>674</v>
      </c>
      <c r="C637" s="1" t="s">
        <v>5</v>
      </c>
      <c r="D637" s="3"/>
    </row>
    <row r="638" spans="1:4" ht="15.75" customHeight="1" x14ac:dyDescent="0.3">
      <c r="A638" s="2">
        <v>30643416375</v>
      </c>
      <c r="B638" s="3" t="s">
        <v>675</v>
      </c>
      <c r="C638" s="1" t="s">
        <v>5</v>
      </c>
      <c r="D638" s="3"/>
    </row>
    <row r="639" spans="1:4" ht="15.75" customHeight="1" x14ac:dyDescent="0.3">
      <c r="A639" s="2">
        <v>13740696</v>
      </c>
      <c r="B639" s="3" t="s">
        <v>676</v>
      </c>
      <c r="C639" s="1"/>
      <c r="D639" s="3"/>
    </row>
    <row r="640" spans="1:4" ht="15.75" customHeight="1" x14ac:dyDescent="0.3">
      <c r="A640" s="2">
        <v>30714710652</v>
      </c>
      <c r="B640" s="3" t="s">
        <v>677</v>
      </c>
      <c r="C640" s="1" t="s">
        <v>5</v>
      </c>
      <c r="D640" s="3"/>
    </row>
    <row r="641" spans="1:4" ht="15.75" customHeight="1" x14ac:dyDescent="0.3">
      <c r="A641" s="2">
        <v>23185808963</v>
      </c>
      <c r="B641" s="3" t="s">
        <v>678</v>
      </c>
      <c r="C641" s="1"/>
      <c r="D641" s="3"/>
    </row>
    <row r="642" spans="1:4" ht="15.75" customHeight="1" x14ac:dyDescent="0.3">
      <c r="A642" s="2">
        <v>30577797281</v>
      </c>
      <c r="B642" s="3" t="s">
        <v>679</v>
      </c>
      <c r="C642" s="1"/>
      <c r="D642" s="3"/>
    </row>
    <row r="643" spans="1:4" ht="15.75" customHeight="1" x14ac:dyDescent="0.3">
      <c r="A643" s="2">
        <v>20249295869</v>
      </c>
      <c r="B643" s="3" t="s">
        <v>680</v>
      </c>
      <c r="C643" s="1"/>
      <c r="D643" s="3"/>
    </row>
    <row r="644" spans="1:4" ht="15.75" customHeight="1" x14ac:dyDescent="0.3">
      <c r="A644" s="2">
        <v>30500221956</v>
      </c>
      <c r="B644" s="3" t="s">
        <v>681</v>
      </c>
      <c r="C644" s="1"/>
      <c r="D644" s="3"/>
    </row>
    <row r="645" spans="1:4" ht="15.75" customHeight="1" x14ac:dyDescent="0.3">
      <c r="A645" s="2">
        <v>20172324240</v>
      </c>
      <c r="B645" s="3" t="s">
        <v>682</v>
      </c>
      <c r="C645" s="1"/>
      <c r="D645" s="3"/>
    </row>
    <row r="646" spans="1:4" ht="15.75" customHeight="1" x14ac:dyDescent="0.3">
      <c r="A646" s="2">
        <v>20325751453</v>
      </c>
      <c r="B646" s="3" t="s">
        <v>683</v>
      </c>
      <c r="C646" s="1" t="s">
        <v>5</v>
      </c>
      <c r="D646" s="3"/>
    </row>
    <row r="647" spans="1:4" ht="15.75" customHeight="1" x14ac:dyDescent="0.3">
      <c r="A647" s="2">
        <v>20211427834</v>
      </c>
      <c r="B647" s="3" t="s">
        <v>684</v>
      </c>
      <c r="C647" s="1"/>
      <c r="D647" s="3"/>
    </row>
    <row r="648" spans="1:4" ht="15.75" customHeight="1" x14ac:dyDescent="0.3">
      <c r="A648" s="2">
        <v>30699425520</v>
      </c>
      <c r="B648" s="3" t="s">
        <v>685</v>
      </c>
      <c r="C648" s="1" t="s">
        <v>5</v>
      </c>
      <c r="D648" s="3"/>
    </row>
    <row r="649" spans="1:4" ht="15.75" customHeight="1" x14ac:dyDescent="0.3">
      <c r="A649" s="2">
        <v>30715701932</v>
      </c>
      <c r="B649" s="3" t="s">
        <v>686</v>
      </c>
      <c r="C649" s="1" t="s">
        <v>5</v>
      </c>
      <c r="D649" s="3"/>
    </row>
    <row r="650" spans="1:4" ht="15.75" customHeight="1" x14ac:dyDescent="0.3">
      <c r="A650" s="2">
        <v>20045279244</v>
      </c>
      <c r="B650" s="3" t="s">
        <v>687</v>
      </c>
      <c r="C650" s="1"/>
      <c r="D650" s="3"/>
    </row>
    <row r="651" spans="1:4" ht="15.75" customHeight="1" x14ac:dyDescent="0.3">
      <c r="A651" s="2">
        <v>30695303978</v>
      </c>
      <c r="B651" s="3" t="s">
        <v>688</v>
      </c>
      <c r="C651" s="1" t="s">
        <v>15</v>
      </c>
      <c r="D651" s="3"/>
    </row>
    <row r="652" spans="1:4" ht="15.75" customHeight="1" x14ac:dyDescent="0.3">
      <c r="A652" s="2">
        <v>30709981141</v>
      </c>
      <c r="B652" s="3" t="s">
        <v>689</v>
      </c>
      <c r="C652" s="1"/>
      <c r="D652" s="3"/>
    </row>
    <row r="653" spans="1:4" ht="15.75" customHeight="1" x14ac:dyDescent="0.3">
      <c r="A653" s="2">
        <v>30505459179</v>
      </c>
      <c r="B653" s="3" t="s">
        <v>690</v>
      </c>
      <c r="C653" s="1" t="s">
        <v>5</v>
      </c>
      <c r="D653" s="3"/>
    </row>
    <row r="654" spans="1:4" ht="15.75" customHeight="1" x14ac:dyDescent="0.3">
      <c r="A654" s="2">
        <v>23145783224</v>
      </c>
      <c r="B654" s="3" t="s">
        <v>691</v>
      </c>
      <c r="C654" s="1" t="s">
        <v>122</v>
      </c>
      <c r="D654" s="3"/>
    </row>
    <row r="655" spans="1:4" ht="15.75" customHeight="1" x14ac:dyDescent="0.3">
      <c r="A655" s="2">
        <v>30654855168</v>
      </c>
      <c r="B655" s="3" t="s">
        <v>692</v>
      </c>
      <c r="C655" s="1" t="s">
        <v>15</v>
      </c>
      <c r="D655" s="3"/>
    </row>
    <row r="656" spans="1:4" ht="15.75" customHeight="1" x14ac:dyDescent="0.3">
      <c r="A656" s="2">
        <v>30710114176</v>
      </c>
      <c r="B656" s="3" t="s">
        <v>693</v>
      </c>
      <c r="C656" s="1" t="s">
        <v>7</v>
      </c>
      <c r="D656" s="3"/>
    </row>
    <row r="657" spans="1:4" ht="15.75" customHeight="1" x14ac:dyDescent="0.3">
      <c r="A657" s="2">
        <v>27166041673</v>
      </c>
      <c r="B657" s="3" t="s">
        <v>694</v>
      </c>
      <c r="C657" s="1"/>
      <c r="D657" s="3"/>
    </row>
    <row r="658" spans="1:4" ht="15.75" customHeight="1" x14ac:dyDescent="0.3">
      <c r="A658" s="2">
        <v>30707057587</v>
      </c>
      <c r="B658" s="3" t="s">
        <v>695</v>
      </c>
      <c r="C658" s="1" t="s">
        <v>5</v>
      </c>
      <c r="D658" s="3"/>
    </row>
    <row r="659" spans="1:4" ht="15.75" customHeight="1" x14ac:dyDescent="0.3">
      <c r="A659" s="2">
        <v>30710177658</v>
      </c>
      <c r="B659" s="3" t="s">
        <v>696</v>
      </c>
      <c r="C659" s="1" t="s">
        <v>5</v>
      </c>
      <c r="D659" s="3"/>
    </row>
    <row r="660" spans="1:4" ht="15.75" customHeight="1" x14ac:dyDescent="0.3">
      <c r="A660" s="2">
        <v>30685376349</v>
      </c>
      <c r="B660" s="3" t="s">
        <v>697</v>
      </c>
      <c r="C660" s="1"/>
      <c r="D660" s="3"/>
    </row>
    <row r="661" spans="1:4" ht="15.75" customHeight="1" x14ac:dyDescent="0.3">
      <c r="A661" s="2">
        <v>30711451567</v>
      </c>
      <c r="B661" s="3" t="s">
        <v>698</v>
      </c>
      <c r="C661" s="1" t="s">
        <v>5</v>
      </c>
      <c r="D661" s="3"/>
    </row>
    <row r="662" spans="1:4" ht="15.75" customHeight="1" x14ac:dyDescent="0.3">
      <c r="A662" s="2">
        <v>30676683867</v>
      </c>
      <c r="B662" s="3" t="s">
        <v>699</v>
      </c>
      <c r="C662" s="1" t="s">
        <v>15</v>
      </c>
      <c r="D662" s="3"/>
    </row>
    <row r="663" spans="1:4" ht="15.75" customHeight="1" x14ac:dyDescent="0.3">
      <c r="A663" s="2">
        <v>30710725116</v>
      </c>
      <c r="B663" s="3" t="s">
        <v>700</v>
      </c>
      <c r="C663" s="1" t="s">
        <v>5</v>
      </c>
      <c r="D663" s="3"/>
    </row>
    <row r="664" spans="1:4" ht="15.75" customHeight="1" x14ac:dyDescent="0.3">
      <c r="A664" s="2">
        <v>30708960736</v>
      </c>
      <c r="B664" s="3" t="s">
        <v>701</v>
      </c>
      <c r="C664" s="1"/>
      <c r="D664" s="3"/>
    </row>
    <row r="665" spans="1:4" ht="15.75" customHeight="1" x14ac:dyDescent="0.3">
      <c r="A665" s="2">
        <v>30708447036</v>
      </c>
      <c r="B665" s="3" t="s">
        <v>702</v>
      </c>
      <c r="C665" s="1" t="s">
        <v>7</v>
      </c>
      <c r="D665" s="3"/>
    </row>
    <row r="666" spans="1:4" ht="15.75" customHeight="1" x14ac:dyDescent="0.3">
      <c r="A666" s="2">
        <v>30640897267</v>
      </c>
      <c r="B666" s="3" t="s">
        <v>703</v>
      </c>
      <c r="C666" s="1" t="s">
        <v>17</v>
      </c>
      <c r="D666" s="3"/>
    </row>
    <row r="667" spans="1:4" ht="15.75" customHeight="1" x14ac:dyDescent="0.3">
      <c r="A667" s="2">
        <v>30639453738</v>
      </c>
      <c r="B667" s="3" t="s">
        <v>704</v>
      </c>
      <c r="C667" s="1" t="s">
        <v>17</v>
      </c>
      <c r="D667" s="3"/>
    </row>
    <row r="668" spans="1:4" ht="15.75" customHeight="1" x14ac:dyDescent="0.3">
      <c r="A668" s="2">
        <v>30639453975</v>
      </c>
      <c r="B668" s="3" t="s">
        <v>705</v>
      </c>
      <c r="C668" s="1" t="s">
        <v>46</v>
      </c>
      <c r="D668" s="3"/>
    </row>
    <row r="669" spans="1:4" ht="15.75" customHeight="1" x14ac:dyDescent="0.3">
      <c r="A669" s="2">
        <v>30678814357</v>
      </c>
      <c r="B669" s="3" t="s">
        <v>706</v>
      </c>
      <c r="C669" s="1" t="s">
        <v>46</v>
      </c>
      <c r="D669" s="3"/>
    </row>
    <row r="670" spans="1:4" ht="15.75" customHeight="1" x14ac:dyDescent="0.3">
      <c r="A670" s="2">
        <v>33695098419</v>
      </c>
      <c r="B670" s="3" t="s">
        <v>707</v>
      </c>
      <c r="C670" s="1"/>
      <c r="D670" s="3"/>
    </row>
    <row r="671" spans="1:4" ht="15.75" customHeight="1" x14ac:dyDescent="0.3">
      <c r="A671" s="2">
        <v>30710092784</v>
      </c>
      <c r="B671" s="3" t="s">
        <v>708</v>
      </c>
      <c r="C671" s="1"/>
      <c r="D671" s="3"/>
    </row>
    <row r="672" spans="1:4" ht="15.75" customHeight="1" x14ac:dyDescent="0.3">
      <c r="A672" s="2">
        <v>30710718438</v>
      </c>
      <c r="B672" s="3" t="s">
        <v>709</v>
      </c>
      <c r="C672" s="1"/>
      <c r="D672" s="3"/>
    </row>
    <row r="673" spans="1:4" ht="15.75" customHeight="1" x14ac:dyDescent="0.3">
      <c r="A673" s="2">
        <v>30716296438</v>
      </c>
      <c r="B673" s="3" t="s">
        <v>710</v>
      </c>
      <c r="C673" s="1"/>
      <c r="D673" s="3"/>
    </row>
    <row r="674" spans="1:4" ht="15.75" customHeight="1" x14ac:dyDescent="0.3">
      <c r="A674" s="2">
        <v>30715259784</v>
      </c>
      <c r="B674" s="3" t="s">
        <v>711</v>
      </c>
      <c r="C674" s="1" t="s">
        <v>5</v>
      </c>
      <c r="D674" s="3"/>
    </row>
    <row r="675" spans="1:4" ht="15.75" customHeight="1" x14ac:dyDescent="0.3">
      <c r="A675" s="2">
        <v>30709305618</v>
      </c>
      <c r="B675" s="3" t="s">
        <v>712</v>
      </c>
      <c r="C675" s="1" t="s">
        <v>5</v>
      </c>
      <c r="D675" s="3"/>
    </row>
    <row r="676" spans="1:4" ht="15.75" customHeight="1" x14ac:dyDescent="0.3">
      <c r="A676" s="2">
        <v>30694592526</v>
      </c>
      <c r="B676" s="3" t="s">
        <v>713</v>
      </c>
      <c r="C676" s="1" t="s">
        <v>15</v>
      </c>
      <c r="D676" s="3"/>
    </row>
    <row r="677" spans="1:4" ht="15.75" customHeight="1" x14ac:dyDescent="0.3">
      <c r="A677" s="2">
        <v>30708491086</v>
      </c>
      <c r="B677" s="3" t="s">
        <v>714</v>
      </c>
      <c r="C677" s="1"/>
      <c r="D677" s="3"/>
    </row>
    <row r="678" spans="1:4" ht="15.75" customHeight="1" x14ac:dyDescent="0.3">
      <c r="A678" s="2">
        <v>30661685731</v>
      </c>
      <c r="B678" s="3" t="s">
        <v>715</v>
      </c>
      <c r="C678" s="1"/>
      <c r="D678" s="3"/>
    </row>
    <row r="679" spans="1:4" ht="15.75" customHeight="1" x14ac:dyDescent="0.3">
      <c r="A679" s="2">
        <v>20229914007</v>
      </c>
      <c r="B679" s="3" t="s">
        <v>716</v>
      </c>
      <c r="C679" s="1"/>
      <c r="D679" s="3"/>
    </row>
    <row r="680" spans="1:4" ht="15.75" customHeight="1" x14ac:dyDescent="0.3">
      <c r="A680" s="2">
        <v>30708847247</v>
      </c>
      <c r="B680" s="3" t="s">
        <v>717</v>
      </c>
      <c r="C680" s="1"/>
      <c r="D680" s="3"/>
    </row>
    <row r="681" spans="1:4" ht="15.75" customHeight="1" x14ac:dyDescent="0.3">
      <c r="A681" s="2">
        <v>30715169254</v>
      </c>
      <c r="B681" s="3" t="s">
        <v>718</v>
      </c>
      <c r="C681" s="1"/>
      <c r="D681" s="3"/>
    </row>
    <row r="682" spans="1:4" ht="15.75" customHeight="1" x14ac:dyDescent="0.3">
      <c r="A682" s="2">
        <v>30715168254</v>
      </c>
      <c r="B682" s="3" t="s">
        <v>719</v>
      </c>
      <c r="C682" s="1"/>
      <c r="D682" s="3"/>
    </row>
    <row r="683" spans="1:4" ht="15.75" customHeight="1" x14ac:dyDescent="0.3">
      <c r="A683" s="2">
        <v>30712317872</v>
      </c>
      <c r="B683" s="3" t="s">
        <v>720</v>
      </c>
      <c r="C683" s="1" t="s">
        <v>5</v>
      </c>
      <c r="D683" s="3"/>
    </row>
    <row r="684" spans="1:4" ht="15.75" customHeight="1" x14ac:dyDescent="0.3">
      <c r="A684" s="2">
        <v>30519102826</v>
      </c>
      <c r="B684" s="3" t="s">
        <v>721</v>
      </c>
      <c r="C684" s="1"/>
      <c r="D684" s="3"/>
    </row>
    <row r="685" spans="1:4" ht="15.75" customHeight="1" x14ac:dyDescent="0.3">
      <c r="A685" s="2">
        <v>30709063061</v>
      </c>
      <c r="B685" s="3" t="s">
        <v>722</v>
      </c>
      <c r="C685" s="1"/>
      <c r="D685" s="3"/>
    </row>
    <row r="686" spans="1:4" ht="15.75" customHeight="1" x14ac:dyDescent="0.3">
      <c r="A686" s="2">
        <v>30708765356</v>
      </c>
      <c r="B686" s="3" t="s">
        <v>723</v>
      </c>
      <c r="C686" s="1" t="s">
        <v>15</v>
      </c>
      <c r="D686" s="3"/>
    </row>
    <row r="687" spans="1:4" ht="15.75" customHeight="1" x14ac:dyDescent="0.3">
      <c r="A687" s="2">
        <v>30531602273</v>
      </c>
      <c r="B687" s="3" t="s">
        <v>724</v>
      </c>
      <c r="C687" s="1"/>
      <c r="D687" s="3"/>
    </row>
    <row r="688" spans="1:4" ht="15.75" customHeight="1" x14ac:dyDescent="0.3">
      <c r="A688" s="2">
        <v>30616031143</v>
      </c>
      <c r="B688" s="3" t="s">
        <v>725</v>
      </c>
      <c r="C688" s="1" t="s">
        <v>5</v>
      </c>
      <c r="D688" s="3"/>
    </row>
    <row r="689" spans="1:4" ht="15.75" customHeight="1" x14ac:dyDescent="0.3">
      <c r="A689" s="2">
        <v>30683612916</v>
      </c>
      <c r="B689" s="3" t="s">
        <v>726</v>
      </c>
      <c r="C689" s="1" t="s">
        <v>449</v>
      </c>
      <c r="D689" s="3"/>
    </row>
    <row r="690" spans="1:4" ht="15.75" customHeight="1" x14ac:dyDescent="0.3">
      <c r="A690" s="2">
        <v>30709361895</v>
      </c>
      <c r="B690" s="3" t="s">
        <v>727</v>
      </c>
      <c r="C690" s="1"/>
      <c r="D690" s="3"/>
    </row>
    <row r="691" spans="1:4" ht="15.75" customHeight="1" x14ac:dyDescent="0.3">
      <c r="A691" s="2">
        <v>30715585215</v>
      </c>
      <c r="B691" s="3" t="s">
        <v>728</v>
      </c>
      <c r="C691" s="1" t="s">
        <v>44</v>
      </c>
      <c r="D691" s="3"/>
    </row>
    <row r="692" spans="1:4" ht="15.75" customHeight="1" x14ac:dyDescent="0.3">
      <c r="A692" s="2">
        <v>20141513177</v>
      </c>
      <c r="B692" s="3" t="s">
        <v>729</v>
      </c>
      <c r="C692" s="1" t="s">
        <v>449</v>
      </c>
      <c r="D692" s="3"/>
    </row>
    <row r="693" spans="1:4" ht="15.75" customHeight="1" x14ac:dyDescent="0.3">
      <c r="A693" s="2">
        <v>30517264160</v>
      </c>
      <c r="B693" s="3" t="s">
        <v>730</v>
      </c>
      <c r="C693" s="1" t="s">
        <v>97</v>
      </c>
      <c r="D693" s="3"/>
    </row>
    <row r="694" spans="1:4" ht="15.75" customHeight="1" x14ac:dyDescent="0.3">
      <c r="A694" s="2">
        <v>33682571239</v>
      </c>
      <c r="B694" s="3" t="s">
        <v>731</v>
      </c>
      <c r="C694" s="1"/>
      <c r="D694" s="3"/>
    </row>
    <row r="695" spans="1:4" ht="15.75" customHeight="1" x14ac:dyDescent="0.3">
      <c r="A695" s="2">
        <v>21847097</v>
      </c>
      <c r="B695" s="3" t="s">
        <v>732</v>
      </c>
      <c r="C695" s="1"/>
      <c r="D695" s="3"/>
    </row>
    <row r="696" spans="1:4" ht="15.75" customHeight="1" x14ac:dyDescent="0.3">
      <c r="A696" s="2">
        <v>20330855038</v>
      </c>
      <c r="B696" s="3" t="s">
        <v>733</v>
      </c>
      <c r="C696" s="1" t="s">
        <v>5</v>
      </c>
      <c r="D696" s="3"/>
    </row>
    <row r="697" spans="1:4" ht="15.75" customHeight="1" x14ac:dyDescent="0.3">
      <c r="A697" s="2">
        <v>27249100019</v>
      </c>
      <c r="B697" s="3" t="s">
        <v>734</v>
      </c>
      <c r="C697" s="1"/>
      <c r="D697" s="3"/>
    </row>
    <row r="698" spans="1:4" ht="15.75" customHeight="1" x14ac:dyDescent="0.3">
      <c r="A698" s="2">
        <v>30646150406</v>
      </c>
      <c r="B698" s="3" t="s">
        <v>735</v>
      </c>
      <c r="C698" s="1" t="s">
        <v>5</v>
      </c>
      <c r="D698" s="3"/>
    </row>
    <row r="699" spans="1:4" ht="15.75" customHeight="1" x14ac:dyDescent="0.3">
      <c r="A699" s="2">
        <v>30611156045</v>
      </c>
      <c r="B699" s="3" t="s">
        <v>736</v>
      </c>
      <c r="C699" s="1" t="s">
        <v>15</v>
      </c>
      <c r="D699" s="3"/>
    </row>
    <row r="700" spans="1:4" ht="15.75" customHeight="1" x14ac:dyDescent="0.3">
      <c r="A700" s="2">
        <v>30699097884</v>
      </c>
      <c r="B700" s="3" t="s">
        <v>737</v>
      </c>
      <c r="C700" s="1" t="s">
        <v>5</v>
      </c>
      <c r="D700" s="3"/>
    </row>
    <row r="701" spans="1:4" ht="15.75" customHeight="1" x14ac:dyDescent="0.3">
      <c r="A701" s="2">
        <v>30715689045</v>
      </c>
      <c r="B701" s="3" t="s">
        <v>738</v>
      </c>
      <c r="C701" s="1" t="s">
        <v>7</v>
      </c>
      <c r="D701" s="3"/>
    </row>
    <row r="702" spans="1:4" ht="15.75" customHeight="1" x14ac:dyDescent="0.3">
      <c r="A702" s="2">
        <v>30710473168</v>
      </c>
      <c r="B702" s="3" t="s">
        <v>739</v>
      </c>
      <c r="C702" s="1"/>
      <c r="D702" s="3"/>
    </row>
    <row r="703" spans="1:4" ht="15.75" customHeight="1" x14ac:dyDescent="0.3">
      <c r="A703" s="2">
        <v>30689759684</v>
      </c>
      <c r="B703" s="3" t="s">
        <v>740</v>
      </c>
      <c r="C703" s="1" t="s">
        <v>15</v>
      </c>
      <c r="D703" s="3"/>
    </row>
    <row r="704" spans="1:4" ht="15.75" customHeight="1" x14ac:dyDescent="0.3">
      <c r="A704" s="2">
        <v>30501912405</v>
      </c>
      <c r="B704" s="3" t="s">
        <v>741</v>
      </c>
      <c r="C704" s="1"/>
      <c r="D704" s="3"/>
    </row>
    <row r="705" spans="1:4" ht="15.75" customHeight="1" x14ac:dyDescent="0.3">
      <c r="A705" s="2">
        <v>30658325104</v>
      </c>
      <c r="B705" s="3" t="s">
        <v>742</v>
      </c>
      <c r="C705" s="1" t="s">
        <v>5</v>
      </c>
      <c r="D705" s="3"/>
    </row>
    <row r="706" spans="1:4" ht="15.75" customHeight="1" x14ac:dyDescent="0.3">
      <c r="A706" s="2">
        <v>20259693609</v>
      </c>
      <c r="B706" s="3" t="s">
        <v>743</v>
      </c>
      <c r="C706" s="1" t="s">
        <v>5</v>
      </c>
      <c r="D706" s="3"/>
    </row>
    <row r="707" spans="1:4" ht="15.75" customHeight="1" x14ac:dyDescent="0.3">
      <c r="A707" s="2">
        <v>93455751</v>
      </c>
      <c r="B707" s="3" t="s">
        <v>744</v>
      </c>
      <c r="C707" s="1"/>
      <c r="D707" s="3"/>
    </row>
    <row r="708" spans="1:4" ht="15.75" customHeight="1" x14ac:dyDescent="0.3">
      <c r="A708" s="2">
        <v>30715222112</v>
      </c>
      <c r="B708" s="3" t="s">
        <v>745</v>
      </c>
      <c r="C708" s="1"/>
      <c r="D708" s="3"/>
    </row>
    <row r="709" spans="1:4" ht="15.75" customHeight="1" x14ac:dyDescent="0.3">
      <c r="A709" s="2">
        <v>27208252386</v>
      </c>
      <c r="B709" s="3" t="s">
        <v>746</v>
      </c>
      <c r="C709" s="1" t="s">
        <v>15</v>
      </c>
      <c r="D709" s="3"/>
    </row>
    <row r="710" spans="1:4" ht="15.75" customHeight="1" x14ac:dyDescent="0.3">
      <c r="A710" s="2">
        <v>23386252629</v>
      </c>
      <c r="B710" s="3" t="s">
        <v>747</v>
      </c>
      <c r="C710" s="1"/>
      <c r="D710" s="3"/>
    </row>
    <row r="711" spans="1:4" ht="15.75" customHeight="1" x14ac:dyDescent="0.3">
      <c r="A711" s="2">
        <v>16458001</v>
      </c>
      <c r="B711" s="3" t="s">
        <v>748</v>
      </c>
      <c r="C711" s="1"/>
      <c r="D711" s="3"/>
    </row>
    <row r="712" spans="1:4" ht="15.75" customHeight="1" x14ac:dyDescent="0.3">
      <c r="A712" s="2">
        <v>27036968910</v>
      </c>
      <c r="B712" s="3" t="s">
        <v>749</v>
      </c>
      <c r="C712" s="1"/>
      <c r="D712" s="3"/>
    </row>
    <row r="713" spans="1:4" ht="15.75" customHeight="1" x14ac:dyDescent="0.3">
      <c r="A713" s="2">
        <v>27003352000</v>
      </c>
      <c r="B713" s="3" t="s">
        <v>750</v>
      </c>
      <c r="C713" s="1"/>
      <c r="D713" s="3"/>
    </row>
    <row r="714" spans="1:4" ht="15.75" customHeight="1" x14ac:dyDescent="0.3">
      <c r="A714" s="2">
        <v>20247225243</v>
      </c>
      <c r="B714" s="3" t="s">
        <v>751</v>
      </c>
      <c r="C714" s="1" t="s">
        <v>5</v>
      </c>
      <c r="D714" s="3"/>
    </row>
    <row r="715" spans="1:4" ht="15.75" customHeight="1" x14ac:dyDescent="0.3">
      <c r="A715" s="2">
        <v>14287880</v>
      </c>
      <c r="B715" s="3" t="s">
        <v>752</v>
      </c>
      <c r="C715" s="1"/>
      <c r="D715" s="3"/>
    </row>
    <row r="716" spans="1:4" ht="15.75" customHeight="1" x14ac:dyDescent="0.3">
      <c r="A716" s="2">
        <v>20178221974</v>
      </c>
      <c r="B716" s="3" t="s">
        <v>753</v>
      </c>
      <c r="C716" s="1"/>
      <c r="D716" s="3"/>
    </row>
    <row r="717" spans="1:4" ht="15.75" customHeight="1" x14ac:dyDescent="0.3">
      <c r="A717" s="2">
        <v>30681830800</v>
      </c>
      <c r="B717" s="3" t="s">
        <v>754</v>
      </c>
      <c r="C717" s="1"/>
      <c r="D717" s="3"/>
    </row>
    <row r="718" spans="1:4" ht="15.75" customHeight="1" x14ac:dyDescent="0.3">
      <c r="A718" s="2">
        <v>20077107186</v>
      </c>
      <c r="B718" s="3" t="s">
        <v>755</v>
      </c>
      <c r="C718" s="1" t="s">
        <v>5</v>
      </c>
      <c r="D718" s="3"/>
    </row>
    <row r="719" spans="1:4" ht="15.75" customHeight="1" x14ac:dyDescent="0.3">
      <c r="A719" s="2">
        <v>30624872874</v>
      </c>
      <c r="B719" s="3" t="s">
        <v>756</v>
      </c>
      <c r="C719" s="1"/>
      <c r="D719" s="3"/>
    </row>
    <row r="720" spans="1:4" ht="15.75" customHeight="1" x14ac:dyDescent="0.3">
      <c r="A720" s="2">
        <v>30643922157</v>
      </c>
      <c r="B720" s="3" t="s">
        <v>757</v>
      </c>
      <c r="C720" s="1" t="s">
        <v>449</v>
      </c>
      <c r="D720" s="3"/>
    </row>
    <row r="721" spans="1:4" ht="15.75" customHeight="1" x14ac:dyDescent="0.3">
      <c r="A721" s="2">
        <v>33711043069</v>
      </c>
      <c r="B721" s="3" t="s">
        <v>758</v>
      </c>
      <c r="C721" s="1" t="s">
        <v>449</v>
      </c>
      <c r="D721" s="3"/>
    </row>
    <row r="722" spans="1:4" ht="15.75" customHeight="1" x14ac:dyDescent="0.3">
      <c r="A722" s="2">
        <v>20287832649</v>
      </c>
      <c r="B722" s="3" t="s">
        <v>759</v>
      </c>
      <c r="C722" s="1" t="s">
        <v>5</v>
      </c>
      <c r="D722" s="3"/>
    </row>
    <row r="723" spans="1:4" ht="15.75" customHeight="1" x14ac:dyDescent="0.3">
      <c r="A723" s="2">
        <v>27211421202</v>
      </c>
      <c r="B723" s="3" t="s">
        <v>760</v>
      </c>
      <c r="C723" s="1" t="s">
        <v>5</v>
      </c>
      <c r="D723" s="3"/>
    </row>
    <row r="724" spans="1:4" ht="15.75" customHeight="1" x14ac:dyDescent="0.3">
      <c r="A724" s="2">
        <v>20321447997</v>
      </c>
      <c r="B724" s="3" t="s">
        <v>761</v>
      </c>
      <c r="C724" s="1"/>
      <c r="D724" s="3"/>
    </row>
    <row r="725" spans="1:4" ht="15.75" customHeight="1" x14ac:dyDescent="0.3">
      <c r="A725" s="2">
        <v>30708648414</v>
      </c>
      <c r="B725" s="3" t="s">
        <v>762</v>
      </c>
      <c r="C725" s="1" t="s">
        <v>5</v>
      </c>
      <c r="D725" s="3"/>
    </row>
    <row r="726" spans="1:4" ht="15.75" customHeight="1" x14ac:dyDescent="0.3">
      <c r="A726" s="2">
        <v>20137229944</v>
      </c>
      <c r="B726" s="3" t="s">
        <v>763</v>
      </c>
      <c r="C726" s="1"/>
      <c r="D726" s="3"/>
    </row>
    <row r="727" spans="1:4" ht="15.75" customHeight="1" x14ac:dyDescent="0.3">
      <c r="A727" s="2">
        <v>30715609807</v>
      </c>
      <c r="B727" s="3" t="s">
        <v>764</v>
      </c>
      <c r="C727" s="1" t="s">
        <v>5</v>
      </c>
      <c r="D727" s="3"/>
    </row>
    <row r="728" spans="1:4" ht="15.75" customHeight="1" x14ac:dyDescent="0.3">
      <c r="A728" s="2">
        <v>23112144064</v>
      </c>
      <c r="B728" s="3" t="s">
        <v>765</v>
      </c>
      <c r="C728" s="1"/>
      <c r="D728" s="3"/>
    </row>
    <row r="729" spans="1:4" ht="15.75" customHeight="1" x14ac:dyDescent="0.3">
      <c r="A729" s="2">
        <v>30680297408</v>
      </c>
      <c r="B729" s="3" t="s">
        <v>766</v>
      </c>
      <c r="C729" s="1"/>
      <c r="D729" s="3"/>
    </row>
    <row r="730" spans="1:4" ht="15.75" customHeight="1" x14ac:dyDescent="0.3">
      <c r="A730" s="2">
        <v>20225501190</v>
      </c>
      <c r="B730" s="3" t="s">
        <v>767</v>
      </c>
      <c r="C730" s="1"/>
      <c r="D730" s="3"/>
    </row>
    <row r="731" spans="1:4" ht="15.75" customHeight="1" x14ac:dyDescent="0.3">
      <c r="A731" s="2">
        <v>20165292929</v>
      </c>
      <c r="B731" s="3" t="s">
        <v>768</v>
      </c>
      <c r="C731" s="1" t="s">
        <v>5</v>
      </c>
      <c r="D731" s="3"/>
    </row>
    <row r="732" spans="1:4" ht="15.75" customHeight="1" x14ac:dyDescent="0.3">
      <c r="A732" s="2">
        <v>30715581562</v>
      </c>
      <c r="B732" s="3" t="s">
        <v>769</v>
      </c>
      <c r="C732" s="1"/>
      <c r="D732" s="3"/>
    </row>
    <row r="733" spans="1:4" ht="15.75" customHeight="1" x14ac:dyDescent="0.3">
      <c r="A733" s="2">
        <v>30714995002</v>
      </c>
      <c r="B733" s="3" t="s">
        <v>770</v>
      </c>
      <c r="C733" s="1"/>
      <c r="D733" s="3"/>
    </row>
    <row r="734" spans="1:4" ht="15.75" customHeight="1" x14ac:dyDescent="0.3">
      <c r="A734" s="2">
        <v>20231247239</v>
      </c>
      <c r="B734" s="3" t="s">
        <v>771</v>
      </c>
      <c r="C734" s="1" t="s">
        <v>5</v>
      </c>
      <c r="D734" s="3"/>
    </row>
    <row r="735" spans="1:4" ht="15.75" customHeight="1" x14ac:dyDescent="0.3">
      <c r="A735" s="2">
        <v>30712383603</v>
      </c>
      <c r="B735" s="3" t="s">
        <v>772</v>
      </c>
      <c r="C735" s="1"/>
      <c r="D735" s="3"/>
    </row>
    <row r="736" spans="1:4" ht="15.75" customHeight="1" x14ac:dyDescent="0.3">
      <c r="A736" s="2">
        <v>30585558733</v>
      </c>
      <c r="B736" s="3" t="s">
        <v>773</v>
      </c>
      <c r="C736" s="1" t="s">
        <v>5</v>
      </c>
      <c r="D736" s="3"/>
    </row>
    <row r="737" spans="1:4" ht="15.75" customHeight="1" x14ac:dyDescent="0.3">
      <c r="A737" s="2">
        <v>30578204713</v>
      </c>
      <c r="B737" s="3" t="s">
        <v>774</v>
      </c>
      <c r="C737" s="1" t="s">
        <v>5</v>
      </c>
      <c r="D737" s="3"/>
    </row>
    <row r="738" spans="1:4" ht="15.75" customHeight="1" x14ac:dyDescent="0.3">
      <c r="A738" s="2">
        <v>30695243673</v>
      </c>
      <c r="B738" s="3" t="s">
        <v>775</v>
      </c>
      <c r="C738" s="1"/>
      <c r="D738" s="3"/>
    </row>
    <row r="739" spans="1:4" ht="15.75" customHeight="1" x14ac:dyDescent="0.3">
      <c r="A739" s="2">
        <v>30707512454</v>
      </c>
      <c r="B739" s="3" t="s">
        <v>776</v>
      </c>
      <c r="C739" s="1" t="s">
        <v>5</v>
      </c>
      <c r="D739" s="3"/>
    </row>
    <row r="740" spans="1:4" ht="15.75" customHeight="1" x14ac:dyDescent="0.3">
      <c r="A740" s="2">
        <v>30546689979</v>
      </c>
      <c r="B740" s="3" t="s">
        <v>777</v>
      </c>
      <c r="C740" s="1" t="s">
        <v>97</v>
      </c>
      <c r="D740" s="3"/>
    </row>
    <row r="741" spans="1:4" ht="15.75" customHeight="1" x14ac:dyDescent="0.3">
      <c r="A741" s="2">
        <v>27325577539</v>
      </c>
      <c r="B741" s="3" t="s">
        <v>778</v>
      </c>
      <c r="C741" s="1"/>
      <c r="D741" s="3"/>
    </row>
    <row r="742" spans="1:4" ht="15.75" customHeight="1" x14ac:dyDescent="0.3">
      <c r="A742" s="2">
        <v>30712352341</v>
      </c>
      <c r="B742" s="3" t="s">
        <v>779</v>
      </c>
      <c r="C742" s="1"/>
      <c r="D742" s="3"/>
    </row>
    <row r="743" spans="1:4" ht="15.75" customHeight="1" x14ac:dyDescent="0.3">
      <c r="A743" s="2">
        <v>30711811164</v>
      </c>
      <c r="B743" s="3" t="s">
        <v>780</v>
      </c>
      <c r="C743" s="1" t="s">
        <v>449</v>
      </c>
      <c r="D743" s="3"/>
    </row>
    <row r="744" spans="1:4" ht="15.75" customHeight="1" x14ac:dyDescent="0.3">
      <c r="A744" s="2">
        <v>30715039121</v>
      </c>
      <c r="B744" s="3" t="s">
        <v>781</v>
      </c>
      <c r="C744" s="1" t="s">
        <v>782</v>
      </c>
      <c r="D744" s="3"/>
    </row>
    <row r="745" spans="1:4" ht="15.75" customHeight="1" x14ac:dyDescent="0.3">
      <c r="A745" s="2">
        <v>30709389722</v>
      </c>
      <c r="B745" s="3" t="s">
        <v>783</v>
      </c>
      <c r="C745" s="1" t="s">
        <v>10</v>
      </c>
      <c r="D745" s="3"/>
    </row>
    <row r="746" spans="1:4" ht="15.75" customHeight="1" x14ac:dyDescent="0.3">
      <c r="A746" s="2">
        <v>30711891214</v>
      </c>
      <c r="B746" s="3" t="s">
        <v>784</v>
      </c>
      <c r="C746" s="1" t="s">
        <v>10</v>
      </c>
      <c r="D746" s="3"/>
    </row>
    <row r="747" spans="1:4" ht="15.75" customHeight="1" x14ac:dyDescent="0.3">
      <c r="A747" s="2">
        <v>30708507594</v>
      </c>
      <c r="B747" s="3" t="s">
        <v>785</v>
      </c>
      <c r="C747" s="1" t="s">
        <v>10</v>
      </c>
      <c r="D747" s="3"/>
    </row>
    <row r="748" spans="1:4" ht="15.75" customHeight="1" x14ac:dyDescent="0.3">
      <c r="A748" s="2">
        <v>33534279049</v>
      </c>
      <c r="B748" s="3" t="s">
        <v>786</v>
      </c>
      <c r="C748" s="1" t="s">
        <v>449</v>
      </c>
      <c r="D748" s="3"/>
    </row>
    <row r="749" spans="1:4" ht="15.75" customHeight="1" x14ac:dyDescent="0.3">
      <c r="A749" s="2">
        <v>30712319050</v>
      </c>
      <c r="B749" s="3" t="s">
        <v>787</v>
      </c>
      <c r="C749" s="1" t="s">
        <v>10</v>
      </c>
      <c r="D749" s="3"/>
    </row>
    <row r="750" spans="1:4" ht="15.75" customHeight="1" x14ac:dyDescent="0.3">
      <c r="A750" s="2">
        <v>30716386917</v>
      </c>
      <c r="B750" s="3" t="s">
        <v>788</v>
      </c>
      <c r="C750" s="1" t="s">
        <v>10</v>
      </c>
      <c r="D750" s="3"/>
    </row>
    <row r="751" spans="1:4" ht="15.75" customHeight="1" x14ac:dyDescent="0.3">
      <c r="A751" s="2">
        <v>30704957064</v>
      </c>
      <c r="B751" s="3" t="s">
        <v>789</v>
      </c>
      <c r="C751" s="1" t="s">
        <v>790</v>
      </c>
      <c r="D751" s="3"/>
    </row>
    <row r="752" spans="1:4" ht="15.75" customHeight="1" x14ac:dyDescent="0.3">
      <c r="A752" s="2">
        <v>30708290129</v>
      </c>
      <c r="B752" s="3" t="s">
        <v>791</v>
      </c>
      <c r="C752" s="1" t="s">
        <v>792</v>
      </c>
      <c r="D752" s="3"/>
    </row>
    <row r="753" spans="1:4" ht="15.75" customHeight="1" x14ac:dyDescent="0.3">
      <c r="A753" s="2">
        <v>20124638594</v>
      </c>
      <c r="B753" s="3" t="s">
        <v>793</v>
      </c>
      <c r="C753" s="1"/>
      <c r="D753" s="3"/>
    </row>
    <row r="754" spans="1:4" ht="15.75" customHeight="1" x14ac:dyDescent="0.3">
      <c r="A754" s="2">
        <v>23079299219</v>
      </c>
      <c r="B754" s="3" t="s">
        <v>794</v>
      </c>
      <c r="C754" s="1"/>
      <c r="D754" s="3"/>
    </row>
    <row r="755" spans="1:4" ht="15.75" customHeight="1" x14ac:dyDescent="0.3">
      <c r="A755" s="2">
        <v>30714712604</v>
      </c>
      <c r="B755" s="3" t="s">
        <v>795</v>
      </c>
      <c r="C755" s="1"/>
      <c r="D755" s="3"/>
    </row>
    <row r="756" spans="1:4" ht="15.75" customHeight="1" x14ac:dyDescent="0.3">
      <c r="A756" s="2">
        <v>30714436801</v>
      </c>
      <c r="B756" s="3" t="s">
        <v>796</v>
      </c>
      <c r="C756" s="1"/>
      <c r="D756" s="3"/>
    </row>
    <row r="757" spans="1:4" ht="15.75" customHeight="1" x14ac:dyDescent="0.3">
      <c r="A757" s="2">
        <v>20310110109</v>
      </c>
      <c r="B757" s="3" t="s">
        <v>797</v>
      </c>
      <c r="C757" s="1"/>
      <c r="D757" s="3"/>
    </row>
    <row r="758" spans="1:4" ht="15.75" customHeight="1" x14ac:dyDescent="0.3">
      <c r="A758" s="2">
        <v>20934859619</v>
      </c>
      <c r="B758" s="3" t="s">
        <v>798</v>
      </c>
      <c r="C758" s="1"/>
      <c r="D758" s="3"/>
    </row>
    <row r="759" spans="1:4" ht="15.75" customHeight="1" x14ac:dyDescent="0.3">
      <c r="A759" s="2">
        <v>30714846473</v>
      </c>
      <c r="B759" s="3" t="s">
        <v>799</v>
      </c>
      <c r="C759" s="1"/>
      <c r="D759" s="3"/>
    </row>
    <row r="760" spans="1:4" ht="15.75" customHeight="1" x14ac:dyDescent="0.3">
      <c r="A760" s="2">
        <v>20177449777</v>
      </c>
      <c r="B760" s="3" t="s">
        <v>800</v>
      </c>
      <c r="C760" s="1"/>
      <c r="D760" s="3"/>
    </row>
    <row r="761" spans="1:4" ht="15.75" customHeight="1" x14ac:dyDescent="0.3">
      <c r="A761" s="2">
        <v>27170358835</v>
      </c>
      <c r="B761" s="3" t="s">
        <v>801</v>
      </c>
      <c r="C761" s="1"/>
      <c r="D761" s="3"/>
    </row>
    <row r="762" spans="1:4" ht="15.75" customHeight="1" x14ac:dyDescent="0.3">
      <c r="A762" s="2">
        <v>20219573155</v>
      </c>
      <c r="B762" s="3" t="s">
        <v>802</v>
      </c>
      <c r="C762" s="1"/>
      <c r="D762" s="3"/>
    </row>
    <row r="763" spans="1:4" ht="15.75" customHeight="1" x14ac:dyDescent="0.3">
      <c r="A763" s="2">
        <v>20245354968</v>
      </c>
      <c r="B763" s="3" t="s">
        <v>803</v>
      </c>
      <c r="C763" s="1"/>
      <c r="D763" s="3"/>
    </row>
    <row r="764" spans="1:4" ht="15.75" customHeight="1" x14ac:dyDescent="0.3">
      <c r="A764" s="2">
        <v>27133302994</v>
      </c>
      <c r="B764" s="3" t="s">
        <v>804</v>
      </c>
      <c r="C764" s="1"/>
      <c r="D764" s="3"/>
    </row>
    <row r="765" spans="1:4" ht="15.75" customHeight="1" x14ac:dyDescent="0.3">
      <c r="A765" s="2">
        <v>30714238651</v>
      </c>
      <c r="B765" s="3" t="s">
        <v>805</v>
      </c>
      <c r="C765" s="1" t="s">
        <v>10</v>
      </c>
      <c r="D765" s="3"/>
    </row>
    <row r="766" spans="1:4" ht="15.75" customHeight="1" x14ac:dyDescent="0.3">
      <c r="A766" s="2">
        <v>30662444150</v>
      </c>
      <c r="B766" s="3" t="s">
        <v>806</v>
      </c>
      <c r="C766" s="1" t="s">
        <v>10</v>
      </c>
      <c r="D766" s="3"/>
    </row>
    <row r="767" spans="1:4" ht="15.75" customHeight="1" x14ac:dyDescent="0.3">
      <c r="A767" s="2">
        <v>30527196112</v>
      </c>
      <c r="B767" s="3" t="s">
        <v>807</v>
      </c>
      <c r="C767" s="1" t="s">
        <v>10</v>
      </c>
      <c r="D767" s="3"/>
    </row>
    <row r="768" spans="1:4" ht="15.75" customHeight="1" x14ac:dyDescent="0.3">
      <c r="A768" s="2">
        <v>33712752209</v>
      </c>
      <c r="B768" s="3" t="s">
        <v>808</v>
      </c>
      <c r="C768" s="1" t="s">
        <v>10</v>
      </c>
      <c r="D768" s="3"/>
    </row>
    <row r="769" spans="1:4" ht="15.75" customHeight="1" x14ac:dyDescent="0.3">
      <c r="A769" s="2">
        <v>30711469946</v>
      </c>
      <c r="B769" s="3" t="s">
        <v>809</v>
      </c>
      <c r="C769" s="1" t="s">
        <v>10</v>
      </c>
      <c r="D769" s="3"/>
    </row>
    <row r="770" spans="1:4" ht="15.75" customHeight="1" x14ac:dyDescent="0.3">
      <c r="A770" s="2">
        <v>30523214817</v>
      </c>
      <c r="B770" s="3" t="s">
        <v>810</v>
      </c>
      <c r="C770" s="1" t="s">
        <v>10</v>
      </c>
      <c r="D770" s="3"/>
    </row>
    <row r="771" spans="1:4" ht="15.75" customHeight="1" x14ac:dyDescent="0.3">
      <c r="A771" s="2">
        <v>30708436573</v>
      </c>
      <c r="B771" s="3" t="s">
        <v>811</v>
      </c>
      <c r="C771" s="1" t="s">
        <v>10</v>
      </c>
      <c r="D771" s="3"/>
    </row>
    <row r="772" spans="1:4" ht="15.75" customHeight="1" x14ac:dyDescent="0.3">
      <c r="A772" s="2">
        <v>30710453434</v>
      </c>
      <c r="B772" s="3" t="s">
        <v>812</v>
      </c>
      <c r="C772" s="1"/>
      <c r="D772" s="3"/>
    </row>
    <row r="773" spans="1:4" ht="15.75" customHeight="1" x14ac:dyDescent="0.3">
      <c r="A773" s="2">
        <v>30708328169</v>
      </c>
      <c r="B773" s="3" t="s">
        <v>813</v>
      </c>
      <c r="C773" s="1"/>
      <c r="D773" s="3"/>
    </row>
    <row r="774" spans="1:4" ht="15.75" customHeight="1" x14ac:dyDescent="0.3">
      <c r="A774" s="2">
        <v>20940143080</v>
      </c>
      <c r="B774" s="3" t="s">
        <v>814</v>
      </c>
      <c r="C774" s="1"/>
      <c r="D774" s="3"/>
    </row>
    <row r="775" spans="1:4" ht="15.75" customHeight="1" x14ac:dyDescent="0.3">
      <c r="A775" s="2">
        <v>30683663642</v>
      </c>
      <c r="B775" s="3" t="s">
        <v>815</v>
      </c>
      <c r="C775" s="1"/>
      <c r="D775" s="3"/>
    </row>
    <row r="776" spans="1:4" ht="15.75" customHeight="1" x14ac:dyDescent="0.3">
      <c r="A776" s="2">
        <v>30715293044</v>
      </c>
      <c r="B776" s="3" t="s">
        <v>816</v>
      </c>
      <c r="C776" s="1"/>
      <c r="D776" s="3"/>
    </row>
    <row r="777" spans="1:4" ht="15.75" customHeight="1" x14ac:dyDescent="0.3">
      <c r="A777" s="2">
        <v>30709155861</v>
      </c>
      <c r="B777" s="3" t="s">
        <v>817</v>
      </c>
      <c r="C777" s="1" t="s">
        <v>10</v>
      </c>
      <c r="D777" s="3"/>
    </row>
    <row r="778" spans="1:4" ht="15.75" customHeight="1" x14ac:dyDescent="0.3">
      <c r="A778" s="2">
        <v>30500001735</v>
      </c>
      <c r="B778" s="3" t="s">
        <v>818</v>
      </c>
      <c r="C778" s="1" t="s">
        <v>819</v>
      </c>
      <c r="D778" s="3"/>
    </row>
    <row r="779" spans="1:4" ht="15.75" customHeight="1" x14ac:dyDescent="0.3">
      <c r="A779" s="2">
        <v>33500005179</v>
      </c>
      <c r="B779" s="3" t="s">
        <v>820</v>
      </c>
      <c r="C779" s="1" t="s">
        <v>819</v>
      </c>
      <c r="D779" s="3"/>
    </row>
    <row r="780" spans="1:4" ht="15.75" customHeight="1" x14ac:dyDescent="0.3">
      <c r="A780" s="2">
        <v>27226853265</v>
      </c>
      <c r="B780" s="3" t="s">
        <v>821</v>
      </c>
      <c r="C780" s="1"/>
      <c r="D780" s="3"/>
    </row>
    <row r="781" spans="1:4" ht="15.75" customHeight="1" x14ac:dyDescent="0.3">
      <c r="A781" s="2">
        <v>30711143781</v>
      </c>
      <c r="B781" s="3" t="s">
        <v>822</v>
      </c>
      <c r="C781" s="1"/>
      <c r="D781" s="3"/>
    </row>
    <row r="782" spans="1:4" ht="15.75" customHeight="1" x14ac:dyDescent="0.3">
      <c r="A782" s="2">
        <v>30633184905</v>
      </c>
      <c r="B782" s="3" t="s">
        <v>823</v>
      </c>
      <c r="C782" s="1"/>
      <c r="D782" s="3"/>
    </row>
    <row r="783" spans="1:4" ht="15.75" customHeight="1" x14ac:dyDescent="0.3">
      <c r="A783" s="2">
        <v>30663069191</v>
      </c>
      <c r="B783" s="3" t="s">
        <v>824</v>
      </c>
      <c r="C783" s="1" t="s">
        <v>10</v>
      </c>
      <c r="D783" s="3"/>
    </row>
    <row r="784" spans="1:4" ht="15.75" customHeight="1" x14ac:dyDescent="0.3">
      <c r="A784" s="2">
        <v>30699576405</v>
      </c>
      <c r="B784" s="3" t="s">
        <v>825</v>
      </c>
      <c r="C784" s="1" t="s">
        <v>10</v>
      </c>
      <c r="D784" s="3"/>
    </row>
    <row r="785" spans="1:4" ht="15.75" customHeight="1" x14ac:dyDescent="0.3">
      <c r="A785" s="2">
        <v>30618973553</v>
      </c>
      <c r="B785" s="3" t="s">
        <v>826</v>
      </c>
      <c r="C785" s="1" t="s">
        <v>15</v>
      </c>
      <c r="D785" s="3"/>
    </row>
    <row r="786" spans="1:4" ht="15.75" customHeight="1" x14ac:dyDescent="0.3">
      <c r="A786" s="2">
        <v>30574816870</v>
      </c>
      <c r="B786" s="3" t="s">
        <v>827</v>
      </c>
      <c r="C786" s="1" t="s">
        <v>819</v>
      </c>
      <c r="D786" s="3"/>
    </row>
    <row r="787" spans="1:4" ht="15.75" customHeight="1" x14ac:dyDescent="0.3">
      <c r="A787" s="2">
        <v>27341012525</v>
      </c>
      <c r="B787" s="3" t="s">
        <v>828</v>
      </c>
      <c r="C787" s="1" t="s">
        <v>15</v>
      </c>
      <c r="D787" s="3"/>
    </row>
    <row r="788" spans="1:4" ht="15.75" customHeight="1" x14ac:dyDescent="0.3">
      <c r="A788" s="2">
        <v>33661213499</v>
      </c>
      <c r="B788" s="3" t="s">
        <v>829</v>
      </c>
      <c r="C788" s="1" t="s">
        <v>130</v>
      </c>
      <c r="D788" s="3"/>
    </row>
    <row r="789" spans="1:4" ht="15.75" customHeight="1" x14ac:dyDescent="0.3">
      <c r="A789" s="2">
        <v>23256466414</v>
      </c>
      <c r="B789" s="3" t="s">
        <v>830</v>
      </c>
      <c r="C789" s="1" t="s">
        <v>10</v>
      </c>
      <c r="D789" s="3"/>
    </row>
    <row r="790" spans="1:4" ht="15.75" customHeight="1" x14ac:dyDescent="0.3">
      <c r="A790" s="2">
        <v>33702050249</v>
      </c>
      <c r="B790" s="3" t="s">
        <v>831</v>
      </c>
      <c r="C790" s="1" t="s">
        <v>10</v>
      </c>
      <c r="D790" s="3"/>
    </row>
    <row r="791" spans="1:4" ht="15.75" customHeight="1" x14ac:dyDescent="0.3">
      <c r="A791" s="2" t="s">
        <v>832</v>
      </c>
      <c r="B791" s="3" t="s">
        <v>827</v>
      </c>
      <c r="C791" s="1" t="s">
        <v>819</v>
      </c>
      <c r="D791" s="3"/>
    </row>
    <row r="792" spans="1:4" ht="15.75" customHeight="1" x14ac:dyDescent="0.3">
      <c r="A792" s="2">
        <v>30661420169</v>
      </c>
      <c r="B792" s="3" t="s">
        <v>833</v>
      </c>
      <c r="C792" s="1"/>
      <c r="D792" s="3"/>
    </row>
    <row r="793" spans="1:4" ht="15.75" customHeight="1" x14ac:dyDescent="0.3">
      <c r="A793" s="2">
        <v>30656319263</v>
      </c>
      <c r="B793" s="3" t="s">
        <v>834</v>
      </c>
      <c r="C793" s="1"/>
      <c r="D793" s="3"/>
    </row>
    <row r="794" spans="1:4" ht="15.75" customHeight="1" x14ac:dyDescent="0.3">
      <c r="A794" s="2">
        <v>20169740071</v>
      </c>
      <c r="B794" s="3" t="s">
        <v>835</v>
      </c>
      <c r="C794" s="1"/>
      <c r="D794" s="3"/>
    </row>
    <row r="795" spans="1:4" ht="15.75" customHeight="1" x14ac:dyDescent="0.3">
      <c r="A795" s="2">
        <v>20200099940</v>
      </c>
      <c r="B795" s="3" t="s">
        <v>836</v>
      </c>
      <c r="C795" s="1"/>
      <c r="D795" s="3"/>
    </row>
    <row r="796" spans="1:4" ht="15.75" customHeight="1" x14ac:dyDescent="0.3">
      <c r="A796" s="2">
        <v>30715640313</v>
      </c>
      <c r="B796" s="3" t="s">
        <v>837</v>
      </c>
      <c r="C796" s="1"/>
      <c r="D796" s="3"/>
    </row>
    <row r="797" spans="1:4" ht="15.75" customHeight="1" x14ac:dyDescent="0.3">
      <c r="A797" s="2">
        <v>27143266805</v>
      </c>
      <c r="B797" s="3" t="s">
        <v>838</v>
      </c>
      <c r="C797" s="1"/>
      <c r="D797" s="3"/>
    </row>
    <row r="798" spans="1:4" ht="15.75" customHeight="1" x14ac:dyDescent="0.3">
      <c r="A798" s="2">
        <v>20178988736</v>
      </c>
      <c r="B798" s="3" t="s">
        <v>839</v>
      </c>
      <c r="C798" s="1"/>
      <c r="D798" s="3"/>
    </row>
    <row r="799" spans="1:4" ht="15.75" customHeight="1" x14ac:dyDescent="0.3">
      <c r="A799" s="2">
        <v>27145293281</v>
      </c>
      <c r="B799" s="3" t="s">
        <v>840</v>
      </c>
      <c r="C799" s="1" t="s">
        <v>10</v>
      </c>
      <c r="D799" s="3"/>
    </row>
    <row r="800" spans="1:4" ht="15.75" customHeight="1" x14ac:dyDescent="0.3">
      <c r="A800" s="2">
        <v>27174086902</v>
      </c>
      <c r="B800" s="3" t="s">
        <v>841</v>
      </c>
      <c r="C800" s="1"/>
      <c r="D800" s="3"/>
    </row>
    <row r="801" spans="1:4" ht="15.75" customHeight="1" x14ac:dyDescent="0.3">
      <c r="A801" s="2">
        <v>20205676474</v>
      </c>
      <c r="B801" s="3" t="s">
        <v>842</v>
      </c>
      <c r="C801" s="1"/>
      <c r="D801" s="3"/>
    </row>
    <row r="802" spans="1:4" ht="15.75" customHeight="1" x14ac:dyDescent="0.3">
      <c r="A802" s="2">
        <v>30716438879</v>
      </c>
      <c r="B802" s="3" t="s">
        <v>843</v>
      </c>
      <c r="C802" s="1"/>
      <c r="D802" s="3"/>
    </row>
    <row r="803" spans="1:4" ht="15.75" customHeight="1" x14ac:dyDescent="0.3">
      <c r="A803" s="2">
        <v>3930799</v>
      </c>
      <c r="B803" s="3" t="s">
        <v>844</v>
      </c>
      <c r="C803" s="1"/>
      <c r="D803" s="3"/>
    </row>
    <row r="804" spans="1:4" ht="15.75" customHeight="1" x14ac:dyDescent="0.3">
      <c r="A804" s="2">
        <v>30707836802</v>
      </c>
      <c r="B804" s="3" t="s">
        <v>845</v>
      </c>
      <c r="C804" s="1" t="s">
        <v>17</v>
      </c>
      <c r="D804" s="3"/>
    </row>
    <row r="805" spans="1:4" ht="15.75" customHeight="1" x14ac:dyDescent="0.3">
      <c r="A805" s="2">
        <v>30714270954</v>
      </c>
      <c r="B805" s="3" t="s">
        <v>846</v>
      </c>
      <c r="C805" s="1" t="s">
        <v>15</v>
      </c>
      <c r="D805" s="3"/>
    </row>
    <row r="806" spans="1:4" ht="15.75" customHeight="1" x14ac:dyDescent="0.3">
      <c r="A806" s="2">
        <v>27330044867</v>
      </c>
      <c r="B806" s="3" t="s">
        <v>847</v>
      </c>
      <c r="C806" s="1"/>
      <c r="D806" s="3"/>
    </row>
    <row r="807" spans="1:4" ht="15.75" customHeight="1" x14ac:dyDescent="0.3">
      <c r="A807" s="2">
        <v>30709033812</v>
      </c>
      <c r="B807" s="3" t="s">
        <v>848</v>
      </c>
      <c r="C807" s="1" t="s">
        <v>10</v>
      </c>
      <c r="D807" s="3"/>
    </row>
    <row r="808" spans="1:4" ht="15.75" customHeight="1" x14ac:dyDescent="0.3">
      <c r="A808" s="2">
        <v>20219037202</v>
      </c>
      <c r="B808" s="3" t="s">
        <v>849</v>
      </c>
      <c r="C808" s="1" t="s">
        <v>10</v>
      </c>
      <c r="D808" s="3"/>
    </row>
    <row r="809" spans="1:4" ht="15.75" customHeight="1" x14ac:dyDescent="0.3">
      <c r="A809" s="2">
        <v>33708069219</v>
      </c>
      <c r="B809" s="3" t="s">
        <v>850</v>
      </c>
      <c r="C809" s="1" t="s">
        <v>10</v>
      </c>
      <c r="D809" s="3"/>
    </row>
    <row r="810" spans="1:4" ht="15.75" customHeight="1" x14ac:dyDescent="0.3">
      <c r="A810" s="2">
        <v>30663332720</v>
      </c>
      <c r="B810" s="3" t="s">
        <v>851</v>
      </c>
      <c r="C810" s="1" t="s">
        <v>10</v>
      </c>
      <c r="D810" s="3"/>
    </row>
    <row r="811" spans="1:4" ht="15.75" customHeight="1" x14ac:dyDescent="0.3">
      <c r="A811" s="2">
        <v>20927474868</v>
      </c>
      <c r="B811" s="3" t="s">
        <v>852</v>
      </c>
      <c r="C811" s="1"/>
      <c r="D811" s="3"/>
    </row>
    <row r="812" spans="1:4" ht="15.75" customHeight="1" x14ac:dyDescent="0.3">
      <c r="A812" s="2">
        <v>30710283970</v>
      </c>
      <c r="B812" s="3" t="s">
        <v>853</v>
      </c>
      <c r="C812" s="1"/>
      <c r="D812" s="3"/>
    </row>
    <row r="813" spans="1:4" ht="15.75" customHeight="1" x14ac:dyDescent="0.3">
      <c r="A813" s="2">
        <v>30708340789</v>
      </c>
      <c r="B813" s="3" t="s">
        <v>854</v>
      </c>
      <c r="C813" s="1"/>
      <c r="D813" s="3"/>
    </row>
    <row r="814" spans="1:4" ht="15.75" customHeight="1" x14ac:dyDescent="0.3">
      <c r="A814" s="2">
        <v>30711083800</v>
      </c>
      <c r="B814" s="3" t="s">
        <v>855</v>
      </c>
      <c r="C814" s="1"/>
      <c r="D814" s="3"/>
    </row>
    <row r="815" spans="1:4" ht="15.75" customHeight="1" x14ac:dyDescent="0.3">
      <c r="A815" s="2">
        <v>30714200417</v>
      </c>
      <c r="B815" s="3" t="s">
        <v>856</v>
      </c>
      <c r="C815" s="1" t="s">
        <v>10</v>
      </c>
      <c r="D815" s="3"/>
    </row>
    <row r="816" spans="1:4" ht="15.75" customHeight="1" x14ac:dyDescent="0.3">
      <c r="A816" s="2">
        <v>30502515884</v>
      </c>
      <c r="B816" s="3" t="s">
        <v>857</v>
      </c>
      <c r="C816" s="1" t="s">
        <v>10</v>
      </c>
      <c r="D816" s="3"/>
    </row>
    <row r="817" spans="1:4" ht="15.75" customHeight="1" x14ac:dyDescent="0.3">
      <c r="A817" s="2">
        <v>30712783806</v>
      </c>
      <c r="B817" s="3" t="s">
        <v>858</v>
      </c>
      <c r="C817" s="1" t="s">
        <v>10</v>
      </c>
      <c r="D817" s="3"/>
    </row>
    <row r="818" spans="1:4" ht="15.75" customHeight="1" x14ac:dyDescent="0.3">
      <c r="A818" s="2">
        <v>33708200749</v>
      </c>
      <c r="B818" s="3" t="s">
        <v>859</v>
      </c>
      <c r="C818" s="1"/>
      <c r="D818" s="3"/>
    </row>
    <row r="819" spans="1:4" ht="15.75" customHeight="1" x14ac:dyDescent="0.3">
      <c r="A819" s="2">
        <v>20182671062</v>
      </c>
      <c r="B819" s="3" t="s">
        <v>860</v>
      </c>
      <c r="C819" s="1"/>
      <c r="D819" s="3"/>
    </row>
    <row r="820" spans="1:4" ht="15.75" customHeight="1" x14ac:dyDescent="0.3">
      <c r="A820" s="2">
        <v>27956824317</v>
      </c>
      <c r="B820" s="3" t="s">
        <v>861</v>
      </c>
      <c r="C820" s="1"/>
      <c r="D820" s="3"/>
    </row>
    <row r="821" spans="1:4" ht="15.75" customHeight="1" x14ac:dyDescent="0.3">
      <c r="A821" s="2">
        <v>30715282018</v>
      </c>
      <c r="B821" s="3" t="s">
        <v>862</v>
      </c>
      <c r="C821" s="1"/>
      <c r="D821" s="3"/>
    </row>
    <row r="822" spans="1:4" ht="15.75" customHeight="1" x14ac:dyDescent="0.3">
      <c r="A822" s="2">
        <v>29246296</v>
      </c>
      <c r="B822" s="3" t="s">
        <v>863</v>
      </c>
      <c r="C822" s="1"/>
      <c r="D822" s="3"/>
    </row>
    <row r="823" spans="1:4" ht="15.75" customHeight="1" x14ac:dyDescent="0.3">
      <c r="A823" s="2">
        <v>30689906512</v>
      </c>
      <c r="B823" s="3" t="s">
        <v>864</v>
      </c>
      <c r="C823" s="1"/>
      <c r="D823" s="3"/>
    </row>
    <row r="824" spans="1:4" ht="15.75" customHeight="1" x14ac:dyDescent="0.3">
      <c r="A824" s="2">
        <v>30707061029</v>
      </c>
      <c r="B824" s="3" t="s">
        <v>865</v>
      </c>
      <c r="C824" s="1"/>
      <c r="D824" s="3"/>
    </row>
    <row r="825" spans="1:4" ht="15.75" customHeight="1" x14ac:dyDescent="0.3">
      <c r="A825" s="2">
        <v>30703000335</v>
      </c>
      <c r="B825" s="3" t="s">
        <v>866</v>
      </c>
      <c r="C825" s="1"/>
      <c r="D825" s="3"/>
    </row>
    <row r="826" spans="1:4" ht="15.75" customHeight="1" x14ac:dyDescent="0.3">
      <c r="A826" s="2">
        <v>30702049225</v>
      </c>
      <c r="B826" s="3" t="s">
        <v>867</v>
      </c>
      <c r="C826" s="1"/>
      <c r="D826" s="3"/>
    </row>
    <row r="827" spans="1:4" ht="15.75" customHeight="1" x14ac:dyDescent="0.3">
      <c r="A827" s="2">
        <v>30709370207</v>
      </c>
      <c r="B827" s="3" t="s">
        <v>868</v>
      </c>
      <c r="C827" s="1"/>
      <c r="D827" s="3"/>
    </row>
    <row r="828" spans="1:4" ht="15.75" customHeight="1" x14ac:dyDescent="0.3">
      <c r="A828" s="2">
        <v>30699583533</v>
      </c>
      <c r="B828" s="3" t="s">
        <v>869</v>
      </c>
      <c r="C828" s="1"/>
      <c r="D828" s="3"/>
    </row>
    <row r="829" spans="1:4" ht="15.75" customHeight="1" x14ac:dyDescent="0.3">
      <c r="A829" s="2">
        <v>30714825069</v>
      </c>
      <c r="B829" s="3" t="s">
        <v>870</v>
      </c>
      <c r="C829" s="1"/>
      <c r="D829" s="3"/>
    </row>
    <row r="830" spans="1:4" ht="15.75" customHeight="1" x14ac:dyDescent="0.3">
      <c r="A830" s="2">
        <v>30709642835</v>
      </c>
      <c r="B830" s="3" t="s">
        <v>871</v>
      </c>
      <c r="C830" s="1" t="s">
        <v>10</v>
      </c>
      <c r="D830" s="3"/>
    </row>
    <row r="831" spans="1:4" ht="15.75" customHeight="1" x14ac:dyDescent="0.3">
      <c r="A831" s="2">
        <v>33699685459</v>
      </c>
      <c r="B831" s="3" t="s">
        <v>872</v>
      </c>
      <c r="C831" s="1"/>
      <c r="D831" s="3"/>
    </row>
    <row r="832" spans="1:4" ht="15.75" customHeight="1" x14ac:dyDescent="0.3">
      <c r="A832" s="2">
        <v>30699582855</v>
      </c>
      <c r="B832" s="3" t="s">
        <v>873</v>
      </c>
      <c r="C832" s="1"/>
      <c r="D832" s="3"/>
    </row>
    <row r="833" spans="1:4" ht="15.75" customHeight="1" x14ac:dyDescent="0.3">
      <c r="A833" s="2">
        <v>30712298355</v>
      </c>
      <c r="B833" s="3" t="s">
        <v>874</v>
      </c>
      <c r="C833" s="1"/>
      <c r="D833" s="3"/>
    </row>
    <row r="834" spans="1:4" ht="15.75" customHeight="1" x14ac:dyDescent="0.3">
      <c r="A834" s="2">
        <v>30652327547</v>
      </c>
      <c r="B834" s="3" t="s">
        <v>875</v>
      </c>
      <c r="C834" s="1"/>
      <c r="D834" s="3"/>
    </row>
    <row r="835" spans="1:4" ht="15.75" customHeight="1" x14ac:dyDescent="0.3">
      <c r="A835" s="2">
        <v>30714251127</v>
      </c>
      <c r="B835" s="3" t="s">
        <v>876</v>
      </c>
      <c r="C835" s="1"/>
      <c r="D835" s="3"/>
    </row>
    <row r="836" spans="1:4" ht="15.75" customHeight="1" x14ac:dyDescent="0.3">
      <c r="A836" s="2">
        <v>23942384394</v>
      </c>
      <c r="B836" s="3" t="s">
        <v>877</v>
      </c>
      <c r="C836" s="1"/>
      <c r="D836" s="3"/>
    </row>
    <row r="837" spans="1:4" ht="15.75" customHeight="1" x14ac:dyDescent="0.3">
      <c r="A837" s="2">
        <v>27940346067</v>
      </c>
      <c r="B837" s="3" t="s">
        <v>878</v>
      </c>
      <c r="C837" s="1"/>
      <c r="D837" s="3"/>
    </row>
    <row r="838" spans="1:4" ht="15.75" customHeight="1" x14ac:dyDescent="0.3">
      <c r="A838" s="2">
        <v>33714175209</v>
      </c>
      <c r="B838" s="3" t="s">
        <v>879</v>
      </c>
      <c r="C838" s="1"/>
      <c r="D838" s="3"/>
    </row>
    <row r="839" spans="1:4" ht="15.75" customHeight="1" x14ac:dyDescent="0.3">
      <c r="A839" s="2">
        <v>30714730548</v>
      </c>
      <c r="B839" s="3" t="s">
        <v>880</v>
      </c>
      <c r="C839" s="1"/>
      <c r="D839" s="3"/>
    </row>
    <row r="840" spans="1:4" ht="15.75" customHeight="1" x14ac:dyDescent="0.3">
      <c r="A840" s="2">
        <v>30712405240</v>
      </c>
      <c r="B840" s="3" t="s">
        <v>881</v>
      </c>
      <c r="C840" s="1"/>
      <c r="D840" s="3"/>
    </row>
    <row r="841" spans="1:4" ht="15.75" customHeight="1" x14ac:dyDescent="0.3">
      <c r="A841" s="2">
        <v>30711681880</v>
      </c>
      <c r="B841" s="3" t="s">
        <v>882</v>
      </c>
      <c r="C841" s="1"/>
      <c r="D841" s="3"/>
    </row>
    <row r="842" spans="1:4" ht="15.75" customHeight="1" x14ac:dyDescent="0.3">
      <c r="A842" s="2">
        <v>30714620920</v>
      </c>
      <c r="B842" s="3" t="s">
        <v>883</v>
      </c>
      <c r="C842" s="1" t="s">
        <v>10</v>
      </c>
      <c r="D842" s="3"/>
    </row>
    <row r="843" spans="1:4" ht="15.75" customHeight="1" x14ac:dyDescent="0.3">
      <c r="A843" s="2">
        <v>30502584428</v>
      </c>
      <c r="B843" s="3" t="s">
        <v>884</v>
      </c>
      <c r="C843" s="1" t="s">
        <v>885</v>
      </c>
      <c r="D843" s="3"/>
    </row>
    <row r="844" spans="1:4" ht="15.75" customHeight="1" x14ac:dyDescent="0.3">
      <c r="A844" s="2">
        <v>20269334097</v>
      </c>
      <c r="B844" s="3" t="s">
        <v>886</v>
      </c>
      <c r="C844" s="1"/>
      <c r="D844" s="3"/>
    </row>
    <row r="845" spans="1:4" ht="15.75" customHeight="1" x14ac:dyDescent="0.3">
      <c r="A845" s="2">
        <v>20266219114</v>
      </c>
      <c r="B845" s="3" t="s">
        <v>887</v>
      </c>
      <c r="C845" s="1"/>
      <c r="D845" s="3"/>
    </row>
    <row r="846" spans="1:4" ht="15.75" customHeight="1" x14ac:dyDescent="0.3">
      <c r="A846" s="2">
        <v>30715191039</v>
      </c>
      <c r="B846" s="3" t="s">
        <v>888</v>
      </c>
      <c r="C846" s="1" t="s">
        <v>10</v>
      </c>
      <c r="D846" s="3"/>
    </row>
    <row r="847" spans="1:4" ht="15.75" customHeight="1" x14ac:dyDescent="0.3">
      <c r="A847" s="2">
        <v>30715158465</v>
      </c>
      <c r="B847" s="3" t="s">
        <v>889</v>
      </c>
      <c r="C847" s="1" t="s">
        <v>10</v>
      </c>
      <c r="D847" s="3"/>
    </row>
    <row r="848" spans="1:4" ht="15.75" customHeight="1" x14ac:dyDescent="0.3">
      <c r="A848" s="2">
        <v>30716059967</v>
      </c>
      <c r="B848" s="3" t="s">
        <v>890</v>
      </c>
      <c r="C848" s="1"/>
      <c r="D848" s="3"/>
    </row>
    <row r="849" spans="1:4" ht="15.75" customHeight="1" x14ac:dyDescent="0.3">
      <c r="A849" s="2">
        <v>30708711566</v>
      </c>
      <c r="B849" s="3" t="s">
        <v>891</v>
      </c>
      <c r="C849" s="1" t="s">
        <v>5</v>
      </c>
      <c r="D849" s="3"/>
    </row>
    <row r="850" spans="1:4" ht="15.75" customHeight="1" x14ac:dyDescent="0.3">
      <c r="A850" s="2">
        <v>20121630797</v>
      </c>
      <c r="B850" s="3" t="s">
        <v>892</v>
      </c>
      <c r="C850" s="1" t="s">
        <v>5</v>
      </c>
      <c r="D850" s="3"/>
    </row>
    <row r="851" spans="1:4" ht="15.75" customHeight="1" x14ac:dyDescent="0.3">
      <c r="A851" s="2">
        <v>30632951716</v>
      </c>
      <c r="B851" s="3" t="s">
        <v>893</v>
      </c>
      <c r="C851" s="1" t="s">
        <v>5</v>
      </c>
      <c r="D851" s="3"/>
    </row>
    <row r="852" spans="1:4" ht="15.75" customHeight="1" x14ac:dyDescent="0.3">
      <c r="A852" s="2">
        <v>30709784257</v>
      </c>
      <c r="B852" s="3" t="s">
        <v>894</v>
      </c>
      <c r="C852" s="1"/>
      <c r="D852" s="3"/>
    </row>
    <row r="853" spans="1:4" ht="15.75" customHeight="1" x14ac:dyDescent="0.3">
      <c r="A853" s="2">
        <v>30716582716</v>
      </c>
      <c r="B853" s="3" t="s">
        <v>895</v>
      </c>
      <c r="C853" s="1" t="s">
        <v>10</v>
      </c>
      <c r="D853" s="3"/>
    </row>
    <row r="854" spans="1:4" ht="15.75" customHeight="1" x14ac:dyDescent="0.3">
      <c r="A854" s="2">
        <v>30632161146</v>
      </c>
      <c r="B854" s="3" t="s">
        <v>896</v>
      </c>
      <c r="C854" s="1"/>
      <c r="D854" s="3"/>
    </row>
    <row r="855" spans="1:4" ht="15.75" customHeight="1" x14ac:dyDescent="0.3">
      <c r="A855" s="2">
        <v>30715607529</v>
      </c>
      <c r="B855" s="3" t="s">
        <v>897</v>
      </c>
      <c r="C855" s="1"/>
      <c r="D855" s="3"/>
    </row>
    <row r="856" spans="1:4" ht="15.75" customHeight="1" x14ac:dyDescent="0.3">
      <c r="A856" s="2">
        <v>30715311913</v>
      </c>
      <c r="B856" s="3" t="s">
        <v>898</v>
      </c>
      <c r="C856" s="1" t="s">
        <v>5</v>
      </c>
      <c r="D856" s="3"/>
    </row>
    <row r="857" spans="1:4" ht="15.75" customHeight="1" x14ac:dyDescent="0.3">
      <c r="A857" s="2">
        <v>30634595623</v>
      </c>
      <c r="B857" s="3" t="s">
        <v>899</v>
      </c>
      <c r="C857" s="1" t="s">
        <v>5</v>
      </c>
      <c r="D857" s="3"/>
    </row>
    <row r="858" spans="1:4" ht="15.75" customHeight="1" x14ac:dyDescent="0.3">
      <c r="A858" s="2">
        <v>30697598711</v>
      </c>
      <c r="B858" s="3" t="s">
        <v>900</v>
      </c>
      <c r="C858" s="1" t="s">
        <v>5</v>
      </c>
      <c r="D858" s="3"/>
    </row>
    <row r="859" spans="1:4" ht="15.75" customHeight="1" x14ac:dyDescent="0.3">
      <c r="A859" s="2">
        <v>30716211831</v>
      </c>
      <c r="B859" s="3" t="s">
        <v>901</v>
      </c>
      <c r="C859" s="1" t="s">
        <v>5</v>
      </c>
      <c r="D859" s="3"/>
    </row>
    <row r="860" spans="1:4" ht="15.75" customHeight="1" x14ac:dyDescent="0.3">
      <c r="A860" s="2">
        <v>27054302644</v>
      </c>
      <c r="B860" s="3" t="s">
        <v>902</v>
      </c>
      <c r="C860" s="1"/>
      <c r="D860" s="3"/>
    </row>
    <row r="861" spans="1:4" ht="15.75" customHeight="1" x14ac:dyDescent="0.3">
      <c r="A861" s="2">
        <v>30710165250</v>
      </c>
      <c r="B861" s="3" t="s">
        <v>903</v>
      </c>
      <c r="C861" s="1" t="s">
        <v>5</v>
      </c>
      <c r="D861" s="3"/>
    </row>
    <row r="862" spans="1:4" ht="15.75" customHeight="1" x14ac:dyDescent="0.3">
      <c r="A862" s="2">
        <v>30709717541</v>
      </c>
      <c r="B862" s="3" t="s">
        <v>904</v>
      </c>
      <c r="C862" s="1"/>
      <c r="D862" s="3"/>
    </row>
    <row r="863" spans="1:4" ht="15.75" customHeight="1" x14ac:dyDescent="0.3">
      <c r="A863" s="2">
        <v>20272730521</v>
      </c>
      <c r="B863" s="3" t="s">
        <v>905</v>
      </c>
      <c r="C863" s="1" t="s">
        <v>906</v>
      </c>
      <c r="D863" s="3"/>
    </row>
    <row r="864" spans="1:4" ht="15.75" customHeight="1" x14ac:dyDescent="0.3">
      <c r="A864" s="2">
        <v>30535026692</v>
      </c>
      <c r="B864" s="3" t="s">
        <v>907</v>
      </c>
      <c r="C864" s="1" t="s">
        <v>908</v>
      </c>
      <c r="D864" s="3"/>
    </row>
    <row r="865" spans="1:4" ht="15.75" customHeight="1" x14ac:dyDescent="0.3">
      <c r="A865" s="2">
        <v>20315835411</v>
      </c>
      <c r="B865" s="3" t="s">
        <v>909</v>
      </c>
      <c r="C865" s="1" t="s">
        <v>10</v>
      </c>
      <c r="D865" s="3"/>
    </row>
    <row r="866" spans="1:4" ht="15.75" customHeight="1" x14ac:dyDescent="0.3">
      <c r="A866" s="2">
        <v>20283623271</v>
      </c>
      <c r="B866" s="3" t="s">
        <v>910</v>
      </c>
      <c r="C866" s="1" t="s">
        <v>10</v>
      </c>
      <c r="D866" s="3"/>
    </row>
    <row r="867" spans="1:4" ht="15.75" customHeight="1" x14ac:dyDescent="0.3">
      <c r="A867" s="2">
        <v>30710031939</v>
      </c>
      <c r="B867" s="3" t="s">
        <v>911</v>
      </c>
      <c r="C867" s="1" t="s">
        <v>10</v>
      </c>
      <c r="D867" s="3"/>
    </row>
    <row r="868" spans="1:4" ht="15.75" customHeight="1" x14ac:dyDescent="0.3">
      <c r="A868" s="2">
        <v>30713989904</v>
      </c>
      <c r="B868" s="3" t="s">
        <v>912</v>
      </c>
      <c r="C868" s="1" t="s">
        <v>10</v>
      </c>
      <c r="D868" s="3"/>
    </row>
    <row r="869" spans="1:4" ht="15.75" customHeight="1" x14ac:dyDescent="0.3">
      <c r="A869" s="2">
        <v>30515658269</v>
      </c>
      <c r="B869" s="3" t="s">
        <v>913</v>
      </c>
      <c r="C869" s="1"/>
      <c r="D869" s="3"/>
    </row>
    <row r="870" spans="1:4" ht="15.75" customHeight="1" x14ac:dyDescent="0.3">
      <c r="A870" s="2">
        <v>20361527896</v>
      </c>
      <c r="B870" s="3" t="s">
        <v>914</v>
      </c>
      <c r="C870" s="1"/>
      <c r="D870" s="3"/>
    </row>
    <row r="871" spans="1:4" ht="15.75" customHeight="1" x14ac:dyDescent="0.3">
      <c r="A871" s="2">
        <v>20280337235</v>
      </c>
      <c r="B871" s="3" t="s">
        <v>915</v>
      </c>
      <c r="C871" s="1"/>
      <c r="D871" s="3"/>
    </row>
    <row r="872" spans="1:4" ht="15.75" customHeight="1" x14ac:dyDescent="0.3">
      <c r="A872" s="2">
        <v>30712161767</v>
      </c>
      <c r="B872" s="3" t="s">
        <v>916</v>
      </c>
      <c r="C872" s="1"/>
      <c r="D872" s="3"/>
    </row>
    <row r="873" spans="1:4" ht="15.75" customHeight="1" x14ac:dyDescent="0.3">
      <c r="A873" s="2">
        <v>30708161566</v>
      </c>
      <c r="B873" s="3" t="s">
        <v>917</v>
      </c>
      <c r="C873" s="1"/>
      <c r="D873" s="3"/>
    </row>
    <row r="874" spans="1:4" ht="15.75" customHeight="1" x14ac:dyDescent="0.3">
      <c r="A874" s="2">
        <v>30714818615</v>
      </c>
      <c r="B874" s="3" t="s">
        <v>918</v>
      </c>
      <c r="C874" s="1"/>
      <c r="D874" s="3"/>
    </row>
    <row r="875" spans="1:4" ht="15.75" customHeight="1" x14ac:dyDescent="0.3">
      <c r="A875" s="2">
        <v>27277044027</v>
      </c>
      <c r="B875" s="3" t="s">
        <v>919</v>
      </c>
      <c r="C875" s="1" t="s">
        <v>920</v>
      </c>
      <c r="D875" s="3"/>
    </row>
    <row r="876" spans="1:4" ht="15.75" customHeight="1" x14ac:dyDescent="0.3">
      <c r="A876" s="2">
        <v>30712545549</v>
      </c>
      <c r="B876" s="3" t="s">
        <v>921</v>
      </c>
      <c r="C876" s="1" t="s">
        <v>10</v>
      </c>
      <c r="D876" s="3"/>
    </row>
    <row r="877" spans="1:4" ht="15.75" customHeight="1" x14ac:dyDescent="0.3">
      <c r="A877" s="2">
        <v>30711026939</v>
      </c>
      <c r="B877" s="3" t="s">
        <v>922</v>
      </c>
      <c r="C877" s="1" t="s">
        <v>10</v>
      </c>
      <c r="D877" s="3"/>
    </row>
    <row r="878" spans="1:4" ht="15.75" customHeight="1" x14ac:dyDescent="0.3">
      <c r="A878" s="2">
        <v>30504540177</v>
      </c>
      <c r="B878" s="3" t="s">
        <v>923</v>
      </c>
      <c r="C878" s="1" t="s">
        <v>10</v>
      </c>
      <c r="D878" s="3"/>
    </row>
    <row r="879" spans="1:4" ht="15.75" customHeight="1" x14ac:dyDescent="0.3">
      <c r="A879" s="2">
        <v>20162046447</v>
      </c>
      <c r="B879" s="3" t="s">
        <v>924</v>
      </c>
      <c r="C879" s="1" t="s">
        <v>10</v>
      </c>
      <c r="D879" s="3"/>
    </row>
    <row r="880" spans="1:4" ht="15.75" customHeight="1" x14ac:dyDescent="0.3">
      <c r="A880" s="2">
        <v>20083308088</v>
      </c>
      <c r="B880" s="3" t="s">
        <v>925</v>
      </c>
      <c r="C880" s="1" t="s">
        <v>10</v>
      </c>
      <c r="D880" s="3"/>
    </row>
    <row r="881" spans="1:4" ht="15.75" customHeight="1" x14ac:dyDescent="0.3">
      <c r="A881" s="2">
        <v>30712230351</v>
      </c>
      <c r="B881" s="3" t="s">
        <v>926</v>
      </c>
      <c r="C881" s="1" t="s">
        <v>10</v>
      </c>
      <c r="D881" s="3"/>
    </row>
    <row r="882" spans="1:4" ht="15.75" customHeight="1" x14ac:dyDescent="0.3">
      <c r="A882" s="2">
        <v>33508358259</v>
      </c>
      <c r="B882" s="3" t="s">
        <v>927</v>
      </c>
      <c r="C882" s="1" t="s">
        <v>10</v>
      </c>
      <c r="D882" s="3"/>
    </row>
    <row r="883" spans="1:4" ht="15.75" customHeight="1" x14ac:dyDescent="0.3">
      <c r="A883" s="2">
        <v>20389908569</v>
      </c>
      <c r="B883" s="3" t="s">
        <v>121</v>
      </c>
      <c r="C883" s="1" t="s">
        <v>1560</v>
      </c>
      <c r="D883" s="3"/>
    </row>
    <row r="884" spans="1:4" ht="15.75" customHeight="1" x14ac:dyDescent="0.3">
      <c r="A884" s="2">
        <v>27060319559</v>
      </c>
      <c r="B884" s="3" t="s">
        <v>928</v>
      </c>
      <c r="C884" s="1"/>
      <c r="D884" s="3"/>
    </row>
    <row r="885" spans="1:4" ht="15.75" customHeight="1" x14ac:dyDescent="0.3">
      <c r="A885" s="2">
        <v>30648926231</v>
      </c>
      <c r="B885" s="3" t="s">
        <v>929</v>
      </c>
      <c r="C885" s="1" t="s">
        <v>10</v>
      </c>
      <c r="D885" s="3"/>
    </row>
    <row r="886" spans="1:4" ht="15.75" customHeight="1" x14ac:dyDescent="0.3">
      <c r="A886" s="2">
        <v>30716260514</v>
      </c>
      <c r="B886" s="3" t="s">
        <v>930</v>
      </c>
      <c r="C886" s="1" t="s">
        <v>15</v>
      </c>
      <c r="D886" s="3"/>
    </row>
    <row r="887" spans="1:4" ht="15.75" customHeight="1" x14ac:dyDescent="0.3">
      <c r="A887" s="2">
        <v>30712170421</v>
      </c>
      <c r="B887" s="3" t="s">
        <v>931</v>
      </c>
      <c r="C887" s="1" t="s">
        <v>15</v>
      </c>
      <c r="D887" s="3"/>
    </row>
    <row r="888" spans="1:4" ht="15.75" customHeight="1" x14ac:dyDescent="0.3">
      <c r="A888" s="2">
        <v>30715060546</v>
      </c>
      <c r="B888" s="3" t="s">
        <v>932</v>
      </c>
      <c r="C888" s="1" t="s">
        <v>15</v>
      </c>
      <c r="D888" s="3"/>
    </row>
    <row r="889" spans="1:4" ht="15.75" customHeight="1" x14ac:dyDescent="0.3">
      <c r="A889" s="2">
        <v>30711012849</v>
      </c>
      <c r="B889" s="3" t="s">
        <v>933</v>
      </c>
      <c r="C889" s="1" t="s">
        <v>15</v>
      </c>
      <c r="D889" s="3"/>
    </row>
    <row r="890" spans="1:4" ht="15.75" customHeight="1" x14ac:dyDescent="0.3">
      <c r="A890" s="2">
        <v>30505544656</v>
      </c>
      <c r="B890" s="3" t="s">
        <v>934</v>
      </c>
      <c r="C890" s="1" t="s">
        <v>10</v>
      </c>
      <c r="D890" s="3"/>
    </row>
    <row r="891" spans="1:4" ht="15.75" customHeight="1" x14ac:dyDescent="0.3">
      <c r="A891" s="2">
        <v>30716256584</v>
      </c>
      <c r="B891" s="3" t="s">
        <v>935</v>
      </c>
      <c r="C891" s="1" t="s">
        <v>10</v>
      </c>
      <c r="D891" s="3"/>
    </row>
    <row r="892" spans="1:4" ht="15.75" customHeight="1" x14ac:dyDescent="0.3">
      <c r="A892" s="2">
        <v>30613660190</v>
      </c>
      <c r="B892" s="3" t="s">
        <v>936</v>
      </c>
      <c r="C892" s="1" t="s">
        <v>10</v>
      </c>
      <c r="D892" s="3"/>
    </row>
    <row r="893" spans="1:4" ht="15.75" customHeight="1" x14ac:dyDescent="0.3">
      <c r="A893" s="2">
        <v>20663332720</v>
      </c>
      <c r="B893" s="3" t="s">
        <v>851</v>
      </c>
      <c r="C893" s="1" t="s">
        <v>10</v>
      </c>
      <c r="D893" s="3"/>
    </row>
    <row r="894" spans="1:4" ht="15.75" customHeight="1" x14ac:dyDescent="0.3">
      <c r="A894" s="2">
        <v>30570007870</v>
      </c>
      <c r="B894" s="3" t="s">
        <v>937</v>
      </c>
      <c r="C894" s="1"/>
      <c r="D894" s="3"/>
    </row>
    <row r="895" spans="1:4" ht="15.75" customHeight="1" x14ac:dyDescent="0.3">
      <c r="A895" s="2">
        <v>20338126922</v>
      </c>
      <c r="B895" s="3" t="s">
        <v>938</v>
      </c>
      <c r="C895" s="1"/>
      <c r="D895" s="3"/>
    </row>
    <row r="896" spans="1:4" ht="15.75" customHeight="1" x14ac:dyDescent="0.3">
      <c r="A896" s="2">
        <v>30717042766</v>
      </c>
      <c r="B896" s="3" t="s">
        <v>939</v>
      </c>
      <c r="C896" s="1" t="s">
        <v>7</v>
      </c>
      <c r="D896" s="3"/>
    </row>
    <row r="897" spans="1:4" ht="15.75" customHeight="1" x14ac:dyDescent="0.3">
      <c r="A897" s="2">
        <v>30715204025</v>
      </c>
      <c r="B897" s="3" t="s">
        <v>940</v>
      </c>
      <c r="C897" s="1" t="s">
        <v>10</v>
      </c>
      <c r="D897" s="3"/>
    </row>
    <row r="898" spans="1:4" ht="15.75" customHeight="1" x14ac:dyDescent="0.3">
      <c r="A898" s="2">
        <v>20309652771</v>
      </c>
      <c r="B898" s="3" t="s">
        <v>941</v>
      </c>
      <c r="C898" s="1" t="s">
        <v>942</v>
      </c>
      <c r="D898" s="3"/>
    </row>
    <row r="899" spans="1:4" ht="15.75" customHeight="1" x14ac:dyDescent="0.3">
      <c r="A899" s="2">
        <v>30660153744</v>
      </c>
      <c r="B899" s="3" t="s">
        <v>943</v>
      </c>
      <c r="C899" s="1" t="s">
        <v>920</v>
      </c>
      <c r="D899" s="3"/>
    </row>
    <row r="900" spans="1:4" ht="15.75" customHeight="1" x14ac:dyDescent="0.3">
      <c r="A900" s="2">
        <v>30714288470</v>
      </c>
      <c r="B900" s="3" t="s">
        <v>944</v>
      </c>
      <c r="C900" s="1"/>
      <c r="D900" s="3"/>
    </row>
    <row r="901" spans="1:4" ht="15.75" customHeight="1" x14ac:dyDescent="0.3">
      <c r="A901" s="2">
        <v>30551667800</v>
      </c>
      <c r="B901" s="3" t="s">
        <v>945</v>
      </c>
      <c r="C901" s="1" t="s">
        <v>10</v>
      </c>
      <c r="D901" s="3"/>
    </row>
    <row r="902" spans="1:4" ht="15.75" customHeight="1" x14ac:dyDescent="0.3">
      <c r="A902" s="2">
        <v>30716987708</v>
      </c>
      <c r="B902" s="3" t="s">
        <v>946</v>
      </c>
      <c r="C902" s="1" t="s">
        <v>10</v>
      </c>
      <c r="D902" s="3"/>
    </row>
    <row r="903" spans="1:4" ht="15.75" customHeight="1" x14ac:dyDescent="0.3">
      <c r="A903" s="2">
        <v>20221724845</v>
      </c>
      <c r="B903" s="3" t="s">
        <v>947</v>
      </c>
      <c r="C903" s="1" t="s">
        <v>10</v>
      </c>
      <c r="D903" s="3"/>
    </row>
    <row r="904" spans="1:4" ht="15.75" customHeight="1" x14ac:dyDescent="0.3">
      <c r="A904" s="2">
        <v>30715348906</v>
      </c>
      <c r="B904" s="3" t="s">
        <v>948</v>
      </c>
      <c r="C904" s="1" t="s">
        <v>10</v>
      </c>
      <c r="D904" s="3"/>
    </row>
    <row r="905" spans="1:4" ht="15.75" customHeight="1" x14ac:dyDescent="0.3">
      <c r="A905" s="2">
        <v>30715658107</v>
      </c>
      <c r="B905" s="3" t="s">
        <v>949</v>
      </c>
      <c r="C905" s="1" t="s">
        <v>920</v>
      </c>
      <c r="D905" s="3"/>
    </row>
    <row r="906" spans="1:4" ht="15.75" customHeight="1" x14ac:dyDescent="0.3">
      <c r="A906" s="2">
        <v>30706053812</v>
      </c>
      <c r="B906" s="3" t="s">
        <v>950</v>
      </c>
      <c r="C906" s="1"/>
      <c r="D906" s="3"/>
    </row>
    <row r="907" spans="1:4" ht="15.75" customHeight="1" x14ac:dyDescent="0.3">
      <c r="A907" s="2">
        <v>30547242331</v>
      </c>
      <c r="B907" s="3" t="s">
        <v>951</v>
      </c>
      <c r="C907" s="1"/>
      <c r="D907" s="3"/>
    </row>
    <row r="908" spans="1:4" ht="15.75" customHeight="1" x14ac:dyDescent="0.3">
      <c r="A908" s="2">
        <v>30500036393</v>
      </c>
      <c r="B908" s="3" t="s">
        <v>952</v>
      </c>
      <c r="C908" s="1"/>
      <c r="D908" s="3"/>
    </row>
    <row r="909" spans="1:4" ht="15.75" customHeight="1" x14ac:dyDescent="0.3">
      <c r="A909" s="2">
        <v>30715143190</v>
      </c>
      <c r="B909" s="3" t="s">
        <v>953</v>
      </c>
      <c r="C909" s="1"/>
      <c r="D909" s="3"/>
    </row>
    <row r="910" spans="1:4" ht="15.75" customHeight="1" x14ac:dyDescent="0.3">
      <c r="A910" s="2">
        <v>23302230439</v>
      </c>
      <c r="B910" s="3" t="s">
        <v>954</v>
      </c>
      <c r="C910" s="1"/>
      <c r="D910" s="3"/>
    </row>
    <row r="911" spans="1:4" ht="15.75" customHeight="1" x14ac:dyDescent="0.3">
      <c r="A911" s="2">
        <v>30716132303</v>
      </c>
      <c r="B911" s="3" t="s">
        <v>955</v>
      </c>
      <c r="C911" s="1" t="s">
        <v>920</v>
      </c>
      <c r="D911" s="3"/>
    </row>
    <row r="912" spans="1:4" ht="15.75" customHeight="1" x14ac:dyDescent="0.3">
      <c r="A912" s="2">
        <v>30714295957</v>
      </c>
      <c r="B912" s="3" t="s">
        <v>956</v>
      </c>
      <c r="C912" s="1"/>
      <c r="D912" s="3"/>
    </row>
    <row r="913" spans="1:4" ht="15.75" customHeight="1" x14ac:dyDescent="0.3">
      <c r="A913" s="2">
        <v>20304940019</v>
      </c>
      <c r="B913" s="3" t="s">
        <v>957</v>
      </c>
      <c r="C913" s="1"/>
      <c r="D913" s="3"/>
    </row>
    <row r="914" spans="1:4" ht="15.75" customHeight="1" x14ac:dyDescent="0.3">
      <c r="A914" s="2">
        <v>30715267450</v>
      </c>
      <c r="B914" s="3" t="s">
        <v>958</v>
      </c>
      <c r="C914" s="1"/>
      <c r="D914" s="3"/>
    </row>
    <row r="915" spans="1:4" ht="15.75" customHeight="1" x14ac:dyDescent="0.3">
      <c r="A915" s="2">
        <v>30708338156</v>
      </c>
      <c r="B915" s="3" t="s">
        <v>959</v>
      </c>
      <c r="C915" s="1"/>
      <c r="D915" s="3"/>
    </row>
    <row r="916" spans="1:4" ht="15.75" customHeight="1" x14ac:dyDescent="0.3">
      <c r="A916" s="2">
        <v>24252578532</v>
      </c>
      <c r="B916" s="3" t="s">
        <v>960</v>
      </c>
      <c r="C916" s="1"/>
      <c r="D916" s="3"/>
    </row>
    <row r="917" spans="1:4" ht="15.75" customHeight="1" x14ac:dyDescent="0.3">
      <c r="A917" s="2">
        <v>30708332328</v>
      </c>
      <c r="B917" s="3" t="s">
        <v>961</v>
      </c>
      <c r="C917" s="1"/>
      <c r="D917" s="3"/>
    </row>
    <row r="918" spans="1:4" ht="15.75" customHeight="1" x14ac:dyDescent="0.3">
      <c r="A918" s="2">
        <v>30715153595</v>
      </c>
      <c r="B918" s="3" t="s">
        <v>962</v>
      </c>
      <c r="C918" s="1" t="s">
        <v>10</v>
      </c>
      <c r="D918" s="3"/>
    </row>
    <row r="919" spans="1:4" ht="15.75" customHeight="1" x14ac:dyDescent="0.3">
      <c r="A919" s="2">
        <v>27296000634</v>
      </c>
      <c r="B919" s="3" t="s">
        <v>963</v>
      </c>
      <c r="C919" s="1"/>
      <c r="D919" s="3"/>
    </row>
    <row r="920" spans="1:4" ht="15.75" customHeight="1" x14ac:dyDescent="0.3">
      <c r="A920" s="2">
        <v>20122776477</v>
      </c>
      <c r="B920" s="3" t="s">
        <v>964</v>
      </c>
      <c r="C920" s="1"/>
      <c r="D920" s="3"/>
    </row>
    <row r="921" spans="1:4" ht="15.75" customHeight="1" x14ac:dyDescent="0.3">
      <c r="A921" s="2">
        <v>20117730337</v>
      </c>
      <c r="B921" s="3" t="s">
        <v>965</v>
      </c>
      <c r="C921" s="1"/>
      <c r="D921" s="3"/>
    </row>
    <row r="922" spans="1:4" ht="15.75" customHeight="1" x14ac:dyDescent="0.3">
      <c r="A922" s="2">
        <v>30710255373</v>
      </c>
      <c r="B922" s="3" t="s">
        <v>966</v>
      </c>
      <c r="C922" s="1"/>
      <c r="D922" s="3"/>
    </row>
    <row r="923" spans="1:4" ht="15.75" customHeight="1" x14ac:dyDescent="0.3">
      <c r="A923" s="2">
        <v>30709273309</v>
      </c>
      <c r="B923" s="3" t="s">
        <v>967</v>
      </c>
      <c r="C923" s="1"/>
      <c r="D923" s="3"/>
    </row>
    <row r="924" spans="1:4" ht="15.75" customHeight="1" x14ac:dyDescent="0.3">
      <c r="A924" s="2">
        <v>30709218286</v>
      </c>
      <c r="B924" s="3" t="s">
        <v>968</v>
      </c>
      <c r="C924" s="1"/>
      <c r="D924" s="3"/>
    </row>
    <row r="925" spans="1:4" ht="15.75" customHeight="1" x14ac:dyDescent="0.3">
      <c r="A925" s="2">
        <v>30709793841</v>
      </c>
      <c r="B925" s="3" t="s">
        <v>969</v>
      </c>
      <c r="C925" s="1"/>
      <c r="D925" s="3"/>
    </row>
    <row r="926" spans="1:4" ht="15.75" customHeight="1" x14ac:dyDescent="0.3">
      <c r="A926" s="2">
        <v>23137564289</v>
      </c>
      <c r="B926" s="3" t="s">
        <v>970</v>
      </c>
      <c r="C926" s="1"/>
      <c r="D926" s="3"/>
    </row>
    <row r="927" spans="1:4" ht="15.75" customHeight="1" x14ac:dyDescent="0.3">
      <c r="A927" s="2">
        <v>30708717335</v>
      </c>
      <c r="B927" s="3" t="s">
        <v>971</v>
      </c>
      <c r="C927" s="1"/>
      <c r="D927" s="3"/>
    </row>
    <row r="928" spans="1:4" ht="15.75" customHeight="1" x14ac:dyDescent="0.3">
      <c r="A928" s="2">
        <v>30714947695</v>
      </c>
      <c r="B928" s="3" t="s">
        <v>972</v>
      </c>
      <c r="C928" s="1"/>
      <c r="D928" s="3"/>
    </row>
    <row r="929" spans="1:4" ht="15.75" customHeight="1" x14ac:dyDescent="0.3">
      <c r="A929" s="2">
        <v>33606956849</v>
      </c>
      <c r="B929" s="3" t="s">
        <v>973</v>
      </c>
      <c r="C929" s="1"/>
      <c r="D929" s="3"/>
    </row>
    <row r="930" spans="1:4" ht="15.75" customHeight="1" x14ac:dyDescent="0.3">
      <c r="A930" s="2">
        <v>30717053377</v>
      </c>
      <c r="B930" s="3" t="s">
        <v>974</v>
      </c>
      <c r="C930" s="1"/>
      <c r="D930" s="3"/>
    </row>
    <row r="931" spans="1:4" ht="15.75" customHeight="1" x14ac:dyDescent="0.3">
      <c r="A931" s="2">
        <v>20233336735</v>
      </c>
      <c r="B931" s="3" t="s">
        <v>975</v>
      </c>
      <c r="C931" s="1"/>
      <c r="D931" s="3"/>
    </row>
    <row r="932" spans="1:4" ht="15.75" customHeight="1" x14ac:dyDescent="0.3">
      <c r="A932" s="2">
        <v>30712019359</v>
      </c>
      <c r="B932" s="3" t="s">
        <v>976</v>
      </c>
      <c r="C932" s="1"/>
      <c r="D932" s="3"/>
    </row>
    <row r="933" spans="1:4" ht="15.75" customHeight="1" x14ac:dyDescent="0.3">
      <c r="A933" s="2">
        <v>30547751252</v>
      </c>
      <c r="B933" s="3" t="s">
        <v>977</v>
      </c>
      <c r="C933" s="1"/>
      <c r="D933" s="3"/>
    </row>
    <row r="934" spans="1:4" ht="15.75" customHeight="1" x14ac:dyDescent="0.3">
      <c r="A934" s="2">
        <v>30518878324</v>
      </c>
      <c r="B934" s="3" t="s">
        <v>978</v>
      </c>
      <c r="C934" s="1"/>
      <c r="D934" s="3"/>
    </row>
    <row r="935" spans="1:4" ht="15.75" customHeight="1" x14ac:dyDescent="0.3">
      <c r="A935" s="2">
        <v>27048204762</v>
      </c>
      <c r="B935" s="3" t="s">
        <v>979</v>
      </c>
      <c r="C935" s="1"/>
      <c r="D935" s="3"/>
    </row>
    <row r="936" spans="1:4" ht="15.75" customHeight="1" x14ac:dyDescent="0.3">
      <c r="A936" s="2">
        <v>20268252585</v>
      </c>
      <c r="B936" s="3" t="s">
        <v>980</v>
      </c>
      <c r="C936" s="1"/>
      <c r="D936" s="3"/>
    </row>
    <row r="937" spans="1:4" ht="15.75" customHeight="1" x14ac:dyDescent="0.3">
      <c r="A937" s="2">
        <v>30715413678</v>
      </c>
      <c r="B937" s="3" t="s">
        <v>981</v>
      </c>
      <c r="C937" s="1"/>
      <c r="D937" s="3"/>
    </row>
    <row r="938" spans="1:4" ht="15.75" customHeight="1" x14ac:dyDescent="0.3">
      <c r="A938" s="2">
        <v>33710384229</v>
      </c>
      <c r="B938" s="3" t="s">
        <v>982</v>
      </c>
      <c r="C938" s="1"/>
      <c r="D938" s="3"/>
    </row>
    <row r="939" spans="1:4" ht="15.75" customHeight="1" x14ac:dyDescent="0.3">
      <c r="A939" s="2">
        <v>23218331939</v>
      </c>
      <c r="B939" s="3" t="s">
        <v>983</v>
      </c>
      <c r="C939" s="1"/>
      <c r="D939" s="3"/>
    </row>
    <row r="940" spans="1:4" ht="15.75" customHeight="1" x14ac:dyDescent="0.3">
      <c r="A940" s="2">
        <v>30629246076</v>
      </c>
      <c r="B940" s="3" t="s">
        <v>984</v>
      </c>
      <c r="C940" s="1"/>
      <c r="D940" s="3"/>
    </row>
    <row r="941" spans="1:4" ht="15.75" customHeight="1" x14ac:dyDescent="0.3">
      <c r="A941" s="2">
        <v>33715657479</v>
      </c>
      <c r="B941" s="3" t="s">
        <v>985</v>
      </c>
      <c r="C941" s="1"/>
      <c r="D941" s="3"/>
    </row>
    <row r="942" spans="1:4" ht="15.75" customHeight="1" x14ac:dyDescent="0.3">
      <c r="A942" s="2">
        <v>20268893777</v>
      </c>
      <c r="B942" s="3" t="s">
        <v>986</v>
      </c>
      <c r="C942" s="1"/>
      <c r="D942" s="3"/>
    </row>
    <row r="943" spans="1:4" ht="15.75" customHeight="1" x14ac:dyDescent="0.3">
      <c r="A943" s="2">
        <v>30715891154</v>
      </c>
      <c r="B943" s="3" t="s">
        <v>987</v>
      </c>
      <c r="C943" s="1"/>
      <c r="D943" s="3"/>
    </row>
    <row r="944" spans="1:4" ht="15.75" customHeight="1" x14ac:dyDescent="0.3">
      <c r="A944" s="2">
        <v>30686489325</v>
      </c>
      <c r="B944" s="3" t="s">
        <v>988</v>
      </c>
      <c r="C944" s="1"/>
      <c r="D944" s="3"/>
    </row>
    <row r="945" spans="1:4" ht="15.75" customHeight="1" x14ac:dyDescent="0.3">
      <c r="A945" s="2">
        <v>30716995883</v>
      </c>
      <c r="B945" s="3" t="s">
        <v>989</v>
      </c>
      <c r="C945" s="1" t="s">
        <v>942</v>
      </c>
      <c r="D945" s="3"/>
    </row>
    <row r="946" spans="1:4" ht="15.75" customHeight="1" x14ac:dyDescent="0.3">
      <c r="A946" s="2">
        <v>30717544834</v>
      </c>
      <c r="B946" s="3" t="s">
        <v>990</v>
      </c>
      <c r="C946" s="1"/>
      <c r="D946" s="3"/>
    </row>
    <row r="947" spans="1:4" ht="15.75" customHeight="1" x14ac:dyDescent="0.3">
      <c r="A947" s="2">
        <v>30619020134</v>
      </c>
      <c r="B947" s="3" t="s">
        <v>991</v>
      </c>
      <c r="C947" s="1"/>
      <c r="D947" s="3"/>
    </row>
    <row r="948" spans="1:4" ht="15.75" customHeight="1" x14ac:dyDescent="0.3">
      <c r="A948" s="2">
        <v>30711421323</v>
      </c>
      <c r="B948" s="3" t="s">
        <v>992</v>
      </c>
      <c r="C948" s="1"/>
      <c r="D948" s="3"/>
    </row>
    <row r="949" spans="1:4" ht="15.75" customHeight="1" x14ac:dyDescent="0.3">
      <c r="A949" s="2">
        <v>30715523880</v>
      </c>
      <c r="B949" s="3" t="s">
        <v>993</v>
      </c>
      <c r="C949" s="1"/>
      <c r="D949" s="3"/>
    </row>
    <row r="950" spans="1:4" ht="15.75" customHeight="1" x14ac:dyDescent="0.3">
      <c r="A950" s="2">
        <v>30715111604</v>
      </c>
      <c r="B950" s="3" t="s">
        <v>994</v>
      </c>
      <c r="C950" s="1"/>
      <c r="D950" s="3"/>
    </row>
    <row r="951" spans="1:4" ht="15.75" customHeight="1" x14ac:dyDescent="0.3">
      <c r="A951" s="2">
        <v>20280218848</v>
      </c>
      <c r="B951" s="3" t="s">
        <v>995</v>
      </c>
      <c r="C951" s="1"/>
      <c r="D951" s="3"/>
    </row>
    <row r="952" spans="1:4" ht="15.75" customHeight="1" x14ac:dyDescent="0.3">
      <c r="A952" s="2">
        <v>20116347742</v>
      </c>
      <c r="B952" s="3" t="s">
        <v>996</v>
      </c>
      <c r="C952" s="1"/>
      <c r="D952" s="3"/>
    </row>
    <row r="953" spans="1:4" ht="15.75" customHeight="1" x14ac:dyDescent="0.3">
      <c r="A953" s="2">
        <v>30711541140</v>
      </c>
      <c r="B953" s="3" t="s">
        <v>997</v>
      </c>
      <c r="C953" s="1"/>
      <c r="D953" s="3"/>
    </row>
    <row r="954" spans="1:4" ht="15.75" customHeight="1" x14ac:dyDescent="0.3">
      <c r="A954" s="2">
        <v>30716885050</v>
      </c>
      <c r="B954" s="3" t="s">
        <v>998</v>
      </c>
      <c r="C954" s="1"/>
      <c r="D954" s="3"/>
    </row>
    <row r="955" spans="1:4" ht="15.75" customHeight="1" x14ac:dyDescent="0.3">
      <c r="A955" s="2">
        <v>30544711608</v>
      </c>
      <c r="B955" s="3" t="s">
        <v>999</v>
      </c>
      <c r="C955" s="1"/>
      <c r="D955" s="3"/>
    </row>
    <row r="956" spans="1:4" ht="15.75" customHeight="1" x14ac:dyDescent="0.3">
      <c r="A956" s="2">
        <v>30708218185</v>
      </c>
      <c r="B956" s="3" t="s">
        <v>1000</v>
      </c>
      <c r="C956" s="1"/>
      <c r="D956" s="3"/>
    </row>
    <row r="957" spans="1:4" ht="15.75" customHeight="1" x14ac:dyDescent="0.3">
      <c r="A957" s="2">
        <v>30577207190</v>
      </c>
      <c r="B957" s="3" t="s">
        <v>1001</v>
      </c>
      <c r="C957" s="1"/>
      <c r="D957" s="3"/>
    </row>
    <row r="958" spans="1:4" ht="15.75" customHeight="1" x14ac:dyDescent="0.3">
      <c r="A958" s="2">
        <v>20341465134</v>
      </c>
      <c r="B958" s="3" t="s">
        <v>1002</v>
      </c>
      <c r="C958" s="1" t="s">
        <v>7</v>
      </c>
      <c r="D958" s="3" t="s">
        <v>1003</v>
      </c>
    </row>
    <row r="959" spans="1:4" ht="15.75" customHeight="1" x14ac:dyDescent="0.3">
      <c r="A959" s="2">
        <v>20341462933</v>
      </c>
      <c r="B959" s="3" t="s">
        <v>1004</v>
      </c>
      <c r="C959" s="1" t="s">
        <v>1005</v>
      </c>
      <c r="D959" s="3" t="s">
        <v>1006</v>
      </c>
    </row>
    <row r="960" spans="1:4" ht="15.75" customHeight="1" x14ac:dyDescent="0.3">
      <c r="A960" s="2">
        <v>27173820866</v>
      </c>
      <c r="B960" s="3" t="s">
        <v>1007</v>
      </c>
      <c r="C960" s="1" t="s">
        <v>1558</v>
      </c>
      <c r="D960" s="3"/>
    </row>
    <row r="961" spans="1:4" ht="15.75" customHeight="1" x14ac:dyDescent="0.3">
      <c r="A961" s="2">
        <v>20244271740</v>
      </c>
      <c r="B961" s="3" t="s">
        <v>1008</v>
      </c>
      <c r="C961" s="1"/>
      <c r="D961" s="3"/>
    </row>
    <row r="962" spans="1:4" ht="15.75" customHeight="1" x14ac:dyDescent="0.3">
      <c r="A962" s="2">
        <v>20403931420</v>
      </c>
      <c r="B962" s="3" t="s">
        <v>1009</v>
      </c>
      <c r="C962" s="1" t="s">
        <v>1558</v>
      </c>
      <c r="D962" s="3"/>
    </row>
    <row r="963" spans="1:4" ht="15.75" customHeight="1" x14ac:dyDescent="0.3">
      <c r="A963" s="2">
        <v>23326777269</v>
      </c>
      <c r="B963" s="3" t="s">
        <v>1010</v>
      </c>
      <c r="C963" s="1"/>
      <c r="D963" s="3"/>
    </row>
    <row r="964" spans="1:4" ht="15.75" customHeight="1" x14ac:dyDescent="0.3">
      <c r="A964" s="2">
        <v>20417805878</v>
      </c>
      <c r="B964" s="3" t="s">
        <v>1011</v>
      </c>
      <c r="C964" s="1"/>
      <c r="D964" s="3"/>
    </row>
    <row r="965" spans="1:4" ht="15.75" customHeight="1" x14ac:dyDescent="0.3">
      <c r="A965" s="2">
        <v>30709953482</v>
      </c>
      <c r="B965" s="3" t="s">
        <v>1012</v>
      </c>
      <c r="C965" s="1" t="s">
        <v>920</v>
      </c>
      <c r="D965" s="3"/>
    </row>
    <row r="966" spans="1:4" ht="15.75" customHeight="1" x14ac:dyDescent="0.3">
      <c r="A966" s="2">
        <v>30716998718</v>
      </c>
      <c r="B966" s="3" t="s">
        <v>1013</v>
      </c>
      <c r="C966" s="1"/>
      <c r="D966" s="3"/>
    </row>
    <row r="967" spans="1:4" ht="15.75" customHeight="1" x14ac:dyDescent="0.3">
      <c r="A967" s="2">
        <v>30707135596</v>
      </c>
      <c r="B967" s="3" t="s">
        <v>1014</v>
      </c>
      <c r="C967" s="1" t="s">
        <v>46</v>
      </c>
      <c r="D967" s="3"/>
    </row>
    <row r="968" spans="1:4" ht="15.75" customHeight="1" x14ac:dyDescent="0.3">
      <c r="A968" s="2">
        <v>30715402765</v>
      </c>
      <c r="B968" s="3" t="s">
        <v>1015</v>
      </c>
      <c r="C968" s="1" t="s">
        <v>920</v>
      </c>
      <c r="D968" s="3"/>
    </row>
    <row r="969" spans="1:4" ht="15.75" customHeight="1" x14ac:dyDescent="0.3">
      <c r="A969" s="2">
        <v>30594494187</v>
      </c>
      <c r="B969" s="3" t="s">
        <v>1016</v>
      </c>
      <c r="C969" s="1" t="s">
        <v>1555</v>
      </c>
      <c r="D969" s="3"/>
    </row>
    <row r="970" spans="1:4" ht="15.75" customHeight="1" x14ac:dyDescent="0.3">
      <c r="A970" s="2">
        <v>20309151489</v>
      </c>
      <c r="B970" s="3" t="s">
        <v>1017</v>
      </c>
      <c r="C970" s="1"/>
      <c r="D970" s="3"/>
    </row>
    <row r="971" spans="1:4" ht="15.75" customHeight="1" x14ac:dyDescent="0.3">
      <c r="A971" s="2">
        <v>20299039367</v>
      </c>
      <c r="B971" s="3" t="s">
        <v>1018</v>
      </c>
      <c r="C971" s="1"/>
      <c r="D971" s="3"/>
    </row>
    <row r="972" spans="1:4" ht="15.75" customHeight="1" x14ac:dyDescent="0.3">
      <c r="A972" s="2">
        <v>20284880049</v>
      </c>
      <c r="B972" s="3" t="s">
        <v>1019</v>
      </c>
      <c r="C972" s="1" t="s">
        <v>1567</v>
      </c>
      <c r="D972" s="3"/>
    </row>
    <row r="973" spans="1:4" ht="15.75" customHeight="1" x14ac:dyDescent="0.3">
      <c r="A973" s="2">
        <v>30582605021</v>
      </c>
      <c r="B973" s="3" t="s">
        <v>1020</v>
      </c>
      <c r="C973" s="1"/>
      <c r="D973" s="3"/>
    </row>
    <row r="974" spans="1:4" ht="15.75" customHeight="1" x14ac:dyDescent="0.3">
      <c r="A974" s="2">
        <v>27217954369</v>
      </c>
      <c r="B974" s="3" t="s">
        <v>1021</v>
      </c>
      <c r="C974" s="1"/>
      <c r="D974" s="3"/>
    </row>
    <row r="975" spans="1:4" ht="15.75" customHeight="1" x14ac:dyDescent="0.3">
      <c r="A975" s="2">
        <v>20319700081</v>
      </c>
      <c r="B975" s="3" t="s">
        <v>1022</v>
      </c>
      <c r="C975" s="1"/>
      <c r="D975" s="3"/>
    </row>
    <row r="976" spans="1:4" ht="15.75" customHeight="1" x14ac:dyDescent="0.3">
      <c r="A976" s="2">
        <v>30710730845</v>
      </c>
      <c r="B976" s="3" t="s">
        <v>1023</v>
      </c>
      <c r="C976" s="1" t="s">
        <v>942</v>
      </c>
      <c r="D976" s="3"/>
    </row>
    <row r="977" spans="1:4" ht="15.75" customHeight="1" x14ac:dyDescent="0.3">
      <c r="A977" s="2">
        <v>30709511846</v>
      </c>
      <c r="B977" s="3" t="s">
        <v>1024</v>
      </c>
      <c r="C977" s="1" t="s">
        <v>1564</v>
      </c>
      <c r="D977" s="3"/>
    </row>
    <row r="978" spans="1:4" ht="15.75" customHeight="1" x14ac:dyDescent="0.3">
      <c r="A978" s="2">
        <v>30709788635</v>
      </c>
      <c r="B978" s="3" t="s">
        <v>1025</v>
      </c>
      <c r="C978" s="1" t="s">
        <v>1567</v>
      </c>
      <c r="D978" s="3"/>
    </row>
    <row r="979" spans="1:4" ht="15.75" customHeight="1" x14ac:dyDescent="0.3">
      <c r="A979" s="2">
        <v>30714971782</v>
      </c>
      <c r="B979" s="3" t="s">
        <v>1026</v>
      </c>
      <c r="C979" s="1"/>
      <c r="D979" s="3"/>
    </row>
    <row r="980" spans="1:4" ht="15.75" customHeight="1" x14ac:dyDescent="0.3">
      <c r="A980" s="2">
        <v>20278028810</v>
      </c>
      <c r="B980" s="3" t="s">
        <v>1027</v>
      </c>
      <c r="C980" s="1"/>
      <c r="D980" s="3"/>
    </row>
    <row r="981" spans="1:4" ht="15.75" customHeight="1" x14ac:dyDescent="0.3">
      <c r="A981" s="2">
        <v>30580111315</v>
      </c>
      <c r="B981" s="3" t="s">
        <v>1028</v>
      </c>
      <c r="C981" s="1" t="s">
        <v>1555</v>
      </c>
      <c r="D981" s="3"/>
    </row>
    <row r="982" spans="1:4" ht="15.75" customHeight="1" x14ac:dyDescent="0.3">
      <c r="A982" s="2">
        <v>30709665967</v>
      </c>
      <c r="B982" s="3" t="s">
        <v>1029</v>
      </c>
      <c r="C982" s="1" t="s">
        <v>942</v>
      </c>
      <c r="D982" s="3"/>
    </row>
    <row r="983" spans="1:4" ht="15.75" customHeight="1" x14ac:dyDescent="0.3">
      <c r="A983" s="2">
        <v>30631047145</v>
      </c>
      <c r="B983" s="3" t="s">
        <v>1030</v>
      </c>
      <c r="C983" s="1" t="s">
        <v>942</v>
      </c>
      <c r="D983" s="3"/>
    </row>
    <row r="984" spans="1:4" ht="15.75" customHeight="1" x14ac:dyDescent="0.3">
      <c r="A984" s="2">
        <v>30709131733</v>
      </c>
      <c r="B984" s="3" t="s">
        <v>1031</v>
      </c>
      <c r="C984" s="1" t="s">
        <v>942</v>
      </c>
      <c r="D984" s="3"/>
    </row>
    <row r="985" spans="1:4" ht="15.75" customHeight="1" x14ac:dyDescent="0.3">
      <c r="A985" s="2">
        <v>30678814357</v>
      </c>
      <c r="B985" s="3" t="s">
        <v>1032</v>
      </c>
      <c r="C985" s="1" t="s">
        <v>46</v>
      </c>
      <c r="D985" s="3"/>
    </row>
    <row r="986" spans="1:4" ht="15.75" customHeight="1" x14ac:dyDescent="0.3">
      <c r="A986" s="2">
        <v>20247551337</v>
      </c>
      <c r="B986" s="3" t="s">
        <v>1033</v>
      </c>
      <c r="C986" s="1"/>
      <c r="D986" s="3"/>
    </row>
    <row r="987" spans="1:4" ht="15.75" customHeight="1" x14ac:dyDescent="0.3">
      <c r="A987" s="2">
        <v>20125142851</v>
      </c>
      <c r="B987" s="3" t="s">
        <v>1034</v>
      </c>
      <c r="C987" s="1" t="s">
        <v>942</v>
      </c>
      <c r="D987" s="3"/>
    </row>
    <row r="988" spans="1:4" ht="15.75" customHeight="1" x14ac:dyDescent="0.3">
      <c r="A988" s="2">
        <v>30717334384</v>
      </c>
      <c r="B988" s="3" t="s">
        <v>1035</v>
      </c>
      <c r="C988" s="1"/>
      <c r="D988" s="3"/>
    </row>
    <row r="989" spans="1:4" ht="15.75" customHeight="1" x14ac:dyDescent="0.3">
      <c r="A989" s="2">
        <v>33715571639</v>
      </c>
      <c r="B989" s="3" t="s">
        <v>1036</v>
      </c>
      <c r="C989" s="1" t="s">
        <v>1554</v>
      </c>
      <c r="D989" s="3"/>
    </row>
    <row r="990" spans="1:4" ht="15.75" customHeight="1" x14ac:dyDescent="0.3">
      <c r="A990" s="2">
        <v>20296550184</v>
      </c>
      <c r="B990" s="3" t="s">
        <v>1037</v>
      </c>
      <c r="C990" s="1" t="s">
        <v>1566</v>
      </c>
      <c r="D990" s="3"/>
    </row>
    <row r="991" spans="1:4" ht="15.75" customHeight="1" x14ac:dyDescent="0.3">
      <c r="A991" s="2">
        <v>27148854764</v>
      </c>
      <c r="B991" s="3" t="s">
        <v>1038</v>
      </c>
      <c r="C991" s="1"/>
      <c r="D991" s="3"/>
    </row>
    <row r="992" spans="1:4" ht="15.75" customHeight="1" x14ac:dyDescent="0.3">
      <c r="A992" s="2">
        <v>30707756434</v>
      </c>
      <c r="B992" s="3" t="s">
        <v>1039</v>
      </c>
      <c r="C992" s="1" t="s">
        <v>7</v>
      </c>
      <c r="D992" s="3"/>
    </row>
    <row r="993" spans="1:4" ht="15.75" customHeight="1" x14ac:dyDescent="0.3">
      <c r="A993" s="2">
        <v>30715060759</v>
      </c>
      <c r="B993" s="3" t="s">
        <v>1040</v>
      </c>
      <c r="C993" s="1"/>
      <c r="D993" s="3"/>
    </row>
    <row r="994" spans="1:4" ht="15.75" customHeight="1" x14ac:dyDescent="0.3">
      <c r="A994" s="2">
        <v>30708622423</v>
      </c>
      <c r="B994" s="3" t="s">
        <v>1041</v>
      </c>
      <c r="C994" s="1"/>
      <c r="D994" s="3"/>
    </row>
    <row r="995" spans="1:4" ht="15.75" customHeight="1" x14ac:dyDescent="0.3">
      <c r="A995" s="2">
        <v>30535770294</v>
      </c>
      <c r="B995" s="3" t="s">
        <v>1042</v>
      </c>
      <c r="C995" s="1"/>
      <c r="D995" s="3"/>
    </row>
    <row r="996" spans="1:4" ht="15.75" customHeight="1" x14ac:dyDescent="0.3">
      <c r="A996" s="2">
        <v>30710212127</v>
      </c>
      <c r="B996" s="3" t="s">
        <v>1043</v>
      </c>
      <c r="C996" s="1" t="s">
        <v>942</v>
      </c>
      <c r="D996" s="3"/>
    </row>
    <row r="997" spans="1:4" ht="15.75" customHeight="1" x14ac:dyDescent="0.3">
      <c r="A997" s="2">
        <v>30628274327</v>
      </c>
      <c r="B997" s="3" t="s">
        <v>1044</v>
      </c>
      <c r="C997" s="1"/>
      <c r="D997" s="3"/>
    </row>
    <row r="998" spans="1:4" ht="15.75" customHeight="1" x14ac:dyDescent="0.3">
      <c r="A998" s="2">
        <v>33717088269</v>
      </c>
      <c r="B998" s="3" t="s">
        <v>1045</v>
      </c>
      <c r="C998" s="1"/>
      <c r="D998" s="3"/>
    </row>
    <row r="999" spans="1:4" ht="15.75" customHeight="1" x14ac:dyDescent="0.3">
      <c r="A999" s="2">
        <v>33708467699</v>
      </c>
      <c r="B999" s="3" t="s">
        <v>1046</v>
      </c>
      <c r="C999" s="1"/>
      <c r="D999" s="3"/>
    </row>
    <row r="1000" spans="1:4" ht="15.75" customHeight="1" x14ac:dyDescent="0.3">
      <c r="A1000" s="2">
        <v>30628274327</v>
      </c>
      <c r="B1000" s="3" t="s">
        <v>1044</v>
      </c>
      <c r="C1000" s="1"/>
      <c r="D1000" s="3"/>
    </row>
    <row r="1001" spans="1:4" ht="15.75" customHeight="1" x14ac:dyDescent="0.3">
      <c r="A1001" s="2">
        <v>27134325327</v>
      </c>
      <c r="B1001" s="3" t="s">
        <v>1047</v>
      </c>
      <c r="C1001" s="1"/>
      <c r="D1001" s="3"/>
    </row>
    <row r="1002" spans="1:4" ht="15.75" customHeight="1" x14ac:dyDescent="0.3">
      <c r="A1002" s="2">
        <v>30708844248</v>
      </c>
      <c r="B1002" s="3" t="s">
        <v>1048</v>
      </c>
      <c r="C1002" s="1"/>
      <c r="D1002" s="3"/>
    </row>
    <row r="1003" spans="1:4" ht="15.75" customHeight="1" x14ac:dyDescent="0.3">
      <c r="A1003" s="2">
        <v>30638318470</v>
      </c>
      <c r="B1003" s="3" t="s">
        <v>1049</v>
      </c>
      <c r="C1003" s="1"/>
      <c r="D1003" s="3"/>
    </row>
    <row r="1004" spans="1:4" ht="15.75" customHeight="1" x14ac:dyDescent="0.3">
      <c r="A1004" s="2">
        <v>30628274327</v>
      </c>
      <c r="B1004" s="3" t="s">
        <v>1044</v>
      </c>
      <c r="C1004" s="1"/>
      <c r="D1004" s="3"/>
    </row>
    <row r="1005" spans="1:4" ht="15.75" customHeight="1" x14ac:dyDescent="0.3">
      <c r="A1005" s="2">
        <v>30712179909</v>
      </c>
      <c r="B1005" s="3" t="s">
        <v>1050</v>
      </c>
      <c r="C1005" s="1" t="s">
        <v>908</v>
      </c>
      <c r="D1005" s="3"/>
    </row>
    <row r="1006" spans="1:4" ht="15.75" customHeight="1" x14ac:dyDescent="0.3">
      <c r="A1006" s="2">
        <v>30707835563</v>
      </c>
      <c r="B1006" s="3" t="s">
        <v>1051</v>
      </c>
      <c r="C1006" s="1"/>
      <c r="D1006" s="3"/>
    </row>
    <row r="1007" spans="1:4" ht="15.75" customHeight="1" x14ac:dyDescent="0.3">
      <c r="A1007" s="2">
        <v>27271779289</v>
      </c>
      <c r="B1007" s="3" t="s">
        <v>1052</v>
      </c>
      <c r="C1007" s="1"/>
      <c r="D1007" s="3"/>
    </row>
    <row r="1008" spans="1:4" ht="15.75" customHeight="1" x14ac:dyDescent="0.3">
      <c r="A1008" s="2">
        <v>20921575743</v>
      </c>
      <c r="B1008" s="3" t="s">
        <v>1053</v>
      </c>
      <c r="C1008" s="1" t="s">
        <v>1556</v>
      </c>
      <c r="D1008" s="3"/>
    </row>
    <row r="1009" spans="1:4" ht="15.75" customHeight="1" x14ac:dyDescent="0.3">
      <c r="A1009" s="2">
        <v>30717014754</v>
      </c>
      <c r="B1009" s="3" t="s">
        <v>1054</v>
      </c>
      <c r="C1009" s="1"/>
      <c r="D1009" s="3"/>
    </row>
    <row r="1010" spans="1:4" ht="15.75" customHeight="1" x14ac:dyDescent="0.3">
      <c r="A1010" s="2">
        <v>30708166673</v>
      </c>
      <c r="B1010" s="3" t="s">
        <v>1055</v>
      </c>
      <c r="C1010" s="1"/>
      <c r="D1010" s="3"/>
    </row>
    <row r="1011" spans="1:4" ht="15.75" customHeight="1" x14ac:dyDescent="0.3">
      <c r="A1011" s="2">
        <v>30715864262</v>
      </c>
      <c r="B1011" s="3" t="s">
        <v>1056</v>
      </c>
      <c r="C1011" s="1" t="s">
        <v>5</v>
      </c>
      <c r="D1011" s="3"/>
    </row>
    <row r="1012" spans="1:4" ht="15.75" customHeight="1" x14ac:dyDescent="0.3">
      <c r="A1012" s="2">
        <v>30711726019</v>
      </c>
      <c r="B1012" s="3" t="s">
        <v>1057</v>
      </c>
      <c r="C1012" s="1" t="s">
        <v>1555</v>
      </c>
      <c r="D1012" s="3"/>
    </row>
    <row r="1013" spans="1:4" ht="15.75" customHeight="1" x14ac:dyDescent="0.3">
      <c r="A1013" s="2">
        <v>30711782997</v>
      </c>
      <c r="B1013" s="3" t="s">
        <v>1058</v>
      </c>
      <c r="C1013" s="1"/>
      <c r="D1013" s="3"/>
    </row>
    <row r="1014" spans="1:4" ht="15.75" customHeight="1" x14ac:dyDescent="0.3">
      <c r="A1014" s="2">
        <v>30716036711</v>
      </c>
      <c r="B1014" s="3" t="s">
        <v>1059</v>
      </c>
      <c r="C1014" s="1"/>
      <c r="D1014" s="3"/>
    </row>
    <row r="1015" spans="1:4" ht="15.75" customHeight="1" x14ac:dyDescent="0.3">
      <c r="A1015" s="2">
        <v>23287538839</v>
      </c>
      <c r="B1015" s="3" t="s">
        <v>1060</v>
      </c>
      <c r="C1015" s="1"/>
      <c r="D1015" s="3"/>
    </row>
    <row r="1016" spans="1:4" ht="15.75" customHeight="1" x14ac:dyDescent="0.3">
      <c r="A1016" s="2">
        <v>30716401525</v>
      </c>
      <c r="B1016" s="3" t="s">
        <v>1061</v>
      </c>
      <c r="C1016" s="1"/>
      <c r="D1016" s="3"/>
    </row>
    <row r="1017" spans="1:4" ht="15.75" customHeight="1" x14ac:dyDescent="0.3">
      <c r="A1017" s="2">
        <v>30559932236</v>
      </c>
      <c r="B1017" s="3" t="s">
        <v>1062</v>
      </c>
      <c r="C1017" s="1" t="s">
        <v>1566</v>
      </c>
      <c r="D1017" s="3"/>
    </row>
    <row r="1018" spans="1:4" ht="15.75" customHeight="1" x14ac:dyDescent="0.3">
      <c r="A1018" s="2">
        <v>20125142851</v>
      </c>
      <c r="B1018" s="3" t="s">
        <v>1034</v>
      </c>
      <c r="C1018" s="1" t="s">
        <v>942</v>
      </c>
      <c r="D1018" s="3"/>
    </row>
    <row r="1019" spans="1:4" ht="15.75" customHeight="1" x14ac:dyDescent="0.3">
      <c r="A1019" s="2">
        <v>30604942051</v>
      </c>
      <c r="B1019" s="3" t="s">
        <v>1063</v>
      </c>
      <c r="C1019" s="1"/>
      <c r="D1019" s="3"/>
    </row>
    <row r="1020" spans="1:4" ht="15.75" customHeight="1" x14ac:dyDescent="0.3">
      <c r="A1020" s="2">
        <v>20297899830</v>
      </c>
      <c r="B1020" s="3" t="s">
        <v>1064</v>
      </c>
      <c r="C1020" s="1" t="s">
        <v>942</v>
      </c>
      <c r="D1020" s="3"/>
    </row>
    <row r="1021" spans="1:4" ht="15.75" customHeight="1" x14ac:dyDescent="0.3">
      <c r="A1021" s="2">
        <v>33606484599</v>
      </c>
      <c r="B1021" s="3" t="s">
        <v>1065</v>
      </c>
      <c r="C1021" s="1" t="s">
        <v>942</v>
      </c>
      <c r="D1021" s="3"/>
    </row>
    <row r="1022" spans="1:4" ht="15.75" customHeight="1" x14ac:dyDescent="0.3">
      <c r="A1022" s="2">
        <v>30716809893</v>
      </c>
      <c r="B1022" s="3" t="s">
        <v>1066</v>
      </c>
      <c r="C1022" s="1"/>
      <c r="D1022" s="3"/>
    </row>
    <row r="1023" spans="1:4" ht="15.75" customHeight="1" x14ac:dyDescent="0.3">
      <c r="A1023" s="2">
        <v>30717405680</v>
      </c>
      <c r="B1023" s="3" t="s">
        <v>1067</v>
      </c>
      <c r="C1023" s="1"/>
      <c r="D1023" s="3"/>
    </row>
    <row r="1024" spans="1:4" ht="15.75" customHeight="1" x14ac:dyDescent="0.3">
      <c r="A1024" s="2">
        <v>30525558246</v>
      </c>
      <c r="B1024" s="3" t="s">
        <v>1068</v>
      </c>
      <c r="C1024" s="1"/>
      <c r="D1024" s="3"/>
    </row>
    <row r="1025" spans="1:4" ht="15.75" customHeight="1" x14ac:dyDescent="0.3">
      <c r="A1025" s="2">
        <v>30714867322</v>
      </c>
      <c r="B1025" s="3" t="s">
        <v>1069</v>
      </c>
      <c r="C1025" s="1"/>
      <c r="D1025" s="3"/>
    </row>
    <row r="1026" spans="1:4" ht="15.75" customHeight="1" x14ac:dyDescent="0.3">
      <c r="A1026" s="2">
        <v>20259150249</v>
      </c>
      <c r="B1026" s="3" t="s">
        <v>1070</v>
      </c>
      <c r="C1026" s="1"/>
      <c r="D1026" s="3"/>
    </row>
    <row r="1027" spans="1:4" ht="15.75" customHeight="1" x14ac:dyDescent="0.3">
      <c r="A1027" s="2">
        <v>20365938688</v>
      </c>
      <c r="B1027" s="3" t="s">
        <v>1071</v>
      </c>
      <c r="C1027" s="1" t="s">
        <v>1072</v>
      </c>
      <c r="D1027" s="3"/>
    </row>
    <row r="1028" spans="1:4" ht="15.75" customHeight="1" x14ac:dyDescent="0.3">
      <c r="A1028" s="2">
        <v>30554466806</v>
      </c>
      <c r="B1028" s="3" t="s">
        <v>1073</v>
      </c>
      <c r="C1028" s="1" t="s">
        <v>908</v>
      </c>
      <c r="D1028" s="3"/>
    </row>
    <row r="1029" spans="1:4" ht="15.75" customHeight="1" x14ac:dyDescent="0.3">
      <c r="A1029" s="2">
        <v>20338344695</v>
      </c>
      <c r="B1029" s="3" t="s">
        <v>1074</v>
      </c>
      <c r="C1029" s="1" t="s">
        <v>942</v>
      </c>
      <c r="D1029" s="3"/>
    </row>
    <row r="1030" spans="1:4" ht="15.75" customHeight="1" x14ac:dyDescent="0.3">
      <c r="A1030" s="2">
        <v>20136544625</v>
      </c>
      <c r="B1030" s="3" t="s">
        <v>1075</v>
      </c>
      <c r="C1030" s="1" t="s">
        <v>1559</v>
      </c>
      <c r="D1030" s="3"/>
    </row>
    <row r="1031" spans="1:4" ht="15.75" customHeight="1" x14ac:dyDescent="0.3">
      <c r="A1031" s="2">
        <v>27387896150</v>
      </c>
      <c r="B1031" s="3" t="s">
        <v>1076</v>
      </c>
      <c r="C1031" s="1" t="s">
        <v>1077</v>
      </c>
      <c r="D1031" s="3"/>
    </row>
    <row r="1032" spans="1:4" ht="15.75" customHeight="1" x14ac:dyDescent="0.3">
      <c r="A1032" s="2">
        <v>27925308868</v>
      </c>
      <c r="B1032" s="3" t="s">
        <v>1078</v>
      </c>
      <c r="C1032" s="1" t="s">
        <v>920</v>
      </c>
      <c r="D1032" s="3"/>
    </row>
    <row r="1033" spans="1:4" ht="15.75" customHeight="1" x14ac:dyDescent="0.3">
      <c r="A1033" s="2">
        <v>33715179119</v>
      </c>
      <c r="B1033" s="3" t="s">
        <v>1079</v>
      </c>
      <c r="C1033" s="1" t="s">
        <v>1564</v>
      </c>
      <c r="D1033" s="3"/>
    </row>
    <row r="1034" spans="1:4" ht="15.75" customHeight="1" x14ac:dyDescent="0.3">
      <c r="A1034" s="2">
        <v>27125997835</v>
      </c>
      <c r="B1034" s="3" t="s">
        <v>1080</v>
      </c>
      <c r="C1034" s="1" t="s">
        <v>1558</v>
      </c>
      <c r="D1034" s="3"/>
    </row>
    <row r="1035" spans="1:4" ht="15.75" customHeight="1" x14ac:dyDescent="0.3">
      <c r="A1035" s="2">
        <v>55000002223</v>
      </c>
      <c r="B1035" s="3" t="s">
        <v>1081</v>
      </c>
      <c r="C1035" s="1"/>
      <c r="D1035" s="3"/>
    </row>
    <row r="1036" spans="1:4" ht="15.75" customHeight="1" x14ac:dyDescent="0.3">
      <c r="A1036" s="2">
        <v>30707462228</v>
      </c>
      <c r="B1036" s="3" t="s">
        <v>1082</v>
      </c>
      <c r="C1036" s="1"/>
      <c r="D1036" s="3"/>
    </row>
    <row r="1037" spans="1:4" ht="15.75" customHeight="1" x14ac:dyDescent="0.3">
      <c r="A1037" s="2">
        <v>30673387027</v>
      </c>
      <c r="B1037" s="3" t="s">
        <v>1083</v>
      </c>
      <c r="C1037" s="1"/>
      <c r="D1037" s="3"/>
    </row>
    <row r="1038" spans="1:4" ht="15.75" customHeight="1" x14ac:dyDescent="0.3">
      <c r="A1038" s="2">
        <v>30716244330</v>
      </c>
      <c r="B1038" s="3" t="s">
        <v>1084</v>
      </c>
      <c r="C1038" s="1"/>
      <c r="D1038" s="3"/>
    </row>
    <row r="1039" spans="1:4" ht="15.75" customHeight="1" x14ac:dyDescent="0.3">
      <c r="A1039" s="2">
        <v>30716041596</v>
      </c>
      <c r="B1039" s="3" t="s">
        <v>1085</v>
      </c>
      <c r="C1039" s="1"/>
      <c r="D1039" s="3"/>
    </row>
    <row r="1040" spans="1:4" ht="15.75" customHeight="1" x14ac:dyDescent="0.3">
      <c r="A1040" s="2">
        <v>30709917567</v>
      </c>
      <c r="B1040" s="3" t="s">
        <v>1086</v>
      </c>
      <c r="C1040" s="1" t="s">
        <v>176</v>
      </c>
      <c r="D1040" s="3" t="s">
        <v>1006</v>
      </c>
    </row>
    <row r="1041" spans="1:4" ht="15.75" customHeight="1" x14ac:dyDescent="0.3">
      <c r="A1041" s="2">
        <v>30709045632</v>
      </c>
      <c r="B1041" s="3" t="s">
        <v>1087</v>
      </c>
      <c r="C1041" s="1" t="s">
        <v>610</v>
      </c>
      <c r="D1041" s="3" t="s">
        <v>1003</v>
      </c>
    </row>
    <row r="1042" spans="1:4" ht="15.75" customHeight="1" x14ac:dyDescent="0.3">
      <c r="A1042" s="2">
        <v>20348111478</v>
      </c>
      <c r="B1042" s="3" t="s">
        <v>1088</v>
      </c>
      <c r="C1042" s="1" t="s">
        <v>942</v>
      </c>
      <c r="D1042" s="3" t="s">
        <v>1006</v>
      </c>
    </row>
    <row r="1043" spans="1:4" ht="15.75" customHeight="1" x14ac:dyDescent="0.3">
      <c r="A1043" s="2">
        <v>20261680298</v>
      </c>
      <c r="B1043" s="3" t="s">
        <v>1089</v>
      </c>
      <c r="C1043" s="1"/>
      <c r="D1043" s="3"/>
    </row>
    <row r="1044" spans="1:4" ht="15.75" customHeight="1" x14ac:dyDescent="0.3">
      <c r="A1044" s="2">
        <v>30709362875</v>
      </c>
      <c r="B1044" s="3" t="s">
        <v>1090</v>
      </c>
      <c r="C1044" s="1" t="s">
        <v>610</v>
      </c>
      <c r="D1044" s="3" t="s">
        <v>1006</v>
      </c>
    </row>
    <row r="1045" spans="1:4" ht="15.75" customHeight="1" x14ac:dyDescent="0.3">
      <c r="A1045" s="2">
        <v>30715002848</v>
      </c>
      <c r="B1045" s="3" t="s">
        <v>1091</v>
      </c>
      <c r="C1045" s="1" t="s">
        <v>942</v>
      </c>
      <c r="D1045" s="3" t="s">
        <v>1006</v>
      </c>
    </row>
    <row r="1046" spans="1:4" ht="15.75" customHeight="1" x14ac:dyDescent="0.3">
      <c r="A1046" s="2">
        <v>33708907869</v>
      </c>
      <c r="B1046" s="3" t="s">
        <v>1092</v>
      </c>
      <c r="C1046" s="1" t="s">
        <v>942</v>
      </c>
      <c r="D1046" s="3" t="s">
        <v>1093</v>
      </c>
    </row>
    <row r="1047" spans="1:4" ht="15.75" customHeight="1" x14ac:dyDescent="0.3">
      <c r="A1047" s="2">
        <v>30709459399</v>
      </c>
      <c r="B1047" s="3" t="s">
        <v>1094</v>
      </c>
      <c r="C1047" s="1" t="s">
        <v>942</v>
      </c>
      <c r="D1047" s="3" t="s">
        <v>1003</v>
      </c>
    </row>
    <row r="1048" spans="1:4" ht="15.75" customHeight="1" x14ac:dyDescent="0.3">
      <c r="A1048" s="2">
        <v>30707153142</v>
      </c>
      <c r="B1048" s="3" t="s">
        <v>1095</v>
      </c>
      <c r="C1048" s="1" t="s">
        <v>942</v>
      </c>
      <c r="D1048" s="3" t="s">
        <v>1006</v>
      </c>
    </row>
    <row r="1049" spans="1:4" ht="15.75" customHeight="1" x14ac:dyDescent="0.3">
      <c r="A1049" s="2">
        <v>30662533072</v>
      </c>
      <c r="B1049" s="3" t="s">
        <v>1096</v>
      </c>
      <c r="C1049" s="1" t="s">
        <v>942</v>
      </c>
      <c r="D1049" s="3" t="s">
        <v>1003</v>
      </c>
    </row>
    <row r="1050" spans="1:4" ht="15.75" customHeight="1" x14ac:dyDescent="0.3">
      <c r="A1050" s="2">
        <v>33711557119</v>
      </c>
      <c r="B1050" s="3" t="s">
        <v>1097</v>
      </c>
      <c r="C1050" s="1" t="s">
        <v>942</v>
      </c>
      <c r="D1050" s="3" t="s">
        <v>1006</v>
      </c>
    </row>
    <row r="1051" spans="1:4" ht="15.75" customHeight="1" x14ac:dyDescent="0.3">
      <c r="A1051" s="2">
        <v>30604413482</v>
      </c>
      <c r="B1051" s="3" t="s">
        <v>1098</v>
      </c>
      <c r="C1051" s="1" t="s">
        <v>942</v>
      </c>
      <c r="D1051" s="3"/>
    </row>
    <row r="1052" spans="1:4" ht="15.75" customHeight="1" x14ac:dyDescent="0.3">
      <c r="A1052" s="2">
        <v>20324025430</v>
      </c>
      <c r="B1052" s="3" t="s">
        <v>1099</v>
      </c>
      <c r="C1052" s="1"/>
      <c r="D1052" s="3"/>
    </row>
    <row r="1053" spans="1:4" ht="15.75" customHeight="1" x14ac:dyDescent="0.3">
      <c r="A1053" s="2">
        <v>20388544539</v>
      </c>
      <c r="B1053" s="3" t="s">
        <v>1100</v>
      </c>
      <c r="C1053" s="1"/>
      <c r="D1053" s="3"/>
    </row>
    <row r="1054" spans="1:4" ht="15.75" customHeight="1" x14ac:dyDescent="0.3">
      <c r="A1054" s="2">
        <v>30717153142</v>
      </c>
      <c r="B1054" s="3" t="s">
        <v>1101</v>
      </c>
      <c r="C1054" s="1"/>
      <c r="D1054" s="3"/>
    </row>
    <row r="1055" spans="1:4" ht="15.75" customHeight="1" x14ac:dyDescent="0.3">
      <c r="A1055" s="2">
        <v>33644262249</v>
      </c>
      <c r="B1055" s="3" t="s">
        <v>1102</v>
      </c>
      <c r="C1055" s="1"/>
      <c r="D1055" s="3"/>
    </row>
    <row r="1056" spans="1:4" ht="15.75" customHeight="1" x14ac:dyDescent="0.3">
      <c r="A1056" s="2">
        <v>23214737914</v>
      </c>
      <c r="B1056" s="3" t="s">
        <v>1103</v>
      </c>
      <c r="C1056" s="1" t="s">
        <v>1559</v>
      </c>
      <c r="D1056" s="3"/>
    </row>
    <row r="1057" spans="1:4" ht="15.75" customHeight="1" x14ac:dyDescent="0.3">
      <c r="A1057" s="2">
        <v>20347495027</v>
      </c>
      <c r="B1057" s="3" t="s">
        <v>1104</v>
      </c>
      <c r="C1057" s="1"/>
      <c r="D1057" s="3"/>
    </row>
    <row r="1058" spans="1:4" ht="15.75" customHeight="1" x14ac:dyDescent="0.3">
      <c r="A1058" s="2">
        <v>30711744653</v>
      </c>
      <c r="B1058" s="3" t="s">
        <v>1105</v>
      </c>
      <c r="C1058" s="1"/>
      <c r="D1058" s="3"/>
    </row>
    <row r="1059" spans="1:4" ht="15.75" customHeight="1" x14ac:dyDescent="0.3">
      <c r="A1059" s="2">
        <v>30709173401</v>
      </c>
      <c r="B1059" s="3" t="s">
        <v>1106</v>
      </c>
      <c r="C1059" s="1"/>
      <c r="D1059" s="3"/>
    </row>
    <row r="1060" spans="1:4" ht="15.75" customHeight="1" x14ac:dyDescent="0.3">
      <c r="A1060" s="2">
        <v>20352108635</v>
      </c>
      <c r="B1060" s="3" t="s">
        <v>1107</v>
      </c>
      <c r="C1060" s="1"/>
      <c r="D1060" s="3"/>
    </row>
    <row r="1061" spans="1:4" ht="15.75" customHeight="1" x14ac:dyDescent="0.3">
      <c r="A1061" s="2">
        <v>20294907174</v>
      </c>
      <c r="B1061" s="3" t="s">
        <v>1108</v>
      </c>
      <c r="C1061" s="1" t="s">
        <v>1565</v>
      </c>
      <c r="D1061" s="3"/>
    </row>
    <row r="1062" spans="1:4" ht="15.75" customHeight="1" x14ac:dyDescent="0.3">
      <c r="A1062" s="2">
        <v>30516336885</v>
      </c>
      <c r="B1062" s="3" t="s">
        <v>1109</v>
      </c>
      <c r="C1062" s="1"/>
      <c r="D1062" s="3"/>
    </row>
    <row r="1063" spans="1:4" ht="15.75" customHeight="1" x14ac:dyDescent="0.3">
      <c r="A1063" s="2">
        <v>20265834958</v>
      </c>
      <c r="B1063" s="3" t="s">
        <v>1110</v>
      </c>
      <c r="C1063" s="1"/>
      <c r="D1063" s="3"/>
    </row>
    <row r="1064" spans="1:4" ht="15.75" customHeight="1" x14ac:dyDescent="0.3">
      <c r="A1064" s="2">
        <v>20233272222</v>
      </c>
      <c r="B1064" s="3" t="s">
        <v>1111</v>
      </c>
      <c r="C1064" s="1"/>
      <c r="D1064" s="3"/>
    </row>
    <row r="1065" spans="1:4" ht="15.75" customHeight="1" x14ac:dyDescent="0.3">
      <c r="A1065" s="2">
        <v>30560477836</v>
      </c>
      <c r="B1065" s="3" t="s">
        <v>1112</v>
      </c>
      <c r="C1065" s="1"/>
      <c r="D1065" s="3"/>
    </row>
    <row r="1066" spans="1:4" ht="15.75" customHeight="1" x14ac:dyDescent="0.3">
      <c r="A1066" s="2">
        <v>30715544837</v>
      </c>
      <c r="B1066" s="3" t="s">
        <v>1113</v>
      </c>
      <c r="C1066" s="1"/>
      <c r="D1066" s="3"/>
    </row>
    <row r="1067" spans="1:4" ht="15.75" customHeight="1" x14ac:dyDescent="0.3">
      <c r="A1067" s="2">
        <v>30708992301</v>
      </c>
      <c r="B1067" s="3" t="s">
        <v>1114</v>
      </c>
      <c r="C1067" s="1"/>
      <c r="D1067" s="3"/>
    </row>
    <row r="1068" spans="1:4" ht="15.75" customHeight="1" x14ac:dyDescent="0.3">
      <c r="A1068" s="2">
        <v>20239395822</v>
      </c>
      <c r="B1068" s="3" t="s">
        <v>1115</v>
      </c>
      <c r="C1068" s="1"/>
      <c r="D1068" s="3"/>
    </row>
    <row r="1069" spans="1:4" ht="15.75" customHeight="1" x14ac:dyDescent="0.3">
      <c r="A1069" s="2">
        <v>23059002414</v>
      </c>
      <c r="B1069" s="3" t="s">
        <v>1116</v>
      </c>
      <c r="C1069" s="1" t="s">
        <v>1562</v>
      </c>
      <c r="D1069" s="3"/>
    </row>
    <row r="1070" spans="1:4" ht="15.75" customHeight="1" x14ac:dyDescent="0.3">
      <c r="A1070" s="2">
        <v>30625482522</v>
      </c>
      <c r="B1070" s="3" t="s">
        <v>1117</v>
      </c>
      <c r="C1070" s="1"/>
      <c r="D1070" s="3"/>
    </row>
    <row r="1071" spans="1:4" ht="15.75" customHeight="1" x14ac:dyDescent="0.3">
      <c r="A1071" s="2">
        <v>30710964277</v>
      </c>
      <c r="B1071" s="3" t="s">
        <v>1118</v>
      </c>
      <c r="C1071" s="1"/>
      <c r="D1071" s="3"/>
    </row>
    <row r="1072" spans="1:4" ht="15.75" customHeight="1" x14ac:dyDescent="0.3">
      <c r="A1072" s="2">
        <v>55000000050</v>
      </c>
      <c r="B1072" s="3" t="s">
        <v>1119</v>
      </c>
      <c r="C1072" s="1"/>
      <c r="D1072" s="3"/>
    </row>
    <row r="1073" spans="1:4" ht="15.75" customHeight="1" x14ac:dyDescent="0.3">
      <c r="A1073" s="2">
        <v>30717260968</v>
      </c>
      <c r="B1073" s="3" t="s">
        <v>1120</v>
      </c>
      <c r="C1073" s="1"/>
      <c r="D1073" s="3"/>
    </row>
    <row r="1074" spans="1:4" ht="15.75" customHeight="1" x14ac:dyDescent="0.3">
      <c r="A1074" s="2">
        <v>30716006391</v>
      </c>
      <c r="B1074" s="3" t="s">
        <v>1121</v>
      </c>
      <c r="C1074" s="1" t="s">
        <v>920</v>
      </c>
      <c r="D1074" s="3"/>
    </row>
    <row r="1075" spans="1:4" ht="15.75" customHeight="1" x14ac:dyDescent="0.3">
      <c r="A1075" s="2">
        <v>30633765827</v>
      </c>
      <c r="B1075" s="3" t="s">
        <v>1122</v>
      </c>
      <c r="C1075" s="1" t="s">
        <v>920</v>
      </c>
      <c r="D1075" s="3"/>
    </row>
    <row r="1076" spans="1:4" ht="15.75" customHeight="1" x14ac:dyDescent="0.3">
      <c r="A1076" s="2">
        <v>30556911890</v>
      </c>
      <c r="B1076" s="3" t="s">
        <v>1123</v>
      </c>
      <c r="C1076" s="1"/>
      <c r="D1076" s="3"/>
    </row>
    <row r="1077" spans="1:4" ht="15.75" customHeight="1" x14ac:dyDescent="0.3">
      <c r="A1077" s="2">
        <v>30714928577</v>
      </c>
      <c r="B1077" s="3" t="s">
        <v>1124</v>
      </c>
      <c r="C1077" s="1" t="s">
        <v>1562</v>
      </c>
      <c r="D1077" s="3"/>
    </row>
    <row r="1078" spans="1:4" ht="15.75" customHeight="1" x14ac:dyDescent="0.3">
      <c r="A1078" s="2">
        <v>30709256420</v>
      </c>
      <c r="B1078" s="3" t="s">
        <v>1125</v>
      </c>
      <c r="C1078" s="1" t="s">
        <v>920</v>
      </c>
      <c r="D1078" s="3"/>
    </row>
    <row r="1079" spans="1:4" ht="15.75" customHeight="1" x14ac:dyDescent="0.3">
      <c r="A1079" s="2">
        <v>23174046379</v>
      </c>
      <c r="B1079" s="3" t="s">
        <v>1126</v>
      </c>
      <c r="C1079" s="1"/>
      <c r="D1079" s="3"/>
    </row>
    <row r="1080" spans="1:4" ht="15.75" customHeight="1" x14ac:dyDescent="0.3">
      <c r="A1080" s="2">
        <v>30708003316</v>
      </c>
      <c r="B1080" s="3" t="s">
        <v>1127</v>
      </c>
      <c r="C1080" s="1" t="s">
        <v>1557</v>
      </c>
      <c r="D1080" s="3"/>
    </row>
    <row r="1081" spans="1:4" ht="15.75" customHeight="1" x14ac:dyDescent="0.3">
      <c r="A1081" s="2">
        <v>20357275882</v>
      </c>
      <c r="B1081" s="3" t="s">
        <v>1128</v>
      </c>
      <c r="C1081" s="1" t="s">
        <v>1557</v>
      </c>
      <c r="D1081" s="3"/>
    </row>
    <row r="1082" spans="1:4" ht="15.75" customHeight="1" x14ac:dyDescent="0.3">
      <c r="A1082" s="2">
        <v>27349373225</v>
      </c>
      <c r="B1082" s="3" t="s">
        <v>1129</v>
      </c>
      <c r="C1082" s="1"/>
      <c r="D1082" s="3"/>
    </row>
    <row r="1083" spans="1:4" ht="15.75" customHeight="1" x14ac:dyDescent="0.3">
      <c r="A1083" s="2">
        <v>30715209833</v>
      </c>
      <c r="B1083" s="3" t="s">
        <v>1130</v>
      </c>
      <c r="C1083" s="1" t="s">
        <v>1562</v>
      </c>
      <c r="D1083" s="3"/>
    </row>
    <row r="1084" spans="1:4" ht="15.75" customHeight="1" x14ac:dyDescent="0.3">
      <c r="A1084" s="2">
        <v>23957768849</v>
      </c>
      <c r="B1084" s="3" t="s">
        <v>1131</v>
      </c>
      <c r="C1084" s="1"/>
      <c r="D1084" s="3"/>
    </row>
    <row r="1085" spans="1:4" ht="15.75" customHeight="1" x14ac:dyDescent="0.3">
      <c r="A1085" s="2">
        <v>30716831198</v>
      </c>
      <c r="B1085" s="3" t="s">
        <v>1132</v>
      </c>
      <c r="C1085" s="1"/>
      <c r="D1085" s="3"/>
    </row>
    <row r="1086" spans="1:4" ht="15.75" customHeight="1" x14ac:dyDescent="0.3">
      <c r="A1086" s="2">
        <v>20382910681</v>
      </c>
      <c r="B1086" s="3" t="s">
        <v>1133</v>
      </c>
      <c r="C1086" s="1"/>
      <c r="D1086" s="3"/>
    </row>
    <row r="1087" spans="1:4" ht="15.75" customHeight="1" x14ac:dyDescent="0.3">
      <c r="A1087" s="2">
        <v>30711713278</v>
      </c>
      <c r="B1087" s="3" t="s">
        <v>1134</v>
      </c>
      <c r="C1087" s="1"/>
      <c r="D1087" s="3"/>
    </row>
    <row r="1088" spans="1:4" ht="15.75" customHeight="1" x14ac:dyDescent="0.3">
      <c r="A1088" s="2">
        <v>30715216368</v>
      </c>
      <c r="B1088" s="3" t="s">
        <v>1135</v>
      </c>
      <c r="C1088" s="1"/>
      <c r="D1088" s="3"/>
    </row>
    <row r="1089" spans="1:4" ht="15.75" customHeight="1" x14ac:dyDescent="0.3">
      <c r="A1089" s="2">
        <v>23221796209</v>
      </c>
      <c r="B1089" s="3" t="s">
        <v>1136</v>
      </c>
      <c r="C1089" s="1"/>
      <c r="D1089" s="3"/>
    </row>
    <row r="1090" spans="1:4" ht="15.75" customHeight="1" x14ac:dyDescent="0.3">
      <c r="A1090" s="2">
        <v>30708693010</v>
      </c>
      <c r="B1090" s="3" t="s">
        <v>1137</v>
      </c>
      <c r="C1090" s="1"/>
      <c r="D1090" s="3"/>
    </row>
    <row r="1091" spans="1:4" ht="15.75" customHeight="1" x14ac:dyDescent="0.3">
      <c r="A1091" s="2">
        <v>30538068841</v>
      </c>
      <c r="B1091" s="3" t="s">
        <v>1138</v>
      </c>
      <c r="C1091" s="1"/>
      <c r="D1091" s="3"/>
    </row>
    <row r="1092" spans="1:4" ht="15.75" customHeight="1" x14ac:dyDescent="0.3">
      <c r="A1092" s="2">
        <v>30711816212</v>
      </c>
      <c r="B1092" s="3" t="s">
        <v>1139</v>
      </c>
      <c r="C1092" s="1"/>
      <c r="D1092" s="3"/>
    </row>
    <row r="1093" spans="1:4" ht="15.75" customHeight="1" x14ac:dyDescent="0.3">
      <c r="A1093" s="2">
        <v>30620415606</v>
      </c>
      <c r="B1093" s="3" t="s">
        <v>1140</v>
      </c>
      <c r="C1093" s="1"/>
      <c r="D1093" s="3"/>
    </row>
    <row r="1094" spans="1:4" ht="15.75" customHeight="1" x14ac:dyDescent="0.3">
      <c r="A1094" s="2">
        <v>20103565309</v>
      </c>
      <c r="B1094" s="3" t="s">
        <v>1141</v>
      </c>
      <c r="C1094" s="1" t="s">
        <v>1556</v>
      </c>
      <c r="D1094" s="3"/>
    </row>
    <row r="1095" spans="1:4" ht="15.75" customHeight="1" x14ac:dyDescent="0.3">
      <c r="A1095" s="2">
        <v>30711569843</v>
      </c>
      <c r="B1095" s="3" t="s">
        <v>1142</v>
      </c>
      <c r="C1095" s="1"/>
      <c r="D1095" s="3"/>
    </row>
    <row r="1096" spans="1:4" ht="15.75" customHeight="1" x14ac:dyDescent="0.3">
      <c r="A1096" s="2">
        <v>33709302839</v>
      </c>
      <c r="B1096" s="3" t="s">
        <v>1143</v>
      </c>
      <c r="C1096" s="1"/>
      <c r="D1096" s="3"/>
    </row>
    <row r="1097" spans="1:4" ht="15.75" customHeight="1" x14ac:dyDescent="0.3">
      <c r="A1097" s="2">
        <v>30717406512</v>
      </c>
      <c r="B1097" s="3" t="s">
        <v>1144</v>
      </c>
      <c r="C1097" s="1"/>
      <c r="D1097" s="3"/>
    </row>
    <row r="1098" spans="1:4" ht="15.75" customHeight="1" x14ac:dyDescent="0.3">
      <c r="A1098" s="2">
        <v>30717393445</v>
      </c>
      <c r="B1098" s="3" t="s">
        <v>1145</v>
      </c>
      <c r="C1098" s="1"/>
      <c r="D1098" s="3"/>
    </row>
    <row r="1099" spans="1:4" ht="15.75" customHeight="1" x14ac:dyDescent="0.3">
      <c r="A1099" s="2">
        <v>30714977152</v>
      </c>
      <c r="B1099" s="3" t="s">
        <v>1146</v>
      </c>
      <c r="C1099" s="1"/>
      <c r="D1099" s="3"/>
    </row>
    <row r="1100" spans="1:4" ht="15.75" customHeight="1" x14ac:dyDescent="0.3">
      <c r="A1100" s="2">
        <v>30699144327</v>
      </c>
      <c r="B1100" s="3" t="s">
        <v>1147</v>
      </c>
      <c r="C1100" s="1"/>
      <c r="D1100" s="3"/>
    </row>
    <row r="1101" spans="1:4" ht="15.75" customHeight="1" x14ac:dyDescent="0.3">
      <c r="A1101" s="2">
        <v>30710571801</v>
      </c>
      <c r="B1101" s="3" t="s">
        <v>1148</v>
      </c>
      <c r="C1101" s="1" t="s">
        <v>920</v>
      </c>
      <c r="D1101" s="3"/>
    </row>
    <row r="1102" spans="1:4" ht="15.75" customHeight="1" x14ac:dyDescent="0.3">
      <c r="A1102" s="2">
        <v>23236786609</v>
      </c>
      <c r="B1102" s="3" t="s">
        <v>1149</v>
      </c>
      <c r="C1102" s="1"/>
      <c r="D1102" s="3"/>
    </row>
    <row r="1103" spans="1:4" ht="15.75" customHeight="1" x14ac:dyDescent="0.3">
      <c r="A1103" s="2">
        <v>30709581011</v>
      </c>
      <c r="B1103" s="3" t="s">
        <v>1150</v>
      </c>
      <c r="C1103" s="1"/>
      <c r="D1103" s="3"/>
    </row>
    <row r="1104" spans="1:4" ht="15.75" customHeight="1" x14ac:dyDescent="0.3">
      <c r="A1104" s="2">
        <v>20124583463</v>
      </c>
      <c r="B1104" s="3" t="s">
        <v>1151</v>
      </c>
      <c r="C1104" s="1"/>
      <c r="D1104" s="3"/>
    </row>
    <row r="1105" spans="1:4" ht="15.75" customHeight="1" x14ac:dyDescent="0.3">
      <c r="A1105" s="2">
        <v>30710548680</v>
      </c>
      <c r="B1105" s="3" t="s">
        <v>1152</v>
      </c>
      <c r="C1105" s="1"/>
      <c r="D1105" s="3"/>
    </row>
    <row r="1106" spans="1:4" ht="15.75" customHeight="1" x14ac:dyDescent="0.3">
      <c r="A1106" s="2">
        <v>30710878974</v>
      </c>
      <c r="B1106" s="3" t="s">
        <v>1153</v>
      </c>
      <c r="C1106" s="1" t="s">
        <v>1556</v>
      </c>
      <c r="D1106" s="3"/>
    </row>
    <row r="1107" spans="1:4" ht="15.75" customHeight="1" x14ac:dyDescent="0.3">
      <c r="A1107" s="2">
        <v>30528214483</v>
      </c>
      <c r="B1107" s="3" t="s">
        <v>1154</v>
      </c>
      <c r="C1107" s="1" t="s">
        <v>942</v>
      </c>
      <c r="D1107" s="3"/>
    </row>
    <row r="1108" spans="1:4" ht="15.75" customHeight="1" x14ac:dyDescent="0.3">
      <c r="A1108" s="2">
        <v>30690966790</v>
      </c>
      <c r="B1108" s="3" t="s">
        <v>1155</v>
      </c>
      <c r="C1108" s="1" t="s">
        <v>942</v>
      </c>
      <c r="D1108" s="3"/>
    </row>
    <row r="1109" spans="1:4" ht="15.75" customHeight="1" x14ac:dyDescent="0.3">
      <c r="A1109" s="2">
        <v>30717261042</v>
      </c>
      <c r="B1109" s="3" t="s">
        <v>1156</v>
      </c>
      <c r="C1109" s="1"/>
      <c r="D1109" s="3"/>
    </row>
    <row r="1110" spans="1:4" ht="15.75" customHeight="1" x14ac:dyDescent="0.3">
      <c r="A1110" s="2">
        <v>20316849823</v>
      </c>
      <c r="B1110" s="3" t="s">
        <v>1157</v>
      </c>
      <c r="C1110" s="1"/>
      <c r="D1110" s="3"/>
    </row>
    <row r="1111" spans="1:4" ht="15.75" customHeight="1" x14ac:dyDescent="0.3">
      <c r="A1111" s="2">
        <v>27424730608</v>
      </c>
      <c r="B1111" s="3" t="s">
        <v>1158</v>
      </c>
      <c r="C1111" s="1" t="s">
        <v>920</v>
      </c>
      <c r="D1111" s="3"/>
    </row>
    <row r="1112" spans="1:4" ht="15.75" customHeight="1" x14ac:dyDescent="0.3">
      <c r="A1112" s="2">
        <v>30702073657</v>
      </c>
      <c r="B1112" s="3" t="s">
        <v>1159</v>
      </c>
      <c r="C1112" s="1"/>
      <c r="D1112" s="3"/>
    </row>
    <row r="1113" spans="1:4" ht="15.75" customHeight="1" x14ac:dyDescent="0.3">
      <c r="A1113" s="2">
        <v>30646938755</v>
      </c>
      <c r="B1113" s="3" t="s">
        <v>1160</v>
      </c>
      <c r="C1113" s="1"/>
      <c r="D1113" s="3"/>
    </row>
    <row r="1114" spans="1:4" ht="15.75" customHeight="1" x14ac:dyDescent="0.3">
      <c r="A1114" s="2">
        <v>33715793909</v>
      </c>
      <c r="B1114" s="3" t="s">
        <v>1161</v>
      </c>
      <c r="C1114" s="1"/>
      <c r="D1114" s="3"/>
    </row>
    <row r="1115" spans="1:4" ht="15.75" customHeight="1" x14ac:dyDescent="0.3">
      <c r="A1115" s="2">
        <v>30712325468</v>
      </c>
      <c r="B1115" s="3" t="s">
        <v>1162</v>
      </c>
      <c r="C1115" s="1"/>
      <c r="D1115" s="3"/>
    </row>
    <row r="1116" spans="1:4" ht="15.75" customHeight="1" x14ac:dyDescent="0.3">
      <c r="A1116" s="2">
        <v>30714481513</v>
      </c>
      <c r="B1116" s="3" t="s">
        <v>1163</v>
      </c>
      <c r="C1116" s="1"/>
      <c r="D1116" s="3"/>
    </row>
    <row r="1117" spans="1:4" ht="15.75" customHeight="1" x14ac:dyDescent="0.3">
      <c r="A1117" s="2">
        <v>20330173387</v>
      </c>
      <c r="B1117" s="3" t="s">
        <v>1164</v>
      </c>
      <c r="C1117" s="1" t="s">
        <v>122</v>
      </c>
      <c r="D1117" s="3"/>
    </row>
    <row r="1118" spans="1:4" ht="15.75" customHeight="1" x14ac:dyDescent="0.3">
      <c r="A1118" s="2">
        <v>27066610018</v>
      </c>
      <c r="B1118" s="3" t="s">
        <v>1165</v>
      </c>
      <c r="C1118" s="1" t="s">
        <v>1561</v>
      </c>
      <c r="D1118" s="3"/>
    </row>
    <row r="1119" spans="1:4" ht="15.75" customHeight="1" x14ac:dyDescent="0.3">
      <c r="A1119" s="2">
        <v>30714356360</v>
      </c>
      <c r="B1119" s="3" t="s">
        <v>1166</v>
      </c>
      <c r="C1119" s="1" t="s">
        <v>1556</v>
      </c>
      <c r="D1119" s="3"/>
    </row>
    <row r="1120" spans="1:4" ht="15.75" customHeight="1" x14ac:dyDescent="0.3">
      <c r="A1120" s="2">
        <v>20282837472</v>
      </c>
      <c r="B1120" s="3" t="s">
        <v>1167</v>
      </c>
      <c r="C1120" s="1"/>
      <c r="D1120" s="3"/>
    </row>
    <row r="1121" spans="1:4" ht="15.75" customHeight="1" x14ac:dyDescent="0.3">
      <c r="A1121" s="2">
        <v>30684105597</v>
      </c>
      <c r="B1121" s="3" t="s">
        <v>1168</v>
      </c>
      <c r="C1121" s="1"/>
      <c r="D1121" s="3"/>
    </row>
    <row r="1122" spans="1:4" ht="15.75" customHeight="1" x14ac:dyDescent="0.3">
      <c r="A1122" s="2">
        <v>27948597298</v>
      </c>
      <c r="B1122" s="3" t="s">
        <v>1169</v>
      </c>
      <c r="C1122" s="1"/>
      <c r="D1122" s="3"/>
    </row>
    <row r="1123" spans="1:4" ht="15.75" customHeight="1" x14ac:dyDescent="0.3">
      <c r="A1123" s="2">
        <v>30696170580</v>
      </c>
      <c r="B1123" s="3" t="s">
        <v>1170</v>
      </c>
      <c r="C1123" s="1"/>
      <c r="D1123" s="3"/>
    </row>
    <row r="1124" spans="1:4" ht="15.75" customHeight="1" x14ac:dyDescent="0.3">
      <c r="A1124" s="2">
        <v>30715357255</v>
      </c>
      <c r="B1124" s="3" t="s">
        <v>1171</v>
      </c>
      <c r="C1124" s="1"/>
      <c r="D1124" s="3"/>
    </row>
    <row r="1125" spans="1:4" ht="15.75" customHeight="1" x14ac:dyDescent="0.3">
      <c r="A1125" s="2">
        <v>55000002053</v>
      </c>
      <c r="B1125" s="3" t="s">
        <v>1172</v>
      </c>
      <c r="C1125" s="1"/>
      <c r="D1125" s="3"/>
    </row>
    <row r="1126" spans="1:4" ht="15.75" customHeight="1" x14ac:dyDescent="0.3">
      <c r="A1126" s="2">
        <v>55000002053</v>
      </c>
      <c r="B1126" s="3" t="s">
        <v>1173</v>
      </c>
      <c r="C1126" s="1"/>
      <c r="D1126" s="3"/>
    </row>
    <row r="1127" spans="1:4" ht="15.75" customHeight="1" x14ac:dyDescent="0.3">
      <c r="A1127" s="2">
        <v>30520201048</v>
      </c>
      <c r="B1127" s="3" t="s">
        <v>1174</v>
      </c>
      <c r="C1127" s="1"/>
      <c r="D1127" s="3"/>
    </row>
    <row r="1128" spans="1:4" ht="15.75" customHeight="1" x14ac:dyDescent="0.3">
      <c r="A1128" s="2">
        <v>30712222499</v>
      </c>
      <c r="B1128" s="3" t="s">
        <v>1175</v>
      </c>
      <c r="C1128" s="1"/>
      <c r="D1128" s="3"/>
    </row>
    <row r="1129" spans="1:4" ht="15.75" customHeight="1" x14ac:dyDescent="0.3">
      <c r="A1129" s="2">
        <v>30683088907</v>
      </c>
      <c r="B1129" s="3" t="s">
        <v>1176</v>
      </c>
      <c r="C1129" s="1"/>
      <c r="D1129" s="3"/>
    </row>
    <row r="1130" spans="1:4" ht="15.75" customHeight="1" x14ac:dyDescent="0.3">
      <c r="A1130" s="2">
        <v>27332519633</v>
      </c>
      <c r="B1130" s="3" t="s">
        <v>1177</v>
      </c>
      <c r="C1130" s="1"/>
      <c r="D1130" s="3"/>
    </row>
    <row r="1131" spans="1:4" ht="15.75" customHeight="1" x14ac:dyDescent="0.3">
      <c r="A1131" s="2">
        <v>27924079008</v>
      </c>
      <c r="B1131" s="3" t="s">
        <v>1178</v>
      </c>
      <c r="C1131" s="1"/>
      <c r="D1131" s="3"/>
    </row>
    <row r="1132" spans="1:4" ht="15.75" customHeight="1" x14ac:dyDescent="0.3">
      <c r="A1132" s="2">
        <v>33715587969</v>
      </c>
      <c r="B1132" s="3" t="s">
        <v>1179</v>
      </c>
      <c r="C1132" s="1"/>
      <c r="D1132" s="3"/>
    </row>
    <row r="1133" spans="1:4" ht="15.75" customHeight="1" x14ac:dyDescent="0.3">
      <c r="A1133" s="2">
        <v>30609968792</v>
      </c>
      <c r="B1133" s="3" t="s">
        <v>1180</v>
      </c>
      <c r="C1133" s="1"/>
      <c r="D1133" s="3"/>
    </row>
    <row r="1134" spans="1:4" ht="15.75" customHeight="1" x14ac:dyDescent="0.3">
      <c r="A1134" s="2">
        <v>20254823105</v>
      </c>
      <c r="B1134" s="3" t="s">
        <v>1181</v>
      </c>
      <c r="C1134" s="1"/>
      <c r="D1134" s="3"/>
    </row>
    <row r="1135" spans="1:4" ht="15.75" customHeight="1" x14ac:dyDescent="0.3">
      <c r="A1135" s="2">
        <v>27925308884</v>
      </c>
      <c r="B1135" s="3" t="s">
        <v>1182</v>
      </c>
      <c r="C1135" s="1" t="s">
        <v>920</v>
      </c>
      <c r="D1135" s="3"/>
    </row>
    <row r="1136" spans="1:4" ht="15.75" customHeight="1" x14ac:dyDescent="0.3">
      <c r="A1136" s="2">
        <v>30716872463</v>
      </c>
      <c r="B1136" s="3" t="s">
        <v>1183</v>
      </c>
      <c r="C1136" s="1"/>
      <c r="D1136" s="3"/>
    </row>
    <row r="1137" spans="1:4" ht="15.75" customHeight="1" x14ac:dyDescent="0.3">
      <c r="A1137" s="2">
        <v>30586172308</v>
      </c>
      <c r="B1137" s="3" t="s">
        <v>1184</v>
      </c>
      <c r="C1137" s="1" t="s">
        <v>1556</v>
      </c>
      <c r="D1137" s="3"/>
    </row>
    <row r="1138" spans="1:4" ht="15.75" customHeight="1" x14ac:dyDescent="0.3">
      <c r="A1138" s="2">
        <v>20214656575</v>
      </c>
      <c r="B1138" s="3" t="s">
        <v>1185</v>
      </c>
      <c r="C1138" s="1"/>
      <c r="D1138" s="3"/>
    </row>
    <row r="1139" spans="1:4" ht="15.75" customHeight="1" x14ac:dyDescent="0.3">
      <c r="A1139" s="2">
        <v>30615304944</v>
      </c>
      <c r="B1139" s="3" t="s">
        <v>1186</v>
      </c>
      <c r="C1139" s="1"/>
      <c r="D1139" s="3"/>
    </row>
    <row r="1140" spans="1:4" ht="15.75" customHeight="1" x14ac:dyDescent="0.3">
      <c r="A1140" s="2">
        <v>30717518566</v>
      </c>
      <c r="B1140" s="3" t="s">
        <v>1187</v>
      </c>
      <c r="C1140" s="1"/>
      <c r="D1140" s="3"/>
    </row>
    <row r="1141" spans="1:4" ht="15.75" customHeight="1" x14ac:dyDescent="0.3">
      <c r="A1141" s="2">
        <v>33718184989</v>
      </c>
      <c r="B1141" s="3" t="s">
        <v>1188</v>
      </c>
      <c r="C1141" s="1"/>
      <c r="D1141" s="3"/>
    </row>
    <row r="1142" spans="1:4" ht="15.75" customHeight="1" x14ac:dyDescent="0.3">
      <c r="A1142" s="2">
        <v>30715368346</v>
      </c>
      <c r="B1142" s="3" t="s">
        <v>1189</v>
      </c>
      <c r="C1142" s="1"/>
      <c r="D1142" s="3"/>
    </row>
    <row r="1143" spans="1:4" ht="15.75" customHeight="1" x14ac:dyDescent="0.3">
      <c r="A1143" s="2">
        <v>24273099685</v>
      </c>
      <c r="B1143" s="3" t="s">
        <v>1190</v>
      </c>
      <c r="C1143" s="1"/>
      <c r="D1143" s="3"/>
    </row>
    <row r="1144" spans="1:4" ht="15.75" customHeight="1" x14ac:dyDescent="0.3">
      <c r="A1144" s="2">
        <v>27329924713</v>
      </c>
      <c r="B1144" s="3" t="s">
        <v>1191</v>
      </c>
      <c r="C1144" s="1"/>
      <c r="D1144" s="3"/>
    </row>
    <row r="1145" spans="1:4" ht="15.75" customHeight="1" x14ac:dyDescent="0.3">
      <c r="A1145" s="2">
        <v>30711379246</v>
      </c>
      <c r="B1145" s="3" t="s">
        <v>1192</v>
      </c>
      <c r="C1145" s="1"/>
      <c r="D1145" s="3"/>
    </row>
    <row r="1146" spans="1:4" ht="15.75" customHeight="1" x14ac:dyDescent="0.3">
      <c r="A1146" s="2">
        <v>20161299937</v>
      </c>
      <c r="B1146" s="3" t="s">
        <v>1193</v>
      </c>
      <c r="C1146" s="1"/>
      <c r="D1146" s="3"/>
    </row>
    <row r="1147" spans="1:4" ht="15.75" customHeight="1" x14ac:dyDescent="0.3">
      <c r="A1147" s="2">
        <v>20181426846</v>
      </c>
      <c r="B1147" s="3" t="s">
        <v>1194</v>
      </c>
      <c r="C1147" s="1" t="s">
        <v>942</v>
      </c>
      <c r="D1147" s="3"/>
    </row>
    <row r="1148" spans="1:4" ht="15.75" customHeight="1" x14ac:dyDescent="0.3">
      <c r="A1148" s="2">
        <v>30716091216</v>
      </c>
      <c r="B1148" s="3" t="s">
        <v>1195</v>
      </c>
      <c r="C1148" s="1"/>
      <c r="D1148" s="3"/>
    </row>
    <row r="1149" spans="1:4" ht="15.75" customHeight="1" x14ac:dyDescent="0.3">
      <c r="A1149" s="2">
        <v>23136956159</v>
      </c>
      <c r="B1149" s="3" t="s">
        <v>1196</v>
      </c>
      <c r="C1149" s="1"/>
      <c r="D1149" s="3"/>
    </row>
    <row r="1150" spans="1:4" ht="15.75" customHeight="1" x14ac:dyDescent="0.3">
      <c r="A1150" s="2">
        <v>33716493119</v>
      </c>
      <c r="B1150" s="3" t="s">
        <v>1197</v>
      </c>
      <c r="C1150" s="1"/>
      <c r="D1150" s="3"/>
    </row>
    <row r="1151" spans="1:4" ht="15.75" customHeight="1" x14ac:dyDescent="0.3">
      <c r="A1151" s="2">
        <v>20357254435</v>
      </c>
      <c r="B1151" s="3" t="s">
        <v>1198</v>
      </c>
      <c r="C1151" s="1"/>
      <c r="D1151" s="3"/>
    </row>
    <row r="1152" spans="1:4" ht="15.75" customHeight="1" x14ac:dyDescent="0.3">
      <c r="A1152" s="2">
        <v>30715162497</v>
      </c>
      <c r="B1152" s="3" t="s">
        <v>1199</v>
      </c>
      <c r="C1152" s="1"/>
      <c r="D1152" s="3"/>
    </row>
    <row r="1153" spans="1:4" ht="15.75" customHeight="1" x14ac:dyDescent="0.3">
      <c r="A1153" s="2">
        <v>30707591168</v>
      </c>
      <c r="B1153" s="3" t="s">
        <v>1200</v>
      </c>
      <c r="C1153" s="1"/>
      <c r="D1153" s="3"/>
    </row>
    <row r="1154" spans="1:4" ht="15.75" customHeight="1" x14ac:dyDescent="0.3">
      <c r="A1154" s="2">
        <v>30710585411</v>
      </c>
      <c r="B1154" s="3" t="s">
        <v>1201</v>
      </c>
      <c r="C1154" s="1" t="s">
        <v>1571</v>
      </c>
      <c r="D1154" s="3"/>
    </row>
    <row r="1155" spans="1:4" ht="15.75" customHeight="1" x14ac:dyDescent="0.3">
      <c r="A1155" s="2">
        <v>20279429347</v>
      </c>
      <c r="B1155" s="3" t="s">
        <v>1202</v>
      </c>
      <c r="C1155" s="1"/>
      <c r="D1155" s="3"/>
    </row>
    <row r="1156" spans="1:4" ht="15.75" customHeight="1" x14ac:dyDescent="0.3">
      <c r="A1156" s="2">
        <v>20341013691</v>
      </c>
      <c r="B1156" s="3" t="s">
        <v>1203</v>
      </c>
      <c r="C1156" s="1"/>
      <c r="D1156" s="3"/>
    </row>
    <row r="1157" spans="1:4" ht="15.75" customHeight="1" x14ac:dyDescent="0.3">
      <c r="A1157" s="2">
        <v>23205683399</v>
      </c>
      <c r="B1157" s="3" t="s">
        <v>1204</v>
      </c>
      <c r="C1157" s="1"/>
      <c r="D1157" s="3"/>
    </row>
    <row r="1158" spans="1:4" ht="15.75" customHeight="1" x14ac:dyDescent="0.3">
      <c r="A1158" s="2">
        <v>30624684628</v>
      </c>
      <c r="B1158" s="3" t="s">
        <v>1205</v>
      </c>
      <c r="C1158" s="1" t="s">
        <v>942</v>
      </c>
      <c r="D1158" s="3"/>
    </row>
    <row r="1159" spans="1:4" ht="15.75" customHeight="1" x14ac:dyDescent="0.3">
      <c r="A1159" s="2">
        <v>27325155804</v>
      </c>
      <c r="B1159" s="3" t="s">
        <v>1206</v>
      </c>
      <c r="C1159" s="1"/>
      <c r="D1159" s="3"/>
    </row>
    <row r="1160" spans="1:4" ht="15.75" customHeight="1" x14ac:dyDescent="0.3">
      <c r="A1160" s="2">
        <v>30711379521</v>
      </c>
      <c r="B1160" s="3" t="s">
        <v>1207</v>
      </c>
      <c r="C1160" s="1"/>
      <c r="D1160" s="3"/>
    </row>
    <row r="1161" spans="1:4" ht="15.75" customHeight="1" x14ac:dyDescent="0.3">
      <c r="A1161" s="2">
        <v>30707468161</v>
      </c>
      <c r="B1161" s="3" t="s">
        <v>1208</v>
      </c>
      <c r="C1161" s="1" t="s">
        <v>942</v>
      </c>
      <c r="D1161" s="3"/>
    </row>
    <row r="1162" spans="1:4" ht="15.75" customHeight="1" x14ac:dyDescent="0.3">
      <c r="A1162" s="2">
        <v>30717193926</v>
      </c>
      <c r="B1162" s="3" t="s">
        <v>1209</v>
      </c>
      <c r="C1162" s="1"/>
      <c r="D1162" s="3"/>
    </row>
    <row r="1163" spans="1:4" ht="15.75" customHeight="1" x14ac:dyDescent="0.3">
      <c r="A1163" s="2">
        <v>30710184816</v>
      </c>
      <c r="B1163" s="3" t="s">
        <v>1210</v>
      </c>
      <c r="C1163" s="1"/>
      <c r="D1163" s="3"/>
    </row>
    <row r="1164" spans="1:4" ht="15.75" customHeight="1" x14ac:dyDescent="0.3">
      <c r="A1164" s="2">
        <v>33711308429</v>
      </c>
      <c r="B1164" s="3" t="s">
        <v>1211</v>
      </c>
      <c r="C1164" s="1"/>
      <c r="D1164" s="3"/>
    </row>
    <row r="1165" spans="1:4" ht="15.75" customHeight="1" x14ac:dyDescent="0.3">
      <c r="A1165" s="2">
        <v>30692857611</v>
      </c>
      <c r="B1165" s="3" t="s">
        <v>1212</v>
      </c>
      <c r="C1165" s="1" t="s">
        <v>942</v>
      </c>
      <c r="D1165" s="3"/>
    </row>
    <row r="1166" spans="1:4" ht="15.75" customHeight="1" x14ac:dyDescent="0.3">
      <c r="A1166" s="2">
        <v>20413948968</v>
      </c>
      <c r="B1166" s="3" t="s">
        <v>1213</v>
      </c>
      <c r="C1166" s="1"/>
      <c r="D1166" s="3"/>
    </row>
    <row r="1167" spans="1:4" ht="15.75" customHeight="1" x14ac:dyDescent="0.3">
      <c r="A1167" s="2">
        <v>30559088923</v>
      </c>
      <c r="B1167" s="3" t="s">
        <v>1214</v>
      </c>
      <c r="C1167" s="1"/>
      <c r="D1167" s="3"/>
    </row>
    <row r="1168" spans="1:4" ht="15.75" customHeight="1" x14ac:dyDescent="0.3">
      <c r="A1168" s="2">
        <v>20228469492</v>
      </c>
      <c r="B1168" s="3" t="s">
        <v>1215</v>
      </c>
      <c r="C1168" s="1"/>
      <c r="D1168" s="3"/>
    </row>
    <row r="1169" spans="1:4" ht="15.75" customHeight="1" x14ac:dyDescent="0.3">
      <c r="A1169" s="2">
        <v>27330645356</v>
      </c>
      <c r="B1169" s="3" t="s">
        <v>1216</v>
      </c>
      <c r="C1169" s="1"/>
      <c r="D1169" s="3"/>
    </row>
    <row r="1170" spans="1:4" ht="15.75" customHeight="1" x14ac:dyDescent="0.3">
      <c r="A1170" s="2">
        <v>23118167279</v>
      </c>
      <c r="B1170" s="3" t="s">
        <v>1217</v>
      </c>
      <c r="C1170" s="1" t="s">
        <v>1559</v>
      </c>
      <c r="D1170" s="3"/>
    </row>
    <row r="1171" spans="1:4" ht="15.75" customHeight="1" x14ac:dyDescent="0.3">
      <c r="A1171" s="2">
        <v>30646811062</v>
      </c>
      <c r="B1171" s="3" t="s">
        <v>1218</v>
      </c>
      <c r="C1171" s="1"/>
      <c r="D1171" s="3"/>
    </row>
    <row r="1172" spans="1:4" ht="15.75" customHeight="1" x14ac:dyDescent="0.3">
      <c r="A1172" s="2">
        <v>30715819461</v>
      </c>
      <c r="B1172" s="3" t="s">
        <v>1219</v>
      </c>
      <c r="C1172" s="1"/>
      <c r="D1172" s="3"/>
    </row>
    <row r="1173" spans="1:4" ht="15.75" customHeight="1" x14ac:dyDescent="0.3">
      <c r="A1173" s="2">
        <v>27366871336</v>
      </c>
      <c r="B1173" s="3" t="s">
        <v>1220</v>
      </c>
      <c r="C1173" s="1" t="s">
        <v>942</v>
      </c>
      <c r="D1173" s="3"/>
    </row>
    <row r="1174" spans="1:4" ht="15.75" customHeight="1" x14ac:dyDescent="0.3">
      <c r="A1174" s="2">
        <v>30716067889</v>
      </c>
      <c r="B1174" s="3" t="s">
        <v>1221</v>
      </c>
      <c r="C1174" s="1"/>
      <c r="D1174" s="3"/>
    </row>
    <row r="1175" spans="1:4" ht="15.75" customHeight="1" x14ac:dyDescent="0.3">
      <c r="A1175" s="2">
        <v>20162261259</v>
      </c>
      <c r="B1175" s="3" t="s">
        <v>1222</v>
      </c>
      <c r="C1175" s="1"/>
      <c r="D1175" s="3"/>
    </row>
    <row r="1176" spans="1:4" ht="15.75" customHeight="1" x14ac:dyDescent="0.3">
      <c r="A1176" s="2">
        <v>30717763692</v>
      </c>
      <c r="B1176" s="3" t="s">
        <v>1223</v>
      </c>
      <c r="C1176" s="1" t="s">
        <v>942</v>
      </c>
      <c r="D1176" s="3"/>
    </row>
    <row r="1177" spans="1:4" ht="15.75" customHeight="1" x14ac:dyDescent="0.3">
      <c r="A1177" s="2">
        <v>30695056342</v>
      </c>
      <c r="B1177" s="3" t="s">
        <v>1224</v>
      </c>
      <c r="C1177" s="1" t="s">
        <v>1557</v>
      </c>
      <c r="D1177" s="3"/>
    </row>
    <row r="1178" spans="1:4" ht="15.75" customHeight="1" x14ac:dyDescent="0.3">
      <c r="A1178" s="2">
        <v>30716553112</v>
      </c>
      <c r="B1178" s="3" t="s">
        <v>1225</v>
      </c>
      <c r="C1178" s="1"/>
      <c r="D1178" s="3"/>
    </row>
    <row r="1179" spans="1:4" ht="15.75" customHeight="1" x14ac:dyDescent="0.3">
      <c r="A1179" s="2">
        <v>27066898127</v>
      </c>
      <c r="B1179" s="3" t="s">
        <v>1226</v>
      </c>
      <c r="C1179" s="1"/>
      <c r="D1179" s="3"/>
    </row>
    <row r="1180" spans="1:4" ht="15.75" customHeight="1" x14ac:dyDescent="0.3">
      <c r="A1180" s="2">
        <v>27265832178</v>
      </c>
      <c r="B1180" s="3" t="s">
        <v>1227</v>
      </c>
      <c r="C1180" s="1"/>
      <c r="D1180" s="3"/>
    </row>
    <row r="1181" spans="1:4" ht="15.75" customHeight="1" x14ac:dyDescent="0.3">
      <c r="A1181" s="2">
        <v>30700896621</v>
      </c>
      <c r="B1181" s="3" t="s">
        <v>1228</v>
      </c>
      <c r="C1181" s="1"/>
      <c r="D1181" s="3"/>
    </row>
    <row r="1182" spans="1:4" ht="15.75" customHeight="1" x14ac:dyDescent="0.3">
      <c r="A1182" s="2">
        <v>27328145001</v>
      </c>
      <c r="B1182" s="3" t="s">
        <v>1229</v>
      </c>
      <c r="C1182" s="1"/>
      <c r="D1182" s="3"/>
    </row>
    <row r="1183" spans="1:4" ht="15.75" customHeight="1" x14ac:dyDescent="0.3">
      <c r="A1183" s="2">
        <v>30718019814</v>
      </c>
      <c r="B1183" s="3" t="s">
        <v>1230</v>
      </c>
      <c r="C1183" s="1" t="s">
        <v>942</v>
      </c>
      <c r="D1183" s="3"/>
    </row>
    <row r="1184" spans="1:4" ht="15.75" customHeight="1" x14ac:dyDescent="0.3">
      <c r="A1184" s="2">
        <v>30715863916</v>
      </c>
      <c r="B1184" s="3" t="s">
        <v>1231</v>
      </c>
      <c r="C1184" s="1" t="s">
        <v>1561</v>
      </c>
      <c r="D1184" s="3"/>
    </row>
    <row r="1185" spans="1:4" ht="15.75" customHeight="1" x14ac:dyDescent="0.3">
      <c r="A1185" s="2">
        <v>30716952408</v>
      </c>
      <c r="B1185" s="3" t="s">
        <v>1232</v>
      </c>
      <c r="C1185" s="1" t="s">
        <v>1569</v>
      </c>
      <c r="D1185" s="3"/>
    </row>
    <row r="1186" spans="1:4" ht="15.75" customHeight="1" x14ac:dyDescent="0.3">
      <c r="A1186" s="2">
        <v>30703451310</v>
      </c>
      <c r="B1186" s="3" t="s">
        <v>1233</v>
      </c>
      <c r="C1186" s="1" t="s">
        <v>1554</v>
      </c>
      <c r="D1186" s="3"/>
    </row>
    <row r="1187" spans="1:4" ht="15.75" customHeight="1" x14ac:dyDescent="0.3">
      <c r="A1187" s="2">
        <v>27369025584</v>
      </c>
      <c r="B1187" s="3" t="s">
        <v>1234</v>
      </c>
      <c r="C1187" s="1" t="s">
        <v>920</v>
      </c>
      <c r="D1187" s="3"/>
    </row>
    <row r="1188" spans="1:4" ht="15.75" customHeight="1" x14ac:dyDescent="0.3">
      <c r="A1188" s="2">
        <v>27224574679</v>
      </c>
      <c r="B1188" s="3" t="s">
        <v>1235</v>
      </c>
      <c r="C1188" s="1" t="s">
        <v>920</v>
      </c>
      <c r="D1188" s="3"/>
    </row>
    <row r="1189" spans="1:4" ht="15.75" customHeight="1" x14ac:dyDescent="0.3">
      <c r="A1189" s="2">
        <v>33709901449</v>
      </c>
      <c r="B1189" s="3" t="s">
        <v>1236</v>
      </c>
      <c r="C1189" s="1" t="s">
        <v>1561</v>
      </c>
      <c r="D1189" s="3"/>
    </row>
    <row r="1190" spans="1:4" ht="15.75" customHeight="1" x14ac:dyDescent="0.3">
      <c r="A1190" s="2">
        <v>27236006250</v>
      </c>
      <c r="B1190" s="3" t="s">
        <v>1237</v>
      </c>
      <c r="C1190" s="1" t="s">
        <v>920</v>
      </c>
      <c r="D1190" s="3"/>
    </row>
    <row r="1191" spans="1:4" ht="15.75" customHeight="1" x14ac:dyDescent="0.3">
      <c r="A1191" s="2">
        <v>33643358749</v>
      </c>
      <c r="B1191" s="3" t="s">
        <v>1238</v>
      </c>
      <c r="C1191" s="1" t="s">
        <v>1564</v>
      </c>
      <c r="D1191" s="3"/>
    </row>
    <row r="1192" spans="1:4" ht="15.75" customHeight="1" x14ac:dyDescent="0.3">
      <c r="A1192" s="2">
        <v>20401319930</v>
      </c>
      <c r="B1192" s="3" t="s">
        <v>1239</v>
      </c>
      <c r="C1192" s="1" t="s">
        <v>1553</v>
      </c>
      <c r="D1192" s="3"/>
    </row>
    <row r="1193" spans="1:4" ht="15.75" customHeight="1" x14ac:dyDescent="0.3">
      <c r="A1193" s="2">
        <v>27249663870</v>
      </c>
      <c r="B1193" s="3" t="s">
        <v>1240</v>
      </c>
      <c r="C1193" s="1" t="s">
        <v>1564</v>
      </c>
      <c r="D1193" s="3"/>
    </row>
    <row r="1194" spans="1:4" ht="15.75" customHeight="1" x14ac:dyDescent="0.3">
      <c r="A1194" s="2">
        <v>30715247077</v>
      </c>
      <c r="B1194" s="3" t="s">
        <v>1241</v>
      </c>
      <c r="C1194" s="1" t="s">
        <v>1565</v>
      </c>
      <c r="D1194" s="3"/>
    </row>
    <row r="1195" spans="1:4" ht="15.75" customHeight="1" x14ac:dyDescent="0.3">
      <c r="A1195" s="2">
        <v>30562265844</v>
      </c>
      <c r="B1195" s="3" t="s">
        <v>1242</v>
      </c>
      <c r="C1195" s="1" t="s">
        <v>1565</v>
      </c>
      <c r="D1195" s="3"/>
    </row>
    <row r="1196" spans="1:4" ht="15.75" customHeight="1" x14ac:dyDescent="0.3">
      <c r="A1196" s="2">
        <v>33717112119</v>
      </c>
      <c r="B1196" s="3" t="s">
        <v>1243</v>
      </c>
      <c r="C1196" s="1" t="s">
        <v>920</v>
      </c>
      <c r="D1196" s="3"/>
    </row>
    <row r="1197" spans="1:4" ht="15.75" customHeight="1" x14ac:dyDescent="0.3">
      <c r="A1197" s="2">
        <v>30715235419</v>
      </c>
      <c r="B1197" s="3" t="s">
        <v>1244</v>
      </c>
      <c r="C1197" s="1" t="s">
        <v>942</v>
      </c>
      <c r="D1197" s="3"/>
    </row>
    <row r="1198" spans="1:4" ht="15.75" customHeight="1" x14ac:dyDescent="0.3">
      <c r="A1198" s="2">
        <v>30714743402</v>
      </c>
      <c r="B1198" s="3" t="s">
        <v>1245</v>
      </c>
      <c r="C1198" s="1" t="s">
        <v>610</v>
      </c>
      <c r="D1198" s="3"/>
    </row>
    <row r="1199" spans="1:4" ht="15.75" customHeight="1" x14ac:dyDescent="0.3">
      <c r="A1199" s="2">
        <v>30708600187</v>
      </c>
      <c r="B1199" s="3" t="s">
        <v>1246</v>
      </c>
      <c r="C1199" s="1" t="s">
        <v>942</v>
      </c>
      <c r="D1199" s="3"/>
    </row>
    <row r="1200" spans="1:4" ht="15.75" customHeight="1" x14ac:dyDescent="0.3">
      <c r="A1200" s="2">
        <v>20283509924</v>
      </c>
      <c r="B1200" s="3" t="s">
        <v>1247</v>
      </c>
      <c r="C1200" s="1" t="s">
        <v>942</v>
      </c>
      <c r="D1200" s="3"/>
    </row>
    <row r="1201" spans="1:4" ht="15.75" customHeight="1" x14ac:dyDescent="0.3">
      <c r="A1201" s="2">
        <v>30718512545</v>
      </c>
      <c r="B1201" s="3" t="s">
        <v>1248</v>
      </c>
      <c r="C1201" s="1"/>
      <c r="D1201" s="3"/>
    </row>
    <row r="1202" spans="1:4" ht="15.75" customHeight="1" x14ac:dyDescent="0.3">
      <c r="A1202" s="2">
        <v>55000006059</v>
      </c>
      <c r="B1202" s="3" t="s">
        <v>1249</v>
      </c>
      <c r="C1202" s="1"/>
      <c r="D1202" s="3"/>
    </row>
    <row r="1203" spans="1:4" ht="15.75" customHeight="1" x14ac:dyDescent="0.3">
      <c r="A1203" s="2">
        <v>30714265675</v>
      </c>
      <c r="B1203" s="3" t="s">
        <v>1250</v>
      </c>
      <c r="C1203" s="1" t="s">
        <v>920</v>
      </c>
      <c r="D1203" s="3"/>
    </row>
    <row r="1204" spans="1:4" ht="15.75" customHeight="1" x14ac:dyDescent="0.3">
      <c r="A1204" s="2">
        <v>30717046591</v>
      </c>
      <c r="B1204" s="3" t="s">
        <v>1251</v>
      </c>
      <c r="C1204" s="1" t="s">
        <v>920</v>
      </c>
      <c r="D1204" s="3"/>
    </row>
    <row r="1205" spans="1:4" ht="15.75" customHeight="1" x14ac:dyDescent="0.3">
      <c r="A1205" s="2">
        <v>33710719549</v>
      </c>
      <c r="B1205" s="3" t="s">
        <v>1252</v>
      </c>
      <c r="C1205" s="1" t="s">
        <v>942</v>
      </c>
      <c r="D1205" s="3"/>
    </row>
    <row r="1206" spans="1:4" ht="15.75" customHeight="1" x14ac:dyDescent="0.3">
      <c r="A1206" s="2">
        <v>33717240249</v>
      </c>
      <c r="B1206" s="3" t="s">
        <v>1253</v>
      </c>
      <c r="C1206" s="1" t="s">
        <v>1562</v>
      </c>
      <c r="D1206" s="3"/>
    </row>
    <row r="1207" spans="1:4" ht="15.75" customHeight="1" x14ac:dyDescent="0.3">
      <c r="A1207" s="2">
        <v>20309706197</v>
      </c>
      <c r="B1207" s="3" t="s">
        <v>1254</v>
      </c>
      <c r="C1207" s="1" t="s">
        <v>1565</v>
      </c>
      <c r="D1207" s="3"/>
    </row>
    <row r="1208" spans="1:4" ht="15.75" customHeight="1" x14ac:dyDescent="0.3">
      <c r="A1208" s="2">
        <v>33658043779</v>
      </c>
      <c r="B1208" s="3" t="s">
        <v>1255</v>
      </c>
      <c r="C1208" s="1" t="s">
        <v>1564</v>
      </c>
      <c r="D1208" s="3"/>
    </row>
    <row r="1209" spans="1:4" ht="15.75" customHeight="1" x14ac:dyDescent="0.3">
      <c r="A1209" s="2">
        <v>30556565798</v>
      </c>
      <c r="B1209" s="3" t="s">
        <v>1256</v>
      </c>
      <c r="C1209" s="1" t="s">
        <v>908</v>
      </c>
      <c r="D1209" s="3"/>
    </row>
    <row r="1210" spans="1:4" ht="15.75" customHeight="1" x14ac:dyDescent="0.3">
      <c r="A1210" s="2">
        <v>30694497701</v>
      </c>
      <c r="B1210" s="3" t="s">
        <v>1257</v>
      </c>
      <c r="C1210" s="1" t="s">
        <v>942</v>
      </c>
      <c r="D1210" s="3"/>
    </row>
    <row r="1211" spans="1:4" ht="15.75" customHeight="1" x14ac:dyDescent="0.3">
      <c r="A1211" s="2">
        <v>55000000050</v>
      </c>
      <c r="B1211" s="3" t="s">
        <v>1258</v>
      </c>
      <c r="C1211" s="1"/>
      <c r="D1211" s="3"/>
    </row>
    <row r="1212" spans="1:4" ht="15.75" customHeight="1" x14ac:dyDescent="0.3">
      <c r="A1212" s="2">
        <v>30707555404</v>
      </c>
      <c r="B1212" s="3" t="s">
        <v>1259</v>
      </c>
      <c r="C1212" s="1" t="s">
        <v>942</v>
      </c>
      <c r="D1212" s="3"/>
    </row>
    <row r="1213" spans="1:4" ht="15.75" customHeight="1" x14ac:dyDescent="0.3">
      <c r="A1213" s="2">
        <v>27264020773</v>
      </c>
      <c r="B1213" s="3" t="s">
        <v>1260</v>
      </c>
      <c r="C1213" s="1" t="s">
        <v>1565</v>
      </c>
      <c r="D1213" s="3"/>
    </row>
    <row r="1214" spans="1:4" ht="15.75" customHeight="1" x14ac:dyDescent="0.3">
      <c r="A1214" s="2">
        <v>20172940162</v>
      </c>
      <c r="B1214" s="3" t="s">
        <v>1261</v>
      </c>
      <c r="C1214" s="1" t="s">
        <v>1565</v>
      </c>
      <c r="D1214" s="3"/>
    </row>
    <row r="1215" spans="1:4" ht="15.75" customHeight="1" x14ac:dyDescent="0.3">
      <c r="A1215" s="2">
        <v>20148841722</v>
      </c>
      <c r="B1215" s="3" t="s">
        <v>1262</v>
      </c>
      <c r="C1215" s="1" t="s">
        <v>1556</v>
      </c>
      <c r="D1215" s="3"/>
    </row>
    <row r="1216" spans="1:4" ht="15.75" customHeight="1" x14ac:dyDescent="0.3">
      <c r="A1216" s="2">
        <v>20068864934</v>
      </c>
      <c r="B1216" s="3" t="s">
        <v>1263</v>
      </c>
      <c r="C1216" s="1" t="s">
        <v>942</v>
      </c>
      <c r="D1216" s="3"/>
    </row>
    <row r="1217" spans="1:4" ht="15.75" customHeight="1" x14ac:dyDescent="0.3">
      <c r="A1217" s="2">
        <v>20294608401</v>
      </c>
      <c r="B1217" s="3" t="s">
        <v>1264</v>
      </c>
      <c r="C1217" s="1" t="s">
        <v>942</v>
      </c>
      <c r="D1217" s="3"/>
    </row>
    <row r="1218" spans="1:4" ht="15.75" customHeight="1" x14ac:dyDescent="0.3">
      <c r="A1218" s="2">
        <v>20177459012</v>
      </c>
      <c r="B1218" s="3" t="s">
        <v>1265</v>
      </c>
      <c r="C1218" s="1" t="s">
        <v>1005</v>
      </c>
      <c r="D1218" s="3"/>
    </row>
    <row r="1219" spans="1:4" ht="15.75" customHeight="1" x14ac:dyDescent="0.3">
      <c r="A1219" s="2">
        <v>20120109449</v>
      </c>
      <c r="B1219" s="3" t="s">
        <v>1266</v>
      </c>
      <c r="C1219" s="1" t="s">
        <v>942</v>
      </c>
      <c r="D1219" s="3"/>
    </row>
    <row r="1220" spans="1:4" ht="15.75" customHeight="1" x14ac:dyDescent="0.3">
      <c r="A1220" s="2">
        <v>30715103946</v>
      </c>
      <c r="B1220" s="3" t="s">
        <v>1267</v>
      </c>
      <c r="C1220" s="1" t="s">
        <v>1559</v>
      </c>
      <c r="D1220" s="3"/>
    </row>
    <row r="1221" spans="1:4" ht="15.75" customHeight="1" x14ac:dyDescent="0.3">
      <c r="A1221" s="2">
        <v>30668033667</v>
      </c>
      <c r="B1221" s="3" t="s">
        <v>1268</v>
      </c>
      <c r="C1221" s="1"/>
      <c r="D1221" s="3"/>
    </row>
    <row r="1222" spans="1:4" ht="15.75" customHeight="1" x14ac:dyDescent="0.3">
      <c r="A1222" s="2">
        <v>20413837635</v>
      </c>
      <c r="B1222" s="3" t="s">
        <v>1269</v>
      </c>
      <c r="C1222" s="1"/>
      <c r="D1222" s="3"/>
    </row>
    <row r="1223" spans="1:4" ht="15.75" customHeight="1" x14ac:dyDescent="0.3">
      <c r="A1223" s="2">
        <v>30708548061</v>
      </c>
      <c r="B1223" s="3" t="s">
        <v>1270</v>
      </c>
      <c r="C1223" s="1"/>
      <c r="D1223" s="3"/>
    </row>
    <row r="1224" spans="1:4" ht="15.75" customHeight="1" x14ac:dyDescent="0.3">
      <c r="A1224" s="2">
        <v>30710473710</v>
      </c>
      <c r="B1224" s="3" t="s">
        <v>1271</v>
      </c>
      <c r="C1224" s="1"/>
      <c r="D1224" s="3"/>
    </row>
    <row r="1225" spans="1:4" ht="15.75" customHeight="1" x14ac:dyDescent="0.3">
      <c r="A1225" s="2">
        <v>30708592532</v>
      </c>
      <c r="B1225" s="3" t="s">
        <v>1272</v>
      </c>
      <c r="C1225" s="1"/>
      <c r="D1225" s="3"/>
    </row>
    <row r="1226" spans="1:4" ht="15.75" customHeight="1" x14ac:dyDescent="0.3">
      <c r="A1226" s="2">
        <v>20408014019</v>
      </c>
      <c r="B1226" s="3" t="s">
        <v>1273</v>
      </c>
      <c r="C1226" s="1"/>
      <c r="D1226" s="3"/>
    </row>
    <row r="1227" spans="1:4" ht="15.75" customHeight="1" x14ac:dyDescent="0.3">
      <c r="A1227" s="2">
        <v>30716403900</v>
      </c>
      <c r="B1227" s="3" t="s">
        <v>1274</v>
      </c>
      <c r="C1227" s="1"/>
      <c r="D1227" s="3"/>
    </row>
    <row r="1228" spans="1:4" ht="15.75" customHeight="1" x14ac:dyDescent="0.3">
      <c r="A1228" s="2">
        <v>30707135596</v>
      </c>
      <c r="B1228" s="3" t="s">
        <v>1014</v>
      </c>
      <c r="C1228" s="1" t="s">
        <v>46</v>
      </c>
      <c r="D1228" s="3"/>
    </row>
    <row r="1229" spans="1:4" ht="15.75" customHeight="1" x14ac:dyDescent="0.3">
      <c r="A1229" s="2">
        <v>30715402765</v>
      </c>
      <c r="B1229" s="3" t="s">
        <v>1015</v>
      </c>
      <c r="C1229" s="1" t="s">
        <v>920</v>
      </c>
      <c r="D1229" s="3"/>
    </row>
    <row r="1230" spans="1:4" ht="15.75" customHeight="1" x14ac:dyDescent="0.3">
      <c r="A1230" s="2">
        <v>30685776215</v>
      </c>
      <c r="B1230" s="3" t="s">
        <v>1275</v>
      </c>
      <c r="C1230" s="1" t="s">
        <v>942</v>
      </c>
      <c r="D1230" s="3"/>
    </row>
    <row r="1231" spans="1:4" ht="15.75" customHeight="1" x14ac:dyDescent="0.3">
      <c r="A1231" s="2">
        <v>20103565309</v>
      </c>
      <c r="B1231" s="3" t="s">
        <v>1141</v>
      </c>
      <c r="C1231" s="1" t="s">
        <v>1556</v>
      </c>
      <c r="D1231" s="3"/>
    </row>
    <row r="1232" spans="1:4" ht="15.75" customHeight="1" x14ac:dyDescent="0.3">
      <c r="A1232" s="2">
        <v>20125142851</v>
      </c>
      <c r="B1232" s="3" t="s">
        <v>1034</v>
      </c>
      <c r="C1232" s="1" t="s">
        <v>942</v>
      </c>
      <c r="D1232" s="3"/>
    </row>
    <row r="1233" spans="1:4" ht="15.75" customHeight="1" x14ac:dyDescent="0.3">
      <c r="A1233" s="2">
        <v>30708573279</v>
      </c>
      <c r="B1233" s="3" t="s">
        <v>1276</v>
      </c>
      <c r="C1233" s="1" t="s">
        <v>942</v>
      </c>
      <c r="D1233" s="3"/>
    </row>
    <row r="1234" spans="1:4" ht="15.75" customHeight="1" x14ac:dyDescent="0.3">
      <c r="A1234" s="2">
        <v>33712244629</v>
      </c>
      <c r="B1234" s="3" t="s">
        <v>1277</v>
      </c>
      <c r="C1234" s="1" t="s">
        <v>942</v>
      </c>
      <c r="D1234" s="3"/>
    </row>
    <row r="1235" spans="1:4" ht="15.75" customHeight="1" x14ac:dyDescent="0.3">
      <c r="A1235" s="2">
        <v>27214660097</v>
      </c>
      <c r="B1235" s="3" t="s">
        <v>1278</v>
      </c>
      <c r="C1235" s="1" t="s">
        <v>1558</v>
      </c>
      <c r="D1235" s="3"/>
    </row>
    <row r="1236" spans="1:4" ht="15.75" customHeight="1" x14ac:dyDescent="0.3">
      <c r="A1236" s="2">
        <v>30716661519</v>
      </c>
      <c r="B1236" s="3" t="s">
        <v>1279</v>
      </c>
      <c r="C1236" s="1" t="s">
        <v>920</v>
      </c>
      <c r="D1236" s="3"/>
    </row>
    <row r="1237" spans="1:4" ht="15.75" customHeight="1" x14ac:dyDescent="0.3">
      <c r="A1237" s="2">
        <v>30716661519</v>
      </c>
      <c r="B1237" s="3" t="s">
        <v>1279</v>
      </c>
      <c r="C1237" s="1" t="s">
        <v>920</v>
      </c>
      <c r="D1237" s="3"/>
    </row>
    <row r="1238" spans="1:4" ht="15.75" customHeight="1" x14ac:dyDescent="0.3">
      <c r="A1238" s="2">
        <v>20297899830</v>
      </c>
      <c r="B1238" s="3" t="s">
        <v>1064</v>
      </c>
      <c r="C1238" s="1" t="s">
        <v>942</v>
      </c>
      <c r="D1238" s="3"/>
    </row>
    <row r="1239" spans="1:4" ht="15.75" customHeight="1" x14ac:dyDescent="0.3">
      <c r="A1239" s="2">
        <v>30570861278</v>
      </c>
      <c r="B1239" s="3" t="s">
        <v>1280</v>
      </c>
      <c r="C1239" s="1" t="s">
        <v>1570</v>
      </c>
      <c r="D1239" s="3"/>
    </row>
    <row r="1240" spans="1:4" ht="15.75" customHeight="1" x14ac:dyDescent="0.3">
      <c r="A1240" s="2">
        <v>30678814357</v>
      </c>
      <c r="B1240" s="3" t="s">
        <v>1032</v>
      </c>
      <c r="C1240" s="1" t="s">
        <v>46</v>
      </c>
      <c r="D1240" s="3"/>
    </row>
    <row r="1241" spans="1:4" ht="15.75" customHeight="1" x14ac:dyDescent="0.3">
      <c r="A1241" s="2">
        <v>30708003316</v>
      </c>
      <c r="B1241" s="3" t="s">
        <v>1127</v>
      </c>
      <c r="C1241" s="1" t="s">
        <v>1557</v>
      </c>
      <c r="D1241" s="3"/>
    </row>
    <row r="1242" spans="1:4" ht="15.75" customHeight="1" x14ac:dyDescent="0.3">
      <c r="A1242" s="2">
        <v>30709953482</v>
      </c>
      <c r="B1242" s="3" t="s">
        <v>1012</v>
      </c>
      <c r="C1242" s="1" t="s">
        <v>920</v>
      </c>
      <c r="D1242" s="3"/>
    </row>
    <row r="1243" spans="1:4" ht="15.75" customHeight="1" x14ac:dyDescent="0.3">
      <c r="A1243" s="2">
        <v>20293627127</v>
      </c>
      <c r="B1243" s="3" t="s">
        <v>1281</v>
      </c>
      <c r="C1243" s="1" t="s">
        <v>920</v>
      </c>
      <c r="D1243" s="3"/>
    </row>
    <row r="1244" spans="1:4" ht="15.75" customHeight="1" x14ac:dyDescent="0.3">
      <c r="A1244" s="2">
        <v>20271822058</v>
      </c>
      <c r="B1244" s="3" t="s">
        <v>1282</v>
      </c>
      <c r="C1244" s="1" t="s">
        <v>1557</v>
      </c>
      <c r="D1244" s="3"/>
    </row>
    <row r="1245" spans="1:4" ht="15.75" customHeight="1" x14ac:dyDescent="0.3">
      <c r="A1245" s="2">
        <v>30709407895</v>
      </c>
      <c r="B1245" s="3" t="s">
        <v>1283</v>
      </c>
      <c r="C1245" s="1" t="s">
        <v>1557</v>
      </c>
      <c r="D1245" s="3"/>
    </row>
    <row r="1246" spans="1:4" ht="15.75" customHeight="1" x14ac:dyDescent="0.3">
      <c r="A1246" s="2">
        <v>20243751544</v>
      </c>
      <c r="B1246" s="3" t="s">
        <v>1284</v>
      </c>
      <c r="C1246" s="1" t="s">
        <v>920</v>
      </c>
      <c r="D1246" s="3"/>
    </row>
    <row r="1247" spans="1:4" ht="15.75" customHeight="1" x14ac:dyDescent="0.3">
      <c r="A1247" s="2">
        <v>30710854072</v>
      </c>
      <c r="B1247" s="3" t="s">
        <v>1285</v>
      </c>
      <c r="C1247" s="1" t="s">
        <v>1570</v>
      </c>
      <c r="D1247" s="3"/>
    </row>
    <row r="1248" spans="1:4" ht="15.75" customHeight="1" x14ac:dyDescent="0.3">
      <c r="A1248" s="2">
        <v>30594494187</v>
      </c>
      <c r="B1248" s="3" t="s">
        <v>1016</v>
      </c>
      <c r="C1248" s="1" t="s">
        <v>1555</v>
      </c>
      <c r="D1248" s="3"/>
    </row>
    <row r="1249" spans="1:4" ht="15.75" customHeight="1" x14ac:dyDescent="0.3">
      <c r="A1249" s="2">
        <v>27182686641</v>
      </c>
      <c r="B1249" s="3" t="s">
        <v>1286</v>
      </c>
      <c r="C1249" s="1" t="s">
        <v>1553</v>
      </c>
      <c r="D1249" s="3"/>
    </row>
    <row r="1250" spans="1:4" ht="15.75" customHeight="1" x14ac:dyDescent="0.3">
      <c r="A1250" s="2">
        <v>30709131733</v>
      </c>
      <c r="B1250" s="3" t="s">
        <v>1031</v>
      </c>
      <c r="C1250" s="1" t="s">
        <v>942</v>
      </c>
      <c r="D1250" s="3"/>
    </row>
    <row r="1251" spans="1:4" ht="15.75" customHeight="1" x14ac:dyDescent="0.3">
      <c r="A1251" s="2">
        <v>30528214483</v>
      </c>
      <c r="B1251" s="3" t="s">
        <v>1154</v>
      </c>
      <c r="C1251" s="1" t="s">
        <v>942</v>
      </c>
      <c r="D1251" s="3"/>
    </row>
    <row r="1252" spans="1:4" ht="15.75" customHeight="1" x14ac:dyDescent="0.3">
      <c r="A1252" s="2">
        <v>30715048066</v>
      </c>
      <c r="B1252" s="3" t="s">
        <v>1287</v>
      </c>
      <c r="C1252" s="1" t="s">
        <v>632</v>
      </c>
      <c r="D1252" s="3"/>
    </row>
    <row r="1253" spans="1:4" ht="15.75" customHeight="1" x14ac:dyDescent="0.3">
      <c r="A1253" s="2">
        <v>30641121521</v>
      </c>
      <c r="B1253" s="3" t="s">
        <v>1288</v>
      </c>
      <c r="C1253" s="1" t="s">
        <v>942</v>
      </c>
      <c r="D1253" s="3"/>
    </row>
    <row r="1254" spans="1:4" ht="15.75" customHeight="1" x14ac:dyDescent="0.3">
      <c r="A1254" s="2">
        <v>20268897721</v>
      </c>
      <c r="B1254" s="3" t="s">
        <v>1289</v>
      </c>
      <c r="C1254" s="1" t="s">
        <v>1563</v>
      </c>
      <c r="D1254" s="3"/>
    </row>
    <row r="1255" spans="1:4" ht="15.75" customHeight="1" x14ac:dyDescent="0.3">
      <c r="A1255" s="2">
        <v>30586172308</v>
      </c>
      <c r="B1255" s="3" t="s">
        <v>1184</v>
      </c>
      <c r="C1255" s="1" t="s">
        <v>1556</v>
      </c>
      <c r="D1255" s="3"/>
    </row>
    <row r="1256" spans="1:4" ht="15.75" customHeight="1" x14ac:dyDescent="0.3">
      <c r="A1256" s="2">
        <v>30655534462</v>
      </c>
      <c r="B1256" s="3" t="s">
        <v>1290</v>
      </c>
      <c r="C1256" s="1" t="s">
        <v>920</v>
      </c>
      <c r="D1256" s="3"/>
    </row>
    <row r="1257" spans="1:4" ht="15.75" customHeight="1" x14ac:dyDescent="0.3">
      <c r="A1257" s="2">
        <v>20125142851</v>
      </c>
      <c r="B1257" s="3" t="s">
        <v>1034</v>
      </c>
      <c r="C1257" s="1" t="s">
        <v>942</v>
      </c>
      <c r="D1257" s="3"/>
    </row>
    <row r="1258" spans="1:4" ht="15.75" customHeight="1" x14ac:dyDescent="0.3">
      <c r="A1258" s="2">
        <v>30707756434</v>
      </c>
      <c r="B1258" s="3" t="s">
        <v>1039</v>
      </c>
      <c r="C1258" s="1" t="s">
        <v>7</v>
      </c>
      <c r="D1258" s="3"/>
    </row>
    <row r="1259" spans="1:4" ht="15.75" customHeight="1" x14ac:dyDescent="0.3">
      <c r="A1259" s="2">
        <v>33717740519</v>
      </c>
      <c r="B1259" s="3" t="s">
        <v>1291</v>
      </c>
      <c r="C1259" s="1" t="s">
        <v>1565</v>
      </c>
      <c r="D1259" s="3"/>
    </row>
    <row r="1260" spans="1:4" ht="15.75" customHeight="1" x14ac:dyDescent="0.3">
      <c r="A1260" s="2">
        <v>30693449525</v>
      </c>
      <c r="B1260" s="3" t="s">
        <v>1292</v>
      </c>
      <c r="C1260" s="1" t="s">
        <v>920</v>
      </c>
      <c r="D1260" s="3"/>
    </row>
    <row r="1261" spans="1:4" ht="15.75" customHeight="1" x14ac:dyDescent="0.3">
      <c r="A1261" s="2">
        <v>23270085679</v>
      </c>
      <c r="B1261" s="3" t="s">
        <v>1293</v>
      </c>
      <c r="C1261" s="1" t="s">
        <v>1564</v>
      </c>
      <c r="D1261" s="3"/>
    </row>
    <row r="1262" spans="1:4" ht="15.75" customHeight="1" x14ac:dyDescent="0.3">
      <c r="A1262" s="2">
        <v>30695313140</v>
      </c>
      <c r="B1262" s="3" t="s">
        <v>1294</v>
      </c>
      <c r="C1262" s="1" t="s">
        <v>942</v>
      </c>
      <c r="D1262" s="3"/>
    </row>
    <row r="1263" spans="1:4" ht="15.75" customHeight="1" x14ac:dyDescent="0.3">
      <c r="A1263" s="2">
        <v>20319259113</v>
      </c>
      <c r="B1263" s="3" t="s">
        <v>1295</v>
      </c>
      <c r="C1263" s="1" t="s">
        <v>942</v>
      </c>
      <c r="D1263" s="3"/>
    </row>
    <row r="1264" spans="1:4" ht="15.75" customHeight="1" x14ac:dyDescent="0.3">
      <c r="A1264" s="2">
        <v>20262008267</v>
      </c>
      <c r="B1264" s="3" t="s">
        <v>1296</v>
      </c>
      <c r="C1264" s="1" t="s">
        <v>1562</v>
      </c>
      <c r="D1264" s="3"/>
    </row>
    <row r="1265" spans="1:4" ht="15.75" customHeight="1" x14ac:dyDescent="0.3">
      <c r="A1265" s="2">
        <v>30714749206</v>
      </c>
      <c r="B1265" s="3" t="s">
        <v>1297</v>
      </c>
      <c r="C1265" s="1" t="s">
        <v>1562</v>
      </c>
      <c r="D1265" s="3"/>
    </row>
    <row r="1266" spans="1:4" ht="15.75" customHeight="1" x14ac:dyDescent="0.3">
      <c r="A1266" s="2">
        <v>20289190148</v>
      </c>
      <c r="B1266" s="3" t="s">
        <v>1298</v>
      </c>
      <c r="C1266" s="1" t="s">
        <v>942</v>
      </c>
      <c r="D1266" s="3"/>
    </row>
    <row r="1267" spans="1:4" ht="15.75" customHeight="1" x14ac:dyDescent="0.3">
      <c r="A1267" s="2">
        <v>30710951647</v>
      </c>
      <c r="B1267" s="3" t="s">
        <v>1299</v>
      </c>
      <c r="C1267" s="1" t="s">
        <v>920</v>
      </c>
      <c r="D1267" s="3"/>
    </row>
    <row r="1268" spans="1:4" ht="15.75" customHeight="1" x14ac:dyDescent="0.3">
      <c r="A1268" s="2">
        <v>27184156658</v>
      </c>
      <c r="B1268" s="3" t="s">
        <v>1300</v>
      </c>
      <c r="C1268" s="1" t="s">
        <v>920</v>
      </c>
      <c r="D1268" s="3"/>
    </row>
    <row r="1269" spans="1:4" ht="15.75" customHeight="1" x14ac:dyDescent="0.3">
      <c r="A1269" s="2">
        <v>33708711999</v>
      </c>
      <c r="B1269" s="3" t="s">
        <v>1301</v>
      </c>
      <c r="C1269" s="1" t="s">
        <v>920</v>
      </c>
      <c r="D1269" s="3"/>
    </row>
    <row r="1270" spans="1:4" ht="15.75" customHeight="1" x14ac:dyDescent="0.3">
      <c r="A1270" s="2">
        <v>30715491180</v>
      </c>
      <c r="B1270" s="3" t="s">
        <v>1302</v>
      </c>
      <c r="C1270" s="1" t="s">
        <v>920</v>
      </c>
      <c r="D1270" s="3"/>
    </row>
    <row r="1271" spans="1:4" ht="15.75" customHeight="1" x14ac:dyDescent="0.3">
      <c r="A1271" s="2">
        <v>20292504455</v>
      </c>
      <c r="B1271" s="3" t="s">
        <v>1303</v>
      </c>
      <c r="C1271" s="1" t="s">
        <v>1556</v>
      </c>
      <c r="D1271" s="3"/>
    </row>
    <row r="1272" spans="1:4" ht="15.75" customHeight="1" x14ac:dyDescent="0.3">
      <c r="A1272" s="2">
        <v>30716620634</v>
      </c>
      <c r="B1272" s="3" t="s">
        <v>1304</v>
      </c>
      <c r="C1272" s="1" t="s">
        <v>920</v>
      </c>
      <c r="D1272" s="3"/>
    </row>
    <row r="1273" spans="1:4" ht="15.75" customHeight="1" x14ac:dyDescent="0.3">
      <c r="A1273" s="2">
        <v>30716932245</v>
      </c>
      <c r="B1273" s="3" t="s">
        <v>1305</v>
      </c>
      <c r="C1273" s="1" t="s">
        <v>920</v>
      </c>
      <c r="D1273" s="3"/>
    </row>
    <row r="1274" spans="1:4" ht="15.75" customHeight="1" x14ac:dyDescent="0.3">
      <c r="A1274" s="2">
        <v>30716831066</v>
      </c>
      <c r="B1274" s="3" t="s">
        <v>1306</v>
      </c>
      <c r="C1274" s="1" t="s">
        <v>610</v>
      </c>
      <c r="D1274" s="3"/>
    </row>
    <row r="1275" spans="1:4" ht="15.75" customHeight="1" x14ac:dyDescent="0.3">
      <c r="A1275" s="2">
        <v>30711526419</v>
      </c>
      <c r="B1275" s="3" t="s">
        <v>1307</v>
      </c>
      <c r="C1275" s="1" t="s">
        <v>942</v>
      </c>
      <c r="D1275" s="3"/>
    </row>
    <row r="1276" spans="1:4" ht="15.75" customHeight="1" x14ac:dyDescent="0.3">
      <c r="A1276" s="2">
        <v>30690179020</v>
      </c>
      <c r="B1276" s="3" t="s">
        <v>1308</v>
      </c>
      <c r="C1276" s="1" t="s">
        <v>920</v>
      </c>
      <c r="D1276" s="3"/>
    </row>
    <row r="1277" spans="1:4" ht="15.75" customHeight="1" x14ac:dyDescent="0.3">
      <c r="A1277" s="2">
        <v>30714082317</v>
      </c>
      <c r="B1277" s="3" t="s">
        <v>1309</v>
      </c>
      <c r="C1277" s="1" t="s">
        <v>920</v>
      </c>
      <c r="D1277" s="3"/>
    </row>
    <row r="1278" spans="1:4" ht="15.75" customHeight="1" x14ac:dyDescent="0.3">
      <c r="A1278" s="2">
        <v>30717788261</v>
      </c>
      <c r="B1278" s="3" t="s">
        <v>1310</v>
      </c>
      <c r="C1278" s="1" t="s">
        <v>920</v>
      </c>
      <c r="D1278" s="3"/>
    </row>
    <row r="1279" spans="1:4" ht="15.75" customHeight="1" x14ac:dyDescent="0.3">
      <c r="A1279" s="2">
        <v>30716200244</v>
      </c>
      <c r="B1279" s="3" t="s">
        <v>1311</v>
      </c>
      <c r="C1279" s="1" t="s">
        <v>942</v>
      </c>
      <c r="D1279" s="3"/>
    </row>
    <row r="1280" spans="1:4" ht="15.75" customHeight="1" x14ac:dyDescent="0.3">
      <c r="A1280" s="2">
        <v>30687492397</v>
      </c>
      <c r="B1280" s="3" t="s">
        <v>1312</v>
      </c>
      <c r="C1280" s="1"/>
      <c r="D1280" s="3"/>
    </row>
    <row r="1281" spans="1:4" ht="15.75" customHeight="1" x14ac:dyDescent="0.3">
      <c r="A1281" s="2">
        <v>20412228627</v>
      </c>
      <c r="B1281" s="3" t="s">
        <v>1313</v>
      </c>
      <c r="C1281" s="1" t="s">
        <v>920</v>
      </c>
      <c r="D1281" s="3"/>
    </row>
    <row r="1282" spans="1:4" ht="15.75" customHeight="1" x14ac:dyDescent="0.3">
      <c r="A1282" s="2">
        <v>20367496836</v>
      </c>
      <c r="B1282" s="3" t="s">
        <v>1314</v>
      </c>
      <c r="C1282" s="1" t="s">
        <v>920</v>
      </c>
      <c r="D1282" s="3"/>
    </row>
    <row r="1283" spans="1:4" ht="15.75" customHeight="1" x14ac:dyDescent="0.3">
      <c r="A1283" s="2">
        <v>30710644809</v>
      </c>
      <c r="B1283" s="3" t="s">
        <v>1488</v>
      </c>
      <c r="C1283" s="1" t="s">
        <v>1565</v>
      </c>
      <c r="D1283" s="3"/>
    </row>
    <row r="1284" spans="1:4" ht="15.75" customHeight="1" x14ac:dyDescent="0.3">
      <c r="A1284" s="2">
        <v>27200094331</v>
      </c>
      <c r="B1284" s="3" t="s">
        <v>1489</v>
      </c>
      <c r="C1284" s="1" t="s">
        <v>1554</v>
      </c>
      <c r="D1284" s="3"/>
    </row>
    <row r="1285" spans="1:4" ht="15.75" customHeight="1" x14ac:dyDescent="0.3">
      <c r="A1285" s="2">
        <v>23342701469</v>
      </c>
      <c r="B1285" t="s">
        <v>1490</v>
      </c>
      <c r="C1285" s="1" t="s">
        <v>920</v>
      </c>
      <c r="D1285" s="3"/>
    </row>
    <row r="1286" spans="1:4" ht="15.75" customHeight="1" x14ac:dyDescent="0.3">
      <c r="A1286" s="2">
        <v>30712387390</v>
      </c>
      <c r="B1286" s="3" t="s">
        <v>1491</v>
      </c>
      <c r="C1286" s="1" t="s">
        <v>1553</v>
      </c>
      <c r="D1286" s="3"/>
    </row>
    <row r="1287" spans="1:4" ht="15.75" customHeight="1" x14ac:dyDescent="0.3">
      <c r="A1287" s="2">
        <v>30711493596</v>
      </c>
      <c r="B1287" s="3" t="s">
        <v>1492</v>
      </c>
      <c r="C1287" s="1" t="s">
        <v>1565</v>
      </c>
      <c r="D1287" s="3"/>
    </row>
    <row r="1288" spans="1:4" ht="15.75" customHeight="1" x14ac:dyDescent="0.3">
      <c r="A1288" s="2">
        <v>27270570564</v>
      </c>
      <c r="B1288" s="3" t="s">
        <v>1493</v>
      </c>
      <c r="C1288" s="1" t="s">
        <v>920</v>
      </c>
      <c r="D1288" s="3"/>
    </row>
    <row r="1289" spans="1:4" ht="15.75" customHeight="1" x14ac:dyDescent="0.3">
      <c r="A1289" s="2">
        <v>30709872911</v>
      </c>
      <c r="B1289" s="3" t="s">
        <v>1494</v>
      </c>
      <c r="C1289" s="1" t="s">
        <v>1562</v>
      </c>
      <c r="D1289" s="3"/>
    </row>
    <row r="1290" spans="1:4" ht="15.75" customHeight="1" x14ac:dyDescent="0.3">
      <c r="A1290" s="2">
        <v>30610333822</v>
      </c>
      <c r="B1290" s="3" t="s">
        <v>1495</v>
      </c>
      <c r="C1290" s="1" t="s">
        <v>920</v>
      </c>
      <c r="D1290" s="3"/>
    </row>
    <row r="1291" spans="1:4" ht="15.75" customHeight="1" x14ac:dyDescent="0.3">
      <c r="A1291" s="2">
        <v>30718293436</v>
      </c>
      <c r="B1291" s="3" t="s">
        <v>1496</v>
      </c>
      <c r="C1291" s="1" t="s">
        <v>1572</v>
      </c>
      <c r="D1291" s="3"/>
    </row>
    <row r="1292" spans="1:4" ht="15.75" customHeight="1" x14ac:dyDescent="0.3">
      <c r="A1292" s="2">
        <v>30715197509</v>
      </c>
      <c r="B1292" s="3" t="s">
        <v>1497</v>
      </c>
      <c r="C1292" s="1" t="s">
        <v>1572</v>
      </c>
      <c r="D1292" s="3"/>
    </row>
    <row r="1293" spans="1:4" ht="15.75" customHeight="1" x14ac:dyDescent="0.3">
      <c r="A1293" s="2">
        <v>30717740439</v>
      </c>
      <c r="B1293" s="3" t="s">
        <v>1498</v>
      </c>
      <c r="C1293" s="1" t="s">
        <v>908</v>
      </c>
      <c r="D1293" s="3"/>
    </row>
    <row r="1294" spans="1:4" ht="15.75" customHeight="1" x14ac:dyDescent="0.3">
      <c r="A1294" s="2">
        <v>30710567642</v>
      </c>
      <c r="B1294" s="3" t="s">
        <v>1499</v>
      </c>
      <c r="C1294" s="1" t="s">
        <v>920</v>
      </c>
      <c r="D1294" s="3"/>
    </row>
    <row r="1295" spans="1:4" ht="15.75" customHeight="1" x14ac:dyDescent="0.3">
      <c r="A1295" s="2">
        <v>30710492626</v>
      </c>
      <c r="B1295" t="s">
        <v>1500</v>
      </c>
      <c r="C1295" s="1" t="s">
        <v>7</v>
      </c>
      <c r="D1295" s="3"/>
    </row>
    <row r="1296" spans="1:4" ht="15.75" customHeight="1" x14ac:dyDescent="0.3">
      <c r="A1296" s="2">
        <v>30711125139</v>
      </c>
      <c r="B1296" s="3" t="s">
        <v>1501</v>
      </c>
      <c r="C1296" s="1" t="s">
        <v>1554</v>
      </c>
      <c r="D1296" s="3"/>
    </row>
    <row r="1297" spans="1:4" ht="15.75" customHeight="1" x14ac:dyDescent="0.3">
      <c r="A1297" s="2">
        <v>30717100308</v>
      </c>
      <c r="B1297" t="s">
        <v>1502</v>
      </c>
      <c r="C1297" s="1" t="s">
        <v>7</v>
      </c>
      <c r="D1297" s="3"/>
    </row>
    <row r="1298" spans="1:4" ht="15.75" customHeight="1" x14ac:dyDescent="0.3">
      <c r="A1298" s="2">
        <v>20104609288</v>
      </c>
      <c r="B1298" t="s">
        <v>1503</v>
      </c>
      <c r="C1298" s="1" t="s">
        <v>1556</v>
      </c>
      <c r="D1298" s="3"/>
    </row>
    <row r="1299" spans="1:4" ht="15.75" customHeight="1" x14ac:dyDescent="0.3">
      <c r="A1299" s="2">
        <v>30714769290</v>
      </c>
      <c r="B1299" s="3" t="s">
        <v>1504</v>
      </c>
      <c r="C1299" s="1" t="s">
        <v>1562</v>
      </c>
      <c r="D1299" s="3"/>
    </row>
    <row r="1300" spans="1:4" ht="15.75" customHeight="1" x14ac:dyDescent="0.3">
      <c r="A1300" s="2">
        <v>30718509552</v>
      </c>
      <c r="B1300" s="3" t="s">
        <v>1505</v>
      </c>
      <c r="C1300" s="1" t="s">
        <v>1556</v>
      </c>
      <c r="D1300" s="3"/>
    </row>
    <row r="1301" spans="1:4" ht="15.75" customHeight="1" x14ac:dyDescent="0.3">
      <c r="A1301" s="2">
        <v>23239931359</v>
      </c>
      <c r="B1301" t="s">
        <v>1510</v>
      </c>
      <c r="C1301" s="1"/>
      <c r="D1301" s="3"/>
    </row>
    <row r="1302" spans="1:4" ht="15.75" customHeight="1" x14ac:dyDescent="0.3">
      <c r="A1302" s="2">
        <v>30716559188</v>
      </c>
      <c r="B1302" s="3" t="s">
        <v>1290</v>
      </c>
      <c r="C1302" s="1" t="s">
        <v>920</v>
      </c>
      <c r="D1302" s="3"/>
    </row>
    <row r="1303" spans="1:4" ht="15.75" customHeight="1" x14ac:dyDescent="0.3">
      <c r="A1303" s="2">
        <v>30710804830</v>
      </c>
      <c r="B1303" s="3" t="s">
        <v>1512</v>
      </c>
      <c r="C1303" s="1" t="s">
        <v>1554</v>
      </c>
      <c r="D1303" s="3"/>
    </row>
    <row r="1304" spans="1:4" ht="15.75" customHeight="1" x14ac:dyDescent="0.3">
      <c r="A1304" s="2">
        <v>30700940957</v>
      </c>
      <c r="B1304" s="3" t="s">
        <v>1513</v>
      </c>
      <c r="C1304" s="1" t="s">
        <v>1555</v>
      </c>
      <c r="D1304" s="3"/>
    </row>
    <row r="1305" spans="1:4" ht="15.75" customHeight="1" x14ac:dyDescent="0.3">
      <c r="A1305" s="2">
        <v>20419155870</v>
      </c>
      <c r="B1305" s="3" t="s">
        <v>1514</v>
      </c>
      <c r="C1305" s="1" t="s">
        <v>1560</v>
      </c>
      <c r="D1305" s="3"/>
    </row>
    <row r="1306" spans="1:4" ht="15.75" customHeight="1" x14ac:dyDescent="0.3">
      <c r="A1306" s="2">
        <v>20224251263</v>
      </c>
      <c r="B1306" s="3" t="s">
        <v>1515</v>
      </c>
      <c r="C1306" s="1" t="s">
        <v>1554</v>
      </c>
      <c r="D1306" s="3"/>
    </row>
    <row r="1307" spans="1:4" ht="15.75" customHeight="1" x14ac:dyDescent="0.3">
      <c r="A1307" s="2">
        <v>30717247244</v>
      </c>
      <c r="B1307" s="3" t="s">
        <v>1516</v>
      </c>
      <c r="C1307" s="1" t="s">
        <v>1565</v>
      </c>
      <c r="D1307" s="3"/>
    </row>
    <row r="1308" spans="1:4" ht="15.75" customHeight="1" x14ac:dyDescent="0.3">
      <c r="A1308" s="2">
        <v>30716711621</v>
      </c>
      <c r="B1308" s="3" t="s">
        <v>1517</v>
      </c>
      <c r="C1308" s="1" t="s">
        <v>1562</v>
      </c>
      <c r="D1308" s="3"/>
    </row>
    <row r="1309" spans="1:4" ht="15.75" customHeight="1" x14ac:dyDescent="0.3">
      <c r="A1309" s="2">
        <v>20328816807</v>
      </c>
      <c r="B1309" s="3" t="s">
        <v>1518</v>
      </c>
      <c r="C1309" s="1" t="s">
        <v>1556</v>
      </c>
      <c r="D1309" s="3"/>
    </row>
    <row r="1310" spans="1:4" ht="15.75" customHeight="1" x14ac:dyDescent="0.3">
      <c r="A1310" s="2">
        <v>30716373475</v>
      </c>
      <c r="B1310" s="3" t="s">
        <v>1519</v>
      </c>
      <c r="C1310" s="1" t="s">
        <v>942</v>
      </c>
      <c r="D1310" s="3"/>
    </row>
    <row r="1311" spans="1:4" ht="15.75" customHeight="1" x14ac:dyDescent="0.3">
      <c r="A1311" s="2">
        <v>20315447241</v>
      </c>
      <c r="B1311" s="3" t="s">
        <v>1520</v>
      </c>
      <c r="C1311" s="1" t="s">
        <v>920</v>
      </c>
      <c r="D1311" s="3"/>
    </row>
    <row r="1312" spans="1:4" ht="15.75" customHeight="1" x14ac:dyDescent="0.3">
      <c r="A1312" s="2">
        <v>30716855909</v>
      </c>
      <c r="B1312" s="3" t="s">
        <v>1521</v>
      </c>
      <c r="C1312" s="1" t="s">
        <v>942</v>
      </c>
      <c r="D1312" s="3"/>
    </row>
    <row r="1313" spans="1:4" ht="15.75" customHeight="1" x14ac:dyDescent="0.3">
      <c r="A1313" s="2">
        <v>20268221590</v>
      </c>
      <c r="B1313" s="3" t="s">
        <v>1522</v>
      </c>
      <c r="C1313" s="1" t="s">
        <v>1554</v>
      </c>
      <c r="D1313" s="3"/>
    </row>
    <row r="1314" spans="1:4" ht="15.75" customHeight="1" x14ac:dyDescent="0.3">
      <c r="A1314" s="2">
        <v>30715907794</v>
      </c>
      <c r="B1314" s="3" t="s">
        <v>1523</v>
      </c>
      <c r="C1314" s="1" t="s">
        <v>1562</v>
      </c>
      <c r="D1314" s="3"/>
    </row>
    <row r="1315" spans="1:4" ht="15.75" customHeight="1" x14ac:dyDescent="0.3">
      <c r="A1315" s="2">
        <v>27190958464</v>
      </c>
      <c r="B1315" s="3" t="s">
        <v>1524</v>
      </c>
      <c r="C1315" s="1" t="s">
        <v>920</v>
      </c>
      <c r="D1315" s="3"/>
    </row>
    <row r="1316" spans="1:4" ht="15.75" customHeight="1" x14ac:dyDescent="0.3">
      <c r="A1316" s="2">
        <v>30716086492</v>
      </c>
      <c r="B1316" s="3" t="s">
        <v>1525</v>
      </c>
      <c r="C1316" s="1" t="s">
        <v>1553</v>
      </c>
      <c r="D1316" s="3"/>
    </row>
    <row r="1317" spans="1:4" ht="15.75" customHeight="1" x14ac:dyDescent="0.3">
      <c r="A1317" s="2">
        <v>23403990639</v>
      </c>
      <c r="B1317" s="3" t="s">
        <v>1526</v>
      </c>
      <c r="C1317" s="1" t="s">
        <v>942</v>
      </c>
      <c r="D1317" s="3"/>
    </row>
    <row r="1318" spans="1:4" ht="15.75" customHeight="1" x14ac:dyDescent="0.3">
      <c r="A1318" s="2">
        <v>20272726915</v>
      </c>
      <c r="B1318" s="3" t="s">
        <v>1527</v>
      </c>
      <c r="C1318" s="1" t="s">
        <v>942</v>
      </c>
      <c r="D1318" s="3"/>
    </row>
    <row r="1319" spans="1:4" ht="15.75" customHeight="1" x14ac:dyDescent="0.3">
      <c r="A1319" s="2">
        <v>30716160889</v>
      </c>
      <c r="B1319" s="3" t="s">
        <v>1528</v>
      </c>
      <c r="C1319" s="1" t="s">
        <v>1553</v>
      </c>
      <c r="D1319" s="3"/>
    </row>
    <row r="1320" spans="1:4" ht="15.75" customHeight="1" x14ac:dyDescent="0.3">
      <c r="A1320" s="2">
        <v>20362474737</v>
      </c>
      <c r="B1320" s="3" t="s">
        <v>1530</v>
      </c>
      <c r="C1320" s="1"/>
      <c r="D1320" s="3"/>
    </row>
    <row r="1321" spans="1:4" ht="15.75" customHeight="1" x14ac:dyDescent="0.3">
      <c r="A1321" s="2">
        <v>20247759426</v>
      </c>
      <c r="B1321" s="3" t="s">
        <v>1539</v>
      </c>
      <c r="C1321" s="1"/>
      <c r="D1321" s="3"/>
    </row>
    <row r="1322" spans="1:4" ht="15.75" customHeight="1" x14ac:dyDescent="0.3">
      <c r="A1322" s="2">
        <v>23298673614</v>
      </c>
      <c r="B1322" s="3" t="s">
        <v>1540</v>
      </c>
      <c r="C1322" s="1"/>
      <c r="D1322" s="3"/>
    </row>
    <row r="1323" spans="1:4" ht="15.75" customHeight="1" x14ac:dyDescent="0.3">
      <c r="A1323" s="2">
        <v>27164522704</v>
      </c>
      <c r="B1323" s="3" t="s">
        <v>1541</v>
      </c>
      <c r="C1323" s="1"/>
      <c r="D1323" s="3"/>
    </row>
    <row r="1324" spans="1:4" ht="15.75" customHeight="1" x14ac:dyDescent="0.3">
      <c r="A1324" s="2">
        <v>20402302462</v>
      </c>
      <c r="B1324" s="3" t="s">
        <v>1542</v>
      </c>
      <c r="C1324" s="1"/>
      <c r="D1324" s="3"/>
    </row>
    <row r="1325" spans="1:4" ht="15.75" customHeight="1" x14ac:dyDescent="0.3">
      <c r="A1325" s="2">
        <v>20166817235</v>
      </c>
      <c r="B1325" s="3" t="s">
        <v>1543</v>
      </c>
      <c r="C1325" s="1"/>
      <c r="D1325" s="3"/>
    </row>
    <row r="1326" spans="1:4" ht="15.75" customHeight="1" x14ac:dyDescent="0.3">
      <c r="A1326" s="2">
        <v>20351363283</v>
      </c>
      <c r="B1326" s="3" t="s">
        <v>1549</v>
      </c>
      <c r="C1326" s="1" t="s">
        <v>920</v>
      </c>
      <c r="D1326" s="3"/>
    </row>
    <row r="1327" spans="1:4" ht="15.75" customHeight="1" x14ac:dyDescent="0.3">
      <c r="A1327" s="2">
        <v>33716423919</v>
      </c>
      <c r="B1327" s="3" t="s">
        <v>1550</v>
      </c>
      <c r="C1327" s="1" t="s">
        <v>920</v>
      </c>
      <c r="D1327" s="3"/>
    </row>
    <row r="1328" spans="1:4" ht="15.75" customHeight="1" x14ac:dyDescent="0.3">
      <c r="A1328" s="2">
        <v>30716578077</v>
      </c>
      <c r="B1328" s="3" t="s">
        <v>1551</v>
      </c>
      <c r="C1328" s="1" t="s">
        <v>942</v>
      </c>
      <c r="D1328" s="3"/>
    </row>
    <row r="1329" spans="1:4" ht="15.75" customHeight="1" x14ac:dyDescent="0.3">
      <c r="A1329" s="2">
        <v>23958056354</v>
      </c>
      <c r="B1329" s="3" t="s">
        <v>1552</v>
      </c>
      <c r="C1329" s="1" t="s">
        <v>920</v>
      </c>
      <c r="D1329" s="3"/>
    </row>
    <row r="1330" spans="1:4" ht="15.75" customHeight="1" x14ac:dyDescent="0.3">
      <c r="A1330" s="2">
        <v>30715595105</v>
      </c>
      <c r="B1330" s="3" t="s">
        <v>1573</v>
      </c>
      <c r="C1330" s="1"/>
      <c r="D1330" s="3"/>
    </row>
    <row r="1331" spans="1:4" ht="15.75" customHeight="1" x14ac:dyDescent="0.3">
      <c r="A1331" s="2">
        <v>20272628212</v>
      </c>
      <c r="B1331" s="3" t="s">
        <v>1574</v>
      </c>
      <c r="C1331" s="1" t="s">
        <v>1556</v>
      </c>
      <c r="D1331" s="3"/>
    </row>
    <row r="1332" spans="1:4" ht="15.75" customHeight="1" x14ac:dyDescent="0.3">
      <c r="A1332" s="2">
        <v>30709800635</v>
      </c>
      <c r="B1332" s="3" t="s">
        <v>1575</v>
      </c>
      <c r="C1332" s="1" t="s">
        <v>1562</v>
      </c>
      <c r="D1332" s="3"/>
    </row>
    <row r="1333" spans="1:4" ht="15.75" customHeight="1" x14ac:dyDescent="0.3">
      <c r="A1333" s="2">
        <v>30717480666</v>
      </c>
      <c r="B1333" s="3" t="s">
        <v>1576</v>
      </c>
      <c r="C1333" s="1" t="s">
        <v>1562</v>
      </c>
      <c r="D1333" s="3"/>
    </row>
    <row r="1334" spans="1:4" ht="15.75" customHeight="1" x14ac:dyDescent="0.3">
      <c r="A1334" s="2">
        <v>33715908099</v>
      </c>
      <c r="B1334" s="3" t="s">
        <v>1577</v>
      </c>
      <c r="C1334" s="1" t="s">
        <v>1572</v>
      </c>
      <c r="D1334" s="3"/>
    </row>
    <row r="1335" spans="1:4" ht="15.75" customHeight="1" x14ac:dyDescent="0.3">
      <c r="A1335" s="2">
        <v>30692859908</v>
      </c>
      <c r="B1335" s="3" t="s">
        <v>1578</v>
      </c>
      <c r="C1335" s="1" t="s">
        <v>942</v>
      </c>
      <c r="D1335" s="3"/>
    </row>
    <row r="1336" spans="1:4" ht="15.75" customHeight="1" x14ac:dyDescent="0.3">
      <c r="A1336" s="2">
        <v>30538456876</v>
      </c>
      <c r="B1336" s="3" t="s">
        <v>1579</v>
      </c>
      <c r="C1336" s="1" t="s">
        <v>97</v>
      </c>
      <c r="D1336" s="3"/>
    </row>
    <row r="1337" spans="1:4" ht="15.75" customHeight="1" x14ac:dyDescent="0.3">
      <c r="A1337" s="2">
        <v>30710201249</v>
      </c>
      <c r="B1337" s="3" t="s">
        <v>1582</v>
      </c>
      <c r="C1337" s="1" t="s">
        <v>1562</v>
      </c>
      <c r="D1337" s="3"/>
    </row>
    <row r="1338" spans="1:4" ht="15.75" customHeight="1" x14ac:dyDescent="0.3">
      <c r="A1338" s="2">
        <v>20231333593</v>
      </c>
      <c r="B1338" s="3" t="s">
        <v>1583</v>
      </c>
      <c r="C1338" s="1" t="s">
        <v>7</v>
      </c>
      <c r="D1338" s="3"/>
    </row>
    <row r="1339" spans="1:4" ht="15.75" customHeight="1" x14ac:dyDescent="0.3">
      <c r="A1339" s="2">
        <v>30534051049</v>
      </c>
      <c r="B1339" s="3" t="s">
        <v>1584</v>
      </c>
      <c r="C1339" s="1" t="s">
        <v>942</v>
      </c>
      <c r="D1339" s="3"/>
    </row>
    <row r="1340" spans="1:4" ht="15.75" customHeight="1" x14ac:dyDescent="0.3">
      <c r="A1340" s="2">
        <v>20241271235</v>
      </c>
      <c r="B1340" s="3" t="s">
        <v>1585</v>
      </c>
      <c r="C1340" s="1" t="s">
        <v>942</v>
      </c>
      <c r="D1340" s="3"/>
    </row>
    <row r="1341" spans="1:4" ht="15.75" customHeight="1" x14ac:dyDescent="0.3">
      <c r="A1341" s="2">
        <v>20330173328</v>
      </c>
      <c r="B1341" s="3" t="s">
        <v>1586</v>
      </c>
      <c r="C1341" s="1" t="s">
        <v>942</v>
      </c>
      <c r="D1341" s="3"/>
    </row>
    <row r="1342" spans="1:4" ht="15.75" customHeight="1" x14ac:dyDescent="0.3">
      <c r="A1342" s="2">
        <v>30718387619</v>
      </c>
      <c r="B1342" s="3" t="s">
        <v>1587</v>
      </c>
      <c r="C1342" s="1" t="s">
        <v>920</v>
      </c>
      <c r="D1342" s="3"/>
    </row>
    <row r="1343" spans="1:4" ht="15.75" customHeight="1" x14ac:dyDescent="0.3">
      <c r="A1343" s="2">
        <v>20228589218</v>
      </c>
      <c r="B1343" s="3" t="s">
        <v>1588</v>
      </c>
      <c r="C1343" s="1" t="s">
        <v>920</v>
      </c>
      <c r="D1343" s="3"/>
    </row>
    <row r="1344" spans="1:4" ht="15.75" customHeight="1" x14ac:dyDescent="0.3">
      <c r="A1344" s="2">
        <v>20206466848</v>
      </c>
      <c r="B1344" s="3" t="s">
        <v>1589</v>
      </c>
      <c r="C1344" s="1" t="s">
        <v>7</v>
      </c>
      <c r="D1344" s="3"/>
    </row>
    <row r="1345" spans="1:4" ht="15.75" customHeight="1" x14ac:dyDescent="0.3">
      <c r="A1345" s="2">
        <v>20166808201</v>
      </c>
      <c r="B1345" s="3" t="s">
        <v>1590</v>
      </c>
      <c r="C1345" s="1" t="s">
        <v>1553</v>
      </c>
      <c r="D1345" s="3"/>
    </row>
    <row r="1346" spans="1:4" ht="15.75" customHeight="1" x14ac:dyDescent="0.3">
      <c r="A1346" s="2">
        <v>30707466320</v>
      </c>
      <c r="B1346" s="3" t="s">
        <v>1591</v>
      </c>
      <c r="C1346" s="1"/>
      <c r="D1346" s="3"/>
    </row>
    <row r="1347" spans="1:4" ht="15.75" customHeight="1" x14ac:dyDescent="0.3">
      <c r="A1347" s="2">
        <v>30716389681</v>
      </c>
      <c r="B1347" s="3" t="s">
        <v>1596</v>
      </c>
      <c r="C1347" s="1" t="s">
        <v>1562</v>
      </c>
      <c r="D1347" s="3"/>
    </row>
    <row r="1348" spans="1:4" ht="15.75" customHeight="1" x14ac:dyDescent="0.3">
      <c r="A1348" s="2">
        <v>20420256796</v>
      </c>
      <c r="B1348" s="3" t="s">
        <v>1597</v>
      </c>
      <c r="C1348" s="1" t="s">
        <v>1562</v>
      </c>
      <c r="D1348" s="3"/>
    </row>
    <row r="1349" spans="1:4" ht="15.75" customHeight="1" x14ac:dyDescent="0.3">
      <c r="A1349" s="2">
        <v>30717581985</v>
      </c>
      <c r="B1349" s="3" t="s">
        <v>1598</v>
      </c>
      <c r="C1349" s="1" t="s">
        <v>942</v>
      </c>
      <c r="D1349" s="3"/>
    </row>
    <row r="1350" spans="1:4" ht="15.75" customHeight="1" x14ac:dyDescent="0.3">
      <c r="A1350" s="2">
        <v>20182339564</v>
      </c>
      <c r="B1350" s="3" t="s">
        <v>1599</v>
      </c>
      <c r="C1350" s="1" t="s">
        <v>942</v>
      </c>
      <c r="D1350" s="3"/>
    </row>
    <row r="1351" spans="1:4" ht="15.75" customHeight="1" x14ac:dyDescent="0.3">
      <c r="A1351" s="2">
        <v>30715266527</v>
      </c>
      <c r="B1351" s="3" t="s">
        <v>1600</v>
      </c>
      <c r="C1351" s="1" t="s">
        <v>942</v>
      </c>
      <c r="D1351" s="3"/>
    </row>
    <row r="1352" spans="1:4" ht="15.75" customHeight="1" x14ac:dyDescent="0.3">
      <c r="A1352" s="2">
        <v>33634082129</v>
      </c>
      <c r="B1352" s="3" t="s">
        <v>1601</v>
      </c>
      <c r="C1352" s="1" t="s">
        <v>942</v>
      </c>
      <c r="D1352" s="3"/>
    </row>
    <row r="1353" spans="1:4" ht="15.75" customHeight="1" x14ac:dyDescent="0.3">
      <c r="A1353" s="2">
        <v>30715368680</v>
      </c>
      <c r="B1353" s="3" t="s">
        <v>1602</v>
      </c>
      <c r="C1353" s="1" t="s">
        <v>920</v>
      </c>
      <c r="D1353" s="3"/>
    </row>
    <row r="1354" spans="1:4" ht="15.75" customHeight="1" x14ac:dyDescent="0.3">
      <c r="A1354" s="2">
        <v>30710852762</v>
      </c>
      <c r="B1354" s="3" t="s">
        <v>1603</v>
      </c>
      <c r="C1354" s="1" t="s">
        <v>920</v>
      </c>
      <c r="D1354" s="3"/>
    </row>
    <row r="1355" spans="1:4" ht="15.75" customHeight="1" x14ac:dyDescent="0.3">
      <c r="A1355" s="2">
        <v>30715296000</v>
      </c>
      <c r="B1355" s="3" t="s">
        <v>1604</v>
      </c>
      <c r="C1355" s="1" t="s">
        <v>942</v>
      </c>
      <c r="D1355" s="3"/>
    </row>
    <row r="1356" spans="1:4" ht="15.75" customHeight="1" x14ac:dyDescent="0.3">
      <c r="A1356" s="2">
        <v>20265168478</v>
      </c>
      <c r="B1356" s="3" t="s">
        <v>1605</v>
      </c>
      <c r="C1356" s="1" t="s">
        <v>908</v>
      </c>
      <c r="D1356" s="3"/>
    </row>
    <row r="1357" spans="1:4" ht="15.75" customHeight="1" x14ac:dyDescent="0.3">
      <c r="A1357" s="2">
        <v>27200507466</v>
      </c>
      <c r="B1357" s="3" t="s">
        <v>1606</v>
      </c>
      <c r="C1357" s="1" t="s">
        <v>1562</v>
      </c>
      <c r="D1357" s="3"/>
    </row>
    <row r="1358" spans="1:4" ht="15.75" customHeight="1" x14ac:dyDescent="0.3">
      <c r="A1358" s="2">
        <v>20941496963</v>
      </c>
      <c r="B1358" s="3" t="s">
        <v>1607</v>
      </c>
      <c r="C1358" s="1" t="s">
        <v>1559</v>
      </c>
      <c r="D1358" s="3"/>
    </row>
    <row r="1359" spans="1:4" ht="15.75" customHeight="1" x14ac:dyDescent="0.3">
      <c r="A1359" s="2"/>
      <c r="B1359" s="3"/>
      <c r="C1359" s="1"/>
      <c r="D1359" s="3"/>
    </row>
    <row r="1360" spans="1:4" ht="15.75" customHeight="1" x14ac:dyDescent="0.3">
      <c r="A1360" s="2"/>
      <c r="B1360" s="3"/>
      <c r="C1360" s="1"/>
      <c r="D1360" s="3"/>
    </row>
    <row r="1361" spans="1:4" ht="15.75" customHeight="1" x14ac:dyDescent="0.3">
      <c r="A1361" s="2"/>
      <c r="B1361" s="3"/>
      <c r="C1361" s="1"/>
      <c r="D1361" s="3"/>
    </row>
    <row r="1362" spans="1:4" ht="15.75" customHeight="1" x14ac:dyDescent="0.3">
      <c r="A1362" s="2"/>
      <c r="B1362" s="3"/>
      <c r="C1362" s="1"/>
      <c r="D1362" s="3"/>
    </row>
    <row r="1363" spans="1:4" ht="15.75" customHeight="1" x14ac:dyDescent="0.3">
      <c r="A1363" s="2"/>
      <c r="B1363" s="3"/>
      <c r="C1363" s="1"/>
      <c r="D1363" s="3"/>
    </row>
    <row r="1364" spans="1:4" ht="15.75" customHeight="1" x14ac:dyDescent="0.3">
      <c r="A1364" s="2"/>
      <c r="B1364" s="3"/>
      <c r="C1364" s="1"/>
      <c r="D1364" s="3"/>
    </row>
    <row r="1365" spans="1:4" ht="15.75" customHeight="1" x14ac:dyDescent="0.3">
      <c r="A1365" s="2"/>
      <c r="B1365" s="3"/>
      <c r="C1365" s="1"/>
      <c r="D1365" s="3"/>
    </row>
    <row r="1366" spans="1:4" ht="15.75" customHeight="1" x14ac:dyDescent="0.3">
      <c r="A1366" s="2"/>
      <c r="B1366" s="3"/>
      <c r="C1366" s="1"/>
      <c r="D1366" s="3"/>
    </row>
    <row r="1367" spans="1:4" ht="15.75" customHeight="1" x14ac:dyDescent="0.3">
      <c r="A1367" s="2"/>
      <c r="B1367" s="3"/>
      <c r="C1367" s="1"/>
      <c r="D1367" s="3"/>
    </row>
    <row r="1368" spans="1:4" ht="15.75" customHeight="1" x14ac:dyDescent="0.3">
      <c r="A1368" s="2"/>
      <c r="B1368" s="3"/>
      <c r="C1368" s="1"/>
      <c r="D1368" s="3"/>
    </row>
    <row r="1369" spans="1:4" ht="15.75" customHeight="1" x14ac:dyDescent="0.3">
      <c r="A1369" s="2"/>
      <c r="B1369" s="3"/>
      <c r="C1369" s="1"/>
      <c r="D1369" s="3"/>
    </row>
    <row r="1370" spans="1:4" ht="15.75" customHeight="1" x14ac:dyDescent="0.3">
      <c r="A1370" s="2"/>
      <c r="B1370" s="3"/>
      <c r="C1370" s="1"/>
      <c r="D1370" s="3"/>
    </row>
    <row r="1371" spans="1:4" ht="15.75" customHeight="1" x14ac:dyDescent="0.3">
      <c r="A1371" s="2"/>
      <c r="B1371" s="3"/>
      <c r="C1371" s="1"/>
      <c r="D1371" s="3"/>
    </row>
    <row r="1372" spans="1:4" ht="15.75" customHeight="1" x14ac:dyDescent="0.3">
      <c r="A1372" s="2"/>
      <c r="B1372" s="3"/>
      <c r="C1372" s="1"/>
      <c r="D1372" s="3"/>
    </row>
    <row r="1373" spans="1:4" ht="15.75" customHeight="1" x14ac:dyDescent="0.3">
      <c r="A1373" s="2"/>
      <c r="B1373" s="3"/>
      <c r="C1373" s="1"/>
      <c r="D1373" s="3"/>
    </row>
    <row r="1374" spans="1:4" ht="15.75" customHeight="1" x14ac:dyDescent="0.3">
      <c r="A1374" s="2"/>
      <c r="B1374" s="3"/>
      <c r="C1374" s="1"/>
      <c r="D1374" s="3"/>
    </row>
    <row r="1375" spans="1:4" ht="15.75" customHeight="1" x14ac:dyDescent="0.3">
      <c r="A1375" s="2"/>
      <c r="B1375" s="3"/>
      <c r="C1375" s="1"/>
      <c r="D1375" s="3"/>
    </row>
    <row r="1376" spans="1:4" ht="15.75" customHeight="1" x14ac:dyDescent="0.3">
      <c r="A1376" s="2"/>
      <c r="B1376" s="3"/>
      <c r="C1376" s="1"/>
      <c r="D1376" s="3"/>
    </row>
    <row r="1377" spans="1:4" ht="15.75" customHeight="1" x14ac:dyDescent="0.3">
      <c r="A1377" s="2"/>
      <c r="B1377" s="3"/>
      <c r="C1377" s="1"/>
      <c r="D1377" s="3"/>
    </row>
    <row r="1378" spans="1:4" ht="15.75" customHeight="1" x14ac:dyDescent="0.3">
      <c r="A1378" s="2"/>
      <c r="B1378" s="3"/>
      <c r="C1378" s="1"/>
      <c r="D1378" s="3"/>
    </row>
    <row r="1379" spans="1:4" ht="15.75" customHeight="1" x14ac:dyDescent="0.3">
      <c r="A1379" s="2"/>
      <c r="B1379" s="3"/>
      <c r="C1379" s="1"/>
      <c r="D1379" s="3"/>
    </row>
    <row r="1380" spans="1:4" ht="15.75" customHeight="1" x14ac:dyDescent="0.3">
      <c r="A1380" s="2"/>
      <c r="B1380" s="3"/>
      <c r="C1380" s="1"/>
      <c r="D1380" s="3"/>
    </row>
    <row r="1381" spans="1:4" ht="15.75" customHeight="1" x14ac:dyDescent="0.3">
      <c r="A1381" s="2"/>
      <c r="B1381" s="3"/>
      <c r="C1381" s="1"/>
      <c r="D1381" s="3"/>
    </row>
    <row r="1382" spans="1:4" ht="15.75" customHeight="1" x14ac:dyDescent="0.3">
      <c r="A1382" s="2"/>
      <c r="B1382" s="3"/>
      <c r="C1382" s="1"/>
      <c r="D1382" s="3"/>
    </row>
    <row r="1383" spans="1:4" ht="15.75" customHeight="1" x14ac:dyDescent="0.3">
      <c r="A1383" s="2"/>
      <c r="B1383" s="3"/>
      <c r="C1383" s="1"/>
      <c r="D1383" s="3"/>
    </row>
    <row r="1384" spans="1:4" ht="15.75" customHeight="1" x14ac:dyDescent="0.3">
      <c r="A1384" s="2"/>
      <c r="B1384" s="3"/>
      <c r="C1384" s="1"/>
      <c r="D1384" s="3"/>
    </row>
    <row r="1385" spans="1:4" ht="15.75" customHeight="1" x14ac:dyDescent="0.3">
      <c r="A1385" s="2"/>
      <c r="B1385" s="3"/>
      <c r="C1385" s="1"/>
      <c r="D1385" s="3"/>
    </row>
    <row r="1386" spans="1:4" ht="15.75" customHeight="1" x14ac:dyDescent="0.3">
      <c r="A1386" s="2"/>
      <c r="B1386" s="3"/>
      <c r="C1386" s="1"/>
      <c r="D1386" s="3"/>
    </row>
    <row r="1387" spans="1:4" ht="15.75" customHeight="1" x14ac:dyDescent="0.3">
      <c r="A1387" s="2"/>
      <c r="B1387" s="3"/>
      <c r="C1387" s="1"/>
      <c r="D1387" s="3"/>
    </row>
    <row r="1388" spans="1:4" ht="15.75" customHeight="1" x14ac:dyDescent="0.3">
      <c r="A1388" s="2"/>
      <c r="B1388" s="3"/>
      <c r="C1388" s="1"/>
      <c r="D1388" s="3"/>
    </row>
    <row r="1389" spans="1:4" ht="15.75" customHeight="1" x14ac:dyDescent="0.3">
      <c r="A1389" s="2"/>
      <c r="B1389" s="3"/>
      <c r="C1389" s="1"/>
      <c r="D1389" s="3"/>
    </row>
    <row r="1390" spans="1:4" ht="15.75" customHeight="1" x14ac:dyDescent="0.3">
      <c r="A1390" s="2"/>
      <c r="B1390" s="3"/>
      <c r="C1390" s="1"/>
      <c r="D1390" s="3"/>
    </row>
    <row r="1391" spans="1:4" ht="15.75" customHeight="1" x14ac:dyDescent="0.3">
      <c r="A1391" s="2"/>
      <c r="B1391" s="3"/>
      <c r="C1391" s="1"/>
      <c r="D1391" s="3"/>
    </row>
    <row r="1392" spans="1:4" ht="15.75" customHeight="1" x14ac:dyDescent="0.3">
      <c r="A1392" s="2"/>
      <c r="B1392" s="3"/>
      <c r="C1392" s="1"/>
      <c r="D1392" s="3"/>
    </row>
    <row r="1393" spans="1:4" ht="15.75" customHeight="1" x14ac:dyDescent="0.3">
      <c r="A1393" s="2"/>
      <c r="B1393" s="3"/>
      <c r="C1393" s="1"/>
      <c r="D1393" s="3"/>
    </row>
    <row r="1394" spans="1:4" ht="15.75" customHeight="1" x14ac:dyDescent="0.3">
      <c r="A1394" s="2"/>
      <c r="B1394" s="3"/>
      <c r="C1394" s="1"/>
      <c r="D1394" s="3"/>
    </row>
    <row r="1395" spans="1:4" ht="15.75" customHeight="1" x14ac:dyDescent="0.3">
      <c r="A1395" s="2"/>
      <c r="B1395" s="3"/>
      <c r="C1395" s="1"/>
      <c r="D1395" s="3"/>
    </row>
    <row r="1396" spans="1:4" ht="15.75" customHeight="1" x14ac:dyDescent="0.3">
      <c r="A1396" s="2"/>
      <c r="B1396" s="3"/>
      <c r="C1396" s="1"/>
      <c r="D1396" s="3"/>
    </row>
    <row r="1397" spans="1:4" ht="15.75" customHeight="1" x14ac:dyDescent="0.3">
      <c r="A1397" s="2"/>
      <c r="B1397" s="3"/>
      <c r="C1397" s="1"/>
      <c r="D1397" s="3"/>
    </row>
    <row r="1398" spans="1:4" ht="15.75" customHeight="1" x14ac:dyDescent="0.3">
      <c r="A1398" s="2"/>
      <c r="B1398" s="3"/>
      <c r="C1398" s="1"/>
      <c r="D1398" s="3"/>
    </row>
    <row r="1399" spans="1:4" ht="15.75" customHeight="1" x14ac:dyDescent="0.3">
      <c r="A1399" s="2"/>
      <c r="B1399" s="3"/>
      <c r="C1399" s="1"/>
      <c r="D1399" s="3"/>
    </row>
    <row r="1400" spans="1:4" ht="15.75" customHeight="1" x14ac:dyDescent="0.3">
      <c r="A1400" s="2"/>
      <c r="B1400" s="3"/>
      <c r="C1400" s="1"/>
      <c r="D1400" s="3"/>
    </row>
    <row r="1401" spans="1:4" ht="15.75" customHeight="1" x14ac:dyDescent="0.3">
      <c r="A1401" s="2"/>
      <c r="B1401" s="3"/>
      <c r="C1401" s="1"/>
      <c r="D1401" s="3"/>
    </row>
    <row r="1402" spans="1:4" ht="15.75" customHeight="1" x14ac:dyDescent="0.3">
      <c r="A1402" s="2"/>
      <c r="B1402" s="3"/>
      <c r="C1402" s="1"/>
      <c r="D1402" s="3"/>
    </row>
    <row r="1403" spans="1:4" ht="15.75" customHeight="1" x14ac:dyDescent="0.3">
      <c r="A1403" s="2"/>
      <c r="B1403" s="3"/>
      <c r="C1403" s="1"/>
      <c r="D1403" s="3"/>
    </row>
    <row r="1404" spans="1:4" ht="15.75" customHeight="1" x14ac:dyDescent="0.3">
      <c r="A1404" s="2"/>
      <c r="B1404" s="3"/>
      <c r="C1404" s="1"/>
      <c r="D1404" s="3"/>
    </row>
    <row r="1405" spans="1:4" ht="15.75" customHeight="1" x14ac:dyDescent="0.3">
      <c r="A1405" s="2"/>
      <c r="B1405" s="3"/>
      <c r="C1405" s="1"/>
      <c r="D1405" s="3"/>
    </row>
    <row r="1406" spans="1:4" ht="15.75" customHeight="1" x14ac:dyDescent="0.3">
      <c r="A1406" s="2"/>
      <c r="B1406" s="3"/>
      <c r="C1406" s="1"/>
      <c r="D1406" s="3"/>
    </row>
    <row r="1407" spans="1:4" ht="15.75" customHeight="1" x14ac:dyDescent="0.3">
      <c r="A1407" s="2"/>
      <c r="B1407" s="3"/>
      <c r="C1407" s="1"/>
      <c r="D1407" s="3"/>
    </row>
    <row r="1408" spans="1:4" ht="15.75" customHeight="1" x14ac:dyDescent="0.3">
      <c r="A1408" s="2"/>
      <c r="B1408" s="3"/>
      <c r="C1408" s="1"/>
      <c r="D1408" s="3"/>
    </row>
    <row r="1409" spans="1:4" ht="15.75" customHeight="1" x14ac:dyDescent="0.3">
      <c r="A1409" s="2"/>
      <c r="B1409" s="3"/>
      <c r="C1409" s="1"/>
      <c r="D1409" s="3"/>
    </row>
    <row r="1410" spans="1:4" ht="15.75" customHeight="1" x14ac:dyDescent="0.3">
      <c r="A1410" s="2"/>
      <c r="B1410" s="3"/>
      <c r="C1410" s="1"/>
      <c r="D1410" s="3"/>
    </row>
    <row r="1411" spans="1:4" ht="15.75" customHeight="1" x14ac:dyDescent="0.3">
      <c r="A1411" s="2"/>
      <c r="B1411" s="3"/>
      <c r="C1411" s="1"/>
      <c r="D1411" s="3"/>
    </row>
    <row r="1412" spans="1:4" ht="15.75" customHeight="1" x14ac:dyDescent="0.3">
      <c r="A1412" s="2"/>
      <c r="B1412" s="3"/>
      <c r="C1412" s="1"/>
      <c r="D1412" s="3"/>
    </row>
    <row r="1413" spans="1:4" ht="15.75" customHeight="1" x14ac:dyDescent="0.3">
      <c r="A1413" s="2"/>
      <c r="B1413" s="3"/>
      <c r="C1413" s="1"/>
      <c r="D1413" s="3"/>
    </row>
    <row r="1414" spans="1:4" ht="15.75" customHeight="1" x14ac:dyDescent="0.3">
      <c r="A1414" s="2"/>
      <c r="B1414" s="3"/>
      <c r="C1414" s="1"/>
      <c r="D1414" s="3"/>
    </row>
    <row r="1415" spans="1:4" ht="15.75" customHeight="1" x14ac:dyDescent="0.3">
      <c r="A1415" s="2"/>
      <c r="B1415" s="3"/>
      <c r="C1415" s="1"/>
      <c r="D1415" s="3"/>
    </row>
    <row r="1416" spans="1:4" ht="15.75" customHeight="1" x14ac:dyDescent="0.3">
      <c r="A1416" s="2"/>
      <c r="B1416" s="3"/>
      <c r="C1416" s="1"/>
      <c r="D1416" s="3"/>
    </row>
    <row r="1417" spans="1:4" ht="15.75" customHeight="1" x14ac:dyDescent="0.3">
      <c r="A1417" s="2"/>
      <c r="B1417" s="3"/>
      <c r="C1417" s="1"/>
      <c r="D1417" s="3"/>
    </row>
    <row r="1418" spans="1:4" ht="15.75" customHeight="1" x14ac:dyDescent="0.3">
      <c r="A1418" s="2"/>
      <c r="B1418" s="3"/>
      <c r="C1418" s="1"/>
      <c r="D1418" s="3"/>
    </row>
    <row r="1419" spans="1:4" ht="15.75" customHeight="1" x14ac:dyDescent="0.3">
      <c r="A1419" s="2"/>
      <c r="B1419" s="3"/>
      <c r="C1419" s="1"/>
      <c r="D1419" s="3"/>
    </row>
    <row r="1420" spans="1:4" ht="15.75" customHeight="1" x14ac:dyDescent="0.3">
      <c r="A1420" s="2"/>
      <c r="B1420" s="3"/>
      <c r="C1420" s="1"/>
      <c r="D1420" s="3"/>
    </row>
    <row r="1421" spans="1:4" ht="15.75" customHeight="1" x14ac:dyDescent="0.3">
      <c r="A1421" s="2"/>
      <c r="B1421" s="3"/>
      <c r="C1421" s="1"/>
      <c r="D1421" s="3"/>
    </row>
    <row r="1422" spans="1:4" ht="15.75" customHeight="1" x14ac:dyDescent="0.3">
      <c r="A1422" s="2"/>
      <c r="B1422" s="3"/>
      <c r="C1422" s="1"/>
      <c r="D1422" s="3"/>
    </row>
    <row r="1423" spans="1:4" ht="15.75" customHeight="1" x14ac:dyDescent="0.3">
      <c r="A1423" s="2"/>
      <c r="B1423" s="3"/>
      <c r="C1423" s="1"/>
      <c r="D1423" s="3"/>
    </row>
    <row r="1424" spans="1:4" ht="15.75" customHeight="1" x14ac:dyDescent="0.3">
      <c r="A1424" s="2"/>
      <c r="B1424" s="3"/>
      <c r="C1424" s="1"/>
      <c r="D1424" s="3"/>
    </row>
    <row r="1425" spans="1:4" ht="15.75" customHeight="1" x14ac:dyDescent="0.3">
      <c r="A1425" s="2"/>
      <c r="B1425" s="3"/>
      <c r="C1425" s="1"/>
      <c r="D1425" s="3"/>
    </row>
    <row r="1426" spans="1:4" ht="15.75" customHeight="1" x14ac:dyDescent="0.3">
      <c r="A1426" s="2"/>
      <c r="B1426" s="3"/>
      <c r="C1426" s="1"/>
      <c r="D1426" s="3"/>
    </row>
    <row r="1427" spans="1:4" ht="15.75" customHeight="1" x14ac:dyDescent="0.3">
      <c r="A1427" s="2"/>
      <c r="B1427" s="3"/>
      <c r="C1427" s="1"/>
      <c r="D1427" s="3"/>
    </row>
    <row r="1428" spans="1:4" ht="15.75" customHeight="1" x14ac:dyDescent="0.3">
      <c r="A1428" s="2"/>
      <c r="B1428" s="3"/>
      <c r="C1428" s="1"/>
      <c r="D1428" s="3"/>
    </row>
    <row r="1429" spans="1:4" ht="15.75" customHeight="1" x14ac:dyDescent="0.3">
      <c r="A1429" s="2"/>
      <c r="B1429" s="3"/>
      <c r="C1429" s="1"/>
      <c r="D1429" s="3"/>
    </row>
    <row r="1430" spans="1:4" ht="15.75" customHeight="1" x14ac:dyDescent="0.3">
      <c r="A1430" s="2"/>
      <c r="B1430" s="3"/>
      <c r="C1430" s="1"/>
      <c r="D1430" s="3"/>
    </row>
    <row r="1431" spans="1:4" ht="15.75" customHeight="1" x14ac:dyDescent="0.3">
      <c r="A1431" s="2"/>
      <c r="B1431" s="3"/>
      <c r="C1431" s="1"/>
      <c r="D1431" s="3"/>
    </row>
    <row r="1432" spans="1:4" ht="15.75" customHeight="1" x14ac:dyDescent="0.3">
      <c r="A1432" s="2"/>
      <c r="B1432" s="3"/>
      <c r="C1432" s="1"/>
      <c r="D1432" s="3"/>
    </row>
    <row r="1433" spans="1:4" ht="15.75" customHeight="1" x14ac:dyDescent="0.3">
      <c r="A1433" s="2"/>
      <c r="B1433" s="3"/>
      <c r="C1433" s="1"/>
      <c r="D1433" s="3"/>
    </row>
    <row r="1434" spans="1:4" ht="15.75" customHeight="1" x14ac:dyDescent="0.3">
      <c r="A1434" s="2"/>
      <c r="B1434" s="3"/>
      <c r="C1434" s="1"/>
      <c r="D1434" s="3"/>
    </row>
    <row r="1435" spans="1:4" ht="15.75" customHeight="1" x14ac:dyDescent="0.3">
      <c r="A1435" s="2"/>
      <c r="B1435" s="3"/>
      <c r="C1435" s="1"/>
      <c r="D1435" s="3"/>
    </row>
    <row r="1436" spans="1:4" ht="15.75" customHeight="1" x14ac:dyDescent="0.3">
      <c r="A1436" s="2"/>
      <c r="B1436" s="3"/>
      <c r="C1436" s="1"/>
      <c r="D1436" s="3"/>
    </row>
    <row r="1437" spans="1:4" ht="15.75" customHeight="1" x14ac:dyDescent="0.3">
      <c r="A1437" s="2"/>
      <c r="B1437" s="3"/>
      <c r="C1437" s="1"/>
      <c r="D1437" s="3"/>
    </row>
    <row r="1438" spans="1:4" ht="15.75" customHeight="1" x14ac:dyDescent="0.3">
      <c r="A1438" s="2"/>
      <c r="B1438" s="3"/>
      <c r="C1438" s="1"/>
      <c r="D1438" s="3"/>
    </row>
    <row r="1439" spans="1:4" ht="15.75" customHeight="1" x14ac:dyDescent="0.3">
      <c r="A1439" s="2"/>
      <c r="B1439" s="3"/>
      <c r="C1439" s="1"/>
      <c r="D1439" s="3"/>
    </row>
    <row r="1440" spans="1:4" ht="15.75" customHeight="1" x14ac:dyDescent="0.3">
      <c r="A1440" s="2"/>
      <c r="B1440" s="3"/>
      <c r="C1440" s="1"/>
      <c r="D1440" s="3"/>
    </row>
    <row r="1441" spans="1:4" ht="15.75" customHeight="1" x14ac:dyDescent="0.3">
      <c r="A1441" s="2"/>
      <c r="B1441" s="3"/>
      <c r="C1441" s="1"/>
      <c r="D1441" s="3"/>
    </row>
    <row r="1442" spans="1:4" ht="15.75" customHeight="1" x14ac:dyDescent="0.3">
      <c r="A1442" s="2"/>
      <c r="B1442" s="3"/>
      <c r="C1442" s="1"/>
      <c r="D1442" s="3"/>
    </row>
    <row r="1443" spans="1:4" ht="15.75" customHeight="1" x14ac:dyDescent="0.3">
      <c r="A1443" s="2"/>
      <c r="B1443" s="3"/>
      <c r="C1443" s="1"/>
      <c r="D1443" s="3"/>
    </row>
    <row r="1444" spans="1:4" ht="15.75" customHeight="1" x14ac:dyDescent="0.3">
      <c r="A1444" s="2"/>
      <c r="B1444" s="3"/>
      <c r="C1444" s="1"/>
      <c r="D1444" s="3"/>
    </row>
    <row r="1445" spans="1:4" ht="15.75" customHeight="1" x14ac:dyDescent="0.3">
      <c r="A1445" s="2"/>
      <c r="B1445" s="3"/>
      <c r="C1445" s="1"/>
      <c r="D1445" s="3"/>
    </row>
    <row r="1446" spans="1:4" ht="15.75" customHeight="1" x14ac:dyDescent="0.3">
      <c r="A1446" s="2"/>
      <c r="B1446" s="3"/>
      <c r="C1446" s="1"/>
      <c r="D1446" s="3"/>
    </row>
    <row r="1447" spans="1:4" ht="15.75" customHeight="1" x14ac:dyDescent="0.3">
      <c r="A1447" s="2"/>
      <c r="B1447" s="3"/>
      <c r="C1447" s="1"/>
      <c r="D1447" s="3"/>
    </row>
    <row r="1448" spans="1:4" ht="15.75" customHeight="1" x14ac:dyDescent="0.3">
      <c r="A1448" s="2"/>
      <c r="B1448" s="3"/>
      <c r="C1448" s="1"/>
      <c r="D1448" s="3"/>
    </row>
    <row r="1449" spans="1:4" ht="15.75" customHeight="1" x14ac:dyDescent="0.3">
      <c r="A1449" s="2"/>
      <c r="B1449" s="3"/>
      <c r="C1449" s="1"/>
      <c r="D1449" s="3"/>
    </row>
    <row r="1450" spans="1:4" ht="15.75" customHeight="1" x14ac:dyDescent="0.3">
      <c r="A1450" s="2"/>
      <c r="B1450" s="3"/>
      <c r="C1450" s="1"/>
      <c r="D1450" s="3"/>
    </row>
    <row r="1451" spans="1:4" ht="15.75" customHeight="1" x14ac:dyDescent="0.3">
      <c r="A1451" s="2"/>
      <c r="B1451" s="3"/>
      <c r="C1451" s="1"/>
      <c r="D1451" s="3"/>
    </row>
    <row r="1452" spans="1:4" ht="15.75" customHeight="1" x14ac:dyDescent="0.3">
      <c r="A1452" s="2"/>
      <c r="B1452" s="3"/>
      <c r="C1452" s="1"/>
      <c r="D1452" s="3"/>
    </row>
    <row r="1453" spans="1:4" ht="15.75" customHeight="1" x14ac:dyDescent="0.3">
      <c r="A1453" s="2"/>
      <c r="B1453" s="3"/>
      <c r="C1453" s="1"/>
      <c r="D1453" s="3"/>
    </row>
    <row r="1454" spans="1:4" ht="15.75" customHeight="1" x14ac:dyDescent="0.3">
      <c r="A1454" s="2"/>
      <c r="B1454" s="3"/>
      <c r="C1454" s="1"/>
      <c r="D1454" s="3"/>
    </row>
    <row r="1455" spans="1:4" ht="15.75" customHeight="1" x14ac:dyDescent="0.3">
      <c r="A1455" s="2"/>
      <c r="B1455" s="3"/>
      <c r="C1455" s="1"/>
      <c r="D1455" s="3"/>
    </row>
    <row r="1456" spans="1:4" ht="15.75" customHeight="1" x14ac:dyDescent="0.3">
      <c r="A1456" s="2"/>
      <c r="B1456" s="3"/>
      <c r="C1456" s="1"/>
      <c r="D1456" s="3"/>
    </row>
    <row r="1457" spans="1:4" ht="15.75" customHeight="1" x14ac:dyDescent="0.3">
      <c r="A1457" s="2"/>
      <c r="B1457" s="3"/>
      <c r="C1457" s="1"/>
      <c r="D1457" s="3"/>
    </row>
    <row r="1458" spans="1:4" ht="15.75" customHeight="1" x14ac:dyDescent="0.3">
      <c r="A1458" s="2"/>
      <c r="B1458" s="3"/>
      <c r="C1458" s="1"/>
      <c r="D1458" s="3"/>
    </row>
    <row r="1459" spans="1:4" ht="15.75" customHeight="1" x14ac:dyDescent="0.3">
      <c r="A1459" s="2"/>
      <c r="B1459" s="3"/>
      <c r="C1459" s="1"/>
      <c r="D1459" s="3"/>
    </row>
    <row r="1460" spans="1:4" ht="15.75" customHeight="1" x14ac:dyDescent="0.3">
      <c r="A1460" s="2"/>
      <c r="B1460" s="3"/>
      <c r="C1460" s="1"/>
      <c r="D1460" s="3"/>
    </row>
    <row r="1461" spans="1:4" ht="15.75" customHeight="1" x14ac:dyDescent="0.3">
      <c r="A1461" s="2"/>
      <c r="B1461" s="3"/>
      <c r="C1461" s="1"/>
      <c r="D1461" s="3"/>
    </row>
    <row r="1462" spans="1:4" ht="15.75" customHeight="1" x14ac:dyDescent="0.3">
      <c r="A1462" s="2"/>
      <c r="B1462" s="3"/>
      <c r="C1462" s="1"/>
      <c r="D1462" s="3"/>
    </row>
    <row r="1463" spans="1:4" ht="15.75" customHeight="1" x14ac:dyDescent="0.3">
      <c r="A1463" s="2"/>
      <c r="B1463" s="3"/>
      <c r="C1463" s="1"/>
      <c r="D1463" s="3"/>
    </row>
    <row r="1464" spans="1:4" ht="15.75" customHeight="1" x14ac:dyDescent="0.3">
      <c r="A1464" s="2"/>
      <c r="B1464" s="3"/>
      <c r="C1464" s="1"/>
      <c r="D1464" s="3"/>
    </row>
    <row r="1465" spans="1:4" ht="15.75" customHeight="1" x14ac:dyDescent="0.3">
      <c r="A1465" s="2"/>
      <c r="B1465" s="3"/>
      <c r="C1465" s="1"/>
      <c r="D1465" s="3"/>
    </row>
    <row r="1466" spans="1:4" ht="15.75" customHeight="1" x14ac:dyDescent="0.3">
      <c r="A1466" s="2"/>
      <c r="B1466" s="3"/>
      <c r="C1466" s="1"/>
      <c r="D1466" s="3"/>
    </row>
    <row r="1467" spans="1:4" ht="15.75" customHeight="1" x14ac:dyDescent="0.3">
      <c r="A1467" s="2"/>
      <c r="B1467" s="3"/>
      <c r="C1467" s="1"/>
      <c r="D1467" s="3"/>
    </row>
    <row r="1468" spans="1:4" ht="15.75" customHeight="1" x14ac:dyDescent="0.3">
      <c r="A1468" s="2"/>
      <c r="B1468" s="3"/>
      <c r="C1468" s="1"/>
      <c r="D1468" s="3"/>
    </row>
    <row r="1469" spans="1:4" ht="15.75" customHeight="1" x14ac:dyDescent="0.3">
      <c r="A1469" s="2"/>
      <c r="B1469" s="3"/>
      <c r="C1469" s="1"/>
      <c r="D1469" s="3"/>
    </row>
    <row r="1470" spans="1:4" ht="15.75" customHeight="1" x14ac:dyDescent="0.3">
      <c r="A1470" s="2"/>
      <c r="B1470" s="3"/>
      <c r="C1470" s="1"/>
      <c r="D1470" s="3"/>
    </row>
    <row r="1471" spans="1:4" ht="15.75" customHeight="1" x14ac:dyDescent="0.3">
      <c r="A1471" s="2"/>
      <c r="B1471" s="3"/>
      <c r="C1471" s="1"/>
      <c r="D1471" s="3"/>
    </row>
    <row r="1472" spans="1:4" ht="15.75" customHeight="1" x14ac:dyDescent="0.3">
      <c r="A1472" s="2"/>
      <c r="B1472" s="3"/>
      <c r="C1472" s="1"/>
      <c r="D1472" s="3"/>
    </row>
    <row r="1473" spans="1:4" ht="15.75" customHeight="1" x14ac:dyDescent="0.3">
      <c r="A1473" s="2"/>
      <c r="B1473" s="3"/>
      <c r="C1473" s="1"/>
      <c r="D1473" s="3"/>
    </row>
    <row r="1474" spans="1:4" ht="15.75" customHeight="1" x14ac:dyDescent="0.3">
      <c r="A1474" s="2"/>
      <c r="B1474" s="3"/>
      <c r="C1474" s="1"/>
      <c r="D1474" s="3"/>
    </row>
    <row r="1475" spans="1:4" ht="15.75" customHeight="1" x14ac:dyDescent="0.3">
      <c r="A1475" s="2"/>
      <c r="B1475" s="3"/>
      <c r="C1475" s="1"/>
      <c r="D1475" s="3"/>
    </row>
    <row r="1476" spans="1:4" ht="15.75" customHeight="1" x14ac:dyDescent="0.3">
      <c r="A1476" s="2"/>
      <c r="B1476" s="3"/>
      <c r="C1476" s="1"/>
      <c r="D1476" s="3"/>
    </row>
    <row r="1477" spans="1:4" ht="15.75" customHeight="1" x14ac:dyDescent="0.3">
      <c r="A1477" s="2"/>
      <c r="B1477" s="3"/>
      <c r="C1477" s="1"/>
      <c r="D1477" s="3"/>
    </row>
    <row r="1478" spans="1:4" ht="15.75" customHeight="1" x14ac:dyDescent="0.3">
      <c r="A1478" s="2"/>
      <c r="B1478" s="3"/>
      <c r="C1478" s="1"/>
      <c r="D1478" s="3"/>
    </row>
    <row r="1479" spans="1:4" ht="15.75" customHeight="1" x14ac:dyDescent="0.3">
      <c r="A1479" s="2"/>
      <c r="B1479" s="3"/>
      <c r="C1479" s="1"/>
      <c r="D1479" s="3"/>
    </row>
    <row r="1480" spans="1:4" ht="15.75" customHeight="1" x14ac:dyDescent="0.3">
      <c r="A1480" s="2"/>
      <c r="B1480" s="3"/>
      <c r="C1480" s="1"/>
      <c r="D1480" s="3"/>
    </row>
    <row r="1481" spans="1:4" ht="15.75" customHeight="1" x14ac:dyDescent="0.3">
      <c r="A1481" s="2"/>
      <c r="B1481" s="3"/>
      <c r="C1481" s="1"/>
      <c r="D1481" s="3"/>
    </row>
  </sheetData>
  <dataValidations count="1">
    <dataValidation type="decimal" allowBlank="1" showErrorMessage="1" sqref="A1157:A1159 A1162:A1164 A1167" xr:uid="{00000000-0002-0000-0000-000000000000}">
      <formula1>20000000000</formula1>
      <formula2>33999999999</formula2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6C09"/>
  </sheetPr>
  <dimension ref="A1:Z1000"/>
  <sheetViews>
    <sheetView showGridLines="0" topLeftCell="G73" zoomScale="80" zoomScaleNormal="80" workbookViewId="0">
      <selection activeCell="L78" sqref="L78:L81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8.6640625" customWidth="1"/>
    <col min="6" max="6" width="31.88671875" customWidth="1"/>
    <col min="7" max="7" width="41.44140625" customWidth="1"/>
    <col min="8" max="8" width="25.6640625" customWidth="1"/>
    <col min="9" max="9" width="17.5546875" customWidth="1"/>
    <col min="10" max="10" width="17.88671875" customWidth="1"/>
    <col min="11" max="11" width="20.33203125" customWidth="1"/>
    <col min="12" max="12" width="18.33203125" customWidth="1"/>
    <col min="13" max="13" width="32.5546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78" t="s">
        <v>1316</v>
      </c>
      <c r="H1" s="476"/>
      <c r="I1" s="476"/>
      <c r="J1" s="476"/>
      <c r="K1" s="476"/>
      <c r="L1" s="476"/>
      <c r="M1" s="477"/>
      <c r="N1" s="479">
        <v>45017</v>
      </c>
      <c r="O1" s="476"/>
      <c r="P1" s="476"/>
      <c r="Q1" s="476"/>
      <c r="R1" s="477"/>
    </row>
    <row r="3" spans="1:19" ht="26.25" customHeight="1" x14ac:dyDescent="0.3">
      <c r="B3" s="480" t="s">
        <v>1317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SUM('Abr-24'!$H$37)+'Abr-24'!$G$54</f>
        <v>5732005.0999999996</v>
      </c>
      <c r="C4" s="476"/>
      <c r="D4" s="476"/>
      <c r="E4" s="477"/>
      <c r="F4" s="8"/>
      <c r="G4" s="491">
        <f>'Abr-24'!$I$37+'Abr-24'!$J$37+'Abr-24'!$K$37+I55</f>
        <v>1194453.8242500001</v>
      </c>
      <c r="H4" s="477"/>
      <c r="I4" s="8"/>
      <c r="J4" s="494">
        <f>'Abr-24'!$H$88+'Abr-24'!$H$98</f>
        <v>49918614.805</v>
      </c>
      <c r="K4" s="477"/>
      <c r="L4" s="8"/>
      <c r="M4" s="494">
        <f>'Abr-24'!$I$88+'Abr-24'!$J$88+'Abr-24'!$I$98+'Abr-24'!$J$98</f>
        <v>5303236.8149999995</v>
      </c>
      <c r="N4" s="477"/>
      <c r="O4" s="8"/>
      <c r="P4" s="483">
        <f>G4-M4</f>
        <v>-4108782.9907499994</v>
      </c>
      <c r="Q4" s="476"/>
      <c r="R4" s="477"/>
    </row>
    <row r="6" spans="1:19" ht="14.4" x14ac:dyDescent="0.3">
      <c r="H6" s="9"/>
      <c r="I6" s="10"/>
    </row>
    <row r="7" spans="1:19" ht="14.4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ht="14.4" x14ac:dyDescent="0.3">
      <c r="B9" s="12">
        <v>45412</v>
      </c>
      <c r="C9" s="13">
        <v>1</v>
      </c>
      <c r="D9" s="14">
        <v>6</v>
      </c>
      <c r="E9" s="15">
        <v>14602</v>
      </c>
      <c r="F9" s="16">
        <v>30707756434</v>
      </c>
      <c r="G9" s="17" t="str">
        <f>IFERROR(IF('Abr-24'!$F9="","-",VLOOKUP('Abr-24'!$F9,Lista_CUIT!$A$1:$D$2241,2,0)),"CUIT NO CARGADO")</f>
        <v>SERVICIO INTEGRAL DE LIMPIEZA SRL</v>
      </c>
      <c r="H9" s="18">
        <v>204000</v>
      </c>
      <c r="I9" s="23">
        <f>'Abr-24'!$H9*0.21</f>
        <v>42840</v>
      </c>
      <c r="J9" s="23"/>
      <c r="K9" s="23"/>
      <c r="L9" s="23"/>
      <c r="M9" s="23"/>
      <c r="N9" s="23"/>
      <c r="O9" s="23"/>
      <c r="P9" s="20">
        <f>SUM('Abr-24'!$H9:$O9)</f>
        <v>246840</v>
      </c>
      <c r="Q9" s="21" t="str">
        <f>IFERROR(IF('Abr-24'!$F9="","-",VLOOKUP('Abr-24'!$F9,Lista_CUIT!$A$1:$D$2241,3,0)),"CUIT NO CARGADO")</f>
        <v>Mantenimiento</v>
      </c>
      <c r="R9" s="21">
        <f>IFERROR(IF('Abr-24'!$F9="","-",VLOOKUP('Abr-24'!$F9,Lista_CUIT!$A$1:$D$2241,4,0)),"CUIT NO CARGADO")</f>
        <v>0</v>
      </c>
    </row>
    <row r="10" spans="1:19" ht="14.4" x14ac:dyDescent="0.3">
      <c r="B10" s="12">
        <v>45400</v>
      </c>
      <c r="C10" s="13">
        <v>1</v>
      </c>
      <c r="D10" s="14">
        <v>2</v>
      </c>
      <c r="E10" s="15">
        <v>197</v>
      </c>
      <c r="F10" s="16">
        <v>20125142851</v>
      </c>
      <c r="G10" s="17" t="str">
        <f>IFERROR(IF('Abr-24'!$F10="","-",VLOOKUP('Abr-24'!$F10,Lista_CUIT!$A$1:$D$2241,2,0)),"CUIT NO CARGADO")</f>
        <v>FEDERICI NICOLAS JOSE</v>
      </c>
      <c r="H10" s="18">
        <v>319464.15000000002</v>
      </c>
      <c r="I10" s="23">
        <f>'Abr-24'!$H10*0.21</f>
        <v>67087.4715</v>
      </c>
      <c r="J10" s="23"/>
      <c r="K10" s="23"/>
      <c r="L10" s="23"/>
      <c r="M10" s="23"/>
      <c r="N10" s="23"/>
      <c r="O10" s="23"/>
      <c r="P10" s="20">
        <f>SUM('Abr-24'!$H10:$O10)</f>
        <v>386551.62150000001</v>
      </c>
      <c r="Q10" s="21" t="str">
        <f>IFERROR(IF('Abr-24'!$F10="","-",VLOOKUP('Abr-24'!$F10,Lista_CUIT!$A$1:$D$2241,3,0)),"CUIT NO CARGADO")</f>
        <v>INSUMO</v>
      </c>
      <c r="R10" s="21">
        <f>IFERROR(IF('Abr-24'!$F10="","-",VLOOKUP('Abr-24'!$F10,Lista_CUIT!$A$1:$D$2241,4,0)),"CUIT NO CARGADO")</f>
        <v>0</v>
      </c>
    </row>
    <row r="11" spans="1:19" ht="14.4" x14ac:dyDescent="0.3">
      <c r="B11" s="12">
        <v>45400</v>
      </c>
      <c r="C11" s="13">
        <v>1</v>
      </c>
      <c r="D11" s="14">
        <v>2</v>
      </c>
      <c r="E11" s="15">
        <v>196</v>
      </c>
      <c r="F11" s="16">
        <v>20125142851</v>
      </c>
      <c r="G11" s="17" t="str">
        <f>IFERROR(IF('Abr-24'!$F11="","-",VLOOKUP('Abr-24'!$F11,Lista_CUIT!$A$1:$D$2241,2,0)),"CUIT NO CARGADO")</f>
        <v>FEDERICI NICOLAS JOSE</v>
      </c>
      <c r="H11" s="18">
        <v>1234920.6000000001</v>
      </c>
      <c r="I11" s="23">
        <f>'Abr-24'!$H11*0.21</f>
        <v>259333.326</v>
      </c>
      <c r="J11" s="23"/>
      <c r="K11" s="23"/>
      <c r="L11" s="23"/>
      <c r="M11" s="23"/>
      <c r="N11" s="23"/>
      <c r="O11" s="23"/>
      <c r="P11" s="20">
        <f>SUM('Abr-24'!$H11:$O11)</f>
        <v>1494253.926</v>
      </c>
      <c r="Q11" s="21" t="str">
        <f>IFERROR(IF('Abr-24'!$F11="","-",VLOOKUP('Abr-24'!$F11,Lista_CUIT!$A$1:$D$2241,3,0)),"CUIT NO CARGADO")</f>
        <v>INSUMO</v>
      </c>
      <c r="R11" s="21">
        <f>IFERROR(IF('Abr-24'!$F11="","-",VLOOKUP('Abr-24'!$F11,Lista_CUIT!$A$1:$D$2241,4,0)),"CUIT NO CARGADO")</f>
        <v>0</v>
      </c>
    </row>
    <row r="12" spans="1:19" ht="14.4" x14ac:dyDescent="0.3">
      <c r="B12" s="12">
        <v>45393</v>
      </c>
      <c r="C12" s="13">
        <v>1</v>
      </c>
      <c r="D12" s="14">
        <v>2</v>
      </c>
      <c r="E12" s="15">
        <v>2710</v>
      </c>
      <c r="F12" s="16">
        <v>30709131733</v>
      </c>
      <c r="G12" s="17" t="str">
        <f>IFERROR(IF('Abr-24'!$F12="","-",VLOOKUP('Abr-24'!$F12,Lista_CUIT!$A$1:$D$2241,2,0)),"CUIT NO CARGADO")</f>
        <v>DIGAS SRL</v>
      </c>
      <c r="H12" s="18">
        <v>2758040</v>
      </c>
      <c r="I12" s="23">
        <f>'Abr-24'!$H12*0.21</f>
        <v>579188.4</v>
      </c>
      <c r="J12" s="23"/>
      <c r="K12" s="23"/>
      <c r="L12" s="23"/>
      <c r="M12" s="23"/>
      <c r="N12" s="23"/>
      <c r="O12" s="23"/>
      <c r="P12" s="20">
        <f>SUM('Abr-24'!$H12:$O12)</f>
        <v>3337228.4</v>
      </c>
      <c r="Q12" s="21" t="str">
        <f>IFERROR(IF('Abr-24'!$F12="","-",VLOOKUP('Abr-24'!$F12,Lista_CUIT!$A$1:$D$2241,3,0)),"CUIT NO CARGADO")</f>
        <v>INSUMO</v>
      </c>
      <c r="R12" s="21">
        <f>IFERROR(IF('Abr-24'!$F12="","-",VLOOKUP('Abr-24'!$F12,Lista_CUIT!$A$1:$D$2241,4,0)),"CUIT NO CARGADO")</f>
        <v>0</v>
      </c>
    </row>
    <row r="13" spans="1:19" ht="14.4" x14ac:dyDescent="0.3">
      <c r="B13" s="12">
        <v>45394</v>
      </c>
      <c r="C13" s="13">
        <v>1</v>
      </c>
      <c r="D13" s="14">
        <v>2</v>
      </c>
      <c r="E13" s="15">
        <v>686</v>
      </c>
      <c r="F13" s="16">
        <v>30718019814</v>
      </c>
      <c r="G13" s="17" t="str">
        <f>IFERROR(IF('Abr-24'!$F13="","-",VLOOKUP('Abr-24'!$F13,Lista_CUIT!$A$1:$D$2241,2,0)),"CUIT NO CARGADO")</f>
        <v>ALDO MOVILE S. CAP I SECC IV</v>
      </c>
      <c r="H13" s="18">
        <v>28224.78</v>
      </c>
      <c r="I13" s="23">
        <f>'Abr-24'!$H13*0.21</f>
        <v>5927.2037999999993</v>
      </c>
      <c r="J13" s="23"/>
      <c r="K13" s="23"/>
      <c r="L13" s="23"/>
      <c r="M13" s="23"/>
      <c r="N13" s="23"/>
      <c r="O13" s="23"/>
      <c r="P13" s="20">
        <f>SUM('Abr-24'!$H13:$O13)</f>
        <v>34151.983800000002</v>
      </c>
      <c r="Q13" s="21" t="str">
        <f>IFERROR(IF('Abr-24'!$F13="","-",VLOOKUP('Abr-24'!$F13,Lista_CUIT!$A$1:$D$2241,3,0)),"CUIT NO CARGADO")</f>
        <v>INSUMO</v>
      </c>
      <c r="R13" s="21">
        <f>IFERROR(IF('Abr-24'!$F13="","-",VLOOKUP('Abr-24'!$F13,Lista_CUIT!$A$1:$D$2241,4,0)),"CUIT NO CARGADO")</f>
        <v>0</v>
      </c>
    </row>
    <row r="14" spans="1:19" ht="14.4" x14ac:dyDescent="0.3">
      <c r="B14" s="12">
        <v>45383</v>
      </c>
      <c r="C14" s="13">
        <v>1</v>
      </c>
      <c r="D14" s="14">
        <v>3</v>
      </c>
      <c r="E14" s="15">
        <v>223848</v>
      </c>
      <c r="F14" s="16">
        <v>30707135596</v>
      </c>
      <c r="G14" s="17" t="str">
        <f>IFERROR(IF('Abr-24'!$F14="","-",VLOOKUP('Abr-24'!$F14,Lista_CUIT!$A$1:$D$2241,2,0)),"CUIT NO CARGADO")</f>
        <v>CITILAN ARGENTINA S.A.</v>
      </c>
      <c r="H14" s="18">
        <v>15510</v>
      </c>
      <c r="I14" s="23">
        <f>'Abr-24'!$H14*0.21</f>
        <v>3257.1</v>
      </c>
      <c r="J14" s="23"/>
      <c r="K14" s="23"/>
      <c r="L14" s="23"/>
      <c r="M14" s="23"/>
      <c r="N14" s="23"/>
      <c r="O14" s="23"/>
      <c r="P14" s="20">
        <f>SUM('Abr-24'!$H14:$O14)</f>
        <v>18767.099999999999</v>
      </c>
      <c r="Q14" s="21" t="str">
        <f>IFERROR(IF('Abr-24'!$F14="","-",VLOOKUP('Abr-24'!$F14,Lista_CUIT!$A$1:$D$2241,3,0)),"CUIT NO CARGADO")</f>
        <v>Telefonia</v>
      </c>
      <c r="R14" s="21">
        <f>IFERROR(IF('Abr-24'!$F14="","-",VLOOKUP('Abr-24'!$F14,Lista_CUIT!$A$1:$D$2241,4,0)),"CUIT NO CARGADO")</f>
        <v>0</v>
      </c>
    </row>
    <row r="15" spans="1:19" ht="14.4" x14ac:dyDescent="0.3">
      <c r="B15" s="12">
        <v>45383</v>
      </c>
      <c r="C15" s="13">
        <v>1</v>
      </c>
      <c r="D15" s="14">
        <v>3</v>
      </c>
      <c r="E15" s="15">
        <v>744</v>
      </c>
      <c r="F15" s="16">
        <v>30715402765</v>
      </c>
      <c r="G15" s="17" t="str">
        <f>IFERROR(IF('Abr-24'!$F15="","-",VLOOKUP('Abr-24'!$F15,Lista_CUIT!$A$1:$D$2241,2,0)),"CUIT NO CARGADO")</f>
        <v>RIO 265 S.R.L.</v>
      </c>
      <c r="H15" s="18">
        <v>43801.66</v>
      </c>
      <c r="I15" s="23">
        <f>'Abr-24'!$H15*0.21</f>
        <v>9198.3486000000012</v>
      </c>
      <c r="J15" s="23"/>
      <c r="K15" s="23"/>
      <c r="L15" s="23"/>
      <c r="M15" s="23"/>
      <c r="N15" s="23"/>
      <c r="O15" s="23"/>
      <c r="P15" s="20">
        <f>SUM('Abr-24'!$H15:$O15)</f>
        <v>53000.008600000001</v>
      </c>
      <c r="Q15" s="21" t="str">
        <f>IFERROR(IF('Abr-24'!$F15="","-",VLOOKUP('Abr-24'!$F15,Lista_CUIT!$A$1:$D$2241,3,0)),"CUIT NO CARGADO")</f>
        <v>GASTOS VARIOS</v>
      </c>
      <c r="R15" s="21">
        <f>IFERROR(IF('Abr-24'!$F15="","-",VLOOKUP('Abr-24'!$F15,Lista_CUIT!$A$1:$D$2241,4,0)),"CUIT NO CARGADO")</f>
        <v>0</v>
      </c>
    </row>
    <row r="16" spans="1:19" ht="14.4" x14ac:dyDescent="0.3">
      <c r="B16" s="12">
        <v>45391</v>
      </c>
      <c r="C16" s="13">
        <v>1</v>
      </c>
      <c r="D16" s="14">
        <v>1</v>
      </c>
      <c r="E16" s="15">
        <v>1126</v>
      </c>
      <c r="F16" s="16">
        <v>30717763692</v>
      </c>
      <c r="G16" s="17" t="str">
        <f>IFERROR(IF('Abr-24'!$F16="","-",VLOOKUP('Abr-24'!$F16,Lista_CUIT!$A$1:$D$2241,2,0)),"CUIT NO CARGADO")</f>
        <v>IGNISMOTORREDUCTORES S. A.</v>
      </c>
      <c r="H16" s="18">
        <v>38016.53</v>
      </c>
      <c r="I16" s="23">
        <f>'Abr-24'!$H16*0.21</f>
        <v>7983.4712999999992</v>
      </c>
      <c r="J16" s="23"/>
      <c r="K16" s="23"/>
      <c r="L16" s="23"/>
      <c r="M16" s="23"/>
      <c r="N16" s="23"/>
      <c r="O16" s="23"/>
      <c r="P16" s="20">
        <f>SUM('Abr-24'!$H16:$O16)</f>
        <v>46000.001299999996</v>
      </c>
      <c r="Q16" s="21" t="str">
        <f>IFERROR(IF('Abr-24'!$F16="","-",VLOOKUP('Abr-24'!$F16,Lista_CUIT!$A$1:$D$2241,3,0)),"CUIT NO CARGADO")</f>
        <v>INSUMO</v>
      </c>
      <c r="R16" s="21">
        <f>IFERROR(IF('Abr-24'!$F16="","-",VLOOKUP('Abr-24'!$F16,Lista_CUIT!$A$1:$D$2241,4,0)),"CUIT NO CARGADO")</f>
        <v>0</v>
      </c>
    </row>
    <row r="17" spans="2:18" ht="14.4" x14ac:dyDescent="0.3">
      <c r="B17" s="12">
        <v>45390</v>
      </c>
      <c r="C17" s="13">
        <v>1</v>
      </c>
      <c r="D17" s="14">
        <v>3</v>
      </c>
      <c r="E17" s="15">
        <v>308</v>
      </c>
      <c r="F17" s="16">
        <v>20921575743</v>
      </c>
      <c r="G17" s="17" t="str">
        <f>IFERROR(IF('Abr-24'!$F17="","-",VLOOKUP('Abr-24'!$F17,Lista_CUIT!$A$1:$D$2241,2,0)),"CUIT NO CARGADO")</f>
        <v>RIOS GOMEZ JOSE ANTONIO</v>
      </c>
      <c r="H17" s="18">
        <v>447500</v>
      </c>
      <c r="I17" s="23">
        <f>'Abr-24'!$H17*0.21</f>
        <v>93975</v>
      </c>
      <c r="J17" s="23"/>
      <c r="K17" s="23"/>
      <c r="L17" s="23"/>
      <c r="M17" s="23"/>
      <c r="N17" s="23"/>
      <c r="O17" s="23"/>
      <c r="P17" s="20">
        <f>SUM('Abr-24'!$H17:$O17)</f>
        <v>541475</v>
      </c>
      <c r="Q17" s="21" t="str">
        <f>IFERROR(IF('Abr-24'!$F17="","-",VLOOKUP('Abr-24'!$F17,Lista_CUIT!$A$1:$D$2241,3,0)),"CUIT NO CARGADO")</f>
        <v>Papeleria</v>
      </c>
      <c r="R17" s="21">
        <f>IFERROR(IF('Abr-24'!$F17="","-",VLOOKUP('Abr-24'!$F17,Lista_CUIT!$A$1:$D$2241,4,0)),"CUIT NO CARGADO")</f>
        <v>0</v>
      </c>
    </row>
    <row r="18" spans="2:18" ht="14.4" x14ac:dyDescent="0.3">
      <c r="B18" s="12">
        <v>45409</v>
      </c>
      <c r="C18" s="13">
        <v>1</v>
      </c>
      <c r="D18" s="14">
        <v>31</v>
      </c>
      <c r="E18" s="15">
        <v>41586</v>
      </c>
      <c r="F18" s="16">
        <v>30715209833</v>
      </c>
      <c r="G18" s="17" t="str">
        <f>IFERROR(IF('Abr-24'!$F18="","-",VLOOKUP('Abr-24'!$F18,Lista_CUIT!$A$1:$D$2241,2,0)),"CUIT NO CARGADO")</f>
        <v>GIFEL SRL</v>
      </c>
      <c r="H18" s="18">
        <v>52429.75</v>
      </c>
      <c r="I18" s="23">
        <f>'Abr-24'!$H18*0.21</f>
        <v>11010.247499999999</v>
      </c>
      <c r="J18" s="23"/>
      <c r="K18" s="23"/>
      <c r="L18" s="23"/>
      <c r="M18" s="23"/>
      <c r="N18" s="23"/>
      <c r="O18" s="23"/>
      <c r="P18" s="20">
        <f>SUM('Abr-24'!$H18:$O18)</f>
        <v>63439.997499999998</v>
      </c>
      <c r="Q18" s="21" t="str">
        <f>IFERROR(IF('Abr-24'!$F18="","-",VLOOKUP('Abr-24'!$F18,Lista_CUIT!$A$1:$D$2241,3,0)),"CUIT NO CARGADO")</f>
        <v>Gastos Oficina</v>
      </c>
      <c r="R18" s="21">
        <f>IFERROR(IF('Abr-24'!$F18="","-",VLOOKUP('Abr-24'!$F18,Lista_CUIT!$A$1:$D$2241,4,0)),"CUIT NO CARGADO")</f>
        <v>0</v>
      </c>
    </row>
    <row r="19" spans="2:18" ht="14.4" x14ac:dyDescent="0.3">
      <c r="B19" s="12">
        <v>45406</v>
      </c>
      <c r="C19" s="13">
        <v>1</v>
      </c>
      <c r="D19" s="14">
        <v>31</v>
      </c>
      <c r="E19" s="15">
        <v>41286</v>
      </c>
      <c r="F19" s="16">
        <v>30715209833</v>
      </c>
      <c r="G19" s="17" t="str">
        <f>IFERROR(IF('Abr-24'!$F19="","-",VLOOKUP('Abr-24'!$F19,Lista_CUIT!$A$1:$D$2241,2,0)),"CUIT NO CARGADO")</f>
        <v>GIFEL SRL</v>
      </c>
      <c r="H19" s="18">
        <v>43561.98</v>
      </c>
      <c r="I19" s="23">
        <f>'Abr-24'!$H19*0.21</f>
        <v>9148.015800000001</v>
      </c>
      <c r="J19" s="23"/>
      <c r="K19" s="23"/>
      <c r="L19" s="23"/>
      <c r="M19" s="23"/>
      <c r="N19" s="23"/>
      <c r="O19" s="23"/>
      <c r="P19" s="20">
        <f>SUM('Abr-24'!$H19:$O19)</f>
        <v>52709.995800000004</v>
      </c>
      <c r="Q19" s="21" t="str">
        <f>IFERROR(IF('Abr-24'!$F19="","-",VLOOKUP('Abr-24'!$F19,Lista_CUIT!$A$1:$D$2241,3,0)),"CUIT NO CARGADO")</f>
        <v>Gastos Oficina</v>
      </c>
      <c r="R19" s="21">
        <f>IFERROR(IF('Abr-24'!$F19="","-",VLOOKUP('Abr-24'!$F19,Lista_CUIT!$A$1:$D$2241,4,0)),"CUIT NO CARGADO")</f>
        <v>0</v>
      </c>
    </row>
    <row r="20" spans="2:18" ht="14.4" x14ac:dyDescent="0.3">
      <c r="B20" s="12">
        <v>45404</v>
      </c>
      <c r="C20" s="13">
        <v>1</v>
      </c>
      <c r="D20" s="14">
        <v>4</v>
      </c>
      <c r="E20" s="15">
        <v>164</v>
      </c>
      <c r="F20" s="16">
        <v>30715863916</v>
      </c>
      <c r="G20" s="17" t="str">
        <f>IFERROR(IF('Abr-24'!$F20="","-",VLOOKUP('Abr-24'!$F20,Lista_CUIT!$A$1:$D$2241,2,0)),"CUIT NO CARGADO")</f>
        <v>BULONERA SUR SA</v>
      </c>
      <c r="H20" s="18">
        <v>5173.55</v>
      </c>
      <c r="I20" s="23">
        <f>'Abr-24'!$H20*0.21</f>
        <v>1086.4455</v>
      </c>
      <c r="J20" s="23"/>
      <c r="K20" s="23"/>
      <c r="L20" s="23"/>
      <c r="M20" s="23"/>
      <c r="N20" s="23"/>
      <c r="O20" s="23"/>
      <c r="P20" s="20">
        <f>SUM('Abr-24'!$H20:$O20)</f>
        <v>6259.9955</v>
      </c>
      <c r="Q20" s="21" t="str">
        <f>IFERROR(IF('Abr-24'!$F20="","-",VLOOKUP('Abr-24'!$F20,Lista_CUIT!$A$1:$D$2241,3,0)),"CUIT NO CARGADO")</f>
        <v>Ferreteria</v>
      </c>
      <c r="R20" s="21">
        <f>IFERROR(IF('Abr-24'!$F20="","-",VLOOKUP('Abr-24'!$F20,Lista_CUIT!$A$1:$D$2241,4,0)),"CUIT NO CARGADO")</f>
        <v>0</v>
      </c>
    </row>
    <row r="21" spans="2:18" ht="15.75" customHeight="1" x14ac:dyDescent="0.3">
      <c r="B21" s="12">
        <v>45392</v>
      </c>
      <c r="C21" s="13">
        <v>1</v>
      </c>
      <c r="D21" s="14">
        <v>10</v>
      </c>
      <c r="E21" s="15">
        <v>38013</v>
      </c>
      <c r="F21" s="16">
        <v>30528214483</v>
      </c>
      <c r="G21" s="17" t="str">
        <f>IFERROR(IF('Abr-24'!$F21="","-",VLOOKUP('Abr-24'!$F21,Lista_CUIT!$A$1:$D$2241,2,0)),"CUIT NO CARGADO")</f>
        <v>D WEINSTOCK S R L</v>
      </c>
      <c r="H21" s="18">
        <v>15637.08</v>
      </c>
      <c r="I21" s="23">
        <f>'Abr-24'!$H21*0.21</f>
        <v>3283.7867999999999</v>
      </c>
      <c r="J21" s="23"/>
      <c r="K21" s="23"/>
      <c r="L21" s="23"/>
      <c r="M21" s="23"/>
      <c r="N21" s="23"/>
      <c r="O21" s="23"/>
      <c r="P21" s="20">
        <f>SUM('Abr-24'!$H21:$O21)</f>
        <v>18920.8668</v>
      </c>
      <c r="Q21" s="21" t="str">
        <f>IFERROR(IF('Abr-24'!$F21="","-",VLOOKUP('Abr-24'!$F21,Lista_CUIT!$A$1:$D$2241,3,0)),"CUIT NO CARGADO")</f>
        <v>INSUMO</v>
      </c>
      <c r="R21" s="21">
        <f>IFERROR(IF('Abr-24'!$F21="","-",VLOOKUP('Abr-24'!$F21,Lista_CUIT!$A$1:$D$2241,4,0)),"CUIT NO CARGADO")</f>
        <v>0</v>
      </c>
    </row>
    <row r="22" spans="2:18" ht="15.75" customHeight="1" x14ac:dyDescent="0.3">
      <c r="B22" s="12">
        <v>45391</v>
      </c>
      <c r="C22" s="13">
        <v>1</v>
      </c>
      <c r="D22" s="14">
        <v>6</v>
      </c>
      <c r="E22" s="15">
        <v>9200</v>
      </c>
      <c r="F22" s="16">
        <v>30703451310</v>
      </c>
      <c r="G22" s="17" t="str">
        <f>IFERROR(IF('Abr-24'!$F22="","-",VLOOKUP('Abr-24'!$F22,Lista_CUIT!$A$1:$D$2241,2,0)),"CUIT NO CARGADO")</f>
        <v>AGROCENTRAL SRL</v>
      </c>
      <c r="H22" s="18">
        <v>41157.019999999997</v>
      </c>
      <c r="I22" s="23">
        <f>'Abr-24'!$H22*0.21</f>
        <v>8642.9741999999987</v>
      </c>
      <c r="J22" s="23"/>
      <c r="K22" s="23"/>
      <c r="L22" s="23"/>
      <c r="M22" s="23"/>
      <c r="N22" s="23"/>
      <c r="O22" s="23"/>
      <c r="P22" s="20">
        <f>SUM('Abr-24'!$H22:$O22)</f>
        <v>49799.994199999994</v>
      </c>
      <c r="Q22" s="21" t="str">
        <f>IFERROR(IF('Abr-24'!$F22="","-",VLOOKUP('Abr-24'!$F22,Lista_CUIT!$A$1:$D$2241,3,0)),"CUIT NO CARGADO")</f>
        <v>Materiales Electricos</v>
      </c>
      <c r="R22" s="21">
        <f>IFERROR(IF('Abr-24'!$F22="","-",VLOOKUP('Abr-24'!$F22,Lista_CUIT!$A$1:$D$2241,4,0)),"CUIT NO CARGADO")</f>
        <v>0</v>
      </c>
    </row>
    <row r="23" spans="2:18" ht="15.75" customHeight="1" x14ac:dyDescent="0.3">
      <c r="B23" s="12">
        <v>45409</v>
      </c>
      <c r="C23" s="13">
        <v>1</v>
      </c>
      <c r="D23" s="14">
        <v>5</v>
      </c>
      <c r="E23" s="15">
        <v>13527</v>
      </c>
      <c r="F23" s="16">
        <v>27066610018</v>
      </c>
      <c r="G23" s="17" t="str">
        <f>IFERROR(IF('Abr-24'!$F23="","-",VLOOKUP('Abr-24'!$F23,Lista_CUIT!$A$1:$D$2241,2,0)),"CUIT NO CARGADO")</f>
        <v>FRACCHIA GRACIELA LILIANA</v>
      </c>
      <c r="H23" s="18">
        <v>29602.48</v>
      </c>
      <c r="I23" s="23">
        <f>'Abr-24'!$H23*0.21</f>
        <v>6216.5207999999993</v>
      </c>
      <c r="J23" s="23"/>
      <c r="K23" s="23"/>
      <c r="L23" s="23"/>
      <c r="M23" s="23"/>
      <c r="N23" s="23"/>
      <c r="O23" s="23"/>
      <c r="P23" s="20">
        <f>SUM('Abr-24'!$H23:$O23)</f>
        <v>35819.000800000002</v>
      </c>
      <c r="Q23" s="21" t="str">
        <f>IFERROR(IF('Abr-24'!$F23="","-",VLOOKUP('Abr-24'!$F23,Lista_CUIT!$A$1:$D$2241,3,0)),"CUIT NO CARGADO")</f>
        <v>Ferreteria</v>
      </c>
      <c r="R23" s="21">
        <f>IFERROR(IF('Abr-24'!$F23="","-",VLOOKUP('Abr-24'!$F23,Lista_CUIT!$A$1:$D$2241,4,0)),"CUIT NO CARGADO")</f>
        <v>0</v>
      </c>
    </row>
    <row r="24" spans="2:18" ht="15.75" customHeight="1" x14ac:dyDescent="0.3">
      <c r="B24" s="12">
        <v>45387</v>
      </c>
      <c r="C24" s="13">
        <v>1</v>
      </c>
      <c r="D24" s="14">
        <v>13</v>
      </c>
      <c r="E24" s="15">
        <v>62453</v>
      </c>
      <c r="F24" s="16">
        <v>30709256420</v>
      </c>
      <c r="G24" s="17" t="str">
        <f>IFERROR(IF('Abr-24'!$F24="","-",VLOOKUP('Abr-24'!$F24,Lista_CUIT!$A$1:$D$2241,2,0)),"CUIT NO CARGADO")</f>
        <v>NGA SRL</v>
      </c>
      <c r="H24" s="18">
        <v>11352.89</v>
      </c>
      <c r="I24" s="23">
        <f>'Abr-24'!$H24*0.21</f>
        <v>2384.1068999999998</v>
      </c>
      <c r="J24" s="23"/>
      <c r="K24" s="23"/>
      <c r="L24" s="23"/>
      <c r="M24" s="23"/>
      <c r="N24" s="23"/>
      <c r="O24" s="23"/>
      <c r="P24" s="20">
        <f>SUM('Abr-24'!$H24:$O24)</f>
        <v>13736.996899999998</v>
      </c>
      <c r="Q24" s="21" t="str">
        <f>IFERROR(IF('Abr-24'!$F24="","-",VLOOKUP('Abr-24'!$F24,Lista_CUIT!$A$1:$D$2241,3,0)),"CUIT NO CARGADO")</f>
        <v>GASTOS VARIOS</v>
      </c>
      <c r="R24" s="21">
        <f>IFERROR(IF('Abr-24'!$F24="","-",VLOOKUP('Abr-24'!$F24,Lista_CUIT!$A$1:$D$2241,4,0)),"CUIT NO CARGADO")</f>
        <v>0</v>
      </c>
    </row>
    <row r="25" spans="2:18" ht="15.75" customHeight="1" x14ac:dyDescent="0.3">
      <c r="B25" s="12">
        <v>45386</v>
      </c>
      <c r="C25" s="13">
        <v>1</v>
      </c>
      <c r="D25" s="14">
        <v>6</v>
      </c>
      <c r="E25" s="15">
        <v>4657</v>
      </c>
      <c r="F25" s="16">
        <v>27369025584</v>
      </c>
      <c r="G25" s="17" t="str">
        <f>IFERROR(IF('Abr-24'!$F25="","-",VLOOKUP('Abr-24'!$F25,Lista_CUIT!$A$1:$D$2241,2,0)),"CUIT NO CARGADO")</f>
        <v>ANZUATTE ARIADNA GINETTE</v>
      </c>
      <c r="H25" s="18">
        <v>3297.52</v>
      </c>
      <c r="I25" s="23">
        <f>'Abr-24'!$H25*0.21</f>
        <v>692.47919999999999</v>
      </c>
      <c r="J25" s="23"/>
      <c r="K25" s="23"/>
      <c r="L25" s="23"/>
      <c r="M25" s="23"/>
      <c r="N25" s="23"/>
      <c r="O25" s="23"/>
      <c r="P25" s="20">
        <f>SUM('Abr-24'!$H25:$O25)</f>
        <v>3989.9992000000002</v>
      </c>
      <c r="Q25" s="21" t="str">
        <f>IFERROR(IF('Abr-24'!$F25="","-",VLOOKUP('Abr-24'!$F25,Lista_CUIT!$A$1:$D$2241,3,0)),"CUIT NO CARGADO")</f>
        <v>GASTOS VARIOS</v>
      </c>
      <c r="R25" s="21">
        <f>IFERROR(IF('Abr-24'!$F25="","-",VLOOKUP('Abr-24'!$F25,Lista_CUIT!$A$1:$D$2241,4,0)),"CUIT NO CARGADO")</f>
        <v>0</v>
      </c>
    </row>
    <row r="26" spans="2:18" ht="15.75" customHeight="1" x14ac:dyDescent="0.3">
      <c r="B26" s="12">
        <v>45408</v>
      </c>
      <c r="C26" s="13">
        <v>1</v>
      </c>
      <c r="D26" s="14">
        <v>5</v>
      </c>
      <c r="E26" s="15">
        <v>47</v>
      </c>
      <c r="F26" s="16">
        <v>27224574679</v>
      </c>
      <c r="G26" s="17" t="str">
        <f>IFERROR(IF('Abr-24'!$F26="","-",VLOOKUP('Abr-24'!$F26,Lista_CUIT!$A$1:$D$2241,2,0)),"CUIT NO CARGADO")</f>
        <v>FERNANDEZ MARCELA ELIZABETH</v>
      </c>
      <c r="H26" s="18">
        <v>18081.599999999999</v>
      </c>
      <c r="I26" s="23">
        <f>'Abr-24'!$H26*0.21</f>
        <v>3797.1359999999995</v>
      </c>
      <c r="J26" s="23"/>
      <c r="K26" s="23"/>
      <c r="L26" s="23"/>
      <c r="M26" s="23"/>
      <c r="N26" s="23"/>
      <c r="O26" s="23"/>
      <c r="P26" s="20">
        <f>SUM('Abr-24'!$H26:$O26)</f>
        <v>21878.735999999997</v>
      </c>
      <c r="Q26" s="21" t="str">
        <f>IFERROR(IF('Abr-24'!$F26="","-",VLOOKUP('Abr-24'!$F26,Lista_CUIT!$A$1:$D$2241,3,0)),"CUIT NO CARGADO")</f>
        <v>GASTOS VARIOS</v>
      </c>
      <c r="R26" s="21">
        <f>IFERROR(IF('Abr-24'!$F26="","-",VLOOKUP('Abr-24'!$F26,Lista_CUIT!$A$1:$D$2241,4,0)),"CUIT NO CARGADO")</f>
        <v>0</v>
      </c>
    </row>
    <row r="27" spans="2:18" ht="15.75" customHeight="1" x14ac:dyDescent="0.3">
      <c r="B27" s="12" t="s">
        <v>1336</v>
      </c>
      <c r="C27" s="13">
        <v>1</v>
      </c>
      <c r="D27" s="14">
        <v>30</v>
      </c>
      <c r="E27" s="15">
        <v>128138</v>
      </c>
      <c r="F27" s="16">
        <v>30695056342</v>
      </c>
      <c r="G27" s="17" t="str">
        <f>IFERROR(IF('Abr-24'!$F27="","-",VLOOKUP('Abr-24'!$F27,Lista_CUIT!$A$1:$D$2241,2,0)),"CUIT NO CARGADO")</f>
        <v>AVENIDA MAIPU 4199 S C S</v>
      </c>
      <c r="H27" s="18">
        <v>18238.84</v>
      </c>
      <c r="I27" s="23">
        <f>'Abr-24'!$H27*0.21</f>
        <v>3830.1563999999998</v>
      </c>
      <c r="J27" s="23"/>
      <c r="K27" s="23"/>
      <c r="L27" s="23"/>
      <c r="M27" s="23"/>
      <c r="N27" s="23"/>
      <c r="O27" s="23"/>
      <c r="P27" s="20">
        <f>SUM('Abr-24'!$H27:$O27)</f>
        <v>22068.9964</v>
      </c>
      <c r="Q27" s="21" t="str">
        <f>IFERROR(IF('Abr-24'!$F27="","-",VLOOKUP('Abr-24'!$F27,Lista_CUIT!$A$1:$D$2241,3,0)),"CUIT NO CARGADO")</f>
        <v>Seg e Higiene</v>
      </c>
      <c r="R27" s="21">
        <f>IFERROR(IF('Abr-24'!$F27="","-",VLOOKUP('Abr-24'!$F27,Lista_CUIT!$A$1:$D$2241,4,0)),"CUIT NO CARGADO")</f>
        <v>0</v>
      </c>
    </row>
    <row r="28" spans="2:18" ht="15.75" customHeight="1" x14ac:dyDescent="0.3">
      <c r="B28" s="12" t="s">
        <v>1337</v>
      </c>
      <c r="C28" s="13">
        <v>1</v>
      </c>
      <c r="D28" s="14">
        <v>6</v>
      </c>
      <c r="E28" s="15">
        <v>2292</v>
      </c>
      <c r="F28" s="16">
        <v>27236006250</v>
      </c>
      <c r="G28" s="17" t="str">
        <f>IFERROR(IF('Abr-24'!$F28="","-",VLOOKUP('Abr-24'!$F28,Lista_CUIT!$A$1:$D$2241,2,0)),"CUIT NO CARGADO")</f>
        <v>LOKER MARISA TERESITA</v>
      </c>
      <c r="H28" s="18">
        <v>8047.52</v>
      </c>
      <c r="I28" s="23">
        <f>'Abr-24'!$H28*0.21</f>
        <v>1689.9792</v>
      </c>
      <c r="J28" s="23"/>
      <c r="K28" s="23"/>
      <c r="L28" s="23"/>
      <c r="M28" s="23"/>
      <c r="N28" s="23"/>
      <c r="O28" s="23"/>
      <c r="P28" s="20">
        <f>SUM('Abr-24'!$H28:$O28)</f>
        <v>9737.4992000000002</v>
      </c>
      <c r="Q28" s="21" t="str">
        <f>IFERROR(IF('Abr-24'!$F28="","-",VLOOKUP('Abr-24'!$F28,Lista_CUIT!$A$1:$D$2241,3,0)),"CUIT NO CARGADO")</f>
        <v>GASTOS VARIOS</v>
      </c>
      <c r="R28" s="21">
        <f>IFERROR(IF('Abr-24'!$F28="","-",VLOOKUP('Abr-24'!$F28,Lista_CUIT!$A$1:$D$2241,4,0)),"CUIT NO CARGADO")</f>
        <v>0</v>
      </c>
    </row>
    <row r="29" spans="2:18" ht="15.75" customHeight="1" x14ac:dyDescent="0.3">
      <c r="B29" s="12" t="s">
        <v>1338</v>
      </c>
      <c r="C29" s="13">
        <v>1</v>
      </c>
      <c r="D29" s="14">
        <v>700</v>
      </c>
      <c r="E29" s="15">
        <v>643864</v>
      </c>
      <c r="F29" s="16">
        <v>30580111315</v>
      </c>
      <c r="G29" s="17" t="str">
        <f>IFERROR(IF('Abr-24'!$F29="","-",VLOOKUP('Abr-24'!$F29,Lista_CUIT!$A$1:$D$2241,2,0)),"CUIT NO CARGADO")</f>
        <v>DHL EXPRESS (ARGENTINA) S.A.</v>
      </c>
      <c r="H29" s="18">
        <v>13222.5</v>
      </c>
      <c r="I29" s="23">
        <f>'Abr-24'!$H29*0.21</f>
        <v>2776.7249999999999</v>
      </c>
      <c r="J29" s="23"/>
      <c r="K29" s="23"/>
      <c r="L29" s="23"/>
      <c r="M29" s="23"/>
      <c r="N29" s="23"/>
      <c r="O29" s="23">
        <v>545154.86</v>
      </c>
      <c r="P29" s="20">
        <f>SUM('Abr-24'!$H29:$O29)</f>
        <v>561154.08499999996</v>
      </c>
      <c r="Q29" s="21" t="str">
        <f>IFERROR(IF('Abr-24'!$F29="","-",VLOOKUP('Abr-24'!$F29,Lista_CUIT!$A$1:$D$2241,3,0)),"CUIT NO CARGADO")</f>
        <v>Gastos Importacion</v>
      </c>
      <c r="R29" s="21">
        <f>IFERROR(IF('Abr-24'!$F29="","-",VLOOKUP('Abr-24'!$F29,Lista_CUIT!$A$1:$D$2241,4,0)),"CUIT NO CARGADO")</f>
        <v>0</v>
      </c>
    </row>
    <row r="30" spans="2:18" ht="15.75" customHeight="1" x14ac:dyDescent="0.3">
      <c r="B30" s="12" t="s">
        <v>1339</v>
      </c>
      <c r="C30" s="13">
        <v>1</v>
      </c>
      <c r="D30" s="14">
        <v>2466</v>
      </c>
      <c r="E30" s="15">
        <v>636157</v>
      </c>
      <c r="F30" s="16">
        <v>30678814357</v>
      </c>
      <c r="G30" s="17" t="str">
        <f>IFERROR(IF('Abr-24'!$F30="","-",VLOOKUP('Abr-24'!$F30,Lista_CUIT!$A$1:$D$2241,2,0)),"CUIT NO CARGADO")</f>
        <v>TELEFONICA MOVILES ARG</v>
      </c>
      <c r="H30" s="18">
        <v>17540</v>
      </c>
      <c r="I30" s="23"/>
      <c r="J30" s="23">
        <f>'Abr-24'!$H30*0.27</f>
        <v>4735.8</v>
      </c>
      <c r="K30" s="23"/>
      <c r="L30" s="23">
        <v>526.20000000000005</v>
      </c>
      <c r="M30" s="23"/>
      <c r="N30" s="23"/>
      <c r="O30" s="23">
        <v>923.15</v>
      </c>
      <c r="P30" s="20">
        <f>SUM('Abr-24'!$H30:$O30)</f>
        <v>23725.15</v>
      </c>
      <c r="Q30" s="21" t="str">
        <f>IFERROR(IF('Abr-24'!$F30="","-",VLOOKUP('Abr-24'!$F30,Lista_CUIT!$A$1:$D$2241,3,0)),"CUIT NO CARGADO")</f>
        <v>Telefonia</v>
      </c>
      <c r="R30" s="21">
        <f>IFERROR(IF('Abr-24'!$F30="","-",VLOOKUP('Abr-24'!$F30,Lista_CUIT!$A$1:$D$2241,4,0)),"CUIT NO CARGADO")</f>
        <v>0</v>
      </c>
    </row>
    <row r="31" spans="2:18" ht="15.75" customHeight="1" x14ac:dyDescent="0.3">
      <c r="B31" s="12" t="s">
        <v>1340</v>
      </c>
      <c r="C31" s="13">
        <v>1</v>
      </c>
      <c r="D31" s="14">
        <v>3</v>
      </c>
      <c r="E31" s="15">
        <v>334487</v>
      </c>
      <c r="F31" s="16">
        <v>33643358749</v>
      </c>
      <c r="G31" s="17" t="str">
        <f>IFERROR(IF('Abr-24'!$F31="","-",VLOOKUP('Abr-24'!$F31,Lista_CUIT!$A$1:$D$2241,2,0)),"CUIT NO CARGADO")</f>
        <v>POLYTECH S A</v>
      </c>
      <c r="H31" s="18">
        <v>52487.78</v>
      </c>
      <c r="I31" s="23"/>
      <c r="J31" s="23"/>
      <c r="K31" s="23">
        <f>'Abr-24'!$H31*0.105</f>
        <v>5511.2168999999994</v>
      </c>
      <c r="L31" s="23"/>
      <c r="M31" s="23"/>
      <c r="N31" s="23"/>
      <c r="O31" s="23"/>
      <c r="P31" s="20">
        <f>SUM('Abr-24'!$H31:$O31)</f>
        <v>57998.996899999998</v>
      </c>
      <c r="Q31" s="21" t="str">
        <f>IFERROR(IF('Abr-24'!$F31="","-",VLOOKUP('Abr-24'!$F31,Lista_CUIT!$A$1:$D$2241,3,0)),"CUIT NO CARGADO")</f>
        <v>Servicios Informaticos</v>
      </c>
      <c r="R31" s="21">
        <f>IFERROR(IF('Abr-24'!$F31="","-",VLOOKUP('Abr-24'!$F31,Lista_CUIT!$A$1:$D$2241,4,0)),"CUIT NO CARGADO")</f>
        <v>0</v>
      </c>
    </row>
    <row r="32" spans="2:18" ht="15.75" customHeight="1" x14ac:dyDescent="0.3">
      <c r="B32" s="12" t="s">
        <v>1341</v>
      </c>
      <c r="C32" s="13">
        <v>1</v>
      </c>
      <c r="D32" s="14">
        <v>3</v>
      </c>
      <c r="E32" s="15">
        <v>334743</v>
      </c>
      <c r="F32" s="16">
        <v>33643358749</v>
      </c>
      <c r="G32" s="17" t="str">
        <f>IFERROR(IF('Abr-24'!$F32="","-",VLOOKUP('Abr-24'!$F32,Lista_CUIT!$A$1:$D$2241,2,0)),"CUIT NO CARGADO")</f>
        <v>POLYTECH S A</v>
      </c>
      <c r="H32" s="18">
        <v>45794.57</v>
      </c>
      <c r="I32" s="23"/>
      <c r="J32" s="23"/>
      <c r="K32" s="23">
        <f>'Abr-24'!$H32*0.105</f>
        <v>4808.4298499999995</v>
      </c>
      <c r="L32" s="23"/>
      <c r="M32" s="23"/>
      <c r="N32" s="23"/>
      <c r="O32" s="23"/>
      <c r="P32" s="20">
        <f>SUM('Abr-24'!$H32:$O32)</f>
        <v>50602.99985</v>
      </c>
      <c r="Q32" s="21" t="str">
        <f>IFERROR(IF('Abr-24'!$F32="","-",VLOOKUP('Abr-24'!$F32,Lista_CUIT!$A$1:$D$2241,3,0)),"CUIT NO CARGADO")</f>
        <v>Servicios Informaticos</v>
      </c>
      <c r="R32" s="21">
        <f>IFERROR(IF('Abr-24'!$F32="","-",VLOOKUP('Abr-24'!$F32,Lista_CUIT!$A$1:$D$2241,4,0)),"CUIT NO CARGADO")</f>
        <v>0</v>
      </c>
    </row>
    <row r="33" spans="2:18" ht="15.75" customHeight="1" x14ac:dyDescent="0.3">
      <c r="B33" s="12" t="s">
        <v>1342</v>
      </c>
      <c r="C33" s="13">
        <v>1</v>
      </c>
      <c r="D33" s="14">
        <v>106</v>
      </c>
      <c r="E33" s="15">
        <v>729129</v>
      </c>
      <c r="F33" s="16">
        <v>30594494187</v>
      </c>
      <c r="G33" s="17" t="str">
        <f>IFERROR(IF('Abr-24'!$F33="","-",VLOOKUP('Abr-24'!$F33,Lista_CUIT!$A$1:$D$2241,2,0)),"CUIT NO CARGADO")</f>
        <v>FEDERAL EXPRESS CORPORATION</v>
      </c>
      <c r="H33" s="18">
        <v>0</v>
      </c>
      <c r="I33" s="23">
        <f>'Abr-24'!$H33*0.21</f>
        <v>0</v>
      </c>
      <c r="J33" s="23"/>
      <c r="K33" s="23"/>
      <c r="L33" s="23"/>
      <c r="M33" s="23"/>
      <c r="N33" s="23"/>
      <c r="O33" s="23"/>
      <c r="P33" s="20">
        <f>SUM('Abr-24'!$H33:$O33)</f>
        <v>0</v>
      </c>
      <c r="Q33" s="21" t="str">
        <f>IFERROR(IF('Abr-24'!$F33="","-",VLOOKUP('Abr-24'!$F33,Lista_CUIT!$A$1:$D$2241,3,0)),"CUIT NO CARGADO")</f>
        <v>Gastos Importacion</v>
      </c>
      <c r="R33" s="21">
        <f>IFERROR(IF('Abr-24'!$F33="","-",VLOOKUP('Abr-24'!$F33,Lista_CUIT!$A$1:$D$2241,4,0)),"CUIT NO CARGADO")</f>
        <v>0</v>
      </c>
    </row>
    <row r="34" spans="2:18" ht="15.75" customHeight="1" x14ac:dyDescent="0.3">
      <c r="B34" s="12" t="s">
        <v>1342</v>
      </c>
      <c r="C34" s="13">
        <v>1</v>
      </c>
      <c r="D34" s="14">
        <v>3</v>
      </c>
      <c r="E34" s="15">
        <v>2022</v>
      </c>
      <c r="F34" s="16">
        <v>20401319930</v>
      </c>
      <c r="G34" s="17" t="str">
        <f>IFERROR(IF('Abr-24'!$F34="","-",VLOOKUP('Abr-24'!$F34,Lista_CUIT!$A$1:$D$2241,2,0)),"CUIT NO CARGADO")</f>
        <v>SANTORO FRANCO TOMAS</v>
      </c>
      <c r="H34" s="18">
        <v>23243.8</v>
      </c>
      <c r="I34" s="23">
        <f>'Abr-24'!$H34*0.21</f>
        <v>4881.1979999999994</v>
      </c>
      <c r="J34" s="23"/>
      <c r="K34" s="23"/>
      <c r="L34" s="23"/>
      <c r="M34" s="23"/>
      <c r="N34" s="23"/>
      <c r="O34" s="23"/>
      <c r="P34" s="20">
        <f>SUM('Abr-24'!$H34:$O34)</f>
        <v>28124.998</v>
      </c>
      <c r="Q34" s="21" t="str">
        <f>IFERROR(IF('Abr-24'!$F34="","-",VLOOKUP('Abr-24'!$F34,Lista_CUIT!$A$1:$D$2241,3,0)),"CUIT NO CARGADO")</f>
        <v>Catering</v>
      </c>
      <c r="R34" s="21">
        <f>IFERROR(IF('Abr-24'!$F34="","-",VLOOKUP('Abr-24'!$F34,Lista_CUIT!$A$1:$D$2241,4,0)),"CUIT NO CARGADO")</f>
        <v>0</v>
      </c>
    </row>
    <row r="35" spans="2:18" ht="15.75" customHeight="1" x14ac:dyDescent="0.3">
      <c r="B35" s="12">
        <v>45411</v>
      </c>
      <c r="C35" s="13">
        <v>1</v>
      </c>
      <c r="D35" s="14">
        <v>700</v>
      </c>
      <c r="E35" s="15">
        <v>651894</v>
      </c>
      <c r="F35" s="16">
        <v>30580111315</v>
      </c>
      <c r="G35" s="17" t="str">
        <f>IFERROR(IF('Abr-24'!$F35="","-",VLOOKUP('Abr-24'!$F35,Lista_CUIT!$A$1:$D$2241,2,0)),"CUIT NO CARGADO")</f>
        <v>DHL EXPRESS (ARGENTINA) S.A.</v>
      </c>
      <c r="H35" s="18"/>
      <c r="I35" s="23">
        <f>'Abr-24'!$H35*0.21</f>
        <v>0</v>
      </c>
      <c r="J35" s="23"/>
      <c r="K35" s="23"/>
      <c r="L35" s="23"/>
      <c r="M35" s="23"/>
      <c r="N35" s="23"/>
      <c r="O35" s="23">
        <v>274547.40000000002</v>
      </c>
      <c r="P35" s="20">
        <f>SUM('Abr-24'!$H35:$O35)</f>
        <v>274547.40000000002</v>
      </c>
      <c r="Q35" s="21" t="str">
        <f>IFERROR(IF('Abr-24'!$F35="","-",VLOOKUP('Abr-24'!$F35,Lista_CUIT!$A$1:$D$2241,3,0)),"CUIT NO CARGADO")</f>
        <v>Gastos Importacion</v>
      </c>
      <c r="R35" s="21">
        <f>IFERROR(IF('Abr-24'!$F35="","-",VLOOKUP('Abr-24'!$F35,Lista_CUIT!$A$1:$D$2241,4,0)),"CUIT NO CARGADO")</f>
        <v>0</v>
      </c>
    </row>
    <row r="36" spans="2:18" ht="15.75" customHeight="1" x14ac:dyDescent="0.3">
      <c r="B36" s="12"/>
      <c r="C36" s="13"/>
      <c r="D36" s="14"/>
      <c r="E36" s="15"/>
      <c r="F36" s="16"/>
      <c r="G36" s="17" t="str">
        <f>IFERROR(IF('Abr-24'!$F36="","-",VLOOKUP('Abr-24'!$F36,Lista_CUIT!$A$1:$D$2241,2,0)),"CUIT NO CARGADO")</f>
        <v>-</v>
      </c>
      <c r="H36" s="18"/>
      <c r="I36" s="23">
        <f>'Abr-24'!$H36*0.21</f>
        <v>0</v>
      </c>
      <c r="J36" s="23"/>
      <c r="K36" s="23"/>
      <c r="L36" s="23"/>
      <c r="M36" s="23"/>
      <c r="N36" s="23"/>
      <c r="O36" s="23"/>
      <c r="P36" s="20">
        <f>SUM('Abr-24'!$H36:$O36)</f>
        <v>0</v>
      </c>
      <c r="Q36" s="21" t="str">
        <f>IFERROR(IF('Abr-24'!$F36="","-",VLOOKUP('Abr-24'!$F36,Lista_CUIT!$A$1:$D$2241,3,0)),"CUIT NO CARGADO")</f>
        <v>-</v>
      </c>
      <c r="R36" s="21" t="str">
        <f>IFERROR(IF('Abr-24'!$F36="","-",VLOOKUP('Abr-24'!$F36,Lista_CUIT!$A$1:$D$2241,4,0)),"CUIT NO CARGADO")</f>
        <v>-</v>
      </c>
    </row>
    <row r="37" spans="2:18" ht="15.75" customHeight="1" x14ac:dyDescent="0.3">
      <c r="B37" s="21" t="s">
        <v>1343</v>
      </c>
      <c r="C37" s="21"/>
      <c r="D37" s="21"/>
      <c r="E37" s="21"/>
      <c r="F37" s="21"/>
      <c r="G37" s="17"/>
      <c r="H37" s="18">
        <f>SUBTOTAL(109,'Abr-24'!$H$9:$H$36)</f>
        <v>5488346.5999999996</v>
      </c>
      <c r="I37" s="18">
        <f>SUBTOTAL(109,'Abr-24'!$I$9:$I$36)</f>
        <v>1128230.0925</v>
      </c>
      <c r="J37" s="18">
        <f>SUBTOTAL(109,'Abr-24'!$J$9:$J$36)</f>
        <v>4735.8</v>
      </c>
      <c r="K37" s="18">
        <f>SUBTOTAL(109,'Abr-24'!$K$9:$K$36)</f>
        <v>10319.64675</v>
      </c>
      <c r="L37" s="18">
        <f>SUBTOTAL(109,'Abr-24'!$L$9:$L$36)</f>
        <v>526.20000000000005</v>
      </c>
      <c r="M37" s="18">
        <f>SUBTOTAL(109,'Abr-24'!$M$9:$M$36)</f>
        <v>0</v>
      </c>
      <c r="N37" s="18">
        <f>SUBTOTAL(109,'Abr-24'!$N$9:$N$36)</f>
        <v>0</v>
      </c>
      <c r="O37" s="18">
        <f>SUBTOTAL(109,'Abr-24'!$O$9:$O$36)</f>
        <v>820625.41</v>
      </c>
      <c r="P37" s="18">
        <f>SUBTOTAL(109,'Abr-24'!$P$9:$P$36)</f>
        <v>7452783.7492499975</v>
      </c>
      <c r="Q37" s="21"/>
      <c r="R37" s="21"/>
    </row>
    <row r="38" spans="2:18" ht="15.75" customHeight="1" x14ac:dyDescent="0.3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2:18" ht="15.75" customHeight="1" x14ac:dyDescent="0.3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  <c r="M39" s="19"/>
      <c r="N39" s="19"/>
      <c r="O39" s="19"/>
      <c r="P39" s="20"/>
      <c r="Q39" s="21"/>
      <c r="R39" s="21"/>
    </row>
    <row r="40" spans="2:18" ht="15.75" customHeight="1" x14ac:dyDescent="0.3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.75" customHeight="1" x14ac:dyDescent="0.3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</row>
    <row r="42" spans="2:18" ht="15.75" customHeight="1" x14ac:dyDescent="0.3">
      <c r="D42" s="484" t="s">
        <v>1344</v>
      </c>
      <c r="E42" s="476"/>
      <c r="F42" s="476"/>
      <c r="G42" s="476"/>
      <c r="H42" s="476"/>
      <c r="I42" s="476"/>
      <c r="J42" s="476"/>
      <c r="K42" s="476"/>
      <c r="L42" s="477"/>
    </row>
    <row r="43" spans="2:18" ht="15.75" customHeight="1" x14ac:dyDescent="0.3">
      <c r="D43" s="24" t="s">
        <v>1322</v>
      </c>
      <c r="E43" s="25" t="s">
        <v>1345</v>
      </c>
      <c r="F43" s="25" t="s">
        <v>1346</v>
      </c>
      <c r="G43" s="25" t="s">
        <v>1347</v>
      </c>
      <c r="H43" s="25" t="s">
        <v>1348</v>
      </c>
      <c r="I43" s="25" t="s">
        <v>1329</v>
      </c>
      <c r="J43" s="26" t="s">
        <v>1349</v>
      </c>
      <c r="K43" s="26" t="s">
        <v>1350</v>
      </c>
      <c r="L43" s="27" t="s">
        <v>1351</v>
      </c>
      <c r="M43" s="28" t="s">
        <v>1352</v>
      </c>
    </row>
    <row r="44" spans="2:18" ht="15.75" customHeight="1" x14ac:dyDescent="0.3">
      <c r="D44" s="12">
        <v>45386</v>
      </c>
      <c r="E44" s="29">
        <v>1070357000</v>
      </c>
      <c r="F44" s="30"/>
      <c r="G44" s="31">
        <v>8615</v>
      </c>
      <c r="H44" s="31">
        <f>'Abr-24'!$G44*0.21</f>
        <v>1809.1499999999999</v>
      </c>
      <c r="I44" s="31"/>
      <c r="J44" s="31">
        <v>258.45</v>
      </c>
      <c r="K44" s="31"/>
      <c r="L44" s="31"/>
      <c r="M44" s="31">
        <f>'Abr-24'!$G44+'Abr-24'!$H44+'Abr-24'!$I44+'Abr-24'!$J44+'Abr-24'!$K44</f>
        <v>10682.6</v>
      </c>
    </row>
    <row r="45" spans="2:18" ht="15.75" customHeight="1" x14ac:dyDescent="0.3">
      <c r="D45" s="12">
        <v>45405</v>
      </c>
      <c r="E45" s="15" t="s">
        <v>1353</v>
      </c>
      <c r="F45" s="29" t="s">
        <v>1354</v>
      </c>
      <c r="G45" s="31">
        <v>65400</v>
      </c>
      <c r="H45" s="31">
        <f>'Abr-24'!$G45*0.21</f>
        <v>13734</v>
      </c>
      <c r="I45" s="31"/>
      <c r="J45" s="31">
        <v>1962</v>
      </c>
      <c r="K45" s="31"/>
      <c r="L45" s="31"/>
      <c r="M45" s="31">
        <f>'Abr-24'!$G45+'Abr-24'!$H45+'Abr-24'!$I45+'Abr-24'!$J45+'Abr-24'!$K45</f>
        <v>81096</v>
      </c>
    </row>
    <row r="46" spans="2:18" ht="15.75" customHeight="1" x14ac:dyDescent="0.3">
      <c r="D46" s="12">
        <v>45399</v>
      </c>
      <c r="E46" s="15" t="s">
        <v>1355</v>
      </c>
      <c r="F46" s="29" t="s">
        <v>1354</v>
      </c>
      <c r="G46" s="31">
        <v>65137.5</v>
      </c>
      <c r="H46" s="31">
        <f>'Abr-24'!$G46*0.21</f>
        <v>13678.875</v>
      </c>
      <c r="I46" s="31"/>
      <c r="J46" s="31">
        <v>1954.13</v>
      </c>
      <c r="K46" s="31"/>
      <c r="L46" s="31"/>
      <c r="M46" s="31">
        <f>'Abr-24'!$G46+'Abr-24'!$H46+'Abr-24'!$I46+'Abr-24'!$J46+'Abr-24'!$K46</f>
        <v>80770.505000000005</v>
      </c>
    </row>
    <row r="47" spans="2:18" ht="15.75" customHeight="1" x14ac:dyDescent="0.3">
      <c r="D47" s="12">
        <v>45393</v>
      </c>
      <c r="E47" s="15">
        <v>980902000</v>
      </c>
      <c r="F47" s="29" t="s">
        <v>1356</v>
      </c>
      <c r="G47" s="31">
        <v>21637.5</v>
      </c>
      <c r="H47" s="31">
        <f>'Abr-24'!$G47*0.21</f>
        <v>4543.875</v>
      </c>
      <c r="I47" s="31"/>
      <c r="J47" s="31">
        <v>649.13</v>
      </c>
      <c r="K47" s="31"/>
      <c r="L47" s="31"/>
      <c r="M47" s="31">
        <f>'Abr-24'!$G47+'Abr-24'!$H47+'Abr-24'!$I47+'Abr-24'!$J47+'Abr-24'!$K47</f>
        <v>26830.505000000001</v>
      </c>
    </row>
    <row r="48" spans="2:18" ht="15.75" customHeight="1" x14ac:dyDescent="0.3">
      <c r="D48" s="12">
        <v>45394</v>
      </c>
      <c r="E48" s="15">
        <v>980927000</v>
      </c>
      <c r="F48" s="29" t="s">
        <v>1356</v>
      </c>
      <c r="G48" s="31">
        <v>21662.5</v>
      </c>
      <c r="H48" s="31">
        <f>'Abr-24'!$G48*0.21</f>
        <v>4549.125</v>
      </c>
      <c r="I48" s="31"/>
      <c r="J48" s="31">
        <v>649.88</v>
      </c>
      <c r="K48" s="31"/>
      <c r="L48" s="31"/>
      <c r="M48" s="31">
        <f>'Abr-24'!$G48+'Abr-24'!$H48+'Abr-24'!$I48+'Abr-24'!$J48+'Abr-24'!$K48</f>
        <v>26861.505000000001</v>
      </c>
    </row>
    <row r="49" spans="4:13" ht="15.75" customHeight="1" x14ac:dyDescent="0.3">
      <c r="D49" s="12">
        <v>45406</v>
      </c>
      <c r="E49" s="15">
        <v>1073108000</v>
      </c>
      <c r="F49" s="29" t="s">
        <v>1357</v>
      </c>
      <c r="G49" s="31">
        <v>21825</v>
      </c>
      <c r="H49" s="31">
        <f>'Abr-24'!$G49*0.21</f>
        <v>4583.25</v>
      </c>
      <c r="I49" s="31"/>
      <c r="J49" s="31">
        <v>654.75</v>
      </c>
      <c r="K49" s="31"/>
      <c r="L49" s="31"/>
      <c r="M49" s="31">
        <f>'Abr-24'!$G49+'Abr-24'!$H49+'Abr-24'!$I49+'Abr-24'!$J49+'Abr-24'!$K49</f>
        <v>27063</v>
      </c>
    </row>
    <row r="50" spans="4:13" ht="15.75" customHeight="1" x14ac:dyDescent="0.3">
      <c r="D50" s="12"/>
      <c r="E50" s="15"/>
      <c r="F50" s="29" t="s">
        <v>1358</v>
      </c>
      <c r="G50" s="31">
        <v>38981</v>
      </c>
      <c r="H50" s="31">
        <f>'Abr-24'!$G50*0.21</f>
        <v>8186.0099999999993</v>
      </c>
      <c r="I50" s="31"/>
      <c r="J50" s="31"/>
      <c r="K50" s="31">
        <v>1036.1300000000001</v>
      </c>
      <c r="L50" s="31"/>
      <c r="M50" s="31">
        <f>'Abr-24'!$G50+'Abr-24'!$H50+'Abr-24'!$I50+'Abr-24'!$J50+'Abr-24'!$K50</f>
        <v>48203.14</v>
      </c>
    </row>
    <row r="51" spans="4:13" ht="15.75" customHeight="1" x14ac:dyDescent="0.3">
      <c r="D51" s="12"/>
      <c r="E51" s="15"/>
      <c r="F51" s="29" t="s">
        <v>1358</v>
      </c>
      <c r="G51" s="31">
        <v>400</v>
      </c>
      <c r="H51" s="31">
        <f>'Abr-24'!$G51*0.21</f>
        <v>84</v>
      </c>
      <c r="I51" s="31"/>
      <c r="J51" s="31">
        <v>53.74</v>
      </c>
      <c r="K51" s="31"/>
      <c r="L51" s="31"/>
      <c r="M51" s="31">
        <f>'Abr-24'!$G51+'Abr-24'!$H51+'Abr-24'!$I51+'Abr-24'!$J51+'Abr-24'!$K51</f>
        <v>537.74</v>
      </c>
    </row>
    <row r="52" spans="4:13" ht="15.75" customHeight="1" x14ac:dyDescent="0.3">
      <c r="D52" s="12"/>
      <c r="E52" s="15"/>
      <c r="F52" s="29"/>
      <c r="G52" s="31"/>
      <c r="H52" s="31">
        <f>'Abr-24'!$G52*0.21</f>
        <v>0</v>
      </c>
      <c r="I52" s="31"/>
      <c r="J52" s="31"/>
      <c r="K52" s="31"/>
      <c r="L52" s="31"/>
      <c r="M52" s="31">
        <f>'Abr-24'!$G52+'Abr-24'!$H52+'Abr-24'!$I52+'Abr-24'!$J52+'Abr-24'!$K52</f>
        <v>0</v>
      </c>
    </row>
    <row r="53" spans="4:13" ht="15.75" customHeight="1" x14ac:dyDescent="0.3">
      <c r="D53" s="12"/>
      <c r="E53" s="15"/>
      <c r="F53" s="29"/>
      <c r="G53" s="31"/>
      <c r="H53" s="31">
        <f>'Abr-24'!$G53*0.21</f>
        <v>0</v>
      </c>
      <c r="I53" s="31"/>
      <c r="J53" s="31"/>
      <c r="K53" s="31"/>
      <c r="L53" s="31"/>
      <c r="M53" s="31">
        <f>'Abr-24'!$G53+'Abr-24'!$H53+'Abr-24'!$I53+'Abr-24'!$J53+'Abr-24'!$K53</f>
        <v>0</v>
      </c>
    </row>
    <row r="54" spans="4:13" ht="15.75" customHeight="1" x14ac:dyDescent="0.3">
      <c r="D54" s="21" t="s">
        <v>1343</v>
      </c>
      <c r="E54" s="29"/>
      <c r="F54" s="29"/>
      <c r="G54" s="31">
        <f>SUBTOTAL(109,'Abr-24'!$G$44:$G$53)</f>
        <v>243658.5</v>
      </c>
      <c r="H54" s="31">
        <f>SUBTOTAL(109,'Abr-24'!$H$44:$H$53)</f>
        <v>51168.285000000003</v>
      </c>
      <c r="I54" s="31">
        <f>SUBTOTAL(109,'Abr-24'!$I$44:$I$53)</f>
        <v>0</v>
      </c>
      <c r="J54" s="31">
        <f>SUBTOTAL(109,'Abr-24'!$J$44:$J$53)</f>
        <v>6182.08</v>
      </c>
      <c r="K54" s="31">
        <f>SUBTOTAL(109,'Abr-24'!$K$44:$K$53)</f>
        <v>1036.1300000000001</v>
      </c>
      <c r="L54" s="31">
        <f>SUBTOTAL(109,'Abr-24'!$L$44:$L$53)</f>
        <v>0</v>
      </c>
      <c r="M54" s="32"/>
    </row>
    <row r="55" spans="4:13" ht="15.75" customHeight="1" x14ac:dyDescent="0.3">
      <c r="H55" s="33" t="s">
        <v>1359</v>
      </c>
      <c r="I55" s="34">
        <f>SUM('Abr-24'!$H$54:$I$54)</f>
        <v>51168.285000000003</v>
      </c>
      <c r="J55" s="3" t="s">
        <v>1360</v>
      </c>
    </row>
    <row r="56" spans="4:13" ht="15.75" customHeight="1" x14ac:dyDescent="0.3"/>
    <row r="57" spans="4:13" ht="15.75" customHeight="1" x14ac:dyDescent="0.3"/>
    <row r="58" spans="4:13" ht="15.75" customHeight="1" x14ac:dyDescent="0.3">
      <c r="D58" s="484" t="s">
        <v>1361</v>
      </c>
      <c r="E58" s="476"/>
      <c r="F58" s="476"/>
      <c r="G58" s="476"/>
      <c r="H58" s="476"/>
      <c r="I58" s="476"/>
      <c r="J58" s="476"/>
      <c r="K58" s="477"/>
    </row>
    <row r="59" spans="4:13" ht="15.75" customHeight="1" x14ac:dyDescent="0.3">
      <c r="D59" s="35" t="s">
        <v>1322</v>
      </c>
      <c r="E59" s="35" t="s">
        <v>1324</v>
      </c>
      <c r="F59" s="35" t="s">
        <v>1362</v>
      </c>
      <c r="G59" s="35" t="s">
        <v>0</v>
      </c>
      <c r="H59" s="35" t="s">
        <v>1</v>
      </c>
      <c r="I59" s="36" t="s">
        <v>1334</v>
      </c>
      <c r="J59" s="35" t="s">
        <v>1363</v>
      </c>
      <c r="K59" s="35" t="s">
        <v>1335</v>
      </c>
    </row>
    <row r="60" spans="4:13" ht="15.75" customHeight="1" x14ac:dyDescent="0.3">
      <c r="D60" s="37">
        <v>45397</v>
      </c>
      <c r="E60" s="38">
        <v>2</v>
      </c>
      <c r="F60" s="38">
        <v>237</v>
      </c>
      <c r="G60" s="39">
        <v>27173820866</v>
      </c>
      <c r="H60" s="40" t="str">
        <f>IFERROR(IF('Abr-24'!$G60="","-",VLOOKUP('Abr-24'!$G60,Lista_CUIT!$A$1:$D$2241,2,0)),"CUIT NO CARGADO")</f>
        <v>FREIER SANDRA DANIELA</v>
      </c>
      <c r="I60" s="41">
        <v>500000</v>
      </c>
      <c r="J60" s="42" t="str">
        <f>IFERROR(IF('Abr-24'!$G60="","-",VLOOKUP('Abr-24'!$G60,Lista_CUIT!$A$1:$D$2241,3,0)),"CUIT NO CARGADO")</f>
        <v>Honorarios Prof</v>
      </c>
      <c r="K60" s="42">
        <f>IFERROR(IF('Abr-24'!$G60="","-",VLOOKUP('Abr-24'!$G60,Lista_CUIT!$A$1:$D$2241,4,0)),"CUIT NO CARGADO")</f>
        <v>0</v>
      </c>
    </row>
    <row r="61" spans="4:13" ht="15.75" customHeight="1" x14ac:dyDescent="0.3">
      <c r="D61" s="37">
        <v>45387</v>
      </c>
      <c r="E61" s="38">
        <v>2</v>
      </c>
      <c r="F61" s="38">
        <v>2</v>
      </c>
      <c r="G61" s="39">
        <v>23118167279</v>
      </c>
      <c r="H61" s="40" t="str">
        <f>IFERROR(IF('Abr-24'!$G61="","-",VLOOKUP('Abr-24'!$G61,Lista_CUIT!$A$1:$D$2241,2,0)),"CUIT NO CARGADO")</f>
        <v>ABELEDO ENRIQUE JUAN</v>
      </c>
      <c r="I61" s="41">
        <v>780000</v>
      </c>
      <c r="J61" s="42" t="str">
        <f>IFERROR(IF('Abr-24'!$G61="","-",VLOOKUP('Abr-24'!$G61,Lista_CUIT!$A$1:$D$2241,3,0)),"CUIT NO CARGADO")</f>
        <v>Honorarios Admin</v>
      </c>
      <c r="K61" s="42">
        <f>IFERROR(IF('Abr-24'!$G61="","-",VLOOKUP('Abr-24'!$G61,Lista_CUIT!$A$1:$D$2241,4,0)),"CUIT NO CARGADO")</f>
        <v>0</v>
      </c>
    </row>
    <row r="62" spans="4:13" ht="15.75" customHeight="1" x14ac:dyDescent="0.3">
      <c r="D62" s="37">
        <v>45385</v>
      </c>
      <c r="E62" s="38">
        <v>1</v>
      </c>
      <c r="F62" s="38">
        <v>24</v>
      </c>
      <c r="G62" s="39">
        <v>27387896150</v>
      </c>
      <c r="H62" s="40" t="str">
        <f>IFERROR(IF('Abr-24'!$G62="","-",VLOOKUP('Abr-24'!$G62,Lista_CUIT!$A$1:$D$2241,2,0)),"CUIT NO CARGADO")</f>
        <v>LIPANOVICH MARIA SOL</v>
      </c>
      <c r="I62" s="41">
        <v>750000</v>
      </c>
      <c r="J62" s="42" t="str">
        <f>IFERROR(IF('Abr-24'!$G62="","-",VLOOKUP('Abr-24'!$G62,Lista_CUIT!$A$1:$D$2241,3,0)),"CUIT NO CARGADO")</f>
        <v>consultoria informatica</v>
      </c>
      <c r="K62" s="42">
        <f>IFERROR(IF('Abr-24'!$G62="","-",VLOOKUP('Abr-24'!$G62,Lista_CUIT!$A$1:$D$2241,4,0)),"CUIT NO CARGADO")</f>
        <v>0</v>
      </c>
    </row>
    <row r="63" spans="4:13" ht="15.75" customHeight="1" x14ac:dyDescent="0.3">
      <c r="D63" s="37">
        <v>45385</v>
      </c>
      <c r="E63" s="38">
        <v>3</v>
      </c>
      <c r="F63" s="38">
        <v>840</v>
      </c>
      <c r="G63" s="39">
        <v>20086277523</v>
      </c>
      <c r="H63" s="40" t="str">
        <f>IFERROR(IF('Abr-24'!$G63="","-",VLOOKUP('Abr-24'!$G63,Lista_CUIT!$A$1:$D$2241,2,0)),"CUIT NO CARGADO")</f>
        <v>ESTUDIO BOTINDARI</v>
      </c>
      <c r="I63" s="41">
        <v>210000</v>
      </c>
      <c r="J63" s="42" t="str">
        <f>IFERROR(IF('Abr-24'!$G63="","-",VLOOKUP('Abr-24'!$G63,Lista_CUIT!$A$1:$D$2241,3,0)),"CUIT NO CARGADO")</f>
        <v>Honorarios Contables</v>
      </c>
      <c r="K63" s="42">
        <f>IFERROR(IF('Abr-24'!$G63="","-",VLOOKUP('Abr-24'!$G63,Lista_CUIT!$A$1:$D$2241,4,0)),"CUIT NO CARGADO")</f>
        <v>0</v>
      </c>
    </row>
    <row r="64" spans="4:13" ht="15.75" customHeight="1" x14ac:dyDescent="0.3">
      <c r="D64" s="37">
        <v>45383</v>
      </c>
      <c r="E64" s="38">
        <v>1</v>
      </c>
      <c r="F64" s="38">
        <v>35</v>
      </c>
      <c r="G64" s="39">
        <v>20365938688</v>
      </c>
      <c r="H64" s="40" t="str">
        <f>IFERROR(IF('Abr-24'!$G64="","-",VLOOKUP('Abr-24'!$G64,Lista_CUIT!$A$1:$D$2241,2,0)),"CUIT NO CARGADO")</f>
        <v>LIPANOVICH JUAN CRUZ</v>
      </c>
      <c r="I64" s="41">
        <v>750000</v>
      </c>
      <c r="J64" s="42" t="str">
        <f>IFERROR(IF('Abr-24'!$G64="","-",VLOOKUP('Abr-24'!$G64,Lista_CUIT!$A$1:$D$2241,3,0)),"CUIT NO CARGADO")</f>
        <v>SOFTWARE</v>
      </c>
      <c r="K64" s="42">
        <f>IFERROR(IF('Abr-24'!$G64="","-",VLOOKUP('Abr-24'!$G64,Lista_CUIT!$A$1:$D$2241,4,0)),"CUIT NO CARGADO")</f>
        <v>0</v>
      </c>
    </row>
    <row r="65" spans="2:18" ht="15.75" customHeight="1" x14ac:dyDescent="0.3">
      <c r="D65" s="37">
        <v>45386</v>
      </c>
      <c r="E65" s="38">
        <v>1</v>
      </c>
      <c r="F65" s="38">
        <v>367</v>
      </c>
      <c r="G65" s="39">
        <v>27925308868</v>
      </c>
      <c r="H65" s="40" t="str">
        <f>IFERROR(IF('Abr-24'!$G65="","-",VLOOKUP('Abr-24'!$G65,Lista_CUIT!$A$1:$D$2241,2,0)),"CUIT NO CARGADO")</f>
        <v>LOPEZ MOLINA MARIA</v>
      </c>
      <c r="I65" s="41">
        <v>10000</v>
      </c>
      <c r="J65" s="42" t="str">
        <f>IFERROR(IF('Abr-24'!$G65="","-",VLOOKUP('Abr-24'!$G65,Lista_CUIT!$A$1:$D$2241,3,0)),"CUIT NO CARGADO")</f>
        <v>GASTOS VARIOS</v>
      </c>
      <c r="K65" s="42">
        <f>IFERROR(IF('Abr-24'!$G65="","-",VLOOKUP('Abr-24'!$G65,Lista_CUIT!$A$1:$D$2241,4,0)),"CUIT NO CARGADO")</f>
        <v>0</v>
      </c>
    </row>
    <row r="66" spans="2:18" ht="15.75" customHeight="1" x14ac:dyDescent="0.3">
      <c r="D66" s="37">
        <v>45386</v>
      </c>
      <c r="E66" s="38">
        <v>1</v>
      </c>
      <c r="F66" s="38">
        <v>1386356</v>
      </c>
      <c r="G66" s="39">
        <v>30714928577</v>
      </c>
      <c r="H66" s="40" t="str">
        <f>IFERROR(IF('Abr-24'!$G66="","-",VLOOKUP('Abr-24'!$G66,Lista_CUIT!$A$1:$D$2241,2,0)),"CUIT NO CARGADO")</f>
        <v>SIMPLEX VILLI SA</v>
      </c>
      <c r="I66" s="41">
        <v>4742</v>
      </c>
      <c r="J66" s="42" t="str">
        <f>IFERROR(IF('Abr-24'!$G66="","-",VLOOKUP('Abr-24'!$G66,Lista_CUIT!$A$1:$D$2241,3,0)),"CUIT NO CARGADO")</f>
        <v>Gastos Oficina</v>
      </c>
      <c r="K66" s="42">
        <f>IFERROR(IF('Abr-24'!$G66="","-",VLOOKUP('Abr-24'!$G66,Lista_CUIT!$A$1:$D$2241,4,0)),"CUIT NO CARGADO")</f>
        <v>0</v>
      </c>
    </row>
    <row r="67" spans="2:18" ht="15.75" customHeight="1" x14ac:dyDescent="0.3">
      <c r="D67" s="37">
        <v>45390</v>
      </c>
      <c r="E67" s="38">
        <v>14</v>
      </c>
      <c r="F67" s="38">
        <v>377601</v>
      </c>
      <c r="G67" s="39">
        <v>33709901449</v>
      </c>
      <c r="H67" s="40" t="str">
        <f>IFERROR(IF('Abr-24'!$G67="","-",VLOOKUP('Abr-24'!$G67,Lista_CUIT!$A$1:$D$2241,2,0)),"CUIT NO CARGADO")</f>
        <v>CLOVER TEAM SA</v>
      </c>
      <c r="I67" s="41">
        <v>24994</v>
      </c>
      <c r="J67" s="42" t="str">
        <f>IFERROR(IF('Abr-24'!$G67="","-",VLOOKUP('Abr-24'!$G67,Lista_CUIT!$A$1:$D$2241,3,0)),"CUIT NO CARGADO")</f>
        <v>Ferreteria</v>
      </c>
      <c r="K67" s="42">
        <f>IFERROR(IF('Abr-24'!$G67="","-",VLOOKUP('Abr-24'!$G67,Lista_CUIT!$A$1:$D$2241,4,0)),"CUIT NO CARGADO")</f>
        <v>0</v>
      </c>
    </row>
    <row r="68" spans="2:18" ht="15.75" customHeight="1" x14ac:dyDescent="0.3">
      <c r="B68" s="43"/>
      <c r="C68" s="43"/>
      <c r="D68" s="37"/>
      <c r="E68" s="38"/>
      <c r="F68" s="38"/>
      <c r="G68" s="39"/>
      <c r="H68" s="40" t="str">
        <f>IFERROR(IF('Abr-24'!$G68="","-",VLOOKUP('Abr-24'!$G68,Lista_CUIT!$A$1:$D$2241,2,0)),"CUIT NO CARGADO")</f>
        <v>-</v>
      </c>
      <c r="I68" s="41"/>
      <c r="J68" s="42" t="str">
        <f>IFERROR(IF('Abr-24'!$G68="","-",VLOOKUP('Abr-24'!$G68,Lista_CUIT!$A$1:$D$2241,3,0)),"CUIT NO CARGADO")</f>
        <v>-</v>
      </c>
      <c r="K68" s="42" t="str">
        <f>IFERROR(IF('Abr-24'!$G68="","-",VLOOKUP('Abr-24'!$G68,Lista_CUIT!$A$1:$D$2241,4,0)),"CUIT NO CARGADO")</f>
        <v>-</v>
      </c>
      <c r="L68" s="43"/>
      <c r="M68" s="43"/>
      <c r="N68" s="43"/>
      <c r="O68" s="43"/>
      <c r="P68" s="43"/>
      <c r="Q68" s="43"/>
      <c r="R68" s="43"/>
    </row>
    <row r="69" spans="2:18" ht="15.75" customHeight="1" x14ac:dyDescent="0.3">
      <c r="D69" s="37"/>
      <c r="E69" s="38"/>
      <c r="F69" s="38"/>
      <c r="G69" s="39"/>
      <c r="H69" s="40" t="str">
        <f>IFERROR(IF('Abr-24'!$G69="","-",VLOOKUP('Abr-24'!$G69,Lista_CUIT!$A$1:$D$2241,2,0)),"CUIT NO CARGADO")</f>
        <v>-</v>
      </c>
      <c r="I69" s="41"/>
      <c r="J69" s="42" t="str">
        <f>IFERROR(IF('Abr-24'!$G69="","-",VLOOKUP('Abr-24'!$G69,Lista_CUIT!$A$1:$D$2241,3,0)),"CUIT NO CARGADO")</f>
        <v>-</v>
      </c>
      <c r="K69" s="42" t="str">
        <f>IFERROR(IF('Abr-24'!$G69="","-",VLOOKUP('Abr-24'!$G69,Lista_CUIT!$A$1:$D$2241,4,0)),"CUIT NO CARGADO")</f>
        <v>-</v>
      </c>
    </row>
    <row r="70" spans="2:18" ht="15.75" customHeight="1" x14ac:dyDescent="0.3">
      <c r="D70" s="37"/>
      <c r="E70" s="38"/>
      <c r="F70" s="38"/>
      <c r="G70" s="39"/>
      <c r="H70" s="40" t="str">
        <f>IFERROR(IF('Abr-24'!$G70="","-",VLOOKUP('Abr-24'!$G70,Lista_CUIT!$A$1:$D$2241,2,0)),"CUIT NO CARGADO")</f>
        <v>-</v>
      </c>
      <c r="I70" s="41"/>
      <c r="J70" s="42" t="str">
        <f>IFERROR(IF('Abr-24'!$G70="","-",VLOOKUP('Abr-24'!$G70,Lista_CUIT!$A$1:$D$2241,3,0)),"CUIT NO CARGADO")</f>
        <v>-</v>
      </c>
      <c r="K70" s="42" t="str">
        <f>IFERROR(IF('Abr-24'!$G70="","-",VLOOKUP('Abr-24'!$G70,Lista_CUIT!$A$1:$D$2241,4,0)),"CUIT NO CARGADO")</f>
        <v>-</v>
      </c>
    </row>
    <row r="71" spans="2:18" ht="15.75" customHeight="1" x14ac:dyDescent="0.3">
      <c r="D71" s="37"/>
      <c r="E71" s="38"/>
      <c r="F71" s="38"/>
      <c r="G71" s="39"/>
      <c r="H71" s="40" t="str">
        <f>IFERROR(IF('Abr-24'!$G71="","-",VLOOKUP('Abr-24'!$G71,Lista_CUIT!$A$1:$D$2241,2,0)),"CUIT NO CARGADO")</f>
        <v>-</v>
      </c>
      <c r="I71" s="41"/>
      <c r="J71" s="42" t="str">
        <f>IFERROR(IF('Abr-24'!$G71="","-",VLOOKUP('Abr-24'!$G71,Lista_CUIT!$A$1:$D$2241,3,0)),"CUIT NO CARGADO")</f>
        <v>-</v>
      </c>
      <c r="K71" s="42" t="str">
        <f>IFERROR(IF('Abr-24'!$G71="","-",VLOOKUP('Abr-24'!$G71,Lista_CUIT!$A$1:$D$2241,4,0)),"CUIT NO CARGADO")</f>
        <v>-</v>
      </c>
    </row>
    <row r="72" spans="2:18" ht="15.75" customHeight="1" x14ac:dyDescent="0.3">
      <c r="D72" s="42" t="s">
        <v>1343</v>
      </c>
      <c r="E72" s="42"/>
      <c r="F72" s="42"/>
      <c r="G72" s="42"/>
      <c r="H72" s="44"/>
      <c r="I72" s="41">
        <f>SUBTOTAL(109,'Abr-24'!$I$60:$I$71)</f>
        <v>3029736</v>
      </c>
      <c r="J72" s="42"/>
      <c r="K72" s="42"/>
    </row>
    <row r="73" spans="2:18" ht="15.75" customHeight="1" x14ac:dyDescent="0.3"/>
    <row r="74" spans="2:18" ht="15.75" customHeight="1" x14ac:dyDescent="0.3">
      <c r="B74" s="492" t="s">
        <v>1364</v>
      </c>
      <c r="C74" s="476"/>
      <c r="D74" s="476"/>
      <c r="E74" s="476"/>
      <c r="F74" s="476"/>
      <c r="G74" s="476"/>
      <c r="H74" s="476"/>
      <c r="I74" s="476"/>
      <c r="J74" s="477"/>
      <c r="K74" s="493">
        <f>N1</f>
        <v>45017</v>
      </c>
      <c r="L74" s="476"/>
      <c r="M74" s="477"/>
    </row>
    <row r="75" spans="2:18" ht="15.75" customHeight="1" x14ac:dyDescent="0.3"/>
    <row r="76" spans="2:18" ht="15.75" customHeight="1" x14ac:dyDescent="0.3">
      <c r="B76" s="485" t="s">
        <v>1365</v>
      </c>
      <c r="C76" s="486"/>
    </row>
    <row r="77" spans="2:18" ht="15.75" customHeight="1" x14ac:dyDescent="0.3">
      <c r="B77" s="45" t="s">
        <v>1322</v>
      </c>
      <c r="C77" s="46" t="s">
        <v>1323</v>
      </c>
      <c r="D77" s="46" t="s">
        <v>1366</v>
      </c>
      <c r="E77" s="46" t="s">
        <v>1367</v>
      </c>
      <c r="F77" s="46" t="s">
        <v>0</v>
      </c>
      <c r="G77" s="46" t="s">
        <v>1</v>
      </c>
      <c r="H77" s="46" t="s">
        <v>1368</v>
      </c>
      <c r="I77" s="46" t="s">
        <v>1348</v>
      </c>
      <c r="J77" s="46" t="s">
        <v>1329</v>
      </c>
      <c r="K77" s="46" t="s">
        <v>1369</v>
      </c>
      <c r="L77" s="46" t="s">
        <v>1334</v>
      </c>
      <c r="M77" s="47" t="s">
        <v>1335</v>
      </c>
    </row>
    <row r="78" spans="2:18" ht="15.75" customHeight="1" x14ac:dyDescent="0.3">
      <c r="B78" s="12" t="s">
        <v>1370</v>
      </c>
      <c r="C78" s="13">
        <v>1</v>
      </c>
      <c r="D78" s="14">
        <v>3</v>
      </c>
      <c r="E78" s="15">
        <v>184</v>
      </c>
      <c r="F78" s="16">
        <v>30638318470</v>
      </c>
      <c r="G78" s="48" t="str">
        <f>IFERROR(IF('Abr-24'!$F78="","-",VLOOKUP('Abr-24'!$F78,Lista_CUIT!$A$1:$D$2241,2,0)),"CUIT NO CARGADO")</f>
        <v>DELTA COMPRESION S R L</v>
      </c>
      <c r="H78" s="49">
        <v>18976464.805</v>
      </c>
      <c r="I78" s="50">
        <v>65248.63</v>
      </c>
      <c r="J78" s="51">
        <v>1959909.47</v>
      </c>
      <c r="K78" s="51"/>
      <c r="L78" s="51">
        <f>SUM('Abr-24'!$H78:$K78)</f>
        <v>21001622.904999997</v>
      </c>
      <c r="M78" s="52"/>
    </row>
    <row r="79" spans="2:18" ht="15.75" customHeight="1" x14ac:dyDescent="0.3">
      <c r="B79" s="12" t="s">
        <v>1339</v>
      </c>
      <c r="C79" s="13">
        <v>1</v>
      </c>
      <c r="D79" s="14">
        <v>3</v>
      </c>
      <c r="E79" s="15">
        <v>185</v>
      </c>
      <c r="F79" s="16">
        <v>30628274327</v>
      </c>
      <c r="G79" s="48" t="str">
        <f>IFERROR(IF('Abr-24'!$F79="","-",VLOOKUP('Abr-24'!$F79,Lista_CUIT!$A$1:$D$2241,2,0)),"CUIT NO CARGADO")</f>
        <v>AGIRA  S A</v>
      </c>
      <c r="H79" s="49">
        <v>11861145</v>
      </c>
      <c r="I79" s="50"/>
      <c r="J79" s="51">
        <v>1245420.2250000001</v>
      </c>
      <c r="K79" s="51"/>
      <c r="L79" s="51">
        <f>SUM('Abr-24'!$H79:$K79)</f>
        <v>13106565.225</v>
      </c>
      <c r="M79" s="52"/>
    </row>
    <row r="80" spans="2:18" ht="15.75" customHeight="1" x14ac:dyDescent="0.3">
      <c r="B80" s="12" t="s">
        <v>1371</v>
      </c>
      <c r="C80" s="13">
        <v>1</v>
      </c>
      <c r="D80" s="14">
        <v>3</v>
      </c>
      <c r="E80" s="15">
        <v>186</v>
      </c>
      <c r="F80" s="16">
        <v>30638318470</v>
      </c>
      <c r="G80" s="48" t="str">
        <f>IFERROR(IF('Abr-24'!$F80="","-",VLOOKUP('Abr-24'!$F80,Lista_CUIT!$A$1:$D$2241,2,0)),"CUIT NO CARGADO")</f>
        <v>DELTA COMPRESION S R L</v>
      </c>
      <c r="H80" s="49">
        <v>18803400</v>
      </c>
      <c r="I80" s="50"/>
      <c r="J80" s="51">
        <v>1974361.44</v>
      </c>
      <c r="K80" s="51"/>
      <c r="L80" s="51">
        <f>SUM('Abr-24'!$H80:$K80)</f>
        <v>20777761.440000001</v>
      </c>
      <c r="M80" s="52"/>
    </row>
    <row r="81" spans="2:13" ht="15.75" customHeight="1" x14ac:dyDescent="0.3">
      <c r="B81" s="12" t="s">
        <v>1342</v>
      </c>
      <c r="C81" s="13">
        <v>1</v>
      </c>
      <c r="D81" s="14">
        <v>3</v>
      </c>
      <c r="E81" s="15">
        <v>187</v>
      </c>
      <c r="F81" s="16">
        <v>30716041596</v>
      </c>
      <c r="G81" s="48" t="str">
        <f>IFERROR(IF('Abr-24'!$F81="","-",VLOOKUP('Abr-24'!$F81,Lista_CUIT!$A$1:$D$2241,2,0)),"CUIT NO CARGADO")</f>
        <v>EXA COMPRESION S.R.L.</v>
      </c>
      <c r="H81" s="49">
        <v>277605</v>
      </c>
      <c r="I81" s="50">
        <f>'Abr-24'!$H81*0.21</f>
        <v>58297.049999999996</v>
      </c>
      <c r="J81" s="51"/>
      <c r="K81" s="51"/>
      <c r="L81" s="51">
        <f>SUM('Abr-24'!$H81:$K81)</f>
        <v>335902.05</v>
      </c>
      <c r="M81" s="52"/>
    </row>
    <row r="82" spans="2:13" ht="15.75" customHeight="1" x14ac:dyDescent="0.3">
      <c r="B82" s="12"/>
      <c r="C82" s="13"/>
      <c r="D82" s="14"/>
      <c r="E82" s="15"/>
      <c r="F82" s="16"/>
      <c r="G82" s="48" t="str">
        <f>IFERROR(IF('Abr-24'!$F82="","-",VLOOKUP('Abr-24'!$F82,Lista_CUIT!$A$1:$D$2241,2,0)),"CUIT NO CARGADO")</f>
        <v>-</v>
      </c>
      <c r="H82" s="49"/>
      <c r="I82" s="50">
        <f>'Abr-24'!$H82*0.21</f>
        <v>0</v>
      </c>
      <c r="J82" s="51"/>
      <c r="K82" s="51"/>
      <c r="L82" s="51">
        <f>SUM('Abr-24'!$H82:$K82)</f>
        <v>0</v>
      </c>
      <c r="M82" s="52"/>
    </row>
    <row r="83" spans="2:13" ht="15.75" customHeight="1" x14ac:dyDescent="0.3">
      <c r="B83" s="12"/>
      <c r="C83" s="13"/>
      <c r="D83" s="14"/>
      <c r="E83" s="15"/>
      <c r="F83" s="16"/>
      <c r="G83" s="48" t="str">
        <f>IFERROR(IF('Abr-24'!$F83="","-",VLOOKUP('Abr-24'!$F83,Lista_CUIT!$A$1:$D$2241,2,0)),"CUIT NO CARGADO")</f>
        <v>-</v>
      </c>
      <c r="H83" s="49"/>
      <c r="I83" s="50">
        <f>'Abr-24'!$H83*0.21</f>
        <v>0</v>
      </c>
      <c r="J83" s="51"/>
      <c r="K83" s="51"/>
      <c r="L83" s="51">
        <f>SUM('Abr-24'!$H83:$K83)</f>
        <v>0</v>
      </c>
      <c r="M83" s="52"/>
    </row>
    <row r="84" spans="2:13" ht="15.75" customHeight="1" x14ac:dyDescent="0.3">
      <c r="B84" s="12"/>
      <c r="C84" s="13"/>
      <c r="D84" s="14"/>
      <c r="E84" s="15"/>
      <c r="F84" s="16"/>
      <c r="G84" s="48" t="str">
        <f>IFERROR(IF('Abr-24'!$F84="","-",VLOOKUP('Abr-24'!$F84,Lista_CUIT!$A$1:$D$2241,2,0)),"CUIT NO CARGADO")</f>
        <v>-</v>
      </c>
      <c r="H84" s="49"/>
      <c r="I84" s="50">
        <f>'Abr-24'!$H84*0.21</f>
        <v>0</v>
      </c>
      <c r="J84" s="51"/>
      <c r="K84" s="51"/>
      <c r="L84" s="51">
        <f>SUM('Abr-24'!$H84:$K84)</f>
        <v>0</v>
      </c>
      <c r="M84" s="53"/>
    </row>
    <row r="85" spans="2:13" ht="15.75" customHeight="1" x14ac:dyDescent="0.3">
      <c r="B85" s="54"/>
      <c r="C85" s="55"/>
      <c r="D85" s="56"/>
      <c r="E85" s="57"/>
      <c r="F85" s="58"/>
      <c r="G85" s="48" t="str">
        <f>IFERROR(IF('Abr-24'!$F85="","-",VLOOKUP('Abr-24'!$F85,Lista_CUIT!$A$1:$D$2241,2,0)),"CUIT NO CARGADO")</f>
        <v>-</v>
      </c>
      <c r="H85" s="59"/>
      <c r="I85" s="60">
        <f>'Abr-24'!$H85*0.21</f>
        <v>0</v>
      </c>
      <c r="J85" s="61"/>
      <c r="K85" s="61"/>
      <c r="L85" s="51">
        <f>SUM('Abr-24'!$H85:$K85)</f>
        <v>0</v>
      </c>
      <c r="M85" s="53"/>
    </row>
    <row r="86" spans="2:13" ht="15.75" customHeight="1" x14ac:dyDescent="0.3">
      <c r="B86" s="62"/>
      <c r="C86" s="63"/>
      <c r="D86" s="64"/>
      <c r="E86" s="65"/>
      <c r="F86" s="66"/>
      <c r="G86" s="48" t="str">
        <f>IFERROR(IF('Abr-24'!$F86="","-",VLOOKUP('Abr-24'!$F86,Lista_CUIT!$A$1:$D$2241,2,0)),"CUIT NO CARGADO")</f>
        <v>-</v>
      </c>
      <c r="H86" s="49"/>
      <c r="I86" s="60">
        <f>'Abr-24'!$H86*0.21</f>
        <v>0</v>
      </c>
      <c r="J86" s="51"/>
      <c r="K86" s="51"/>
      <c r="L86" s="51">
        <f>SUM('Abr-24'!$H86:$K86)</f>
        <v>0</v>
      </c>
      <c r="M86" s="52"/>
    </row>
    <row r="87" spans="2:13" ht="15.75" customHeight="1" x14ac:dyDescent="0.3">
      <c r="B87" s="54"/>
      <c r="C87" s="55"/>
      <c r="D87" s="56"/>
      <c r="E87" s="57"/>
      <c r="F87" s="58"/>
      <c r="G87" s="67" t="str">
        <f>IFERROR(IF('Abr-24'!$F87="","-",VLOOKUP('Abr-24'!$F87,Lista_CUIT!$A$1:$D$2241,2,0)),"CUIT NO CARGADO")</f>
        <v>-</v>
      </c>
      <c r="H87" s="59"/>
      <c r="I87" s="60">
        <f>'Abr-24'!$H87*0.21</f>
        <v>0</v>
      </c>
      <c r="J87" s="61"/>
      <c r="K87" s="61"/>
      <c r="L87" s="51">
        <f>SUM('Abr-24'!$H87:$K87)</f>
        <v>0</v>
      </c>
      <c r="M87" s="53"/>
    </row>
    <row r="88" spans="2:13" ht="15.75" customHeight="1" x14ac:dyDescent="0.3">
      <c r="B88" s="68" t="s">
        <v>1343</v>
      </c>
      <c r="C88" s="69"/>
      <c r="D88" s="69"/>
      <c r="E88" s="69"/>
      <c r="F88" s="69"/>
      <c r="G88" s="69"/>
      <c r="H88" s="70">
        <f>SUBTOTAL(109,'Abr-24'!$H$78:$H$87)</f>
        <v>49918614.805</v>
      </c>
      <c r="I88" s="71">
        <f>SUBTOTAL(109,'Abr-24'!$I$78:$I$87)</f>
        <v>123545.68</v>
      </c>
      <c r="J88" s="61">
        <f>SUBTOTAL(109,'Abr-24'!$J$78:$J$87)</f>
        <v>5179691.1349999998</v>
      </c>
      <c r="K88" s="61">
        <f>SUBTOTAL(109,'Abr-24'!$K$78:$K$87)</f>
        <v>0</v>
      </c>
      <c r="L88" s="61">
        <f>SUBTOTAL(109,'Abr-24'!$L$78:$L$87)</f>
        <v>55221851.61999999</v>
      </c>
      <c r="M88" s="72">
        <f>SUBTOTAL(103,'Abr-24'!$M$78:$M$87)</f>
        <v>0</v>
      </c>
    </row>
    <row r="89" spans="2:13" ht="15.75" customHeight="1" x14ac:dyDescent="0.3"/>
    <row r="90" spans="2:13" ht="15.75" customHeight="1" x14ac:dyDescent="0.3">
      <c r="B90" s="485" t="s">
        <v>1372</v>
      </c>
      <c r="C90" s="486"/>
    </row>
    <row r="91" spans="2:13" ht="15.75" customHeight="1" x14ac:dyDescent="0.3">
      <c r="B91" s="45" t="s">
        <v>1322</v>
      </c>
      <c r="C91" s="46" t="s">
        <v>1323</v>
      </c>
      <c r="D91" s="46" t="s">
        <v>1366</v>
      </c>
      <c r="E91" s="46" t="s">
        <v>1367</v>
      </c>
      <c r="F91" s="46" t="s">
        <v>0</v>
      </c>
      <c r="G91" s="46" t="s">
        <v>1</v>
      </c>
      <c r="H91" s="46" t="s">
        <v>1368</v>
      </c>
      <c r="I91" s="46" t="s">
        <v>1348</v>
      </c>
      <c r="J91" s="46" t="s">
        <v>1329</v>
      </c>
      <c r="K91" s="46" t="s">
        <v>1369</v>
      </c>
      <c r="L91" s="46" t="s">
        <v>1334</v>
      </c>
      <c r="M91" s="47" t="s">
        <v>1335</v>
      </c>
    </row>
    <row r="92" spans="2:13" ht="15.75" customHeight="1" x14ac:dyDescent="0.3">
      <c r="B92" s="12"/>
      <c r="C92" s="13"/>
      <c r="D92" s="14"/>
      <c r="E92" s="15"/>
      <c r="F92" s="16"/>
      <c r="G92" s="73" t="str">
        <f>IFERROR(IF('Abr-24'!$F92="","-",VLOOKUP('Abr-24'!$F92,Lista_CUIT!$A$1:$D$2241,2,0)),"CUIT NO CARGADO")</f>
        <v>-</v>
      </c>
      <c r="H92" s="74"/>
      <c r="I92" s="74"/>
      <c r="J92" s="74"/>
      <c r="K92" s="74"/>
      <c r="L92" s="74"/>
      <c r="M92" s="52"/>
    </row>
    <row r="93" spans="2:13" ht="15.75" customHeight="1" x14ac:dyDescent="0.3">
      <c r="B93" s="12"/>
      <c r="C93" s="13"/>
      <c r="D93" s="14"/>
      <c r="E93" s="15"/>
      <c r="F93" s="16"/>
      <c r="G93" s="73"/>
      <c r="H93" s="74"/>
      <c r="I93" s="74"/>
      <c r="J93" s="74"/>
      <c r="K93" s="74"/>
      <c r="L93" s="74"/>
      <c r="M93" s="52"/>
    </row>
    <row r="94" spans="2:13" ht="15.75" customHeight="1" x14ac:dyDescent="0.3">
      <c r="B94" s="12"/>
      <c r="C94" s="13"/>
      <c r="D94" s="14"/>
      <c r="E94" s="15"/>
      <c r="F94" s="16"/>
      <c r="G94" s="73"/>
      <c r="H94" s="74"/>
      <c r="I94" s="74"/>
      <c r="J94" s="74"/>
      <c r="K94" s="74"/>
      <c r="L94" s="74"/>
      <c r="M94" s="52"/>
    </row>
    <row r="95" spans="2:13" ht="15.75" customHeight="1" x14ac:dyDescent="0.3">
      <c r="B95" s="12"/>
      <c r="C95" s="13"/>
      <c r="D95" s="14"/>
      <c r="E95" s="15"/>
      <c r="F95" s="16"/>
      <c r="G95" s="73"/>
      <c r="H95" s="74"/>
      <c r="I95" s="74"/>
      <c r="J95" s="74"/>
      <c r="K95" s="74"/>
      <c r="L95" s="74"/>
      <c r="M95" s="52"/>
    </row>
    <row r="96" spans="2:13" ht="15.75" customHeight="1" x14ac:dyDescent="0.3">
      <c r="B96" s="12"/>
      <c r="C96" s="13"/>
      <c r="D96" s="14"/>
      <c r="E96" s="15"/>
      <c r="F96" s="16"/>
      <c r="G96" s="73"/>
      <c r="H96" s="74"/>
      <c r="I96" s="74"/>
      <c r="J96" s="74"/>
      <c r="K96" s="74"/>
      <c r="L96" s="74"/>
      <c r="M96" s="52"/>
    </row>
    <row r="97" spans="2:18" ht="15.75" customHeight="1" x14ac:dyDescent="0.3">
      <c r="B97" s="12"/>
      <c r="C97" s="13"/>
      <c r="D97" s="14"/>
      <c r="E97" s="15"/>
      <c r="F97" s="16"/>
      <c r="G97" s="73"/>
      <c r="H97" s="74"/>
      <c r="I97" s="74"/>
      <c r="J97" s="74"/>
      <c r="K97" s="74"/>
      <c r="L97" s="74"/>
      <c r="M97" s="52"/>
    </row>
    <row r="98" spans="2:18" ht="15.75" customHeight="1" x14ac:dyDescent="0.3">
      <c r="B98" s="68" t="s">
        <v>1343</v>
      </c>
      <c r="C98" s="69"/>
      <c r="D98" s="69"/>
      <c r="E98" s="69"/>
      <c r="F98" s="69"/>
      <c r="G98" s="69"/>
      <c r="H98" s="75">
        <f>SUBTOTAL(109,'Abr-24'!$H$92:$H$97)</f>
        <v>0</v>
      </c>
      <c r="I98" s="75">
        <f>SUBTOTAL(109,'Abr-24'!$I$92:$I$97)</f>
        <v>0</v>
      </c>
      <c r="J98" s="76">
        <f>SUBTOTAL(109,'Abr-24'!$J$92:$J$97)</f>
        <v>0</v>
      </c>
      <c r="K98" s="76">
        <f>SUBTOTAL(109,'Abr-24'!$K$92:$K$97)</f>
        <v>0</v>
      </c>
      <c r="L98" s="76">
        <f>SUBTOTAL(109,'Abr-24'!$L$92:$L$97)</f>
        <v>0</v>
      </c>
      <c r="M98" s="72">
        <f>SUBTOTAL(103,'Abr-24'!$M$92:$M$97)</f>
        <v>0</v>
      </c>
      <c r="O98" s="10"/>
      <c r="P98" s="10"/>
      <c r="Q98" s="10"/>
      <c r="R98" s="10"/>
    </row>
    <row r="99" spans="2:18" ht="15.75" customHeight="1" x14ac:dyDescent="0.3"/>
    <row r="100" spans="2:18" ht="15.75" customHeight="1" x14ac:dyDescent="0.3"/>
    <row r="101" spans="2:18" ht="15.75" customHeight="1" x14ac:dyDescent="0.3">
      <c r="B101" s="485" t="s">
        <v>1373</v>
      </c>
      <c r="C101" s="486"/>
    </row>
    <row r="102" spans="2:18" ht="15.75" customHeight="1" x14ac:dyDescent="0.3">
      <c r="B102" s="45" t="s">
        <v>1322</v>
      </c>
      <c r="C102" s="46" t="s">
        <v>1323</v>
      </c>
      <c r="D102" s="46" t="s">
        <v>1366</v>
      </c>
      <c r="E102" s="46" t="s">
        <v>1367</v>
      </c>
      <c r="F102" s="46" t="s">
        <v>0</v>
      </c>
      <c r="G102" s="46" t="s">
        <v>1</v>
      </c>
      <c r="H102" s="46" t="s">
        <v>1374</v>
      </c>
      <c r="I102" s="46" t="s">
        <v>1375</v>
      </c>
      <c r="J102" s="46" t="s">
        <v>1376</v>
      </c>
      <c r="K102" s="46" t="s">
        <v>1377</v>
      </c>
      <c r="L102" s="46" t="s">
        <v>1334</v>
      </c>
      <c r="M102" s="47" t="s">
        <v>1335</v>
      </c>
    </row>
    <row r="103" spans="2:18" ht="15.75" customHeight="1" x14ac:dyDescent="0.3">
      <c r="B103" s="12" t="s">
        <v>1378</v>
      </c>
      <c r="C103" s="13"/>
      <c r="D103" s="14">
        <v>30</v>
      </c>
      <c r="E103" s="15">
        <v>75</v>
      </c>
      <c r="F103" s="16">
        <v>55000002223</v>
      </c>
      <c r="G103" s="73" t="str">
        <f>IFERROR(IF('Abr-24'!$F103="","-",VLOOKUP('Abr-24'!$F103,Lista_CUIT!$A$1:$D$2241,2,0)),"CUIT NO CARGADO")</f>
        <v>Solution Supply SAC</v>
      </c>
      <c r="H103" s="74">
        <v>2200</v>
      </c>
      <c r="I103" s="74"/>
      <c r="J103" s="77"/>
      <c r="K103" s="74">
        <v>868.5</v>
      </c>
      <c r="L103" s="74">
        <f>'Abr-24'!$H103*'Abr-24'!$K103</f>
        <v>1910700</v>
      </c>
      <c r="M103" s="52"/>
      <c r="O103" s="10"/>
      <c r="P103" s="10"/>
      <c r="Q103" s="10"/>
      <c r="R103" s="10"/>
    </row>
    <row r="104" spans="2:18" ht="15.75" customHeight="1" x14ac:dyDescent="0.3">
      <c r="B104" s="12" t="s">
        <v>1379</v>
      </c>
      <c r="C104" s="13"/>
      <c r="D104" s="14">
        <v>30</v>
      </c>
      <c r="E104" s="15">
        <v>76</v>
      </c>
      <c r="F104" s="16">
        <v>55000000050</v>
      </c>
      <c r="G104" s="73" t="str">
        <f>IFERROR(IF('Abr-24'!$F104="","-",VLOOKUP('Abr-24'!$F104,Lista_CUIT!$A$1:$D$2241,2,0)),"CUIT NO CARGADO")</f>
        <v>GAS FUTURO SISTEMAS DE COMPRESSÃO LTDA</v>
      </c>
      <c r="H104" s="74">
        <v>3250</v>
      </c>
      <c r="I104" s="74"/>
      <c r="J104" s="74"/>
      <c r="K104" s="74">
        <v>866.5</v>
      </c>
      <c r="L104" s="74">
        <f>'Abr-24'!$H104*'Abr-24'!$K104</f>
        <v>2816125</v>
      </c>
      <c r="M104" s="52"/>
    </row>
    <row r="105" spans="2:18" ht="15.75" customHeight="1" x14ac:dyDescent="0.3">
      <c r="B105" s="78" t="s">
        <v>1379</v>
      </c>
      <c r="C105" s="79"/>
      <c r="D105" s="80">
        <v>30</v>
      </c>
      <c r="E105" s="81">
        <v>18</v>
      </c>
      <c r="F105" s="82">
        <v>55000000050</v>
      </c>
      <c r="G105" s="73" t="str">
        <f>IFERROR(IF('Abr-24'!$F105="","-",VLOOKUP('Abr-24'!$F105,Lista_CUIT!$A$1:$D$2241,2,0)),"CUIT NO CARGADO")</f>
        <v>GAS FUTURO SISTEMAS DE COMPRESSÃO LTDA</v>
      </c>
      <c r="H105" s="74"/>
      <c r="I105" s="83"/>
      <c r="J105" s="84"/>
      <c r="K105" s="84"/>
      <c r="L105" s="74">
        <v>-2200</v>
      </c>
      <c r="M105" s="52"/>
      <c r="O105" s="85"/>
      <c r="P105" s="85"/>
      <c r="Q105" s="85"/>
      <c r="R105" s="85"/>
    </row>
    <row r="106" spans="2:18" ht="15.75" customHeight="1" x14ac:dyDescent="0.3">
      <c r="B106" s="78"/>
      <c r="C106" s="79"/>
      <c r="D106" s="80"/>
      <c r="E106" s="81"/>
      <c r="F106" s="82"/>
      <c r="G106" s="73" t="str">
        <f>IFERROR(IF('Abr-24'!$F106="","-",VLOOKUP('Abr-24'!$F106,Lista_CUIT!$A$1:$D$2241,2,0)),"CUIT NO CARGADO")</f>
        <v>-</v>
      </c>
      <c r="H106" s="74"/>
      <c r="I106" s="83">
        <f>'Abr-24'!$H106*0.21</f>
        <v>0</v>
      </c>
      <c r="J106" s="84"/>
      <c r="K106" s="84"/>
      <c r="L106" s="84"/>
      <c r="M106" s="52"/>
      <c r="O106" s="85"/>
      <c r="P106" s="85"/>
      <c r="Q106" s="85"/>
      <c r="R106" s="85"/>
    </row>
    <row r="107" spans="2:18" ht="15.75" customHeight="1" x14ac:dyDescent="0.3">
      <c r="B107" s="68" t="s">
        <v>1343</v>
      </c>
      <c r="C107" s="69"/>
      <c r="D107" s="69"/>
      <c r="E107" s="69"/>
      <c r="F107" s="69"/>
      <c r="G107" s="69"/>
      <c r="H107" s="75">
        <f>SUBTOTAL(109,'Abr-24'!$H$103:$H$106)</f>
        <v>5450</v>
      </c>
      <c r="I107" s="75">
        <f>SUBTOTAL(109,'Abr-24'!$I$103:$I$106)</f>
        <v>0</v>
      </c>
      <c r="J107" s="76">
        <f>SUBTOTAL(109,'Abr-24'!$J$103:$J$106)</f>
        <v>0</v>
      </c>
      <c r="K107" s="76">
        <f>SUBTOTAL(109,'Abr-24'!$K$103:$K$106)</f>
        <v>1735</v>
      </c>
      <c r="L107" s="76">
        <f>SUBTOTAL(109,'Abr-24'!$L$103:$L$106)</f>
        <v>4724625</v>
      </c>
      <c r="M107" s="72">
        <f>SUBTOTAL(103,'Abr-24'!$M$103:$M$106)</f>
        <v>0</v>
      </c>
    </row>
    <row r="108" spans="2:18" ht="15.75" customHeight="1" x14ac:dyDescent="0.3">
      <c r="B108" s="86"/>
      <c r="C108" s="86"/>
      <c r="D108" s="86"/>
      <c r="E108" s="86"/>
      <c r="F108" s="86"/>
      <c r="G108" s="86"/>
      <c r="H108" s="87"/>
      <c r="I108" s="87"/>
      <c r="J108" s="19"/>
      <c r="K108" s="19"/>
      <c r="L108" s="19"/>
      <c r="M108" s="32"/>
    </row>
    <row r="109" spans="2:18" ht="15.75" customHeight="1" x14ac:dyDescent="0.3">
      <c r="C109" s="487" t="s">
        <v>1380</v>
      </c>
      <c r="D109" s="488"/>
      <c r="E109" s="488"/>
      <c r="F109" s="488"/>
      <c r="G109" s="489"/>
      <c r="H109" s="88"/>
      <c r="I109" s="88"/>
      <c r="J109" s="88"/>
    </row>
    <row r="110" spans="2:18" ht="15.75" customHeight="1" x14ac:dyDescent="0.3">
      <c r="C110" s="89" t="s">
        <v>1381</v>
      </c>
      <c r="D110" s="90" t="s">
        <v>1382</v>
      </c>
      <c r="E110" s="90" t="s">
        <v>1376</v>
      </c>
      <c r="F110" s="90" t="s">
        <v>0</v>
      </c>
      <c r="G110" s="90" t="s">
        <v>1</v>
      </c>
      <c r="H110" s="91" t="s">
        <v>1383</v>
      </c>
      <c r="I110" s="91" t="s">
        <v>1384</v>
      </c>
      <c r="J110" s="91" t="s">
        <v>1385</v>
      </c>
      <c r="K110" s="91" t="s">
        <v>1386</v>
      </c>
      <c r="L110" s="91" t="s">
        <v>1387</v>
      </c>
    </row>
    <row r="111" spans="2:18" ht="15.75" customHeight="1" x14ac:dyDescent="0.3">
      <c r="C111" s="92"/>
      <c r="D111" s="93"/>
      <c r="E111" s="93"/>
      <c r="F111" s="39"/>
      <c r="G111" s="40" t="str">
        <f>IFERROR(IF('Abr-24'!$F111="","-",VLOOKUP('Abr-24'!$F111,Lista_CUIT!$A$1:$D$2241,2,0)),"CUIT NO CARGADO")</f>
        <v>-</v>
      </c>
      <c r="H111" s="94"/>
      <c r="I111" s="94"/>
      <c r="J111" s="94"/>
      <c r="K111" s="94"/>
      <c r="L111" s="94"/>
    </row>
    <row r="112" spans="2:18" ht="15.75" customHeight="1" x14ac:dyDescent="0.3">
      <c r="C112" s="92"/>
      <c r="D112" s="93"/>
      <c r="E112" s="93"/>
      <c r="F112" s="39"/>
      <c r="G112" s="40" t="str">
        <f>IFERROR(IF('Abr-24'!$F112="","-",VLOOKUP('Abr-24'!$F112,Lista_CUIT!$A$1:$D$2241,2,0)),"CUIT NO CARGADO")</f>
        <v>-</v>
      </c>
      <c r="H112" s="94"/>
      <c r="I112" s="94"/>
      <c r="J112" s="94"/>
      <c r="K112" s="94"/>
      <c r="L112" s="94"/>
    </row>
    <row r="113" spans="3:12" ht="15.75" customHeight="1" x14ac:dyDescent="0.3">
      <c r="C113" s="92"/>
      <c r="D113" s="93"/>
      <c r="E113" s="93"/>
      <c r="F113" s="39"/>
      <c r="G113" s="40" t="str">
        <f>IFERROR(IF('Abr-24'!$F113="","-",VLOOKUP('Abr-24'!$F113,Lista_CUIT!$A$1:$D$2241,2,0)),"CUIT NO CARGADO")</f>
        <v>-</v>
      </c>
      <c r="H113" s="94"/>
      <c r="I113" s="94"/>
      <c r="J113" s="94"/>
      <c r="K113" s="94"/>
      <c r="L113" s="94"/>
    </row>
    <row r="114" spans="3:12" ht="15.75" customHeight="1" x14ac:dyDescent="0.3">
      <c r="C114" s="92"/>
      <c r="D114" s="93"/>
      <c r="E114" s="93"/>
      <c r="F114" s="39"/>
      <c r="G114" s="40" t="str">
        <f>IFERROR(IF('Abr-24'!$F114="","-",VLOOKUP('Abr-24'!$F114,Lista_CUIT!$A$1:$D$2241,2,0)),"CUIT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3">
      <c r="C115" s="3"/>
      <c r="D115" s="93"/>
      <c r="E115" s="93"/>
      <c r="F115" s="3"/>
      <c r="G115" s="40" t="str">
        <f>IFERROR(IF('Abr-24'!$F115="","-",VLOOKUP('Abr-24'!$F115,Lista_CUIT!$A$1:$D$2241,2,0)),"CUIT NO CARGADO")</f>
        <v>-</v>
      </c>
      <c r="H115" s="3"/>
      <c r="I115" s="3"/>
      <c r="J115" s="3"/>
      <c r="K115" s="3"/>
      <c r="L115" s="3"/>
    </row>
    <row r="116" spans="3:12" ht="15.75" customHeight="1" x14ac:dyDescent="0.3"/>
    <row r="117" spans="3:12" ht="15.75" customHeight="1" x14ac:dyDescent="0.3"/>
    <row r="118" spans="3:12" ht="15.75" customHeight="1" x14ac:dyDescent="0.3"/>
    <row r="119" spans="3:12" ht="15.75" customHeight="1" x14ac:dyDescent="0.3"/>
    <row r="120" spans="3:12" ht="15.75" customHeight="1" x14ac:dyDescent="0.3"/>
    <row r="121" spans="3:12" ht="15.75" customHeight="1" x14ac:dyDescent="0.3"/>
    <row r="122" spans="3:12" ht="15.75" customHeight="1" x14ac:dyDescent="0.3"/>
    <row r="123" spans="3:12" ht="15.75" customHeight="1" x14ac:dyDescent="0.3"/>
    <row r="124" spans="3:12" ht="15.75" customHeight="1" x14ac:dyDescent="0.3"/>
    <row r="125" spans="3:12" ht="15.75" customHeight="1" x14ac:dyDescent="0.3"/>
    <row r="126" spans="3:12" ht="15.75" customHeight="1" x14ac:dyDescent="0.3"/>
    <row r="127" spans="3:12" ht="15.75" customHeight="1" x14ac:dyDescent="0.3"/>
    <row r="128" spans="3:1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P4:R4"/>
    <mergeCell ref="D42:L42"/>
    <mergeCell ref="B101:C101"/>
    <mergeCell ref="C109:G109"/>
    <mergeCell ref="B3:E3"/>
    <mergeCell ref="B4:E4"/>
    <mergeCell ref="G4:H4"/>
    <mergeCell ref="D58:K58"/>
    <mergeCell ref="B74:J74"/>
    <mergeCell ref="K74:M74"/>
    <mergeCell ref="B76:C76"/>
    <mergeCell ref="B90:C90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L84" xr:uid="{00000000-0002-0000-0100-000000000000}">
      <formula1>IF(#REF!=3,#REF!&lt;0,#REF!&gt;=0)</formula1>
    </dataValidation>
    <dataValidation type="custom" allowBlank="1" showErrorMessage="1" sqref="H92:L97 H103:I103 K103:L103 H104:L104 L105:L106" xr:uid="{00000000-0002-0000-0100-000001000000}">
      <formula1>IF($C92=8,H92&lt;0,H92&gt;=0)</formula1>
    </dataValidation>
    <dataValidation type="custom" allowBlank="1" showErrorMessage="1" sqref="L85:L87" xr:uid="{00000000-0002-0000-0100-000002000000}">
      <formula1>IF($C15=3,L15&lt;0,L15&gt;=0)</formula1>
    </dataValidation>
    <dataValidation type="decimal" allowBlank="1" showErrorMessage="1" sqref="D9:D36 E60:E71 D78:D87 D92:D97 D103:D106 D108" xr:uid="{00000000-0002-0000-0100-000003000000}">
      <formula1>1</formula1>
      <formula2>9999</formula2>
    </dataValidation>
    <dataValidation type="decimal" allowBlank="1" showErrorMessage="1" sqref="C103:C106" xr:uid="{00000000-0002-0000-0100-000004000000}">
      <formula1>80</formula1>
      <formula2>80</formula2>
    </dataValidation>
    <dataValidation type="date" allowBlank="1" showErrorMessage="1" sqref="B9:B36 B38:B41 D44:D53 D60:D71 B78:B87 B92:B97 B103:B106 B108" xr:uid="{00000000-0002-0000-0100-000005000000}">
      <formula1>40179</formula1>
      <formula2>TODAY()</formula2>
    </dataValidation>
    <dataValidation type="custom" allowBlank="1" showErrorMessage="1" sqref="L78:L83" xr:uid="{00000000-0002-0000-0100-000006000000}">
      <formula1>IF($C9=3,L9&lt;0,L9&gt;=0)</formula1>
    </dataValidation>
    <dataValidation type="decimal" allowBlank="1" showErrorMessage="1" sqref="F9:F36 G60:G71 F78:F87 F92:F97 F103:F106 F108" xr:uid="{00000000-0002-0000-0100-000007000000}">
      <formula1>20000000000</formula1>
      <formula2>33999999999</formula2>
    </dataValidation>
    <dataValidation type="decimal" allowBlank="1" showErrorMessage="1" sqref="C92:C97 C108" xr:uid="{00000000-0002-0000-0100-000008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J9:L9 N9:O9 H9:H12 J10:O12" xr:uid="{00000000-0002-0000-0100-000009000000}">
      <formula1>IF($C9=3,H9&lt;0,H9&gt;=0)</formula1>
    </dataValidation>
    <dataValidation type="decimal" allowBlank="1" showErrorMessage="1" sqref="E9:E36 F60:F71 E78:E87 E92:E97 E103:E106 E108" xr:uid="{00000000-0002-0000-0100-00000A000000}">
      <formula1>1</formula1>
      <formula2>99999999</formula2>
    </dataValidation>
    <dataValidation type="decimal" allowBlank="1" showErrorMessage="1" sqref="C9:C36 C38:C41 C78:C87" xr:uid="{00000000-0002-0000-0100-00000B000000}">
      <formula1>1</formula1>
      <formula2>3</formula2>
    </dataValidation>
    <dataValidation type="custom" allowBlank="1" showErrorMessage="1" sqref="H78 J78:K78 H80:K80 H82:K82 H84:K84" xr:uid="{00000000-0002-0000-0100-00000C000000}">
      <formula1>IF($C78=3,H78&lt;0,H78&gt;=0)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9D9"/>
  </sheetPr>
  <dimension ref="A1:Z1000"/>
  <sheetViews>
    <sheetView showGridLines="0" topLeftCell="I85" zoomScale="80" zoomScaleNormal="80" workbookViewId="0">
      <selection activeCell="N100" sqref="N100"/>
    </sheetView>
  </sheetViews>
  <sheetFormatPr baseColWidth="10" defaultColWidth="14.44140625" defaultRowHeight="15" customHeight="1" x14ac:dyDescent="0.3"/>
  <cols>
    <col min="1" max="1" width="1.6640625" customWidth="1"/>
    <col min="2" max="2" width="17.109375" customWidth="1"/>
    <col min="3" max="3" width="13.109375" customWidth="1"/>
    <col min="4" max="4" width="16.6640625" customWidth="1"/>
    <col min="5" max="5" width="11.88671875" customWidth="1"/>
    <col min="6" max="6" width="18.33203125" customWidth="1"/>
    <col min="7" max="7" width="51.109375" customWidth="1"/>
    <col min="8" max="8" width="32.44140625" customWidth="1"/>
    <col min="9" max="9" width="17.5546875" customWidth="1"/>
    <col min="10" max="10" width="25.6640625" customWidth="1"/>
    <col min="11" max="11" width="20.33203125" customWidth="1"/>
    <col min="12" max="12" width="18.33203125" customWidth="1"/>
    <col min="13" max="13" width="11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3.441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95" t="str">
        <f>'Abr-24'!G1:M1</f>
        <v>CORITEC S. R. L.</v>
      </c>
      <c r="H1" s="476"/>
      <c r="I1" s="476"/>
      <c r="J1" s="476"/>
      <c r="K1" s="476"/>
      <c r="L1" s="476"/>
      <c r="M1" s="477"/>
      <c r="N1" s="479">
        <v>45413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SUM('May-24'!$H$42)+'May-24'!$G$55</f>
        <v>10136410.879999999</v>
      </c>
      <c r="C4" s="476"/>
      <c r="D4" s="476"/>
      <c r="E4" s="477"/>
      <c r="F4" s="8"/>
      <c r="G4" s="491">
        <f>'May-24'!$I$42+'May-24'!$J$42+'May-24'!$K$42+'May-24'!$H$55+'May-24'!$I$55</f>
        <v>2130006.9257999999</v>
      </c>
      <c r="H4" s="477"/>
      <c r="I4" s="8"/>
      <c r="J4" s="494">
        <f>SUM('May-24'!$H$104+'May-24'!$H$116)</f>
        <v>85616903</v>
      </c>
      <c r="K4" s="477"/>
      <c r="L4" s="8"/>
      <c r="M4" s="494">
        <f>SUM('May-24'!$I$104+'May-24'!$J$104+'May-24'!$I$116+'May-24'!$J$116)</f>
        <v>10862133.834999999</v>
      </c>
      <c r="N4" s="477"/>
      <c r="O4" s="8"/>
      <c r="P4" s="483">
        <f>G4-M4</f>
        <v>-8732126.9091999996</v>
      </c>
      <c r="Q4" s="476"/>
      <c r="R4" s="477"/>
    </row>
    <row r="5" spans="1:19" ht="12.75" customHeight="1" x14ac:dyDescent="0.3"/>
    <row r="6" spans="1:19" ht="10.5" customHeight="1" x14ac:dyDescent="0.3"/>
    <row r="7" spans="1:19" ht="18.7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ht="14.4" x14ac:dyDescent="0.3">
      <c r="B9" s="12">
        <v>45413</v>
      </c>
      <c r="C9" s="13">
        <v>1</v>
      </c>
      <c r="D9" s="14">
        <v>3</v>
      </c>
      <c r="E9" s="15">
        <v>227312</v>
      </c>
      <c r="F9" s="16">
        <v>30707135596</v>
      </c>
      <c r="G9" s="17" t="str">
        <f>IFERROR(IF('May-24'!$F9="","-",VLOOKUP('May-24'!$F9,Lista_CUIT!$A$1:$D$2241,2,0)),"CUIT NO CARGADO")</f>
        <v>CITILAN ARGENTINA S.A.</v>
      </c>
      <c r="H9" s="18">
        <v>18742.75</v>
      </c>
      <c r="I9" s="23">
        <f>IF('May-24'!$H9="","",'May-24'!$H9*0.21)</f>
        <v>3935.9775</v>
      </c>
      <c r="J9" s="23"/>
      <c r="K9" s="23"/>
      <c r="L9" s="23"/>
      <c r="M9" s="23"/>
      <c r="N9" s="23"/>
      <c r="O9" s="23"/>
      <c r="P9" s="20">
        <f>SUM('May-24'!$H9:$O9)</f>
        <v>22678.727500000001</v>
      </c>
      <c r="Q9" s="21" t="str">
        <f>IFERROR(IF('May-24'!$F9="","-",VLOOKUP('May-24'!$F9,Lista_CUIT!$A$1:$D$2241,3,0)),"CUIT NO CARGADO")</f>
        <v>Telefonia</v>
      </c>
      <c r="R9" s="21">
        <f>IFERROR(IF('May-24'!$F9="","-",VLOOKUP('May-24'!$F9,Lista_CUIT!$A$1:$D$2241,4,0)),"CUIT NO CARGADO")</f>
        <v>0</v>
      </c>
    </row>
    <row r="10" spans="1:19" ht="14.4" x14ac:dyDescent="0.3">
      <c r="B10" s="12">
        <v>45413</v>
      </c>
      <c r="C10" s="13">
        <v>1</v>
      </c>
      <c r="D10" s="14">
        <v>3</v>
      </c>
      <c r="E10" s="15">
        <v>753</v>
      </c>
      <c r="F10" s="16">
        <v>30715402765</v>
      </c>
      <c r="G10" s="17" t="str">
        <f>IFERROR(IF('May-24'!$F10="","-",VLOOKUP('May-24'!$F10,Lista_CUIT!$A$1:$D$2241,2,0)),"CUIT NO CARGADO")</f>
        <v>RIO 265 S.R.L.</v>
      </c>
      <c r="H10" s="18">
        <v>49586.76</v>
      </c>
      <c r="I10" s="23">
        <f>IF('May-24'!$H10="","",'May-24'!$H10*0.21)</f>
        <v>10413.2196</v>
      </c>
      <c r="J10" s="23"/>
      <c r="K10" s="23"/>
      <c r="L10" s="23"/>
      <c r="M10" s="23"/>
      <c r="N10" s="23"/>
      <c r="O10" s="23"/>
      <c r="P10" s="20">
        <f>SUM('May-24'!$H10:$O10)</f>
        <v>59999.979600000006</v>
      </c>
      <c r="Q10" s="21" t="str">
        <f>IFERROR(IF('May-24'!$F10="","-",VLOOKUP('May-24'!$F10,Lista_CUIT!$A$1:$D$2241,3,0)),"CUIT NO CARGADO")</f>
        <v>GASTOS VARIOS</v>
      </c>
      <c r="R10" s="21">
        <f>IFERROR(IF('May-24'!$F10="","-",VLOOKUP('May-24'!$F10,Lista_CUIT!$A$1:$D$2241,4,0)),"CUIT NO CARGADO")</f>
        <v>0</v>
      </c>
    </row>
    <row r="11" spans="1:19" ht="14.4" x14ac:dyDescent="0.3">
      <c r="B11" s="12">
        <v>45414</v>
      </c>
      <c r="C11" s="13">
        <v>1</v>
      </c>
      <c r="D11" s="14">
        <v>4</v>
      </c>
      <c r="E11" s="15">
        <v>101074</v>
      </c>
      <c r="F11" s="16">
        <v>30559932236</v>
      </c>
      <c r="G11" s="17" t="str">
        <f>IFERROR(IF('May-24'!$F11="","-",VLOOKUP('May-24'!$F11,Lista_CUIT!$A$1:$D$2241,2,0)),"CUIT NO CARGADO")</f>
        <v>ELECTRONICA ELEMON S A</v>
      </c>
      <c r="H11" s="18">
        <v>44562.34</v>
      </c>
      <c r="I11" s="23">
        <f>IF('May-24'!$H11="","",'May-24'!$H11*0.21)</f>
        <v>9358.0913999999993</v>
      </c>
      <c r="J11" s="23"/>
      <c r="K11" s="23"/>
      <c r="L11" s="23"/>
      <c r="M11" s="23"/>
      <c r="N11" s="23"/>
      <c r="O11" s="23"/>
      <c r="P11" s="20">
        <f>SUM('May-24'!$H11:$O11)</f>
        <v>53920.431399999994</v>
      </c>
      <c r="Q11" s="21" t="str">
        <f>IFERROR(IF('May-24'!$F11="","-",VLOOKUP('May-24'!$F11,Lista_CUIT!$A$1:$D$2241,3,0)),"CUIT NO CARGADO")</f>
        <v>Mat. Prima</v>
      </c>
      <c r="R11" s="21">
        <f>IFERROR(IF('May-24'!$F11="","-",VLOOKUP('May-24'!$F11,Lista_CUIT!$A$1:$D$2241,4,0)),"CUIT NO CARGADO")</f>
        <v>0</v>
      </c>
    </row>
    <row r="12" spans="1:19" ht="14.4" x14ac:dyDescent="0.3">
      <c r="B12" s="12">
        <v>45414</v>
      </c>
      <c r="C12" s="13">
        <v>1</v>
      </c>
      <c r="D12" s="14">
        <v>1</v>
      </c>
      <c r="E12" s="15">
        <v>786</v>
      </c>
      <c r="F12" s="16">
        <v>30715048066</v>
      </c>
      <c r="G12" s="17" t="str">
        <f>IFERROR(IF('May-24'!$F12="","-",VLOOKUP('May-24'!$F12,Lista_CUIT!$A$1:$D$2241,2,0)),"CUIT NO CARGADO")</f>
        <v>ROLLS Y EMPANADAS SA</v>
      </c>
      <c r="H12" s="18">
        <v>600510</v>
      </c>
      <c r="I12" s="23">
        <f>IF('May-24'!$H12="","",'May-24'!$H12*0.21)</f>
        <v>126107.09999999999</v>
      </c>
      <c r="J12" s="23"/>
      <c r="K12" s="23"/>
      <c r="L12" s="23"/>
      <c r="M12" s="23"/>
      <c r="N12" s="23"/>
      <c r="O12" s="23"/>
      <c r="P12" s="20">
        <f>SUM('May-24'!$H12:$O12)</f>
        <v>726617.1</v>
      </c>
      <c r="Q12" s="21" t="str">
        <f>IFERROR(IF('May-24'!$F12="","-",VLOOKUP('May-24'!$F12,Lista_CUIT!$A$1:$D$2241,3,0)),"CUIT NO CARGADO")</f>
        <v>CATERING</v>
      </c>
      <c r="R12" s="21">
        <f>IFERROR(IF('May-24'!$F12="","-",VLOOKUP('May-24'!$F12,Lista_CUIT!$A$1:$D$2241,4,0)),"CUIT NO CARGADO")</f>
        <v>0</v>
      </c>
    </row>
    <row r="13" spans="1:19" ht="14.4" x14ac:dyDescent="0.3">
      <c r="B13" s="12">
        <v>45414</v>
      </c>
      <c r="C13" s="13">
        <v>1</v>
      </c>
      <c r="D13" s="14">
        <v>3</v>
      </c>
      <c r="E13" s="15">
        <v>124</v>
      </c>
      <c r="F13" s="16">
        <v>20297899830</v>
      </c>
      <c r="G13" s="17" t="str">
        <f>IFERROR(IF('May-24'!$F13="","-",VLOOKUP('May-24'!$F13,Lista_CUIT!$A$1:$D$2241,2,0)),"CUIT NO CARGADO")</f>
        <v>FUNK MATIAS NICOLAS</v>
      </c>
      <c r="H13" s="18">
        <v>5188880</v>
      </c>
      <c r="I13" s="23">
        <f>IF('May-24'!$H13="","",'May-24'!$H13*0.21)</f>
        <v>1089664.8</v>
      </c>
      <c r="J13" s="23"/>
      <c r="K13" s="23"/>
      <c r="L13" s="23"/>
      <c r="M13" s="23"/>
      <c r="N13" s="23"/>
      <c r="O13" s="23"/>
      <c r="P13" s="20">
        <f>SUM('May-24'!$H13:$O13)</f>
        <v>6278544.7999999998</v>
      </c>
      <c r="Q13" s="21" t="str">
        <f>IFERROR(IF('May-24'!$F13="","-",VLOOKUP('May-24'!$F13,Lista_CUIT!$A$1:$D$2241,3,0)),"CUIT NO CARGADO")</f>
        <v>INSUMO</v>
      </c>
      <c r="R13" s="21">
        <f>IFERROR(IF('May-24'!$F13="","-",VLOOKUP('May-24'!$F13,Lista_CUIT!$A$1:$D$2241,4,0)),"CUIT NO CARGADO")</f>
        <v>0</v>
      </c>
    </row>
    <row r="14" spans="1:19" ht="14.4" x14ac:dyDescent="0.3">
      <c r="B14" s="12">
        <v>45416</v>
      </c>
      <c r="C14" s="13">
        <v>1</v>
      </c>
      <c r="D14" s="14">
        <v>11</v>
      </c>
      <c r="E14" s="15">
        <v>1508</v>
      </c>
      <c r="F14" s="16">
        <v>27249663870</v>
      </c>
      <c r="G14" s="17" t="str">
        <f>IFERROR(IF('May-24'!$F14="","-",VLOOKUP('May-24'!$F14,Lista_CUIT!$A$1:$D$2241,2,0)),"CUIT NO CARGADO")</f>
        <v>GRAZIANO TAMARA NATALIA</v>
      </c>
      <c r="H14" s="18">
        <v>19981.490000000002</v>
      </c>
      <c r="I14" s="23">
        <f>IF('May-24'!$H14="","",'May-24'!$H14*0.21)</f>
        <v>4196.1129000000001</v>
      </c>
      <c r="J14" s="23"/>
      <c r="K14" s="23"/>
      <c r="L14" s="23"/>
      <c r="M14" s="23"/>
      <c r="N14" s="23"/>
      <c r="O14" s="23"/>
      <c r="P14" s="20">
        <f>SUM('May-24'!$H14:$O14)</f>
        <v>24177.602900000002</v>
      </c>
      <c r="Q14" s="21" t="str">
        <f>IFERROR(IF('May-24'!$F14="","-",VLOOKUP('May-24'!$F14,Lista_CUIT!$A$1:$D$2241,3,0)),"CUIT NO CARGADO")</f>
        <v>Servicios Informaticos</v>
      </c>
      <c r="R14" s="21">
        <f>IFERROR(IF('May-24'!$F14="","-",VLOOKUP('May-24'!$F14,Lista_CUIT!$A$1:$D$2241,4,0)),"CUIT NO CARGADO")</f>
        <v>0</v>
      </c>
    </row>
    <row r="15" spans="1:19" ht="14.4" x14ac:dyDescent="0.3">
      <c r="B15" s="12">
        <v>45416</v>
      </c>
      <c r="C15" s="13">
        <v>1</v>
      </c>
      <c r="D15" s="14">
        <v>8</v>
      </c>
      <c r="E15" s="15">
        <v>3167</v>
      </c>
      <c r="F15" s="16">
        <v>30715247077</v>
      </c>
      <c r="G15" s="17" t="str">
        <f>IFERROR(IF('May-24'!$F15="","-",VLOOKUP('May-24'!$F15,Lista_CUIT!$A$1:$D$2241,2,0)),"CUIT NO CARGADO")</f>
        <v>MALATEX S.R.L.</v>
      </c>
      <c r="H15" s="18">
        <v>27263.64</v>
      </c>
      <c r="I15" s="23">
        <f>IF('May-24'!$H15="","",'May-24'!$H15*0.21)</f>
        <v>5725.3643999999995</v>
      </c>
      <c r="J15" s="23"/>
      <c r="K15" s="23"/>
      <c r="L15" s="23"/>
      <c r="M15" s="23"/>
      <c r="N15" s="23"/>
      <c r="O15" s="23"/>
      <c r="P15" s="20">
        <f>SUM('May-24'!$H15:$O15)</f>
        <v>32989.004399999998</v>
      </c>
      <c r="Q15" s="21" t="str">
        <f>IFERROR(IF('May-24'!$F15="","-",VLOOKUP('May-24'!$F15,Lista_CUIT!$A$1:$D$2241,3,0)),"CUIT NO CARGADO")</f>
        <v>Ropa de Trabajo</v>
      </c>
      <c r="R15" s="21">
        <f>IFERROR(IF('May-24'!$F15="","-",VLOOKUP('May-24'!$F15,Lista_CUIT!$A$1:$D$2241,4,0)),"CUIT NO CARGADO")</f>
        <v>0</v>
      </c>
    </row>
    <row r="16" spans="1:19" ht="14.4" x14ac:dyDescent="0.3">
      <c r="B16" s="95">
        <v>45418</v>
      </c>
      <c r="C16" s="96">
        <v>1</v>
      </c>
      <c r="D16" s="97">
        <v>2</v>
      </c>
      <c r="E16" s="98">
        <v>545</v>
      </c>
      <c r="F16" s="99">
        <v>30716952408</v>
      </c>
      <c r="G16" s="100" t="str">
        <f>IFERROR(IF('May-24'!$F16="","-",VLOOKUP('May-24'!$F16,Lista_CUIT!$A$1:$D$2241,2,0)),"CUIT NO CARGADO")</f>
        <v>MATECH IMPORT ARGENTINA SAS</v>
      </c>
      <c r="H16" s="101">
        <v>5784.3</v>
      </c>
      <c r="I16" s="102">
        <f>IF('May-24'!$H16="","",'May-24'!$H16*0.21)</f>
        <v>1214.703</v>
      </c>
      <c r="J16" s="102"/>
      <c r="K16" s="102"/>
      <c r="L16" s="102"/>
      <c r="M16" s="102"/>
      <c r="N16" s="102"/>
      <c r="O16" s="102"/>
      <c r="P16" s="103">
        <f>SUM('May-24'!$H16:$O16)</f>
        <v>6999.0030000000006</v>
      </c>
      <c r="Q16" s="104" t="str">
        <f>IFERROR(IF('May-24'!$F16="","-",VLOOKUP('May-24'!$F16,Lista_CUIT!$A$1:$D$2241,3,0)),"CUIT NO CARGADO")</f>
        <v>software</v>
      </c>
      <c r="R16" s="104">
        <f>IFERROR(IF('May-24'!$F16="","-",VLOOKUP('May-24'!$F16,Lista_CUIT!$A$1:$D$2241,4,0)),"CUIT NO CARGADO")</f>
        <v>0</v>
      </c>
    </row>
    <row r="17" spans="2:18" ht="14.4" x14ac:dyDescent="0.3">
      <c r="B17" s="95">
        <v>45418</v>
      </c>
      <c r="C17" s="96">
        <v>1</v>
      </c>
      <c r="D17" s="97">
        <v>100</v>
      </c>
      <c r="E17" s="98">
        <v>4344</v>
      </c>
      <c r="F17" s="99">
        <v>30562265844</v>
      </c>
      <c r="G17" s="100" t="str">
        <f>IFERROR(IF('May-24'!$F17="","-",VLOOKUP('May-24'!$F17,Lista_CUIT!$A$1:$D$2241,2,0)),"CUIT NO CARGADO")</f>
        <v>LA MADRILEÑA SOCIEDAD ANONIMA COMERCIAL INDUSTRIAL AGROPECUARIA  FINANCIERA E INMOBILIARIA</v>
      </c>
      <c r="H17" s="101">
        <v>69421.490000000005</v>
      </c>
      <c r="I17" s="102">
        <f>IF('May-24'!$H17="","",'May-24'!$H17*0.21)</f>
        <v>14578.5129</v>
      </c>
      <c r="J17" s="102"/>
      <c r="K17" s="102"/>
      <c r="L17" s="102"/>
      <c r="M17" s="102"/>
      <c r="N17" s="102"/>
      <c r="O17" s="102"/>
      <c r="P17" s="103">
        <f>SUM('May-24'!$H17:$O17)</f>
        <v>84000.002900000007</v>
      </c>
      <c r="Q17" s="104" t="str">
        <f>IFERROR(IF('May-24'!$F17="","-",VLOOKUP('May-24'!$F17,Lista_CUIT!$A$1:$D$2241,3,0)),"CUIT NO CARGADO")</f>
        <v>Ropa de Trabajo</v>
      </c>
      <c r="R17" s="104">
        <f>IFERROR(IF('May-24'!$F17="","-",VLOOKUP('May-24'!$F17,Lista_CUIT!$A$1:$D$2241,4,0)),"CUIT NO CARGADO")</f>
        <v>0</v>
      </c>
    </row>
    <row r="18" spans="2:18" ht="14.4" x14ac:dyDescent="0.3">
      <c r="B18" s="12">
        <v>45418</v>
      </c>
      <c r="C18" s="13">
        <v>1</v>
      </c>
      <c r="D18" s="14">
        <v>4</v>
      </c>
      <c r="E18" s="15">
        <v>15738</v>
      </c>
      <c r="F18" s="16">
        <v>33717112119</v>
      </c>
      <c r="G18" s="17" t="str">
        <f>IFERROR(IF('May-24'!$F18="","-",VLOOKUP('May-24'!$F18,Lista_CUIT!$A$1:$D$2241,2,0)),"CUIT NO CARGADO")</f>
        <v>PREVENSIS S.R.L.</v>
      </c>
      <c r="H18" s="18">
        <v>16252.06</v>
      </c>
      <c r="I18" s="23">
        <f>IF('May-24'!$H18="","",'May-24'!$H18*0.21)</f>
        <v>3412.9325999999996</v>
      </c>
      <c r="J18" s="23"/>
      <c r="K18" s="23"/>
      <c r="L18" s="23"/>
      <c r="M18" s="23"/>
      <c r="N18" s="23"/>
      <c r="O18" s="23"/>
      <c r="P18" s="20">
        <f>SUM('May-24'!$H18:$O18)</f>
        <v>19664.992599999998</v>
      </c>
      <c r="Q18" s="21" t="str">
        <f>IFERROR(IF('May-24'!$F18="","-",VLOOKUP('May-24'!$F18,Lista_CUIT!$A$1:$D$2241,3,0)),"CUIT NO CARGADO")</f>
        <v>GASTOS VARIOS</v>
      </c>
      <c r="R18" s="21">
        <f>IFERROR(IF('May-24'!$F18="","-",VLOOKUP('May-24'!$F18,Lista_CUIT!$A$1:$D$2241,4,0)),"CUIT NO CARGADO")</f>
        <v>0</v>
      </c>
    </row>
    <row r="19" spans="2:18" ht="14.4" x14ac:dyDescent="0.3">
      <c r="B19" s="12">
        <v>45419</v>
      </c>
      <c r="C19" s="13">
        <v>1</v>
      </c>
      <c r="D19" s="14">
        <v>3</v>
      </c>
      <c r="E19" s="15">
        <v>42639</v>
      </c>
      <c r="F19" s="16">
        <v>30715235419</v>
      </c>
      <c r="G19" s="17" t="str">
        <f>IFERROR(IF('May-24'!$F19="","-",VLOOKUP('May-24'!$F19,Lista_CUIT!$A$1:$D$2241,2,0)),"CUIT NO CARGADO")</f>
        <v>SIFEGA COMPANY</v>
      </c>
      <c r="H19" s="18">
        <v>27825.62</v>
      </c>
      <c r="I19" s="23">
        <f>IF('May-24'!$H19="","",'May-24'!$H19*0.21)</f>
        <v>5843.3801999999996</v>
      </c>
      <c r="J19" s="23"/>
      <c r="K19" s="23"/>
      <c r="L19" s="23"/>
      <c r="M19" s="23"/>
      <c r="N19" s="23"/>
      <c r="O19" s="23"/>
      <c r="P19" s="20">
        <f>SUM('May-24'!$H19:$O19)</f>
        <v>33669.000199999995</v>
      </c>
      <c r="Q19" s="21" t="str">
        <f>IFERROR(IF('May-24'!$F19="","-",VLOOKUP('May-24'!$F19,Lista_CUIT!$A$1:$D$2241,3,0)),"CUIT NO CARGADO")</f>
        <v>INSUMO</v>
      </c>
      <c r="R19" s="21">
        <f>IFERROR(IF('May-24'!$F19="","-",VLOOKUP('May-24'!$F19,Lista_CUIT!$A$1:$D$2241,4,0)),"CUIT NO CARGADO")</f>
        <v>0</v>
      </c>
    </row>
    <row r="20" spans="2:18" ht="14.4" x14ac:dyDescent="0.3">
      <c r="B20" s="12">
        <v>45420</v>
      </c>
      <c r="C20" s="13">
        <v>1</v>
      </c>
      <c r="D20" s="14">
        <v>16</v>
      </c>
      <c r="E20" s="15">
        <v>21955</v>
      </c>
      <c r="F20" s="16">
        <v>30708508221</v>
      </c>
      <c r="G20" s="17" t="str">
        <f>IFERROR(IF('May-24'!$F20="","-",VLOOKUP('May-24'!$F20,Lista_CUIT!$A$1:$D$2241,2,0)),"CUIT NO CARGADO")</f>
        <v>HERRAJES VEIGA</v>
      </c>
      <c r="H20" s="18">
        <v>6701.02</v>
      </c>
      <c r="I20" s="23">
        <f>IF('May-24'!$H20="","",'May-24'!$H20*0.21)</f>
        <v>1407.2142000000001</v>
      </c>
      <c r="J20" s="23"/>
      <c r="K20" s="23"/>
      <c r="L20" s="23"/>
      <c r="M20" s="23"/>
      <c r="N20" s="23"/>
      <c r="O20" s="23"/>
      <c r="P20" s="20">
        <f>SUM('May-24'!$H20:$O20)</f>
        <v>8108.2342000000008</v>
      </c>
      <c r="Q20" s="21" t="str">
        <f>IFERROR(IF('May-24'!$F20="","-",VLOOKUP('May-24'!$F20,Lista_CUIT!$A$1:$D$2241,3,0)),"CUIT NO CARGADO")</f>
        <v>mercaderia</v>
      </c>
      <c r="R20" s="21">
        <f>IFERROR(IF('May-24'!$F20="","-",VLOOKUP('May-24'!$F20,Lista_CUIT!$A$1:$D$2241,4,0)),"CUIT NO CARGADO")</f>
        <v>0</v>
      </c>
    </row>
    <row r="21" spans="2:18" ht="15.75" customHeight="1" x14ac:dyDescent="0.3">
      <c r="B21" s="12">
        <v>45420</v>
      </c>
      <c r="C21" s="13">
        <v>1</v>
      </c>
      <c r="D21" s="14">
        <v>2</v>
      </c>
      <c r="E21" s="15">
        <v>11570</v>
      </c>
      <c r="F21" s="16">
        <v>30712179909</v>
      </c>
      <c r="G21" s="17" t="str">
        <f>IFERROR(IF('May-24'!$F21="","-",VLOOKUP('May-24'!$F21,Lista_CUIT!$A$1:$D$2241,2,0)),"CUIT NO CARGADO")</f>
        <v>LEPORT SH DE PORTELA JORGE FERNANDO Y LEAL JORGE ANGEL</v>
      </c>
      <c r="H21" s="18">
        <v>950000</v>
      </c>
      <c r="I21" s="23">
        <f>IF('May-24'!$H21="","",'May-24'!$H21*0.21)</f>
        <v>199500</v>
      </c>
      <c r="J21" s="23"/>
      <c r="K21" s="23"/>
      <c r="L21" s="23"/>
      <c r="M21" s="23"/>
      <c r="N21" s="23"/>
      <c r="O21" s="23"/>
      <c r="P21" s="20">
        <f>SUM('May-24'!$H21:$O21)</f>
        <v>1149500</v>
      </c>
      <c r="Q21" s="21" t="str">
        <f>IFERROR(IF('May-24'!$F21="","-",VLOOKUP('May-24'!$F21,Lista_CUIT!$A$1:$D$2241,3,0)),"CUIT NO CARGADO")</f>
        <v>FLETE-LOGISTICA</v>
      </c>
      <c r="R21" s="21">
        <f>IFERROR(IF('May-24'!$F21="","-",VLOOKUP('May-24'!$F21,Lista_CUIT!$A$1:$D$2241,4,0)),"CUIT NO CARGADO")</f>
        <v>0</v>
      </c>
    </row>
    <row r="22" spans="2:18" ht="15.75" customHeight="1" x14ac:dyDescent="0.3">
      <c r="B22" s="12">
        <v>45420</v>
      </c>
      <c r="C22" s="13">
        <v>1</v>
      </c>
      <c r="D22" s="14">
        <v>2</v>
      </c>
      <c r="E22" s="15">
        <v>3462</v>
      </c>
      <c r="F22" s="16">
        <v>30710878974</v>
      </c>
      <c r="G22" s="17" t="str">
        <f>IFERROR(IF('May-24'!$F22="","-",VLOOKUP('May-24'!$F22,Lista_CUIT!$A$1:$D$2241,2,0)),"CUIT NO CARGADO")</f>
        <v>TEBY SRL</v>
      </c>
      <c r="H22" s="18">
        <v>515446</v>
      </c>
      <c r="I22" s="23">
        <f>IF('May-24'!$H22="","",'May-24'!$H22*0.21)</f>
        <v>108243.65999999999</v>
      </c>
      <c r="J22" s="23"/>
      <c r="K22" s="23"/>
      <c r="L22" s="23"/>
      <c r="M22" s="23"/>
      <c r="N22" s="23"/>
      <c r="O22" s="23"/>
      <c r="P22" s="20">
        <f>SUM('May-24'!$H22:$O22)</f>
        <v>623689.66</v>
      </c>
      <c r="Q22" s="21" t="str">
        <f>IFERROR(IF('May-24'!$F22="","-",VLOOKUP('May-24'!$F22,Lista_CUIT!$A$1:$D$2241,3,0)),"CUIT NO CARGADO")</f>
        <v>Papeleria</v>
      </c>
      <c r="R22" s="21">
        <f>IFERROR(IF('May-24'!$F22="","-",VLOOKUP('May-24'!$F22,Lista_CUIT!$A$1:$D$2241,4,0)),"CUIT NO CARGADO")</f>
        <v>0</v>
      </c>
    </row>
    <row r="23" spans="2:18" ht="15.75" customHeight="1" x14ac:dyDescent="0.3">
      <c r="B23" s="95">
        <v>45423</v>
      </c>
      <c r="C23" s="96">
        <v>1</v>
      </c>
      <c r="D23" s="97">
        <v>2466</v>
      </c>
      <c r="E23" s="98">
        <v>650742</v>
      </c>
      <c r="F23" s="99">
        <v>30678814357</v>
      </c>
      <c r="G23" s="100" t="str">
        <f>IFERROR(IF('May-24'!$F23="","-",VLOOKUP('May-24'!$F23,Lista_CUIT!$A$1:$D$2241,2,0)),"CUIT NO CARGADO")</f>
        <v>TELEFONICA MOVILES ARG</v>
      </c>
      <c r="H23" s="101">
        <v>22677.35</v>
      </c>
      <c r="I23" s="102"/>
      <c r="J23" s="102">
        <f>'May-24'!$H23*0.27</f>
        <v>6122.8845000000001</v>
      </c>
      <c r="K23" s="102"/>
      <c r="L23" s="102">
        <v>680.32</v>
      </c>
      <c r="M23" s="102"/>
      <c r="N23" s="102"/>
      <c r="O23" s="102">
        <v>1138.18</v>
      </c>
      <c r="P23" s="103">
        <f>SUM('May-24'!$H23:$O23)</f>
        <v>30618.734499999999</v>
      </c>
      <c r="Q23" s="104" t="str">
        <f>IFERROR(IF('May-24'!$F23="","-",VLOOKUP('May-24'!$F23,Lista_CUIT!$A$1:$D$2241,3,0)),"CUIT NO CARGADO")</f>
        <v>Telefonia</v>
      </c>
      <c r="R23" s="104">
        <f>IFERROR(IF('May-24'!$F23="","-",VLOOKUP('May-24'!$F23,Lista_CUIT!$A$1:$D$2241,4,0)),"CUIT NO CARGADO")</f>
        <v>0</v>
      </c>
    </row>
    <row r="24" spans="2:18" ht="15.75" customHeight="1" x14ac:dyDescent="0.3">
      <c r="B24" s="12">
        <v>45425</v>
      </c>
      <c r="C24" s="13">
        <v>1</v>
      </c>
      <c r="D24" s="14">
        <v>9</v>
      </c>
      <c r="E24" s="15">
        <v>1882</v>
      </c>
      <c r="F24" s="16">
        <v>30631047145</v>
      </c>
      <c r="G24" s="17" t="str">
        <f>IFERROR(IF('May-24'!$F24="","-",VLOOKUP('May-24'!$F24,Lista_CUIT!$A$1:$D$2241,2,0)),"CUIT NO CARGADO")</f>
        <v>SEMICONDUC. Y COMPON. SRL</v>
      </c>
      <c r="H24" s="18">
        <v>343140</v>
      </c>
      <c r="I24" s="23">
        <f>IF('May-24'!$H24="","",'May-24'!$H24*0.21)</f>
        <v>72059.399999999994</v>
      </c>
      <c r="J24" s="23"/>
      <c r="K24" s="23"/>
      <c r="L24" s="23"/>
      <c r="M24" s="23"/>
      <c r="N24" s="23"/>
      <c r="O24" s="23"/>
      <c r="P24" s="20">
        <f>SUM('May-24'!$H24:$O24)</f>
        <v>415199.4</v>
      </c>
      <c r="Q24" s="21" t="str">
        <f>IFERROR(IF('May-24'!$F24="","-",VLOOKUP('May-24'!$F24,Lista_CUIT!$A$1:$D$2241,3,0)),"CUIT NO CARGADO")</f>
        <v>Mercaderia</v>
      </c>
      <c r="R24" s="21">
        <f>IFERROR(IF('May-24'!$F24="","-",VLOOKUP('May-24'!$F24,Lista_CUIT!$A$1:$D$2241,4,0)),"CUIT NO CARGADO")</f>
        <v>0</v>
      </c>
    </row>
    <row r="25" spans="2:18" ht="15.75" customHeight="1" x14ac:dyDescent="0.3">
      <c r="B25" s="95">
        <v>45426</v>
      </c>
      <c r="C25" s="96">
        <v>1</v>
      </c>
      <c r="D25" s="97">
        <v>8</v>
      </c>
      <c r="E25" s="98">
        <v>23912</v>
      </c>
      <c r="F25" s="99">
        <v>30709953482</v>
      </c>
      <c r="G25" s="100" t="str">
        <f>IFERROR(IF('May-24'!$F25="","-",VLOOKUP('May-24'!$F25,Lista_CUIT!$A$1:$D$2241,2,0)),"CUIT NO CARGADO")</f>
        <v>HONRE S.A</v>
      </c>
      <c r="H25" s="101">
        <v>12298.61</v>
      </c>
      <c r="I25" s="102">
        <f>IF('May-24'!$H25="","",'May-24'!$H25*0.21)</f>
        <v>2582.7080999999998</v>
      </c>
      <c r="J25" s="102"/>
      <c r="K25" s="102"/>
      <c r="L25" s="102"/>
      <c r="M25" s="102"/>
      <c r="N25" s="102"/>
      <c r="O25" s="102"/>
      <c r="P25" s="103">
        <f>SUM('May-24'!$H25:$O25)</f>
        <v>14881.3181</v>
      </c>
      <c r="Q25" s="104" t="str">
        <f>IFERROR(IF('May-24'!$F25="","-",VLOOKUP('May-24'!$F25,Lista_CUIT!$A$1:$D$2241,3,0)),"CUIT NO CARGADO")</f>
        <v>GASTOS VARIOS</v>
      </c>
      <c r="R25" s="104">
        <f>IFERROR(IF('May-24'!$F25="","-",VLOOKUP('May-24'!$F25,Lista_CUIT!$A$1:$D$2241,4,0)),"CUIT NO CARGADO")</f>
        <v>0</v>
      </c>
    </row>
    <row r="26" spans="2:18" ht="15.75" customHeight="1" x14ac:dyDescent="0.3">
      <c r="B26" s="12">
        <v>45426</v>
      </c>
      <c r="C26" s="13">
        <v>1</v>
      </c>
      <c r="D26" s="14">
        <v>6</v>
      </c>
      <c r="E26" s="15">
        <v>6245</v>
      </c>
      <c r="F26" s="16">
        <v>30714743402</v>
      </c>
      <c r="G26" s="17" t="str">
        <f>IFERROR(IF('May-24'!$F26="","-",VLOOKUP('May-24'!$F26,Lista_CUIT!$A$1:$D$2241,2,0)),"CUIT NO CARGADO")</f>
        <v>HERRAMIENTAS DALI SRL</v>
      </c>
      <c r="H26" s="18">
        <v>22512.400000000001</v>
      </c>
      <c r="I26" s="23">
        <f>IF('May-24'!$H26="","",'May-24'!$H26*0.21)</f>
        <v>4727.6040000000003</v>
      </c>
      <c r="J26" s="23"/>
      <c r="K26" s="23"/>
      <c r="L26" s="23"/>
      <c r="M26" s="23"/>
      <c r="N26" s="23"/>
      <c r="O26" s="23"/>
      <c r="P26" s="20">
        <f>SUM('May-24'!$H26:$O26)</f>
        <v>27240.004000000001</v>
      </c>
      <c r="Q26" s="21" t="str">
        <f>IFERROR(IF('May-24'!$F26="","-",VLOOKUP('May-24'!$F26,Lista_CUIT!$A$1:$D$2241,3,0)),"CUIT NO CARGADO")</f>
        <v>REPUESTOS</v>
      </c>
      <c r="R26" s="21">
        <f>IFERROR(IF('May-24'!$F26="","-",VLOOKUP('May-24'!$F26,Lista_CUIT!$A$1:$D$2241,4,0)),"CUIT NO CARGADO")</f>
        <v>0</v>
      </c>
    </row>
    <row r="27" spans="2:18" ht="15.75" customHeight="1" x14ac:dyDescent="0.3">
      <c r="B27" s="95">
        <v>45426</v>
      </c>
      <c r="C27" s="96">
        <v>1</v>
      </c>
      <c r="D27" s="97">
        <v>3</v>
      </c>
      <c r="E27" s="98">
        <v>5725</v>
      </c>
      <c r="F27" s="99">
        <v>30710585411</v>
      </c>
      <c r="G27" s="100" t="str">
        <f>IFERROR(IF('May-24'!$F27="","-",VLOOKUP('May-24'!$F27,Lista_CUIT!$A$1:$D$2241,2,0)),"CUIT NO CARGADO")</f>
        <v>POSITIF PLANIFIER S.A.</v>
      </c>
      <c r="H27" s="101">
        <v>49725.62</v>
      </c>
      <c r="I27" s="102">
        <f>IF('May-24'!$H27="","",'May-24'!$H27*0.21)</f>
        <v>10442.3802</v>
      </c>
      <c r="J27" s="102"/>
      <c r="K27" s="102"/>
      <c r="L27" s="102"/>
      <c r="M27" s="102"/>
      <c r="N27" s="102"/>
      <c r="O27" s="102"/>
      <c r="P27" s="103">
        <f>SUM('May-24'!$H27:$O27)</f>
        <v>60168.000200000002</v>
      </c>
      <c r="Q27" s="104" t="str">
        <f>IFERROR(IF('May-24'!$F27="","-",VLOOKUP('May-24'!$F27,Lista_CUIT!$A$1:$D$2241,3,0)),"CUIT NO CARGADO")</f>
        <v>Gastos de Comercializacion</v>
      </c>
      <c r="R27" s="104">
        <f>IFERROR(IF('May-24'!$F27="","-",VLOOKUP('May-24'!$F27,Lista_CUIT!$A$1:$D$2241,4,0)),"CUIT NO CARGADO")</f>
        <v>0</v>
      </c>
    </row>
    <row r="28" spans="2:18" ht="15.75" customHeight="1" x14ac:dyDescent="0.3">
      <c r="B28" s="12">
        <v>45427</v>
      </c>
      <c r="C28" s="13">
        <v>1</v>
      </c>
      <c r="D28" s="14">
        <v>8</v>
      </c>
      <c r="E28" s="15">
        <v>24019</v>
      </c>
      <c r="F28" s="16">
        <v>30709953482</v>
      </c>
      <c r="G28" s="17" t="str">
        <f>IFERROR(IF('May-24'!$F28="","-",VLOOKUP('May-24'!$F28,Lista_CUIT!$A$1:$D$2241,2,0)),"CUIT NO CARGADO")</f>
        <v>HONRE S.A</v>
      </c>
      <c r="H28" s="18">
        <v>12298.61</v>
      </c>
      <c r="I28" s="23">
        <f>IF('May-24'!$H28="","",'May-24'!$H28*0.21)</f>
        <v>2582.7080999999998</v>
      </c>
      <c r="J28" s="23"/>
      <c r="K28" s="23"/>
      <c r="L28" s="23"/>
      <c r="M28" s="23"/>
      <c r="N28" s="23"/>
      <c r="O28" s="23"/>
      <c r="P28" s="20">
        <f>SUM('May-24'!$H28:$O28)</f>
        <v>14881.3181</v>
      </c>
      <c r="Q28" s="21" t="str">
        <f>IFERROR(IF('May-24'!$F28="","-",VLOOKUP('May-24'!$F28,Lista_CUIT!$A$1:$D$2241,3,0)),"CUIT NO CARGADO")</f>
        <v>GASTOS VARIOS</v>
      </c>
      <c r="R28" s="21">
        <f>IFERROR(IF('May-24'!$F28="","-",VLOOKUP('May-24'!$F28,Lista_CUIT!$A$1:$D$2241,4,0)),"CUIT NO CARGADO")</f>
        <v>0</v>
      </c>
    </row>
    <row r="29" spans="2:18" ht="15.75" customHeight="1" x14ac:dyDescent="0.3">
      <c r="B29" s="12">
        <v>45427</v>
      </c>
      <c r="C29" s="13">
        <v>1</v>
      </c>
      <c r="D29" s="14">
        <v>9</v>
      </c>
      <c r="E29" s="15">
        <v>14039</v>
      </c>
      <c r="F29" s="16">
        <v>30708600187</v>
      </c>
      <c r="G29" s="17" t="str">
        <f>IFERROR(IF('May-24'!$F29="","-",VLOOKUP('May-24'!$F29,Lista_CUIT!$A$1:$D$2241,2,0)),"CUIT NO CARGADO")</f>
        <v>MAQUINAS Y CONSUMIBLES S.A.</v>
      </c>
      <c r="H29" s="18">
        <v>601160</v>
      </c>
      <c r="I29" s="23">
        <f>IF('May-24'!$H29="","",'May-24'!$H29*0.21)</f>
        <v>126243.59999999999</v>
      </c>
      <c r="J29" s="23"/>
      <c r="K29" s="23"/>
      <c r="L29" s="23"/>
      <c r="M29" s="23"/>
      <c r="N29" s="23"/>
      <c r="O29" s="23"/>
      <c r="P29" s="20">
        <f>SUM('May-24'!$H29:$O29)</f>
        <v>727403.6</v>
      </c>
      <c r="Q29" s="21" t="str">
        <f>IFERROR(IF('May-24'!$F29="","-",VLOOKUP('May-24'!$F29,Lista_CUIT!$A$1:$D$2241,3,0)),"CUIT NO CARGADO")</f>
        <v>INSUMO</v>
      </c>
      <c r="R29" s="21">
        <f>IFERROR(IF('May-24'!$F29="","-",VLOOKUP('May-24'!$F29,Lista_CUIT!$A$1:$D$2241,4,0)),"CUIT NO CARGADO")</f>
        <v>0</v>
      </c>
    </row>
    <row r="30" spans="2:18" ht="15.75" customHeight="1" x14ac:dyDescent="0.3">
      <c r="B30" s="95">
        <v>45427</v>
      </c>
      <c r="C30" s="96">
        <v>3</v>
      </c>
      <c r="D30" s="97">
        <v>8</v>
      </c>
      <c r="E30" s="98">
        <v>2150</v>
      </c>
      <c r="F30" s="99">
        <v>30709953482</v>
      </c>
      <c r="G30" s="100" t="str">
        <f>IFERROR(IF('May-24'!$F30="","-",VLOOKUP('May-24'!$F30,Lista_CUIT!$A$1:$D$2241,2,0)),"CUIT NO CARGADO")</f>
        <v>HONRE S.A</v>
      </c>
      <c r="H30" s="101">
        <v>-12298.61</v>
      </c>
      <c r="I30" s="102">
        <f>IF('May-24'!$H30="","",'May-24'!$H30*0.21)</f>
        <v>-2582.7080999999998</v>
      </c>
      <c r="J30" s="102"/>
      <c r="K30" s="102"/>
      <c r="L30" s="102"/>
      <c r="M30" s="102"/>
      <c r="N30" s="102"/>
      <c r="O30" s="102"/>
      <c r="P30" s="103">
        <f>SUM('May-24'!$H30:$O30)</f>
        <v>-14881.3181</v>
      </c>
      <c r="Q30" s="104" t="str">
        <f>IFERROR(IF('May-24'!$F30="","-",VLOOKUP('May-24'!$F30,Lista_CUIT!$A$1:$D$2241,3,0)),"CUIT NO CARGADO")</f>
        <v>GASTOS VARIOS</v>
      </c>
      <c r="R30" s="104">
        <f>IFERROR(IF('May-24'!$F30="","-",VLOOKUP('May-24'!$F30,Lista_CUIT!$A$1:$D$2241,4,0)),"CUIT NO CARGADO")</f>
        <v>0</v>
      </c>
    </row>
    <row r="31" spans="2:18" ht="15.75" customHeight="1" x14ac:dyDescent="0.3">
      <c r="B31" s="12">
        <v>45428</v>
      </c>
      <c r="C31" s="13">
        <v>1</v>
      </c>
      <c r="D31" s="14">
        <v>106</v>
      </c>
      <c r="E31" s="15">
        <v>733821</v>
      </c>
      <c r="F31" s="16">
        <v>30594494187</v>
      </c>
      <c r="G31" s="17" t="str">
        <f>IFERROR(IF('May-24'!$F31="","-",VLOOKUP('May-24'!$F31,Lista_CUIT!$A$1:$D$2241,2,0)),"CUIT NO CARGADO")</f>
        <v>FEDERAL EXPRESS CORPORATION</v>
      </c>
      <c r="H31" s="18">
        <v>0</v>
      </c>
      <c r="I31" s="23">
        <f>IF('May-24'!$H31="","",'May-24'!$H31*0.21)</f>
        <v>0</v>
      </c>
      <c r="J31" s="23"/>
      <c r="K31" s="23"/>
      <c r="L31" s="23"/>
      <c r="M31" s="23"/>
      <c r="N31" s="23"/>
      <c r="O31" s="23">
        <v>407884.79999999999</v>
      </c>
      <c r="P31" s="20">
        <f>SUM('May-24'!$H31:$O31)</f>
        <v>407884.79999999999</v>
      </c>
      <c r="Q31" s="21" t="str">
        <f>IFERROR(IF('May-24'!$F31="","-",VLOOKUP('May-24'!$F31,Lista_CUIT!$A$1:$D$2241,3,0)),"CUIT NO CARGADO")</f>
        <v>Gastos Importacion</v>
      </c>
      <c r="R31" s="21">
        <f>IFERROR(IF('May-24'!$F31="","-",VLOOKUP('May-24'!$F31,Lista_CUIT!$A$1:$D$2241,4,0)),"CUIT NO CARGADO")</f>
        <v>0</v>
      </c>
    </row>
    <row r="32" spans="2:18" ht="15.75" customHeight="1" x14ac:dyDescent="0.3">
      <c r="B32" s="12">
        <v>45432</v>
      </c>
      <c r="C32" s="13">
        <v>1</v>
      </c>
      <c r="D32" s="14">
        <v>6</v>
      </c>
      <c r="E32" s="15">
        <v>782</v>
      </c>
      <c r="F32" s="16">
        <v>20283509924</v>
      </c>
      <c r="G32" s="17" t="str">
        <f>IFERROR(IF('May-24'!$F32="","-",VLOOKUP('May-24'!$F32,Lista_CUIT!$A$1:$D$2241,2,0)),"CUIT NO CARGADO")</f>
        <v>HEREDIA LEONARDO ADRIAN</v>
      </c>
      <c r="H32" s="18">
        <v>24518.19</v>
      </c>
      <c r="I32" s="23">
        <f>IF('May-24'!$H32="","",'May-24'!$H32*0.21)</f>
        <v>5148.8198999999995</v>
      </c>
      <c r="J32" s="23"/>
      <c r="K32" s="23"/>
      <c r="L32" s="23"/>
      <c r="M32" s="23"/>
      <c r="N32" s="23"/>
      <c r="O32" s="23"/>
      <c r="P32" s="20">
        <f>SUM('May-24'!$H32:$O32)</f>
        <v>29667.009899999997</v>
      </c>
      <c r="Q32" s="21" t="str">
        <f>IFERROR(IF('May-24'!$F32="","-",VLOOKUP('May-24'!$F32,Lista_CUIT!$A$1:$D$2241,3,0)),"CUIT NO CARGADO")</f>
        <v>INSUMO</v>
      </c>
      <c r="R32" s="21">
        <f>IFERROR(IF('May-24'!$F32="","-",VLOOKUP('May-24'!$F32,Lista_CUIT!$A$1:$D$2241,4,0)),"CUIT NO CARGADO")</f>
        <v>0</v>
      </c>
    </row>
    <row r="33" spans="2:18" ht="15.75" customHeight="1" x14ac:dyDescent="0.3">
      <c r="B33" s="12">
        <v>45434</v>
      </c>
      <c r="C33" s="13">
        <v>1</v>
      </c>
      <c r="D33" s="14">
        <v>2</v>
      </c>
      <c r="E33" s="15">
        <v>8760</v>
      </c>
      <c r="F33" s="16">
        <v>30711726019</v>
      </c>
      <c r="G33" s="17" t="str">
        <f>IFERROR(IF('May-24'!$F33="","-",VLOOKUP('May-24'!$F33,Lista_CUIT!$A$1:$D$2241,2,0)),"CUIT NO CARGADO")</f>
        <v>MAV GROUP S.A.</v>
      </c>
      <c r="H33" s="18">
        <v>351200</v>
      </c>
      <c r="I33" s="23">
        <f>IF('May-24'!$H33="","",'May-24'!$H33*0.21)</f>
        <v>73752</v>
      </c>
      <c r="J33" s="23"/>
      <c r="K33" s="23"/>
      <c r="L33" s="23"/>
      <c r="M33" s="23"/>
      <c r="N33" s="23"/>
      <c r="O33" s="23"/>
      <c r="P33" s="20">
        <f>SUM('May-24'!$H33:$O33)</f>
        <v>424952</v>
      </c>
      <c r="Q33" s="21" t="str">
        <f>IFERROR(IF('May-24'!$F33="","-",VLOOKUP('May-24'!$F33,Lista_CUIT!$A$1:$D$2241,3,0)),"CUIT NO CARGADO")</f>
        <v>Gastos Importacion</v>
      </c>
      <c r="R33" s="21">
        <f>IFERROR(IF('May-24'!$F33="","-",VLOOKUP('May-24'!$F33,Lista_CUIT!$A$1:$D$2241,4,0)),"CUIT NO CARGADO")</f>
        <v>0</v>
      </c>
    </row>
    <row r="34" spans="2:18" ht="15.75" customHeight="1" x14ac:dyDescent="0.3">
      <c r="B34" s="12">
        <v>45436</v>
      </c>
      <c r="C34" s="13">
        <v>1</v>
      </c>
      <c r="D34" s="14">
        <v>6</v>
      </c>
      <c r="E34" s="15">
        <v>791</v>
      </c>
      <c r="F34" s="16">
        <v>20283509924</v>
      </c>
      <c r="G34" s="17" t="str">
        <f>IFERROR(IF('May-24'!$F34="","-",VLOOKUP('May-24'!$F34,Lista_CUIT!$A$1:$D$2241,2,0)),"CUIT NO CARGADO")</f>
        <v>HEREDIA LEONARDO ADRIAN</v>
      </c>
      <c r="H34" s="18">
        <v>49036.38</v>
      </c>
      <c r="I34" s="23">
        <f>IF('May-24'!$H34="","",'May-24'!$H34*0.21)</f>
        <v>10297.639799999999</v>
      </c>
      <c r="J34" s="23"/>
      <c r="K34" s="23"/>
      <c r="L34" s="23"/>
      <c r="M34" s="23"/>
      <c r="N34" s="23"/>
      <c r="O34" s="23"/>
      <c r="P34" s="20">
        <f>SUM('May-24'!$H34:$O34)</f>
        <v>59334.019799999995</v>
      </c>
      <c r="Q34" s="21" t="str">
        <f>IFERROR(IF('May-24'!$F34="","-",VLOOKUP('May-24'!$F34,Lista_CUIT!$A$1:$D$2241,3,0)),"CUIT NO CARGADO")</f>
        <v>INSUMO</v>
      </c>
      <c r="R34" s="21">
        <f>IFERROR(IF('May-24'!$F34="","-",VLOOKUP('May-24'!$F34,Lista_CUIT!$A$1:$D$2241,4,0)),"CUIT NO CARGADO")</f>
        <v>0</v>
      </c>
    </row>
    <row r="35" spans="2:18" ht="15.75" customHeight="1" x14ac:dyDescent="0.3">
      <c r="B35" s="12">
        <v>45439</v>
      </c>
      <c r="C35" s="13">
        <v>1</v>
      </c>
      <c r="D35" s="14">
        <v>3</v>
      </c>
      <c r="E35" s="15">
        <v>311</v>
      </c>
      <c r="F35" s="16">
        <v>20921575743</v>
      </c>
      <c r="G35" s="17" t="str">
        <f>IFERROR(IF('May-24'!$F35="","-",VLOOKUP('May-24'!$F35,Lista_CUIT!$A$1:$D$2241,2,0)),"CUIT NO CARGADO")</f>
        <v>RIOS GOMEZ JOSE ANTONIO</v>
      </c>
      <c r="H35" s="18">
        <v>554900</v>
      </c>
      <c r="I35" s="23">
        <f>IF('May-24'!$H35="","",'May-24'!$H35*0.21)</f>
        <v>116529</v>
      </c>
      <c r="J35" s="23"/>
      <c r="K35" s="23"/>
      <c r="L35" s="23"/>
      <c r="M35" s="23"/>
      <c r="N35" s="23"/>
      <c r="O35" s="23"/>
      <c r="P35" s="20">
        <f>SUM('May-24'!$H35:$O35)</f>
        <v>671429</v>
      </c>
      <c r="Q35" s="21" t="str">
        <f>IFERROR(IF('May-24'!$F35="","-",VLOOKUP('May-24'!$F35,Lista_CUIT!$A$1:$D$2241,3,0)),"CUIT NO CARGADO")</f>
        <v>Papeleria</v>
      </c>
      <c r="R35" s="21">
        <f>IFERROR(IF('May-24'!$F35="","-",VLOOKUP('May-24'!$F35,Lista_CUIT!$A$1:$D$2241,4,0)),"CUIT NO CARGADO")</f>
        <v>0</v>
      </c>
    </row>
    <row r="36" spans="2:18" ht="15.75" customHeight="1" x14ac:dyDescent="0.3">
      <c r="B36" s="12">
        <v>45440</v>
      </c>
      <c r="C36" s="13">
        <v>1</v>
      </c>
      <c r="D36" s="14">
        <v>2</v>
      </c>
      <c r="E36" s="15">
        <v>198</v>
      </c>
      <c r="F36" s="16">
        <v>20125142851</v>
      </c>
      <c r="G36" s="17" t="str">
        <f>IFERROR(IF('May-24'!$F36="","-",VLOOKUP('May-24'!$F36,Lista_CUIT!$A$1:$D$2241,2,0)),"CUIT NO CARGADO")</f>
        <v>FEDERICI NICOLAS JOSE</v>
      </c>
      <c r="H36" s="18">
        <v>63792.76</v>
      </c>
      <c r="I36" s="23">
        <f>IF('May-24'!$H36="","",'May-24'!$H36*0.21)</f>
        <v>13396.479600000001</v>
      </c>
      <c r="J36" s="23"/>
      <c r="K36" s="23"/>
      <c r="L36" s="23"/>
      <c r="M36" s="23"/>
      <c r="N36" s="23"/>
      <c r="O36" s="23"/>
      <c r="P36" s="20">
        <f>SUM('May-24'!$H36:$O36)</f>
        <v>77189.239600000001</v>
      </c>
      <c r="Q36" s="21" t="str">
        <f>IFERROR(IF('May-24'!$F36="","-",VLOOKUP('May-24'!$F36,Lista_CUIT!$A$1:$D$2241,3,0)),"CUIT NO CARGADO")</f>
        <v>INSUMO</v>
      </c>
      <c r="R36" s="21">
        <f>IFERROR(IF('May-24'!$F36="","-",VLOOKUP('May-24'!$F36,Lista_CUIT!$A$1:$D$2241,4,0)),"CUIT NO CARGADO")</f>
        <v>0</v>
      </c>
    </row>
    <row r="37" spans="2:18" ht="15.75" customHeight="1" x14ac:dyDescent="0.3">
      <c r="B37" s="95">
        <v>45442</v>
      </c>
      <c r="C37" s="96">
        <v>1</v>
      </c>
      <c r="D37" s="97">
        <v>5</v>
      </c>
      <c r="E37" s="98">
        <v>73679</v>
      </c>
      <c r="F37" s="99">
        <v>30692857611</v>
      </c>
      <c r="G37" s="100" t="str">
        <f>IFERROR(IF('May-24'!$F37="","-",VLOOKUP('May-24'!$F37,Lista_CUIT!$A$1:$D$2241,2,0)),"CUIT NO CARGADO")</f>
        <v>BAGUI S A</v>
      </c>
      <c r="H37" s="101">
        <v>122817.35</v>
      </c>
      <c r="I37" s="102">
        <f>IF('May-24'!$H37="","",'May-24'!$H37*0.21)</f>
        <v>25791.643500000002</v>
      </c>
      <c r="J37" s="102"/>
      <c r="K37" s="102"/>
      <c r="L37" s="102"/>
      <c r="M37" s="102"/>
      <c r="N37" s="102"/>
      <c r="O37" s="102"/>
      <c r="P37" s="103">
        <f>SUM('May-24'!$H37:$O37)</f>
        <v>148608.99350000001</v>
      </c>
      <c r="Q37" s="104" t="str">
        <f>IFERROR(IF('May-24'!$F37="","-",VLOOKUP('May-24'!$F37,Lista_CUIT!$A$1:$D$2241,3,0)),"CUIT NO CARGADO")</f>
        <v>INSUMO</v>
      </c>
      <c r="R37" s="104">
        <f>IFERROR(IF('May-24'!$F37="","-",VLOOKUP('May-24'!$F37,Lista_CUIT!$A$1:$D$2241,4,0)),"CUIT NO CARGADO")</f>
        <v>0</v>
      </c>
    </row>
    <row r="38" spans="2:18" ht="15.75" customHeight="1" x14ac:dyDescent="0.3">
      <c r="B38" s="95">
        <v>45443</v>
      </c>
      <c r="C38" s="96">
        <v>1</v>
      </c>
      <c r="D38" s="97">
        <v>6</v>
      </c>
      <c r="E38" s="98">
        <v>14846</v>
      </c>
      <c r="F38" s="99">
        <v>30707756434</v>
      </c>
      <c r="G38" s="100" t="str">
        <f>IFERROR(IF('May-24'!$F38="","-",VLOOKUP('May-24'!$F38,Lista_CUIT!$A$1:$D$2241,2,0)),"CUIT NO CARGADO")</f>
        <v>SERVICIO INTEGRAL DE LIMPIEZA SRL</v>
      </c>
      <c r="H38" s="101">
        <v>290000</v>
      </c>
      <c r="I38" s="102">
        <f>IF('May-24'!$H38="","",'May-24'!$H38*0.21)</f>
        <v>60900</v>
      </c>
      <c r="J38" s="102"/>
      <c r="K38" s="102"/>
      <c r="L38" s="102"/>
      <c r="M38" s="102"/>
      <c r="N38" s="102"/>
      <c r="O38" s="102"/>
      <c r="P38" s="103">
        <f>SUM('May-24'!$H38:$O38)</f>
        <v>350900</v>
      </c>
      <c r="Q38" s="104" t="str">
        <f>IFERROR(IF('May-24'!$F38="","-",VLOOKUP('May-24'!$F38,Lista_CUIT!$A$1:$D$2241,3,0)),"CUIT NO CARGADO")</f>
        <v>Mantenimiento</v>
      </c>
      <c r="R38" s="104">
        <f>IFERROR(IF('May-24'!$F38="","-",VLOOKUP('May-24'!$F38,Lista_CUIT!$A$1:$D$2241,4,0)),"CUIT NO CARGADO")</f>
        <v>0</v>
      </c>
    </row>
    <row r="39" spans="2:18" ht="15.75" customHeight="1" x14ac:dyDescent="0.3">
      <c r="B39" s="12"/>
      <c r="C39" s="13"/>
      <c r="D39" s="14"/>
      <c r="E39" s="15"/>
      <c r="F39" s="16"/>
      <c r="G39" s="17" t="str">
        <f>IFERROR(IF('May-24'!$F39="","-",VLOOKUP('May-24'!$F39,Lista_CUIT!$A$1:$D$2241,2,0)),"CUIT NO CARGADO")</f>
        <v>-</v>
      </c>
      <c r="H39" s="18"/>
      <c r="I39" s="23" t="str">
        <f>IF('May-24'!$H39="","",'May-24'!$H39*0.21)</f>
        <v/>
      </c>
      <c r="J39" s="23"/>
      <c r="K39" s="23"/>
      <c r="L39" s="23"/>
      <c r="M39" s="23"/>
      <c r="N39" s="23"/>
      <c r="O39" s="23"/>
      <c r="P39" s="20">
        <f>SUM('May-24'!$H39:$O39)</f>
        <v>0</v>
      </c>
      <c r="Q39" s="21" t="str">
        <f>IFERROR(IF('May-24'!$F39="","-",VLOOKUP('May-24'!$F39,Lista_CUIT!$A$1:$D$2241,3,0)),"CUIT NO CARGADO")</f>
        <v>-</v>
      </c>
      <c r="R39" s="21" t="str">
        <f>IFERROR(IF('May-24'!$F39="","-",VLOOKUP('May-24'!$F39,Lista_CUIT!$A$1:$D$2241,4,0)),"CUIT NO CARGADO")</f>
        <v>-</v>
      </c>
    </row>
    <row r="40" spans="2:18" ht="15.75" customHeight="1" x14ac:dyDescent="0.3">
      <c r="B40" s="12"/>
      <c r="C40" s="13"/>
      <c r="D40" s="14"/>
      <c r="E40" s="15"/>
      <c r="F40" s="16"/>
      <c r="G40" s="17" t="str">
        <f>IFERROR(IF('May-24'!$F40="","-",VLOOKUP('May-24'!$F40,Lista_CUIT!$A$1:$D$2241,2,0)),"CUIT NO CARGADO")</f>
        <v>-</v>
      </c>
      <c r="H40" s="18"/>
      <c r="I40" s="23" t="str">
        <f>IF('May-24'!$H40="","",'May-24'!$H40*0.21)</f>
        <v/>
      </c>
      <c r="J40" s="23"/>
      <c r="K40" s="23"/>
      <c r="L40" s="23"/>
      <c r="M40" s="23"/>
      <c r="N40" s="23"/>
      <c r="O40" s="23"/>
      <c r="P40" s="20">
        <f>SUM('May-24'!$H40:$O40)</f>
        <v>0</v>
      </c>
      <c r="Q40" s="21" t="str">
        <f>IFERROR(IF('May-24'!$F40="","-",VLOOKUP('May-24'!$F40,Lista_CUIT!$A$1:$D$2241,3,0)),"CUIT NO CARGADO")</f>
        <v>-</v>
      </c>
      <c r="R40" s="21" t="str">
        <f>IFERROR(IF('May-24'!$F40="","-",VLOOKUP('May-24'!$F40,Lista_CUIT!$A$1:$D$2241,4,0)),"CUIT NO CARGADO")</f>
        <v>-</v>
      </c>
    </row>
    <row r="41" spans="2:18" ht="15.75" customHeight="1" x14ac:dyDescent="0.3">
      <c r="B41" s="12"/>
      <c r="C41" s="13"/>
      <c r="D41" s="14"/>
      <c r="E41" s="15"/>
      <c r="F41" s="16"/>
      <c r="G41" s="17" t="str">
        <f>IFERROR(IF('May-24'!$F41="","-",VLOOKUP('May-24'!$F41,Lista_CUIT!$A$1:$D$2241,2,0)),"CUIT NO CARGADO")</f>
        <v>-</v>
      </c>
      <c r="H41" s="18"/>
      <c r="I41" s="23" t="str">
        <f>IF('May-24'!$H41="","",'May-24'!$H41*0.21)</f>
        <v/>
      </c>
      <c r="J41" s="23"/>
      <c r="K41" s="23"/>
      <c r="L41" s="23"/>
      <c r="M41" s="23"/>
      <c r="N41" s="23"/>
      <c r="O41" s="23"/>
      <c r="P41" s="20">
        <f>SUM('May-24'!$H41:$O41)</f>
        <v>0</v>
      </c>
      <c r="Q41" s="21" t="str">
        <f>IFERROR(IF('May-24'!$F41="","-",VLOOKUP('May-24'!$F41,Lista_CUIT!$A$1:$D$2241,3,0)),"CUIT NO CARGADO")</f>
        <v>-</v>
      </c>
      <c r="R41" s="21" t="str">
        <f>IFERROR(IF('May-24'!$F41="","-",VLOOKUP('May-24'!$F41,Lista_CUIT!$A$1:$D$2241,4,0)),"CUIT NO CARGADO")</f>
        <v>-</v>
      </c>
    </row>
    <row r="42" spans="2:18" ht="15.75" customHeight="1" x14ac:dyDescent="0.3">
      <c r="B42" s="21" t="s">
        <v>1343</v>
      </c>
      <c r="C42" s="21"/>
      <c r="D42" s="21"/>
      <c r="E42" s="21"/>
      <c r="F42" s="21"/>
      <c r="G42" s="17"/>
      <c r="H42" s="18">
        <f>SUBTOTAL(109,'May-24'!$H$9:$H$41)</f>
        <v>10048736.129999999</v>
      </c>
      <c r="I42" s="18">
        <f>SUBTOTAL(109,'May-24'!$I$9:$I$41)</f>
        <v>2105472.3437999999</v>
      </c>
      <c r="J42" s="18">
        <f>SUBTOTAL(109,'May-24'!$J$9:$J$41)</f>
        <v>6122.8845000000001</v>
      </c>
      <c r="K42" s="18">
        <f>SUBTOTAL(109,'May-24'!$K$9:$K$41)</f>
        <v>0</v>
      </c>
      <c r="L42" s="18">
        <f>SUBTOTAL(109,'May-24'!$L$9:$L$41)</f>
        <v>680.32</v>
      </c>
      <c r="M42" s="18">
        <f>SUBTOTAL(109,'May-24'!$M$9:$M$41)</f>
        <v>0</v>
      </c>
      <c r="N42" s="18">
        <f>SUBTOTAL(109,'May-24'!$N$9:$N$41)</f>
        <v>0</v>
      </c>
      <c r="O42" s="18">
        <f>SUBTOTAL(109,'May-24'!$O$9:$O$41)</f>
        <v>409022.98</v>
      </c>
      <c r="P42" s="18">
        <f>SUBTOTAL(109,'May-24'!$P$9:$P$41)</f>
        <v>12570034.658300001</v>
      </c>
      <c r="Q42" s="21"/>
      <c r="R42" s="21"/>
    </row>
    <row r="43" spans="2:18" ht="15.75" customHeight="1" x14ac:dyDescent="0.3"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  <c r="M43" s="19"/>
      <c r="N43" s="19"/>
      <c r="O43" s="19"/>
      <c r="P43" s="20"/>
      <c r="Q43" s="21"/>
      <c r="R43" s="21"/>
    </row>
    <row r="44" spans="2:18" ht="15.75" customHeight="1" x14ac:dyDescent="0.3">
      <c r="B44" s="12"/>
      <c r="C44" s="13"/>
      <c r="D44" s="14"/>
      <c r="E44" s="15"/>
      <c r="F44" s="16"/>
      <c r="G44" s="17"/>
      <c r="H44" s="18"/>
      <c r="I44" s="19"/>
      <c r="J44" s="19"/>
      <c r="K44" s="19"/>
      <c r="L44" s="19"/>
      <c r="M44" s="19"/>
      <c r="N44" s="19"/>
      <c r="O44" s="19"/>
      <c r="P44" s="20"/>
      <c r="Q44" s="21"/>
      <c r="R44" s="21"/>
    </row>
    <row r="45" spans="2:18" ht="15.75" customHeight="1" x14ac:dyDescent="0.3">
      <c r="B45" s="12"/>
      <c r="C45" s="13"/>
      <c r="D45" s="14"/>
      <c r="E45" s="15"/>
      <c r="F45" s="16"/>
      <c r="G45" s="17"/>
      <c r="H45" s="18"/>
      <c r="I45" s="19"/>
      <c r="J45" s="19"/>
      <c r="K45" s="19"/>
      <c r="L45" s="19"/>
      <c r="M45" s="19"/>
      <c r="N45" s="19"/>
      <c r="O45" s="19"/>
      <c r="P45" s="20"/>
      <c r="Q45" s="21"/>
      <c r="R45" s="21"/>
    </row>
    <row r="46" spans="2:18" ht="15.75" customHeight="1" x14ac:dyDescent="0.3">
      <c r="B46" s="12"/>
      <c r="C46" s="13"/>
      <c r="D46" s="14"/>
      <c r="E46" s="15"/>
      <c r="F46" s="16"/>
      <c r="G46" s="17"/>
      <c r="H46" s="18"/>
      <c r="I46" s="19"/>
      <c r="J46" s="19"/>
      <c r="K46" s="19"/>
      <c r="L46" s="19"/>
    </row>
    <row r="47" spans="2:18" ht="25.5" customHeight="1" x14ac:dyDescent="0.3">
      <c r="D47" s="484" t="s">
        <v>1344</v>
      </c>
      <c r="E47" s="476"/>
      <c r="F47" s="476"/>
      <c r="G47" s="476"/>
      <c r="H47" s="476"/>
      <c r="I47" s="476"/>
      <c r="J47" s="476"/>
      <c r="K47" s="476"/>
      <c r="L47" s="477"/>
    </row>
    <row r="48" spans="2:18" ht="15.75" customHeight="1" x14ac:dyDescent="0.3">
      <c r="D48" s="24" t="s">
        <v>1322</v>
      </c>
      <c r="E48" s="25" t="s">
        <v>1345</v>
      </c>
      <c r="F48" s="25" t="s">
        <v>1346</v>
      </c>
      <c r="G48" s="25" t="s">
        <v>1347</v>
      </c>
      <c r="H48" s="25" t="s">
        <v>1348</v>
      </c>
      <c r="I48" s="25" t="s">
        <v>1329</v>
      </c>
      <c r="J48" s="26" t="s">
        <v>1349</v>
      </c>
      <c r="K48" s="26" t="s">
        <v>1350</v>
      </c>
      <c r="L48" s="27" t="s">
        <v>1351</v>
      </c>
    </row>
    <row r="49" spans="4:15" ht="17.25" customHeight="1" x14ac:dyDescent="0.3">
      <c r="D49" s="12">
        <v>45432</v>
      </c>
      <c r="E49" s="29"/>
      <c r="F49" s="29" t="s">
        <v>1389</v>
      </c>
      <c r="G49" s="31">
        <v>22212.5</v>
      </c>
      <c r="H49" s="31">
        <f>'May-24'!$G49*0.21</f>
        <v>4664.625</v>
      </c>
      <c r="I49" s="31"/>
      <c r="J49" s="31"/>
      <c r="K49" s="31">
        <v>666.38</v>
      </c>
      <c r="L49" s="31"/>
    </row>
    <row r="50" spans="4:15" ht="17.25" customHeight="1" x14ac:dyDescent="0.3">
      <c r="D50" s="12">
        <v>45428</v>
      </c>
      <c r="E50" s="29"/>
      <c r="F50" s="29" t="s">
        <v>1389</v>
      </c>
      <c r="G50" s="31">
        <v>22150</v>
      </c>
      <c r="H50" s="31">
        <f>'May-24'!$G50*0.21</f>
        <v>4651.5</v>
      </c>
      <c r="I50" s="31"/>
      <c r="J50" s="31"/>
      <c r="K50" s="31">
        <v>664.5</v>
      </c>
      <c r="L50" s="31"/>
    </row>
    <row r="51" spans="4:15" ht="17.25" customHeight="1" x14ac:dyDescent="0.3">
      <c r="D51" s="12"/>
      <c r="E51" s="29"/>
      <c r="F51" s="29" t="s">
        <v>1389</v>
      </c>
      <c r="G51" s="31">
        <v>42912.25</v>
      </c>
      <c r="H51" s="31">
        <f>'May-24'!$G51*0.21</f>
        <v>9011.5725000000002</v>
      </c>
      <c r="I51" s="31"/>
      <c r="J51" s="31"/>
      <c r="K51" s="31">
        <v>360</v>
      </c>
      <c r="L51" s="31"/>
    </row>
    <row r="52" spans="4:15" ht="17.25" customHeight="1" x14ac:dyDescent="0.3">
      <c r="D52" s="12"/>
      <c r="E52" s="29"/>
      <c r="F52" s="29"/>
      <c r="G52" s="31">
        <v>400</v>
      </c>
      <c r="H52" s="31">
        <f>'May-24'!$G52*0.21</f>
        <v>84</v>
      </c>
      <c r="I52" s="31"/>
      <c r="J52" s="31">
        <v>27.76</v>
      </c>
      <c r="K52" s="31"/>
      <c r="L52" s="31"/>
      <c r="O52" s="11"/>
    </row>
    <row r="53" spans="4:15" ht="17.25" customHeight="1" x14ac:dyDescent="0.3">
      <c r="D53" s="12"/>
      <c r="E53" s="29"/>
      <c r="F53" s="29"/>
      <c r="G53" s="31"/>
      <c r="H53" s="31">
        <f>'May-24'!$G53*0.21</f>
        <v>0</v>
      </c>
      <c r="I53" s="31"/>
      <c r="J53" s="31"/>
      <c r="K53" s="31"/>
      <c r="L53" s="31"/>
    </row>
    <row r="54" spans="4:15" ht="17.25" customHeight="1" x14ac:dyDescent="0.3">
      <c r="D54" s="12"/>
      <c r="E54" s="29"/>
      <c r="F54" s="29"/>
      <c r="G54" s="31"/>
      <c r="H54" s="31">
        <f>'May-24'!$G54*0.21</f>
        <v>0</v>
      </c>
      <c r="I54" s="31"/>
      <c r="J54" s="31"/>
      <c r="K54" s="31"/>
      <c r="L54" s="31"/>
    </row>
    <row r="55" spans="4:15" ht="15.75" customHeight="1" x14ac:dyDescent="0.3">
      <c r="D55" s="21" t="s">
        <v>1343</v>
      </c>
      <c r="E55" s="29"/>
      <c r="F55" s="29"/>
      <c r="G55" s="31">
        <f>SUBTOTAL(109,'May-24'!$G$49:$G$54)</f>
        <v>87674.75</v>
      </c>
      <c r="H55" s="31">
        <f>SUBTOTAL(109,'May-24'!$H$49:$H$54)</f>
        <v>18411.697500000002</v>
      </c>
      <c r="I55" s="31">
        <f>SUBTOTAL(109,'May-24'!$I$49:$I$54)</f>
        <v>0</v>
      </c>
      <c r="J55" s="31">
        <f>SUBTOTAL(109,'May-24'!$J$49:$J$54)</f>
        <v>27.76</v>
      </c>
      <c r="K55" s="31">
        <f>SUBTOTAL(109,'May-24'!$K$49:$K$54)</f>
        <v>1690.88</v>
      </c>
      <c r="L55" s="31">
        <f>SUBTOTAL(109,'May-24'!$L$49:$L$54)</f>
        <v>0</v>
      </c>
    </row>
    <row r="56" spans="4:15" ht="15.75" customHeight="1" x14ac:dyDescent="0.3"/>
    <row r="57" spans="4:15" ht="15.75" customHeight="1" x14ac:dyDescent="0.3"/>
    <row r="58" spans="4:15" ht="15.75" customHeight="1" x14ac:dyDescent="0.3"/>
    <row r="59" spans="4:15" ht="15.75" customHeight="1" x14ac:dyDescent="0.3">
      <c r="D59" s="484" t="s">
        <v>1361</v>
      </c>
      <c r="E59" s="476"/>
      <c r="F59" s="476"/>
      <c r="G59" s="476"/>
      <c r="H59" s="476"/>
      <c r="I59" s="476"/>
      <c r="J59" s="476"/>
      <c r="K59" s="477"/>
    </row>
    <row r="60" spans="4:15" ht="15.75" customHeight="1" x14ac:dyDescent="0.3">
      <c r="D60" s="35" t="s">
        <v>1322</v>
      </c>
      <c r="E60" s="35" t="s">
        <v>1324</v>
      </c>
      <c r="F60" s="35" t="s">
        <v>1362</v>
      </c>
      <c r="G60" s="35" t="s">
        <v>0</v>
      </c>
      <c r="H60" s="35" t="s">
        <v>1</v>
      </c>
      <c r="I60" s="36" t="s">
        <v>1334</v>
      </c>
      <c r="J60" s="35" t="s">
        <v>1363</v>
      </c>
      <c r="K60" s="35" t="s">
        <v>1335</v>
      </c>
    </row>
    <row r="61" spans="4:15" ht="15.75" customHeight="1" x14ac:dyDescent="0.3">
      <c r="D61" s="105">
        <v>45414</v>
      </c>
      <c r="E61" s="106">
        <v>1</v>
      </c>
      <c r="F61" s="107">
        <v>36</v>
      </c>
      <c r="G61" s="108">
        <v>20365938688</v>
      </c>
      <c r="H61" s="109" t="str">
        <f>IFERROR(IF('May-24'!$G61="","-",VLOOKUP('May-24'!$G61,Lista_CUIT!$A$1:$D$2241,2,0)),"CUIT NO CARGADO")</f>
        <v>LIPANOVICH JUAN CRUZ</v>
      </c>
      <c r="I61" s="110">
        <v>750000</v>
      </c>
      <c r="J61" s="111" t="str">
        <f>IFERROR(IF('May-24'!$G61="","-",VLOOKUP('May-24'!$G61,Lista_CUIT!$A$1:$D$2241,3,0)),"CUIT NO CARGADO")</f>
        <v>SOFTWARE</v>
      </c>
      <c r="K61" s="111">
        <f>IFERROR(IF('May-24'!$G61="","-",VLOOKUP('May-24'!$G61,Lista_CUIT!$A$1:$D$2241,4,0)),"CUIT NO CARGADO")</f>
        <v>0</v>
      </c>
    </row>
    <row r="62" spans="4:15" ht="15.75" customHeight="1" x14ac:dyDescent="0.3">
      <c r="D62" s="12">
        <v>45414</v>
      </c>
      <c r="E62" s="14">
        <v>3</v>
      </c>
      <c r="F62" s="38">
        <v>849</v>
      </c>
      <c r="G62" s="39">
        <v>20086277523</v>
      </c>
      <c r="H62" s="40" t="str">
        <f>IFERROR(IF('May-24'!$G62="","-",VLOOKUP('May-24'!$G62,Lista_CUIT!$A$1:$D$2241,2,0)),"CUIT NO CARGADO")</f>
        <v>ESTUDIO BOTINDARI</v>
      </c>
      <c r="I62" s="112">
        <v>210000</v>
      </c>
      <c r="J62" s="42" t="str">
        <f>IFERROR(IF('May-24'!$G62="","-",VLOOKUP('May-24'!$G62,Lista_CUIT!$A$1:$D$2241,3,0)),"CUIT NO CARGADO")</f>
        <v>Honorarios Contables</v>
      </c>
      <c r="K62" s="42">
        <f>IFERROR(IF('May-24'!$G62="","-",VLOOKUP('May-24'!$G62,Lista_CUIT!$A$1:$D$2241,4,0)),"CUIT NO CARGADO")</f>
        <v>0</v>
      </c>
    </row>
    <row r="63" spans="4:15" ht="15.75" customHeight="1" x14ac:dyDescent="0.3">
      <c r="D63" s="12">
        <v>45414</v>
      </c>
      <c r="E63" s="14">
        <v>2</v>
      </c>
      <c r="F63" s="38">
        <v>238</v>
      </c>
      <c r="G63" s="39">
        <v>27173820866</v>
      </c>
      <c r="H63" s="40" t="str">
        <f>IFERROR(IF('May-24'!$G63="","-",VLOOKUP('May-24'!$G63,Lista_CUIT!$A$1:$D$2241,2,0)),"CUIT NO CARGADO")</f>
        <v>FREIER SANDRA DANIELA</v>
      </c>
      <c r="I63" s="112">
        <v>700000</v>
      </c>
      <c r="J63" s="42" t="str">
        <f>IFERROR(IF('May-24'!$G63="","-",VLOOKUP('May-24'!$G63,Lista_CUIT!$A$1:$D$2241,3,0)),"CUIT NO CARGADO")</f>
        <v>Honorarios Prof</v>
      </c>
      <c r="K63" s="42">
        <f>IFERROR(IF('May-24'!$G63="","-",VLOOKUP('May-24'!$G63,Lista_CUIT!$A$1:$D$2241,4,0)),"CUIT NO CARGADO")</f>
        <v>0</v>
      </c>
    </row>
    <row r="64" spans="4:15" ht="15.75" customHeight="1" x14ac:dyDescent="0.3">
      <c r="D64" s="12">
        <v>45414</v>
      </c>
      <c r="E64" s="14">
        <v>1</v>
      </c>
      <c r="F64" s="38">
        <v>25</v>
      </c>
      <c r="G64" s="39">
        <v>27387896150</v>
      </c>
      <c r="H64" s="40" t="str">
        <f>IFERROR(IF('May-24'!$G64="","-",VLOOKUP('May-24'!$G64,Lista_CUIT!$A$1:$D$2241,2,0)),"CUIT NO CARGADO")</f>
        <v>LIPANOVICH MARIA SOL</v>
      </c>
      <c r="I64" s="112">
        <v>750000</v>
      </c>
      <c r="J64" s="42" t="str">
        <f>IFERROR(IF('May-24'!$G64="","-",VLOOKUP('May-24'!$G64,Lista_CUIT!$A$1:$D$2241,3,0)),"CUIT NO CARGADO")</f>
        <v>consultoria informatica</v>
      </c>
      <c r="K64" s="42">
        <f>IFERROR(IF('May-24'!$G64="","-",VLOOKUP('May-24'!$G64,Lista_CUIT!$A$1:$D$2241,4,0)),"CUIT NO CARGADO")</f>
        <v>0</v>
      </c>
    </row>
    <row r="65" spans="2:18" ht="15.75" customHeight="1" x14ac:dyDescent="0.3">
      <c r="D65" s="12">
        <v>45415</v>
      </c>
      <c r="E65" s="14">
        <v>4</v>
      </c>
      <c r="F65" s="38">
        <v>25</v>
      </c>
      <c r="G65" s="39">
        <v>20341462933</v>
      </c>
      <c r="H65" s="40" t="str">
        <f>IFERROR(IF('May-24'!$G65="","-",VLOOKUP('May-24'!$G65,Lista_CUIT!$A$1:$D$2241,2,0)),"CUIT NO CARGADO")</f>
        <v>CASTIGLIONI MATIAS EZEQUIEL</v>
      </c>
      <c r="I65" s="112">
        <v>1015000</v>
      </c>
      <c r="J65" s="42" t="str">
        <f>IFERROR(IF('May-24'!$G65="","-",VLOOKUP('May-24'!$G65,Lista_CUIT!$A$1:$D$2241,3,0)),"CUIT NO CARGADO")</f>
        <v>ASESORAMIENTO</v>
      </c>
      <c r="K65" s="42" t="str">
        <f>IFERROR(IF('May-24'!$G65="","-",VLOOKUP('May-24'!$G65,Lista_CUIT!$A$1:$D$2241,4,0)),"CUIT NO CARGADO")</f>
        <v>BUENOS AIRES</v>
      </c>
    </row>
    <row r="66" spans="2:18" ht="15.75" customHeight="1" x14ac:dyDescent="0.3">
      <c r="D66" s="105">
        <v>45415</v>
      </c>
      <c r="E66" s="106">
        <v>2</v>
      </c>
      <c r="F66" s="107">
        <v>134</v>
      </c>
      <c r="G66" s="108">
        <v>27125997835</v>
      </c>
      <c r="H66" s="109" t="str">
        <f>IFERROR(IF('May-24'!$G66="","-",VLOOKUP('May-24'!$G66,Lista_CUIT!$A$1:$D$2241,2,0)),"CUIT NO CARGADO")</f>
        <v>DANSKY ULLMANN VIVIANA EVA YOLANDA</v>
      </c>
      <c r="I66" s="110">
        <v>35000</v>
      </c>
      <c r="J66" s="111" t="str">
        <f>IFERROR(IF('May-24'!$G66="","-",VLOOKUP('May-24'!$G66,Lista_CUIT!$A$1:$D$2241,3,0)),"CUIT NO CARGADO")</f>
        <v>Honorarios Prof</v>
      </c>
      <c r="K66" s="111">
        <f>IFERROR(IF('May-24'!$G66="","-",VLOOKUP('May-24'!$G66,Lista_CUIT!$A$1:$D$2241,4,0)),"CUIT NO CARGADO")</f>
        <v>0</v>
      </c>
    </row>
    <row r="67" spans="2:18" ht="15.75" customHeight="1" x14ac:dyDescent="0.3">
      <c r="D67" s="12">
        <v>45419</v>
      </c>
      <c r="E67" s="14">
        <v>2</v>
      </c>
      <c r="F67" s="38">
        <v>3</v>
      </c>
      <c r="G67" s="39">
        <v>23118167279</v>
      </c>
      <c r="H67" s="40" t="str">
        <f>IFERROR(IF('May-24'!$G67="","-",VLOOKUP('May-24'!$G67,Lista_CUIT!$A$1:$D$2241,2,0)),"CUIT NO CARGADO")</f>
        <v>ABELEDO ENRIQUE JUAN</v>
      </c>
      <c r="I67" s="112">
        <v>780000</v>
      </c>
      <c r="J67" s="42" t="str">
        <f>IFERROR(IF('May-24'!$G67="","-",VLOOKUP('May-24'!$G67,Lista_CUIT!$A$1:$D$2241,3,0)),"CUIT NO CARGADO")</f>
        <v>Honorarios Admin</v>
      </c>
      <c r="K67" s="42">
        <f>IFERROR(IF('May-24'!$G67="","-",VLOOKUP('May-24'!$G67,Lista_CUIT!$A$1:$D$2241,4,0)),"CUIT NO CARGADO")</f>
        <v>0</v>
      </c>
    </row>
    <row r="68" spans="2:18" ht="15.75" customHeight="1" x14ac:dyDescent="0.3">
      <c r="D68" s="105">
        <v>45420</v>
      </c>
      <c r="E68" s="106">
        <v>2</v>
      </c>
      <c r="F68" s="107">
        <v>98477</v>
      </c>
      <c r="G68" s="108">
        <v>30554466806</v>
      </c>
      <c r="H68" s="109" t="str">
        <f>IFERROR(IF('May-24'!$G68="","-",VLOOKUP('May-24'!$G68,Lista_CUIT!$A$1:$D$2241,2,0)),"CUIT NO CARGADO")</f>
        <v>ASOCIACION DE IMPORTADORES Y EXPORTADORES DE LA REPUBLICA ARGENTINA</v>
      </c>
      <c r="I68" s="110">
        <v>10000</v>
      </c>
      <c r="J68" s="111" t="str">
        <f>IFERROR(IF('May-24'!$G68="","-",VLOOKUP('May-24'!$G68,Lista_CUIT!$A$1:$D$2241,3,0)),"CUIT NO CARGADO")</f>
        <v>FLETE-LOGISTICA</v>
      </c>
      <c r="K68" s="111">
        <f>IFERROR(IF('May-24'!$G68="","-",VLOOKUP('May-24'!$G68,Lista_CUIT!$A$1:$D$2241,4,0)),"CUIT NO CARGADO")</f>
        <v>0</v>
      </c>
    </row>
    <row r="69" spans="2:18" ht="15.75" customHeight="1" x14ac:dyDescent="0.3">
      <c r="D69" s="12">
        <v>45420</v>
      </c>
      <c r="E69" s="14">
        <v>2</v>
      </c>
      <c r="F69" s="38">
        <v>171</v>
      </c>
      <c r="G69" s="39">
        <v>20136544625</v>
      </c>
      <c r="H69" s="40" t="str">
        <f>IFERROR(IF('May-24'!$G69="","-",VLOOKUP('May-24'!$G69,Lista_CUIT!$A$1:$D$2241,2,0)),"CUIT NO CARGADO")</f>
        <v>RODRIGUEZ DE LA FUEN HECTOR MARCELO</v>
      </c>
      <c r="I69" s="112">
        <v>1000000</v>
      </c>
      <c r="J69" s="42" t="str">
        <f>IFERROR(IF('May-24'!$G69="","-",VLOOKUP('May-24'!$G69,Lista_CUIT!$A$1:$D$2241,3,0)),"CUIT NO CARGADO")</f>
        <v>Honorarios Admin</v>
      </c>
      <c r="K69" s="42">
        <f>IFERROR(IF('May-24'!$G69="","-",VLOOKUP('May-24'!$G69,Lista_CUIT!$A$1:$D$2241,4,0)),"CUIT NO CARGADO")</f>
        <v>0</v>
      </c>
    </row>
    <row r="70" spans="2:18" ht="15.75" customHeight="1" x14ac:dyDescent="0.3">
      <c r="D70" s="12">
        <v>45422</v>
      </c>
      <c r="E70" s="14">
        <v>2</v>
      </c>
      <c r="F70" s="38">
        <v>780</v>
      </c>
      <c r="G70" s="39">
        <v>20400104094</v>
      </c>
      <c r="H70" s="40" t="str">
        <f>IFERROR(IF('May-24'!$G70="","-",VLOOKUP('May-24'!$G70,Lista_CUIT!$A$1:$D$2241,2,0)),"CUIT NO CARGADO")</f>
        <v>FEDERICO BOTINDARI</v>
      </c>
      <c r="I70" s="112">
        <v>50368.5</v>
      </c>
      <c r="J70" s="42" t="str">
        <f>IFERROR(IF('May-24'!$G70="","-",VLOOKUP('May-24'!$G70,Lista_CUIT!$A$1:$D$2241,3,0)),"CUIT NO CARGADO")</f>
        <v>Honorarios Contables</v>
      </c>
      <c r="K70" s="42">
        <f>IFERROR(IF('May-24'!$G70="","-",VLOOKUP('May-24'!$G70,Lista_CUIT!$A$1:$D$2241,4,0)),"CUIT NO CARGADO")</f>
        <v>0</v>
      </c>
    </row>
    <row r="71" spans="2:18" ht="15.75" customHeight="1" x14ac:dyDescent="0.3">
      <c r="D71" s="105">
        <v>45427</v>
      </c>
      <c r="E71" s="106">
        <v>1</v>
      </c>
      <c r="F71" s="107">
        <v>1442346</v>
      </c>
      <c r="G71" s="108">
        <v>30714928577</v>
      </c>
      <c r="H71" s="109" t="str">
        <f>IFERROR(IF('May-24'!$G71="","-",VLOOKUP('May-24'!$G71,Lista_CUIT!$A$1:$D$2241,2,0)),"CUIT NO CARGADO")</f>
        <v>SIMPLEX VILLI SA</v>
      </c>
      <c r="I71" s="110">
        <v>9408</v>
      </c>
      <c r="J71" s="111" t="str">
        <f>IFERROR(IF('May-24'!$G71="","-",VLOOKUP('May-24'!$G71,Lista_CUIT!$A$1:$D$2241,3,0)),"CUIT NO CARGADO")</f>
        <v>Gastos Oficina</v>
      </c>
      <c r="K71" s="111">
        <f>IFERROR(IF('May-24'!$G71="","-",VLOOKUP('May-24'!$G71,Lista_CUIT!$A$1:$D$2241,4,0)),"CUIT NO CARGADO")</f>
        <v>0</v>
      </c>
    </row>
    <row r="72" spans="2:18" ht="15.75" customHeight="1" x14ac:dyDescent="0.3">
      <c r="D72" s="12">
        <v>45432</v>
      </c>
      <c r="E72" s="14">
        <v>1</v>
      </c>
      <c r="F72" s="38">
        <v>431</v>
      </c>
      <c r="G72" s="39">
        <v>27925308868</v>
      </c>
      <c r="H72" s="40" t="str">
        <f>IFERROR(IF('May-24'!$G72="","-",VLOOKUP('May-24'!$G72,Lista_CUIT!$A$1:$D$2241,2,0)),"CUIT NO CARGADO")</f>
        <v>LOPEZ MOLINA MARIA</v>
      </c>
      <c r="I72" s="112">
        <v>10000</v>
      </c>
      <c r="J72" s="42" t="str">
        <f>IFERROR(IF('May-24'!$G72="","-",VLOOKUP('May-24'!$G72,Lista_CUIT!$A$1:$D$2241,3,0)),"CUIT NO CARGADO")</f>
        <v>GASTOS VARIOS</v>
      </c>
      <c r="K72" s="42">
        <f>IFERROR(IF('May-24'!$G72="","-",VLOOKUP('May-24'!$G72,Lista_CUIT!$A$1:$D$2241,4,0)),"CUIT NO CARGADO")</f>
        <v>0</v>
      </c>
    </row>
    <row r="73" spans="2:18" ht="15.75" customHeight="1" x14ac:dyDescent="0.3">
      <c r="D73" s="105">
        <v>45435</v>
      </c>
      <c r="E73" s="106">
        <v>18</v>
      </c>
      <c r="F73" s="107">
        <v>707805</v>
      </c>
      <c r="G73" s="108">
        <v>30717046591</v>
      </c>
      <c r="H73" s="109" t="str">
        <f>IFERROR(IF('May-24'!$G73="","-",VLOOKUP('May-24'!$G73,Lista_CUIT!$A$1:$D$2241,2,0)),"CUIT NO CARGADO")</f>
        <v>PEDIDOS FARMA SA</v>
      </c>
      <c r="I73" s="110">
        <v>23244</v>
      </c>
      <c r="J73" s="111" t="str">
        <f>IFERROR(IF('May-24'!$G73="","-",VLOOKUP('May-24'!$G73,Lista_CUIT!$A$1:$D$2241,3,0)),"CUIT NO CARGADO")</f>
        <v>GASTOS VARIOS</v>
      </c>
      <c r="K73" s="111">
        <f>IFERROR(IF('May-24'!$G73="","-",VLOOKUP('May-24'!$G73,Lista_CUIT!$A$1:$D$2241,4,0)),"CUIT NO CARGADO")</f>
        <v>0</v>
      </c>
    </row>
    <row r="74" spans="2:18" ht="15.75" customHeight="1" x14ac:dyDescent="0.3">
      <c r="D74" s="105">
        <v>45439</v>
      </c>
      <c r="E74" s="106">
        <v>9</v>
      </c>
      <c r="F74" s="107">
        <v>58824</v>
      </c>
      <c r="G74" s="108">
        <v>30714265675</v>
      </c>
      <c r="H74" s="109" t="str">
        <f>IFERROR(IF('May-24'!$G74="","-",VLOOKUP('May-24'!$G74,Lista_CUIT!$A$1:$D$2241,2,0)),"CUIT NO CARGADO")</f>
        <v>TIENDA OHANA SRL</v>
      </c>
      <c r="I74" s="110">
        <v>9700</v>
      </c>
      <c r="J74" s="111" t="str">
        <f>IFERROR(IF('May-24'!$G74="","-",VLOOKUP('May-24'!$G74,Lista_CUIT!$A$1:$D$2241,3,0)),"CUIT NO CARGADO")</f>
        <v>GASTOS VARIOS</v>
      </c>
      <c r="K74" s="111">
        <f>IFERROR(IF('May-24'!$G74="","-",VLOOKUP('May-24'!$G74,Lista_CUIT!$A$1:$D$2241,4,0)),"CUIT NO CARGADO")</f>
        <v>0</v>
      </c>
    </row>
    <row r="75" spans="2:18" ht="15.75" customHeight="1" x14ac:dyDescent="0.3">
      <c r="D75" s="105">
        <v>45441</v>
      </c>
      <c r="E75" s="106">
        <v>9</v>
      </c>
      <c r="F75" s="107">
        <v>4305086</v>
      </c>
      <c r="G75" s="108">
        <v>33715179119</v>
      </c>
      <c r="H75" s="109" t="str">
        <f>IFERROR(IF('May-24'!$G75="","-",VLOOKUP('May-24'!$G75,Lista_CUIT!$A$1:$D$2241,2,0)),"CUIT NO CARGADO")</f>
        <v>FONDO DE COOPERACION TECNICA Y FINANCIERA - CECBA - SL Y T - LEY 23.412</v>
      </c>
      <c r="I75" s="110">
        <v>8500</v>
      </c>
      <c r="J75" s="111" t="str">
        <f>IFERROR(IF('May-24'!$G75="","-",VLOOKUP('May-24'!$G75,Lista_CUIT!$A$1:$D$2241,3,0)),"CUIT NO CARGADO")</f>
        <v>Servicios Informaticos</v>
      </c>
      <c r="K75" s="111">
        <f>IFERROR(IF('May-24'!$G75="","-",VLOOKUP('May-24'!$G75,Lista_CUIT!$A$1:$D$2241,4,0)),"CUIT NO CARGADO")</f>
        <v>0</v>
      </c>
    </row>
    <row r="76" spans="2:18" ht="15.75" customHeight="1" x14ac:dyDescent="0.3">
      <c r="D76" s="113"/>
      <c r="E76" s="114"/>
      <c r="F76" s="114"/>
      <c r="G76" s="115"/>
      <c r="H76" s="116" t="str">
        <f>IFERROR(IF('May-24'!$G76="","-",VLOOKUP('May-24'!$G76,Lista_CUIT!$A$1:$D$2241,2,0)),"CUIT NO CARGADO")</f>
        <v>-</v>
      </c>
      <c r="I76" s="117"/>
      <c r="J76" s="118" t="str">
        <f>IFERROR(IF('May-24'!$G76="","-",VLOOKUP('May-24'!$G76,Lista_CUIT!$A$1:$D$2241,3,0)),"CUIT NO CARGADO")</f>
        <v>-</v>
      </c>
      <c r="K76" s="118" t="str">
        <f>IFERROR(IF('May-24'!$G76="","-",VLOOKUP('May-24'!$G76,Lista_CUIT!$A$1:$D$2241,4,0)),"CUIT NO CARGADO")</f>
        <v>-</v>
      </c>
    </row>
    <row r="77" spans="2:18" ht="15.75" customHeight="1" x14ac:dyDescent="0.3">
      <c r="D77" s="113"/>
      <c r="E77" s="114"/>
      <c r="F77" s="114"/>
      <c r="G77" s="115"/>
      <c r="H77" s="116" t="str">
        <f>IFERROR(IF('May-24'!$G77="","-",VLOOKUP('May-24'!$G77,Lista_CUIT!$A$1:$D$2241,2,0)),"CUIT NO CARGADO")</f>
        <v>-</v>
      </c>
      <c r="I77" s="117"/>
      <c r="J77" s="118" t="str">
        <f>IFERROR(IF('May-24'!$G77="","-",VLOOKUP('May-24'!$G77,Lista_CUIT!$A$1:$D$2241,3,0)),"CUIT NO CARGADO")</f>
        <v>-</v>
      </c>
      <c r="K77" s="118" t="str">
        <f>IFERROR(IF('May-24'!$G77="","-",VLOOKUP('May-24'!$G77,Lista_CUIT!$A$1:$D$2241,4,0)),"CUIT NO CARGADO")</f>
        <v>-</v>
      </c>
    </row>
    <row r="78" spans="2:18" ht="15.75" customHeight="1" x14ac:dyDescent="0.3">
      <c r="D78" s="42" t="s">
        <v>1343</v>
      </c>
      <c r="E78" s="42"/>
      <c r="F78" s="42"/>
      <c r="G78" s="42"/>
      <c r="H78" s="44"/>
      <c r="I78" s="41">
        <f>SUBTOTAL(109,'May-24'!$I$61:$I$77)</f>
        <v>5361220.5</v>
      </c>
      <c r="J78" s="42"/>
      <c r="K78" s="42"/>
    </row>
    <row r="79" spans="2:18" ht="15.75" customHeight="1" x14ac:dyDescent="0.3">
      <c r="B79" s="43"/>
      <c r="C79" s="43"/>
      <c r="G79" s="1"/>
      <c r="L79" s="43"/>
      <c r="M79" s="43"/>
      <c r="N79" s="43"/>
      <c r="O79" s="43"/>
      <c r="P79" s="43"/>
      <c r="Q79" s="43"/>
      <c r="R79" s="43"/>
    </row>
    <row r="80" spans="2:18" ht="15.75" customHeight="1" x14ac:dyDescent="0.3"/>
    <row r="81" spans="2:13" ht="15.75" customHeight="1" x14ac:dyDescent="0.3"/>
    <row r="82" spans="2:13" ht="15.75" customHeight="1" x14ac:dyDescent="0.3"/>
    <row r="83" spans="2:13" ht="15.75" customHeight="1" x14ac:dyDescent="0.3"/>
    <row r="84" spans="2:13" ht="15.75" customHeight="1" x14ac:dyDescent="0.3">
      <c r="B84" s="492" t="s">
        <v>1364</v>
      </c>
      <c r="C84" s="476"/>
      <c r="D84" s="476"/>
      <c r="E84" s="476"/>
      <c r="F84" s="476"/>
      <c r="G84" s="476"/>
      <c r="H84" s="476"/>
      <c r="I84" s="476"/>
      <c r="J84" s="477"/>
      <c r="K84" s="493">
        <f>N1</f>
        <v>45413</v>
      </c>
      <c r="L84" s="476"/>
      <c r="M84" s="477"/>
    </row>
    <row r="85" spans="2:13" ht="15.75" customHeight="1" x14ac:dyDescent="0.3"/>
    <row r="86" spans="2:13" ht="15.75" customHeight="1" x14ac:dyDescent="0.3">
      <c r="B86" s="485" t="s">
        <v>1365</v>
      </c>
      <c r="C86" s="486"/>
    </row>
    <row r="87" spans="2:13" ht="15.75" customHeight="1" x14ac:dyDescent="0.3">
      <c r="B87" s="45" t="s">
        <v>1322</v>
      </c>
      <c r="C87" s="46" t="s">
        <v>1323</v>
      </c>
      <c r="D87" s="46" t="s">
        <v>1366</v>
      </c>
      <c r="E87" s="46" t="s">
        <v>1367</v>
      </c>
      <c r="F87" s="46" t="s">
        <v>0</v>
      </c>
      <c r="G87" s="46" t="s">
        <v>1</v>
      </c>
      <c r="H87" s="46" t="s">
        <v>1368</v>
      </c>
      <c r="I87" s="46" t="s">
        <v>1348</v>
      </c>
      <c r="J87" s="46" t="s">
        <v>1329</v>
      </c>
      <c r="K87" s="46" t="s">
        <v>1369</v>
      </c>
      <c r="L87" s="46" t="s">
        <v>1334</v>
      </c>
      <c r="M87" s="47" t="s">
        <v>1335</v>
      </c>
    </row>
    <row r="88" spans="2:13" ht="15.75" customHeight="1" x14ac:dyDescent="0.3">
      <c r="B88" s="12">
        <v>45414</v>
      </c>
      <c r="C88" s="13">
        <v>1</v>
      </c>
      <c r="D88" s="14">
        <v>3</v>
      </c>
      <c r="E88" s="119">
        <v>188</v>
      </c>
      <c r="F88" s="16">
        <v>30638318470</v>
      </c>
      <c r="G88" s="120" t="str">
        <f>IFERROR(IF('May-24'!$F88="","-",VLOOKUP('May-24'!$F88,Lista_CUIT!$A$1:$D$2241,2,0)),"CUIT NO CARGADO")</f>
        <v>DELTA COMPRESION S R L</v>
      </c>
      <c r="H88" s="49">
        <v>32300970</v>
      </c>
      <c r="I88" s="50">
        <f>13306995*0.21</f>
        <v>2794468.9499999997</v>
      </c>
      <c r="J88" s="51">
        <v>1994371.86</v>
      </c>
      <c r="K88" s="51"/>
      <c r="L88" s="51">
        <f>SUM('May-24'!$H88:$K88)</f>
        <v>37089810.810000002</v>
      </c>
      <c r="M88" s="52"/>
    </row>
    <row r="89" spans="2:13" ht="15.75" customHeight="1" x14ac:dyDescent="0.3">
      <c r="B89" s="12">
        <v>45421</v>
      </c>
      <c r="C89" s="13">
        <v>1</v>
      </c>
      <c r="D89" s="14">
        <v>3</v>
      </c>
      <c r="E89" s="15">
        <v>189</v>
      </c>
      <c r="F89" s="16">
        <v>30628274327</v>
      </c>
      <c r="G89" s="120" t="str">
        <f>IFERROR(IF('May-24'!$F89="","-",VLOOKUP('May-24'!$F89,Lista_CUIT!$A$1:$D$2241,2,0)),"CUIT NO CARGADO")</f>
        <v>AGIRA  S A</v>
      </c>
      <c r="H89" s="49">
        <v>90100</v>
      </c>
      <c r="I89" s="50">
        <f>'May-24'!$H89*0.21</f>
        <v>18921</v>
      </c>
      <c r="J89" s="51"/>
      <c r="K89" s="51"/>
      <c r="L89" s="51">
        <f>SUM('May-24'!$H89:$K89)</f>
        <v>109021</v>
      </c>
      <c r="M89" s="52"/>
    </row>
    <row r="90" spans="2:13" ht="15.75" customHeight="1" x14ac:dyDescent="0.3">
      <c r="B90" s="62">
        <v>45421</v>
      </c>
      <c r="C90" s="63">
        <v>1</v>
      </c>
      <c r="D90" s="64">
        <v>3</v>
      </c>
      <c r="E90" s="121">
        <v>190</v>
      </c>
      <c r="F90" s="66">
        <v>30638318470</v>
      </c>
      <c r="G90" s="120" t="str">
        <f>IFERROR(IF('May-24'!$F90="","-",VLOOKUP('May-24'!$F90,Lista_CUIT!$A$1:$D$2241,2,0)),"CUIT NO CARGADO")</f>
        <v>DELTA COMPRESION S R L</v>
      </c>
      <c r="H90" s="49">
        <v>2443061.5</v>
      </c>
      <c r="I90" s="50">
        <f>1081200*0.21</f>
        <v>227052</v>
      </c>
      <c r="J90" s="51">
        <v>142997.71</v>
      </c>
      <c r="K90" s="51"/>
      <c r="L90" s="51">
        <f>SUM('May-24'!$H90:$K90)</f>
        <v>2813111.21</v>
      </c>
      <c r="M90" s="52"/>
    </row>
    <row r="91" spans="2:13" ht="15.75" customHeight="1" x14ac:dyDescent="0.3">
      <c r="B91" s="62">
        <v>45428</v>
      </c>
      <c r="C91" s="63">
        <v>1</v>
      </c>
      <c r="D91" s="64">
        <v>3</v>
      </c>
      <c r="E91" s="121">
        <v>193</v>
      </c>
      <c r="F91" s="66">
        <v>30718512545</v>
      </c>
      <c r="G91" s="120" t="str">
        <f>IFERROR(IF('May-24'!$F91="","-",VLOOKUP('May-24'!$F91,Lista_CUIT!$A$1:$D$2241,2,0)),"CUIT NO CARGADO")</f>
        <v>MAJUBEN MDP SERVICIOS S.R.L.</v>
      </c>
      <c r="H91" s="49">
        <v>4977500</v>
      </c>
      <c r="I91" s="50"/>
      <c r="J91" s="51">
        <f>'May-24'!$H91*0.105</f>
        <v>522637.5</v>
      </c>
      <c r="K91" s="51"/>
      <c r="L91" s="51">
        <f>SUM('May-24'!$H91:$K91)</f>
        <v>5500137.5</v>
      </c>
      <c r="M91" s="52"/>
    </row>
    <row r="92" spans="2:13" ht="15.75" customHeight="1" x14ac:dyDescent="0.3">
      <c r="B92" s="62">
        <v>45428</v>
      </c>
      <c r="C92" s="63">
        <v>1</v>
      </c>
      <c r="D92" s="64">
        <v>3</v>
      </c>
      <c r="E92" s="65">
        <v>192</v>
      </c>
      <c r="F92" s="66">
        <v>20228469492</v>
      </c>
      <c r="G92" s="120" t="str">
        <f>IFERROR(IF('May-24'!$F92="","-",VLOOKUP('May-24'!$F92,Lista_CUIT!$A$1:$D$2241,2,0)),"CUIT NO CARGADO")</f>
        <v>DOMINGUEZ LAGANA GONZALO FABIAN</v>
      </c>
      <c r="H92" s="49">
        <v>3122250</v>
      </c>
      <c r="I92" s="50">
        <f>'May-24'!$H92*0.21</f>
        <v>655672.5</v>
      </c>
      <c r="J92" s="51"/>
      <c r="K92" s="51"/>
      <c r="L92" s="51">
        <f>SUM('May-24'!$H92:$K92)</f>
        <v>3777922.5</v>
      </c>
      <c r="M92" s="52"/>
    </row>
    <row r="93" spans="2:13" ht="15.75" customHeight="1" x14ac:dyDescent="0.3">
      <c r="B93" s="62">
        <v>45428</v>
      </c>
      <c r="C93" s="63">
        <v>1</v>
      </c>
      <c r="D93" s="64">
        <v>3</v>
      </c>
      <c r="E93" s="65">
        <v>191</v>
      </c>
      <c r="F93" s="66">
        <v>30628274327</v>
      </c>
      <c r="G93" s="120" t="str">
        <f>IFERROR(IF('May-24'!$F93="","-",VLOOKUP('May-24'!$F93,Lista_CUIT!$A$1:$D$2241,2,0)),"CUIT NO CARGADO")</f>
        <v>AGIRA  S A</v>
      </c>
      <c r="H93" s="49">
        <v>362000</v>
      </c>
      <c r="I93" s="50">
        <f>'May-24'!$H93*0.21</f>
        <v>76020</v>
      </c>
      <c r="J93" s="51"/>
      <c r="K93" s="51"/>
      <c r="L93" s="51">
        <f>SUM('May-24'!$H93:$K93)</f>
        <v>438020</v>
      </c>
      <c r="M93" s="52"/>
    </row>
    <row r="94" spans="2:13" ht="15.75" customHeight="1" x14ac:dyDescent="0.3">
      <c r="B94" s="62">
        <v>45432</v>
      </c>
      <c r="C94" s="63">
        <v>1</v>
      </c>
      <c r="D94" s="64">
        <v>3</v>
      </c>
      <c r="E94" s="65">
        <v>194</v>
      </c>
      <c r="F94" s="66">
        <v>20228469492</v>
      </c>
      <c r="G94" s="120" t="str">
        <f>IFERROR(IF('May-24'!$F94="","-",VLOOKUP('May-24'!$F94,Lista_CUIT!$A$1:$D$2241,2,0)),"CUIT NO CARGADO")</f>
        <v>DOMINGUEZ LAGANA GONZALO FABIAN</v>
      </c>
      <c r="H94" s="49">
        <v>2086100</v>
      </c>
      <c r="I94" s="50">
        <f>'May-24'!$H94*0.21</f>
        <v>438081</v>
      </c>
      <c r="J94" s="51"/>
      <c r="K94" s="51"/>
      <c r="L94" s="51">
        <f>SUM('May-24'!$H94:$K94)</f>
        <v>2524181</v>
      </c>
      <c r="M94" s="52"/>
    </row>
    <row r="95" spans="2:13" ht="15.75" customHeight="1" x14ac:dyDescent="0.3">
      <c r="B95" s="62">
        <v>45432</v>
      </c>
      <c r="C95" s="63">
        <v>3</v>
      </c>
      <c r="D95" s="64">
        <v>3</v>
      </c>
      <c r="E95" s="65">
        <v>20</v>
      </c>
      <c r="F95" s="66">
        <v>20228469492</v>
      </c>
      <c r="G95" s="120" t="str">
        <f>IFERROR(IF('May-24'!$F95="","-",VLOOKUP('May-24'!$F95,Lista_CUIT!$A$1:$D$2241,2,0)),"CUIT NO CARGADO")</f>
        <v>DOMINGUEZ LAGANA GONZALO FABIAN</v>
      </c>
      <c r="H95" s="49">
        <v>-3122250</v>
      </c>
      <c r="I95" s="50">
        <f>'May-24'!$H95*0.21</f>
        <v>-655672.5</v>
      </c>
      <c r="J95" s="51"/>
      <c r="K95" s="51"/>
      <c r="L95" s="51">
        <f>SUM('May-24'!$H95:$K95)</f>
        <v>-3777922.5</v>
      </c>
      <c r="M95" s="52"/>
    </row>
    <row r="96" spans="2:13" ht="15.75" customHeight="1" x14ac:dyDescent="0.3">
      <c r="B96" s="62">
        <v>45433</v>
      </c>
      <c r="C96" s="63">
        <v>1</v>
      </c>
      <c r="D96" s="64">
        <v>3</v>
      </c>
      <c r="E96" s="65">
        <v>195</v>
      </c>
      <c r="F96" s="66">
        <v>30638318470</v>
      </c>
      <c r="G96" s="120" t="str">
        <f>IFERROR(IF('May-24'!$F96="","-",VLOOKUP('May-24'!$F96,Lista_CUIT!$A$1:$D$2241,2,0)),"CUIT NO CARGADO")</f>
        <v>DELTA COMPRESION S R L</v>
      </c>
      <c r="H96" s="49">
        <v>19226900</v>
      </c>
      <c r="I96" s="50"/>
      <c r="J96" s="51">
        <f>'May-24'!$H96*0.105</f>
        <v>2018824.5</v>
      </c>
      <c r="K96" s="51"/>
      <c r="L96" s="51">
        <f>SUM('May-24'!$H96:$K96)</f>
        <v>21245724.5</v>
      </c>
      <c r="M96" s="52"/>
    </row>
    <row r="97" spans="2:13" ht="15.75" customHeight="1" x14ac:dyDescent="0.3">
      <c r="B97" s="62">
        <v>45435</v>
      </c>
      <c r="C97" s="63">
        <v>1</v>
      </c>
      <c r="D97" s="64">
        <v>3</v>
      </c>
      <c r="E97" s="65">
        <v>196</v>
      </c>
      <c r="F97" s="66">
        <v>30718512545</v>
      </c>
      <c r="G97" s="120" t="str">
        <f>IFERROR(IF('May-24'!$F97="","-",VLOOKUP('May-24'!$F97,Lista_CUIT!$A$1:$D$2241,2,0)),"CUIT NO CARGADO")</f>
        <v>MAJUBEN MDP SERVICIOS S.R.L.</v>
      </c>
      <c r="H97" s="49">
        <v>363600</v>
      </c>
      <c r="I97" s="50">
        <f>'May-24'!$H97*0.21</f>
        <v>76356</v>
      </c>
      <c r="J97" s="51"/>
      <c r="K97" s="51"/>
      <c r="L97" s="51">
        <f>SUM('May-24'!$H97:$K97)</f>
        <v>439956</v>
      </c>
      <c r="M97" s="52"/>
    </row>
    <row r="98" spans="2:13" ht="15.75" customHeight="1" x14ac:dyDescent="0.3">
      <c r="B98" s="62">
        <v>45443</v>
      </c>
      <c r="C98" s="63">
        <v>1</v>
      </c>
      <c r="D98" s="64">
        <v>3</v>
      </c>
      <c r="E98" s="65">
        <v>197</v>
      </c>
      <c r="F98" s="66">
        <v>30638318470</v>
      </c>
      <c r="G98" s="120" t="str">
        <f>IFERROR(IF('May-24'!$F98="","-",VLOOKUP('May-24'!$F98,Lista_CUIT!$A$1:$D$2241,2,0)),"CUIT NO CARGADO")</f>
        <v>DELTA COMPRESION S R L</v>
      </c>
      <c r="H98" s="49">
        <v>23224740</v>
      </c>
      <c r="I98" s="50"/>
      <c r="J98" s="51">
        <f>'May-24'!$H98*0.105</f>
        <v>2438597.6999999997</v>
      </c>
      <c r="K98" s="51"/>
      <c r="L98" s="51">
        <f>SUM('May-24'!$H98:$K98)</f>
        <v>25663337.699999999</v>
      </c>
      <c r="M98" s="52"/>
    </row>
    <row r="99" spans="2:13" ht="15.75" customHeight="1" x14ac:dyDescent="0.3">
      <c r="B99" s="62"/>
      <c r="C99" s="63"/>
      <c r="D99" s="64"/>
      <c r="E99" s="65"/>
      <c r="F99" s="66"/>
      <c r="G99" s="120" t="str">
        <f>IFERROR(IF('May-24'!$F99="","-",VLOOKUP('May-24'!$F99,Lista_CUIT!$A$1:$D$2241,2,0)),"CUIT NO CARGADO")</f>
        <v>-</v>
      </c>
      <c r="H99" s="49"/>
      <c r="I99" s="50">
        <f>'May-24'!$H99*0.21</f>
        <v>0</v>
      </c>
      <c r="J99" s="51"/>
      <c r="K99" s="51"/>
      <c r="L99" s="51">
        <f>SUM('May-24'!$H99:$K99)</f>
        <v>0</v>
      </c>
      <c r="M99" s="52"/>
    </row>
    <row r="100" spans="2:13" ht="15.75" customHeight="1" x14ac:dyDescent="0.3">
      <c r="B100" s="62"/>
      <c r="C100" s="63"/>
      <c r="D100" s="64"/>
      <c r="E100" s="65"/>
      <c r="F100" s="66"/>
      <c r="G100" s="120" t="str">
        <f>IFERROR(IF('May-24'!$F100="","-",VLOOKUP('May-24'!$F100,Lista_CUIT!$A$1:$D$2241,2,0)),"CUIT NO CARGADO")</f>
        <v>-</v>
      </c>
      <c r="H100" s="49"/>
      <c r="I100" s="50">
        <f>'May-24'!$H100*0.21</f>
        <v>0</v>
      </c>
      <c r="J100" s="51"/>
      <c r="K100" s="51"/>
      <c r="L100" s="51">
        <f>SUM('May-24'!$H100:$K100)</f>
        <v>0</v>
      </c>
      <c r="M100" s="52"/>
    </row>
    <row r="101" spans="2:13" ht="15.75" customHeight="1" x14ac:dyDescent="0.3">
      <c r="B101" s="62"/>
      <c r="C101" s="63"/>
      <c r="D101" s="64"/>
      <c r="E101" s="65"/>
      <c r="F101" s="66"/>
      <c r="G101" s="120" t="str">
        <f>IFERROR(IF('May-24'!$F101="","-",VLOOKUP('May-24'!$F101,Lista_CUIT!$A$1:$D$2241,2,0)),"CUIT NO CARGADO")</f>
        <v>-</v>
      </c>
      <c r="H101" s="49"/>
      <c r="I101" s="50">
        <f>'May-24'!$H101*0.21</f>
        <v>0</v>
      </c>
      <c r="J101" s="51"/>
      <c r="K101" s="51"/>
      <c r="L101" s="51">
        <f>SUM('May-24'!$H101:$K101)</f>
        <v>0</v>
      </c>
      <c r="M101" s="52"/>
    </row>
    <row r="102" spans="2:13" ht="15.75" customHeight="1" x14ac:dyDescent="0.3">
      <c r="B102" s="62"/>
      <c r="C102" s="63"/>
      <c r="D102" s="64"/>
      <c r="E102" s="65"/>
      <c r="F102" s="66"/>
      <c r="G102" s="120" t="str">
        <f>IFERROR(IF('May-24'!$F102="","-",VLOOKUP('May-24'!$F102,Lista_CUIT!$A$1:$D$2241,2,0)),"CUIT NO CARGADO")</f>
        <v>-</v>
      </c>
      <c r="H102" s="49"/>
      <c r="I102" s="50">
        <f>'May-24'!$H102*0.21</f>
        <v>0</v>
      </c>
      <c r="J102" s="51"/>
      <c r="K102" s="51"/>
      <c r="L102" s="51">
        <f>SUM('May-24'!$H102:$K102)</f>
        <v>0</v>
      </c>
      <c r="M102" s="52"/>
    </row>
    <row r="103" spans="2:13" ht="15.75" customHeight="1" x14ac:dyDescent="0.3">
      <c r="B103" s="62"/>
      <c r="C103" s="63"/>
      <c r="D103" s="64"/>
      <c r="E103" s="65"/>
      <c r="F103" s="66"/>
      <c r="G103" s="120" t="str">
        <f>IFERROR(IF('May-24'!$F103="","-",VLOOKUP('May-24'!$F103,Lista_CUIT!$A$1:$D$2241,2,0)),"CUIT NO CARGADO")</f>
        <v>-</v>
      </c>
      <c r="H103" s="49"/>
      <c r="I103" s="50">
        <f>'May-24'!$H103*0.21</f>
        <v>0</v>
      </c>
      <c r="J103" s="51"/>
      <c r="K103" s="51"/>
      <c r="L103" s="51">
        <f>SUM('May-24'!$H103:$K103)</f>
        <v>0</v>
      </c>
      <c r="M103" s="52"/>
    </row>
    <row r="104" spans="2:13" ht="15.75" customHeight="1" x14ac:dyDescent="0.3">
      <c r="B104" s="68" t="s">
        <v>1343</v>
      </c>
      <c r="C104" s="69"/>
      <c r="D104" s="69"/>
      <c r="E104" s="69"/>
      <c r="F104" s="69"/>
      <c r="G104" s="69"/>
      <c r="H104" s="71">
        <f>SUBTOTAL(109,'May-24'!$H$88:$H$103)</f>
        <v>85074971.5</v>
      </c>
      <c r="I104" s="71">
        <f>SUBTOTAL(109,'May-24'!$I$88:$I$103)</f>
        <v>3630898.9499999993</v>
      </c>
      <c r="J104" s="71">
        <f>SUBTOTAL(109,'May-24'!$J$88:$J$103)</f>
        <v>7117429.2699999996</v>
      </c>
      <c r="K104" s="71">
        <f>SUBTOTAL(109,'May-24'!$K$88:$K$103)</f>
        <v>0</v>
      </c>
      <c r="L104" s="71">
        <f>SUBTOTAL(109,'May-24'!$L$88:$L$103)</f>
        <v>95823299.720000014</v>
      </c>
      <c r="M104" s="72"/>
    </row>
    <row r="105" spans="2:13" ht="15.75" customHeight="1" x14ac:dyDescent="0.3">
      <c r="B105" s="86"/>
      <c r="C105" s="86"/>
      <c r="D105" s="86"/>
      <c r="E105" s="86"/>
      <c r="F105" s="86"/>
      <c r="G105" s="86"/>
      <c r="H105" s="122"/>
      <c r="I105" s="123"/>
      <c r="J105" s="124"/>
      <c r="K105" s="124"/>
      <c r="L105" s="124"/>
      <c r="M105" s="32"/>
    </row>
    <row r="106" spans="2:13" ht="15.75" customHeight="1" x14ac:dyDescent="0.3">
      <c r="B106" s="86"/>
      <c r="C106" s="86"/>
      <c r="D106" s="86"/>
      <c r="E106" s="86"/>
      <c r="F106" s="86"/>
      <c r="G106" s="86"/>
      <c r="H106" s="122"/>
      <c r="I106" s="123"/>
      <c r="J106" s="124"/>
      <c r="K106" s="124"/>
      <c r="L106" s="124"/>
      <c r="M106" s="32"/>
    </row>
    <row r="107" spans="2:13" ht="15.75" customHeight="1" x14ac:dyDescent="0.3">
      <c r="B107" s="86"/>
      <c r="C107" s="86"/>
      <c r="D107" s="86"/>
      <c r="E107" s="86"/>
      <c r="F107" s="86"/>
      <c r="G107" s="86"/>
      <c r="H107" s="122"/>
      <c r="I107" s="123"/>
      <c r="J107" s="124"/>
      <c r="K107" s="124"/>
      <c r="L107" s="124"/>
      <c r="M107" s="32"/>
    </row>
    <row r="108" spans="2:13" ht="15.75" customHeight="1" x14ac:dyDescent="0.3">
      <c r="B108" s="86"/>
      <c r="C108" s="86"/>
      <c r="D108" s="86"/>
      <c r="E108" s="86"/>
      <c r="F108" s="86"/>
      <c r="G108" s="86"/>
      <c r="H108" s="122"/>
      <c r="I108" s="123"/>
      <c r="J108" s="124"/>
      <c r="K108" s="124"/>
      <c r="L108" s="124"/>
      <c r="M108" s="32"/>
    </row>
    <row r="109" spans="2:13" ht="15.75" customHeight="1" x14ac:dyDescent="0.3">
      <c r="B109" s="485" t="s">
        <v>1372</v>
      </c>
      <c r="C109" s="486"/>
    </row>
    <row r="110" spans="2:13" ht="15.75" customHeight="1" x14ac:dyDescent="0.3">
      <c r="B110" s="45" t="s">
        <v>1322</v>
      </c>
      <c r="C110" s="46" t="s">
        <v>1323</v>
      </c>
      <c r="D110" s="46" t="s">
        <v>1366</v>
      </c>
      <c r="E110" s="46" t="s">
        <v>1367</v>
      </c>
      <c r="F110" s="46" t="s">
        <v>0</v>
      </c>
      <c r="G110" s="46" t="s">
        <v>1</v>
      </c>
      <c r="H110" s="46" t="s">
        <v>1368</v>
      </c>
      <c r="I110" s="46" t="s">
        <v>1348</v>
      </c>
      <c r="J110" s="46" t="s">
        <v>1329</v>
      </c>
      <c r="K110" s="46" t="s">
        <v>1369</v>
      </c>
      <c r="L110" s="46" t="s">
        <v>1334</v>
      </c>
      <c r="M110" s="47" t="s">
        <v>1335</v>
      </c>
    </row>
    <row r="111" spans="2:13" ht="15.75" customHeight="1" x14ac:dyDescent="0.3">
      <c r="B111" s="12">
        <v>45415</v>
      </c>
      <c r="C111" s="13">
        <v>6</v>
      </c>
      <c r="D111" s="14">
        <v>3</v>
      </c>
      <c r="E111" s="15">
        <v>9</v>
      </c>
      <c r="F111" s="66"/>
      <c r="G111" s="73" t="str">
        <f>IFERROR(IF('May-24'!$F111="","-",VLOOKUP('May-24'!$F111,Lista_CUIT!$A$1:$D$2241,2,0)),"CUIT NO CARGADO")</f>
        <v>-</v>
      </c>
      <c r="H111" s="74">
        <v>230914</v>
      </c>
      <c r="I111" s="74">
        <f>'May-24'!$H111*0.21</f>
        <v>48491.939999999995</v>
      </c>
      <c r="J111" s="74"/>
      <c r="K111" s="74"/>
      <c r="L111" s="74">
        <f>'May-24'!$K111+'May-24'!$J111+'May-24'!$I111+'May-24'!$H111</f>
        <v>279405.94</v>
      </c>
      <c r="M111" s="52"/>
    </row>
    <row r="112" spans="2:13" ht="15.75" customHeight="1" x14ac:dyDescent="0.3">
      <c r="B112" s="12">
        <v>45422</v>
      </c>
      <c r="C112" s="13">
        <v>6</v>
      </c>
      <c r="D112" s="14">
        <v>3</v>
      </c>
      <c r="E112" s="15">
        <v>10</v>
      </c>
      <c r="F112" s="66"/>
      <c r="G112" s="73" t="str">
        <f>IFERROR(IF('May-24'!$F112="","-",VLOOKUP('May-24'!$F112,Lista_CUIT!$A$1:$D$2241,2,0)),"CUIT NO CARGADO")</f>
        <v>-</v>
      </c>
      <c r="H112" s="74">
        <v>311017.5</v>
      </c>
      <c r="I112" s="74">
        <f>'May-24'!$H112*0.21</f>
        <v>65313.674999999996</v>
      </c>
      <c r="J112" s="74"/>
      <c r="K112" s="74"/>
      <c r="L112" s="74">
        <f>'May-24'!$K112+'May-24'!$J112+'May-24'!$I112+'May-24'!$H112</f>
        <v>376331.17499999999</v>
      </c>
      <c r="M112" s="52"/>
    </row>
    <row r="113" spans="1:13" ht="15.75" customHeight="1" x14ac:dyDescent="0.3">
      <c r="B113" s="78"/>
      <c r="C113" s="79"/>
      <c r="D113" s="80"/>
      <c r="E113" s="81"/>
      <c r="F113" s="66"/>
      <c r="G113" s="73" t="str">
        <f>IFERROR(IF('May-24'!$F113="","-",VLOOKUP('May-24'!$F113,Lista_CUIT!$A$1:$D$2241,2,0)),"CUIT NO CARGADO")</f>
        <v>-</v>
      </c>
      <c r="H113" s="74"/>
      <c r="I113" s="83">
        <f>'May-24'!$H113*0.21</f>
        <v>0</v>
      </c>
      <c r="J113" s="84"/>
      <c r="K113" s="84"/>
      <c r="L113" s="74">
        <f>'May-24'!$K113+'May-24'!$J113+'May-24'!$I113+'May-24'!$H113</f>
        <v>0</v>
      </c>
      <c r="M113" s="52"/>
    </row>
    <row r="114" spans="1:13" ht="15.75" customHeight="1" x14ac:dyDescent="0.3">
      <c r="B114" s="78"/>
      <c r="C114" s="79"/>
      <c r="D114" s="80"/>
      <c r="E114" s="81"/>
      <c r="F114" s="66"/>
      <c r="G114" s="73" t="str">
        <f>IFERROR(IF('May-24'!$F114="","-",VLOOKUP('May-24'!$F114,Lista_CUIT!$A$1:$D$2241,2,0)),"CUIT NO CARGADO")</f>
        <v>-</v>
      </c>
      <c r="H114" s="74"/>
      <c r="I114" s="83">
        <f>'May-24'!$H114*0.21</f>
        <v>0</v>
      </c>
      <c r="J114" s="84"/>
      <c r="K114" s="125"/>
      <c r="L114" s="74">
        <f>'May-24'!$K114+'May-24'!$J114+'May-24'!$I114+'May-24'!$H114</f>
        <v>0</v>
      </c>
      <c r="M114" s="52"/>
    </row>
    <row r="115" spans="1:13" ht="15.75" customHeight="1" x14ac:dyDescent="0.3">
      <c r="B115" s="78"/>
      <c r="C115" s="79"/>
      <c r="D115" s="80"/>
      <c r="E115" s="81"/>
      <c r="F115" s="66"/>
      <c r="G115" s="73" t="str">
        <f>IFERROR(IF('May-24'!$F115="","-",VLOOKUP('May-24'!$F115,Lista_CUIT!$A$1:$D$2241,2,0)),"CUIT NO CARGADO")</f>
        <v>-</v>
      </c>
      <c r="H115" s="74"/>
      <c r="I115" s="83">
        <f>'May-24'!$H115*0.21</f>
        <v>0</v>
      </c>
      <c r="J115" s="84"/>
      <c r="K115" s="125"/>
      <c r="L115" s="74">
        <f>'May-24'!$K115+'May-24'!$J115+'May-24'!$I115+'May-24'!$H115</f>
        <v>0</v>
      </c>
      <c r="M115" s="52"/>
    </row>
    <row r="116" spans="1:13" ht="15.75" customHeight="1" x14ac:dyDescent="0.3">
      <c r="B116" s="68" t="s">
        <v>1343</v>
      </c>
      <c r="C116" s="69"/>
      <c r="D116" s="69"/>
      <c r="E116" s="69"/>
      <c r="F116" s="69"/>
      <c r="G116" s="69"/>
      <c r="H116" s="75">
        <f>SUBTOTAL(109,'May-24'!$H$111:$H$115)</f>
        <v>541931.5</v>
      </c>
      <c r="I116" s="75">
        <f>SUBTOTAL(109,'May-24'!$I$111:$I$115)</f>
        <v>113805.61499999999</v>
      </c>
      <c r="J116" s="76">
        <f>SUBTOTAL(109,'May-24'!$J$111:$J$115)</f>
        <v>0</v>
      </c>
      <c r="K116" s="76">
        <f>SUBTOTAL(109,'May-24'!$K$111:$K$115)</f>
        <v>0</v>
      </c>
      <c r="L116" s="76">
        <f>SUBTOTAL(109,'May-24'!$L$111:$L$115)</f>
        <v>655737.11499999999</v>
      </c>
      <c r="M116" s="72">
        <f>SUBTOTAL(103,'May-24'!$M$111:$M$115)</f>
        <v>0</v>
      </c>
    </row>
    <row r="117" spans="1:13" ht="15.75" customHeight="1" x14ac:dyDescent="0.3">
      <c r="B117" s="86"/>
      <c r="C117" s="86"/>
      <c r="D117" s="86"/>
      <c r="E117" s="86"/>
      <c r="F117" s="86"/>
      <c r="G117" s="86"/>
      <c r="H117" s="122"/>
      <c r="I117" s="123"/>
      <c r="J117" s="124"/>
      <c r="K117" s="124"/>
      <c r="L117" s="124"/>
      <c r="M117" s="32"/>
    </row>
    <row r="118" spans="1:13" ht="15.75" customHeight="1" x14ac:dyDescent="0.3"/>
    <row r="119" spans="1:13" ht="15.75" customHeight="1" x14ac:dyDescent="0.3">
      <c r="B119" s="485" t="s">
        <v>1373</v>
      </c>
      <c r="C119" s="486"/>
    </row>
    <row r="120" spans="1:13" ht="15.75" customHeight="1" x14ac:dyDescent="0.3">
      <c r="B120" s="45" t="s">
        <v>1322</v>
      </c>
      <c r="C120" s="46" t="s">
        <v>1323</v>
      </c>
      <c r="D120" s="46" t="s">
        <v>1366</v>
      </c>
      <c r="E120" s="46" t="s">
        <v>1367</v>
      </c>
      <c r="F120" s="46" t="s">
        <v>0</v>
      </c>
      <c r="G120" s="46" t="s">
        <v>1</v>
      </c>
      <c r="H120" s="46" t="s">
        <v>1374</v>
      </c>
      <c r="I120" s="46" t="s">
        <v>1375</v>
      </c>
      <c r="J120" s="46" t="s">
        <v>1376</v>
      </c>
      <c r="K120" s="46" t="s">
        <v>1377</v>
      </c>
      <c r="L120" s="46" t="s">
        <v>1334</v>
      </c>
      <c r="M120" s="47" t="s">
        <v>1335</v>
      </c>
    </row>
    <row r="121" spans="1:13" ht="15.75" customHeight="1" x14ac:dyDescent="0.3">
      <c r="B121" s="78">
        <v>45414</v>
      </c>
      <c r="C121" s="79"/>
      <c r="D121" s="80">
        <v>30</v>
      </c>
      <c r="E121" s="81">
        <v>77</v>
      </c>
      <c r="F121" s="2">
        <v>55000000050</v>
      </c>
      <c r="G121" s="73" t="str">
        <f>IFERROR(IF('May-24'!$F121="","-",VLOOKUP('May-24'!$F121,Lista_CUIT!$A$1:$D$2241,2,0)),"CUIT NO CARGADO")</f>
        <v>GAS FUTURO SISTEMAS DE COMPRESSÃO LTDA</v>
      </c>
      <c r="H121" s="74">
        <v>14400</v>
      </c>
      <c r="I121" s="83"/>
      <c r="J121" s="84"/>
      <c r="K121" s="84">
        <v>876.5</v>
      </c>
      <c r="L121" s="84">
        <f t="shared" ref="L121:L135" si="0">H121*K121</f>
        <v>12621600</v>
      </c>
      <c r="M121" s="52"/>
    </row>
    <row r="122" spans="1:13" ht="15.75" customHeight="1" x14ac:dyDescent="0.3">
      <c r="B122" s="78">
        <v>45420</v>
      </c>
      <c r="C122" s="79"/>
      <c r="D122" s="80">
        <v>30</v>
      </c>
      <c r="E122" s="81">
        <v>78</v>
      </c>
      <c r="F122" s="2">
        <v>55000002223</v>
      </c>
      <c r="G122" s="73" t="str">
        <f>IFERROR(IF('May-24'!$F122="","-",VLOOKUP('May-24'!$F122,Lista_CUIT!$A$1:$D$2241,2,0)),"CUIT NO CARGADO")</f>
        <v>Solution Supply SAC</v>
      </c>
      <c r="H122" s="74">
        <v>2180</v>
      </c>
      <c r="I122" s="83"/>
      <c r="J122" s="84"/>
      <c r="K122" s="84">
        <v>880.5</v>
      </c>
      <c r="L122" s="84">
        <f t="shared" si="0"/>
        <v>1919490</v>
      </c>
      <c r="M122" s="52"/>
    </row>
    <row r="123" spans="1:13" ht="15.75" customHeight="1" x14ac:dyDescent="0.3">
      <c r="B123" s="78">
        <v>45422</v>
      </c>
      <c r="C123" s="79"/>
      <c r="D123" s="80">
        <v>30</v>
      </c>
      <c r="E123" s="81">
        <v>79</v>
      </c>
      <c r="F123" s="2">
        <v>55000000050</v>
      </c>
      <c r="G123" s="73" t="str">
        <f>IFERROR(IF('May-24'!$F123="","-",VLOOKUP('May-24'!$F123,Lista_CUIT!$A$1:$D$2241,2,0)),"CUIT NO CARGADO")</f>
        <v>GAS FUTURO SISTEMAS DE COMPRESSÃO LTDA</v>
      </c>
      <c r="H123" s="74">
        <v>1650</v>
      </c>
      <c r="I123" s="83"/>
      <c r="J123" s="84"/>
      <c r="K123" s="84">
        <v>882</v>
      </c>
      <c r="L123" s="84">
        <f t="shared" si="0"/>
        <v>1455300</v>
      </c>
      <c r="M123" s="52"/>
    </row>
    <row r="124" spans="1:13" ht="15.75" customHeight="1" x14ac:dyDescent="0.3">
      <c r="B124" s="78">
        <v>45425</v>
      </c>
      <c r="C124" s="79"/>
      <c r="D124" s="80">
        <v>30</v>
      </c>
      <c r="E124" s="81">
        <v>82</v>
      </c>
      <c r="F124" s="2">
        <v>55000002223</v>
      </c>
      <c r="G124" s="73" t="str">
        <f>IFERROR(IF('May-24'!$F124="","-",VLOOKUP('May-24'!$F124,Lista_CUIT!$A$1:$D$2241,2,0)),"CUIT NO CARGADO")</f>
        <v>Solution Supply SAC</v>
      </c>
      <c r="H124" s="74">
        <v>2180</v>
      </c>
      <c r="I124" s="83"/>
      <c r="J124" s="84"/>
      <c r="K124" s="84">
        <v>882.5</v>
      </c>
      <c r="L124" s="84">
        <f t="shared" si="0"/>
        <v>1923850</v>
      </c>
      <c r="M124" s="52"/>
    </row>
    <row r="125" spans="1:13" ht="15.75" customHeight="1" x14ac:dyDescent="0.3">
      <c r="B125" s="78">
        <v>45425</v>
      </c>
      <c r="C125" s="79"/>
      <c r="D125" s="80">
        <v>30</v>
      </c>
      <c r="E125" s="81">
        <v>81</v>
      </c>
      <c r="F125" s="2">
        <v>55000000050</v>
      </c>
      <c r="G125" s="73" t="str">
        <f>IFERROR(IF('May-24'!$F125="","-",VLOOKUP('May-24'!$F125,Lista_CUIT!$A$1:$D$2241,2,0)),"CUIT NO CARGADO")</f>
        <v>GAS FUTURO SISTEMAS DE COMPRESSÃO LTDA</v>
      </c>
      <c r="H125" s="74">
        <v>1650</v>
      </c>
      <c r="I125" s="83"/>
      <c r="J125" s="84"/>
      <c r="K125" s="84">
        <v>882.5</v>
      </c>
      <c r="L125" s="84">
        <f t="shared" si="0"/>
        <v>1456125</v>
      </c>
      <c r="M125" s="52"/>
    </row>
    <row r="126" spans="1:13" ht="15.75" customHeight="1" x14ac:dyDescent="0.3">
      <c r="B126" s="78">
        <v>45425</v>
      </c>
      <c r="C126" s="79"/>
      <c r="D126" s="80">
        <v>30</v>
      </c>
      <c r="E126" s="81">
        <v>80</v>
      </c>
      <c r="F126" s="2">
        <v>55000002223</v>
      </c>
      <c r="G126" s="73" t="str">
        <f>IFERROR(IF('May-24'!$F126="","-",VLOOKUP('May-24'!$F126,Lista_CUIT!$A$1:$D$2241,2,0)),"CUIT NO CARGADO")</f>
        <v>Solution Supply SAC</v>
      </c>
      <c r="H126" s="74">
        <v>2180</v>
      </c>
      <c r="I126" s="83"/>
      <c r="J126" s="84"/>
      <c r="K126" s="84">
        <v>882.5</v>
      </c>
      <c r="L126" s="84">
        <f t="shared" si="0"/>
        <v>1923850</v>
      </c>
      <c r="M126" s="52"/>
    </row>
    <row r="127" spans="1:13" ht="15.75" customHeight="1" x14ac:dyDescent="0.3">
      <c r="B127" s="78">
        <v>45425</v>
      </c>
      <c r="C127" s="79"/>
      <c r="D127" s="80">
        <v>30</v>
      </c>
      <c r="E127" s="81">
        <v>83</v>
      </c>
      <c r="F127" s="2">
        <v>55000000050</v>
      </c>
      <c r="G127" s="73" t="str">
        <f>IFERROR(IF('May-24'!$F127="","-",VLOOKUP('May-24'!$F127,Lista_CUIT!$A$1:$D$2241,2,0)),"CUIT NO CARGADO")</f>
        <v>GAS FUTURO SISTEMAS DE COMPRESSÃO LTDA</v>
      </c>
      <c r="H127" s="74">
        <v>1650</v>
      </c>
      <c r="I127" s="83"/>
      <c r="J127" s="84"/>
      <c r="K127" s="84">
        <v>882.5</v>
      </c>
      <c r="L127" s="84">
        <f t="shared" si="0"/>
        <v>1456125</v>
      </c>
      <c r="M127" s="52"/>
    </row>
    <row r="128" spans="1:13" ht="15.75" customHeight="1" x14ac:dyDescent="0.3">
      <c r="A128" s="126"/>
      <c r="B128" s="127">
        <v>45425</v>
      </c>
      <c r="C128" s="128"/>
      <c r="D128" s="129">
        <v>30</v>
      </c>
      <c r="E128" s="130">
        <v>20</v>
      </c>
      <c r="F128" s="131">
        <v>55000000050</v>
      </c>
      <c r="G128" s="132" t="str">
        <f>IFERROR(IF('May-24'!$F128="","-",VLOOKUP('May-24'!$F128,Lista_CUIT!$A$1:$D$2241,2,0)),"CUIT NO CARGADO")</f>
        <v>GAS FUTURO SISTEMAS DE COMPRESSÃO LTDA</v>
      </c>
      <c r="H128" s="133">
        <v>-1650</v>
      </c>
      <c r="I128" s="83"/>
      <c r="J128" s="84"/>
      <c r="K128" s="84">
        <v>882.5</v>
      </c>
      <c r="L128" s="84">
        <f t="shared" si="0"/>
        <v>-1456125</v>
      </c>
      <c r="M128" s="52"/>
    </row>
    <row r="129" spans="1:13" ht="15.75" customHeight="1" x14ac:dyDescent="0.3">
      <c r="A129" s="126"/>
      <c r="B129" s="127">
        <v>45425</v>
      </c>
      <c r="C129" s="128"/>
      <c r="D129" s="129">
        <v>30</v>
      </c>
      <c r="E129" s="130">
        <v>22</v>
      </c>
      <c r="F129" s="131">
        <v>55000000050</v>
      </c>
      <c r="G129" s="132" t="str">
        <f>IFERROR(IF('May-24'!$F129="","-",VLOOKUP('May-24'!$F129,Lista_CUIT!$A$1:$D$2241,2,0)),"CUIT NO CARGADO")</f>
        <v>GAS FUTURO SISTEMAS DE COMPRESSÃO LTDA</v>
      </c>
      <c r="H129" s="133">
        <v>-1650</v>
      </c>
      <c r="I129" s="83"/>
      <c r="J129" s="84"/>
      <c r="K129" s="84">
        <v>882.5</v>
      </c>
      <c r="L129" s="84">
        <f t="shared" si="0"/>
        <v>-1456125</v>
      </c>
      <c r="M129" s="52"/>
    </row>
    <row r="130" spans="1:13" ht="15.75" customHeight="1" x14ac:dyDescent="0.3">
      <c r="A130" s="126"/>
      <c r="B130" s="127">
        <v>45425</v>
      </c>
      <c r="C130" s="128"/>
      <c r="D130" s="129">
        <v>30</v>
      </c>
      <c r="E130" s="130">
        <v>19</v>
      </c>
      <c r="F130" s="131">
        <v>55000002223</v>
      </c>
      <c r="G130" s="132" t="str">
        <f>IFERROR(IF('May-24'!$F130="","-",VLOOKUP('May-24'!$F130,Lista_CUIT!$A$1:$D$2241,2,0)),"CUIT NO CARGADO")</f>
        <v>Solution Supply SAC</v>
      </c>
      <c r="H130" s="133">
        <v>-2180</v>
      </c>
      <c r="I130" s="83"/>
      <c r="J130" s="84"/>
      <c r="K130" s="84">
        <v>882.5</v>
      </c>
      <c r="L130" s="84">
        <f t="shared" si="0"/>
        <v>-1923850</v>
      </c>
      <c r="M130" s="52"/>
    </row>
    <row r="131" spans="1:13" ht="15.75" customHeight="1" x14ac:dyDescent="0.3">
      <c r="A131" s="126"/>
      <c r="B131" s="127">
        <v>45425</v>
      </c>
      <c r="C131" s="128"/>
      <c r="D131" s="129">
        <v>30</v>
      </c>
      <c r="E131" s="130">
        <v>21</v>
      </c>
      <c r="F131" s="131">
        <v>55000002223</v>
      </c>
      <c r="G131" s="132" t="str">
        <f>IFERROR(IF('May-24'!$F131="","-",VLOOKUP('May-24'!$F131,Lista_CUIT!$A$1:$D$2241,2,0)),"CUIT NO CARGADO")</f>
        <v>Solution Supply SAC</v>
      </c>
      <c r="H131" s="133">
        <v>-2180</v>
      </c>
      <c r="I131" s="83"/>
      <c r="J131" s="84"/>
      <c r="K131" s="84">
        <v>882.5</v>
      </c>
      <c r="L131" s="84">
        <f t="shared" si="0"/>
        <v>-1923850</v>
      </c>
      <c r="M131" s="52"/>
    </row>
    <row r="132" spans="1:13" ht="15.75" customHeight="1" x14ac:dyDescent="0.3">
      <c r="B132" s="78">
        <v>45427</v>
      </c>
      <c r="C132" s="79"/>
      <c r="D132" s="80">
        <v>30</v>
      </c>
      <c r="E132" s="81">
        <v>84</v>
      </c>
      <c r="F132" s="2">
        <v>55000002223</v>
      </c>
      <c r="G132" s="73" t="str">
        <f>IFERROR(IF('May-24'!$F132="","-",VLOOKUP('May-24'!$F132,Lista_CUIT!$A$1:$D$2241,2,0)),"CUIT NO CARGADO")</f>
        <v>Solution Supply SAC</v>
      </c>
      <c r="H132" s="74">
        <v>1165</v>
      </c>
      <c r="I132" s="83"/>
      <c r="J132" s="84"/>
      <c r="K132" s="84">
        <v>885</v>
      </c>
      <c r="L132" s="84">
        <f t="shared" si="0"/>
        <v>1031025</v>
      </c>
      <c r="M132" s="52"/>
    </row>
    <row r="133" spans="1:13" ht="15.75" customHeight="1" x14ac:dyDescent="0.3">
      <c r="B133" s="78">
        <v>45428</v>
      </c>
      <c r="C133" s="79"/>
      <c r="D133" s="80">
        <v>30</v>
      </c>
      <c r="E133" s="81">
        <v>85</v>
      </c>
      <c r="F133" s="2">
        <v>55000002223</v>
      </c>
      <c r="G133" s="73" t="str">
        <f>IFERROR(IF('May-24'!$F133="","-",VLOOKUP('May-24'!$F133,Lista_CUIT!$A$1:$D$2241,2,0)),"CUIT NO CARGADO")</f>
        <v>Solution Supply SAC</v>
      </c>
      <c r="H133" s="74">
        <v>1165</v>
      </c>
      <c r="I133" s="83"/>
      <c r="J133" s="84"/>
      <c r="K133" s="84">
        <v>885.5</v>
      </c>
      <c r="L133" s="84">
        <f t="shared" si="0"/>
        <v>1031607.5</v>
      </c>
      <c r="M133" s="52"/>
    </row>
    <row r="134" spans="1:13" ht="15.75" customHeight="1" x14ac:dyDescent="0.3">
      <c r="A134" s="126"/>
      <c r="B134" s="127">
        <v>45428</v>
      </c>
      <c r="C134" s="128"/>
      <c r="D134" s="129">
        <v>30</v>
      </c>
      <c r="E134" s="130">
        <v>23</v>
      </c>
      <c r="F134" s="131">
        <v>55000002223</v>
      </c>
      <c r="G134" s="132" t="str">
        <f>IFERROR(IF('May-24'!$F134="","-",VLOOKUP('May-24'!$F134,Lista_CUIT!$A$1:$D$2241,2,0)),"CUIT NO CARGADO")</f>
        <v>Solution Supply SAC</v>
      </c>
      <c r="H134" s="133">
        <v>-1165</v>
      </c>
      <c r="I134" s="83"/>
      <c r="J134" s="84"/>
      <c r="K134" s="84">
        <v>885.5</v>
      </c>
      <c r="L134" s="84">
        <f t="shared" si="0"/>
        <v>-1031607.5</v>
      </c>
      <c r="M134" s="52"/>
    </row>
    <row r="135" spans="1:13" ht="15.75" customHeight="1" x14ac:dyDescent="0.3">
      <c r="B135" s="78">
        <v>45436</v>
      </c>
      <c r="C135" s="79"/>
      <c r="D135" s="80">
        <v>30</v>
      </c>
      <c r="E135" s="81">
        <v>86</v>
      </c>
      <c r="F135" s="2">
        <v>55000006059</v>
      </c>
      <c r="G135" s="73" t="str">
        <f>IFERROR(IF('May-24'!$F135="","-",VLOOKUP('May-24'!$F135,Lista_CUIT!$A$1:$D$2241,2,0)),"CUIT NO CARGADO")</f>
        <v>TVAJA Servisní s.r.o.</v>
      </c>
      <c r="H135" s="74">
        <v>2625</v>
      </c>
      <c r="I135" s="83"/>
      <c r="J135" s="84"/>
      <c r="K135" s="84">
        <v>890</v>
      </c>
      <c r="L135" s="84">
        <f t="shared" si="0"/>
        <v>2336250</v>
      </c>
      <c r="M135" s="52"/>
    </row>
    <row r="136" spans="1:13" ht="15.75" customHeight="1" x14ac:dyDescent="0.3">
      <c r="B136" s="78"/>
      <c r="C136" s="79"/>
      <c r="D136" s="80"/>
      <c r="E136" s="81"/>
      <c r="F136" s="82"/>
      <c r="G136" s="73" t="str">
        <f>IFERROR(IF('May-24'!$F136="","-",VLOOKUP('May-24'!$F136,Lista_CUIT!$A$1:$D$2241,2,0)),"CUIT NO CARGADO")</f>
        <v>-</v>
      </c>
      <c r="H136" s="74"/>
      <c r="I136" s="83">
        <f>'May-24'!$H136*0.21</f>
        <v>0</v>
      </c>
      <c r="J136" s="84"/>
      <c r="K136" s="84">
        <f>'May-24'!$H136*'May-24'!$J136</f>
        <v>0</v>
      </c>
      <c r="L136" s="84"/>
      <c r="M136" s="52"/>
    </row>
    <row r="137" spans="1:13" ht="15.75" customHeight="1" x14ac:dyDescent="0.3">
      <c r="B137" s="12"/>
      <c r="C137" s="13"/>
      <c r="D137" s="14"/>
      <c r="E137" s="15"/>
      <c r="F137" s="16"/>
      <c r="G137" s="73" t="str">
        <f>IFERROR(IF('May-24'!$F137="","-",VLOOKUP('May-24'!$F137,Lista_CUIT!$A$1:$D$2241,2,0)),"CUIT NO CARGADO")</f>
        <v>-</v>
      </c>
      <c r="H137" s="74"/>
      <c r="I137" s="83">
        <f>'May-24'!$H137*0.21</f>
        <v>0</v>
      </c>
      <c r="J137" s="77"/>
      <c r="K137" s="74">
        <f>'May-24'!$H137*'May-24'!$J137</f>
        <v>0</v>
      </c>
      <c r="L137" s="74">
        <f>'May-24'!$H137*'May-24'!$K137</f>
        <v>0</v>
      </c>
      <c r="M137" s="52"/>
    </row>
    <row r="138" spans="1:13" ht="15.75" customHeight="1" x14ac:dyDescent="0.3">
      <c r="B138" s="12"/>
      <c r="C138" s="13"/>
      <c r="D138" s="14"/>
      <c r="E138" s="15"/>
      <c r="F138" s="16"/>
      <c r="G138" s="73" t="str">
        <f>IFERROR(IF('May-24'!$F138="","-",VLOOKUP('May-24'!$F138,Lista_CUIT!$A$1:$D$2241,2,0)),"CUIT NO CARGADO")</f>
        <v>-</v>
      </c>
      <c r="H138" s="74"/>
      <c r="I138" s="83">
        <f>'May-24'!$H138*0.21</f>
        <v>0</v>
      </c>
      <c r="J138" s="74"/>
      <c r="K138" s="74">
        <f>'May-24'!$H138*'May-24'!$J138</f>
        <v>0</v>
      </c>
      <c r="L138" s="74">
        <f>'May-24'!$H138*'May-24'!$K138</f>
        <v>0</v>
      </c>
      <c r="M138" s="52"/>
    </row>
    <row r="139" spans="1:13" ht="15.75" customHeight="1" x14ac:dyDescent="0.3">
      <c r="B139" s="78"/>
      <c r="C139" s="79"/>
      <c r="D139" s="80"/>
      <c r="E139" s="81"/>
      <c r="F139" s="82"/>
      <c r="G139" s="73" t="str">
        <f>IFERROR(IF('May-24'!$F139="","-",VLOOKUP('May-24'!$F139,Lista_CUIT!$A$1:$D$2241,2,0)),"CUIT NO CARGADO")</f>
        <v>-</v>
      </c>
      <c r="H139" s="74"/>
      <c r="I139" s="83">
        <f>'May-24'!$H139*0.21</f>
        <v>0</v>
      </c>
      <c r="J139" s="84"/>
      <c r="K139" s="84">
        <f>'May-24'!$H139*'May-24'!$J139</f>
        <v>0</v>
      </c>
      <c r="L139" s="74">
        <f>'May-24'!$H139*'May-24'!$K139</f>
        <v>0</v>
      </c>
      <c r="M139" s="52"/>
    </row>
    <row r="140" spans="1:13" ht="15.75" customHeight="1" x14ac:dyDescent="0.3">
      <c r="B140" s="78"/>
      <c r="C140" s="79"/>
      <c r="D140" s="80"/>
      <c r="E140" s="81"/>
      <c r="F140" s="82"/>
      <c r="G140" s="73" t="str">
        <f>IFERROR(IF('May-24'!$F140="","-",VLOOKUP('May-24'!$F140,Lista_CUIT!$A$1:$D$2241,2,0)),"CUIT NO CARGADO")</f>
        <v>-</v>
      </c>
      <c r="H140" s="74"/>
      <c r="I140" s="83">
        <f>'May-24'!$H140*0.21</f>
        <v>0</v>
      </c>
      <c r="J140" s="84"/>
      <c r="K140" s="84">
        <f>'May-24'!$H140*'May-24'!$J140</f>
        <v>0</v>
      </c>
      <c r="L140" s="74">
        <f>'May-24'!$H140*'May-24'!$K140</f>
        <v>0</v>
      </c>
      <c r="M140" s="52"/>
    </row>
    <row r="141" spans="1:13" ht="15.75" customHeight="1" x14ac:dyDescent="0.3">
      <c r="B141" s="68" t="s">
        <v>1343</v>
      </c>
      <c r="C141" s="69"/>
      <c r="D141" s="69"/>
      <c r="E141" s="69"/>
      <c r="F141" s="69"/>
      <c r="G141" s="69"/>
      <c r="H141" s="75">
        <f>SUBTOTAL(109,'May-24'!$H$121:$H$140)</f>
        <v>22020</v>
      </c>
      <c r="I141" s="75">
        <f>SUBTOTAL(109,'May-24'!$I$121:$I$140)</f>
        <v>0</v>
      </c>
      <c r="J141" s="76">
        <f>SUBTOTAL(109,'May-24'!$J$121:$J$140)</f>
        <v>0</v>
      </c>
      <c r="K141" s="76"/>
      <c r="L141" s="76">
        <f>SUBTOTAL(109,'May-24'!$L$121:$L$140)</f>
        <v>19363665</v>
      </c>
      <c r="M141" s="72">
        <f>SUBTOTAL(103,'May-24'!$M$121:$M$140)</f>
        <v>0</v>
      </c>
    </row>
    <row r="142" spans="1:13" ht="15.75" customHeight="1" x14ac:dyDescent="0.3">
      <c r="B142" s="86"/>
      <c r="C142" s="86"/>
      <c r="D142" s="86"/>
      <c r="E142" s="86"/>
      <c r="F142" s="86"/>
      <c r="G142" s="86"/>
      <c r="H142" s="87"/>
      <c r="I142" s="87"/>
      <c r="J142" s="19"/>
      <c r="K142" s="19"/>
      <c r="L142" s="19"/>
      <c r="M142" s="32"/>
    </row>
    <row r="143" spans="1:13" ht="15.75" customHeight="1" x14ac:dyDescent="0.3">
      <c r="B143" s="86"/>
      <c r="C143" s="86"/>
      <c r="D143" s="86"/>
      <c r="E143" s="86"/>
      <c r="F143" s="86"/>
      <c r="G143" s="86"/>
      <c r="H143" s="87"/>
      <c r="I143" s="87"/>
      <c r="J143" s="19"/>
      <c r="K143" s="19"/>
      <c r="L143" s="19"/>
      <c r="M143" s="32"/>
    </row>
    <row r="144" spans="1:13" ht="15.75" customHeight="1" x14ac:dyDescent="0.3">
      <c r="B144" s="86"/>
      <c r="C144" s="86"/>
      <c r="D144" s="86"/>
      <c r="E144" s="86"/>
      <c r="F144" s="86"/>
      <c r="G144" s="86"/>
      <c r="H144" s="87"/>
      <c r="I144" s="87"/>
      <c r="J144" s="19"/>
      <c r="K144" s="19"/>
      <c r="L144" s="19"/>
      <c r="M144" s="32"/>
    </row>
    <row r="145" spans="2:13" ht="15.75" customHeight="1" x14ac:dyDescent="0.3">
      <c r="B145" s="86"/>
      <c r="C145" s="86"/>
      <c r="D145" s="86"/>
      <c r="E145" s="86"/>
      <c r="F145" s="86"/>
      <c r="G145" s="86"/>
      <c r="H145" s="87"/>
      <c r="I145" s="87"/>
      <c r="J145" s="19"/>
      <c r="K145" s="19"/>
      <c r="L145" s="19"/>
      <c r="M145" s="32"/>
    </row>
    <row r="146" spans="2:13" ht="15.75" customHeight="1" x14ac:dyDescent="0.3">
      <c r="C146" s="487" t="s">
        <v>1380</v>
      </c>
      <c r="D146" s="488"/>
      <c r="E146" s="488"/>
      <c r="F146" s="488"/>
      <c r="G146" s="489"/>
      <c r="H146" s="88"/>
      <c r="I146" s="88"/>
      <c r="J146" s="88"/>
    </row>
    <row r="147" spans="2:13" ht="15.75" customHeight="1" x14ac:dyDescent="0.3">
      <c r="C147" s="89" t="s">
        <v>1381</v>
      </c>
      <c r="D147" s="90" t="s">
        <v>1382</v>
      </c>
      <c r="E147" s="90" t="s">
        <v>1376</v>
      </c>
      <c r="F147" s="90" t="s">
        <v>0</v>
      </c>
      <c r="G147" s="90" t="s">
        <v>1</v>
      </c>
      <c r="H147" s="91" t="s">
        <v>1383</v>
      </c>
      <c r="I147" s="91" t="s">
        <v>1384</v>
      </c>
      <c r="J147" s="91" t="s">
        <v>1385</v>
      </c>
      <c r="K147" s="91" t="s">
        <v>1386</v>
      </c>
      <c r="L147" s="91" t="s">
        <v>1387</v>
      </c>
    </row>
    <row r="148" spans="2:13" ht="15.75" customHeight="1" x14ac:dyDescent="0.3">
      <c r="C148" s="92"/>
      <c r="D148" s="93"/>
      <c r="E148" s="93"/>
      <c r="F148" s="39"/>
      <c r="G148" s="40" t="str">
        <f>IFERROR(IF('May-24'!$F148="","-",VLOOKUP('May-24'!$F148,Lista_CUIT!$A$1:$D$2241,2,0)),"CUIT NO CARGADO")</f>
        <v>-</v>
      </c>
      <c r="H148" s="94"/>
      <c r="I148" s="94"/>
      <c r="J148" s="94"/>
      <c r="K148" s="94"/>
      <c r="L148" s="94"/>
    </row>
    <row r="149" spans="2:13" ht="15.75" customHeight="1" x14ac:dyDescent="0.3">
      <c r="C149" s="92"/>
      <c r="D149" s="93"/>
      <c r="E149" s="93"/>
      <c r="F149" s="39"/>
      <c r="G149" s="40" t="str">
        <f>IFERROR(IF('May-24'!$F149="","-",VLOOKUP('May-24'!$F149,Lista_CUIT!$A$1:$D$2241,2,0)),"CUIT NO CARGADO")</f>
        <v>-</v>
      </c>
      <c r="H149" s="94"/>
      <c r="I149" s="94"/>
      <c r="J149" s="94"/>
      <c r="K149" s="94"/>
      <c r="L149" s="94"/>
    </row>
    <row r="150" spans="2:13" ht="15.75" customHeight="1" x14ac:dyDescent="0.3">
      <c r="C150" s="92"/>
      <c r="D150" s="93"/>
      <c r="E150" s="93"/>
      <c r="F150" s="39"/>
      <c r="G150" s="40" t="str">
        <f>IFERROR(IF('May-24'!$F150="","-",VLOOKUP('May-24'!$F150,Lista_CUIT!$A$1:$D$2241,2,0)),"CUIT NO CARGADO")</f>
        <v>-</v>
      </c>
      <c r="H150" s="94"/>
      <c r="I150" s="94"/>
      <c r="J150" s="94"/>
      <c r="K150" s="94"/>
      <c r="L150" s="94"/>
    </row>
    <row r="151" spans="2:13" ht="15.75" customHeight="1" x14ac:dyDescent="0.3">
      <c r="C151" s="92"/>
      <c r="D151" s="93"/>
      <c r="E151" s="93"/>
      <c r="F151" s="39"/>
      <c r="G151" s="40" t="str">
        <f>IFERROR(IF('May-24'!$F151="","-",VLOOKUP('May-24'!$F151,Lista_CUIT!$A$1:$D$2241,2,0)),"CUIT NO CARGADO")</f>
        <v>-</v>
      </c>
      <c r="H151" s="94"/>
      <c r="I151" s="94"/>
      <c r="J151" s="94"/>
      <c r="K151" s="94"/>
      <c r="L151" s="94"/>
    </row>
    <row r="152" spans="2:13" ht="15.75" customHeight="1" x14ac:dyDescent="0.3">
      <c r="C152" s="92"/>
      <c r="D152" s="93"/>
      <c r="E152" s="93"/>
      <c r="F152" s="39"/>
      <c r="G152" s="40" t="str">
        <f>IFERROR(IF('May-24'!$F152="","-",VLOOKUP('May-24'!$F152,Lista_CUIT!$A$1:$D$2241,2,0)),"CUIT NO CARGADO")</f>
        <v>-</v>
      </c>
      <c r="H152" s="3"/>
      <c r="I152" s="3"/>
      <c r="J152" s="3"/>
      <c r="K152" s="3"/>
      <c r="L152" s="3"/>
    </row>
    <row r="153" spans="2:13" ht="15.75" customHeight="1" x14ac:dyDescent="0.3">
      <c r="C153" s="92"/>
      <c r="D153" s="93"/>
      <c r="E153" s="93"/>
      <c r="F153" s="39"/>
      <c r="G153" s="40" t="str">
        <f>IFERROR(IF('May-24'!$F153="","-",VLOOKUP('May-24'!$F153,Lista_CUIT!$A$1:$D$2241,2,0)),"CUIT NO CARGADO")</f>
        <v>-</v>
      </c>
      <c r="H153" s="94"/>
      <c r="I153" s="94"/>
      <c r="J153" s="94"/>
      <c r="K153" s="94"/>
      <c r="L153" s="94"/>
    </row>
    <row r="154" spans="2:13" ht="15.75" customHeight="1" x14ac:dyDescent="0.3">
      <c r="C154" s="92"/>
      <c r="D154" s="93"/>
      <c r="E154" s="93"/>
      <c r="F154" s="39"/>
      <c r="G154" s="40" t="str">
        <f>IFERROR(IF('May-24'!$F154="","-",VLOOKUP('May-24'!$F154,Lista_CUIT!$A$1:$D$2241,2,0)),"CUIT NO CARGADO")</f>
        <v>-</v>
      </c>
      <c r="H154" s="94"/>
      <c r="I154" s="94"/>
      <c r="J154" s="94"/>
      <c r="K154" s="94"/>
      <c r="L154" s="94"/>
    </row>
    <row r="155" spans="2:13" ht="15.75" customHeight="1" x14ac:dyDescent="0.3">
      <c r="C155" s="92"/>
      <c r="D155" s="93"/>
      <c r="E155" s="93"/>
      <c r="F155" s="39"/>
      <c r="G155" s="40" t="str">
        <f>IFERROR(IF('May-24'!$F155="","-",VLOOKUP('May-24'!$F155,Lista_CUIT!$A$1:$D$2241,2,0)),"CUIT NO CARGADO")</f>
        <v>-</v>
      </c>
      <c r="H155" s="94"/>
      <c r="I155" s="94"/>
      <c r="J155" s="94"/>
      <c r="K155" s="94"/>
      <c r="L155" s="94"/>
    </row>
    <row r="156" spans="2:13" ht="15.75" customHeight="1" x14ac:dyDescent="0.3">
      <c r="C156" s="92"/>
      <c r="D156" s="93"/>
      <c r="E156" s="93"/>
      <c r="F156" s="39"/>
      <c r="G156" s="40" t="str">
        <f>IFERROR(IF('May-24'!$F156="","-",VLOOKUP('May-24'!$F156,Lista_CUIT!$A$1:$D$2241,2,0)),"CUIT NO CARGADO")</f>
        <v>-</v>
      </c>
      <c r="H156" s="94"/>
      <c r="I156" s="94"/>
      <c r="J156" s="94"/>
      <c r="K156" s="94"/>
      <c r="L156" s="94"/>
    </row>
    <row r="157" spans="2:13" ht="15.75" customHeight="1" x14ac:dyDescent="0.3">
      <c r="C157" s="92"/>
      <c r="D157" s="93"/>
      <c r="E157" s="93"/>
      <c r="F157" s="39"/>
      <c r="G157" s="40" t="str">
        <f>IFERROR(IF('May-24'!$F157="","-",VLOOKUP('May-24'!$F157,Lista_CUIT!$A$1:$D$2241,2,0)),"CUIT NO CARGADO")</f>
        <v>-</v>
      </c>
      <c r="H157" s="94"/>
      <c r="I157" s="94"/>
      <c r="J157" s="94"/>
      <c r="K157" s="94"/>
      <c r="L157" s="94"/>
    </row>
    <row r="158" spans="2:13" ht="15.75" customHeight="1" x14ac:dyDescent="0.3">
      <c r="C158" s="92"/>
      <c r="D158" s="93"/>
      <c r="E158" s="93"/>
      <c r="F158" s="39"/>
      <c r="G158" s="40" t="str">
        <f>IFERROR(IF('May-24'!$F158="","-",VLOOKUP('May-24'!$F158,Lista_CUIT!$A$1:$D$2241,2,0)),"CUIT NO CARGADO")</f>
        <v>-</v>
      </c>
      <c r="H158" s="94"/>
      <c r="I158" s="94"/>
      <c r="J158" s="94"/>
      <c r="K158" s="94"/>
      <c r="L158" s="94"/>
    </row>
    <row r="159" spans="2:13" ht="15.75" customHeight="1" x14ac:dyDescent="0.3">
      <c r="C159" s="92"/>
      <c r="D159" s="93"/>
      <c r="E159" s="93"/>
      <c r="F159" s="39"/>
      <c r="G159" s="40" t="str">
        <f>IFERROR(IF('May-24'!$F159="","-",VLOOKUP('May-24'!$F159,Lista_CUIT!$A$1:$D$2241,2,0)),"CUIT NO CARGADO")</f>
        <v>-</v>
      </c>
      <c r="H159" s="94"/>
      <c r="I159" s="94"/>
      <c r="J159" s="94"/>
      <c r="K159" s="94"/>
      <c r="L159" s="94"/>
    </row>
    <row r="160" spans="2:13" ht="15.75" customHeight="1" x14ac:dyDescent="0.3">
      <c r="C160" s="92"/>
      <c r="D160" s="93"/>
      <c r="E160" s="93"/>
      <c r="F160" s="39"/>
      <c r="G160" s="40" t="str">
        <f>IFERROR(IF('May-24'!$F160="","-",VLOOKUP('May-24'!$F160,Lista_CUIT!$A$1:$D$2241,2,0)),"CUIT NO CARGADO")</f>
        <v>-</v>
      </c>
      <c r="H160" s="94"/>
      <c r="I160" s="94"/>
      <c r="J160" s="94"/>
      <c r="K160" s="94"/>
      <c r="L160" s="94"/>
    </row>
    <row r="161" spans="3:12" ht="15.75" customHeight="1" x14ac:dyDescent="0.3">
      <c r="C161" s="92"/>
      <c r="D161" s="93"/>
      <c r="E161" s="93"/>
      <c r="F161" s="39"/>
      <c r="G161" s="40" t="str">
        <f>IFERROR(IF('May-24'!$F161="","-",VLOOKUP('May-24'!$F161,Lista_CUIT!$A$1:$D$2241,2,0)),"CUIT NO CARGADO")</f>
        <v>-</v>
      </c>
      <c r="H161" s="94"/>
      <c r="I161" s="94"/>
      <c r="J161" s="94"/>
      <c r="K161" s="94"/>
      <c r="L161" s="94"/>
    </row>
    <row r="162" spans="3:12" ht="15.75" customHeight="1" x14ac:dyDescent="0.3">
      <c r="C162" s="92"/>
      <c r="D162" s="93"/>
      <c r="E162" s="93"/>
      <c r="F162" s="39"/>
      <c r="G162" s="40" t="str">
        <f>IFERROR(IF('May-24'!$F162="","-",VLOOKUP('May-24'!$F162,Lista_CUIT!$A$1:$D$2241,2,0)),"CUIT NO CARGADO")</f>
        <v>-</v>
      </c>
      <c r="H162" s="94"/>
      <c r="I162" s="94"/>
      <c r="J162" s="94"/>
      <c r="K162" s="94"/>
      <c r="L162" s="94"/>
    </row>
    <row r="163" spans="3:12" ht="15.75" customHeight="1" x14ac:dyDescent="0.3">
      <c r="C163" s="92"/>
      <c r="D163" s="93"/>
      <c r="E163" s="93"/>
      <c r="F163" s="39"/>
      <c r="G163" s="40" t="str">
        <f>IFERROR(IF('May-24'!$F163="","-",VLOOKUP('May-24'!$F163,Lista_CUIT!$A$1:$D$2241,2,0)),"CUIT NO CARGADO")</f>
        <v>-</v>
      </c>
      <c r="H163" s="94"/>
      <c r="I163" s="94"/>
      <c r="J163" s="94"/>
      <c r="K163" s="94"/>
      <c r="L163" s="94"/>
    </row>
    <row r="164" spans="3:12" ht="15.75" customHeight="1" x14ac:dyDescent="0.3">
      <c r="C164" s="92"/>
      <c r="D164" s="93"/>
      <c r="E164" s="93"/>
      <c r="F164" s="39"/>
      <c r="G164" s="40" t="str">
        <f>IFERROR(IF('May-24'!$F164="","-",VLOOKUP('May-24'!$F164,Lista_CUIT!$A$1:$D$2241,2,0)),"CUIT NO CARGADO")</f>
        <v>-</v>
      </c>
      <c r="H164" s="94"/>
      <c r="I164" s="94"/>
      <c r="J164" s="94"/>
      <c r="K164" s="94"/>
      <c r="L164" s="94"/>
    </row>
    <row r="165" spans="3:12" ht="15.75" customHeight="1" x14ac:dyDescent="0.3">
      <c r="C165" s="92"/>
      <c r="D165" s="93"/>
      <c r="E165" s="93"/>
      <c r="F165" s="39"/>
      <c r="G165" s="40" t="str">
        <f>IFERROR(IF('May-24'!$F165="","-",VLOOKUP('May-24'!$F165,Lista_CUIT!$A$1:$D$2241,2,0)),"CUIT NO CARGADO")</f>
        <v>-</v>
      </c>
      <c r="H165" s="94"/>
      <c r="I165" s="94"/>
      <c r="J165" s="94"/>
      <c r="K165" s="94"/>
      <c r="L165" s="94"/>
    </row>
    <row r="166" spans="3:12" ht="15.75" customHeight="1" x14ac:dyDescent="0.3">
      <c r="C166" s="92"/>
      <c r="D166" s="93"/>
      <c r="E166" s="93"/>
      <c r="F166" s="39"/>
      <c r="G166" s="40" t="str">
        <f>IFERROR(IF('May-24'!$F166="","-",VLOOKUP('May-24'!$F166,Lista_CUIT!$A$1:$D$2241,2,0)),"CUIT NO CARGADO")</f>
        <v>-</v>
      </c>
      <c r="H166" s="94"/>
      <c r="I166" s="94"/>
      <c r="J166" s="94"/>
      <c r="K166" s="94"/>
      <c r="L166" s="94"/>
    </row>
    <row r="167" spans="3:12" ht="15.75" customHeight="1" x14ac:dyDescent="0.3">
      <c r="C167" s="92"/>
      <c r="D167" s="93"/>
      <c r="E167" s="93"/>
      <c r="F167" s="39"/>
      <c r="G167" s="40" t="str">
        <f>IFERROR(IF('May-24'!$F167="","-",VLOOKUP('May-24'!$F167,Lista_CUIT!$A$1:$D$2241,2,0)),"CUIT NO CARGADO")</f>
        <v>-</v>
      </c>
      <c r="H167" s="94"/>
      <c r="I167" s="94"/>
      <c r="J167" s="94"/>
      <c r="K167" s="94"/>
      <c r="L167" s="94"/>
    </row>
    <row r="168" spans="3:12" ht="15.75" customHeight="1" x14ac:dyDescent="0.3">
      <c r="C168" s="92"/>
      <c r="D168" s="93"/>
      <c r="E168" s="93"/>
      <c r="F168" s="39"/>
      <c r="G168" s="40" t="str">
        <f>IFERROR(IF('May-24'!$F168="","-",VLOOKUP('May-24'!$F168,Lista_CUIT!$A$1:$D$2241,2,0)),"CUIT NO CARGADO")</f>
        <v>-</v>
      </c>
      <c r="H168" s="94"/>
      <c r="I168" s="94"/>
      <c r="J168" s="94"/>
      <c r="K168" s="94"/>
      <c r="L168" s="94"/>
    </row>
    <row r="169" spans="3:12" ht="15.75" customHeight="1" x14ac:dyDescent="0.3">
      <c r="C169" s="92"/>
      <c r="D169" s="93"/>
      <c r="E169" s="93"/>
      <c r="F169" s="39"/>
      <c r="G169" s="40" t="str">
        <f>IFERROR(IF('May-24'!$F169="","-",VLOOKUP('May-24'!$F169,Lista_CUIT!$A$1:$D$2241,2,0)),"CUIT NO CARGADO")</f>
        <v>-</v>
      </c>
      <c r="H169" s="94"/>
      <c r="I169" s="94"/>
      <c r="J169" s="94"/>
      <c r="K169" s="94"/>
      <c r="L169" s="94"/>
    </row>
    <row r="170" spans="3:12" ht="15.75" customHeight="1" x14ac:dyDescent="0.3">
      <c r="C170" s="92"/>
      <c r="D170" s="93"/>
      <c r="E170" s="93"/>
      <c r="F170" s="39"/>
      <c r="G170" s="40" t="str">
        <f>IFERROR(IF('May-24'!$F170="","-",VLOOKUP('May-24'!$F170,Lista_CUIT!$A$1:$D$2241,2,0)),"CUIT NO CARGADO")</f>
        <v>-</v>
      </c>
      <c r="H170" s="94"/>
      <c r="I170" s="94"/>
      <c r="J170" s="94"/>
      <c r="K170" s="94"/>
      <c r="L170" s="94"/>
    </row>
    <row r="171" spans="3:12" ht="15.75" customHeight="1" x14ac:dyDescent="0.3">
      <c r="C171" s="92"/>
      <c r="D171" s="93"/>
      <c r="E171" s="93"/>
      <c r="F171" s="39"/>
      <c r="G171" s="40" t="str">
        <f>IFERROR(IF('May-24'!$F171="","-",VLOOKUP('May-24'!$F171,Lista_CUIT!$A$1:$D$2241,2,0)),"CUIT NO CARGADO")</f>
        <v>-</v>
      </c>
      <c r="H171" s="94"/>
      <c r="I171" s="94"/>
      <c r="J171" s="94"/>
      <c r="K171" s="94"/>
      <c r="L171" s="94"/>
    </row>
    <row r="172" spans="3:12" ht="15.75" customHeight="1" x14ac:dyDescent="0.3">
      <c r="C172" s="92"/>
      <c r="D172" s="93"/>
      <c r="E172" s="93"/>
      <c r="F172" s="39"/>
      <c r="G172" s="40" t="str">
        <f>IFERROR(IF('May-24'!$F172="","-",VLOOKUP('May-24'!$F172,Lista_CUIT!$A$1:$D$2241,2,0)),"CUIT NO CARGADO")</f>
        <v>-</v>
      </c>
      <c r="H172" s="94"/>
      <c r="I172" s="94"/>
      <c r="J172" s="94"/>
      <c r="K172" s="94"/>
      <c r="L172" s="94"/>
    </row>
    <row r="173" spans="3:12" ht="15.75" customHeight="1" x14ac:dyDescent="0.3">
      <c r="C173" s="92"/>
      <c r="D173" s="93"/>
      <c r="E173" s="93"/>
      <c r="F173" s="39"/>
      <c r="G173" s="40" t="str">
        <f>IFERROR(IF('May-24'!$F173="","-",VLOOKUP('May-24'!$F173,Lista_CUIT!$A$1:$D$2241,2,0)),"CUIT NO CARGADO")</f>
        <v>-</v>
      </c>
      <c r="H173" s="94"/>
      <c r="I173" s="94"/>
      <c r="J173" s="94"/>
      <c r="K173" s="94"/>
      <c r="L173" s="94"/>
    </row>
    <row r="174" spans="3:12" ht="15.75" customHeight="1" x14ac:dyDescent="0.3">
      <c r="C174" s="92"/>
      <c r="D174" s="93"/>
      <c r="E174" s="93"/>
      <c r="F174" s="39"/>
      <c r="G174" s="40" t="str">
        <f>IFERROR(IF('May-24'!$F174="","-",VLOOKUP('May-24'!$F174,Lista_CUIT!$A$1:$D$2241,2,0)),"CUIT NO CARGADO")</f>
        <v>-</v>
      </c>
      <c r="H174" s="94"/>
      <c r="I174" s="94"/>
      <c r="J174" s="94"/>
      <c r="K174" s="94"/>
      <c r="L174" s="94"/>
    </row>
    <row r="175" spans="3:12" ht="15.75" customHeight="1" x14ac:dyDescent="0.3"/>
    <row r="176" spans="3:12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P4:R4"/>
    <mergeCell ref="D47:L47"/>
    <mergeCell ref="B119:C119"/>
    <mergeCell ref="C146:G146"/>
    <mergeCell ref="B3:E3"/>
    <mergeCell ref="B4:E4"/>
    <mergeCell ref="G4:H4"/>
    <mergeCell ref="D59:K59"/>
    <mergeCell ref="B84:J84"/>
    <mergeCell ref="K84:M84"/>
    <mergeCell ref="B86:C86"/>
    <mergeCell ref="B109:C109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H111:L115 K137:L137 H137:H138 J138:L138 L139:L140" xr:uid="{00000000-0002-0000-0200-000000000000}">
      <formula1>IF($C111=8,H111&lt;0,H111&gt;=0)</formula1>
    </dataValidation>
    <dataValidation type="decimal" allowBlank="1" showErrorMessage="1" sqref="D9:D41 E61:E77 D88:D103 D111:D115 D121:D140" xr:uid="{00000000-0002-0000-0200-000001000000}">
      <formula1>1</formula1>
      <formula2>9999</formula2>
    </dataValidation>
    <dataValidation type="custom" allowBlank="1" showErrorMessage="1" sqref="L100" xr:uid="{00000000-0002-0000-0200-000002000000}">
      <formula1>IF($C17=3,L17&lt;0,L17&gt;=0)</formula1>
    </dataValidation>
    <dataValidation type="decimal" allowBlank="1" showErrorMessage="1" sqref="C121:C140" xr:uid="{00000000-0002-0000-0200-000003000000}">
      <formula1>80</formula1>
      <formula2>80</formula2>
    </dataValidation>
    <dataValidation type="date" allowBlank="1" showErrorMessage="1" sqref="B9:B41 B43:B46 D49:D54 D61:D77 B88:B103 B111:B115 B121:B140" xr:uid="{00000000-0002-0000-0200-000004000000}">
      <formula1>40179</formula1>
      <formula2>TODAY()</formula2>
    </dataValidation>
    <dataValidation type="custom" allowBlank="1" showErrorMessage="1" sqref="L88:L97" xr:uid="{00000000-0002-0000-0200-000005000000}">
      <formula1>IF($C9=3,L9&lt;0,L9&gt;=0)</formula1>
    </dataValidation>
    <dataValidation type="custom" allowBlank="1" showErrorMessage="1" sqref="L98:L99" xr:uid="{00000000-0002-0000-0200-000006000000}">
      <formula1>IF($C12=3,L12&lt;0,L12&gt;=0)</formula1>
    </dataValidation>
    <dataValidation type="decimal" allowBlank="1" showErrorMessage="1" sqref="F9:F41 G61:G77 F88:F103 F111:F115 F136:F140" xr:uid="{00000000-0002-0000-0200-000007000000}">
      <formula1>20000000000</formula1>
      <formula2>33999999999</formula2>
    </dataValidation>
    <dataValidation type="decimal" allowBlank="1" showErrorMessage="1" sqref="C111:C115" xr:uid="{00000000-0002-0000-0200-000008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20 H21:M21 O21 H22:O25 H26:M26 O26 H27:O39 H40:N41" xr:uid="{00000000-0002-0000-0200-000009000000}">
      <formula1>IF($C9=3,H9&lt;0,H9&gt;=0)</formula1>
    </dataValidation>
    <dataValidation type="decimal" allowBlank="1" showErrorMessage="1" sqref="E9:E41 F61:F77 E88:E103 E111:E115 E121:E140" xr:uid="{00000000-0002-0000-0200-00000A000000}">
      <formula1>1</formula1>
      <formula2>99999999</formula2>
    </dataValidation>
    <dataValidation type="custom" allowBlank="1" showErrorMessage="1" sqref="L101:L103" xr:uid="{00000000-0002-0000-0200-00000B000000}">
      <formula1>IF($C16=3,L16&lt;0,L16&gt;=0)</formula1>
    </dataValidation>
    <dataValidation type="decimal" allowBlank="1" showErrorMessage="1" sqref="C9:C41 C43:C46 C88:C103" xr:uid="{00000000-0002-0000-0200-00000C000000}">
      <formula1>1</formula1>
      <formula2>3</formula2>
    </dataValidation>
    <dataValidation type="custom" allowBlank="1" showErrorMessage="1" sqref="H88:K88 I89:I103" xr:uid="{00000000-0002-0000-0200-00000D000000}">
      <formula1>IF($C88=3,H88&lt;0,H88&gt;=0)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9D9"/>
  </sheetPr>
  <dimension ref="A1:Z1000"/>
  <sheetViews>
    <sheetView showGridLines="0" topLeftCell="L79" zoomScale="80" zoomScaleNormal="80" workbookViewId="0">
      <selection activeCell="L82" sqref="L82:L89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.6640625" customWidth="1"/>
    <col min="9" max="9" width="17.5546875" customWidth="1"/>
    <col min="10" max="10" width="17.88671875" customWidth="1"/>
    <col min="11" max="11" width="20.33203125" customWidth="1"/>
    <col min="12" max="12" width="18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3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78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EDATE('Abr-24'!N1,2)</f>
        <v>45078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SUM('Jun-24'!$H$44)+'Jun-24'!$G$54</f>
        <v>6085853.21</v>
      </c>
      <c r="C4" s="476"/>
      <c r="D4" s="476"/>
      <c r="E4" s="477"/>
      <c r="F4" s="8"/>
      <c r="G4" s="491">
        <f>'Jun-24'!$I$44+'Jun-24'!$J$44+'Jun-24'!$K$44+'Jun-24'!$H$54+'Jun-24'!$I$54</f>
        <v>1259019.9830499999</v>
      </c>
      <c r="H4" s="477"/>
      <c r="I4" s="8"/>
      <c r="J4" s="494">
        <f>'Jun-24'!$H$91+'Jun-24'!$H$102</f>
        <v>40888667.079999998</v>
      </c>
      <c r="K4" s="477"/>
      <c r="L4" s="8"/>
      <c r="M4" s="494">
        <f>'Jun-24'!$I$91+'Jun-24'!$J$91+'Jun-24'!$I$102+'Jun-24'!$J$102</f>
        <v>4689871.8468000004</v>
      </c>
      <c r="N4" s="477"/>
      <c r="O4" s="8"/>
      <c r="P4" s="483">
        <f>G4-M4</f>
        <v>-3430851.8637500005</v>
      </c>
      <c r="Q4" s="476"/>
      <c r="R4" s="477"/>
    </row>
    <row r="5" spans="1:19" ht="12.75" customHeight="1" x14ac:dyDescent="0.3"/>
    <row r="6" spans="1:19" ht="10.5" customHeight="1" x14ac:dyDescent="0.3"/>
    <row r="7" spans="1:19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ht="14.4" x14ac:dyDescent="0.3">
      <c r="B9" s="12">
        <v>45444</v>
      </c>
      <c r="C9" s="13">
        <v>1</v>
      </c>
      <c r="D9" s="14">
        <v>3</v>
      </c>
      <c r="E9" s="15">
        <v>228991</v>
      </c>
      <c r="F9" s="16">
        <v>30707135596</v>
      </c>
      <c r="G9" s="17" t="str">
        <f>IFERROR(IF('Jun-24'!$F9="","-",VLOOKUP('Jun-24'!$F9,Lista_CUIT!$A$1:$D$2241,2,0)),"CUIT NO CARGADO")</f>
        <v>CITILAN ARGENTINA S.A.</v>
      </c>
      <c r="H9" s="18">
        <v>18640</v>
      </c>
      <c r="I9" s="23">
        <f>IF('Jun-24'!$H9="","",'Jun-24'!$H9*0.21)</f>
        <v>3914.3999999999996</v>
      </c>
      <c r="J9" s="23"/>
      <c r="K9" s="23"/>
      <c r="L9" s="23"/>
      <c r="M9" s="23"/>
      <c r="N9" s="23"/>
      <c r="O9" s="23"/>
      <c r="P9" s="20">
        <f>SUM('Jun-24'!$H9:$O9)</f>
        <v>22554.400000000001</v>
      </c>
      <c r="Q9" s="21" t="str">
        <f>IFERROR(IF('Jun-24'!$F9="","-",VLOOKUP('Jun-24'!$F9,Lista_CUIT!$A$1:$D$2241,3,0)),"CUIT NO CARGADO")</f>
        <v>Telefonia</v>
      </c>
      <c r="R9" s="21">
        <f>IFERROR(IF('Jun-24'!$F9="","-",VLOOKUP('Jun-24'!$F9,Lista_CUIT!$A$1:$D$2241,4,0)),"CUIT NO CARGADO")</f>
        <v>0</v>
      </c>
    </row>
    <row r="10" spans="1:19" ht="14.4" x14ac:dyDescent="0.3">
      <c r="B10" s="12">
        <v>45444</v>
      </c>
      <c r="C10" s="13">
        <v>1</v>
      </c>
      <c r="D10" s="14">
        <v>7</v>
      </c>
      <c r="E10" s="15">
        <v>16187</v>
      </c>
      <c r="F10" s="16">
        <v>30604413482</v>
      </c>
      <c r="G10" s="17" t="str">
        <f>IFERROR(IF('Jun-24'!$F10="","-",VLOOKUP('Jun-24'!$F10,Lista_CUIT!$A$1:$D$2241,2,0)),"CUIT NO CARGADO")</f>
        <v>BULONERA VIETRI SOCIEDAD DE RESPONSABILIDAD LIMITADA</v>
      </c>
      <c r="H10" s="18">
        <v>96750</v>
      </c>
      <c r="I10" s="23">
        <f>IF('Jun-24'!$H10="","",'Jun-24'!$H10*0.21)</f>
        <v>20317.5</v>
      </c>
      <c r="J10" s="23"/>
      <c r="K10" s="23"/>
      <c r="L10" s="23"/>
      <c r="M10" s="23"/>
      <c r="N10" s="23"/>
      <c r="O10" s="23"/>
      <c r="P10" s="20">
        <f>SUM('Jun-24'!$H10:$O10)</f>
        <v>117067.5</v>
      </c>
      <c r="Q10" s="21" t="str">
        <f>IFERROR(IF('Jun-24'!$F10="","-",VLOOKUP('Jun-24'!$F10,Lista_CUIT!$A$1:$D$2241,3,0)),"CUIT NO CARGADO")</f>
        <v>INSUMO</v>
      </c>
      <c r="R10" s="21">
        <f>IFERROR(IF('Jun-24'!$F10="","-",VLOOKUP('Jun-24'!$F10,Lista_CUIT!$A$1:$D$2241,4,0)),"CUIT NO CARGADO")</f>
        <v>0</v>
      </c>
    </row>
    <row r="11" spans="1:19" ht="14.4" x14ac:dyDescent="0.3">
      <c r="B11" s="12">
        <v>45444</v>
      </c>
      <c r="C11" s="13">
        <v>1</v>
      </c>
      <c r="D11" s="14">
        <v>3</v>
      </c>
      <c r="E11" s="15">
        <v>761</v>
      </c>
      <c r="F11" s="16">
        <v>30715402765</v>
      </c>
      <c r="G11" s="17" t="str">
        <f>IFERROR(IF('Jun-24'!$F11="","-",VLOOKUP('Jun-24'!$F11,Lista_CUIT!$A$1:$D$2241,2,0)),"CUIT NO CARGADO")</f>
        <v>RIO 265 S.R.L.</v>
      </c>
      <c r="H11" s="18">
        <v>54545.48</v>
      </c>
      <c r="I11" s="23">
        <f>IF('Jun-24'!$H11="","",'Jun-24'!$H11*0.21)</f>
        <v>11454.550800000001</v>
      </c>
      <c r="J11" s="23"/>
      <c r="K11" s="23"/>
      <c r="L11" s="23"/>
      <c r="M11" s="23"/>
      <c r="N11" s="23"/>
      <c r="O11" s="23"/>
      <c r="P11" s="20">
        <f>SUM('Jun-24'!$H11:$O11)</f>
        <v>66000.030800000008</v>
      </c>
      <c r="Q11" s="21" t="str">
        <f>IFERROR(IF('Jun-24'!$F11="","-",VLOOKUP('Jun-24'!$F11,Lista_CUIT!$A$1:$D$2241,3,0)),"CUIT NO CARGADO")</f>
        <v>GASTOS VARIOS</v>
      </c>
      <c r="R11" s="21">
        <f>IFERROR(IF('Jun-24'!$F11="","-",VLOOKUP('Jun-24'!$F11,Lista_CUIT!$A$1:$D$2241,4,0)),"CUIT NO CARGADO")</f>
        <v>0</v>
      </c>
    </row>
    <row r="12" spans="1:19" ht="14.4" x14ac:dyDescent="0.3">
      <c r="B12" s="12">
        <v>45446</v>
      </c>
      <c r="C12" s="13">
        <v>1</v>
      </c>
      <c r="D12" s="14">
        <v>106</v>
      </c>
      <c r="E12" s="15">
        <v>738981</v>
      </c>
      <c r="F12" s="16">
        <v>30594494187</v>
      </c>
      <c r="G12" s="17" t="str">
        <f>IFERROR(IF('Jun-24'!$F12="","-",VLOOKUP('Jun-24'!$F12,Lista_CUIT!$A$1:$D$2241,2,0)),"CUIT NO CARGADO")</f>
        <v>FEDERAL EXPRESS CORPORATION</v>
      </c>
      <c r="H12" s="18">
        <v>0</v>
      </c>
      <c r="I12" s="23">
        <f>IF('Jun-24'!$H12="","",'Jun-24'!$H12*0.21)</f>
        <v>0</v>
      </c>
      <c r="J12" s="23"/>
      <c r="K12" s="23"/>
      <c r="L12" s="23"/>
      <c r="M12" s="23"/>
      <c r="N12" s="23"/>
      <c r="O12" s="23">
        <v>294669.05</v>
      </c>
      <c r="P12" s="20">
        <f>SUM('Jun-24'!$H12:$O12)</f>
        <v>294669.05</v>
      </c>
      <c r="Q12" s="21" t="str">
        <f>IFERROR(IF('Jun-24'!$F12="","-",VLOOKUP('Jun-24'!$F12,Lista_CUIT!$A$1:$D$2241,3,0)),"CUIT NO CARGADO")</f>
        <v>Gastos Importacion</v>
      </c>
      <c r="R12" s="21">
        <f>IFERROR(IF('Jun-24'!$F12="","-",VLOOKUP('Jun-24'!$F12,Lista_CUIT!$A$1:$D$2241,4,0)),"CUIT NO CARGADO")</f>
        <v>0</v>
      </c>
    </row>
    <row r="13" spans="1:19" ht="14.4" x14ac:dyDescent="0.3">
      <c r="B13" s="12">
        <v>45446</v>
      </c>
      <c r="C13" s="13">
        <v>1</v>
      </c>
      <c r="D13" s="14">
        <v>106</v>
      </c>
      <c r="E13" s="15">
        <v>738982</v>
      </c>
      <c r="F13" s="16">
        <v>30594494187</v>
      </c>
      <c r="G13" s="17" t="str">
        <f>IFERROR(IF('Jun-24'!$F13="","-",VLOOKUP('Jun-24'!$F13,Lista_CUIT!$A$1:$D$2241,2,0)),"CUIT NO CARGADO")</f>
        <v>FEDERAL EXPRESS CORPORATION</v>
      </c>
      <c r="H13" s="18">
        <v>0</v>
      </c>
      <c r="I13" s="23">
        <f>IF('Jun-24'!$H13="","",'Jun-24'!$H13*0.21)</f>
        <v>0</v>
      </c>
      <c r="J13" s="23"/>
      <c r="K13" s="23"/>
      <c r="L13" s="23"/>
      <c r="M13" s="23"/>
      <c r="N13" s="23"/>
      <c r="O13" s="23">
        <v>407229.16</v>
      </c>
      <c r="P13" s="20">
        <f>SUM('Jun-24'!$H13:$O13)</f>
        <v>407229.16</v>
      </c>
      <c r="Q13" s="21" t="str">
        <f>IFERROR(IF('Jun-24'!$F13="","-",VLOOKUP('Jun-24'!$F13,Lista_CUIT!$A$1:$D$2241,3,0)),"CUIT NO CARGADO")</f>
        <v>Gastos Importacion</v>
      </c>
      <c r="R13" s="21">
        <f>IFERROR(IF('Jun-24'!$F13="","-",VLOOKUP('Jun-24'!$F13,Lista_CUIT!$A$1:$D$2241,4,0)),"CUIT NO CARGADO")</f>
        <v>0</v>
      </c>
    </row>
    <row r="14" spans="1:19" ht="14.4" x14ac:dyDescent="0.3">
      <c r="B14" s="12">
        <v>45446</v>
      </c>
      <c r="C14" s="13">
        <v>1</v>
      </c>
      <c r="D14" s="14">
        <v>7</v>
      </c>
      <c r="E14" s="15">
        <v>16197</v>
      </c>
      <c r="F14" s="16">
        <v>30604413482</v>
      </c>
      <c r="G14" s="17" t="str">
        <f>IFERROR(IF('Jun-24'!$F14="","-",VLOOKUP('Jun-24'!$F14,Lista_CUIT!$A$1:$D$2241,2,0)),"CUIT NO CARGADO")</f>
        <v>BULONERA VIETRI SOCIEDAD DE RESPONSABILIDAD LIMITADA</v>
      </c>
      <c r="H14" s="18">
        <v>34800</v>
      </c>
      <c r="I14" s="23">
        <f>IF('Jun-24'!$H14="","",'Jun-24'!$H14*0.21)</f>
        <v>7308</v>
      </c>
      <c r="J14" s="23"/>
      <c r="K14" s="23"/>
      <c r="L14" s="23"/>
      <c r="M14" s="23"/>
      <c r="N14" s="23"/>
      <c r="O14" s="23"/>
      <c r="P14" s="20">
        <f>SUM('Jun-24'!$H14:$O14)</f>
        <v>42108</v>
      </c>
      <c r="Q14" s="21" t="str">
        <f>IFERROR(IF('Jun-24'!$F14="","-",VLOOKUP('Jun-24'!$F14,Lista_CUIT!$A$1:$D$2241,3,0)),"CUIT NO CARGADO")</f>
        <v>INSUMO</v>
      </c>
      <c r="R14" s="21">
        <f>IFERROR(IF('Jun-24'!$F14="","-",VLOOKUP('Jun-24'!$F14,Lista_CUIT!$A$1:$D$2241,4,0)),"CUIT NO CARGADO")</f>
        <v>0</v>
      </c>
    </row>
    <row r="15" spans="1:19" ht="14.4" x14ac:dyDescent="0.3">
      <c r="B15" s="12">
        <v>45446</v>
      </c>
      <c r="C15" s="13">
        <v>1</v>
      </c>
      <c r="D15" s="14">
        <v>2</v>
      </c>
      <c r="E15" s="15">
        <v>752</v>
      </c>
      <c r="F15" s="16">
        <v>20296550184</v>
      </c>
      <c r="G15" s="17" t="str">
        <f>IFERROR(IF('Jun-24'!$F15="","-",VLOOKUP('Jun-24'!$F15,Lista_CUIT!$A$1:$D$2241,2,0)),"CUIT NO CARGADO")</f>
        <v>COSTA DIEGO ALEJANDRO</v>
      </c>
      <c r="H15" s="18">
        <v>575800</v>
      </c>
      <c r="I15" s="23">
        <f>IF('Jun-24'!$H15="","",'Jun-24'!$H15*0.21)</f>
        <v>120918</v>
      </c>
      <c r="J15" s="23"/>
      <c r="K15" s="23"/>
      <c r="L15" s="23"/>
      <c r="M15" s="23"/>
      <c r="N15" s="23"/>
      <c r="O15" s="23"/>
      <c r="P15" s="20">
        <f>SUM('Jun-24'!$H15:$O15)</f>
        <v>696718</v>
      </c>
      <c r="Q15" s="21" t="str">
        <f>IFERROR(IF('Jun-24'!$F15="","-",VLOOKUP('Jun-24'!$F15,Lista_CUIT!$A$1:$D$2241,3,0)),"CUIT NO CARGADO")</f>
        <v>Mat. Prima</v>
      </c>
      <c r="R15" s="21">
        <f>IFERROR(IF('Jun-24'!$F15="","-",VLOOKUP('Jun-24'!$F15,Lista_CUIT!$A$1:$D$2241,4,0)),"CUIT NO CARGADO")</f>
        <v>0</v>
      </c>
    </row>
    <row r="16" spans="1:19" ht="14.4" x14ac:dyDescent="0.3">
      <c r="B16" s="12">
        <v>45447</v>
      </c>
      <c r="C16" s="13">
        <v>1</v>
      </c>
      <c r="D16" s="14">
        <v>12</v>
      </c>
      <c r="E16" s="15">
        <v>13219</v>
      </c>
      <c r="F16" s="16">
        <v>30694497701</v>
      </c>
      <c r="G16" s="382" t="str">
        <f>IFERROR(IF('Jun-24'!$F16="","-",VLOOKUP('Jun-24'!$F16,Lista_CUIT!$A$1:$D$2241,2,0)),"CUIT NO CARGADO")</f>
        <v>DECOR ALUM SRL</v>
      </c>
      <c r="H16" s="18">
        <v>58134.44</v>
      </c>
      <c r="I16" s="23">
        <f>IF('Jun-24'!$H16="","",'Jun-24'!$H16*0.21)</f>
        <v>12208.232400000001</v>
      </c>
      <c r="J16" s="23"/>
      <c r="K16" s="23"/>
      <c r="L16" s="23"/>
      <c r="M16" s="23"/>
      <c r="N16" s="23"/>
      <c r="O16" s="23"/>
      <c r="P16" s="20">
        <f>SUM('Jun-24'!$H16:$O16)</f>
        <v>70342.67240000001</v>
      </c>
      <c r="Q16" s="21" t="str">
        <f>IFERROR(IF('Jun-24'!$F16="","-",VLOOKUP('Jun-24'!$F16,Lista_CUIT!$A$1:$D$2241,3,0)),"CUIT NO CARGADO")</f>
        <v>INSUMO</v>
      </c>
      <c r="R16" s="21">
        <f>IFERROR(IF('Jun-24'!$F16="","-",VLOOKUP('Jun-24'!$F16,Lista_CUIT!$A$1:$D$2241,4,0)),"CUIT NO CARGADO")</f>
        <v>0</v>
      </c>
    </row>
    <row r="17" spans="2:19" ht="14.4" x14ac:dyDescent="0.3">
      <c r="B17" s="12">
        <v>45447</v>
      </c>
      <c r="C17" s="13">
        <v>1</v>
      </c>
      <c r="D17" s="14">
        <v>4</v>
      </c>
      <c r="E17" s="15">
        <v>101620</v>
      </c>
      <c r="F17" s="16">
        <v>30559932236</v>
      </c>
      <c r="G17" s="382" t="str">
        <f>IFERROR(IF('Jun-24'!$F17="","-",VLOOKUP('Jun-24'!$F17,Lista_CUIT!$A$1:$D$2241,2,0)),"CUIT NO CARGADO")</f>
        <v>ELECTRONICA ELEMON S A</v>
      </c>
      <c r="H17" s="18">
        <v>1047897.59</v>
      </c>
      <c r="I17" s="23">
        <f>857376*0.21</f>
        <v>180048.96</v>
      </c>
      <c r="J17" s="23"/>
      <c r="K17" s="23">
        <f>190521.59*0.105</f>
        <v>20004.766949999997</v>
      </c>
      <c r="L17" s="23"/>
      <c r="M17" s="23"/>
      <c r="N17" s="23"/>
      <c r="O17" s="23"/>
      <c r="P17" s="20">
        <f>SUM('Jun-24'!$H17:$O17)</f>
        <v>1247951.3169500001</v>
      </c>
      <c r="Q17" s="21" t="str">
        <f>IFERROR(IF('Jun-24'!$F17="","-",VLOOKUP('Jun-24'!$F17,Lista_CUIT!$A$1:$D$2241,3,0)),"CUIT NO CARGADO")</f>
        <v>Mat. Prima</v>
      </c>
      <c r="R17" s="21">
        <f>IFERROR(IF('Jun-24'!$F17="","-",VLOOKUP('Jun-24'!$F17,Lista_CUIT!$A$1:$D$2241,4,0)),"CUIT NO CARGADO")</f>
        <v>0</v>
      </c>
    </row>
    <row r="18" spans="2:19" ht="14.4" x14ac:dyDescent="0.3">
      <c r="B18" s="12">
        <v>45448</v>
      </c>
      <c r="C18" s="13">
        <v>1</v>
      </c>
      <c r="D18" s="14">
        <v>7</v>
      </c>
      <c r="E18" s="15">
        <v>16226</v>
      </c>
      <c r="F18" s="16">
        <v>30604413482</v>
      </c>
      <c r="G18" s="382" t="str">
        <f>IFERROR(IF('Jun-24'!$F18="","-",VLOOKUP('Jun-24'!$F18,Lista_CUIT!$A$1:$D$2241,2,0)),"CUIT NO CARGADO")</f>
        <v>BULONERA VIETRI SOCIEDAD DE RESPONSABILIDAD LIMITADA</v>
      </c>
      <c r="H18" s="18">
        <v>368972.81</v>
      </c>
      <c r="I18" s="23">
        <f>IF('Jun-24'!$H18="","",'Jun-24'!$H18*0.21)</f>
        <v>77484.290099999998</v>
      </c>
      <c r="J18" s="23"/>
      <c r="K18" s="23"/>
      <c r="L18" s="23"/>
      <c r="M18" s="23"/>
      <c r="N18" s="23"/>
      <c r="O18" s="23"/>
      <c r="P18" s="20">
        <f>SUM('Jun-24'!$H18:$O18)</f>
        <v>446457.10009999998</v>
      </c>
      <c r="Q18" s="21" t="str">
        <f>IFERROR(IF('Jun-24'!$F18="","-",VLOOKUP('Jun-24'!$F18,Lista_CUIT!$A$1:$D$2241,3,0)),"CUIT NO CARGADO")</f>
        <v>INSUMO</v>
      </c>
      <c r="R18" s="21">
        <f>IFERROR(IF('Jun-24'!$F18="","-",VLOOKUP('Jun-24'!$F18,Lista_CUIT!$A$1:$D$2241,4,0)),"CUIT NO CARGADO")</f>
        <v>0</v>
      </c>
    </row>
    <row r="19" spans="2:19" ht="14.4" x14ac:dyDescent="0.3">
      <c r="B19" s="12">
        <v>45449</v>
      </c>
      <c r="C19" s="13">
        <v>1</v>
      </c>
      <c r="D19" s="14">
        <v>1</v>
      </c>
      <c r="E19" s="15">
        <v>812</v>
      </c>
      <c r="F19" s="16">
        <v>30715048066</v>
      </c>
      <c r="G19" s="382" t="str">
        <f>IFERROR(IF('Jun-24'!$F19="","-",VLOOKUP('Jun-24'!$F19,Lista_CUIT!$A$1:$D$2241,2,0)),"CUIT NO CARGADO")</f>
        <v>ROLLS Y EMPANADAS SA</v>
      </c>
      <c r="H19" s="18">
        <v>685860</v>
      </c>
      <c r="I19" s="23">
        <f>IF('Jun-24'!$H19="","",'Jun-24'!$H19*0.21)</f>
        <v>144030.6</v>
      </c>
      <c r="J19" s="23"/>
      <c r="K19" s="23"/>
      <c r="L19" s="23"/>
      <c r="M19" s="23"/>
      <c r="N19" s="23"/>
      <c r="O19" s="23"/>
      <c r="P19" s="20">
        <f>SUM('Jun-24'!$H19:$O19)</f>
        <v>829890.6</v>
      </c>
      <c r="Q19" s="21" t="str">
        <f>IFERROR(IF('Jun-24'!$F19="","-",VLOOKUP('Jun-24'!$F19,Lista_CUIT!$A$1:$D$2241,3,0)),"CUIT NO CARGADO")</f>
        <v>CATERING</v>
      </c>
      <c r="R19" s="21">
        <f>IFERROR(IF('Jun-24'!$F19="","-",VLOOKUP('Jun-24'!$F19,Lista_CUIT!$A$1:$D$2241,4,0)),"CUIT NO CARGADO")</f>
        <v>0</v>
      </c>
    </row>
    <row r="20" spans="2:19" ht="14.4" x14ac:dyDescent="0.3">
      <c r="B20" s="12">
        <v>45449</v>
      </c>
      <c r="C20" s="13">
        <v>1</v>
      </c>
      <c r="D20" s="14">
        <v>1</v>
      </c>
      <c r="E20" s="15">
        <v>800</v>
      </c>
      <c r="F20" s="16">
        <v>30715048066</v>
      </c>
      <c r="G20" s="382" t="str">
        <f>IFERROR(IF('Jun-24'!$F20="","-",VLOOKUP('Jun-24'!$F20,Lista_CUIT!$A$1:$D$2241,2,0)),"CUIT NO CARGADO")</f>
        <v>ROLLS Y EMPANADAS SA</v>
      </c>
      <c r="H20" s="18">
        <v>621040</v>
      </c>
      <c r="I20" s="23">
        <f>IF('Jun-24'!$H20="","",'Jun-24'!$H20*0.21)</f>
        <v>130418.4</v>
      </c>
      <c r="J20" s="23"/>
      <c r="K20" s="23"/>
      <c r="L20" s="23"/>
      <c r="M20" s="23"/>
      <c r="N20" s="23"/>
      <c r="O20" s="23"/>
      <c r="P20" s="20">
        <f>SUM('Jun-24'!$H20:$O20)</f>
        <v>751458.4</v>
      </c>
      <c r="Q20" s="21" t="str">
        <f>IFERROR(IF('Jun-24'!$F20="","-",VLOOKUP('Jun-24'!$F20,Lista_CUIT!$A$1:$D$2241,3,0)),"CUIT NO CARGADO")</f>
        <v>CATERING</v>
      </c>
      <c r="R20" s="21">
        <f>IFERROR(IF('Jun-24'!$F20="","-",VLOOKUP('Jun-24'!$F20,Lista_CUIT!$A$1:$D$2241,4,0)),"CUIT NO CARGADO")</f>
        <v>0</v>
      </c>
    </row>
    <row r="21" spans="2:19" ht="15.75" customHeight="1" x14ac:dyDescent="0.3">
      <c r="B21" s="12">
        <v>45450</v>
      </c>
      <c r="C21" s="13">
        <v>1</v>
      </c>
      <c r="D21" s="14">
        <v>327</v>
      </c>
      <c r="E21" s="15">
        <v>367</v>
      </c>
      <c r="F21" s="16">
        <v>30556565798</v>
      </c>
      <c r="G21" s="382" t="str">
        <f>IFERROR(IF('Jun-24'!$F21="","-",VLOOKUP('Jun-24'!$F21,Lista_CUIT!$A$1:$D$2241,2,0)),"CUIT NO CARGADO")</f>
        <v>VICTOR MASSON TRANSPORTES CRUZ DEL SUR S A</v>
      </c>
      <c r="H21" s="18">
        <v>18042</v>
      </c>
      <c r="I21" s="23">
        <f>IF('Jun-24'!$H21="","",'Jun-24'!$H21*0.21)</f>
        <v>3788.8199999999997</v>
      </c>
      <c r="J21" s="23"/>
      <c r="K21" s="23"/>
      <c r="L21" s="23"/>
      <c r="M21" s="23"/>
      <c r="N21" s="23"/>
      <c r="O21" s="23"/>
      <c r="P21" s="20">
        <f>SUM('Jun-24'!$H21:$O21)</f>
        <v>21830.82</v>
      </c>
      <c r="Q21" s="21" t="str">
        <f>IFERROR(IF('Jun-24'!$F21="","-",VLOOKUP('Jun-24'!$F21,Lista_CUIT!$A$1:$D$2241,3,0)),"CUIT NO CARGADO")</f>
        <v>FLETE-LOGISTICA</v>
      </c>
      <c r="R21" s="21">
        <f>IFERROR(IF('Jun-24'!$F21="","-",VLOOKUP('Jun-24'!$F21,Lista_CUIT!$A$1:$D$2241,4,0)),"CUIT NO CARGADO")</f>
        <v>0</v>
      </c>
    </row>
    <row r="22" spans="2:19" ht="15.75" customHeight="1" x14ac:dyDescent="0.3">
      <c r="B22" s="12">
        <v>45454</v>
      </c>
      <c r="C22" s="13">
        <v>1</v>
      </c>
      <c r="D22" s="14">
        <v>2466</v>
      </c>
      <c r="E22" s="15">
        <v>656251</v>
      </c>
      <c r="F22" s="16">
        <v>30678814357</v>
      </c>
      <c r="G22" s="382" t="str">
        <f>IFERROR(IF('Jun-24'!$F22="","-",VLOOKUP('Jun-24'!$F22,Lista_CUIT!$A$1:$D$2241,2,0)),"CUIT NO CARGADO")</f>
        <v>TELEFONICA MOVILES ARG</v>
      </c>
      <c r="H22" s="18">
        <v>21524.65</v>
      </c>
      <c r="I22" s="23"/>
      <c r="J22" s="23">
        <f>'Jun-24'!$H22*0.27</f>
        <v>5811.6555000000008</v>
      </c>
      <c r="K22" s="23"/>
      <c r="L22" s="23">
        <v>645.74</v>
      </c>
      <c r="M22" s="23"/>
      <c r="N22" s="23"/>
      <c r="O22" s="23">
        <v>1124.2</v>
      </c>
      <c r="P22" s="135">
        <f>SUM('Jun-24'!$H22:$O22)</f>
        <v>29106.245500000005</v>
      </c>
      <c r="Q22" s="21" t="str">
        <f>IFERROR(IF('Jun-24'!$F22="","-",VLOOKUP('Jun-24'!$F22,Lista_CUIT!$A$1:$D$2241,3,0)),"CUIT NO CARGADO")</f>
        <v>Telefonia</v>
      </c>
      <c r="R22" s="21">
        <f>IFERROR(IF('Jun-24'!$F22="","-",VLOOKUP('Jun-24'!$F22,Lista_CUIT!$A$1:$D$2241,4,0)),"CUIT NO CARGADO")</f>
        <v>0</v>
      </c>
    </row>
    <row r="23" spans="2:19" ht="15.75" customHeight="1" x14ac:dyDescent="0.3">
      <c r="B23" s="12">
        <v>45456</v>
      </c>
      <c r="C23" s="13">
        <v>1</v>
      </c>
      <c r="D23" s="14">
        <v>3</v>
      </c>
      <c r="E23" s="15">
        <v>238092</v>
      </c>
      <c r="F23" s="16">
        <v>33658043779</v>
      </c>
      <c r="G23" s="382" t="str">
        <f>IFERROR(IF('Jun-24'!$F23="","-",VLOOKUP('Jun-24'!$F23,Lista_CUIT!$A$1:$D$2241,2,0)),"CUIT NO CARGADO")</f>
        <v>BUREAU VERITAS ARGENTINA SA</v>
      </c>
      <c r="H23" s="18">
        <v>440000</v>
      </c>
      <c r="I23" s="23">
        <f>IF('Jun-24'!$H23="","",'Jun-24'!$H23*0.21)</f>
        <v>92400</v>
      </c>
      <c r="J23" s="23"/>
      <c r="K23" s="23"/>
      <c r="L23" s="23"/>
      <c r="M23" s="23"/>
      <c r="N23" s="23"/>
      <c r="O23" s="23"/>
      <c r="P23" s="20">
        <f>SUM('Jun-24'!$H23:$O23)</f>
        <v>532400</v>
      </c>
      <c r="Q23" s="21" t="str">
        <f>IFERROR(IF('Jun-24'!$F23="","-",VLOOKUP('Jun-24'!$F23,Lista_CUIT!$A$1:$D$2241,3,0)),"CUIT NO CARGADO")</f>
        <v>Servicios Informaticos</v>
      </c>
      <c r="R23" s="21">
        <f>IFERROR(IF('Jun-24'!$F23="","-",VLOOKUP('Jun-24'!$F23,Lista_CUIT!$A$1:$D$2241,4,0)),"CUIT NO CARGADO")</f>
        <v>0</v>
      </c>
      <c r="S23" s="10"/>
    </row>
    <row r="24" spans="2:19" ht="15.75" customHeight="1" x14ac:dyDescent="0.3">
      <c r="B24" s="12">
        <v>45461</v>
      </c>
      <c r="C24" s="13">
        <v>1</v>
      </c>
      <c r="D24" s="14">
        <v>106</v>
      </c>
      <c r="E24" s="15">
        <v>743680</v>
      </c>
      <c r="F24" s="16">
        <v>30594494187</v>
      </c>
      <c r="G24" s="382" t="str">
        <f>IFERROR(IF('Jun-24'!$F24="","-",VLOOKUP('Jun-24'!$F24,Lista_CUIT!$A$1:$D$2241,2,0)),"CUIT NO CARGADO")</f>
        <v>FEDERAL EXPRESS CORPORATION</v>
      </c>
      <c r="H24" s="18">
        <v>0</v>
      </c>
      <c r="I24" s="23">
        <f>IF('Jun-24'!$H24="","",'Jun-24'!$H24*0.21)</f>
        <v>0</v>
      </c>
      <c r="J24" s="23"/>
      <c r="K24" s="23"/>
      <c r="L24" s="23"/>
      <c r="M24" s="23"/>
      <c r="N24" s="23"/>
      <c r="O24" s="23">
        <v>398826.94</v>
      </c>
      <c r="P24" s="20">
        <f>SUM('Jun-24'!$H24:$O24)</f>
        <v>398826.94</v>
      </c>
      <c r="Q24" s="21" t="str">
        <f>IFERROR(IF('Jun-24'!$F24="","-",VLOOKUP('Jun-24'!$F24,Lista_CUIT!$A$1:$D$2241,3,0)),"CUIT NO CARGADO")</f>
        <v>Gastos Importacion</v>
      </c>
      <c r="R24" s="21">
        <f>IFERROR(IF('Jun-24'!$F24="","-",VLOOKUP('Jun-24'!$F24,Lista_CUIT!$A$1:$D$2241,4,0)),"CUIT NO CARGADO")</f>
        <v>0</v>
      </c>
      <c r="S24" s="10"/>
    </row>
    <row r="25" spans="2:19" ht="15.75" customHeight="1" x14ac:dyDescent="0.3">
      <c r="B25" s="12">
        <v>45468</v>
      </c>
      <c r="C25" s="13">
        <v>1</v>
      </c>
      <c r="D25" s="14">
        <v>5</v>
      </c>
      <c r="E25" s="15">
        <v>11670</v>
      </c>
      <c r="F25" s="16">
        <v>30716006391</v>
      </c>
      <c r="G25" s="382" t="str">
        <f>IFERROR(IF('Jun-24'!$F25="","-",VLOOKUP('Jun-24'!$F25,Lista_CUIT!$A$1:$D$2241,2,0)),"CUIT NO CARGADO")</f>
        <v>ALLISING</v>
      </c>
      <c r="H25" s="18">
        <v>31885.95</v>
      </c>
      <c r="I25" s="23">
        <f>IF('Jun-24'!$H25="","",'Jun-24'!$H25*0.21)</f>
        <v>6696.0495000000001</v>
      </c>
      <c r="J25" s="23"/>
      <c r="K25" s="23"/>
      <c r="L25" s="23"/>
      <c r="M25" s="23"/>
      <c r="N25" s="23"/>
      <c r="O25" s="23"/>
      <c r="P25" s="20">
        <f>SUM('Jun-24'!$H25:$O25)</f>
        <v>38581.999499999998</v>
      </c>
      <c r="Q25" s="21" t="str">
        <f>IFERROR(IF('Jun-24'!$F25="","-",VLOOKUP('Jun-24'!$F25,Lista_CUIT!$A$1:$D$2241,3,0)),"CUIT NO CARGADO")</f>
        <v>GASTOS VARIOS</v>
      </c>
      <c r="R25" s="21">
        <f>IFERROR(IF('Jun-24'!$F25="","-",VLOOKUP('Jun-24'!$F25,Lista_CUIT!$A$1:$D$2241,4,0)),"CUIT NO CARGADO")</f>
        <v>0</v>
      </c>
      <c r="S25" s="10"/>
    </row>
    <row r="26" spans="2:19" ht="15.75" customHeight="1" x14ac:dyDescent="0.3">
      <c r="B26" s="12">
        <v>45469</v>
      </c>
      <c r="C26" s="13">
        <v>1</v>
      </c>
      <c r="D26" s="14">
        <v>5</v>
      </c>
      <c r="E26" s="15">
        <v>818</v>
      </c>
      <c r="F26" s="16">
        <v>20309706197</v>
      </c>
      <c r="G26" s="382" t="str">
        <f>IFERROR(IF('Jun-24'!$F26="","-",VLOOKUP('Jun-24'!$F26,Lista_CUIT!$A$1:$D$2241,2,0)),"CUIT NO CARGADO")</f>
        <v>QUIROGA ARIEL ALEJANDRO</v>
      </c>
      <c r="H26" s="18">
        <v>49585.95</v>
      </c>
      <c r="I26" s="23">
        <f>IF('Jun-24'!$H26="","",'Jun-24'!$H26*0.21)</f>
        <v>10413.049499999999</v>
      </c>
      <c r="J26" s="23"/>
      <c r="K26" s="23"/>
      <c r="L26" s="23"/>
      <c r="M26" s="23"/>
      <c r="N26" s="23"/>
      <c r="O26" s="23"/>
      <c r="P26" s="20">
        <f>SUM('Jun-24'!$H26:$O26)</f>
        <v>59998.999499999998</v>
      </c>
      <c r="Q26" s="21" t="str">
        <f>IFERROR(IF('Jun-24'!$F26="","-",VLOOKUP('Jun-24'!$F26,Lista_CUIT!$A$1:$D$2241,3,0)),"CUIT NO CARGADO")</f>
        <v>Ropa de Trabajo</v>
      </c>
      <c r="R26" s="21">
        <f>IFERROR(IF('Jun-24'!$F26="","-",VLOOKUP('Jun-24'!$F26,Lista_CUIT!$A$1:$D$2241,4,0)),"CUIT NO CARGADO")</f>
        <v>0</v>
      </c>
      <c r="S26" s="10"/>
    </row>
    <row r="27" spans="2:19" ht="15.75" customHeight="1" x14ac:dyDescent="0.3">
      <c r="B27" s="12">
        <v>45469</v>
      </c>
      <c r="C27" s="13">
        <v>1</v>
      </c>
      <c r="D27" s="14">
        <v>2</v>
      </c>
      <c r="E27" s="15">
        <v>9126</v>
      </c>
      <c r="F27" s="16">
        <v>33717240249</v>
      </c>
      <c r="G27" s="382" t="str">
        <f>IFERROR(IF('Jun-24'!$F27="","-",VLOOKUP('Jun-24'!$F27,Lista_CUIT!$A$1:$D$2241,2,0)),"CUIT NO CARGADO")</f>
        <v>PERFU FAN S.R.L</v>
      </c>
      <c r="H27" s="18">
        <v>14238</v>
      </c>
      <c r="I27" s="23">
        <f>IF('Jun-24'!$H27="","",'Jun-24'!$H27*0.21)</f>
        <v>2989.98</v>
      </c>
      <c r="J27" s="23"/>
      <c r="K27" s="23"/>
      <c r="L27" s="23"/>
      <c r="M27" s="23"/>
      <c r="N27" s="23"/>
      <c r="O27" s="23"/>
      <c r="P27" s="20">
        <f>SUM('Jun-24'!$H27:$O27)</f>
        <v>17227.98</v>
      </c>
      <c r="Q27" s="21" t="str">
        <f>IFERROR(IF('Jun-24'!$F27="","-",VLOOKUP('Jun-24'!$F27,Lista_CUIT!$A$1:$D$2241,3,0)),"CUIT NO CARGADO")</f>
        <v>Gastos Oficina</v>
      </c>
      <c r="R27" s="21">
        <f>IFERROR(IF('Jun-24'!$F27="","-",VLOOKUP('Jun-24'!$F27,Lista_CUIT!$A$1:$D$2241,4,0)),"CUIT NO CARGADO")</f>
        <v>0</v>
      </c>
      <c r="S27" s="10"/>
    </row>
    <row r="28" spans="2:19" ht="15.75" customHeight="1" x14ac:dyDescent="0.3">
      <c r="B28" s="12">
        <v>45469</v>
      </c>
      <c r="C28" s="13">
        <v>1</v>
      </c>
      <c r="D28" s="14">
        <v>3</v>
      </c>
      <c r="E28" s="15">
        <v>912</v>
      </c>
      <c r="F28" s="16">
        <v>27424730608</v>
      </c>
      <c r="G28" s="382" t="str">
        <f>IFERROR(IF('Jun-24'!$F28="","-",VLOOKUP('Jun-24'!$F28,Lista_CUIT!$A$1:$D$2241,2,0)),"CUIT NO CARGADO")</f>
        <v>VAZQUEZ CABRAL WANDA MILENA</v>
      </c>
      <c r="H28" s="18">
        <v>28132.23</v>
      </c>
      <c r="I28" s="23">
        <f>IF('Jun-24'!$H28="","",'Jun-24'!$H28*0.21)</f>
        <v>5907.7682999999997</v>
      </c>
      <c r="J28" s="23"/>
      <c r="K28" s="23"/>
      <c r="L28" s="23"/>
      <c r="M28" s="23"/>
      <c r="N28" s="23"/>
      <c r="O28" s="23"/>
      <c r="P28" s="20">
        <f>SUM('Jun-24'!$H28:$O28)</f>
        <v>34039.998299999999</v>
      </c>
      <c r="Q28" s="21" t="str">
        <f>IFERROR(IF('Jun-24'!$F28="","-",VLOOKUP('Jun-24'!$F28,Lista_CUIT!$A$1:$D$2241,3,0)),"CUIT NO CARGADO")</f>
        <v>GASTOS VARIOS</v>
      </c>
      <c r="R28" s="21">
        <f>IFERROR(IF('Jun-24'!$F28="","-",VLOOKUP('Jun-24'!$F28,Lista_CUIT!$A$1:$D$2241,4,0)),"CUIT NO CARGADO")</f>
        <v>0</v>
      </c>
      <c r="S28" s="10"/>
    </row>
    <row r="29" spans="2:19" ht="15.75" customHeight="1" x14ac:dyDescent="0.3">
      <c r="B29" s="12">
        <v>45469</v>
      </c>
      <c r="C29" s="13">
        <v>1</v>
      </c>
      <c r="D29" s="14">
        <v>7</v>
      </c>
      <c r="E29" s="15">
        <v>132873</v>
      </c>
      <c r="F29" s="16">
        <v>20181426846</v>
      </c>
      <c r="G29" s="382" t="str">
        <f>IFERROR(IF('Jun-24'!$F29="","-",VLOOKUP('Jun-24'!$F29,Lista_CUIT!$A$1:$D$2241,2,0)),"CUIT NO CARGADO")</f>
        <v>GRIDEL WALTER DIEGO</v>
      </c>
      <c r="H29" s="18">
        <v>20080.169999999998</v>
      </c>
      <c r="I29" s="23">
        <f>IF('Jun-24'!$H29="","",'Jun-24'!$H29*0.21)</f>
        <v>4216.8356999999996</v>
      </c>
      <c r="J29" s="23"/>
      <c r="K29" s="23"/>
      <c r="L29" s="23"/>
      <c r="M29" s="23"/>
      <c r="N29" s="23"/>
      <c r="O29" s="23"/>
      <c r="P29" s="20">
        <f>SUM('Jun-24'!$H29:$O29)</f>
        <v>24297.005699999998</v>
      </c>
      <c r="Q29" s="21" t="str">
        <f>IFERROR(IF('Jun-24'!$F29="","-",VLOOKUP('Jun-24'!$F29,Lista_CUIT!$A$1:$D$2241,3,0)),"CUIT NO CARGADO")</f>
        <v>INSUMO</v>
      </c>
      <c r="R29" s="21">
        <f>IFERROR(IF('Jun-24'!$F29="","-",VLOOKUP('Jun-24'!$F29,Lista_CUIT!$A$1:$D$2241,4,0)),"CUIT NO CARGADO")</f>
        <v>0</v>
      </c>
      <c r="S29" s="10"/>
    </row>
    <row r="30" spans="2:19" ht="15.75" customHeight="1" x14ac:dyDescent="0.3">
      <c r="B30" s="12">
        <v>45469</v>
      </c>
      <c r="C30" s="13">
        <v>1</v>
      </c>
      <c r="D30" s="14">
        <v>2</v>
      </c>
      <c r="E30" s="15">
        <v>199</v>
      </c>
      <c r="F30" s="16">
        <v>20125142851</v>
      </c>
      <c r="G30" s="382" t="str">
        <f>IFERROR(IF('Jun-24'!$F30="","-",VLOOKUP('Jun-24'!$F30,Lista_CUIT!$A$1:$D$2241,2,0)),"CUIT NO CARGADO")</f>
        <v>FEDERICI NICOLAS JOSE</v>
      </c>
      <c r="H30" s="18">
        <v>1269918</v>
      </c>
      <c r="I30" s="23">
        <f>IF('Jun-24'!$H30="","",'Jun-24'!$H30*0.21)</f>
        <v>266682.77999999997</v>
      </c>
      <c r="J30" s="23"/>
      <c r="K30" s="23"/>
      <c r="L30" s="23"/>
      <c r="M30" s="23"/>
      <c r="N30" s="23"/>
      <c r="O30" s="23"/>
      <c r="P30" s="20">
        <f>SUM('Jun-24'!$H30:$O30)</f>
        <v>1536600.78</v>
      </c>
      <c r="Q30" s="21" t="str">
        <f>IFERROR(IF('Jun-24'!$F30="","-",VLOOKUP('Jun-24'!$F30,Lista_CUIT!$A$1:$D$2241,3,0)),"CUIT NO CARGADO")</f>
        <v>INSUMO</v>
      </c>
      <c r="R30" s="21">
        <f>IFERROR(IF('Jun-24'!$F30="","-",VLOOKUP('Jun-24'!$F30,Lista_CUIT!$A$1:$D$2241,4,0)),"CUIT NO CARGADO")</f>
        <v>0</v>
      </c>
      <c r="S30" s="10"/>
    </row>
    <row r="31" spans="2:19" ht="15.75" customHeight="1" x14ac:dyDescent="0.3">
      <c r="B31" s="12">
        <v>45469</v>
      </c>
      <c r="C31" s="13">
        <v>1</v>
      </c>
      <c r="D31" s="14">
        <v>2</v>
      </c>
      <c r="E31" s="15">
        <v>200</v>
      </c>
      <c r="F31" s="16">
        <v>20125142851</v>
      </c>
      <c r="G31" s="382" t="str">
        <f>IFERROR(IF('Jun-24'!$F31="","-",VLOOKUP('Jun-24'!$F31,Lista_CUIT!$A$1:$D$2241,2,0)),"CUIT NO CARGADO")</f>
        <v>FEDERICI NICOLAS JOSE</v>
      </c>
      <c r="H31" s="18">
        <v>285937.76</v>
      </c>
      <c r="I31" s="23">
        <f>IF('Jun-24'!$H31="","",'Jun-24'!$H31*0.21)</f>
        <v>60046.929600000003</v>
      </c>
      <c r="J31" s="23"/>
      <c r="K31" s="23"/>
      <c r="L31" s="23"/>
      <c r="M31" s="23"/>
      <c r="N31" s="23"/>
      <c r="O31" s="23"/>
      <c r="P31" s="20">
        <f>SUM('Jun-24'!$H31:$O31)</f>
        <v>345984.68960000004</v>
      </c>
      <c r="Q31" s="21" t="str">
        <f>IFERROR(IF('Jun-24'!$F31="","-",VLOOKUP('Jun-24'!$F31,Lista_CUIT!$A$1:$D$2241,3,0)),"CUIT NO CARGADO")</f>
        <v>INSUMO</v>
      </c>
      <c r="R31" s="21">
        <f>IFERROR(IF('Jun-24'!$F31="","-",VLOOKUP('Jun-24'!$F31,Lista_CUIT!$A$1:$D$2241,4,0)),"CUIT NO CARGADO")</f>
        <v>0</v>
      </c>
      <c r="S31" s="10"/>
    </row>
    <row r="32" spans="2:19" ht="15.75" customHeight="1" x14ac:dyDescent="0.3">
      <c r="B32" s="12">
        <v>45470</v>
      </c>
      <c r="C32" s="13">
        <v>1</v>
      </c>
      <c r="D32" s="14">
        <v>3</v>
      </c>
      <c r="E32" s="15">
        <v>29970</v>
      </c>
      <c r="F32" s="16">
        <v>30715002848</v>
      </c>
      <c r="G32" s="382" t="str">
        <f>IFERROR(IF('Jun-24'!$F32="","-",VLOOKUP('Jun-24'!$F32,Lista_CUIT!$A$1:$D$2241,2,0)),"CUIT NO CARGADO")</f>
        <v>MASTER LEADER MUNDIAL S.A.</v>
      </c>
      <c r="H32" s="18">
        <v>11730.57</v>
      </c>
      <c r="I32" s="23">
        <f>IF('Jun-24'!$H32="","",'Jun-24'!$H32*0.21)</f>
        <v>2463.4196999999999</v>
      </c>
      <c r="J32" s="23"/>
      <c r="K32" s="23"/>
      <c r="L32" s="23"/>
      <c r="M32" s="23"/>
      <c r="N32" s="23"/>
      <c r="O32" s="23"/>
      <c r="P32" s="20">
        <f>SUM('Jun-24'!$H32:$O32)</f>
        <v>14193.9897</v>
      </c>
      <c r="Q32" s="21" t="str">
        <f>IFERROR(IF('Jun-24'!$F32="","-",VLOOKUP('Jun-24'!$F32,Lista_CUIT!$A$1:$D$2241,3,0)),"CUIT NO CARGADO")</f>
        <v>INSUMO</v>
      </c>
      <c r="R32" s="21" t="str">
        <f>IFERROR(IF('Jun-24'!$F32="","-",VLOOKUP('Jun-24'!$F32,Lista_CUIT!$A$1:$D$2241,4,0)),"CUIT NO CARGADO")</f>
        <v>BUENOS AIRES</v>
      </c>
      <c r="S32" s="10"/>
    </row>
    <row r="33" spans="2:19" ht="15.75" customHeight="1" x14ac:dyDescent="0.3">
      <c r="B33" s="12">
        <v>45470</v>
      </c>
      <c r="C33" s="13">
        <v>1</v>
      </c>
      <c r="D33" s="14">
        <v>6</v>
      </c>
      <c r="E33" s="15">
        <v>15075</v>
      </c>
      <c r="F33" s="16">
        <v>30707756434</v>
      </c>
      <c r="G33" s="382" t="str">
        <f>IFERROR(IF('Jun-24'!$F33="","-",VLOOKUP('Jun-24'!$F33,Lista_CUIT!$A$1:$D$2241,2,0)),"CUIT NO CARGADO")</f>
        <v>SERVICIO INTEGRAL DE LIMPIEZA SRL</v>
      </c>
      <c r="H33" s="18">
        <v>232000</v>
      </c>
      <c r="I33" s="23">
        <f>IF('Jun-24'!$H33="","",'Jun-24'!$H33*0.21)</f>
        <v>48720</v>
      </c>
      <c r="J33" s="23"/>
      <c r="K33" s="23"/>
      <c r="L33" s="23"/>
      <c r="M33" s="23"/>
      <c r="N33" s="23"/>
      <c r="O33" s="23"/>
      <c r="P33" s="20">
        <f>SUM('Jun-24'!$H33:$O33)</f>
        <v>280720</v>
      </c>
      <c r="Q33" s="21" t="str">
        <f>IFERROR(IF('Jun-24'!$F33="","-",VLOOKUP('Jun-24'!$F33,Lista_CUIT!$A$1:$D$2241,3,0)),"CUIT NO CARGADO")</f>
        <v>Mantenimiento</v>
      </c>
      <c r="R33" s="21">
        <f>IFERROR(IF('Jun-24'!$F33="","-",VLOOKUP('Jun-24'!$F33,Lista_CUIT!$A$1:$D$2241,4,0)),"CUIT NO CARGADO")</f>
        <v>0</v>
      </c>
      <c r="S33" s="10"/>
    </row>
    <row r="34" spans="2:19" ht="15.75" customHeight="1" x14ac:dyDescent="0.3">
      <c r="B34" s="12">
        <v>45470</v>
      </c>
      <c r="C34" s="13">
        <v>1</v>
      </c>
      <c r="D34" s="14">
        <v>4</v>
      </c>
      <c r="E34" s="15">
        <v>12711</v>
      </c>
      <c r="F34" s="16">
        <v>33710719549</v>
      </c>
      <c r="G34" s="382" t="str">
        <f>IFERROR(IF('Jun-24'!$F34="","-",VLOOKUP('Jun-24'!$F34,Lista_CUIT!$A$1:$D$2241,2,0)),"CUIT NO CARGADO")</f>
        <v>FIVELEC S.R.L.</v>
      </c>
      <c r="H34" s="18">
        <v>34181</v>
      </c>
      <c r="I34" s="23">
        <f>IF('Jun-24'!$H34="","",'Jun-24'!$H34*0.21)</f>
        <v>7178.0099999999993</v>
      </c>
      <c r="J34" s="23"/>
      <c r="K34" s="23"/>
      <c r="L34" s="23"/>
      <c r="M34" s="23"/>
      <c r="N34" s="23"/>
      <c r="O34" s="23"/>
      <c r="P34" s="20">
        <f>SUM('Jun-24'!$H34:$O34)</f>
        <v>41359.01</v>
      </c>
      <c r="Q34" s="21" t="str">
        <f>IFERROR(IF('Jun-24'!$F34="","-",VLOOKUP('Jun-24'!$F34,Lista_CUIT!$A$1:$D$2241,3,0)),"CUIT NO CARGADO")</f>
        <v>INSUMO</v>
      </c>
      <c r="R34" s="21">
        <f>IFERROR(IF('Jun-24'!$F34="","-",VLOOKUP('Jun-24'!$F34,Lista_CUIT!$A$1:$D$2241,4,0)),"CUIT NO CARGADO")</f>
        <v>0</v>
      </c>
      <c r="S34" s="10"/>
    </row>
    <row r="35" spans="2:19" ht="15.75" customHeight="1" x14ac:dyDescent="0.3">
      <c r="B35" s="12">
        <v>45473</v>
      </c>
      <c r="C35" s="13">
        <v>1</v>
      </c>
      <c r="D35" s="14">
        <v>700</v>
      </c>
      <c r="E35" s="15">
        <v>675604</v>
      </c>
      <c r="F35" s="16">
        <v>30580111315</v>
      </c>
      <c r="G35" s="17" t="str">
        <f>IFERROR(IF('Jun-24'!$F35="","-",VLOOKUP('Jun-24'!$F35,Lista_CUIT!$A$1:$D$2241,2,0)),"CUIT NO CARGADO")</f>
        <v>DHL EXPRESS (ARGENTINA) S.A.</v>
      </c>
      <c r="H35" s="18">
        <v>13957.5</v>
      </c>
      <c r="I35" s="23">
        <f>IF('Jun-24'!$H35="","",'Jun-24'!$H35*0.21)</f>
        <v>2931.0749999999998</v>
      </c>
      <c r="J35" s="23"/>
      <c r="K35" s="23"/>
      <c r="L35" s="23"/>
      <c r="M35" s="23"/>
      <c r="N35" s="23"/>
      <c r="O35" s="23">
        <v>654067.05999999994</v>
      </c>
      <c r="P35" s="20">
        <f>SUM('Jun-24'!$H35:$O35)</f>
        <v>670955.63499999989</v>
      </c>
      <c r="Q35" s="21" t="str">
        <f>IFERROR(IF('Jun-24'!$F35="","-",VLOOKUP('Jun-24'!$F35,Lista_CUIT!$A$1:$D$2241,3,0)),"CUIT NO CARGADO")</f>
        <v>Gastos Importacion</v>
      </c>
      <c r="R35" s="21">
        <f>IFERROR(IF('Jun-24'!$F35="","-",VLOOKUP('Jun-24'!$F35,Lista_CUIT!$A$1:$D$2241,4,0)),"CUIT NO CARGADO")</f>
        <v>0</v>
      </c>
      <c r="S35" s="10"/>
    </row>
    <row r="36" spans="2:19" ht="15.75" customHeight="1" x14ac:dyDescent="0.3">
      <c r="B36" s="12"/>
      <c r="C36" s="13"/>
      <c r="D36" s="14"/>
      <c r="E36" s="15"/>
      <c r="F36" s="16"/>
      <c r="G36" s="17" t="str">
        <f>IFERROR(IF('Jun-24'!$F36="","-",VLOOKUP('Jun-24'!$F36,Lista_CUIT!$A$1:$D$2241,2,0)),"CUIT NO CARGADO")</f>
        <v>-</v>
      </c>
      <c r="H36" s="18"/>
      <c r="I36" s="23" t="str">
        <f>IF('Jun-24'!$H36="","",'Jun-24'!$H36*0.21)</f>
        <v/>
      </c>
      <c r="J36" s="23"/>
      <c r="K36" s="23"/>
      <c r="L36" s="23"/>
      <c r="M36" s="23"/>
      <c r="N36" s="23"/>
      <c r="O36" s="23"/>
      <c r="P36" s="20">
        <f>SUM('Jun-24'!$H36:$O36)</f>
        <v>0</v>
      </c>
      <c r="Q36" s="21" t="str">
        <f>IFERROR(IF('Jun-24'!$F36="","-",VLOOKUP('Jun-24'!$F36,Lista_CUIT!$A$1:$D$2241,3,0)),"CUIT NO CARGADO")</f>
        <v>-</v>
      </c>
      <c r="R36" s="21" t="str">
        <f>IFERROR(IF('Jun-24'!$F36="","-",VLOOKUP('Jun-24'!$F36,Lista_CUIT!$A$1:$D$2241,4,0)),"CUIT NO CARGADO")</f>
        <v>-</v>
      </c>
      <c r="S36" s="10"/>
    </row>
    <row r="37" spans="2:19" ht="15.75" customHeight="1" x14ac:dyDescent="0.3">
      <c r="B37" s="12"/>
      <c r="C37" s="13"/>
      <c r="D37" s="14"/>
      <c r="E37" s="15"/>
      <c r="F37" s="16"/>
      <c r="G37" s="17" t="str">
        <f>IFERROR(IF('Jun-24'!$F37="","-",VLOOKUP('Jun-24'!$F37,Lista_CUIT!$A$1:$D$2241,2,0)),"CUIT NO CARGADO")</f>
        <v>-</v>
      </c>
      <c r="H37" s="18"/>
      <c r="I37" s="23" t="str">
        <f>IF('Jun-24'!$H37="","",'Jun-24'!$H37*0.21)</f>
        <v/>
      </c>
      <c r="J37" s="23"/>
      <c r="K37" s="23"/>
      <c r="L37" s="23"/>
      <c r="M37" s="23"/>
      <c r="N37" s="23"/>
      <c r="O37" s="23"/>
      <c r="P37" s="20">
        <f>SUM('Jun-24'!$H37:$O37)</f>
        <v>0</v>
      </c>
      <c r="Q37" s="21" t="str">
        <f>IFERROR(IF('Jun-24'!$F37="","-",VLOOKUP('Jun-24'!$F37,Lista_CUIT!$A$1:$D$2241,3,0)),"CUIT NO CARGADO")</f>
        <v>-</v>
      </c>
      <c r="R37" s="21" t="str">
        <f>IFERROR(IF('Jun-24'!$F37="","-",VLOOKUP('Jun-24'!$F37,Lista_CUIT!$A$1:$D$2241,4,0)),"CUIT NO CARGADO")</f>
        <v>-</v>
      </c>
      <c r="S37" s="10"/>
    </row>
    <row r="38" spans="2:19" ht="15.75" customHeight="1" x14ac:dyDescent="0.3">
      <c r="B38" s="12"/>
      <c r="C38" s="13"/>
      <c r="D38" s="14"/>
      <c r="E38" s="15"/>
      <c r="F38" s="16"/>
      <c r="G38" s="17" t="str">
        <f>IFERROR(IF('Jun-24'!$F38="","-",VLOOKUP('Jun-24'!$F38,Lista_CUIT!$A$1:$D$2241,2,0)),"CUIT NO CARGADO")</f>
        <v>-</v>
      </c>
      <c r="H38" s="18"/>
      <c r="I38" s="23" t="str">
        <f>IF('Jun-24'!$H38="","",'Jun-24'!$H38*0.21)</f>
        <v/>
      </c>
      <c r="J38" s="23"/>
      <c r="K38" s="23"/>
      <c r="L38" s="23"/>
      <c r="M38" s="23"/>
      <c r="N38" s="23"/>
      <c r="O38" s="23"/>
      <c r="P38" s="20">
        <f>SUM('Jun-24'!$H38:$O38)</f>
        <v>0</v>
      </c>
      <c r="Q38" s="21" t="str">
        <f>IFERROR(IF('Jun-24'!$F38="","-",VLOOKUP('Jun-24'!$F38,Lista_CUIT!$A$1:$D$2241,3,0)),"CUIT NO CARGADO")</f>
        <v>-</v>
      </c>
      <c r="R38" s="21" t="str">
        <f>IFERROR(IF('Jun-24'!$F38="","-",VLOOKUP('Jun-24'!$F38,Lista_CUIT!$A$1:$D$2241,4,0)),"CUIT NO CARGADO")</f>
        <v>-</v>
      </c>
      <c r="S38" s="10"/>
    </row>
    <row r="39" spans="2:19" ht="15.75" customHeight="1" x14ac:dyDescent="0.3">
      <c r="B39" s="12"/>
      <c r="C39" s="13"/>
      <c r="D39" s="14"/>
      <c r="E39" s="15"/>
      <c r="F39" s="16"/>
      <c r="G39" s="17" t="str">
        <f>IFERROR(IF('Jun-24'!$F39="","-",VLOOKUP('Jun-24'!$F39,Lista_CUIT!$A$1:$D$2241,2,0)),"CUIT NO CARGADO")</f>
        <v>-</v>
      </c>
      <c r="H39" s="18"/>
      <c r="I39" s="23" t="str">
        <f>IF('Jun-24'!$H39="","",'Jun-24'!$H39*0.21)</f>
        <v/>
      </c>
      <c r="J39" s="23"/>
      <c r="K39" s="23"/>
      <c r="L39" s="23"/>
      <c r="M39" s="23"/>
      <c r="N39" s="23"/>
      <c r="O39" s="23"/>
      <c r="P39" s="20">
        <f>SUM('Jun-24'!$H39:$O39)</f>
        <v>0</v>
      </c>
      <c r="Q39" s="21" t="str">
        <f>IFERROR(IF('Jun-24'!$F39="","-",VLOOKUP('Jun-24'!$F39,Lista_CUIT!$A$1:$D$2241,3,0)),"CUIT NO CARGADO")</f>
        <v>-</v>
      </c>
      <c r="R39" s="21" t="str">
        <f>IFERROR(IF('Jun-24'!$F39="","-",VLOOKUP('Jun-24'!$F39,Lista_CUIT!$A$1:$D$2241,4,0)),"CUIT NO CARGADO")</f>
        <v>-</v>
      </c>
      <c r="S39" s="10"/>
    </row>
    <row r="40" spans="2:19" ht="15.75" customHeight="1" x14ac:dyDescent="0.3">
      <c r="B40" s="12"/>
      <c r="C40" s="13"/>
      <c r="D40" s="14"/>
      <c r="E40" s="15"/>
      <c r="F40" s="16"/>
      <c r="G40" s="17" t="str">
        <f>IFERROR(IF('Jun-24'!$F40="","-",VLOOKUP('Jun-24'!$F40,Lista_CUIT!$A$1:$D$2241,2,0)),"CUIT NO CARGADO")</f>
        <v>-</v>
      </c>
      <c r="H40" s="18"/>
      <c r="I40" s="23" t="str">
        <f>IF('Jun-24'!$H40="","",'Jun-24'!$H40*0.21)</f>
        <v/>
      </c>
      <c r="J40" s="23"/>
      <c r="K40" s="23"/>
      <c r="L40" s="23"/>
      <c r="M40" s="23"/>
      <c r="N40" s="23"/>
      <c r="O40" s="23"/>
      <c r="P40" s="20">
        <f>SUM('Jun-24'!$H40:$O40)</f>
        <v>0</v>
      </c>
      <c r="Q40" s="21" t="str">
        <f>IFERROR(IF('Jun-24'!$F40="","-",VLOOKUP('Jun-24'!$F40,Lista_CUIT!$A$1:$D$2241,3,0)),"CUIT NO CARGADO")</f>
        <v>-</v>
      </c>
      <c r="R40" s="21" t="str">
        <f>IFERROR(IF('Jun-24'!$F40="","-",VLOOKUP('Jun-24'!$F40,Lista_CUIT!$A$1:$D$2241,4,0)),"CUIT NO CARGADO")</f>
        <v>-</v>
      </c>
      <c r="S40" s="10"/>
    </row>
    <row r="41" spans="2:19" ht="15.75" customHeight="1" x14ac:dyDescent="0.3">
      <c r="B41" s="12"/>
      <c r="C41" s="13"/>
      <c r="D41" s="14"/>
      <c r="E41" s="15"/>
      <c r="F41" s="16"/>
      <c r="G41" s="17" t="str">
        <f>IFERROR(IF('Jun-24'!$F41="","-",VLOOKUP('Jun-24'!$F41,Lista_CUIT!$A$1:$D$2241,2,0)),"CUIT NO CARGADO")</f>
        <v>-</v>
      </c>
      <c r="H41" s="18"/>
      <c r="I41" s="23" t="str">
        <f>IF('Jun-24'!$H41="","",'Jun-24'!$H41*0.21)</f>
        <v/>
      </c>
      <c r="J41" s="23"/>
      <c r="K41" s="23"/>
      <c r="L41" s="23"/>
      <c r="M41" s="23"/>
      <c r="N41" s="23"/>
      <c r="O41" s="23"/>
      <c r="P41" s="20">
        <f>SUM('Jun-24'!$H41:$O41)</f>
        <v>0</v>
      </c>
      <c r="Q41" s="21" t="str">
        <f>IFERROR(IF('Jun-24'!$F41="","-",VLOOKUP('Jun-24'!$F41,Lista_CUIT!$A$1:$D$2241,3,0)),"CUIT NO CARGADO")</f>
        <v>-</v>
      </c>
      <c r="R41" s="21" t="str">
        <f>IFERROR(IF('Jun-24'!$F41="","-",VLOOKUP('Jun-24'!$F41,Lista_CUIT!$A$1:$D$2241,4,0)),"CUIT NO CARGADO")</f>
        <v>-</v>
      </c>
      <c r="S41" s="126" t="s">
        <v>1390</v>
      </c>
    </row>
    <row r="42" spans="2:19" ht="15.75" customHeight="1" x14ac:dyDescent="0.3">
      <c r="B42" s="12"/>
      <c r="C42" s="13"/>
      <c r="D42" s="14"/>
      <c r="E42" s="15"/>
      <c r="F42" s="16"/>
      <c r="G42" s="17" t="str">
        <f>IFERROR(IF('Jun-24'!$F42="","-",VLOOKUP('Jun-24'!$F42,Lista_CUIT!$A$1:$D$2241,2,0)),"CUIT NO CARGADO")</f>
        <v>-</v>
      </c>
      <c r="H42" s="18"/>
      <c r="I42" s="23" t="str">
        <f>IF('Jun-24'!$H42="","",'Jun-24'!$H42*0.21)</f>
        <v/>
      </c>
      <c r="J42" s="23"/>
      <c r="K42" s="23"/>
      <c r="L42" s="23"/>
      <c r="M42" s="23"/>
      <c r="N42" s="23"/>
      <c r="O42" s="23"/>
      <c r="P42" s="20">
        <f>SUM('Jun-24'!$H42:$O42)</f>
        <v>0</v>
      </c>
      <c r="Q42" s="21" t="str">
        <f>IFERROR(IF('Jun-24'!$F42="","-",VLOOKUP('Jun-24'!$F42,Lista_CUIT!$A$1:$D$2241,3,0)),"CUIT NO CARGADO")</f>
        <v>-</v>
      </c>
      <c r="R42" s="21" t="str">
        <f>IFERROR(IF('Jun-24'!$F42="","-",VLOOKUP('Jun-24'!$F42,Lista_CUIT!$A$1:$D$2241,4,0)),"CUIT NO CARGADO")</f>
        <v>-</v>
      </c>
      <c r="S42" s="126" t="s">
        <v>1390</v>
      </c>
    </row>
    <row r="43" spans="2:19" ht="15.75" customHeight="1" x14ac:dyDescent="0.3">
      <c r="B43" s="12"/>
      <c r="C43" s="13"/>
      <c r="D43" s="14"/>
      <c r="E43" s="15"/>
      <c r="F43" s="16"/>
      <c r="G43" s="17" t="str">
        <f>IFERROR(IF('Jun-24'!$F43="","-",VLOOKUP('Jun-24'!$F43,Lista_CUIT!$A$1:$D$2241,2,0)),"CUIT NO CARGADO")</f>
        <v>-</v>
      </c>
      <c r="H43" s="18"/>
      <c r="I43" s="23" t="str">
        <f>IF('Jun-24'!$H43="","",'Jun-24'!$H43*0.21)</f>
        <v/>
      </c>
      <c r="J43" s="23"/>
      <c r="K43" s="23"/>
      <c r="L43" s="23"/>
      <c r="M43" s="23"/>
      <c r="N43" s="23"/>
      <c r="O43" s="23"/>
      <c r="P43" s="20">
        <f>SUM('Jun-24'!$H43:$O43)</f>
        <v>0</v>
      </c>
      <c r="Q43" s="21" t="str">
        <f>IFERROR(IF('Jun-24'!$F43="","-",VLOOKUP('Jun-24'!$F43,Lista_CUIT!$A$1:$D$2241,3,0)),"CUIT NO CARGADO")</f>
        <v>-</v>
      </c>
      <c r="R43" s="21" t="str">
        <f>IFERROR(IF('Jun-24'!$F43="","-",VLOOKUP('Jun-24'!$F43,Lista_CUIT!$A$1:$D$2241,4,0)),"CUIT NO CARGADO")</f>
        <v>-</v>
      </c>
      <c r="S43" s="10"/>
    </row>
    <row r="44" spans="2:19" ht="18" customHeight="1" x14ac:dyDescent="0.3">
      <c r="B44" s="21" t="s">
        <v>1343</v>
      </c>
      <c r="C44" s="21"/>
      <c r="D44" s="21"/>
      <c r="E44" s="21"/>
      <c r="F44" s="21"/>
      <c r="G44" s="17"/>
      <c r="H44" s="18">
        <f>SUBTOTAL(109,'Jun-24'!$H$9:$H$43)</f>
        <v>6033654.0999999996</v>
      </c>
      <c r="I44" s="18">
        <f>SUBTOTAL(109,'Jun-24'!$I$9:$I$43)</f>
        <v>1222537.6505999998</v>
      </c>
      <c r="J44" s="18">
        <f>SUBTOTAL(109,'Jun-24'!$J$9:$J$43)</f>
        <v>5811.6555000000008</v>
      </c>
      <c r="K44" s="18">
        <f>SUBTOTAL(109,'Jun-24'!$K$9:$K$43)</f>
        <v>20004.766949999997</v>
      </c>
      <c r="L44" s="18">
        <f>SUBTOTAL(109,'Jun-24'!$L$9:$L$43)</f>
        <v>645.74</v>
      </c>
      <c r="M44" s="18">
        <f>SUBTOTAL(109,'Jun-24'!$M$9:$M$43)</f>
        <v>0</v>
      </c>
      <c r="N44" s="18">
        <f>SUBTOTAL(109,'Jun-24'!$N$9:$N$43)</f>
        <v>0</v>
      </c>
      <c r="O44" s="18">
        <f>SUBTOTAL(109,'Jun-24'!$O$9:$O$43)</f>
        <v>1755916.4099999997</v>
      </c>
      <c r="P44" s="18">
        <f>SUBTOTAL(109,'Jun-24'!$P$9:$P$43)</f>
        <v>9038570.3230500016</v>
      </c>
      <c r="Q44" s="21"/>
      <c r="R44" s="21"/>
    </row>
    <row r="45" spans="2:19" ht="15.75" customHeight="1" x14ac:dyDescent="0.3">
      <c r="B45" s="12"/>
      <c r="C45" s="13"/>
      <c r="D45" s="14"/>
      <c r="E45" s="15"/>
      <c r="F45" s="16"/>
      <c r="G45" s="17"/>
      <c r="H45" s="18">
        <f>SUM(H23:H35,H18:H21,H9:H16)</f>
        <v>4964231.8600000003</v>
      </c>
      <c r="I45" s="19"/>
      <c r="J45" s="19"/>
      <c r="K45" s="19"/>
      <c r="L45" s="19"/>
      <c r="M45" s="19"/>
      <c r="N45" s="19"/>
      <c r="O45" s="19"/>
      <c r="P45" s="20"/>
      <c r="Q45" s="21"/>
      <c r="R45" s="21"/>
    </row>
    <row r="46" spans="2:19" ht="15.75" customHeight="1" x14ac:dyDescent="0.3">
      <c r="B46" s="12"/>
      <c r="C46" s="13"/>
      <c r="D46" s="14"/>
      <c r="E46" s="15"/>
      <c r="F46" s="16"/>
      <c r="G46" s="17"/>
      <c r="H46" s="136"/>
      <c r="I46" s="19"/>
      <c r="J46" s="19"/>
      <c r="K46" s="19"/>
      <c r="L46" s="19"/>
      <c r="M46" s="19"/>
      <c r="N46" s="19"/>
      <c r="O46" s="19"/>
      <c r="P46" s="20"/>
      <c r="Q46" s="21"/>
      <c r="R46" s="21"/>
    </row>
    <row r="47" spans="2:19" ht="15.75" customHeight="1" x14ac:dyDescent="0.3">
      <c r="B47" s="12"/>
      <c r="C47" s="13"/>
      <c r="D47" s="14"/>
      <c r="E47" s="15"/>
      <c r="F47" s="16"/>
      <c r="G47" s="17"/>
      <c r="H47" s="18"/>
      <c r="I47" s="19"/>
      <c r="J47" s="19"/>
      <c r="K47" s="19"/>
      <c r="L47" s="19"/>
      <c r="M47" s="19"/>
      <c r="N47" s="19"/>
      <c r="O47" s="19"/>
      <c r="P47" s="20"/>
      <c r="Q47" s="21"/>
      <c r="R47" s="21"/>
    </row>
    <row r="48" spans="2:19" ht="15.75" customHeight="1" x14ac:dyDescent="0.3">
      <c r="B48" s="12"/>
      <c r="C48" s="13"/>
      <c r="D48" s="14"/>
      <c r="E48" s="15"/>
      <c r="F48" s="16"/>
      <c r="G48" s="17"/>
      <c r="H48" s="18"/>
      <c r="I48" s="19"/>
      <c r="J48" s="19"/>
      <c r="K48" s="19"/>
      <c r="L48" s="19"/>
    </row>
    <row r="49" spans="4:12" ht="15.75" customHeight="1" x14ac:dyDescent="0.3">
      <c r="D49" s="484" t="s">
        <v>1344</v>
      </c>
      <c r="E49" s="476"/>
      <c r="F49" s="476"/>
      <c r="G49" s="476"/>
      <c r="H49" s="476"/>
      <c r="I49" s="476"/>
      <c r="J49" s="476"/>
      <c r="K49" s="476"/>
      <c r="L49" s="477"/>
    </row>
    <row r="50" spans="4:12" ht="15.75" customHeight="1" x14ac:dyDescent="0.3">
      <c r="D50" s="24" t="s">
        <v>1322</v>
      </c>
      <c r="E50" s="25" t="s">
        <v>1345</v>
      </c>
      <c r="F50" s="25" t="s">
        <v>1346</v>
      </c>
      <c r="G50" s="25" t="s">
        <v>1347</v>
      </c>
      <c r="H50" s="25" t="s">
        <v>1348</v>
      </c>
      <c r="I50" s="25" t="s">
        <v>1329</v>
      </c>
      <c r="J50" s="26" t="s">
        <v>1349</v>
      </c>
      <c r="K50" s="26" t="s">
        <v>1350</v>
      </c>
      <c r="L50" s="27" t="s">
        <v>1351</v>
      </c>
    </row>
    <row r="51" spans="4:12" ht="15.75" customHeight="1" x14ac:dyDescent="0.3">
      <c r="D51" s="12">
        <v>45473</v>
      </c>
      <c r="E51" s="15">
        <v>30062024</v>
      </c>
      <c r="F51" s="29" t="s">
        <v>1389</v>
      </c>
      <c r="G51" s="31">
        <f>450+300+46+175+35060+150+600+12600+2818.11</f>
        <v>52199.11</v>
      </c>
      <c r="H51" s="31">
        <v>10370.01</v>
      </c>
      <c r="I51" s="31">
        <v>295.89999999999998</v>
      </c>
      <c r="J51" s="31"/>
      <c r="K51" s="31">
        <v>1429.8</v>
      </c>
      <c r="L51" s="31"/>
    </row>
    <row r="52" spans="4:12" ht="15.75" customHeight="1" x14ac:dyDescent="0.3">
      <c r="D52" s="12"/>
      <c r="E52" s="15"/>
      <c r="F52" s="29"/>
      <c r="G52" s="31"/>
      <c r="H52" s="31">
        <f>'Jun-24'!$G52*0.21</f>
        <v>0</v>
      </c>
      <c r="I52" s="31"/>
      <c r="J52" s="31"/>
      <c r="K52" s="31"/>
      <c r="L52" s="31"/>
    </row>
    <row r="53" spans="4:12" ht="15.75" customHeight="1" x14ac:dyDescent="0.3">
      <c r="D53" s="12"/>
      <c r="E53" s="15"/>
      <c r="F53" s="29"/>
      <c r="G53" s="31"/>
      <c r="H53" s="31">
        <f>'Jun-24'!$G53*0.21</f>
        <v>0</v>
      </c>
      <c r="I53" s="31"/>
      <c r="J53" s="31"/>
      <c r="K53" s="31"/>
      <c r="L53" s="31"/>
    </row>
    <row r="54" spans="4:12" ht="17.25" customHeight="1" x14ac:dyDescent="0.3">
      <c r="D54" s="21" t="s">
        <v>1343</v>
      </c>
      <c r="E54" s="29"/>
      <c r="F54" s="29"/>
      <c r="G54" s="31">
        <f>SUBTOTAL(109,'Jun-24'!$G$51:$G$53)</f>
        <v>52199.11</v>
      </c>
      <c r="H54" s="31">
        <f>SUBTOTAL(109,'Jun-24'!$H$51:$H$53)</f>
        <v>10370.01</v>
      </c>
      <c r="I54" s="31">
        <f>SUBTOTAL(109,'Jun-24'!$I$51:$I$53)</f>
        <v>295.89999999999998</v>
      </c>
      <c r="J54" s="31">
        <f>SUBTOTAL(109,'Jun-24'!$J$51:$J$53)</f>
        <v>0</v>
      </c>
      <c r="K54" s="31">
        <f>SUBTOTAL(109,'Jun-24'!$K$51:$K$53)</f>
        <v>1429.8</v>
      </c>
      <c r="L54" s="31">
        <f>SUBTOTAL(109,'Jun-24'!$L$51:$L$53)</f>
        <v>0</v>
      </c>
    </row>
    <row r="55" spans="4:12" ht="15.75" customHeight="1" x14ac:dyDescent="0.3"/>
    <row r="56" spans="4:12" ht="15.75" customHeight="1" x14ac:dyDescent="0.3">
      <c r="D56" s="484" t="s">
        <v>1361</v>
      </c>
      <c r="E56" s="476"/>
      <c r="F56" s="476"/>
      <c r="G56" s="476"/>
      <c r="H56" s="476"/>
      <c r="I56" s="476"/>
      <c r="J56" s="476"/>
      <c r="K56" s="477"/>
    </row>
    <row r="57" spans="4:12" ht="15.75" customHeight="1" x14ac:dyDescent="0.3">
      <c r="D57" s="35" t="s">
        <v>1322</v>
      </c>
      <c r="E57" s="35" t="s">
        <v>1324</v>
      </c>
      <c r="F57" s="35" t="s">
        <v>1362</v>
      </c>
      <c r="G57" s="35" t="s">
        <v>0</v>
      </c>
      <c r="H57" s="35" t="s">
        <v>1</v>
      </c>
      <c r="I57" s="36" t="s">
        <v>1334</v>
      </c>
      <c r="J57" s="35" t="s">
        <v>1363</v>
      </c>
      <c r="K57" s="35" t="s">
        <v>1335</v>
      </c>
    </row>
    <row r="58" spans="4:12" ht="15.75" customHeight="1" x14ac:dyDescent="0.3">
      <c r="D58" s="12">
        <v>45444</v>
      </c>
      <c r="E58" s="13">
        <v>1</v>
      </c>
      <c r="F58" s="38">
        <v>37</v>
      </c>
      <c r="G58" s="39">
        <v>20365938688</v>
      </c>
      <c r="H58" s="40" t="str">
        <f>IFERROR(IF('Jun-24'!$G58="","-",VLOOKUP('Jun-24'!$G58,Lista_CUIT!$A$1:$D$2241,2,0)),"CUIT NO CARGADO")</f>
        <v>LIPANOVICH JUAN CRUZ</v>
      </c>
      <c r="I58" s="41">
        <v>750000</v>
      </c>
      <c r="J58" s="42" t="str">
        <f>IFERROR(IF('Jun-24'!$G58="","-",VLOOKUP('Jun-24'!$G58,Lista_CUIT!$A$1:$D$2241,3,0)),"CUIT NO CARGADO")</f>
        <v>SOFTWARE</v>
      </c>
      <c r="K58" s="42">
        <f>IFERROR(IF('Jun-24'!$G58="","-",VLOOKUP('Jun-24'!$G58,Lista_CUIT!$A$1:$D$2241,4,0)),"CUIT NO CARGADO")</f>
        <v>0</v>
      </c>
    </row>
    <row r="59" spans="4:12" ht="15.75" customHeight="1" x14ac:dyDescent="0.3">
      <c r="D59" s="12">
        <v>45444</v>
      </c>
      <c r="E59" s="13">
        <v>1</v>
      </c>
      <c r="F59" s="38">
        <v>26</v>
      </c>
      <c r="G59" s="39">
        <v>27387896150</v>
      </c>
      <c r="H59" s="40" t="str">
        <f>IFERROR(IF('Jun-24'!$G59="","-",VLOOKUP('Jun-24'!$G59,Lista_CUIT!$A$1:$D$2241,2,0)),"CUIT NO CARGADO")</f>
        <v>LIPANOVICH MARIA SOL</v>
      </c>
      <c r="I59" s="41">
        <v>900000</v>
      </c>
      <c r="J59" s="42" t="str">
        <f>IFERROR(IF('Jun-24'!$G59="","-",VLOOKUP('Jun-24'!$G59,Lista_CUIT!$A$1:$D$2241,3,0)),"CUIT NO CARGADO")</f>
        <v>consultoria informatica</v>
      </c>
      <c r="K59" s="42">
        <f>IFERROR(IF('Jun-24'!$G59="","-",VLOOKUP('Jun-24'!$G59,Lista_CUIT!$A$1:$D$2241,4,0)),"CUIT NO CARGADO")</f>
        <v>0</v>
      </c>
    </row>
    <row r="60" spans="4:12" ht="15.75" customHeight="1" x14ac:dyDescent="0.3">
      <c r="D60" s="12">
        <v>45444</v>
      </c>
      <c r="E60" s="13">
        <v>2</v>
      </c>
      <c r="F60" s="38">
        <v>242</v>
      </c>
      <c r="G60" s="39">
        <v>27173820866</v>
      </c>
      <c r="H60" s="40" t="str">
        <f>IFERROR(IF('Jun-24'!$G60="","-",VLOOKUP('Jun-24'!$G60,Lista_CUIT!$A$1:$D$2241,2,0)),"CUIT NO CARGADO")</f>
        <v>FREIER SANDRA DANIELA</v>
      </c>
      <c r="I60" s="41">
        <v>700000</v>
      </c>
      <c r="J60" s="42" t="str">
        <f>IFERROR(IF('Jun-24'!$G60="","-",VLOOKUP('Jun-24'!$G60,Lista_CUIT!$A$1:$D$2241,3,0)),"CUIT NO CARGADO")</f>
        <v>Honorarios Prof</v>
      </c>
      <c r="K60" s="42">
        <f>IFERROR(IF('Jun-24'!$G60="","-",VLOOKUP('Jun-24'!$G60,Lista_CUIT!$A$1:$D$2241,4,0)),"CUIT NO CARGADO")</f>
        <v>0</v>
      </c>
    </row>
    <row r="61" spans="4:12" ht="15.75" customHeight="1" x14ac:dyDescent="0.3">
      <c r="D61" s="12">
        <v>45446</v>
      </c>
      <c r="E61" s="13">
        <v>3</v>
      </c>
      <c r="F61" s="38">
        <v>856</v>
      </c>
      <c r="G61" s="39">
        <v>20086277523</v>
      </c>
      <c r="H61" s="40" t="str">
        <f>IFERROR(IF('Jun-24'!$G61="","-",VLOOKUP('Jun-24'!$G61,Lista_CUIT!$A$1:$D$2241,2,0)),"CUIT NO CARGADO")</f>
        <v>ESTUDIO BOTINDARI</v>
      </c>
      <c r="I61" s="41">
        <v>210000</v>
      </c>
      <c r="J61" s="42" t="str">
        <f>IFERROR(IF('Jun-24'!$G61="","-",VLOOKUP('Jun-24'!$G61,Lista_CUIT!$A$1:$D$2241,3,0)),"CUIT NO CARGADO")</f>
        <v>Honorarios Contables</v>
      </c>
      <c r="K61" s="42">
        <f>IFERROR(IF('Jun-24'!$G61="","-",VLOOKUP('Jun-24'!$G61,Lista_CUIT!$A$1:$D$2241,4,0)),"CUIT NO CARGADO")</f>
        <v>0</v>
      </c>
    </row>
    <row r="62" spans="4:12" ht="15.75" customHeight="1" x14ac:dyDescent="0.3">
      <c r="D62" s="12">
        <v>45446</v>
      </c>
      <c r="E62" s="13">
        <v>4</v>
      </c>
      <c r="F62" s="38">
        <v>26</v>
      </c>
      <c r="G62" s="39">
        <v>20341462933</v>
      </c>
      <c r="H62" s="40" t="str">
        <f>IFERROR(IF('Jun-24'!$G62="","-",VLOOKUP('Jun-24'!$G62,Lista_CUIT!$A$1:$D$2241,2,0)),"CUIT NO CARGADO")</f>
        <v>CASTIGLIONI MATIAS EZEQUIEL</v>
      </c>
      <c r="I62" s="41">
        <v>1015000</v>
      </c>
      <c r="J62" s="42" t="str">
        <f>IFERROR(IF('Jun-24'!$G62="","-",VLOOKUP('Jun-24'!$G62,Lista_CUIT!$A$1:$D$2241,3,0)),"CUIT NO CARGADO")</f>
        <v>ASESORAMIENTO</v>
      </c>
      <c r="K62" s="42" t="str">
        <f>IFERROR(IF('Jun-24'!$G62="","-",VLOOKUP('Jun-24'!$G62,Lista_CUIT!$A$1:$D$2241,4,0)),"CUIT NO CARGADO")</f>
        <v>BUENOS AIRES</v>
      </c>
    </row>
    <row r="63" spans="4:12" ht="15.75" customHeight="1" x14ac:dyDescent="0.3">
      <c r="D63" s="12">
        <v>45448</v>
      </c>
      <c r="E63" s="13">
        <v>2</v>
      </c>
      <c r="F63" s="38">
        <v>4</v>
      </c>
      <c r="G63" s="39">
        <v>23118167279</v>
      </c>
      <c r="H63" s="40" t="str">
        <f>IFERROR(IF('Jun-24'!$G63="","-",VLOOKUP('Jun-24'!$G63,Lista_CUIT!$A$1:$D$2241,2,0)),"CUIT NO CARGADO")</f>
        <v>ABELEDO ENRIQUE JUAN</v>
      </c>
      <c r="I63" s="41">
        <v>780000</v>
      </c>
      <c r="J63" s="42" t="str">
        <f>IFERROR(IF('Jun-24'!$G63="","-",VLOOKUP('Jun-24'!$G63,Lista_CUIT!$A$1:$D$2241,3,0)),"CUIT NO CARGADO")</f>
        <v>Honorarios Admin</v>
      </c>
      <c r="K63" s="42">
        <f>IFERROR(IF('Jun-24'!$G63="","-",VLOOKUP('Jun-24'!$G63,Lista_CUIT!$A$1:$D$2241,4,0)),"CUIT NO CARGADO")</f>
        <v>0</v>
      </c>
    </row>
    <row r="64" spans="4:12" ht="15.75" customHeight="1" x14ac:dyDescent="0.3">
      <c r="D64" s="12">
        <v>45454</v>
      </c>
      <c r="E64" s="13">
        <v>2</v>
      </c>
      <c r="F64" s="38">
        <v>172</v>
      </c>
      <c r="G64" s="39">
        <v>20136544625</v>
      </c>
      <c r="H64" s="40" t="str">
        <f>IFERROR(IF('Jun-24'!$G64="","-",VLOOKUP('Jun-24'!$G64,Lista_CUIT!$A$1:$D$2241,2,0)),"CUIT NO CARGADO")</f>
        <v>RODRIGUEZ DE LA FUEN HECTOR MARCELO</v>
      </c>
      <c r="I64" s="41">
        <v>600000</v>
      </c>
      <c r="J64" s="42" t="str">
        <f>IFERROR(IF('Jun-24'!$G64="","-",VLOOKUP('Jun-24'!$G64,Lista_CUIT!$A$1:$D$2241,3,0)),"CUIT NO CARGADO")</f>
        <v>Honorarios Admin</v>
      </c>
      <c r="K64" s="42">
        <f>IFERROR(IF('Jun-24'!$G64="","-",VLOOKUP('Jun-24'!$G64,Lista_CUIT!$A$1:$D$2241,4,0)),"CUIT NO CARGADO")</f>
        <v>0</v>
      </c>
    </row>
    <row r="65" spans="2:18" ht="15.75" customHeight="1" x14ac:dyDescent="0.3">
      <c r="D65" s="12">
        <v>45454</v>
      </c>
      <c r="E65" s="13">
        <v>2</v>
      </c>
      <c r="F65" s="38">
        <v>796</v>
      </c>
      <c r="G65" s="39">
        <v>20400104094</v>
      </c>
      <c r="H65" s="40" t="str">
        <f>IFERROR(IF('Jun-24'!$G65="","-",VLOOKUP('Jun-24'!$G65,Lista_CUIT!$A$1:$D$2241,2,0)),"CUIT NO CARGADO")</f>
        <v>FEDERICO BOTINDARI</v>
      </c>
      <c r="I65" s="41">
        <v>60442</v>
      </c>
      <c r="J65" s="42" t="str">
        <f>IFERROR(IF('Jun-24'!$G65="","-",VLOOKUP('Jun-24'!$G65,Lista_CUIT!$A$1:$D$2241,3,0)),"CUIT NO CARGADO")</f>
        <v>Honorarios Contables</v>
      </c>
      <c r="K65" s="42">
        <f>IFERROR(IF('Jun-24'!$G65="","-",VLOOKUP('Jun-24'!$G65,Lista_CUIT!$A$1:$D$2241,4,0)),"CUIT NO CARGADO")</f>
        <v>0</v>
      </c>
    </row>
    <row r="66" spans="2:18" ht="15.75" customHeight="1" x14ac:dyDescent="0.3">
      <c r="D66" s="12">
        <v>45468</v>
      </c>
      <c r="E66" s="13">
        <v>1</v>
      </c>
      <c r="F66" s="38">
        <v>332</v>
      </c>
      <c r="G66" s="39">
        <v>27925308884</v>
      </c>
      <c r="H66" s="40" t="str">
        <f>IFERROR(IF('Jun-24'!$G66="","-",VLOOKUP('Jun-24'!$G66,Lista_CUIT!$A$1:$D$2241,2,0)),"CUIT NO CARGADO")</f>
        <v>LOPEZ LOPEZ FLAVIA</v>
      </c>
      <c r="I66" s="41">
        <v>8000</v>
      </c>
      <c r="J66" s="42" t="str">
        <f>IFERROR(IF('Jun-24'!$G66="","-",VLOOKUP('Jun-24'!$G66,Lista_CUIT!$A$1:$D$2241,3,0)),"CUIT NO CARGADO")</f>
        <v>GASTOS VARIOS</v>
      </c>
      <c r="K66" s="42">
        <f>IFERROR(IF('Jun-24'!$G66="","-",VLOOKUP('Jun-24'!$G66,Lista_CUIT!$A$1:$D$2241,4,0)),"CUIT NO CARGADO")</f>
        <v>0</v>
      </c>
    </row>
    <row r="67" spans="2:18" ht="15.75" customHeight="1" x14ac:dyDescent="0.3">
      <c r="D67" s="12">
        <v>45469</v>
      </c>
      <c r="E67" s="13">
        <v>2</v>
      </c>
      <c r="F67" s="38">
        <v>139</v>
      </c>
      <c r="G67" s="39">
        <v>27125997835</v>
      </c>
      <c r="H67" s="40" t="str">
        <f>IFERROR(IF('Jun-24'!$G67="","-",VLOOKUP('Jun-24'!$G67,Lista_CUIT!$A$1:$D$2241,2,0)),"CUIT NO CARGADO")</f>
        <v>DANSKY ULLMANN VIVIANA EVA YOLANDA</v>
      </c>
      <c r="I67" s="41">
        <v>15000</v>
      </c>
      <c r="J67" s="42" t="str">
        <f>IFERROR(IF('Jun-24'!$G67="","-",VLOOKUP('Jun-24'!$G67,Lista_CUIT!$A$1:$D$2241,3,0)),"CUIT NO CARGADO")</f>
        <v>Honorarios Prof</v>
      </c>
      <c r="K67" s="42">
        <f>IFERROR(IF('Jun-24'!$G67="","-",VLOOKUP('Jun-24'!$G67,Lista_CUIT!$A$1:$D$2241,4,0)),"CUIT NO CARGADO")</f>
        <v>0</v>
      </c>
    </row>
    <row r="68" spans="2:18" ht="15.75" customHeight="1" x14ac:dyDescent="0.3">
      <c r="D68" s="12"/>
      <c r="E68" s="13"/>
      <c r="F68" s="38"/>
      <c r="G68" s="39"/>
      <c r="H68" s="40" t="str">
        <f>IFERROR(IF('Jun-24'!$G68="","-",VLOOKUP('Jun-24'!$G68,Lista_CUIT!$A$1:$D$2241,2,0)),"CUIT NO CARGADO")</f>
        <v>-</v>
      </c>
      <c r="I68" s="41"/>
      <c r="J68" s="42" t="str">
        <f>IFERROR(IF('Jun-24'!$G68="","-",VLOOKUP('Jun-24'!$G68,Lista_CUIT!$A$1:$D$2241,3,0)),"CUIT NO CARGADO")</f>
        <v>-</v>
      </c>
      <c r="K68" s="42" t="str">
        <f>IFERROR(IF('Jun-24'!$G68="","-",VLOOKUP('Jun-24'!$G68,Lista_CUIT!$A$1:$D$2241,4,0)),"CUIT NO CARGADO")</f>
        <v>-</v>
      </c>
    </row>
    <row r="69" spans="2:18" ht="15.75" customHeight="1" x14ac:dyDescent="0.3">
      <c r="D69" s="12"/>
      <c r="E69" s="13"/>
      <c r="F69" s="38"/>
      <c r="G69" s="39"/>
      <c r="H69" s="40" t="str">
        <f>IFERROR(IF('Jun-24'!$G69="","-",VLOOKUP('Jun-24'!$G69,Lista_CUIT!$A$1:$D$2241,2,0)),"CUIT NO CARGADO")</f>
        <v>-</v>
      </c>
      <c r="I69" s="41"/>
      <c r="J69" s="42" t="str">
        <f>IFERROR(IF('Jun-24'!$G69="","-",VLOOKUP('Jun-24'!$G69,Lista_CUIT!$A$1:$D$2241,3,0)),"CUIT NO CARGADO")</f>
        <v>-</v>
      </c>
      <c r="K69" s="42" t="str">
        <f>IFERROR(IF('Jun-24'!$G69="","-",VLOOKUP('Jun-24'!$G69,Lista_CUIT!$A$1:$D$2241,4,0)),"CUIT NO CARGADO")</f>
        <v>-</v>
      </c>
    </row>
    <row r="70" spans="2:18" ht="15.75" customHeight="1" x14ac:dyDescent="0.3">
      <c r="D70" s="12"/>
      <c r="E70" s="13"/>
      <c r="F70" s="38"/>
      <c r="G70" s="39"/>
      <c r="H70" s="40" t="str">
        <f>IFERROR(IF('Jun-24'!$G70="","-",VLOOKUP('Jun-24'!$G70,Lista_CUIT!$A$1:$D$2241,2,0)),"CUIT NO CARGADO")</f>
        <v>-</v>
      </c>
      <c r="I70" s="41"/>
      <c r="J70" s="42" t="str">
        <f>IFERROR(IF('Jun-24'!$G70="","-",VLOOKUP('Jun-24'!$G70,Lista_CUIT!$A$1:$D$2241,3,0)),"CUIT NO CARGADO")</f>
        <v>-</v>
      </c>
      <c r="K70" s="42" t="str">
        <f>IFERROR(IF('Jun-24'!$G70="","-",VLOOKUP('Jun-24'!$G70,Lista_CUIT!$A$1:$D$2241,4,0)),"CUIT NO CARGADO")</f>
        <v>-</v>
      </c>
    </row>
    <row r="71" spans="2:18" ht="15.75" customHeight="1" x14ac:dyDescent="0.3">
      <c r="D71" s="12"/>
      <c r="E71" s="13"/>
      <c r="F71" s="15"/>
      <c r="G71" s="16"/>
      <c r="H71" s="40" t="str">
        <f>IFERROR(IF('Jun-24'!$G71="","-",VLOOKUP('Jun-24'!$G71,Lista_CUIT!$A$1:$D$2241,2,0)),"CUIT NO CARGADO")</f>
        <v>-</v>
      </c>
      <c r="I71" s="31"/>
      <c r="J71" s="42" t="str">
        <f>IFERROR(IF('Jun-24'!$G71="","-",VLOOKUP('Jun-24'!$G71,Lista_CUIT!$A$1:$D$2241,3,0)),"CUIT NO CARGADO")</f>
        <v>-</v>
      </c>
      <c r="K71" s="42" t="str">
        <f>IFERROR(IF('Jun-24'!$G71="","-",VLOOKUP('Jun-24'!$G71,Lista_CUIT!$A$1:$D$2241,4,0)),"CUIT NO CARGADO")</f>
        <v>-</v>
      </c>
    </row>
    <row r="72" spans="2:18" ht="15.75" customHeight="1" x14ac:dyDescent="0.3">
      <c r="D72" s="42" t="s">
        <v>1343</v>
      </c>
      <c r="E72" s="42"/>
      <c r="F72" s="42"/>
      <c r="G72" s="42"/>
      <c r="H72" s="44"/>
      <c r="I72" s="41">
        <f>SUBTOTAL(109,'Jun-24'!$I$58:$I$71)</f>
        <v>5038442</v>
      </c>
      <c r="J72" s="42"/>
      <c r="K72" s="42"/>
    </row>
    <row r="73" spans="2:18" ht="15.75" customHeight="1" x14ac:dyDescent="0.3">
      <c r="B73" s="43"/>
      <c r="C73" s="43"/>
      <c r="L73" s="43"/>
      <c r="M73" s="43"/>
      <c r="N73" s="43"/>
      <c r="O73" s="43"/>
      <c r="P73" s="43"/>
      <c r="Q73" s="43"/>
      <c r="R73" s="43"/>
    </row>
    <row r="74" spans="2:18" ht="15.75" customHeight="1" x14ac:dyDescent="0.3"/>
    <row r="75" spans="2:18" ht="15.75" customHeight="1" x14ac:dyDescent="0.3"/>
    <row r="76" spans="2:18" ht="15.75" customHeight="1" x14ac:dyDescent="0.3"/>
    <row r="77" spans="2:18" ht="15.75" customHeight="1" x14ac:dyDescent="0.3"/>
    <row r="78" spans="2:18" ht="15.75" customHeight="1" x14ac:dyDescent="0.3">
      <c r="B78" s="492" t="s">
        <v>1364</v>
      </c>
      <c r="C78" s="476"/>
      <c r="D78" s="476"/>
      <c r="E78" s="476"/>
      <c r="F78" s="476"/>
      <c r="G78" s="476"/>
      <c r="H78" s="476"/>
      <c r="I78" s="476"/>
      <c r="J78" s="477"/>
      <c r="K78" s="493">
        <f>N1</f>
        <v>45078</v>
      </c>
      <c r="L78" s="476"/>
      <c r="M78" s="477"/>
    </row>
    <row r="79" spans="2:18" ht="15.75" customHeight="1" x14ac:dyDescent="0.3"/>
    <row r="80" spans="2:18" ht="15.75" customHeight="1" x14ac:dyDescent="0.3">
      <c r="B80" s="485" t="s">
        <v>1365</v>
      </c>
      <c r="C80" s="486"/>
    </row>
    <row r="81" spans="2:13" ht="15.75" customHeight="1" x14ac:dyDescent="0.3">
      <c r="B81" s="45" t="s">
        <v>1322</v>
      </c>
      <c r="C81" s="46" t="s">
        <v>1323</v>
      </c>
      <c r="D81" s="46" t="s">
        <v>1366</v>
      </c>
      <c r="E81" s="46" t="s">
        <v>1367</v>
      </c>
      <c r="F81" s="46" t="s">
        <v>0</v>
      </c>
      <c r="G81" s="46" t="s">
        <v>1</v>
      </c>
      <c r="H81" s="46" t="s">
        <v>1368</v>
      </c>
      <c r="I81" s="46" t="s">
        <v>1348</v>
      </c>
      <c r="J81" s="46" t="s">
        <v>1329</v>
      </c>
      <c r="K81" s="46" t="s">
        <v>1369</v>
      </c>
      <c r="L81" s="46" t="s">
        <v>1334</v>
      </c>
      <c r="M81" s="47" t="s">
        <v>1335</v>
      </c>
    </row>
    <row r="82" spans="2:13" ht="15.75" customHeight="1" x14ac:dyDescent="0.3">
      <c r="B82" s="12">
        <v>45453</v>
      </c>
      <c r="C82" s="13">
        <v>1</v>
      </c>
      <c r="D82" s="14">
        <v>3</v>
      </c>
      <c r="E82" s="15">
        <v>199</v>
      </c>
      <c r="F82" s="16">
        <v>30628274327</v>
      </c>
      <c r="G82" s="120" t="str">
        <f>IFERROR(IF('Jun-24'!$F82="","-",VLOOKUP('Jun-24'!$F82,Lista_CUIT!$A$1:$D$2241,2,0)),"CUIT NO CARGADO")</f>
        <v>AGIRA  S A</v>
      </c>
      <c r="H82" s="49">
        <v>274200</v>
      </c>
      <c r="I82" s="50">
        <f>'Jun-24'!$H82*0.21</f>
        <v>57582</v>
      </c>
      <c r="J82" s="51"/>
      <c r="K82" s="51"/>
      <c r="L82" s="51">
        <f>SUM('Jun-24'!$H82:$K82)</f>
        <v>331782</v>
      </c>
      <c r="M82" s="52"/>
    </row>
    <row r="83" spans="2:13" ht="15.75" customHeight="1" x14ac:dyDescent="0.3">
      <c r="B83" s="12">
        <v>45453</v>
      </c>
      <c r="C83" s="13">
        <v>1</v>
      </c>
      <c r="D83" s="14">
        <v>3</v>
      </c>
      <c r="E83" s="15">
        <v>198</v>
      </c>
      <c r="F83" s="16">
        <v>30628274327</v>
      </c>
      <c r="G83" s="120" t="str">
        <f>IFERROR(IF('Jun-24'!$F83="","-",VLOOKUP('Jun-24'!$F83,Lista_CUIT!$A$1:$D$2241,2,0)),"CUIT NO CARGADO")</f>
        <v>AGIRA  S A</v>
      </c>
      <c r="H83" s="49">
        <v>12256740</v>
      </c>
      <c r="I83" s="137"/>
      <c r="J83" s="51">
        <f>'Jun-24'!$H83*0.105</f>
        <v>1286957.7</v>
      </c>
      <c r="K83" s="51"/>
      <c r="L83" s="51">
        <f>SUM('Jun-24'!$H83:$K83)</f>
        <v>13543697.699999999</v>
      </c>
      <c r="M83" s="52"/>
    </row>
    <row r="84" spans="2:13" ht="15.75" customHeight="1" x14ac:dyDescent="0.3">
      <c r="B84" s="12">
        <v>45457</v>
      </c>
      <c r="C84" s="13">
        <v>1</v>
      </c>
      <c r="D84" s="14">
        <v>3</v>
      </c>
      <c r="E84" s="15">
        <v>200</v>
      </c>
      <c r="F84" s="16">
        <v>30638318470</v>
      </c>
      <c r="G84" s="120" t="str">
        <f>IFERROR(IF('Jun-24'!$F84="","-",VLOOKUP('Jun-24'!$F84,Lista_CUIT!$A$1:$D$2241,2,0)),"CUIT NO CARGADO")</f>
        <v>DELTA COMPRESION S R L</v>
      </c>
      <c r="H84" s="49">
        <v>25052252.079999998</v>
      </c>
      <c r="I84" s="137">
        <f>230629.08*0.21</f>
        <v>48432.106799999994</v>
      </c>
      <c r="J84" s="51">
        <f>24821623*0.105</f>
        <v>2606270.415</v>
      </c>
      <c r="K84" s="51"/>
      <c r="L84" s="51">
        <f>SUM('Jun-24'!$H84:$K84)</f>
        <v>27706954.601799998</v>
      </c>
      <c r="M84" s="52"/>
    </row>
    <row r="85" spans="2:13" ht="15.75" customHeight="1" x14ac:dyDescent="0.3">
      <c r="B85" s="12">
        <v>45467</v>
      </c>
      <c r="C85" s="13">
        <v>1</v>
      </c>
      <c r="D85" s="14">
        <v>3</v>
      </c>
      <c r="E85" s="15">
        <v>201</v>
      </c>
      <c r="F85" s="16">
        <v>30717260968</v>
      </c>
      <c r="G85" s="120" t="str">
        <f>IFERROR(IF('Jun-24'!$F85="","-",VLOOKUP('Jun-24'!$F85,Lista_CUIT!$A$1:$D$2241,2,0)),"CUIT NO CARGADO")</f>
        <v>2 IN FLOW COMPAÑIA DE SERVICIOS S. A.</v>
      </c>
      <c r="H85" s="49">
        <v>2904000</v>
      </c>
      <c r="I85" s="137">
        <f>'Jun-24'!$H85*0.21</f>
        <v>609840</v>
      </c>
      <c r="J85" s="51"/>
      <c r="K85" s="51"/>
      <c r="L85" s="51">
        <f>SUM('Jun-24'!$H85:$K85)</f>
        <v>3513840</v>
      </c>
      <c r="M85" s="52"/>
    </row>
    <row r="86" spans="2:13" ht="15.75" customHeight="1" x14ac:dyDescent="0.3">
      <c r="B86" s="12">
        <v>45467</v>
      </c>
      <c r="C86" s="13">
        <v>1</v>
      </c>
      <c r="D86" s="14">
        <v>3</v>
      </c>
      <c r="E86" s="15">
        <v>202</v>
      </c>
      <c r="F86" s="16">
        <v>30628274327</v>
      </c>
      <c r="G86" s="120" t="str">
        <f>IFERROR(IF('Jun-24'!$F86="","-",VLOOKUP('Jun-24'!$F86,Lista_CUIT!$A$1:$D$2241,2,0)),"CUIT NO CARGADO")</f>
        <v>AGIRA  S A</v>
      </c>
      <c r="H86" s="49">
        <v>12565215</v>
      </c>
      <c r="I86" s="137">
        <f>274950*0.21</f>
        <v>57739.5</v>
      </c>
      <c r="J86" s="51">
        <f>12290265*0.105</f>
        <v>1290477.825</v>
      </c>
      <c r="K86" s="51"/>
      <c r="L86" s="51">
        <f>SUM('Jun-24'!$H86:$K86)</f>
        <v>13913432.324999999</v>
      </c>
      <c r="M86" s="52"/>
    </row>
    <row r="87" spans="2:13" ht="15.75" customHeight="1" x14ac:dyDescent="0.3">
      <c r="B87" s="12">
        <v>45467</v>
      </c>
      <c r="C87" s="13">
        <v>1</v>
      </c>
      <c r="D87" s="14">
        <v>3</v>
      </c>
      <c r="E87" s="15">
        <v>203</v>
      </c>
      <c r="F87" s="16">
        <v>30628274327</v>
      </c>
      <c r="G87" s="120" t="str">
        <f>IFERROR(IF('Jun-24'!$F87="","-",VLOOKUP('Jun-24'!$F87,Lista_CUIT!$A$1:$D$2241,2,0)),"CUIT NO CARGADO")</f>
        <v>AGIRA  S A</v>
      </c>
      <c r="H87" s="49">
        <v>367200</v>
      </c>
      <c r="I87" s="137">
        <f>'Jun-24'!$H87*0.21</f>
        <v>77112</v>
      </c>
      <c r="J87" s="51"/>
      <c r="K87" s="51"/>
      <c r="L87" s="51">
        <f>SUM('Jun-24'!$H87:$K87)</f>
        <v>444312</v>
      </c>
      <c r="M87" s="52"/>
    </row>
    <row r="88" spans="2:13" ht="15.75" customHeight="1" x14ac:dyDescent="0.3">
      <c r="B88" s="12">
        <v>45467</v>
      </c>
      <c r="C88" s="13">
        <v>3</v>
      </c>
      <c r="D88" s="14">
        <v>3</v>
      </c>
      <c r="E88" s="15">
        <v>21</v>
      </c>
      <c r="F88" s="16">
        <v>30628274327</v>
      </c>
      <c r="G88" s="120" t="str">
        <f>IFERROR(IF('Jun-24'!$F88="","-",VLOOKUP('Jun-24'!$F88,Lista_CUIT!$A$1:$D$2241,2,0)),"CUIT NO CARGADO")</f>
        <v>AGIRA  S A</v>
      </c>
      <c r="H88" s="49">
        <v>-12256740</v>
      </c>
      <c r="I88" s="137"/>
      <c r="J88" s="51">
        <f>'Jun-24'!$H88*0.105</f>
        <v>-1286957.7</v>
      </c>
      <c r="K88" s="51"/>
      <c r="L88" s="51">
        <f>SUM('Jun-24'!$H88:$K88)</f>
        <v>-13543697.699999999</v>
      </c>
      <c r="M88" s="53"/>
    </row>
    <row r="89" spans="2:13" ht="15.75" customHeight="1" x14ac:dyDescent="0.3">
      <c r="B89" s="54">
        <v>45467</v>
      </c>
      <c r="C89" s="55">
        <v>3</v>
      </c>
      <c r="D89" s="56">
        <v>3</v>
      </c>
      <c r="E89" s="57">
        <v>22</v>
      </c>
      <c r="F89" s="58">
        <v>30628274327</v>
      </c>
      <c r="G89" s="120" t="str">
        <f>IFERROR(IF('Jun-24'!$F89="","-",VLOOKUP('Jun-24'!$F89,Lista_CUIT!$A$1:$D$2241,2,0)),"CUIT NO CARGADO")</f>
        <v>AGIRA  S A</v>
      </c>
      <c r="H89" s="59">
        <v>-274200</v>
      </c>
      <c r="I89" s="60">
        <f>'Jun-24'!$H89*0.21</f>
        <v>-57582</v>
      </c>
      <c r="J89" s="61"/>
      <c r="K89" s="61"/>
      <c r="L89" s="51">
        <f>SUM('Jun-24'!$H89:$K89)</f>
        <v>-331782</v>
      </c>
      <c r="M89" s="53"/>
    </row>
    <row r="90" spans="2:13" ht="15.75" customHeight="1" x14ac:dyDescent="0.3">
      <c r="B90" s="62"/>
      <c r="C90" s="63"/>
      <c r="D90" s="64"/>
      <c r="E90" s="65"/>
      <c r="F90" s="66"/>
      <c r="G90" s="120" t="str">
        <f>IFERROR(IF('Jun-24'!$F90="","-",VLOOKUP('Jun-24'!$F90,Lista_CUIT!$A$1:$D$2241,2,0)),"CUIT NO CARGADO")</f>
        <v>-</v>
      </c>
      <c r="H90" s="49"/>
      <c r="I90" s="50">
        <f>'Jun-24'!$H90*0.21</f>
        <v>0</v>
      </c>
      <c r="J90" s="51"/>
      <c r="K90" s="51"/>
      <c r="L90" s="51">
        <f>SUM('Jun-24'!$H90:$K90)</f>
        <v>0</v>
      </c>
      <c r="M90" s="52"/>
    </row>
    <row r="91" spans="2:13" ht="15.75" customHeight="1" x14ac:dyDescent="0.3">
      <c r="B91" s="68" t="s">
        <v>1343</v>
      </c>
      <c r="C91" s="69"/>
      <c r="D91" s="69"/>
      <c r="E91" s="69"/>
      <c r="F91" s="69"/>
      <c r="G91" s="69"/>
      <c r="H91" s="70">
        <f>SUBTOTAL(109,'Jun-24'!$H$82:$H$90)</f>
        <v>40888667.079999998</v>
      </c>
      <c r="I91" s="71">
        <f>SUBTOTAL(109,'Jun-24'!$I$82:$I$90)</f>
        <v>793123.60679999995</v>
      </c>
      <c r="J91" s="61">
        <f>SUBTOTAL(109,'Jun-24'!$J$82:$J$90)</f>
        <v>3896748.24</v>
      </c>
      <c r="K91" s="61">
        <f>SUBTOTAL(109,'Jun-24'!$K$82:$K$90)</f>
        <v>0</v>
      </c>
      <c r="L91" s="61">
        <f>SUBTOTAL(109,'Jun-24'!$L$82:$L$90)</f>
        <v>45578538.926799998</v>
      </c>
      <c r="M91" s="72">
        <f>SUBTOTAL(103,'Jun-24'!$M$82:$M$90)</f>
        <v>0</v>
      </c>
    </row>
    <row r="92" spans="2:13" ht="15.75" customHeight="1" x14ac:dyDescent="0.3"/>
    <row r="93" spans="2:13" ht="15.75" customHeight="1" x14ac:dyDescent="0.3">
      <c r="H93" s="138"/>
    </row>
    <row r="94" spans="2:13" ht="15.75" customHeight="1" x14ac:dyDescent="0.3">
      <c r="B94" s="485" t="s">
        <v>1372</v>
      </c>
      <c r="C94" s="486"/>
    </row>
    <row r="95" spans="2:13" ht="15.75" customHeight="1" x14ac:dyDescent="0.3">
      <c r="B95" s="45" t="s">
        <v>1322</v>
      </c>
      <c r="C95" s="46" t="s">
        <v>1323</v>
      </c>
      <c r="D95" s="46" t="s">
        <v>1366</v>
      </c>
      <c r="E95" s="46" t="s">
        <v>1367</v>
      </c>
      <c r="F95" s="46" t="s">
        <v>0</v>
      </c>
      <c r="G95" s="46" t="s">
        <v>1</v>
      </c>
      <c r="H95" s="46" t="s">
        <v>1368</v>
      </c>
      <c r="I95" s="46" t="s">
        <v>1348</v>
      </c>
      <c r="J95" s="46" t="s">
        <v>1329</v>
      </c>
      <c r="K95" s="46" t="s">
        <v>1369</v>
      </c>
      <c r="L95" s="46" t="s">
        <v>1334</v>
      </c>
      <c r="M95" s="47" t="s">
        <v>1335</v>
      </c>
    </row>
    <row r="96" spans="2:13" ht="15.75" customHeight="1" x14ac:dyDescent="0.3">
      <c r="B96" s="12"/>
      <c r="C96" s="13"/>
      <c r="D96" s="14"/>
      <c r="E96" s="15"/>
      <c r="F96" s="16"/>
      <c r="G96" s="73" t="str">
        <f>IFERROR(IF('Jun-24'!$F96="","-",VLOOKUP('Jun-24'!$F96,Lista_CUIT!$A$1:$D$2241,2,0)),"CUIT NO CARGADO")</f>
        <v>-</v>
      </c>
      <c r="H96" s="74"/>
      <c r="I96" s="74"/>
      <c r="J96" s="74"/>
      <c r="K96" s="74"/>
      <c r="L96" s="74">
        <f>SUM('Jun-24'!$H96:$K96)</f>
        <v>0</v>
      </c>
      <c r="M96" s="52"/>
    </row>
    <row r="97" spans="2:16" ht="15.75" customHeight="1" x14ac:dyDescent="0.3">
      <c r="B97" s="12"/>
      <c r="C97" s="13"/>
      <c r="D97" s="14"/>
      <c r="E97" s="15"/>
      <c r="F97" s="16"/>
      <c r="G97" s="73"/>
      <c r="H97" s="74"/>
      <c r="I97" s="74"/>
      <c r="J97" s="74"/>
      <c r="K97" s="74"/>
      <c r="L97" s="74">
        <f>SUM('Jun-24'!$H97:$K97)</f>
        <v>0</v>
      </c>
      <c r="M97" s="52"/>
    </row>
    <row r="98" spans="2:16" ht="15.75" customHeight="1" x14ac:dyDescent="0.3">
      <c r="B98" s="12"/>
      <c r="C98" s="13"/>
      <c r="D98" s="14"/>
      <c r="E98" s="15"/>
      <c r="F98" s="16"/>
      <c r="G98" s="73"/>
      <c r="H98" s="74"/>
      <c r="I98" s="74"/>
      <c r="J98" s="74"/>
      <c r="K98" s="74"/>
      <c r="L98" s="74">
        <f>SUM('Jun-24'!$H98:$K98)</f>
        <v>0</v>
      </c>
      <c r="M98" s="52"/>
    </row>
    <row r="99" spans="2:16" ht="15.75" customHeight="1" x14ac:dyDescent="0.3">
      <c r="B99" s="12"/>
      <c r="C99" s="13"/>
      <c r="D99" s="14"/>
      <c r="E99" s="15"/>
      <c r="F99" s="16"/>
      <c r="G99" s="73"/>
      <c r="H99" s="74"/>
      <c r="I99" s="74"/>
      <c r="J99" s="74"/>
      <c r="K99" s="74"/>
      <c r="L99" s="74">
        <f>SUM('Jun-24'!$H99:$K99)</f>
        <v>0</v>
      </c>
      <c r="M99" s="52"/>
    </row>
    <row r="100" spans="2:16" ht="15.75" customHeight="1" x14ac:dyDescent="0.3">
      <c r="B100" s="12"/>
      <c r="C100" s="13"/>
      <c r="D100" s="14"/>
      <c r="E100" s="15"/>
      <c r="F100" s="16"/>
      <c r="G100" s="73"/>
      <c r="H100" s="74"/>
      <c r="I100" s="74"/>
      <c r="J100" s="74"/>
      <c r="K100" s="74"/>
      <c r="L100" s="74">
        <f>SUM('Jun-24'!$H100:$K100)</f>
        <v>0</v>
      </c>
      <c r="M100" s="52"/>
    </row>
    <row r="101" spans="2:16" ht="15.75" customHeight="1" x14ac:dyDescent="0.3">
      <c r="B101" s="12"/>
      <c r="C101" s="13"/>
      <c r="D101" s="14"/>
      <c r="E101" s="15"/>
      <c r="F101" s="16"/>
      <c r="G101" s="73"/>
      <c r="H101" s="74"/>
      <c r="I101" s="74"/>
      <c r="J101" s="74"/>
      <c r="K101" s="74"/>
      <c r="L101" s="74">
        <f>SUM('Jun-24'!$H101:$K101)</f>
        <v>0</v>
      </c>
      <c r="M101" s="52"/>
    </row>
    <row r="102" spans="2:16" ht="15.75" customHeight="1" x14ac:dyDescent="0.3">
      <c r="B102" s="68" t="s">
        <v>1343</v>
      </c>
      <c r="C102" s="69"/>
      <c r="D102" s="69"/>
      <c r="E102" s="69"/>
      <c r="F102" s="69"/>
      <c r="G102" s="69"/>
      <c r="H102" s="75">
        <f>SUBTOTAL(109,'Jun-24'!$H$96:$H$101)</f>
        <v>0</v>
      </c>
      <c r="I102" s="75">
        <f>SUBTOTAL(109,'Jun-24'!$I$96:$I$101)</f>
        <v>0</v>
      </c>
      <c r="J102" s="76">
        <f>SUBTOTAL(109,'Jun-24'!$J$96:$J$101)</f>
        <v>0</v>
      </c>
      <c r="K102" s="76">
        <f>SUBTOTAL(109,'Jun-24'!$K$96:$K$101)</f>
        <v>0</v>
      </c>
      <c r="L102" s="76">
        <f>SUBTOTAL(109,'Jun-24'!$L$96:$L$101)</f>
        <v>0</v>
      </c>
      <c r="M102" s="72">
        <f>SUBTOTAL(103,'Jun-24'!$M$96:$M$101)</f>
        <v>0</v>
      </c>
    </row>
    <row r="103" spans="2:16" ht="15.75" customHeight="1" x14ac:dyDescent="0.3"/>
    <row r="104" spans="2:16" ht="15.75" customHeight="1" x14ac:dyDescent="0.3"/>
    <row r="105" spans="2:16" ht="15.75" customHeight="1" x14ac:dyDescent="0.3">
      <c r="B105" s="485" t="s">
        <v>1373</v>
      </c>
      <c r="C105" s="486"/>
    </row>
    <row r="106" spans="2:16" ht="15.75" customHeight="1" x14ac:dyDescent="0.3">
      <c r="B106" s="45" t="s">
        <v>1322</v>
      </c>
      <c r="C106" s="46" t="s">
        <v>1323</v>
      </c>
      <c r="D106" s="46" t="s">
        <v>1366</v>
      </c>
      <c r="E106" s="46" t="s">
        <v>1367</v>
      </c>
      <c r="F106" s="46" t="s">
        <v>0</v>
      </c>
      <c r="G106" s="46" t="s">
        <v>1</v>
      </c>
      <c r="H106" s="46" t="s">
        <v>1374</v>
      </c>
      <c r="I106" s="46" t="s">
        <v>1375</v>
      </c>
      <c r="J106" s="46" t="s">
        <v>1376</v>
      </c>
      <c r="K106" s="46" t="s">
        <v>1377</v>
      </c>
      <c r="L106" s="46" t="s">
        <v>1334</v>
      </c>
      <c r="M106" s="47" t="s">
        <v>1335</v>
      </c>
    </row>
    <row r="107" spans="2:16" ht="15.75" customHeight="1" x14ac:dyDescent="0.3">
      <c r="B107" s="78">
        <v>45469</v>
      </c>
      <c r="C107" s="79"/>
      <c r="D107" s="80">
        <v>30</v>
      </c>
      <c r="E107" s="81">
        <v>87</v>
      </c>
      <c r="F107" s="2">
        <v>55000000050</v>
      </c>
      <c r="G107" s="73" t="str">
        <f>IFERROR(IF('Jun-24'!$F107="","-",VLOOKUP('Jun-24'!$F107,Lista_CUIT!$A$1:$D$2241,2,0)),"CUIT NO CARGADO")</f>
        <v>GAS FUTURO SISTEMAS DE COMPRESSÃO LTDA</v>
      </c>
      <c r="H107" s="74">
        <v>3175</v>
      </c>
      <c r="I107" s="83"/>
      <c r="J107" s="84"/>
      <c r="K107" s="84">
        <v>909</v>
      </c>
      <c r="L107" s="84">
        <f t="shared" ref="L107:L121" si="0">H107*K107</f>
        <v>2886075</v>
      </c>
      <c r="M107" s="52"/>
      <c r="N107" s="10"/>
      <c r="O107" s="10"/>
      <c r="P107" s="10"/>
    </row>
    <row r="108" spans="2:16" ht="15.75" customHeight="1" x14ac:dyDescent="0.3">
      <c r="B108" s="78"/>
      <c r="C108" s="79"/>
      <c r="D108" s="80"/>
      <c r="E108" s="81"/>
      <c r="F108" s="2"/>
      <c r="G108" s="73" t="str">
        <f>IFERROR(IF('Jun-24'!$F108="","-",VLOOKUP('Jun-24'!$F108,Lista_CUIT!$A$1:$D$2241,2,0)),"CUIT NO CARGADO")</f>
        <v>-</v>
      </c>
      <c r="H108" s="74"/>
      <c r="I108" s="83"/>
      <c r="J108" s="84"/>
      <c r="K108" s="84"/>
      <c r="L108" s="84">
        <f t="shared" si="0"/>
        <v>0</v>
      </c>
      <c r="M108" s="52"/>
    </row>
    <row r="109" spans="2:16" ht="15.75" customHeight="1" x14ac:dyDescent="0.3">
      <c r="B109" s="78"/>
      <c r="C109" s="79"/>
      <c r="D109" s="80"/>
      <c r="E109" s="81"/>
      <c r="F109" s="2"/>
      <c r="G109" s="73" t="str">
        <f>IFERROR(IF('Jun-24'!$F109="","-",VLOOKUP('Jun-24'!$F109,Lista_CUIT!$A$1:$D$2241,2,0)),"CUIT NO CARGADO")</f>
        <v>-</v>
      </c>
      <c r="H109" s="74"/>
      <c r="I109" s="83">
        <f>'Jun-24'!$H109*0.21</f>
        <v>0</v>
      </c>
      <c r="J109" s="84"/>
      <c r="K109" s="84">
        <f>'Jun-24'!$H109*'Jun-24'!$J109</f>
        <v>0</v>
      </c>
      <c r="L109" s="84">
        <f t="shared" si="0"/>
        <v>0</v>
      </c>
      <c r="M109" s="52"/>
      <c r="N109" s="85"/>
      <c r="O109" s="85"/>
      <c r="P109" s="85"/>
    </row>
    <row r="110" spans="2:16" ht="15.75" customHeight="1" x14ac:dyDescent="0.3">
      <c r="B110" s="78"/>
      <c r="C110" s="79"/>
      <c r="D110" s="80"/>
      <c r="E110" s="81"/>
      <c r="F110" s="2"/>
      <c r="G110" s="73" t="str">
        <f>IFERROR(IF('Jun-24'!$F110="","-",VLOOKUP('Jun-24'!$F110,Lista_CUIT!$A$1:$D$2241,2,0)),"CUIT NO CARGADO")</f>
        <v>-</v>
      </c>
      <c r="H110" s="74"/>
      <c r="I110" s="83">
        <f>'Jun-24'!$H110*0.21</f>
        <v>0</v>
      </c>
      <c r="J110" s="84"/>
      <c r="K110" s="84">
        <f>'Jun-24'!$H110*'Jun-24'!$J110</f>
        <v>0</v>
      </c>
      <c r="L110" s="84">
        <f t="shared" si="0"/>
        <v>0</v>
      </c>
      <c r="M110" s="52"/>
    </row>
    <row r="111" spans="2:16" ht="15.75" customHeight="1" x14ac:dyDescent="0.3">
      <c r="B111" s="78"/>
      <c r="C111" s="79"/>
      <c r="D111" s="80"/>
      <c r="E111" s="81"/>
      <c r="F111" s="2"/>
      <c r="G111" s="73" t="str">
        <f>IFERROR(IF('Jun-24'!$F111="","-",VLOOKUP('Jun-24'!$F111,Lista_CUIT!$A$1:$D$2241,2,0)),"CUIT NO CARGADO")</f>
        <v>-</v>
      </c>
      <c r="H111" s="74"/>
      <c r="I111" s="83">
        <f>'Jun-24'!$H111*0.21</f>
        <v>0</v>
      </c>
      <c r="J111" s="84"/>
      <c r="K111" s="84">
        <f>'Jun-24'!$H111*'Jun-24'!$J111</f>
        <v>0</v>
      </c>
      <c r="L111" s="84">
        <f t="shared" si="0"/>
        <v>0</v>
      </c>
      <c r="M111" s="52"/>
    </row>
    <row r="112" spans="2:16" ht="15.75" customHeight="1" x14ac:dyDescent="0.3">
      <c r="B112" s="78"/>
      <c r="C112" s="79"/>
      <c r="D112" s="80"/>
      <c r="E112" s="81"/>
      <c r="F112" s="2"/>
      <c r="G112" s="73" t="str">
        <f>IFERROR(IF('Jun-24'!$F112="","-",VLOOKUP('Jun-24'!$F112,Lista_CUIT!$A$1:$D$2241,2,0)),"CUIT NO CARGADO")</f>
        <v>-</v>
      </c>
      <c r="H112" s="74"/>
      <c r="I112" s="83">
        <f>'Jun-24'!$H112*0.21</f>
        <v>0</v>
      </c>
      <c r="J112" s="84"/>
      <c r="K112" s="84">
        <f>'Jun-24'!$H112*'Jun-24'!$J112</f>
        <v>0</v>
      </c>
      <c r="L112" s="84">
        <f t="shared" si="0"/>
        <v>0</v>
      </c>
      <c r="M112" s="52"/>
    </row>
    <row r="113" spans="2:13" ht="15.75" customHeight="1" x14ac:dyDescent="0.3">
      <c r="B113" s="78"/>
      <c r="C113" s="79"/>
      <c r="D113" s="80"/>
      <c r="E113" s="81"/>
      <c r="F113" s="2"/>
      <c r="G113" s="73" t="str">
        <f>IFERROR(IF('Jun-24'!$F113="","-",VLOOKUP('Jun-24'!$F113,Lista_CUIT!$A$1:$D$2241,2,0)),"CUIT NO CARGADO")</f>
        <v>-</v>
      </c>
      <c r="H113" s="74"/>
      <c r="I113" s="83">
        <f>'Jun-24'!$H113*0.21</f>
        <v>0</v>
      </c>
      <c r="J113" s="84"/>
      <c r="K113" s="84">
        <f>'Jun-24'!$H113*'Jun-24'!$J113</f>
        <v>0</v>
      </c>
      <c r="L113" s="84">
        <f t="shared" si="0"/>
        <v>0</v>
      </c>
      <c r="M113" s="52"/>
    </row>
    <row r="114" spans="2:13" ht="15.75" customHeight="1" x14ac:dyDescent="0.3">
      <c r="B114" s="78"/>
      <c r="C114" s="79"/>
      <c r="D114" s="80"/>
      <c r="E114" s="81"/>
      <c r="F114" s="2"/>
      <c r="G114" s="73" t="str">
        <f>IFERROR(IF('Jun-24'!$F114="","-",VLOOKUP('Jun-24'!$F114,Lista_CUIT!$A$1:$D$2241,2,0)),"CUIT NO CARGADO")</f>
        <v>-</v>
      </c>
      <c r="H114" s="74"/>
      <c r="I114" s="83">
        <f>'Jun-24'!$H114*0.21</f>
        <v>0</v>
      </c>
      <c r="J114" s="84"/>
      <c r="K114" s="84">
        <f>'Jun-24'!$H114*'Jun-24'!$J114</f>
        <v>0</v>
      </c>
      <c r="L114" s="84">
        <f t="shared" si="0"/>
        <v>0</v>
      </c>
      <c r="M114" s="52"/>
    </row>
    <row r="115" spans="2:13" ht="15.75" customHeight="1" x14ac:dyDescent="0.3">
      <c r="B115" s="78"/>
      <c r="C115" s="79"/>
      <c r="D115" s="80"/>
      <c r="E115" s="81"/>
      <c r="F115" s="2"/>
      <c r="G115" s="73" t="str">
        <f>IFERROR(IF('Jun-24'!$F115="","-",VLOOKUP('Jun-24'!$F115,Lista_CUIT!$A$1:$D$2241,2,0)),"CUIT NO CARGADO")</f>
        <v>-</v>
      </c>
      <c r="H115" s="74"/>
      <c r="I115" s="83">
        <f>'Jun-24'!$H115*0.21</f>
        <v>0</v>
      </c>
      <c r="J115" s="84"/>
      <c r="K115" s="84">
        <f>'Jun-24'!$H115*'Jun-24'!$J115</f>
        <v>0</v>
      </c>
      <c r="L115" s="84">
        <f t="shared" si="0"/>
        <v>0</v>
      </c>
      <c r="M115" s="52"/>
    </row>
    <row r="116" spans="2:13" ht="15.75" customHeight="1" x14ac:dyDescent="0.3">
      <c r="B116" s="78"/>
      <c r="C116" s="79"/>
      <c r="D116" s="80"/>
      <c r="E116" s="81"/>
      <c r="F116" s="2"/>
      <c r="G116" s="73" t="str">
        <f>IFERROR(IF('Jun-24'!$F116="","-",VLOOKUP('Jun-24'!$F116,Lista_CUIT!$A$1:$D$2241,2,0)),"CUIT NO CARGADO")</f>
        <v>-</v>
      </c>
      <c r="H116" s="74"/>
      <c r="I116" s="83">
        <f>'Jun-24'!$H116*0.21</f>
        <v>0</v>
      </c>
      <c r="J116" s="84"/>
      <c r="K116" s="84">
        <f>'Jun-24'!$H116*'Jun-24'!$J116</f>
        <v>0</v>
      </c>
      <c r="L116" s="84">
        <f t="shared" si="0"/>
        <v>0</v>
      </c>
      <c r="M116" s="52"/>
    </row>
    <row r="117" spans="2:13" ht="15.75" customHeight="1" x14ac:dyDescent="0.3">
      <c r="B117" s="78"/>
      <c r="C117" s="79"/>
      <c r="D117" s="80"/>
      <c r="E117" s="81"/>
      <c r="F117" s="2"/>
      <c r="G117" s="73" t="str">
        <f>IFERROR(IF('Jun-24'!$F117="","-",VLOOKUP('Jun-24'!$F117,Lista_CUIT!$A$1:$D$2241,2,0)),"CUIT NO CARGADO")</f>
        <v>-</v>
      </c>
      <c r="H117" s="74"/>
      <c r="I117" s="83">
        <f>'Jun-24'!$H117*0.21</f>
        <v>0</v>
      </c>
      <c r="J117" s="84"/>
      <c r="K117" s="84">
        <f>'Jun-24'!$H117*'Jun-24'!$J117</f>
        <v>0</v>
      </c>
      <c r="L117" s="84">
        <f t="shared" si="0"/>
        <v>0</v>
      </c>
      <c r="M117" s="52"/>
    </row>
    <row r="118" spans="2:13" ht="15.75" customHeight="1" x14ac:dyDescent="0.3">
      <c r="B118" s="78"/>
      <c r="C118" s="79"/>
      <c r="D118" s="80"/>
      <c r="E118" s="81"/>
      <c r="F118" s="2"/>
      <c r="G118" s="73" t="str">
        <f>IFERROR(IF('Jun-24'!$F118="","-",VLOOKUP('Jun-24'!$F118,Lista_CUIT!$A$1:$D$2241,2,0)),"CUIT NO CARGADO")</f>
        <v>-</v>
      </c>
      <c r="H118" s="74"/>
      <c r="I118" s="83">
        <f>'Jun-24'!$H118*0.21</f>
        <v>0</v>
      </c>
      <c r="J118" s="84"/>
      <c r="K118" s="84">
        <f>'Jun-24'!$H118*'Jun-24'!$J118</f>
        <v>0</v>
      </c>
      <c r="L118" s="84">
        <f t="shared" si="0"/>
        <v>0</v>
      </c>
      <c r="M118" s="52"/>
    </row>
    <row r="119" spans="2:13" ht="15.75" customHeight="1" x14ac:dyDescent="0.3">
      <c r="B119" s="78"/>
      <c r="C119" s="79"/>
      <c r="D119" s="80"/>
      <c r="E119" s="81"/>
      <c r="F119" s="2"/>
      <c r="G119" s="73" t="str">
        <f>IFERROR(IF('Jun-24'!$F119="","-",VLOOKUP('Jun-24'!$F119,Lista_CUIT!$A$1:$D$2241,2,0)),"CUIT NO CARGADO")</f>
        <v>-</v>
      </c>
      <c r="H119" s="74"/>
      <c r="I119" s="83">
        <f>'Jun-24'!$H119*0.21</f>
        <v>0</v>
      </c>
      <c r="J119" s="84"/>
      <c r="K119" s="84">
        <f>'Jun-24'!$H119*'Jun-24'!$J119</f>
        <v>0</v>
      </c>
      <c r="L119" s="84">
        <f t="shared" si="0"/>
        <v>0</v>
      </c>
      <c r="M119" s="52"/>
    </row>
    <row r="120" spans="2:13" ht="15.75" customHeight="1" x14ac:dyDescent="0.3">
      <c r="B120" s="78"/>
      <c r="C120" s="79"/>
      <c r="D120" s="80"/>
      <c r="E120" s="81"/>
      <c r="F120" s="2"/>
      <c r="G120" s="73" t="str">
        <f>IFERROR(IF('Jun-24'!$F120="","-",VLOOKUP('Jun-24'!$F120,Lista_CUIT!$A$1:$D$2241,2,0)),"CUIT NO CARGADO")</f>
        <v>-</v>
      </c>
      <c r="H120" s="74"/>
      <c r="I120" s="83">
        <f>'Jun-24'!$H120*0.21</f>
        <v>0</v>
      </c>
      <c r="J120" s="84"/>
      <c r="K120" s="84">
        <f>'Jun-24'!$H120*'Jun-24'!$J120</f>
        <v>0</v>
      </c>
      <c r="L120" s="84">
        <f t="shared" si="0"/>
        <v>0</v>
      </c>
      <c r="M120" s="52"/>
    </row>
    <row r="121" spans="2:13" ht="15.75" customHeight="1" x14ac:dyDescent="0.3">
      <c r="B121" s="78"/>
      <c r="C121" s="79"/>
      <c r="D121" s="80"/>
      <c r="E121" s="81"/>
      <c r="F121" s="2"/>
      <c r="G121" s="73" t="str">
        <f>IFERROR(IF('Jun-24'!$F121="","-",VLOOKUP('Jun-24'!$F121,Lista_CUIT!$A$1:$D$2241,2,0)),"CUIT NO CARGADO")</f>
        <v>-</v>
      </c>
      <c r="H121" s="74"/>
      <c r="I121" s="83">
        <f>'Jun-24'!$H121*0.21</f>
        <v>0</v>
      </c>
      <c r="J121" s="84"/>
      <c r="K121" s="84">
        <f>'Jun-24'!$H121*'Jun-24'!$J121</f>
        <v>0</v>
      </c>
      <c r="L121" s="84">
        <f t="shared" si="0"/>
        <v>0</v>
      </c>
      <c r="M121" s="52"/>
    </row>
    <row r="122" spans="2:13" ht="15.75" customHeight="1" x14ac:dyDescent="0.3">
      <c r="B122" s="78"/>
      <c r="C122" s="79"/>
      <c r="D122" s="80"/>
      <c r="E122" s="81"/>
      <c r="F122" s="2"/>
      <c r="G122" s="73" t="str">
        <f>IFERROR(IF('Jun-24'!$F122="","-",VLOOKUP('Jun-24'!$F122,Lista_CUIT!$A$1:$D$2241,2,0)),"CUIT NO CARGADO")</f>
        <v>-</v>
      </c>
      <c r="H122" s="74"/>
      <c r="I122" s="83">
        <f>'Jun-24'!$H122*0.21</f>
        <v>0</v>
      </c>
      <c r="J122" s="84"/>
      <c r="K122" s="84">
        <f>'Jun-24'!$H122*'Jun-24'!$J122</f>
        <v>0</v>
      </c>
      <c r="L122" s="84"/>
      <c r="M122" s="52"/>
    </row>
    <row r="123" spans="2:13" ht="15.75" customHeight="1" x14ac:dyDescent="0.3">
      <c r="B123" s="12"/>
      <c r="C123" s="79"/>
      <c r="D123" s="80"/>
      <c r="E123" s="15"/>
      <c r="F123" s="2"/>
      <c r="G123" s="73" t="str">
        <f>IFERROR(IF('Jun-24'!$F123="","-",VLOOKUP('Jun-24'!$F123,Lista_CUIT!$A$1:$D$2241,2,0)),"CUIT NO CARGADO")</f>
        <v>-</v>
      </c>
      <c r="H123" s="74"/>
      <c r="I123" s="83">
        <f>'Jun-24'!$H123*0.21</f>
        <v>0</v>
      </c>
      <c r="J123" s="77"/>
      <c r="K123" s="74">
        <f>'Jun-24'!$H123*'Jun-24'!$J123</f>
        <v>0</v>
      </c>
      <c r="L123" s="74">
        <f>'Jun-24'!$H123*'Jun-24'!$K123</f>
        <v>0</v>
      </c>
      <c r="M123" s="52"/>
    </row>
    <row r="124" spans="2:13" ht="15.75" customHeight="1" x14ac:dyDescent="0.3">
      <c r="B124" s="12"/>
      <c r="C124" s="79"/>
      <c r="D124" s="80"/>
      <c r="E124" s="15"/>
      <c r="F124" s="16"/>
      <c r="G124" s="73" t="str">
        <f>IFERROR(IF('Jun-24'!$F124="","-",VLOOKUP('Jun-24'!$F124,Lista_CUIT!$A$1:$D$2241,2,0)),"CUIT NO CARGADO")</f>
        <v>-</v>
      </c>
      <c r="H124" s="74"/>
      <c r="I124" s="83">
        <f>'Jun-24'!$H124*0.21</f>
        <v>0</v>
      </c>
      <c r="J124" s="74"/>
      <c r="K124" s="74">
        <f>'Jun-24'!$H124*'Jun-24'!$J124</f>
        <v>0</v>
      </c>
      <c r="L124" s="74">
        <f>'Jun-24'!$H124*'Jun-24'!$K124</f>
        <v>0</v>
      </c>
      <c r="M124" s="52"/>
    </row>
    <row r="125" spans="2:13" ht="15.75" customHeight="1" x14ac:dyDescent="0.3">
      <c r="B125" s="78"/>
      <c r="C125" s="79"/>
      <c r="D125" s="80"/>
      <c r="E125" s="81"/>
      <c r="F125" s="82"/>
      <c r="G125" s="73" t="str">
        <f>IFERROR(IF('Jun-24'!$F125="","-",VLOOKUP('Jun-24'!$F125,Lista_CUIT!$A$1:$D$2241,2,0)),"CUIT NO CARGADO")</f>
        <v>-</v>
      </c>
      <c r="H125" s="74"/>
      <c r="I125" s="83">
        <f>'Jun-24'!$H125*0.21</f>
        <v>0</v>
      </c>
      <c r="J125" s="84"/>
      <c r="K125" s="84">
        <f>'Jun-24'!$H125*'Jun-24'!$J125</f>
        <v>0</v>
      </c>
      <c r="L125" s="74">
        <f>'Jun-24'!$H125*'Jun-24'!$K125</f>
        <v>0</v>
      </c>
      <c r="M125" s="52"/>
    </row>
    <row r="126" spans="2:13" ht="15.75" customHeight="1" x14ac:dyDescent="0.3">
      <c r="B126" s="78"/>
      <c r="C126" s="79"/>
      <c r="D126" s="80"/>
      <c r="E126" s="81"/>
      <c r="F126" s="82"/>
      <c r="G126" s="73" t="str">
        <f>IFERROR(IF('Jun-24'!$F126="","-",VLOOKUP('Jun-24'!$F126,Lista_CUIT!$A$1:$D$2241,2,0)),"CUIT NO CARGADO")</f>
        <v>-</v>
      </c>
      <c r="H126" s="74"/>
      <c r="I126" s="83">
        <f>'Jun-24'!$H126*0.21</f>
        <v>0</v>
      </c>
      <c r="J126" s="84"/>
      <c r="K126" s="84">
        <f>'Jun-24'!$H126*'Jun-24'!$J126</f>
        <v>0</v>
      </c>
      <c r="L126" s="74">
        <f>'Jun-24'!$H126*'Jun-24'!$K126</f>
        <v>0</v>
      </c>
      <c r="M126" s="52"/>
    </row>
    <row r="127" spans="2:13" ht="15.75" customHeight="1" x14ac:dyDescent="0.3">
      <c r="B127" s="68" t="s">
        <v>1343</v>
      </c>
      <c r="C127" s="69"/>
      <c r="D127" s="69"/>
      <c r="E127" s="69"/>
      <c r="F127" s="69"/>
      <c r="G127" s="69"/>
      <c r="H127" s="75">
        <f>SUBTOTAL(109,'Jun-24'!$H$107:$H$126)</f>
        <v>3175</v>
      </c>
      <c r="I127" s="75">
        <f>SUBTOTAL(109,'Jun-24'!$I$107:$I$126)</f>
        <v>0</v>
      </c>
      <c r="J127" s="76">
        <f>SUBTOTAL(109,'Jun-24'!$J$107:$J$126)</f>
        <v>0</v>
      </c>
      <c r="K127" s="76"/>
      <c r="L127" s="76">
        <f>SUBTOTAL(109,'Jun-24'!$L$107:$L$126)</f>
        <v>2886075</v>
      </c>
      <c r="M127" s="72">
        <f>SUBTOTAL(103,'Jun-24'!$M$107:$M$126)</f>
        <v>0</v>
      </c>
    </row>
    <row r="128" spans="2:13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0">
    <mergeCell ref="M4:N4"/>
    <mergeCell ref="P4:R4"/>
    <mergeCell ref="D49:L49"/>
    <mergeCell ref="B105:C105"/>
    <mergeCell ref="B3:E3"/>
    <mergeCell ref="B4:E4"/>
    <mergeCell ref="G4:H4"/>
    <mergeCell ref="J4:K4"/>
    <mergeCell ref="D56:K56"/>
    <mergeCell ref="B78:J78"/>
    <mergeCell ref="K78:M78"/>
    <mergeCell ref="B80:C80"/>
    <mergeCell ref="B94:C94"/>
    <mergeCell ref="B1:F1"/>
    <mergeCell ref="G1:M1"/>
    <mergeCell ref="N1:R1"/>
    <mergeCell ref="G3:H3"/>
    <mergeCell ref="J3:K3"/>
    <mergeCell ref="M3:N3"/>
    <mergeCell ref="P3:R3"/>
  </mergeCells>
  <dataValidations count="11">
    <dataValidation type="decimal" allowBlank="1" showErrorMessage="1" sqref="F9:F43 G58:G71 F82:F90 F96:F101 F124:F126" xr:uid="{00000000-0002-0000-0300-000000000000}">
      <formula1>20000000000</formula1>
      <formula2>33999999999</formula2>
    </dataValidation>
    <dataValidation type="decimal" allowBlank="1" showErrorMessage="1" sqref="C96:C101" xr:uid="{00000000-0002-0000-0300-000001000000}">
      <formula1>6</formula1>
      <formula2>8</formula2>
    </dataValidation>
    <dataValidation type="custom" allowBlank="1" showErrorMessage="1" sqref="H96:L101 K123:L123 J124:L124 L125:L126" xr:uid="{00000000-0002-0000-0300-000002000000}">
      <formula1>IF($C96=8,H96&lt;0,H96&gt;=0)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3" xr:uid="{00000000-0002-0000-0300-000003000000}">
      <formula1>IF($C9=3,H9&lt;0,H9&gt;=0)</formula1>
    </dataValidation>
    <dataValidation type="decimal" allowBlank="1" showErrorMessage="1" sqref="E9:E43 F58:F71 E82:E90 E96:E101 E107:E126" xr:uid="{00000000-0002-0000-0300-000004000000}">
      <formula1>1</formula1>
      <formula2>99999999</formula2>
    </dataValidation>
    <dataValidation type="decimal" allowBlank="1" showErrorMessage="1" sqref="D9:D43 D82:D90 D96:D101 D107:D126" xr:uid="{00000000-0002-0000-0300-000005000000}">
      <formula1>1</formula1>
      <formula2>9999</formula2>
    </dataValidation>
    <dataValidation type="decimal" allowBlank="1" showErrorMessage="1" sqref="C9:C43 C82:C90 E58:E71 C46:C48" xr:uid="{00000000-0002-0000-0300-000006000000}">
      <formula1>1</formula1>
      <formula2>3</formula2>
    </dataValidation>
    <dataValidation type="custom" allowBlank="1" showErrorMessage="1" sqref="H82 J82:K82 H84:K84 H86:K86 H88:K88" xr:uid="{00000000-0002-0000-0300-000007000000}">
      <formula1>IF($C82=3,H82&lt;0,H82&gt;=0)</formula1>
    </dataValidation>
    <dataValidation type="custom" allowBlank="1" showErrorMessage="1" sqref="L82:L90" xr:uid="{00000000-0002-0000-0300-000008000000}">
      <formula1>IF($C9=3,L9&lt;0,L9&gt;=0)</formula1>
    </dataValidation>
    <dataValidation type="decimal" allowBlank="1" showErrorMessage="1" sqref="C107:C126" xr:uid="{00000000-0002-0000-0300-000009000000}">
      <formula1>80</formula1>
      <formula2>80</formula2>
    </dataValidation>
    <dataValidation type="date" allowBlank="1" showErrorMessage="1" sqref="B9:B43 B107:B126 D51:D53 D58:D71 B82:B90 B96:B101 B46:B48" xr:uid="{00000000-0002-0000-0300-00000A000000}">
      <formula1>40179</formula1>
      <formula2>TODAY()</formula2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E9D9"/>
  </sheetPr>
  <dimension ref="A1:Z1000"/>
  <sheetViews>
    <sheetView showGridLines="0" topLeftCell="G70" zoomScale="80" zoomScaleNormal="80" workbookViewId="0">
      <selection activeCell="L76" sqref="L76:L85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8.109375" customWidth="1"/>
    <col min="11" max="11" width="15.88671875" customWidth="1"/>
    <col min="12" max="12" width="18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1.886718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96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EDATE('Abr-24'!N1,3)</f>
        <v>45108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SUM('Jul-24'!$H$35)+'Jul-24'!$G$47</f>
        <v>19384475.040000003</v>
      </c>
      <c r="C4" s="476"/>
      <c r="D4" s="476"/>
      <c r="E4" s="477"/>
      <c r="F4" s="8"/>
      <c r="G4" s="491">
        <f>'Jul-24'!$I$35+'Jul-24'!$J$35+'Jul-24'!$K$35+'Jul-24'!$H$47+'Jul-24'!$I$47</f>
        <v>4072459.1675999993</v>
      </c>
      <c r="H4" s="477"/>
      <c r="I4" s="8"/>
      <c r="J4" s="494">
        <f>'Jul-24'!$H$86+'Jul-24'!$H$96</f>
        <v>60193539</v>
      </c>
      <c r="K4" s="477"/>
      <c r="L4" s="8"/>
      <c r="M4" s="494">
        <f>'Jul-24'!$I$86+'Jul-24'!$J$86+'Jul-24'!$I$96+'Jul-24'!$J$96</f>
        <v>6988420.209999999</v>
      </c>
      <c r="N4" s="477"/>
      <c r="O4" s="8"/>
      <c r="P4" s="483">
        <f>G4-M4</f>
        <v>-2915961.0423999997</v>
      </c>
      <c r="Q4" s="476"/>
      <c r="R4" s="477"/>
    </row>
    <row r="5" spans="1:19" ht="12.75" customHeight="1" x14ac:dyDescent="0.3"/>
    <row r="6" spans="1:19" ht="10.5" customHeight="1" x14ac:dyDescent="0.3"/>
    <row r="7" spans="1:19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ht="14.4" x14ac:dyDescent="0.3">
      <c r="B9" s="113" t="s">
        <v>1391</v>
      </c>
      <c r="C9" s="139">
        <v>1</v>
      </c>
      <c r="D9" s="140">
        <v>3</v>
      </c>
      <c r="E9" s="119">
        <v>233013</v>
      </c>
      <c r="F9" s="141">
        <v>30707135596</v>
      </c>
      <c r="G9" s="134" t="str">
        <f>IFERROR(IF('Jul-24'!$F9="","-",VLOOKUP('Jul-24'!$F9,Lista_CUIT!$A$1:$D$2241,2,0)),"CUIT NO CARGADO")</f>
        <v>CITILAN ARGENTINA S.A.</v>
      </c>
      <c r="H9" s="142">
        <v>18640</v>
      </c>
      <c r="I9" s="143">
        <f>IF('Jul-24'!$H9="","",'Jul-24'!$H9*0.21)</f>
        <v>3914.3999999999996</v>
      </c>
      <c r="J9" s="143"/>
      <c r="K9" s="143"/>
      <c r="L9" s="143"/>
      <c r="M9" s="143"/>
      <c r="N9" s="143"/>
      <c r="O9" s="143"/>
      <c r="P9" s="135">
        <f>SUM('Jul-24'!$H9:$O9)</f>
        <v>22554.400000000001</v>
      </c>
      <c r="Q9" s="144" t="str">
        <f>IFERROR(IF('Jul-24'!$F9="","-",VLOOKUP('Jul-24'!$F9,Lista_CUIT!$A$1:$D$2241,3,0)),"CUIT NO CARGADO")</f>
        <v>Telefonia</v>
      </c>
      <c r="R9" s="144">
        <f>IFERROR(IF('Jul-24'!$F9="","-",VLOOKUP('Jul-24'!$F9,Lista_CUIT!$A$1:$D$2241,4,0)),"CUIT NO CARGADO")</f>
        <v>0</v>
      </c>
    </row>
    <row r="10" spans="1:19" ht="14.4" x14ac:dyDescent="0.3">
      <c r="B10" s="113" t="s">
        <v>1391</v>
      </c>
      <c r="C10" s="139">
        <v>1</v>
      </c>
      <c r="D10" s="140">
        <v>3</v>
      </c>
      <c r="E10" s="119">
        <v>769</v>
      </c>
      <c r="F10" s="141">
        <v>30715402765</v>
      </c>
      <c r="G10" s="134" t="str">
        <f>IFERROR(IF('Jul-24'!$F10="","-",VLOOKUP('Jul-24'!$F10,Lista_CUIT!$A$1:$D$2241,2,0)),"CUIT NO CARGADO")</f>
        <v>RIO 265 S.R.L.</v>
      </c>
      <c r="H10" s="142">
        <v>58677.67</v>
      </c>
      <c r="I10" s="143">
        <f>IF('Jul-24'!$H10="","",'Jul-24'!$H10*0.21)</f>
        <v>12322.3107</v>
      </c>
      <c r="J10" s="143"/>
      <c r="K10" s="143"/>
      <c r="L10" s="143"/>
      <c r="M10" s="143"/>
      <c r="N10" s="143"/>
      <c r="O10" s="143"/>
      <c r="P10" s="135">
        <f>SUM('Jul-24'!$H10:$O10)</f>
        <v>70999.9807</v>
      </c>
      <c r="Q10" s="144" t="str">
        <f>IFERROR(IF('Jul-24'!$F10="","-",VLOOKUP('Jul-24'!$F10,Lista_CUIT!$A$1:$D$2241,3,0)),"CUIT NO CARGADO")</f>
        <v>GASTOS VARIOS</v>
      </c>
      <c r="R10" s="144">
        <f>IFERROR(IF('Jul-24'!$F10="","-",VLOOKUP('Jul-24'!$F10,Lista_CUIT!$A$1:$D$2241,4,0)),"CUIT NO CARGADO")</f>
        <v>0</v>
      </c>
    </row>
    <row r="11" spans="1:19" ht="14.4" x14ac:dyDescent="0.3">
      <c r="B11" s="113" t="s">
        <v>1392</v>
      </c>
      <c r="C11" s="139">
        <v>1</v>
      </c>
      <c r="D11" s="140">
        <v>5</v>
      </c>
      <c r="E11" s="119">
        <v>29626</v>
      </c>
      <c r="F11" s="141">
        <v>30707555404</v>
      </c>
      <c r="G11" s="134" t="str">
        <f>IFERROR(IF('Jul-24'!$F11="","-",VLOOKUP('Jul-24'!$F11,Lista_CUIT!$A$1:$D$2241,2,0)),"CUIT NO CARGADO")</f>
        <v>MAQUINAS E INSUMOS S.R.L.</v>
      </c>
      <c r="H11" s="142">
        <v>70413.119999999995</v>
      </c>
      <c r="I11" s="143">
        <f>IF('Jul-24'!$H11="","",'Jul-24'!$H11*0.21)</f>
        <v>14786.755199999998</v>
      </c>
      <c r="J11" s="143"/>
      <c r="K11" s="143"/>
      <c r="L11" s="143"/>
      <c r="M11" s="143"/>
      <c r="N11" s="143"/>
      <c r="O11" s="143"/>
      <c r="P11" s="135">
        <f>SUM('Jul-24'!$H11:$O11)</f>
        <v>85199.875199999995</v>
      </c>
      <c r="Q11" s="144" t="str">
        <f>IFERROR(IF('Jul-24'!$F11="","-",VLOOKUP('Jul-24'!$F11,Lista_CUIT!$A$1:$D$2241,3,0)),"CUIT NO CARGADO")</f>
        <v>INSUMO</v>
      </c>
      <c r="R11" s="144">
        <f>IFERROR(IF('Jul-24'!$F11="","-",VLOOKUP('Jul-24'!$F11,Lista_CUIT!$A$1:$D$2241,4,0)),"CUIT NO CARGADO")</f>
        <v>0</v>
      </c>
    </row>
    <row r="12" spans="1:19" ht="14.4" x14ac:dyDescent="0.3">
      <c r="B12" s="113" t="s">
        <v>1392</v>
      </c>
      <c r="C12" s="139">
        <v>1</v>
      </c>
      <c r="D12" s="140">
        <v>5</v>
      </c>
      <c r="E12" s="119">
        <v>629</v>
      </c>
      <c r="F12" s="141">
        <v>27264020773</v>
      </c>
      <c r="G12" s="134" t="str">
        <f>IFERROR(IF('Jul-24'!$F12="","-",VLOOKUP('Jul-24'!$F12,Lista_CUIT!$A$1:$D$2241,2,0)),"CUIT NO CARGADO")</f>
        <v>CASTIÑEIRA NATALIA CLAUDIA</v>
      </c>
      <c r="H12" s="142">
        <v>11967.77</v>
      </c>
      <c r="I12" s="143">
        <f>IF('Jul-24'!$H12="","",'Jul-24'!$H12*0.21)</f>
        <v>2513.2316999999998</v>
      </c>
      <c r="J12" s="143"/>
      <c r="K12" s="143"/>
      <c r="L12" s="143"/>
      <c r="M12" s="143"/>
      <c r="N12" s="143"/>
      <c r="O12" s="143"/>
      <c r="P12" s="135">
        <f>SUM('Jul-24'!$H12:$O12)</f>
        <v>14481.001700000001</v>
      </c>
      <c r="Q12" s="144" t="str">
        <f>IFERROR(IF('Jul-24'!$F12="","-",VLOOKUP('Jul-24'!$F12,Lista_CUIT!$A$1:$D$2241,3,0)),"CUIT NO CARGADO")</f>
        <v>Ropa de Trabajo</v>
      </c>
      <c r="R12" s="144">
        <f>IFERROR(IF('Jul-24'!$F12="","-",VLOOKUP('Jul-24'!$F12,Lista_CUIT!$A$1:$D$2241,4,0)),"CUIT NO CARGADO")</f>
        <v>0</v>
      </c>
    </row>
    <row r="13" spans="1:19" ht="14.4" x14ac:dyDescent="0.3">
      <c r="B13" s="113" t="s">
        <v>1392</v>
      </c>
      <c r="C13" s="139">
        <v>1</v>
      </c>
      <c r="D13" s="140">
        <v>2</v>
      </c>
      <c r="E13" s="119">
        <v>16433</v>
      </c>
      <c r="F13" s="141">
        <v>20103565309</v>
      </c>
      <c r="G13" s="134" t="str">
        <f>IFERROR(IF('Jul-24'!$F13="","-",VLOOKUP('Jul-24'!$F13,Lista_CUIT!$A$1:$D$2241,2,0)),"CUIT NO CARGADO")</f>
        <v>CASATI ENRIQUE ARIEL</v>
      </c>
      <c r="H13" s="142">
        <v>530172</v>
      </c>
      <c r="I13" s="143">
        <f>IF('Jul-24'!$H13="","",'Jul-24'!$H13*0.21)</f>
        <v>111336.12</v>
      </c>
      <c r="J13" s="143"/>
      <c r="K13" s="143"/>
      <c r="L13" s="143"/>
      <c r="M13" s="143"/>
      <c r="N13" s="143"/>
      <c r="O13" s="143"/>
      <c r="P13" s="135">
        <f>SUM('Jul-24'!$H13:$O13)</f>
        <v>641508.12</v>
      </c>
      <c r="Q13" s="144" t="str">
        <f>IFERROR(IF('Jul-24'!$F13="","-",VLOOKUP('Jul-24'!$F13,Lista_CUIT!$A$1:$D$2241,3,0)),"CUIT NO CARGADO")</f>
        <v>Papeleria</v>
      </c>
      <c r="R13" s="144">
        <f>IFERROR(IF('Jul-24'!$F13="","-",VLOOKUP('Jul-24'!$F13,Lista_CUIT!$A$1:$D$2241,4,0)),"CUIT NO CARGADO")</f>
        <v>0</v>
      </c>
    </row>
    <row r="14" spans="1:19" ht="14.4" x14ac:dyDescent="0.3">
      <c r="B14" s="113" t="s">
        <v>1393</v>
      </c>
      <c r="C14" s="139">
        <v>1</v>
      </c>
      <c r="D14" s="140">
        <v>9</v>
      </c>
      <c r="E14" s="119">
        <v>323</v>
      </c>
      <c r="F14" s="141">
        <v>20172940162</v>
      </c>
      <c r="G14" s="134" t="str">
        <f>IFERROR(IF('Jul-24'!$F14="","-",VLOOKUP('Jul-24'!$F14,Lista_CUIT!$A$1:$D$2241,2,0)),"CUIT NO CARGADO")</f>
        <v>HERAS MARCELO GABRIEL</v>
      </c>
      <c r="H14" s="142">
        <v>33882.639999999999</v>
      </c>
      <c r="I14" s="143">
        <f>IF('Jul-24'!$H14="","",'Jul-24'!$H14*0.21)</f>
        <v>7115.3543999999993</v>
      </c>
      <c r="J14" s="143"/>
      <c r="K14" s="143"/>
      <c r="L14" s="143"/>
      <c r="M14" s="143"/>
      <c r="N14" s="143"/>
      <c r="O14" s="143"/>
      <c r="P14" s="135">
        <f>SUM('Jul-24'!$H14:$O14)</f>
        <v>40997.994399999996</v>
      </c>
      <c r="Q14" s="144" t="str">
        <f>IFERROR(IF('Jul-24'!$F14="","-",VLOOKUP('Jul-24'!$F14,Lista_CUIT!$A$1:$D$2241,3,0)),"CUIT NO CARGADO")</f>
        <v>Ropa de Trabajo</v>
      </c>
      <c r="R14" s="144">
        <f>IFERROR(IF('Jul-24'!$F14="","-",VLOOKUP('Jul-24'!$F14,Lista_CUIT!$A$1:$D$2241,4,0)),"CUIT NO CARGADO")</f>
        <v>0</v>
      </c>
    </row>
    <row r="15" spans="1:19" ht="14.4" x14ac:dyDescent="0.3">
      <c r="B15" s="113" t="s">
        <v>1394</v>
      </c>
      <c r="C15" s="139">
        <v>1</v>
      </c>
      <c r="D15" s="140">
        <v>5</v>
      </c>
      <c r="E15" s="119">
        <v>9868</v>
      </c>
      <c r="F15" s="141">
        <v>33711557119</v>
      </c>
      <c r="G15" s="134" t="str">
        <f>IFERROR(IF('Jul-24'!$F15="","-",VLOOKUP('Jul-24'!$F15,Lista_CUIT!$A$1:$D$2241,2,0)),"CUIT NO CARGADO")</f>
        <v>ELECTROMINGO S.R.L.</v>
      </c>
      <c r="H15" s="142">
        <v>9876.0300000000007</v>
      </c>
      <c r="I15" s="143">
        <f>IF('Jul-24'!$H15="","",'Jul-24'!$H15*0.21)</f>
        <v>2073.9663</v>
      </c>
      <c r="J15" s="143"/>
      <c r="K15" s="143"/>
      <c r="L15" s="143"/>
      <c r="M15" s="143"/>
      <c r="N15" s="143"/>
      <c r="O15" s="143"/>
      <c r="P15" s="135">
        <f>SUM('Jul-24'!$H15:$O15)</f>
        <v>11949.996300000001</v>
      </c>
      <c r="Q15" s="144" t="str">
        <f>IFERROR(IF('Jul-24'!$F15="","-",VLOOKUP('Jul-24'!$F15,Lista_CUIT!$A$1:$D$2241,3,0)),"CUIT NO CARGADO")</f>
        <v>INSUMO</v>
      </c>
      <c r="R15" s="144" t="str">
        <f>IFERROR(IF('Jul-24'!$F15="","-",VLOOKUP('Jul-24'!$F15,Lista_CUIT!$A$1:$D$2241,4,0)),"CUIT NO CARGADO")</f>
        <v>BUENOS AIRES</v>
      </c>
    </row>
    <row r="16" spans="1:19" ht="14.4" x14ac:dyDescent="0.3">
      <c r="B16" s="113" t="s">
        <v>1395</v>
      </c>
      <c r="C16" s="139">
        <v>1</v>
      </c>
      <c r="D16" s="140">
        <v>3</v>
      </c>
      <c r="E16" s="119">
        <v>315</v>
      </c>
      <c r="F16" s="141">
        <v>20921575743</v>
      </c>
      <c r="G16" s="134" t="str">
        <f>IFERROR(IF('Jul-24'!$F16="","-",VLOOKUP('Jul-24'!$F16,Lista_CUIT!$A$1:$D$2241,2,0)),"CUIT NO CARGADO")</f>
        <v>RIOS GOMEZ JOSE ANTONIO</v>
      </c>
      <c r="H16" s="142">
        <v>207416</v>
      </c>
      <c r="I16" s="143">
        <f>IF('Jul-24'!$H16="","",'Jul-24'!$H16*0.21)</f>
        <v>43557.36</v>
      </c>
      <c r="J16" s="143"/>
      <c r="K16" s="143"/>
      <c r="L16" s="143"/>
      <c r="M16" s="143"/>
      <c r="N16" s="143"/>
      <c r="O16" s="143"/>
      <c r="P16" s="135">
        <f>SUM('Jul-24'!$H16:$O16)</f>
        <v>250973.36</v>
      </c>
      <c r="Q16" s="144" t="str">
        <f>IFERROR(IF('Jul-24'!$F16="","-",VLOOKUP('Jul-24'!$F16,Lista_CUIT!$A$1:$D$2241,3,0)),"CUIT NO CARGADO")</f>
        <v>Papeleria</v>
      </c>
      <c r="R16" s="144">
        <f>IFERROR(IF('Jul-24'!$F16="","-",VLOOKUP('Jul-24'!$F16,Lista_CUIT!$A$1:$D$2241,4,0)),"CUIT NO CARGADO")</f>
        <v>0</v>
      </c>
    </row>
    <row r="17" spans="1:26" ht="14.4" x14ac:dyDescent="0.3">
      <c r="B17" s="113" t="s">
        <v>1396</v>
      </c>
      <c r="C17" s="139">
        <v>1</v>
      </c>
      <c r="D17" s="140">
        <v>13</v>
      </c>
      <c r="E17" s="119">
        <v>3504</v>
      </c>
      <c r="F17" s="141">
        <v>20148841722</v>
      </c>
      <c r="G17" s="134" t="str">
        <f>IFERROR(IF('Jul-24'!$F17="","-",VLOOKUP('Jul-24'!$F17,Lista_CUIT!$A$1:$D$2241,2,0)),"CUIT NO CARGADO")</f>
        <v>CHICO ALEJANDRO</v>
      </c>
      <c r="H17" s="142">
        <v>6859.5</v>
      </c>
      <c r="I17" s="143">
        <f>IF('Jul-24'!$H17="","",'Jul-24'!$H17*0.21)</f>
        <v>1440.4949999999999</v>
      </c>
      <c r="J17" s="143"/>
      <c r="K17" s="143"/>
      <c r="L17" s="143"/>
      <c r="M17" s="143"/>
      <c r="N17" s="143"/>
      <c r="O17" s="143"/>
      <c r="P17" s="135">
        <f>SUM('Jul-24'!$H17:$O17)</f>
        <v>8299.994999999999</v>
      </c>
      <c r="Q17" s="144" t="str">
        <f>IFERROR(IF('Jul-24'!$F17="","-",VLOOKUP('Jul-24'!$F17,Lista_CUIT!$A$1:$D$2241,3,0)),"CUIT NO CARGADO")</f>
        <v>Papeleria</v>
      </c>
      <c r="R17" s="144">
        <f>IFERROR(IF('Jul-24'!$F17="","-",VLOOKUP('Jul-24'!$F17,Lista_CUIT!$A$1:$D$2241,4,0)),"CUIT NO CARGADO")</f>
        <v>0</v>
      </c>
    </row>
    <row r="18" spans="1:26" ht="14.4" x14ac:dyDescent="0.3">
      <c r="B18" s="113" t="s">
        <v>1397</v>
      </c>
      <c r="C18" s="139">
        <v>1</v>
      </c>
      <c r="D18" s="140">
        <v>2466</v>
      </c>
      <c r="E18" s="119">
        <v>673488</v>
      </c>
      <c r="F18" s="141">
        <v>30678814357</v>
      </c>
      <c r="G18" s="134" t="str">
        <f>IFERROR(IF('Jul-24'!$F18="","-",VLOOKUP('Jul-24'!$F18,Lista_CUIT!$A$1:$D$2241,2,0)),"CUIT NO CARGADO")</f>
        <v>TELEFONICA MOVILES ARG</v>
      </c>
      <c r="H18" s="142">
        <v>28656.82</v>
      </c>
      <c r="I18" s="143"/>
      <c r="J18" s="143">
        <f>'Jul-24'!$H18*0.27</f>
        <v>7737.3414000000002</v>
      </c>
      <c r="K18" s="143"/>
      <c r="L18" s="143">
        <v>859.7</v>
      </c>
      <c r="M18" s="143"/>
      <c r="N18" s="143"/>
      <c r="O18" s="143">
        <v>1442.54</v>
      </c>
      <c r="P18" s="135">
        <f>SUM('Jul-24'!$H18:$O18)</f>
        <v>38696.401399999995</v>
      </c>
      <c r="Q18" s="144" t="str">
        <f>IFERROR(IF('Jul-24'!$F18="","-",VLOOKUP('Jul-24'!$F18,Lista_CUIT!$A$1:$D$2241,3,0)),"CUIT NO CARGADO")</f>
        <v>Telefonia</v>
      </c>
      <c r="R18" s="144">
        <f>IFERROR(IF('Jul-24'!$F18="","-",VLOOKUP('Jul-24'!$F18,Lista_CUIT!$A$1:$D$2241,4,0)),"CUIT NO CARGADO")</f>
        <v>0</v>
      </c>
    </row>
    <row r="19" spans="1:26" ht="14.4" x14ac:dyDescent="0.3">
      <c r="B19" s="113" t="s">
        <v>1398</v>
      </c>
      <c r="C19" s="139">
        <v>1</v>
      </c>
      <c r="D19" s="140">
        <v>7</v>
      </c>
      <c r="E19" s="119">
        <v>9507</v>
      </c>
      <c r="F19" s="141">
        <v>30709788635</v>
      </c>
      <c r="G19" s="134" t="str">
        <f>IFERROR(IF('Jul-24'!$F19="","-",VLOOKUP('Jul-24'!$F19,Lista_CUIT!$A$1:$D$2241,2,0)),"CUIT NO CARGADO")</f>
        <v>EMELINT S.R.L.</v>
      </c>
      <c r="H19" s="142">
        <v>20700.5</v>
      </c>
      <c r="I19" s="143">
        <f>IF('Jul-24'!$H19="","",'Jul-24'!$H19*0.21)</f>
        <v>4347.1049999999996</v>
      </c>
      <c r="J19" s="143"/>
      <c r="K19" s="143"/>
      <c r="L19" s="143"/>
      <c r="M19" s="143"/>
      <c r="N19" s="143"/>
      <c r="O19" s="143"/>
      <c r="P19" s="135">
        <f>SUM('Jul-24'!$H19:$O19)</f>
        <v>25047.605</v>
      </c>
      <c r="Q19" s="144" t="str">
        <f>IFERROR(IF('Jul-24'!$F19="","-",VLOOKUP('Jul-24'!$F19,Lista_CUIT!$A$1:$D$2241,3,0)),"CUIT NO CARGADO")</f>
        <v>Electronica</v>
      </c>
      <c r="R19" s="144">
        <f>IFERROR(IF('Jul-24'!$F19="","-",VLOOKUP('Jul-24'!$F19,Lista_CUIT!$A$1:$D$2241,4,0)),"CUIT NO CARGADO")</f>
        <v>0</v>
      </c>
    </row>
    <row r="20" spans="1:26" ht="14.4" x14ac:dyDescent="0.3">
      <c r="B20" s="113" t="s">
        <v>1399</v>
      </c>
      <c r="C20" s="139">
        <v>1</v>
      </c>
      <c r="D20" s="140">
        <v>700</v>
      </c>
      <c r="E20" s="119">
        <v>679343</v>
      </c>
      <c r="F20" s="141">
        <v>30580111315</v>
      </c>
      <c r="G20" s="134" t="str">
        <f>IFERROR(IF('Jul-24'!$F20="","-",VLOOKUP('Jul-24'!$F20,Lista_CUIT!$A$1:$D$2241,2,0)),"CUIT NO CARGADO")</f>
        <v>DHL EXPRESS (ARGENTINA) S.A.</v>
      </c>
      <c r="H20" s="142">
        <v>14100</v>
      </c>
      <c r="I20" s="143">
        <f>IF('Jul-24'!$H20="","",'Jul-24'!$H20*0.21)</f>
        <v>2961</v>
      </c>
      <c r="J20" s="143"/>
      <c r="K20" s="143"/>
      <c r="L20" s="143"/>
      <c r="M20" s="143"/>
      <c r="N20" s="143"/>
      <c r="O20" s="143">
        <v>489166.6</v>
      </c>
      <c r="P20" s="135">
        <f>SUM('Jul-24'!$H20:$O20)</f>
        <v>506227.6</v>
      </c>
      <c r="Q20" s="144" t="str">
        <f>IFERROR(IF('Jul-24'!$F20="","-",VLOOKUP('Jul-24'!$F20,Lista_CUIT!$A$1:$D$2241,3,0)),"CUIT NO CARGADO")</f>
        <v>Gastos Importacion</v>
      </c>
      <c r="R20" s="144">
        <f>IFERROR(IF('Jul-24'!$F20="","-",VLOOKUP('Jul-24'!$F20,Lista_CUIT!$A$1:$D$2241,4,0)),"CUIT NO CARGADO")</f>
        <v>0</v>
      </c>
    </row>
    <row r="21" spans="1:26" ht="15.75" customHeight="1" x14ac:dyDescent="0.3">
      <c r="B21" s="113" t="s">
        <v>1400</v>
      </c>
      <c r="C21" s="139">
        <v>1</v>
      </c>
      <c r="D21" s="140">
        <v>106</v>
      </c>
      <c r="E21" s="119">
        <v>751380</v>
      </c>
      <c r="F21" s="141">
        <v>30594494187</v>
      </c>
      <c r="G21" s="134" t="str">
        <f>IFERROR(IF('Jul-24'!$F21="","-",VLOOKUP('Jul-24'!$F21,Lista_CUIT!$A$1:$D$2241,2,0)),"CUIT NO CARGADO")</f>
        <v>FEDERAL EXPRESS CORPORATION</v>
      </c>
      <c r="H21" s="142">
        <v>0</v>
      </c>
      <c r="I21" s="143">
        <f>IF('Jul-24'!$H21="","",'Jul-24'!$H21*0.21)</f>
        <v>0</v>
      </c>
      <c r="J21" s="143"/>
      <c r="K21" s="143"/>
      <c r="L21" s="143"/>
      <c r="M21" s="143"/>
      <c r="N21" s="143"/>
      <c r="O21" s="143">
        <v>253290.6</v>
      </c>
      <c r="P21" s="135">
        <f>SUM('Jul-24'!$H21:$O21)</f>
        <v>253290.6</v>
      </c>
      <c r="Q21" s="144" t="str">
        <f>IFERROR(IF('Jul-24'!$F21="","-",VLOOKUP('Jul-24'!$F21,Lista_CUIT!$A$1:$D$2241,3,0)),"CUIT NO CARGADO")</f>
        <v>Gastos Importacion</v>
      </c>
      <c r="R21" s="144">
        <f>IFERROR(IF('Jul-24'!$F21="","-",VLOOKUP('Jul-24'!$F21,Lista_CUIT!$A$1:$D$2241,4,0)),"CUIT NO CARGADO")</f>
        <v>0</v>
      </c>
    </row>
    <row r="22" spans="1:26" ht="15.75" customHeight="1" x14ac:dyDescent="0.3">
      <c r="B22" s="113" t="s">
        <v>1401</v>
      </c>
      <c r="C22" s="139">
        <v>1</v>
      </c>
      <c r="D22" s="140">
        <v>3</v>
      </c>
      <c r="E22" s="119">
        <v>7643</v>
      </c>
      <c r="F22" s="141">
        <v>30710212127</v>
      </c>
      <c r="G22" s="134" t="str">
        <f>IFERROR(IF('Jul-24'!$F22="","-",VLOOKUP('Jul-24'!$F22,Lista_CUIT!$A$1:$D$2241,2,0)),"CUIT NO CARGADO")</f>
        <v>J Y M COMPONENTES ELECTRICOS S.A.</v>
      </c>
      <c r="H22" s="142">
        <v>16655698.34</v>
      </c>
      <c r="I22" s="143">
        <f>IF('Jul-24'!$H22="","",'Jul-24'!$H22*0.21)</f>
        <v>3497696.6513999999</v>
      </c>
      <c r="J22" s="143"/>
      <c r="K22" s="143"/>
      <c r="L22" s="143"/>
      <c r="M22" s="143"/>
      <c r="N22" s="143"/>
      <c r="O22" s="143"/>
      <c r="P22" s="135">
        <f>SUM('Jul-24'!$H22:$O22)</f>
        <v>20153394.9914</v>
      </c>
      <c r="Q22" s="144" t="str">
        <f>IFERROR(IF('Jul-24'!$F22="","-",VLOOKUP('Jul-24'!$F22,Lista_CUIT!$A$1:$D$2241,3,0)),"CUIT NO CARGADO")</f>
        <v>INSUMO</v>
      </c>
      <c r="R22" s="144">
        <f>IFERROR(IF('Jul-24'!$F22="","-",VLOOKUP('Jul-24'!$F22,Lista_CUIT!$A$1:$D$2241,4,0)),"CUIT NO CARGADO")</f>
        <v>0</v>
      </c>
    </row>
    <row r="23" spans="1:26" ht="15.75" customHeight="1" x14ac:dyDescent="0.3">
      <c r="B23" s="113" t="s">
        <v>1402</v>
      </c>
      <c r="C23" s="139">
        <v>1</v>
      </c>
      <c r="D23" s="140">
        <v>7</v>
      </c>
      <c r="E23" s="119">
        <v>1777</v>
      </c>
      <c r="F23" s="141">
        <v>20294608401</v>
      </c>
      <c r="G23" s="134" t="str">
        <f>IFERROR(IF('Jul-24'!$F23="","-",VLOOKUP('Jul-24'!$F23,Lista_CUIT!$A$1:$D$2241,2,0)),"CUIT NO CARGADO")</f>
        <v>MONTELEONE LUCIANO EDUARDO</v>
      </c>
      <c r="H23" s="142">
        <v>14559.96</v>
      </c>
      <c r="I23" s="143">
        <f>IF('Jul-24'!$H23="","",'Jul-24'!$H23*0.21)</f>
        <v>3057.5915999999997</v>
      </c>
      <c r="J23" s="143"/>
      <c r="K23" s="143"/>
      <c r="L23" s="143"/>
      <c r="M23" s="143"/>
      <c r="N23" s="143"/>
      <c r="O23" s="143"/>
      <c r="P23" s="135">
        <f>SUM('Jul-24'!$H23:$O23)</f>
        <v>17617.551599999999</v>
      </c>
      <c r="Q23" s="144" t="str">
        <f>IFERROR(IF('Jul-24'!$F23="","-",VLOOKUP('Jul-24'!$F23,Lista_CUIT!$A$1:$D$2241,3,0)),"CUIT NO CARGADO")</f>
        <v>INSUMO</v>
      </c>
      <c r="R23" s="144">
        <f>IFERROR(IF('Jul-24'!$F23="","-",VLOOKUP('Jul-24'!$F23,Lista_CUIT!$A$1:$D$2241,4,0)),"CUIT NO CARGADO")</f>
        <v>0</v>
      </c>
    </row>
    <row r="24" spans="1:26" ht="15.75" customHeight="1" x14ac:dyDescent="0.3">
      <c r="B24" s="113" t="s">
        <v>1403</v>
      </c>
      <c r="C24" s="139">
        <v>3</v>
      </c>
      <c r="D24" s="140">
        <v>5</v>
      </c>
      <c r="E24" s="119">
        <v>8289</v>
      </c>
      <c r="F24" s="141">
        <v>30692857611</v>
      </c>
      <c r="G24" s="134" t="str">
        <f>IFERROR(IF('Jul-24'!$F24="","-",VLOOKUP('Jul-24'!$F24,Lista_CUIT!$A$1:$D$2241,2,0)),"CUIT NO CARGADO")</f>
        <v>BAGUI S A</v>
      </c>
      <c r="H24" s="142">
        <v>-161235.35999999999</v>
      </c>
      <c r="I24" s="143">
        <f>IF('Jul-24'!$H24="","",'Jul-24'!$H24*0.21)</f>
        <v>-33859.425599999995</v>
      </c>
      <c r="J24" s="143"/>
      <c r="K24" s="143"/>
      <c r="L24" s="143"/>
      <c r="M24" s="143"/>
      <c r="N24" s="143"/>
      <c r="O24" s="143"/>
      <c r="P24" s="135">
        <f>SUM('Jul-24'!$H24:$O24)</f>
        <v>-195094.78559999997</v>
      </c>
      <c r="Q24" s="144" t="str">
        <f>IFERROR(IF('Jul-24'!$F24="","-",VLOOKUP('Jul-24'!$F24,Lista_CUIT!$A$1:$D$2241,3,0)),"CUIT NO CARGADO")</f>
        <v>INSUMO</v>
      </c>
      <c r="R24" s="144">
        <f>IFERROR(IF('Jul-24'!$F24="","-",VLOOKUP('Jul-24'!$F24,Lista_CUIT!$A$1:$D$2241,4,0)),"CUIT NO CARGADO")</f>
        <v>0</v>
      </c>
    </row>
    <row r="25" spans="1:26" ht="15.75" customHeight="1" x14ac:dyDescent="0.3">
      <c r="B25" s="113" t="s">
        <v>1404</v>
      </c>
      <c r="C25" s="139">
        <v>1</v>
      </c>
      <c r="D25" s="140">
        <v>5</v>
      </c>
      <c r="E25" s="119">
        <v>291</v>
      </c>
      <c r="F25" s="141">
        <v>20177459012</v>
      </c>
      <c r="G25" s="134" t="str">
        <f>IFERROR(IF('Jul-24'!$F25="","-",VLOOKUP('Jul-24'!$F25,Lista_CUIT!$A$1:$D$2241,2,0)),"CUIT NO CARGADO")</f>
        <v>MIRANDA LAGES JORGE MARCELO</v>
      </c>
      <c r="H25" s="142">
        <v>23140.5</v>
      </c>
      <c r="I25" s="143">
        <f>IF('Jul-24'!$H25="","",'Jul-24'!$H25*0.21)</f>
        <v>4859.5050000000001</v>
      </c>
      <c r="J25" s="143"/>
      <c r="K25" s="143"/>
      <c r="L25" s="143"/>
      <c r="M25" s="143"/>
      <c r="N25" s="143"/>
      <c r="O25" s="143"/>
      <c r="P25" s="135">
        <f>SUM('Jul-24'!$H25:$O25)</f>
        <v>28000.005000000001</v>
      </c>
      <c r="Q25" s="144" t="str">
        <f>IFERROR(IF('Jul-24'!$F25="","-",VLOOKUP('Jul-24'!$F25,Lista_CUIT!$A$1:$D$2241,3,0)),"CUIT NO CARGADO")</f>
        <v>ASESORAMIENTO</v>
      </c>
      <c r="R25" s="144">
        <f>IFERROR(IF('Jul-24'!$F25="","-",VLOOKUP('Jul-24'!$F25,Lista_CUIT!$A$1:$D$2241,4,0)),"CUIT NO CARGADO")</f>
        <v>0</v>
      </c>
    </row>
    <row r="26" spans="1:26" ht="18" customHeight="1" x14ac:dyDescent="0.3">
      <c r="A26" s="43"/>
      <c r="B26" s="113" t="s">
        <v>1404</v>
      </c>
      <c r="C26" s="139">
        <v>1</v>
      </c>
      <c r="D26" s="140">
        <v>2</v>
      </c>
      <c r="E26" s="119">
        <v>201</v>
      </c>
      <c r="F26" s="141">
        <v>20125142851</v>
      </c>
      <c r="G26" s="134" t="str">
        <f>IFERROR(IF('Jul-24'!$F26="","-",VLOOKUP('Jul-24'!$F26,Lista_CUIT!$A$1:$D$2241,2,0)),"CUIT NO CARGADO")</f>
        <v>FEDERICI NICOLAS JOSE</v>
      </c>
      <c r="H26" s="142">
        <v>1312058.52</v>
      </c>
      <c r="I26" s="143">
        <f>IF('Jul-24'!$H26="","",'Jul-24'!$H26*0.21)</f>
        <v>275532.2892</v>
      </c>
      <c r="J26" s="143"/>
      <c r="K26" s="143"/>
      <c r="L26" s="143"/>
      <c r="M26" s="143"/>
      <c r="N26" s="143"/>
      <c r="O26" s="143"/>
      <c r="P26" s="135">
        <f>SUM('Jul-24'!$H26:$O26)</f>
        <v>1587590.8092</v>
      </c>
      <c r="Q26" s="144" t="str">
        <f>IFERROR(IF('Jul-24'!$F26="","-",VLOOKUP('Jul-24'!$F26,Lista_CUIT!$A$1:$D$2241,3,0)),"CUIT NO CARGADO")</f>
        <v>INSUMO</v>
      </c>
      <c r="R26" s="144">
        <f>IFERROR(IF('Jul-24'!$F26="","-",VLOOKUP('Jul-24'!$F26,Lista_CUIT!$A$1:$D$2241,4,0)),"CUIT NO CARGADO")</f>
        <v>0</v>
      </c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B27" s="113" t="s">
        <v>1405</v>
      </c>
      <c r="C27" s="139">
        <v>1</v>
      </c>
      <c r="D27" s="140">
        <v>6</v>
      </c>
      <c r="E27" s="119">
        <v>15315</v>
      </c>
      <c r="F27" s="141">
        <v>30707756434</v>
      </c>
      <c r="G27" s="134" t="str">
        <f>IFERROR(IF('Jul-24'!$F27="","-",VLOOKUP('Jul-24'!$F27,Lista_CUIT!$A$1:$D$2241,2,0)),"CUIT NO CARGADO")</f>
        <v>SERVICIO INTEGRAL DE LIMPIEZA SRL</v>
      </c>
      <c r="H27" s="142">
        <v>320000</v>
      </c>
      <c r="I27" s="143">
        <f>IF('Jul-24'!$H27="","",'Jul-24'!$H27*0.21)</f>
        <v>67200</v>
      </c>
      <c r="J27" s="143"/>
      <c r="K27" s="143"/>
      <c r="L27" s="143"/>
      <c r="M27" s="143"/>
      <c r="N27" s="143"/>
      <c r="O27" s="143"/>
      <c r="P27" s="135">
        <f>SUM('Jul-24'!$H27:$O27)</f>
        <v>387200</v>
      </c>
      <c r="Q27" s="144" t="str">
        <f>IFERROR(IF('Jul-24'!$F27="","-",VLOOKUP('Jul-24'!$F27,Lista_CUIT!$A$1:$D$2241,3,0)),"CUIT NO CARGADO")</f>
        <v>Mantenimiento</v>
      </c>
      <c r="R27" s="144">
        <f>IFERROR(IF('Jul-24'!$F27="","-",VLOOKUP('Jul-24'!$F27,Lista_CUIT!$A$1:$D$2241,4,0)),"CUIT NO CARGADO")</f>
        <v>0</v>
      </c>
    </row>
    <row r="28" spans="1:26" ht="15.75" customHeight="1" x14ac:dyDescent="0.3">
      <c r="B28" s="113" t="s">
        <v>1405</v>
      </c>
      <c r="C28" s="139">
        <v>1</v>
      </c>
      <c r="D28" s="140">
        <v>2</v>
      </c>
      <c r="E28" s="119">
        <v>712</v>
      </c>
      <c r="F28" s="141">
        <v>20120109449</v>
      </c>
      <c r="G28" s="134" t="str">
        <f>IFERROR(IF('Jul-24'!$F28="","-",VLOOKUP('Jul-24'!$F28,Lista_CUIT!$A$1:$D$2241,2,0)),"CUIT NO CARGADO")</f>
        <v>PEREZ HORACIO HUGO</v>
      </c>
      <c r="H28" s="142">
        <v>158400</v>
      </c>
      <c r="I28" s="143">
        <f>IF('Jul-24'!$H28="","",'Jul-24'!$H28*0.21)</f>
        <v>33264</v>
      </c>
      <c r="J28" s="143"/>
      <c r="K28" s="143"/>
      <c r="L28" s="143"/>
      <c r="M28" s="143"/>
      <c r="N28" s="143"/>
      <c r="O28" s="143"/>
      <c r="P28" s="135">
        <f>SUM('Jul-24'!$H28:$O28)</f>
        <v>191664</v>
      </c>
      <c r="Q28" s="144" t="str">
        <f>IFERROR(IF('Jul-24'!$F28="","-",VLOOKUP('Jul-24'!$F28,Lista_CUIT!$A$1:$D$2241,3,0)),"CUIT NO CARGADO")</f>
        <v>INSUMO</v>
      </c>
      <c r="R28" s="144">
        <f>IFERROR(IF('Jul-24'!$F28="","-",VLOOKUP('Jul-24'!$F28,Lista_CUIT!$A$1:$D$2241,4,0)),"CUIT NO CARGADO")</f>
        <v>0</v>
      </c>
    </row>
    <row r="29" spans="1:26" ht="15.75" customHeight="1" x14ac:dyDescent="0.3">
      <c r="B29" s="113" t="s">
        <v>1405</v>
      </c>
      <c r="C29" s="139">
        <v>1</v>
      </c>
      <c r="D29" s="140">
        <v>7</v>
      </c>
      <c r="E29" s="119">
        <v>16733</v>
      </c>
      <c r="F29" s="141">
        <v>30604413482</v>
      </c>
      <c r="G29" s="134" t="str">
        <f>IFERROR(IF('Jul-24'!$F29="","-",VLOOKUP('Jul-24'!$F29,Lista_CUIT!$A$1:$D$2241,2,0)),"CUIT NO CARGADO")</f>
        <v>BULONERA VIETRI SOCIEDAD DE RESPONSABILIDAD LIMITADA</v>
      </c>
      <c r="H29" s="142">
        <v>16850</v>
      </c>
      <c r="I29" s="143">
        <f>IF('Jul-24'!$H29="","",'Jul-24'!$H29*0.21)</f>
        <v>3538.5</v>
      </c>
      <c r="J29" s="143"/>
      <c r="K29" s="143"/>
      <c r="L29" s="143"/>
      <c r="M29" s="143"/>
      <c r="N29" s="143"/>
      <c r="O29" s="143"/>
      <c r="P29" s="135">
        <f>SUM('Jul-24'!$H29:$O29)</f>
        <v>20388.5</v>
      </c>
      <c r="Q29" s="144" t="str">
        <f>IFERROR(IF('Jul-24'!$F29="","-",VLOOKUP('Jul-24'!$F29,Lista_CUIT!$A$1:$D$2241,3,0)),"CUIT NO CARGADO")</f>
        <v>INSUMO</v>
      </c>
      <c r="R29" s="144">
        <f>IFERROR(IF('Jul-24'!$F29="","-",VLOOKUP('Jul-24'!$F29,Lista_CUIT!$A$1:$D$2241,4,0)),"CUIT NO CARGADO")</f>
        <v>0</v>
      </c>
    </row>
    <row r="30" spans="1:26" ht="14.25" customHeight="1" x14ac:dyDescent="0.3">
      <c r="B30" s="113" t="s">
        <v>1406</v>
      </c>
      <c r="C30" s="139">
        <v>1</v>
      </c>
      <c r="D30" s="140">
        <v>4</v>
      </c>
      <c r="E30" s="119">
        <v>3715</v>
      </c>
      <c r="F30" s="141">
        <v>20068864934</v>
      </c>
      <c r="G30" s="134" t="str">
        <f>IFERROR(IF('Jul-24'!$F30="","-",VLOOKUP('Jul-24'!$F30,Lista_CUIT!$A$1:$D$2241,2,0)),"CUIT NO CARGADO")</f>
        <v>LEVIN JACOBO BERNARDO</v>
      </c>
      <c r="H30" s="142">
        <v>19376.03</v>
      </c>
      <c r="I30" s="143">
        <f>IF('Jul-24'!$H30="","",'Jul-24'!$H30*0.21)</f>
        <v>4068.9662999999996</v>
      </c>
      <c r="J30" s="143"/>
      <c r="K30" s="143"/>
      <c r="L30" s="143"/>
      <c r="M30" s="143"/>
      <c r="N30" s="143"/>
      <c r="O30" s="143"/>
      <c r="P30" s="135">
        <f>SUM('Jul-24'!$H30:$O30)</f>
        <v>23444.996299999999</v>
      </c>
      <c r="Q30" s="144" t="str">
        <f>IFERROR(IF('Jul-24'!$F30="","-",VLOOKUP('Jul-24'!$F30,Lista_CUIT!$A$1:$D$2241,3,0)),"CUIT NO CARGADO")</f>
        <v>INSUMO</v>
      </c>
      <c r="R30" s="144">
        <f>IFERROR(IF('Jul-24'!$F30="","-",VLOOKUP('Jul-24'!$F30,Lista_CUIT!$A$1:$D$2241,4,0)),"CUIT NO CARGADO")</f>
        <v>0</v>
      </c>
    </row>
    <row r="31" spans="1:26" ht="15.75" customHeight="1" x14ac:dyDescent="0.3">
      <c r="B31" s="113" t="s">
        <v>1406</v>
      </c>
      <c r="C31" s="139">
        <v>1</v>
      </c>
      <c r="D31" s="140">
        <v>700</v>
      </c>
      <c r="E31" s="119">
        <v>687713</v>
      </c>
      <c r="F31" s="141">
        <v>30580111315</v>
      </c>
      <c r="G31" s="134" t="str">
        <f>IFERROR(IF('Jul-24'!$F31="","-",VLOOKUP('Jul-24'!$F31,Lista_CUIT!$A$1:$D$2241,2,0)),"CUIT NO CARGADO")</f>
        <v>DHL EXPRESS (ARGENTINA) S.A.</v>
      </c>
      <c r="H31" s="142">
        <v>14265</v>
      </c>
      <c r="I31" s="143">
        <f>IF('Jul-24'!$H31="","",'Jul-24'!$H31*0.21)</f>
        <v>2995.65</v>
      </c>
      <c r="J31" s="143"/>
      <c r="K31" s="143"/>
      <c r="L31" s="143"/>
      <c r="M31" s="143"/>
      <c r="N31" s="143"/>
      <c r="O31" s="143">
        <v>392905.65</v>
      </c>
      <c r="P31" s="135">
        <f>SUM('Jul-24'!$H31:$O31)</f>
        <v>410166.30000000005</v>
      </c>
      <c r="Q31" s="144" t="str">
        <f>IFERROR(IF('Jul-24'!$F31="","-",VLOOKUP('Jul-24'!$F31,Lista_CUIT!$A$1:$D$2241,3,0)),"CUIT NO CARGADO")</f>
        <v>Gastos Importacion</v>
      </c>
      <c r="R31" s="144">
        <f>IFERROR(IF('Jul-24'!$F31="","-",VLOOKUP('Jul-24'!$F31,Lista_CUIT!$A$1:$D$2241,4,0)),"CUIT NO CARGADO")</f>
        <v>0</v>
      </c>
    </row>
    <row r="32" spans="1:26" ht="15.75" customHeight="1" x14ac:dyDescent="0.3">
      <c r="B32" s="113"/>
      <c r="C32" s="139"/>
      <c r="D32" s="140"/>
      <c r="E32" s="119"/>
      <c r="F32" s="141"/>
      <c r="G32" s="134" t="str">
        <f>IFERROR(IF('Jul-24'!$F32="","-",VLOOKUP('Jul-24'!$F32,Lista_CUIT!$A$1:$D$2241,2,0)),"CUIT NO CARGADO")</f>
        <v>-</v>
      </c>
      <c r="H32" s="142"/>
      <c r="I32" s="143" t="str">
        <f>IF('Jul-24'!$H32="","",'Jul-24'!$H32*0.21)</f>
        <v/>
      </c>
      <c r="J32" s="143"/>
      <c r="K32" s="143"/>
      <c r="L32" s="143"/>
      <c r="M32" s="143"/>
      <c r="N32" s="143"/>
      <c r="O32" s="143"/>
      <c r="P32" s="135">
        <f>SUM('Jul-24'!$H32:$O32)</f>
        <v>0</v>
      </c>
      <c r="Q32" s="144" t="str">
        <f>IFERROR(IF('Jul-24'!$F32="","-",VLOOKUP('Jul-24'!$F32,Lista_CUIT!$A$1:$D$2241,3,0)),"CUIT NO CARGADO")</f>
        <v>-</v>
      </c>
      <c r="R32" s="144" t="str">
        <f>IFERROR(IF('Jul-24'!$F32="","-",VLOOKUP('Jul-24'!$F32,Lista_CUIT!$A$1:$D$2241,4,0)),"CUIT NO CARGADO")</f>
        <v>-</v>
      </c>
    </row>
    <row r="33" spans="2:19" ht="14.25" customHeight="1" x14ac:dyDescent="0.3">
      <c r="B33" s="113"/>
      <c r="C33" s="139"/>
      <c r="D33" s="140"/>
      <c r="E33" s="119"/>
      <c r="F33" s="141"/>
      <c r="G33" s="134" t="str">
        <f>IFERROR(IF('Jul-24'!$F33="","-",VLOOKUP('Jul-24'!$F33,Lista_CUIT!$A$1:$D$2241,2,0)),"CUIT NO CARGADO")</f>
        <v>-</v>
      </c>
      <c r="H33" s="142"/>
      <c r="I33" s="143" t="str">
        <f>IF('Jul-24'!$H33="","",'Jul-24'!$H33*0.21)</f>
        <v/>
      </c>
      <c r="J33" s="143"/>
      <c r="K33" s="143"/>
      <c r="L33" s="143"/>
      <c r="M33" s="143"/>
      <c r="N33" s="143"/>
      <c r="O33" s="143"/>
      <c r="P33" s="135">
        <f>SUM('Jul-24'!$H33:$O33)</f>
        <v>0</v>
      </c>
      <c r="Q33" s="144" t="str">
        <f>IFERROR(IF('Jul-24'!$F33="","-",VLOOKUP('Jul-24'!$F33,Lista_CUIT!$A$1:$D$2241,3,0)),"CUIT NO CARGADO")</f>
        <v>-</v>
      </c>
      <c r="R33" s="144" t="str">
        <f>IFERROR(IF('Jul-24'!$F33="","-",VLOOKUP('Jul-24'!$F33,Lista_CUIT!$A$1:$D$2241,4,0)),"CUIT NO CARGADO")</f>
        <v>-</v>
      </c>
      <c r="S33" s="3" t="s">
        <v>1407</v>
      </c>
    </row>
    <row r="34" spans="2:19" ht="15" customHeight="1" x14ac:dyDescent="0.3">
      <c r="B34" s="113"/>
      <c r="C34" s="139"/>
      <c r="D34" s="140"/>
      <c r="E34" s="119"/>
      <c r="F34" s="141"/>
      <c r="G34" s="134" t="str">
        <f>IFERROR(IF('Jul-24'!$F34="","-",VLOOKUP('Jul-24'!$F34,Lista_CUIT!$A$1:$D$2241,2,0)),"CUIT NO CARGADO")</f>
        <v>-</v>
      </c>
      <c r="H34" s="142"/>
      <c r="I34" s="143" t="str">
        <f>IF('Jul-24'!$H34="","",'Jul-24'!$H34*0.21)</f>
        <v/>
      </c>
      <c r="J34" s="143"/>
      <c r="K34" s="143"/>
      <c r="L34" s="143"/>
      <c r="M34" s="143"/>
      <c r="N34" s="143"/>
      <c r="O34" s="143"/>
      <c r="P34" s="135">
        <f>SUM('Jul-24'!$H34:$O34)</f>
        <v>0</v>
      </c>
      <c r="Q34" s="144" t="str">
        <f>IFERROR(IF('Jul-24'!$F34="","-",VLOOKUP('Jul-24'!$F34,Lista_CUIT!$A$1:$D$2241,3,0)),"CUIT NO CARGADO")</f>
        <v>-</v>
      </c>
      <c r="R34" s="144" t="str">
        <f>IFERROR(IF('Jul-24'!$F34="","-",VLOOKUP('Jul-24'!$F34,Lista_CUIT!$A$1:$D$2241,4,0)),"CUIT NO CARGADO")</f>
        <v>-</v>
      </c>
      <c r="S34" s="3" t="s">
        <v>1408</v>
      </c>
    </row>
    <row r="35" spans="2:19" ht="15" customHeight="1" x14ac:dyDescent="0.3">
      <c r="B35" s="21" t="s">
        <v>1343</v>
      </c>
      <c r="C35" s="21"/>
      <c r="D35" s="21"/>
      <c r="E35" s="21"/>
      <c r="F35" s="21"/>
      <c r="G35" s="17"/>
      <c r="H35" s="18">
        <f>SUBTOTAL(109,'Jul-24'!$H$9:$H$34)</f>
        <v>19384475.040000003</v>
      </c>
      <c r="I35" s="18">
        <f>SUBTOTAL(109,'Jul-24'!$I$9:$I$34)</f>
        <v>4064721.8261999995</v>
      </c>
      <c r="J35" s="18">
        <f>SUBTOTAL(109,'Jul-24'!$J$9:$J$34)</f>
        <v>7737.3414000000002</v>
      </c>
      <c r="K35" s="18">
        <f>SUBTOTAL(109,'Jul-24'!$K$9:$K$34)</f>
        <v>0</v>
      </c>
      <c r="L35" s="18">
        <f>SUBTOTAL(109,'Jul-24'!$L$9:$L$34)</f>
        <v>859.7</v>
      </c>
      <c r="M35" s="18">
        <f>SUBTOTAL(109,'Jul-24'!$M$9:$M$34)</f>
        <v>0</v>
      </c>
      <c r="N35" s="18">
        <f>SUBTOTAL(109,'Jul-24'!$N$9:$N$34)</f>
        <v>0</v>
      </c>
      <c r="O35" s="18">
        <f>SUBTOTAL(109,'Jul-24'!$O$9:$O$34)</f>
        <v>1136805.3900000001</v>
      </c>
      <c r="P35" s="18">
        <f>SUBTOTAL(109,'Jul-24'!$P$9:$P$34)</f>
        <v>24594599.297600001</v>
      </c>
      <c r="Q35" s="21"/>
      <c r="R35" s="21"/>
    </row>
    <row r="36" spans="2:19" ht="15" customHeight="1" x14ac:dyDescent="0.3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  <c r="M36" s="19"/>
      <c r="N36" s="19"/>
      <c r="O36" s="19"/>
      <c r="P36" s="20"/>
      <c r="Q36" s="21"/>
      <c r="R36" s="21"/>
    </row>
    <row r="37" spans="2:19" ht="15" customHeight="1" x14ac:dyDescent="0.3">
      <c r="B37" s="12"/>
      <c r="C37" s="13"/>
      <c r="D37" s="14"/>
      <c r="E37" s="15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20"/>
      <c r="Q37" s="21"/>
      <c r="R37" s="21"/>
    </row>
    <row r="38" spans="2:19" ht="23.25" customHeight="1" x14ac:dyDescent="0.3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2:19" ht="19.5" customHeight="1" x14ac:dyDescent="0.3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</row>
    <row r="40" spans="2:19" ht="15.75" customHeight="1" x14ac:dyDescent="0.3">
      <c r="D40" s="484" t="s">
        <v>1344</v>
      </c>
      <c r="E40" s="476"/>
      <c r="F40" s="476"/>
      <c r="G40" s="476"/>
      <c r="H40" s="476"/>
      <c r="I40" s="476"/>
      <c r="J40" s="476"/>
      <c r="K40" s="476"/>
      <c r="L40" s="477"/>
    </row>
    <row r="41" spans="2:19" ht="15.75" customHeight="1" x14ac:dyDescent="0.3">
      <c r="D41" s="24" t="s">
        <v>1322</v>
      </c>
      <c r="E41" s="25" t="s">
        <v>1345</v>
      </c>
      <c r="F41" s="25" t="s">
        <v>1346</v>
      </c>
      <c r="G41" s="25" t="s">
        <v>1347</v>
      </c>
      <c r="H41" s="25" t="s">
        <v>1348</v>
      </c>
      <c r="I41" s="25" t="s">
        <v>1329</v>
      </c>
      <c r="J41" s="26" t="s">
        <v>1349</v>
      </c>
      <c r="K41" s="26" t="s">
        <v>1350</v>
      </c>
      <c r="L41" s="27" t="s">
        <v>1351</v>
      </c>
    </row>
    <row r="42" spans="2:19" ht="15.75" customHeight="1" x14ac:dyDescent="0.3">
      <c r="D42" s="12"/>
      <c r="E42" s="29"/>
      <c r="F42" s="30"/>
      <c r="G42" s="31"/>
      <c r="H42" s="31">
        <f>'Jul-24'!$G42*0.21</f>
        <v>0</v>
      </c>
      <c r="I42" s="31"/>
      <c r="J42" s="31"/>
      <c r="K42" s="31"/>
      <c r="L42" s="31"/>
    </row>
    <row r="43" spans="2:19" ht="15.75" customHeight="1" x14ac:dyDescent="0.3">
      <c r="D43" s="12"/>
      <c r="E43" s="29"/>
      <c r="F43" s="30"/>
      <c r="G43" s="31"/>
      <c r="H43" s="31">
        <f>'Jul-24'!$G43*0.21</f>
        <v>0</v>
      </c>
      <c r="I43" s="31"/>
      <c r="J43" s="31"/>
      <c r="K43" s="31"/>
      <c r="L43" s="31"/>
    </row>
    <row r="44" spans="2:19" ht="15.75" customHeight="1" x14ac:dyDescent="0.3">
      <c r="D44" s="12"/>
      <c r="E44" s="29"/>
      <c r="F44" s="30"/>
      <c r="G44" s="31"/>
      <c r="H44" s="31">
        <f>'Jul-24'!$G44*0.21</f>
        <v>0</v>
      </c>
      <c r="I44" s="31"/>
      <c r="J44" s="31"/>
      <c r="K44" s="31"/>
      <c r="L44" s="31"/>
    </row>
    <row r="45" spans="2:19" ht="15.75" customHeight="1" x14ac:dyDescent="0.3">
      <c r="D45" s="12"/>
      <c r="E45" s="29"/>
      <c r="F45" s="30"/>
      <c r="G45" s="31"/>
      <c r="H45" s="31">
        <f>'Jul-24'!$G45*0.21</f>
        <v>0</v>
      </c>
      <c r="I45" s="31"/>
      <c r="J45" s="31"/>
      <c r="K45" s="31"/>
      <c r="L45" s="31"/>
    </row>
    <row r="46" spans="2:19" ht="15.75" customHeight="1" x14ac:dyDescent="0.3">
      <c r="D46" s="12"/>
      <c r="E46" s="29"/>
      <c r="F46" s="30"/>
      <c r="G46" s="31"/>
      <c r="H46" s="31">
        <f>'Jul-24'!$G46*0.21</f>
        <v>0</v>
      </c>
      <c r="I46" s="31"/>
      <c r="J46" s="31"/>
      <c r="K46" s="31"/>
      <c r="L46" s="31"/>
    </row>
    <row r="47" spans="2:19" ht="15.75" customHeight="1" x14ac:dyDescent="0.3">
      <c r="D47" s="21" t="s">
        <v>1343</v>
      </c>
      <c r="E47" s="29"/>
      <c r="F47" s="29"/>
      <c r="G47" s="31">
        <f>SUBTOTAL(109,'Jul-24'!$G$42:$G$46)</f>
        <v>0</v>
      </c>
      <c r="H47" s="31">
        <f>SUBTOTAL(109,'Jul-24'!$H$42:$H$46)</f>
        <v>0</v>
      </c>
      <c r="I47" s="31">
        <f>SUBTOTAL(109,'Jul-24'!$I$42:$I$46)</f>
        <v>0</v>
      </c>
      <c r="J47" s="31">
        <f>SUBTOTAL(109,'Jul-24'!$J$42:$J$46)</f>
        <v>0</v>
      </c>
      <c r="K47" s="31">
        <f>SUBTOTAL(109,'Jul-24'!$K$42:$K$46)</f>
        <v>0</v>
      </c>
      <c r="L47" s="31">
        <f>SUBTOTAL(109,'Jul-24'!$L$42:$L$46)</f>
        <v>0</v>
      </c>
    </row>
    <row r="48" spans="2:19" ht="15.75" customHeight="1" x14ac:dyDescent="0.3"/>
    <row r="49" spans="1:26" ht="15.75" customHeight="1" x14ac:dyDescent="0.3"/>
    <row r="50" spans="1:26" ht="15.75" customHeight="1" x14ac:dyDescent="0.3">
      <c r="H50" s="10"/>
    </row>
    <row r="51" spans="1:26" ht="15.75" customHeight="1" x14ac:dyDescent="0.3">
      <c r="D51" s="484" t="s">
        <v>1361</v>
      </c>
      <c r="E51" s="476"/>
      <c r="F51" s="476"/>
      <c r="G51" s="476"/>
      <c r="H51" s="476"/>
      <c r="I51" s="476"/>
      <c r="J51" s="476"/>
      <c r="K51" s="477"/>
    </row>
    <row r="52" spans="1:26" ht="15.75" customHeight="1" x14ac:dyDescent="0.3">
      <c r="D52" s="35" t="s">
        <v>1322</v>
      </c>
      <c r="E52" s="35" t="s">
        <v>1324</v>
      </c>
      <c r="F52" s="35" t="s">
        <v>1362</v>
      </c>
      <c r="G52" s="35" t="s">
        <v>0</v>
      </c>
      <c r="H52" s="35" t="s">
        <v>1</v>
      </c>
      <c r="I52" s="36" t="s">
        <v>1334</v>
      </c>
      <c r="J52" s="35" t="s">
        <v>1363</v>
      </c>
      <c r="K52" s="35" t="s">
        <v>1335</v>
      </c>
    </row>
    <row r="53" spans="1:26" ht="15.75" customHeight="1" x14ac:dyDescent="0.3">
      <c r="D53" s="12" t="s">
        <v>1391</v>
      </c>
      <c r="E53" s="14">
        <v>1</v>
      </c>
      <c r="F53" s="15">
        <v>27</v>
      </c>
      <c r="G53" s="16">
        <v>27387896150</v>
      </c>
      <c r="H53" s="40" t="str">
        <f>IFERROR(IF('Jul-24'!$G53="","-",VLOOKUP('Jul-24'!$G53,Lista_CUIT!$A$1:$D$2241,2,0)),"CUIT NO CARGADO")</f>
        <v>LIPANOVICH MARIA SOL</v>
      </c>
      <c r="I53" s="31">
        <v>900000</v>
      </c>
      <c r="J53" s="42" t="str">
        <f>IFERROR(IF('Jul-24'!$G53="","-",VLOOKUP('Jul-24'!$G53,Lista_CUIT!$A$1:$D$2241,3,0)),"CUIT NO CARGADO")</f>
        <v>consultoria informatica</v>
      </c>
      <c r="K53" s="42">
        <f>IFERROR(IF('Jul-24'!$G53="","-",VLOOKUP('Jul-24'!$G53,Lista_CUIT!$A$1:$D$2241,4,0)),"CUIT NO CARGADO")</f>
        <v>0</v>
      </c>
    </row>
    <row r="54" spans="1:26" ht="15.75" customHeight="1" x14ac:dyDescent="0.3">
      <c r="D54" s="12" t="s">
        <v>1391</v>
      </c>
      <c r="E54" s="14">
        <v>4</v>
      </c>
      <c r="F54" s="15">
        <v>27</v>
      </c>
      <c r="G54" s="16">
        <v>20341462933</v>
      </c>
      <c r="H54" s="40" t="str">
        <f>IFERROR(IF('Jul-24'!$G54="","-",VLOOKUP('Jul-24'!$G54,Lista_CUIT!$A$1:$D$2241,2,0)),"CUIT NO CARGADO")</f>
        <v>CASTIGLIONI MATIAS EZEQUIEL</v>
      </c>
      <c r="I54" s="31">
        <v>1170000</v>
      </c>
      <c r="J54" s="42" t="str">
        <f>IFERROR(IF('Jul-24'!$G54="","-",VLOOKUP('Jul-24'!$G54,Lista_CUIT!$A$1:$D$2241,3,0)),"CUIT NO CARGADO")</f>
        <v>ASESORAMIENTO</v>
      </c>
      <c r="K54" s="42" t="str">
        <f>IFERROR(IF('Jul-24'!$G54="","-",VLOOKUP('Jul-24'!$G54,Lista_CUIT!$A$1:$D$2241,4,0)),"CUIT NO CARGADO")</f>
        <v>BUENOS AIRES</v>
      </c>
    </row>
    <row r="55" spans="1:26" ht="18" customHeight="1" x14ac:dyDescent="0.3">
      <c r="A55" s="43"/>
      <c r="D55" s="12" t="s">
        <v>1391</v>
      </c>
      <c r="E55" s="14">
        <v>1</v>
      </c>
      <c r="F55" s="15">
        <v>38</v>
      </c>
      <c r="G55" s="16">
        <v>20365938688</v>
      </c>
      <c r="H55" s="40" t="str">
        <f>IFERROR(IF('Jul-24'!$G55="","-",VLOOKUP('Jul-24'!$G55,Lista_CUIT!$A$1:$D$2241,2,0)),"CUIT NO CARGADO")</f>
        <v>LIPANOVICH JUAN CRUZ</v>
      </c>
      <c r="I55" s="31">
        <v>750000</v>
      </c>
      <c r="J55" s="42" t="str">
        <f>IFERROR(IF('Jul-24'!$G55="","-",VLOOKUP('Jul-24'!$G55,Lista_CUIT!$A$1:$D$2241,3,0)),"CUIT NO CARGADO")</f>
        <v>SOFTWARE</v>
      </c>
      <c r="K55" s="42">
        <f>IFERROR(IF('Jul-24'!$G55="","-",VLOOKUP('Jul-24'!$G55,Lista_CUIT!$A$1:$D$2241,4,0)),"CUIT NO CARGADO")</f>
        <v>0</v>
      </c>
      <c r="S55" s="43"/>
      <c r="T55" s="43"/>
      <c r="U55" s="43"/>
      <c r="V55" s="43"/>
      <c r="W55" s="43"/>
      <c r="X55" s="43"/>
      <c r="Y55" s="43"/>
      <c r="Z55" s="43"/>
    </row>
    <row r="56" spans="1:26" ht="15.75" customHeight="1" x14ac:dyDescent="0.3">
      <c r="D56" s="12" t="s">
        <v>1391</v>
      </c>
      <c r="E56" s="14">
        <v>2</v>
      </c>
      <c r="F56" s="15">
        <v>245</v>
      </c>
      <c r="G56" s="16">
        <v>27173820866</v>
      </c>
      <c r="H56" s="40" t="str">
        <f>IFERROR(IF('Jul-24'!$G56="","-",VLOOKUP('Jul-24'!$G56,Lista_CUIT!$A$1:$D$2241,2,0)),"CUIT NO CARGADO")</f>
        <v>FREIER SANDRA DANIELA</v>
      </c>
      <c r="I56" s="31">
        <v>550000</v>
      </c>
      <c r="J56" s="42" t="str">
        <f>IFERROR(IF('Jul-24'!$G56="","-",VLOOKUP('Jul-24'!$G56,Lista_CUIT!$A$1:$D$2241,3,0)),"CUIT NO CARGADO")</f>
        <v>Honorarios Prof</v>
      </c>
      <c r="K56" s="42">
        <f>IFERROR(IF('Jul-24'!$G56="","-",VLOOKUP('Jul-24'!$G56,Lista_CUIT!$A$1:$D$2241,4,0)),"CUIT NO CARGADO")</f>
        <v>0</v>
      </c>
    </row>
    <row r="57" spans="1:26" ht="15.75" customHeight="1" x14ac:dyDescent="0.3">
      <c r="D57" s="12" t="s">
        <v>1409</v>
      </c>
      <c r="E57" s="14">
        <v>2</v>
      </c>
      <c r="F57" s="15">
        <v>5</v>
      </c>
      <c r="G57" s="16">
        <v>23118167279</v>
      </c>
      <c r="H57" s="40" t="str">
        <f>IFERROR(IF('Jul-24'!$G57="","-",VLOOKUP('Jul-24'!$G57,Lista_CUIT!$A$1:$D$2241,2,0)),"CUIT NO CARGADO")</f>
        <v>ABELEDO ENRIQUE JUAN</v>
      </c>
      <c r="I57" s="31">
        <v>780000</v>
      </c>
      <c r="J57" s="42" t="str">
        <f>IFERROR(IF('Jul-24'!$G57="","-",VLOOKUP('Jul-24'!$G57,Lista_CUIT!$A$1:$D$2241,3,0)),"CUIT NO CARGADO")</f>
        <v>Honorarios Admin</v>
      </c>
      <c r="K57" s="42">
        <f>IFERROR(IF('Jul-24'!$G57="","-",VLOOKUP('Jul-24'!$G57,Lista_CUIT!$A$1:$D$2241,4,0)),"CUIT NO CARGADO")</f>
        <v>0</v>
      </c>
    </row>
    <row r="58" spans="1:26" ht="15.75" customHeight="1" x14ac:dyDescent="0.3">
      <c r="D58" s="12" t="s">
        <v>1392</v>
      </c>
      <c r="E58" s="14">
        <v>3</v>
      </c>
      <c r="F58" s="15">
        <v>864</v>
      </c>
      <c r="G58" s="16">
        <v>20086277523</v>
      </c>
      <c r="H58" s="40" t="str">
        <f>IFERROR(IF('Jul-24'!$G58="","-",VLOOKUP('Jul-24'!$G58,Lista_CUIT!$A$1:$D$2241,2,0)),"CUIT NO CARGADO")</f>
        <v>ESTUDIO BOTINDARI</v>
      </c>
      <c r="I58" s="31">
        <v>210000</v>
      </c>
      <c r="J58" s="42" t="str">
        <f>IFERROR(IF('Jul-24'!$G58="","-",VLOOKUP('Jul-24'!$G58,Lista_CUIT!$A$1:$D$2241,3,0)),"CUIT NO CARGADO")</f>
        <v>Honorarios Contables</v>
      </c>
      <c r="K58" s="42">
        <f>IFERROR(IF('Jul-24'!$G58="","-",VLOOKUP('Jul-24'!$G58,Lista_CUIT!$A$1:$D$2241,4,0)),"CUIT NO CARGADO")</f>
        <v>0</v>
      </c>
    </row>
    <row r="59" spans="1:26" ht="15.75" customHeight="1" x14ac:dyDescent="0.3">
      <c r="D59" s="12" t="s">
        <v>1392</v>
      </c>
      <c r="E59" s="14">
        <v>1</v>
      </c>
      <c r="F59" s="15">
        <v>447</v>
      </c>
      <c r="G59" s="16">
        <v>27925308868</v>
      </c>
      <c r="H59" s="40" t="str">
        <f>IFERROR(IF('Jul-24'!$G59="","-",VLOOKUP('Jul-24'!$G59,Lista_CUIT!$A$1:$D$2241,2,0)),"CUIT NO CARGADO")</f>
        <v>LOPEZ MOLINA MARIA</v>
      </c>
      <c r="I59" s="31">
        <v>18000</v>
      </c>
      <c r="J59" s="42" t="str">
        <f>IFERROR(IF('Jul-24'!$G59="","-",VLOOKUP('Jul-24'!$G59,Lista_CUIT!$A$1:$D$2241,3,0)),"CUIT NO CARGADO")</f>
        <v>GASTOS VARIOS</v>
      </c>
      <c r="K59" s="42">
        <f>IFERROR(IF('Jul-24'!$G59="","-",VLOOKUP('Jul-24'!$G59,Lista_CUIT!$A$1:$D$2241,4,0)),"CUIT NO CARGADO")</f>
        <v>0</v>
      </c>
    </row>
    <row r="60" spans="1:26" ht="15.75" customHeight="1" x14ac:dyDescent="0.3">
      <c r="D60" s="12" t="s">
        <v>1392</v>
      </c>
      <c r="E60" s="14">
        <v>1</v>
      </c>
      <c r="F60" s="15">
        <v>108</v>
      </c>
      <c r="G60" s="16">
        <v>20389908569</v>
      </c>
      <c r="H60" s="40" t="str">
        <f>IFERROR(IF('Jul-24'!$G60="","-",VLOOKUP('Jul-24'!$G60,Lista_CUIT!$A$1:$D$2241,2,0)),"CUIT NO CARGADO")</f>
        <v>BOTINDARI JUAN IGNACIO</v>
      </c>
      <c r="I60" s="31">
        <v>72530</v>
      </c>
      <c r="J60" s="42" t="str">
        <f>IFERROR(IF('Jul-24'!$G60="","-",VLOOKUP('Jul-24'!$G60,Lista_CUIT!$A$1:$D$2241,3,0)),"CUIT NO CARGADO")</f>
        <v>Honorarios Contables</v>
      </c>
      <c r="K60" s="42">
        <f>IFERROR(IF('Jul-24'!$G60="","-",VLOOKUP('Jul-24'!$G60,Lista_CUIT!$A$1:$D$2241,4,0)),"CUIT NO CARGADO")</f>
        <v>0</v>
      </c>
    </row>
    <row r="61" spans="1:26" ht="15.75" customHeight="1" x14ac:dyDescent="0.3">
      <c r="D61" s="12" t="s">
        <v>1393</v>
      </c>
      <c r="E61" s="14">
        <v>3</v>
      </c>
      <c r="F61" s="15">
        <v>866</v>
      </c>
      <c r="G61" s="16">
        <v>20086277523</v>
      </c>
      <c r="H61" s="40" t="str">
        <f>IFERROR(IF('Jul-24'!$G61="","-",VLOOKUP('Jul-24'!$G61,Lista_CUIT!$A$1:$D$2241,2,0)),"CUIT NO CARGADO")</f>
        <v>ESTUDIO BOTINDARI</v>
      </c>
      <c r="I61" s="31">
        <v>60000</v>
      </c>
      <c r="J61" s="42" t="str">
        <f>IFERROR(IF('Jul-24'!$G61="","-",VLOOKUP('Jul-24'!$G61,Lista_CUIT!$A$1:$D$2241,3,0)),"CUIT NO CARGADO")</f>
        <v>Honorarios Contables</v>
      </c>
      <c r="K61" s="42">
        <f>IFERROR(IF('Jul-24'!$G61="","-",VLOOKUP('Jul-24'!$G61,Lista_CUIT!$A$1:$D$2241,4,0)),"CUIT NO CARGADO")</f>
        <v>0</v>
      </c>
    </row>
    <row r="62" spans="1:26" ht="18.75" customHeight="1" x14ac:dyDescent="0.3">
      <c r="D62" s="12" t="s">
        <v>1398</v>
      </c>
      <c r="E62" s="14">
        <v>1006</v>
      </c>
      <c r="F62" s="15">
        <v>1014716</v>
      </c>
      <c r="G62" s="16">
        <v>30715103946</v>
      </c>
      <c r="H62" s="40" t="str">
        <f>IFERROR(IF('Jul-24'!$G62="","-",VLOOKUP('Jul-24'!$G62,Lista_CUIT!$A$1:$D$2241,2,0)),"CUIT NO CARGADO")</f>
        <v>LIBRENTA LIBROS S. A. U.</v>
      </c>
      <c r="I62" s="31">
        <v>30800</v>
      </c>
      <c r="J62" s="42" t="str">
        <f>IFERROR(IF('Jul-24'!$G62="","-",VLOOKUP('Jul-24'!$G62,Lista_CUIT!$A$1:$D$2241,3,0)),"CUIT NO CARGADO")</f>
        <v>Honorarios Admin</v>
      </c>
      <c r="K62" s="42">
        <f>IFERROR(IF('Jul-24'!$G62="","-",VLOOKUP('Jul-24'!$G62,Lista_CUIT!$A$1:$D$2241,4,0)),"CUIT NO CARGADO")</f>
        <v>0</v>
      </c>
    </row>
    <row r="63" spans="1:26" ht="15.75" customHeight="1" x14ac:dyDescent="0.3">
      <c r="D63" s="12" t="s">
        <v>1399</v>
      </c>
      <c r="E63" s="14">
        <v>3</v>
      </c>
      <c r="F63" s="15">
        <v>88</v>
      </c>
      <c r="G63" s="16">
        <v>20403931420</v>
      </c>
      <c r="H63" s="40" t="str">
        <f>IFERROR(IF('Jul-24'!$G63="","-",VLOOKUP('Jul-24'!$G63,Lista_CUIT!$A$1:$D$2241,2,0)),"CUIT NO CARGADO")</f>
        <v>FIORENTINO JORGE IGNACIO</v>
      </c>
      <c r="I63" s="31">
        <v>550000</v>
      </c>
      <c r="J63" s="42" t="str">
        <f>IFERROR(IF('Jul-24'!$G63="","-",VLOOKUP('Jul-24'!$G63,Lista_CUIT!$A$1:$D$2241,3,0)),"CUIT NO CARGADO")</f>
        <v>Honorarios Prof</v>
      </c>
      <c r="K63" s="42">
        <f>IFERROR(IF('Jul-24'!$G63="","-",VLOOKUP('Jul-24'!$G63,Lista_CUIT!$A$1:$D$2241,4,0)),"CUIT NO CARGADO")</f>
        <v>0</v>
      </c>
    </row>
    <row r="64" spans="1:26" ht="18" customHeight="1" x14ac:dyDescent="0.3">
      <c r="D64" s="12" t="s">
        <v>1399</v>
      </c>
      <c r="E64" s="14">
        <v>4</v>
      </c>
      <c r="F64" s="15">
        <v>65</v>
      </c>
      <c r="G64" s="16">
        <v>23214737914</v>
      </c>
      <c r="H64" s="40" t="str">
        <f>IFERROR(IF('Jul-24'!$G64="","-",VLOOKUP('Jul-24'!$G64,Lista_CUIT!$A$1:$D$2241,2,0)),"CUIT NO CARGADO")</f>
        <v>SBARRA GABRIELA BEATRIZ</v>
      </c>
      <c r="I64" s="31">
        <v>759880</v>
      </c>
      <c r="J64" s="42" t="str">
        <f>IFERROR(IF('Jul-24'!$G64="","-",VLOOKUP('Jul-24'!$G64,Lista_CUIT!$A$1:$D$2241,3,0)),"CUIT NO CARGADO")</f>
        <v>Honorarios Admin</v>
      </c>
      <c r="K64" s="42">
        <f>IFERROR(IF('Jul-24'!$G64="","-",VLOOKUP('Jul-24'!$G64,Lista_CUIT!$A$1:$D$2241,4,0)),"CUIT NO CARGADO")</f>
        <v>0</v>
      </c>
    </row>
    <row r="65" spans="2:18" ht="15.75" customHeight="1" x14ac:dyDescent="0.3">
      <c r="D65" s="12" t="s">
        <v>1410</v>
      </c>
      <c r="E65" s="14">
        <v>2</v>
      </c>
      <c r="F65" s="15">
        <v>173</v>
      </c>
      <c r="G65" s="16">
        <v>20136544625</v>
      </c>
      <c r="H65" s="40" t="str">
        <f>IFERROR(IF('Jul-24'!$G65="","-",VLOOKUP('Jul-24'!$G65,Lista_CUIT!$A$1:$D$2241,2,0)),"CUIT NO CARGADO")</f>
        <v>RODRIGUEZ DE LA FUEN HECTOR MARCELO</v>
      </c>
      <c r="I65" s="31">
        <v>600000</v>
      </c>
      <c r="J65" s="42" t="str">
        <f>IFERROR(IF('Jul-24'!$G65="","-",VLOOKUP('Jul-24'!$G65,Lista_CUIT!$A$1:$D$2241,3,0)),"CUIT NO CARGADO")</f>
        <v>Honorarios Admin</v>
      </c>
      <c r="K65" s="42">
        <f>IFERROR(IF('Jul-24'!$G65="","-",VLOOKUP('Jul-24'!$G65,Lista_CUIT!$A$1:$D$2241,4,0)),"CUIT NO CARGADO")</f>
        <v>0</v>
      </c>
    </row>
    <row r="66" spans="2:18" ht="15.75" customHeight="1" x14ac:dyDescent="0.3">
      <c r="D66" s="42" t="s">
        <v>1343</v>
      </c>
      <c r="E66" s="42"/>
      <c r="F66" s="42"/>
      <c r="G66" s="42"/>
      <c r="H66" s="44"/>
      <c r="I66" s="41">
        <f>SUBTOTAL(109,'Jul-24'!$I$53:$I$65)</f>
        <v>6451210</v>
      </c>
      <c r="J66" s="42"/>
      <c r="K66" s="42"/>
      <c r="N66" s="43"/>
    </row>
    <row r="67" spans="2:18" ht="15.75" customHeight="1" x14ac:dyDescent="0.3">
      <c r="B67" s="43"/>
      <c r="C67" s="43"/>
      <c r="L67" s="43"/>
      <c r="M67" s="43"/>
      <c r="O67" s="43"/>
      <c r="P67" s="43"/>
      <c r="Q67" s="43"/>
      <c r="R67" s="43"/>
    </row>
    <row r="68" spans="2:18" ht="15.75" customHeight="1" x14ac:dyDescent="0.3"/>
    <row r="69" spans="2:18" ht="15.75" customHeight="1" x14ac:dyDescent="0.3"/>
    <row r="70" spans="2:18" ht="15.75" customHeight="1" x14ac:dyDescent="0.3"/>
    <row r="71" spans="2:18" ht="15.75" customHeight="1" x14ac:dyDescent="0.3"/>
    <row r="72" spans="2:18" ht="15.75" customHeight="1" x14ac:dyDescent="0.3">
      <c r="B72" s="492" t="s">
        <v>1364</v>
      </c>
      <c r="C72" s="476"/>
      <c r="D72" s="476"/>
      <c r="E72" s="476"/>
      <c r="F72" s="476"/>
      <c r="G72" s="476"/>
      <c r="H72" s="476"/>
      <c r="I72" s="476"/>
      <c r="J72" s="477"/>
      <c r="K72" s="493">
        <f>N1</f>
        <v>45108</v>
      </c>
      <c r="L72" s="476"/>
      <c r="M72" s="477"/>
    </row>
    <row r="73" spans="2:18" ht="15.75" customHeight="1" x14ac:dyDescent="0.3"/>
    <row r="74" spans="2:18" ht="25.5" customHeight="1" x14ac:dyDescent="0.3">
      <c r="B74" s="485" t="s">
        <v>1365</v>
      </c>
      <c r="C74" s="486"/>
    </row>
    <row r="75" spans="2:18" ht="15.75" customHeight="1" x14ac:dyDescent="0.3">
      <c r="B75" s="45" t="s">
        <v>1322</v>
      </c>
      <c r="C75" s="46" t="s">
        <v>1323</v>
      </c>
      <c r="D75" s="46" t="s">
        <v>1366</v>
      </c>
      <c r="E75" s="46" t="s">
        <v>1367</v>
      </c>
      <c r="F75" s="46" t="s">
        <v>0</v>
      </c>
      <c r="G75" s="46" t="s">
        <v>1</v>
      </c>
      <c r="H75" s="46" t="s">
        <v>1368</v>
      </c>
      <c r="I75" s="46" t="s">
        <v>1348</v>
      </c>
      <c r="J75" s="46" t="s">
        <v>1329</v>
      </c>
      <c r="K75" s="46" t="s">
        <v>1369</v>
      </c>
      <c r="L75" s="46" t="s">
        <v>1334</v>
      </c>
      <c r="M75" s="47" t="s">
        <v>1335</v>
      </c>
    </row>
    <row r="76" spans="2:18" ht="17.25" customHeight="1" x14ac:dyDescent="0.3">
      <c r="B76" s="12">
        <v>45474</v>
      </c>
      <c r="C76" s="13">
        <v>1</v>
      </c>
      <c r="D76" s="14">
        <v>3</v>
      </c>
      <c r="E76" s="15">
        <v>204</v>
      </c>
      <c r="F76" s="16">
        <v>30638318470</v>
      </c>
      <c r="G76" s="120" t="str">
        <f>IFERROR(IF('Jul-24'!$F76="","-",VLOOKUP('Jul-24'!$F76,Lista_CUIT!$A$1:$D$2241,2,0)),"CUIT NO CARGADO")</f>
        <v>DELTA COMPRESION S R L</v>
      </c>
      <c r="H76" s="49">
        <v>23694825</v>
      </c>
      <c r="I76" s="50"/>
      <c r="J76" s="51">
        <f>'Jul-24'!$H76*0.105</f>
        <v>2487956.625</v>
      </c>
      <c r="K76" s="51"/>
      <c r="L76" s="51">
        <f>SUM('Jul-24'!$H76:$K76)</f>
        <v>26182781.625</v>
      </c>
      <c r="M76" s="52"/>
    </row>
    <row r="77" spans="2:18" ht="15.75" customHeight="1" x14ac:dyDescent="0.3">
      <c r="B77" s="12">
        <v>45484</v>
      </c>
      <c r="C77" s="13">
        <v>1</v>
      </c>
      <c r="D77" s="14">
        <v>3</v>
      </c>
      <c r="E77" s="15">
        <v>205</v>
      </c>
      <c r="F77" s="16">
        <v>30628274327</v>
      </c>
      <c r="G77" s="120" t="str">
        <f>IFERROR(IF('Jul-24'!$F77="","-",VLOOKUP('Jul-24'!$F77,Lista_CUIT!$A$1:$D$2241,2,0)),"CUIT NO CARGADO")</f>
        <v>AGIRA  S A</v>
      </c>
      <c r="H77" s="49">
        <v>12743445</v>
      </c>
      <c r="I77" s="50">
        <f>278850*0.21</f>
        <v>58558.5</v>
      </c>
      <c r="J77" s="51">
        <f>12464595*0.105</f>
        <v>1308782.4749999999</v>
      </c>
      <c r="K77" s="51"/>
      <c r="L77" s="51">
        <f>SUM('Jul-24'!$H77:$K77)</f>
        <v>14110785.975</v>
      </c>
      <c r="M77" s="52"/>
    </row>
    <row r="78" spans="2:18" ht="15.75" customHeight="1" x14ac:dyDescent="0.3">
      <c r="B78" s="12">
        <v>45485</v>
      </c>
      <c r="C78" s="13">
        <v>1</v>
      </c>
      <c r="D78" s="14">
        <v>3</v>
      </c>
      <c r="E78" s="15">
        <v>206</v>
      </c>
      <c r="F78" s="16">
        <v>30638318470</v>
      </c>
      <c r="G78" s="120" t="str">
        <f>IFERROR(IF('Jul-24'!$F78="","-",VLOOKUP('Jul-24'!$F78,Lista_CUIT!$A$1:$D$2241,2,0)),"CUIT NO CARGADO")</f>
        <v>DELTA COMPRESION S R L</v>
      </c>
      <c r="H78" s="49">
        <v>321480</v>
      </c>
      <c r="I78" s="50">
        <f>'Jul-24'!$H78*0.21</f>
        <v>67510.8</v>
      </c>
      <c r="J78" s="51"/>
      <c r="K78" s="51"/>
      <c r="L78" s="51">
        <f>SUM('Jul-24'!$H78:$K78)</f>
        <v>388990.8</v>
      </c>
      <c r="M78" s="52"/>
    </row>
    <row r="79" spans="2:18" ht="15.75" customHeight="1" x14ac:dyDescent="0.3">
      <c r="B79" s="12">
        <v>45492</v>
      </c>
      <c r="C79" s="13">
        <v>1</v>
      </c>
      <c r="D79" s="14">
        <v>3</v>
      </c>
      <c r="E79" s="15">
        <v>207</v>
      </c>
      <c r="F79" s="16">
        <v>30628274327</v>
      </c>
      <c r="G79" s="120" t="str">
        <f>IFERROR(IF('Jul-24'!$F79="","-",VLOOKUP('Jul-24'!$F79,Lista_CUIT!$A$1:$D$2241,2,0)),"CUIT NO CARGADO")</f>
        <v>AGIRA  S A</v>
      </c>
      <c r="H79" s="49">
        <v>12921675</v>
      </c>
      <c r="I79" s="50">
        <f>282750*0.21</f>
        <v>59377.5</v>
      </c>
      <c r="J79" s="51">
        <v>1327087.1200000001</v>
      </c>
      <c r="K79" s="51"/>
      <c r="L79" s="51">
        <f>SUM('Jul-24'!$H79:$K79)</f>
        <v>14308139.620000001</v>
      </c>
      <c r="M79" s="52"/>
    </row>
    <row r="80" spans="2:18" ht="15.75" customHeight="1" x14ac:dyDescent="0.3">
      <c r="B80" s="12">
        <v>45495</v>
      </c>
      <c r="C80" s="13">
        <v>1</v>
      </c>
      <c r="D80" s="14">
        <v>3</v>
      </c>
      <c r="E80" s="15">
        <v>209</v>
      </c>
      <c r="F80" s="16">
        <v>30668033667</v>
      </c>
      <c r="G80" s="120" t="str">
        <f>IFERROR(IF('Jul-24'!$F80="","-",VLOOKUP('Jul-24'!$F80,Lista_CUIT!$A$1:$D$2241,2,0)),"CUIT NO CARGADO")</f>
        <v>LLANTAY SRL</v>
      </c>
      <c r="H80" s="49">
        <v>1651716</v>
      </c>
      <c r="I80" s="50">
        <f>'Jul-24'!$H80*0.21</f>
        <v>346860.36</v>
      </c>
      <c r="J80" s="51"/>
      <c r="K80" s="51"/>
      <c r="L80" s="51">
        <f>SUM('Jul-24'!$H80:$K80)</f>
        <v>1998576.3599999999</v>
      </c>
      <c r="M80" s="52"/>
    </row>
    <row r="81" spans="2:13" ht="15.75" customHeight="1" x14ac:dyDescent="0.3">
      <c r="B81" s="12">
        <v>45495</v>
      </c>
      <c r="C81" s="13">
        <v>1</v>
      </c>
      <c r="D81" s="14">
        <v>3</v>
      </c>
      <c r="E81" s="15">
        <v>208</v>
      </c>
      <c r="F81" s="16">
        <v>20413837635</v>
      </c>
      <c r="G81" s="120" t="str">
        <f>IFERROR(IF('Jul-24'!$F81="","-",VLOOKUP('Jul-24'!$F81,Lista_CUIT!$A$1:$D$2241,2,0)),"CUIT NO CARGADO")</f>
        <v>SUAREZ MATIAS IVAN</v>
      </c>
      <c r="H81" s="49">
        <v>1390620</v>
      </c>
      <c r="I81" s="50">
        <f>'Jul-24'!$H81*0.21</f>
        <v>292030.2</v>
      </c>
      <c r="J81" s="51"/>
      <c r="K81" s="51"/>
      <c r="L81" s="51">
        <f>SUM('Jul-24'!$H81:$K81)</f>
        <v>1682650.2</v>
      </c>
      <c r="M81" s="52"/>
    </row>
    <row r="82" spans="2:13" ht="15.75" customHeight="1" x14ac:dyDescent="0.3">
      <c r="B82" s="12">
        <v>45496</v>
      </c>
      <c r="C82" s="13">
        <v>1</v>
      </c>
      <c r="D82" s="14">
        <v>3</v>
      </c>
      <c r="E82" s="15">
        <v>211</v>
      </c>
      <c r="F82" s="16">
        <v>30708548061</v>
      </c>
      <c r="G82" s="120" t="str">
        <f>IFERROR(IF('Jul-24'!$F82="","-",VLOOKUP('Jul-24'!$F82,Lista_CUIT!$A$1:$D$2241,2,0)),"CUIT NO CARGADO")</f>
        <v>PETRO GRUTA S.R.L.</v>
      </c>
      <c r="H82" s="49">
        <v>1651716</v>
      </c>
      <c r="I82" s="50">
        <f>'Jul-24'!$H82*0.21</f>
        <v>346860.36</v>
      </c>
      <c r="J82" s="51"/>
      <c r="K82" s="51"/>
      <c r="L82" s="51">
        <f>SUM('Jul-24'!$H82:$K82)</f>
        <v>1998576.3599999999</v>
      </c>
      <c r="M82" s="53"/>
    </row>
    <row r="83" spans="2:13" ht="15.75" customHeight="1" x14ac:dyDescent="0.3">
      <c r="B83" s="12">
        <v>45496</v>
      </c>
      <c r="C83" s="13">
        <v>1</v>
      </c>
      <c r="D83" s="14">
        <v>3</v>
      </c>
      <c r="E83" s="15">
        <v>210</v>
      </c>
      <c r="F83" s="16">
        <v>30710473710</v>
      </c>
      <c r="G83" s="120" t="str">
        <f>IFERROR(IF('Jul-24'!$F83="","-",VLOOKUP('Jul-24'!$F83,Lista_CUIT!$A$1:$D$2241,2,0)),"CUIT NO CARGADO")</f>
        <v>POWER TEKNIC SA</v>
      </c>
      <c r="H83" s="49">
        <v>1677828</v>
      </c>
      <c r="I83" s="50">
        <f>'Jul-24'!$H83*0.21</f>
        <v>352343.88</v>
      </c>
      <c r="J83" s="51"/>
      <c r="K83" s="61"/>
      <c r="L83" s="61">
        <f>SUM('Jul-24'!$H83:$K83)</f>
        <v>2030171.88</v>
      </c>
      <c r="M83" s="53"/>
    </row>
    <row r="84" spans="2:13" ht="15.75" customHeight="1" x14ac:dyDescent="0.3">
      <c r="B84" s="12">
        <v>45496</v>
      </c>
      <c r="C84" s="13">
        <v>3</v>
      </c>
      <c r="D84" s="14">
        <v>3</v>
      </c>
      <c r="E84" s="15">
        <v>23</v>
      </c>
      <c r="F84" s="16">
        <v>30668033667</v>
      </c>
      <c r="G84" s="120" t="str">
        <f>IFERROR(IF('Jul-24'!$F84="","-",VLOOKUP('Jul-24'!$F84,Lista_CUIT!$A$1:$D$2241,2,0)),"CUIT NO CARGADO")</f>
        <v>LLANTAY SRL</v>
      </c>
      <c r="H84" s="49">
        <v>-1651716</v>
      </c>
      <c r="I84" s="50">
        <f>'Jul-24'!$H84*0.21</f>
        <v>-346860.36</v>
      </c>
      <c r="J84" s="51"/>
      <c r="K84" s="51"/>
      <c r="L84" s="51">
        <f>SUM('Jul-24'!$H84:$K84)</f>
        <v>-1998576.3599999999</v>
      </c>
      <c r="M84" s="52"/>
    </row>
    <row r="85" spans="2:13" ht="15.75" customHeight="1" x14ac:dyDescent="0.3">
      <c r="B85" s="62">
        <v>45499</v>
      </c>
      <c r="C85" s="63">
        <v>1</v>
      </c>
      <c r="D85" s="64">
        <v>3</v>
      </c>
      <c r="E85" s="65">
        <v>212</v>
      </c>
      <c r="F85" s="66">
        <v>30708592532</v>
      </c>
      <c r="G85" s="120" t="str">
        <f>IFERROR(IF('Jul-24'!$F85="","-",VLOOKUP('Jul-24'!$F85,Lista_CUIT!$A$1:$D$2241,2,0)),"CUIT NO CARGADO")</f>
        <v>BASSO INDEPENDENCIA SA</v>
      </c>
      <c r="H85" s="49">
        <v>5791950</v>
      </c>
      <c r="I85" s="50">
        <f>759600*0.21</f>
        <v>159516</v>
      </c>
      <c r="J85" s="51">
        <f>5032350*0.105</f>
        <v>528396.75</v>
      </c>
      <c r="K85" s="51"/>
      <c r="L85" s="51">
        <f>SUM('Jul-24'!$H85:$K85)</f>
        <v>6479862.75</v>
      </c>
      <c r="M85" s="52"/>
    </row>
    <row r="86" spans="2:13" ht="15.75" customHeight="1" x14ac:dyDescent="0.3">
      <c r="B86" s="68" t="s">
        <v>1343</v>
      </c>
      <c r="C86" s="69"/>
      <c r="D86" s="69"/>
      <c r="E86" s="69"/>
      <c r="F86" s="69"/>
      <c r="G86" s="69"/>
      <c r="H86" s="70">
        <f>SUBTOTAL(109,'Jul-24'!$H$76:$H$85)</f>
        <v>60193539</v>
      </c>
      <c r="I86" s="71">
        <f>SUBTOTAL(109,'Jul-24'!$I$76:$I$85)</f>
        <v>1336197.2399999998</v>
      </c>
      <c r="J86" s="61">
        <f>SUBTOTAL(109,'Jul-24'!$J$76:$J$85)</f>
        <v>5652222.9699999997</v>
      </c>
      <c r="K86" s="61">
        <f>SUBTOTAL(109,'Jul-24'!$K$76:$K$85)</f>
        <v>0</v>
      </c>
      <c r="L86" s="61">
        <f>SUBTOTAL(109,'Jul-24'!$L$76:$L$85)</f>
        <v>67181959.210000008</v>
      </c>
      <c r="M86" s="72">
        <f>SUBTOTAL(103,'Jul-24'!$M$76:$M$85)</f>
        <v>0</v>
      </c>
    </row>
    <row r="87" spans="2:13" ht="18.75" customHeight="1" x14ac:dyDescent="0.3">
      <c r="H87" s="138"/>
    </row>
    <row r="88" spans="2:13" ht="28.5" customHeight="1" x14ac:dyDescent="0.3">
      <c r="B88" s="485" t="s">
        <v>1372</v>
      </c>
      <c r="C88" s="486"/>
    </row>
    <row r="89" spans="2:13" ht="15.75" customHeight="1" x14ac:dyDescent="0.3">
      <c r="B89" s="45" t="s">
        <v>1322</v>
      </c>
      <c r="C89" s="46" t="s">
        <v>1323</v>
      </c>
      <c r="D89" s="46" t="s">
        <v>1366</v>
      </c>
      <c r="E89" s="46" t="s">
        <v>1367</v>
      </c>
      <c r="F89" s="46" t="s">
        <v>0</v>
      </c>
      <c r="G89" s="46" t="s">
        <v>1</v>
      </c>
      <c r="H89" s="46" t="s">
        <v>1368</v>
      </c>
      <c r="I89" s="46" t="s">
        <v>1348</v>
      </c>
      <c r="J89" s="46" t="s">
        <v>1329</v>
      </c>
      <c r="K89" s="46" t="s">
        <v>1369</v>
      </c>
      <c r="L89" s="46" t="s">
        <v>1334</v>
      </c>
      <c r="M89" s="47" t="s">
        <v>1335</v>
      </c>
    </row>
    <row r="90" spans="2:13" ht="15.75" customHeight="1" x14ac:dyDescent="0.3">
      <c r="B90" s="12"/>
      <c r="C90" s="13"/>
      <c r="D90" s="14"/>
      <c r="E90" s="15"/>
      <c r="F90" s="16"/>
      <c r="G90" s="73" t="str">
        <f>IFERROR(IF('Jul-24'!$F90="","-",VLOOKUP('Jul-24'!$F90,Lista_CUIT!$A$1:$D$2241,2,0)),"CUIT NO CARGADO")</f>
        <v>-</v>
      </c>
      <c r="H90" s="74"/>
      <c r="I90" s="74">
        <f>'Jul-24'!$H90*0.21</f>
        <v>0</v>
      </c>
      <c r="J90" s="74"/>
      <c r="K90" s="74"/>
      <c r="L90" s="74">
        <f>SUM('Jul-24'!$H90:$K90)</f>
        <v>0</v>
      </c>
      <c r="M90" s="52"/>
    </row>
    <row r="91" spans="2:13" ht="15.75" customHeight="1" x14ac:dyDescent="0.3">
      <c r="B91" s="12"/>
      <c r="C91" s="13"/>
      <c r="D91" s="14"/>
      <c r="E91" s="15"/>
      <c r="F91" s="16"/>
      <c r="G91" s="73"/>
      <c r="H91" s="74"/>
      <c r="I91" s="74">
        <f>'Jul-24'!$H91*0.21</f>
        <v>0</v>
      </c>
      <c r="J91" s="74"/>
      <c r="K91" s="74"/>
      <c r="L91" s="74">
        <f>SUM('Jul-24'!$H91:$K91)</f>
        <v>0</v>
      </c>
      <c r="M91" s="52"/>
    </row>
    <row r="92" spans="2:13" ht="15.75" customHeight="1" x14ac:dyDescent="0.3">
      <c r="B92" s="12"/>
      <c r="C92" s="13"/>
      <c r="D92" s="14"/>
      <c r="E92" s="15"/>
      <c r="F92" s="16"/>
      <c r="G92" s="73"/>
      <c r="H92" s="74"/>
      <c r="I92" s="74">
        <f>'Jul-24'!$H92*0.21</f>
        <v>0</v>
      </c>
      <c r="J92" s="74"/>
      <c r="K92" s="74"/>
      <c r="L92" s="74">
        <f>SUM('Jul-24'!$H92:$K92)</f>
        <v>0</v>
      </c>
      <c r="M92" s="52"/>
    </row>
    <row r="93" spans="2:13" ht="15.75" customHeight="1" x14ac:dyDescent="0.3">
      <c r="B93" s="12"/>
      <c r="C93" s="13"/>
      <c r="D93" s="14"/>
      <c r="E93" s="15"/>
      <c r="F93" s="16"/>
      <c r="G93" s="73"/>
      <c r="H93" s="74"/>
      <c r="I93" s="74">
        <f>'Jul-24'!$H93*0.21</f>
        <v>0</v>
      </c>
      <c r="J93" s="74"/>
      <c r="K93" s="74"/>
      <c r="L93" s="74">
        <f>SUM('Jul-24'!$H93:$K93)</f>
        <v>0</v>
      </c>
      <c r="M93" s="52"/>
    </row>
    <row r="94" spans="2:13" ht="15.75" customHeight="1" x14ac:dyDescent="0.3">
      <c r="B94" s="12"/>
      <c r="C94" s="13"/>
      <c r="D94" s="14"/>
      <c r="E94" s="15"/>
      <c r="F94" s="16"/>
      <c r="G94" s="73"/>
      <c r="H94" s="74"/>
      <c r="I94" s="74">
        <f>'Jul-24'!$H94*0.21</f>
        <v>0</v>
      </c>
      <c r="J94" s="74"/>
      <c r="K94" s="74"/>
      <c r="L94" s="74">
        <f>SUM('Jul-24'!$H94:$K94)</f>
        <v>0</v>
      </c>
      <c r="M94" s="52"/>
    </row>
    <row r="95" spans="2:13" ht="15.75" customHeight="1" x14ac:dyDescent="0.3">
      <c r="B95" s="12"/>
      <c r="C95" s="13"/>
      <c r="D95" s="14"/>
      <c r="E95" s="15"/>
      <c r="F95" s="16"/>
      <c r="G95" s="73"/>
      <c r="H95" s="74"/>
      <c r="I95" s="74">
        <f>'Jul-24'!$H95*0.21</f>
        <v>0</v>
      </c>
      <c r="J95" s="74"/>
      <c r="K95" s="74"/>
      <c r="L95" s="74">
        <f>SUM('Jul-24'!$H95:$K95)</f>
        <v>0</v>
      </c>
      <c r="M95" s="52"/>
    </row>
    <row r="96" spans="2:13" ht="15.75" customHeight="1" x14ac:dyDescent="0.3">
      <c r="B96" s="68" t="s">
        <v>1343</v>
      </c>
      <c r="C96" s="69"/>
      <c r="D96" s="69"/>
      <c r="E96" s="69"/>
      <c r="F96" s="69"/>
      <c r="G96" s="69"/>
      <c r="H96" s="75">
        <f>SUBTOTAL(109,'Jul-24'!$H$90:$H$95)</f>
        <v>0</v>
      </c>
      <c r="I96" s="75">
        <f>SUBTOTAL(109,'Jul-24'!$I$90:$I$95)</f>
        <v>0</v>
      </c>
      <c r="J96" s="76">
        <f>SUBTOTAL(109,'Jul-24'!$J$90:$J$95)</f>
        <v>0</v>
      </c>
      <c r="K96" s="76">
        <f>SUBTOTAL(109,'Jul-24'!$K$90:$K$95)</f>
        <v>0</v>
      </c>
      <c r="L96" s="76">
        <f>SUBTOTAL(109,'Jul-24'!$L$90:$L$95)</f>
        <v>0</v>
      </c>
      <c r="M96" s="72">
        <f>SUBTOTAL(103,'Jul-24'!$M$90:$M$95)</f>
        <v>0</v>
      </c>
    </row>
    <row r="97" spans="2:12" ht="15.75" customHeight="1" x14ac:dyDescent="0.3"/>
    <row r="98" spans="2:12" ht="15.75" customHeight="1" x14ac:dyDescent="0.3"/>
    <row r="99" spans="2:12" ht="15.75" customHeight="1" x14ac:dyDescent="0.3">
      <c r="B99" s="485" t="s">
        <v>1373</v>
      </c>
      <c r="C99" s="486"/>
    </row>
    <row r="100" spans="2:12" ht="15.75" customHeight="1" x14ac:dyDescent="0.3">
      <c r="B100" s="45" t="s">
        <v>1322</v>
      </c>
      <c r="C100" s="46" t="s">
        <v>1323</v>
      </c>
      <c r="D100" s="46" t="s">
        <v>1366</v>
      </c>
      <c r="E100" s="46" t="s">
        <v>1367</v>
      </c>
      <c r="F100" s="46" t="s">
        <v>0</v>
      </c>
      <c r="G100" s="46" t="s">
        <v>1</v>
      </c>
      <c r="H100" s="46" t="s">
        <v>1374</v>
      </c>
      <c r="I100" s="46" t="s">
        <v>1377</v>
      </c>
      <c r="J100" s="46" t="s">
        <v>1334</v>
      </c>
      <c r="K100" s="47" t="s">
        <v>1411</v>
      </c>
    </row>
    <row r="101" spans="2:12" ht="15.75" customHeight="1" x14ac:dyDescent="0.3">
      <c r="B101" s="12"/>
      <c r="C101" s="13"/>
      <c r="D101" s="14"/>
      <c r="E101" s="15"/>
      <c r="F101" s="16"/>
      <c r="G101" s="73" t="str">
        <f>IFERROR(IF('Jul-24'!$F101="","-",VLOOKUP('Jul-24'!$F101,Lista_CUIT!$A$1:$D$2241,2,0)),"CUIT NO CARGADO")</f>
        <v>-</v>
      </c>
      <c r="H101" s="49"/>
      <c r="I101" s="74"/>
      <c r="J101" s="74">
        <f>'Jul-24'!$H101*'Jul-24'!$I101</f>
        <v>0</v>
      </c>
      <c r="K101" s="52"/>
    </row>
    <row r="102" spans="2:12" ht="15.75" customHeight="1" x14ac:dyDescent="0.3">
      <c r="B102" s="12"/>
      <c r="C102" s="13"/>
      <c r="D102" s="14"/>
      <c r="E102" s="15"/>
      <c r="F102" s="16"/>
      <c r="G102" s="73" t="str">
        <f>IFERROR(IF('Jul-24'!$F102="","-",VLOOKUP('Jul-24'!$F102,Lista_CUIT!$A$1:$D$2241,2,0)),"CUIT NO CARGADO")</f>
        <v>-</v>
      </c>
      <c r="H102" s="49"/>
      <c r="I102" s="74"/>
      <c r="J102" s="74">
        <f>'Jul-24'!$H102*'Jul-24'!$I102</f>
        <v>0</v>
      </c>
      <c r="K102" s="52"/>
    </row>
    <row r="103" spans="2:12" ht="15.75" customHeight="1" x14ac:dyDescent="0.3">
      <c r="B103" s="68" t="s">
        <v>1343</v>
      </c>
      <c r="C103" s="69"/>
      <c r="D103" s="69"/>
      <c r="E103" s="69"/>
      <c r="F103" s="69"/>
      <c r="G103" s="69"/>
      <c r="H103" s="75">
        <f>SUBTOTAL(109,'Jul-24'!$H$101:$H$102)</f>
        <v>0</v>
      </c>
      <c r="I103" s="76">
        <f>SUBTOTAL(109,'Jul-24'!$I$101:$I$102)</f>
        <v>0</v>
      </c>
      <c r="J103" s="76">
        <f>SUBTOTAL(109,'Jul-24'!$J$101:$J$102)</f>
        <v>0</v>
      </c>
      <c r="K103" s="72">
        <f>SUBTOTAL(103,'Jul-24'!$K$101:$K$102)</f>
        <v>0</v>
      </c>
    </row>
    <row r="104" spans="2:12" ht="15.75" customHeight="1" x14ac:dyDescent="0.3"/>
    <row r="105" spans="2:12" ht="15.75" customHeight="1" x14ac:dyDescent="0.3"/>
    <row r="106" spans="2:12" ht="15.75" customHeight="1" x14ac:dyDescent="0.3"/>
    <row r="107" spans="2:12" ht="15.75" customHeight="1" x14ac:dyDescent="0.3">
      <c r="C107" s="487" t="s">
        <v>1380</v>
      </c>
      <c r="D107" s="488"/>
      <c r="E107" s="488"/>
      <c r="F107" s="488"/>
      <c r="G107" s="489"/>
      <c r="H107" s="88"/>
      <c r="I107" s="88"/>
      <c r="J107" s="88"/>
    </row>
    <row r="108" spans="2:12" ht="15.75" customHeight="1" x14ac:dyDescent="0.3">
      <c r="C108" s="89" t="s">
        <v>1381</v>
      </c>
      <c r="D108" s="90" t="s">
        <v>1382</v>
      </c>
      <c r="E108" s="90" t="s">
        <v>1376</v>
      </c>
      <c r="F108" s="90" t="s">
        <v>0</v>
      </c>
      <c r="G108" s="90" t="s">
        <v>1</v>
      </c>
      <c r="H108" s="91" t="s">
        <v>1383</v>
      </c>
      <c r="I108" s="91" t="s">
        <v>1384</v>
      </c>
      <c r="J108" s="91" t="s">
        <v>1385</v>
      </c>
      <c r="K108" s="91" t="s">
        <v>1386</v>
      </c>
      <c r="L108" s="91" t="s">
        <v>1387</v>
      </c>
    </row>
    <row r="109" spans="2:12" ht="15.75" customHeight="1" x14ac:dyDescent="0.3">
      <c r="C109" s="92"/>
      <c r="D109" s="93"/>
      <c r="E109" s="93"/>
      <c r="F109" s="39"/>
      <c r="G109" s="40" t="str">
        <f>IFERROR(IF('Jul-24'!$F109="","-",VLOOKUP('Jul-24'!$F109,Lista_CUIT!$A$1:$D$2241,2,0)),"CUIT NO CARGADO")</f>
        <v>-</v>
      </c>
      <c r="H109" s="94"/>
      <c r="I109" s="94">
        <v>9597.94</v>
      </c>
      <c r="J109" s="94">
        <v>914.09</v>
      </c>
      <c r="K109" s="94"/>
      <c r="L109" s="94"/>
    </row>
    <row r="110" spans="2:12" ht="15.75" customHeight="1" x14ac:dyDescent="0.3">
      <c r="C110" s="92"/>
      <c r="D110" s="93"/>
      <c r="E110" s="93"/>
      <c r="F110" s="39"/>
      <c r="G110" s="40" t="str">
        <f>IFERROR(IF('Jul-24'!$F110="","-",VLOOKUP('Jul-24'!$F110,Lista_CUIT!$A$1:$D$2241,2,0)),"CUIT NO CARGADO")</f>
        <v>-</v>
      </c>
      <c r="H110" s="94"/>
      <c r="I110" s="94"/>
      <c r="J110" s="94"/>
      <c r="K110" s="94"/>
      <c r="L110" s="94"/>
    </row>
    <row r="111" spans="2:12" ht="15.75" customHeight="1" x14ac:dyDescent="0.3">
      <c r="C111" s="92"/>
      <c r="D111" s="93"/>
      <c r="E111" s="93"/>
      <c r="F111" s="39"/>
      <c r="G111" s="40" t="str">
        <f>IFERROR(IF('Jul-24'!$F111="","-",VLOOKUP('Jul-24'!$F111,Lista_CUIT!$A$1:$D$2241,2,0)),"CUIT NO CARGADO")</f>
        <v>-</v>
      </c>
      <c r="H111" s="94"/>
      <c r="I111" s="94"/>
      <c r="J111" s="94"/>
      <c r="K111" s="94"/>
      <c r="L111" s="94"/>
    </row>
    <row r="112" spans="2:12" ht="15.75" customHeight="1" x14ac:dyDescent="0.3">
      <c r="C112" s="92"/>
      <c r="D112" s="93"/>
      <c r="E112" s="93"/>
      <c r="F112" s="39"/>
      <c r="G112" s="40" t="str">
        <f>IFERROR(IF('Jul-24'!$F112="","-",VLOOKUP('Jul-24'!$F112,Lista_CUIT!$A$1:$D$2241,2,0)),"CUIT NO CARGADO")</f>
        <v>-</v>
      </c>
      <c r="H112" s="94"/>
      <c r="I112" s="94"/>
      <c r="J112" s="94"/>
      <c r="K112" s="94"/>
      <c r="L112" s="94"/>
    </row>
    <row r="113" spans="3:12" ht="15.75" customHeight="1" x14ac:dyDescent="0.3">
      <c r="C113" s="3"/>
      <c r="D113" s="93"/>
      <c r="E113" s="93"/>
      <c r="F113" s="3"/>
      <c r="G113" s="40" t="str">
        <f>IFERROR(IF('Jul-24'!$F113="","-",VLOOKUP('Jul-24'!$F113,Lista_CUIT!$A$1:$D$2241,2,0)),"CUIT NO CARGADO")</f>
        <v>-</v>
      </c>
      <c r="H113" s="3"/>
      <c r="I113" s="3"/>
      <c r="J113" s="3"/>
      <c r="K113" s="3"/>
      <c r="L113" s="3"/>
    </row>
    <row r="114" spans="3:12" ht="15.75" customHeight="1" x14ac:dyDescent="0.3">
      <c r="C114" s="145"/>
    </row>
    <row r="115" spans="3:12" ht="15.75" customHeight="1" x14ac:dyDescent="0.3"/>
    <row r="116" spans="3:12" ht="15.75" customHeight="1" x14ac:dyDescent="0.3"/>
    <row r="117" spans="3:12" ht="15.75" customHeight="1" x14ac:dyDescent="0.3"/>
    <row r="118" spans="3:12" ht="15.75" customHeight="1" x14ac:dyDescent="0.3"/>
    <row r="119" spans="3:12" ht="15.75" customHeight="1" x14ac:dyDescent="0.3"/>
    <row r="120" spans="3:12" ht="15.75" customHeight="1" x14ac:dyDescent="0.3"/>
    <row r="121" spans="3:12" ht="15.75" customHeight="1" x14ac:dyDescent="0.3"/>
    <row r="122" spans="3:12" ht="15.75" customHeight="1" x14ac:dyDescent="0.3"/>
    <row r="123" spans="3:12" ht="15.75" customHeight="1" x14ac:dyDescent="0.3"/>
    <row r="124" spans="3:12" ht="15.75" customHeight="1" x14ac:dyDescent="0.3"/>
    <row r="125" spans="3:12" ht="15.75" customHeight="1" x14ac:dyDescent="0.3"/>
    <row r="126" spans="3:12" ht="15.75" customHeight="1" x14ac:dyDescent="0.3"/>
    <row r="127" spans="3:12" ht="15.75" customHeight="1" x14ac:dyDescent="0.3"/>
    <row r="128" spans="3:1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P4:R4"/>
    <mergeCell ref="D40:L40"/>
    <mergeCell ref="B99:C99"/>
    <mergeCell ref="C107:G107"/>
    <mergeCell ref="B3:E3"/>
    <mergeCell ref="B4:E4"/>
    <mergeCell ref="G4:H4"/>
    <mergeCell ref="D51:K51"/>
    <mergeCell ref="B72:J72"/>
    <mergeCell ref="K72:M72"/>
    <mergeCell ref="B74:C74"/>
    <mergeCell ref="B88:C88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H90:L95 I101:J102" xr:uid="{00000000-0002-0000-0400-000000000000}">
      <formula1>IF($C90=8,H90&lt;0,H90&gt;=0)</formula1>
    </dataValidation>
    <dataValidation type="decimal" allowBlank="1" showErrorMessage="1" sqref="D9:D34 E53:E65 D76:D85 D90:D95 D101:D102" xr:uid="{00000000-0002-0000-0400-000001000000}">
      <formula1>1</formula1>
      <formula2>9999</formula2>
    </dataValidation>
    <dataValidation type="custom" allowBlank="1" showErrorMessage="1" sqref="L81:L82" xr:uid="{00000000-0002-0000-0400-000002000000}">
      <formula1>IF($C35=3,L35&lt;0,L35&gt;=0)</formula1>
    </dataValidation>
    <dataValidation type="decimal" allowBlank="1" showErrorMessage="1" sqref="C101:C102" xr:uid="{00000000-0002-0000-0400-000003000000}">
      <formula1>80</formula1>
      <formula2>80</formula2>
    </dataValidation>
    <dataValidation type="date" allowBlank="1" showErrorMessage="1" sqref="B9:B34 B36:B39 D42:D46 D53:D65 B76:B85 B90:B95 B101:B102" xr:uid="{00000000-0002-0000-0400-000004000000}">
      <formula1>40179</formula1>
      <formula2>TODAY()</formula2>
    </dataValidation>
    <dataValidation type="decimal" allowBlank="1" showErrorMessage="1" sqref="F9:F34 G53:G65 F76:F85 F90:F95 F101:F102" xr:uid="{00000000-0002-0000-0400-000005000000}">
      <formula1>20000000000</formula1>
      <formula2>33999999999</formula2>
    </dataValidation>
    <dataValidation type="custom" allowBlank="1" showErrorMessage="1" sqref="L78:L80" xr:uid="{00000000-0002-0000-0400-000006000000}">
      <formula1>IF($C23=3,L23&lt;0,L23&gt;=0)</formula1>
    </dataValidation>
    <dataValidation type="decimal" allowBlank="1" showErrorMessage="1" sqref="C90:C95" xr:uid="{00000000-0002-0000-04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4" xr:uid="{00000000-0002-0000-0400-000008000000}">
      <formula1>IF($C9=3,H9&lt;0,H9&gt;=0)</formula1>
    </dataValidation>
    <dataValidation type="decimal" allowBlank="1" showErrorMessage="1" sqref="E9:E34 F53:F65 E76:E85 E90:E95 E101:E102" xr:uid="{00000000-0002-0000-0400-000009000000}">
      <formula1>1</formula1>
      <formula2>99999999</formula2>
    </dataValidation>
    <dataValidation type="custom" allowBlank="1" showErrorMessage="1" sqref="L76:L77" xr:uid="{00000000-0002-0000-0400-00000A000000}">
      <formula1>IF($C9=3,L9&lt;0,L9&gt;=0)</formula1>
    </dataValidation>
    <dataValidation type="decimal" allowBlank="1" showErrorMessage="1" sqref="C9:C34 C36:C39 C76:C85" xr:uid="{00000000-0002-0000-0400-00000B000000}">
      <formula1>1</formula1>
      <formula2>3</formula2>
    </dataValidation>
    <dataValidation type="custom" allowBlank="1" showErrorMessage="1" sqref="J76:K76 J77 J78:K78 J79 J80:K80 J81 J82:K82 J83:J84 H76:H85 H101" xr:uid="{00000000-0002-0000-0400-00000C000000}">
      <formula1>IF($C76=3,H76&lt;0,H76&gt;=0)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DE9D9"/>
  </sheetPr>
  <dimension ref="A1:Z1000"/>
  <sheetViews>
    <sheetView showGridLines="0" topLeftCell="J85" zoomScale="80" zoomScaleNormal="80" workbookViewId="0">
      <selection activeCell="L94" sqref="L94:L102"/>
    </sheetView>
  </sheetViews>
  <sheetFormatPr baseColWidth="10" defaultColWidth="14.44140625" defaultRowHeight="15" customHeight="1" x14ac:dyDescent="0.3"/>
  <cols>
    <col min="1" max="1" width="4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2.44140625" customWidth="1"/>
    <col min="20" max="20" width="18.3320312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26" ht="34.5" customHeight="1" x14ac:dyDescent="0.3">
      <c r="A1" s="6"/>
      <c r="B1" s="475" t="s">
        <v>1315</v>
      </c>
      <c r="C1" s="476"/>
      <c r="D1" s="476"/>
      <c r="E1" s="476"/>
      <c r="F1" s="477"/>
      <c r="G1" s="478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EDATE('Abr-24'!N1,4)</f>
        <v>45139</v>
      </c>
      <c r="O1" s="476"/>
      <c r="P1" s="476"/>
      <c r="Q1" s="476"/>
      <c r="R1" s="477"/>
    </row>
    <row r="3" spans="1:26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26" ht="24.75" customHeight="1" x14ac:dyDescent="0.4">
      <c r="B4" s="490">
        <f>SUM('Ago-24'!$H$48)+'Ago-24'!$G$60</f>
        <v>14868505.269999998</v>
      </c>
      <c r="C4" s="476"/>
      <c r="D4" s="476"/>
      <c r="E4" s="477"/>
      <c r="F4" s="8"/>
      <c r="G4" s="491">
        <f>'Ago-24'!$I$48+'Ago-24'!$J$48+'Ago-24'!$K$48+'Ago-24'!$H$60+'Ago-24'!$I$60</f>
        <v>3120688.7250000001</v>
      </c>
      <c r="H4" s="477"/>
      <c r="I4" s="8"/>
      <c r="J4" s="494">
        <f>'Ago-24'!$H$103+'Ago-24'!$H$114</f>
        <v>64891119</v>
      </c>
      <c r="K4" s="477"/>
      <c r="L4" s="8"/>
      <c r="M4" s="494">
        <f>'Ago-24'!$I$103+'Ago-24'!$J$103+'Ago-24'!$I$114+'Ago-24'!$J$114</f>
        <v>7523638.2899999991</v>
      </c>
      <c r="N4" s="477"/>
      <c r="O4" s="8"/>
      <c r="P4" s="483">
        <f>G4-M4</f>
        <v>-4402949.5649999995</v>
      </c>
      <c r="Q4" s="476"/>
      <c r="R4" s="477"/>
    </row>
    <row r="7" spans="1:26" ht="14.4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  <c r="S8" s="146" t="s">
        <v>1376</v>
      </c>
      <c r="T8" s="146" t="s">
        <v>1375</v>
      </c>
    </row>
    <row r="9" spans="1:26" ht="14.4" x14ac:dyDescent="0.3">
      <c r="A9" s="10"/>
      <c r="B9" s="113" t="s">
        <v>1412</v>
      </c>
      <c r="C9" s="139">
        <v>1</v>
      </c>
      <c r="D9" s="140">
        <v>3</v>
      </c>
      <c r="E9" s="119">
        <v>139</v>
      </c>
      <c r="F9" s="141">
        <v>20297899830</v>
      </c>
      <c r="G9" s="134" t="str">
        <f>IFERROR(IF('Ago-24'!$F9="","-",VLOOKUP('Ago-24'!$F9,Lista_CUIT!$A$1:$D$2241,2,0)),"CUIT NO CARGADO")</f>
        <v>FUNK MATIAS NICOLAS</v>
      </c>
      <c r="H9" s="142">
        <v>5547040</v>
      </c>
      <c r="I9" s="143">
        <f>IF('Ago-24'!$H9="","",'Ago-24'!$H9*0.21)</f>
        <v>1164878.3999999999</v>
      </c>
      <c r="J9" s="143"/>
      <c r="K9" s="143"/>
      <c r="L9" s="143"/>
      <c r="M9" s="143"/>
      <c r="N9" s="143"/>
      <c r="O9" s="143"/>
      <c r="P9" s="135">
        <f>SUM('Ago-24'!$H9:$O9)</f>
        <v>6711918.4000000004</v>
      </c>
      <c r="Q9" s="144" t="str">
        <f>IFERROR(IF('Ago-24'!$F9="","-",VLOOKUP('Ago-24'!$F9,Lista_CUIT!$A$1:$D$2241,3,0)),"CUIT NO CARGADO")</f>
        <v>INSUMO</v>
      </c>
      <c r="R9" s="144">
        <f>IFERROR(IF('Ago-24'!$F9="","-",VLOOKUP('Ago-24'!$F9,Lista_CUIT!$A$1:$D$2241,4,0)),"CUIT NO CARGADO")</f>
        <v>0</v>
      </c>
      <c r="S9" s="10">
        <v>6711918.3999999994</v>
      </c>
      <c r="T9" s="147">
        <f>'Ago-24'!$P9-'Ago-24'!$S9</f>
        <v>0</v>
      </c>
      <c r="U9" s="10"/>
      <c r="V9" s="10"/>
      <c r="W9" s="10"/>
      <c r="X9" s="10"/>
      <c r="Y9" s="10"/>
      <c r="Z9" s="10"/>
    </row>
    <row r="10" spans="1:26" ht="14.4" x14ac:dyDescent="0.3">
      <c r="A10" s="10"/>
      <c r="B10" s="113" t="s">
        <v>1413</v>
      </c>
      <c r="C10" s="139">
        <v>1</v>
      </c>
      <c r="D10" s="140">
        <v>2</v>
      </c>
      <c r="E10" s="119">
        <v>202</v>
      </c>
      <c r="F10" s="141">
        <v>20125142851</v>
      </c>
      <c r="G10" s="134" t="str">
        <f>IFERROR(IF('Ago-24'!$F10="","-",VLOOKUP('Ago-24'!$F10,Lista_CUIT!$A$1:$D$2241,2,0)),"CUIT NO CARGADO")</f>
        <v>FEDERICI NICOLAS JOSE</v>
      </c>
      <c r="H10" s="142">
        <v>351369.9</v>
      </c>
      <c r="I10" s="143">
        <f>IF('Ago-24'!$H10="","",'Ago-24'!$H10*0.21)</f>
        <v>73787.679000000004</v>
      </c>
      <c r="J10" s="143"/>
      <c r="K10" s="143"/>
      <c r="L10" s="143"/>
      <c r="M10" s="143"/>
      <c r="N10" s="143"/>
      <c r="O10" s="143"/>
      <c r="P10" s="135">
        <f>SUM('Ago-24'!$H10:$O10)</f>
        <v>425157.57900000003</v>
      </c>
      <c r="Q10" s="144" t="str">
        <f>IFERROR(IF('Ago-24'!$F10="","-",VLOOKUP('Ago-24'!$F10,Lista_CUIT!$A$1:$D$2241,3,0)),"CUIT NO CARGADO")</f>
        <v>INSUMO</v>
      </c>
      <c r="R10" s="144">
        <f>IFERROR(IF('Ago-24'!$F10="","-",VLOOKUP('Ago-24'!$F10,Lista_CUIT!$A$1:$D$2241,4,0)),"CUIT NO CARGADO")</f>
        <v>0</v>
      </c>
      <c r="S10" s="10">
        <v>425157.58</v>
      </c>
      <c r="T10" s="147">
        <f>'Ago-24'!$P10-'Ago-24'!$S10</f>
        <v>-9.9999998928979039E-4</v>
      </c>
      <c r="U10" s="10"/>
      <c r="V10" s="10"/>
      <c r="W10" s="10"/>
      <c r="X10" s="10"/>
      <c r="Y10" s="10"/>
      <c r="Z10" s="10"/>
    </row>
    <row r="11" spans="1:26" ht="14.4" x14ac:dyDescent="0.3">
      <c r="A11" s="10"/>
      <c r="B11" s="113" t="s">
        <v>1414</v>
      </c>
      <c r="C11" s="139">
        <v>1</v>
      </c>
      <c r="D11" s="140">
        <v>2</v>
      </c>
      <c r="E11" s="119">
        <v>203</v>
      </c>
      <c r="F11" s="141">
        <v>20125142851</v>
      </c>
      <c r="G11" s="134" t="str">
        <f>IFERROR(IF('Ago-24'!$F11="","-",VLOOKUP('Ago-24'!$F11,Lista_CUIT!$A$1:$D$2241,2,0)),"CUIT NO CARGADO")</f>
        <v>FEDERICI NICOLAS JOSE</v>
      </c>
      <c r="H11" s="142">
        <v>1349912.86</v>
      </c>
      <c r="I11" s="143">
        <f>IF('Ago-24'!$H11="","",'Ago-24'!$H11*0.21)</f>
        <v>283481.70059999998</v>
      </c>
      <c r="J11" s="143"/>
      <c r="K11" s="143"/>
      <c r="L11" s="143"/>
      <c r="M11" s="143"/>
      <c r="N11" s="143"/>
      <c r="O11" s="143"/>
      <c r="P11" s="135">
        <f>SUM('Ago-24'!$H11:$O11)</f>
        <v>1633394.5606</v>
      </c>
      <c r="Q11" s="144" t="str">
        <f>IFERROR(IF('Ago-24'!$F11="","-",VLOOKUP('Ago-24'!$F11,Lista_CUIT!$A$1:$D$2241,3,0)),"CUIT NO CARGADO")</f>
        <v>INSUMO</v>
      </c>
      <c r="R11" s="144">
        <f>IFERROR(IF('Ago-24'!$F11="","-",VLOOKUP('Ago-24'!$F11,Lista_CUIT!$A$1:$D$2241,4,0)),"CUIT NO CARGADO")</f>
        <v>0</v>
      </c>
      <c r="S11" s="10">
        <v>1633394.58</v>
      </c>
      <c r="T11" s="147">
        <f>'Ago-24'!$P11-'Ago-24'!$S11</f>
        <v>-1.9400000106543303E-2</v>
      </c>
      <c r="U11" s="10"/>
      <c r="V11" s="10"/>
      <c r="W11" s="10"/>
      <c r="X11" s="10"/>
      <c r="Y11" s="10"/>
      <c r="Z11" s="10"/>
    </row>
    <row r="12" spans="1:26" ht="14.4" x14ac:dyDescent="0.3">
      <c r="A12" s="10"/>
      <c r="B12" s="113" t="s">
        <v>1415</v>
      </c>
      <c r="C12" s="139">
        <v>1</v>
      </c>
      <c r="D12" s="140">
        <v>109</v>
      </c>
      <c r="E12" s="119">
        <v>461</v>
      </c>
      <c r="F12" s="141">
        <v>30570861278</v>
      </c>
      <c r="G12" s="134" t="str">
        <f>IFERROR(IF('Ago-24'!$F12="","-",VLOOKUP('Ago-24'!$F12,Lista_CUIT!$A$1:$D$2241,2,0)),"CUIT NO CARGADO")</f>
        <v>PINTURERIA ROSMAR  S A</v>
      </c>
      <c r="H12" s="142">
        <v>102826.99</v>
      </c>
      <c r="I12" s="143">
        <f>IF('Ago-24'!$H12="","",'Ago-24'!$H12*0.21)</f>
        <v>21593.6679</v>
      </c>
      <c r="J12" s="143"/>
      <c r="K12" s="143"/>
      <c r="L12" s="143"/>
      <c r="M12" s="143"/>
      <c r="N12" s="143"/>
      <c r="O12" s="143"/>
      <c r="P12" s="135">
        <f>SUM('Ago-24'!$H12:$O12)</f>
        <v>124420.65790000001</v>
      </c>
      <c r="Q12" s="144" t="str">
        <f>IFERROR(IF('Ago-24'!$F12="","-",VLOOKUP('Ago-24'!$F12,Lista_CUIT!$A$1:$D$2241,3,0)),"CUIT NO CARGADO")</f>
        <v>pintureria</v>
      </c>
      <c r="R12" s="144">
        <f>IFERROR(IF('Ago-24'!$F12="","-",VLOOKUP('Ago-24'!$F12,Lista_CUIT!$A$1:$D$2241,4,0)),"CUIT NO CARGADO")</f>
        <v>0</v>
      </c>
      <c r="S12" s="10">
        <v>124420.66</v>
      </c>
      <c r="T12" s="147">
        <f>'Ago-24'!$P12-'Ago-24'!$S12</f>
        <v>-2.0999999978812411E-3</v>
      </c>
      <c r="U12" s="10"/>
      <c r="V12" s="10"/>
      <c r="W12" s="10"/>
      <c r="X12" s="10"/>
      <c r="Y12" s="10"/>
      <c r="Z12" s="10"/>
    </row>
    <row r="13" spans="1:26" ht="14.4" x14ac:dyDescent="0.3">
      <c r="A13" s="10"/>
      <c r="B13" s="113" t="s">
        <v>1416</v>
      </c>
      <c r="C13" s="139">
        <v>1</v>
      </c>
      <c r="D13" s="140">
        <v>3</v>
      </c>
      <c r="E13" s="119">
        <v>777</v>
      </c>
      <c r="F13" s="141">
        <v>30715402765</v>
      </c>
      <c r="G13" s="134" t="str">
        <f>IFERROR(IF('Ago-24'!$F13="","-",VLOOKUP('Ago-24'!$F13,Lista_CUIT!$A$1:$D$2241,2,0)),"CUIT NO CARGADO")</f>
        <v>RIO 265 S.R.L.</v>
      </c>
      <c r="H13" s="142">
        <v>61983.48</v>
      </c>
      <c r="I13" s="143">
        <f>IF('Ago-24'!$H13="","",'Ago-24'!$H13*0.21)</f>
        <v>13016.5308</v>
      </c>
      <c r="J13" s="143"/>
      <c r="K13" s="143"/>
      <c r="L13" s="143"/>
      <c r="M13" s="143"/>
      <c r="N13" s="143"/>
      <c r="O13" s="143"/>
      <c r="P13" s="135">
        <f>SUM('Ago-24'!$H13:$O13)</f>
        <v>75000.010800000004</v>
      </c>
      <c r="Q13" s="144" t="str">
        <f>IFERROR(IF('Ago-24'!$F13="","-",VLOOKUP('Ago-24'!$F13,Lista_CUIT!$A$1:$D$2241,3,0)),"CUIT NO CARGADO")</f>
        <v>GASTOS VARIOS</v>
      </c>
      <c r="R13" s="144">
        <f>IFERROR(IF('Ago-24'!$F13="","-",VLOOKUP('Ago-24'!$F13,Lista_CUIT!$A$1:$D$2241,4,0)),"CUIT NO CARGADO")</f>
        <v>0</v>
      </c>
      <c r="S13" s="10">
        <v>75000.009999999995</v>
      </c>
      <c r="T13" s="147">
        <f>'Ago-24'!$P13-'Ago-24'!$S13</f>
        <v>8.0000000889413059E-4</v>
      </c>
      <c r="U13" s="10"/>
      <c r="V13" s="10"/>
      <c r="W13" s="10"/>
      <c r="X13" s="10"/>
      <c r="Y13" s="10"/>
      <c r="Z13" s="10"/>
    </row>
    <row r="14" spans="1:26" ht="14.4" x14ac:dyDescent="0.3">
      <c r="A14" s="10"/>
      <c r="B14" s="113" t="s">
        <v>1417</v>
      </c>
      <c r="C14" s="139">
        <v>1</v>
      </c>
      <c r="D14" s="140">
        <v>1</v>
      </c>
      <c r="E14" s="119">
        <v>838</v>
      </c>
      <c r="F14" s="141">
        <v>30715048066</v>
      </c>
      <c r="G14" s="134" t="str">
        <f>IFERROR(IF('Ago-24'!$F14="","-",VLOOKUP('Ago-24'!$F14,Lista_CUIT!$A$1:$D$2241,2,0)),"CUIT NO CARGADO")</f>
        <v>ROLLS Y EMPANADAS SA</v>
      </c>
      <c r="H14" s="142">
        <v>753210</v>
      </c>
      <c r="I14" s="143">
        <f>IF('Ago-24'!$H14="","",'Ago-24'!$H14*0.21)</f>
        <v>158174.1</v>
      </c>
      <c r="J14" s="143"/>
      <c r="K14" s="143"/>
      <c r="L14" s="143"/>
      <c r="M14" s="143"/>
      <c r="N14" s="143"/>
      <c r="O14" s="143"/>
      <c r="P14" s="135">
        <f>SUM('Ago-24'!$H14:$O14)</f>
        <v>911384.1</v>
      </c>
      <c r="Q14" s="144" t="str">
        <f>IFERROR(IF('Ago-24'!$F14="","-",VLOOKUP('Ago-24'!$F14,Lista_CUIT!$A$1:$D$2241,3,0)),"CUIT NO CARGADO")</f>
        <v>CATERING</v>
      </c>
      <c r="R14" s="144">
        <f>IFERROR(IF('Ago-24'!$F14="","-",VLOOKUP('Ago-24'!$F14,Lista_CUIT!$A$1:$D$2241,4,0)),"CUIT NO CARGADO")</f>
        <v>0</v>
      </c>
      <c r="S14" s="10">
        <v>911384.1</v>
      </c>
      <c r="T14" s="147">
        <f>'Ago-24'!$P14-'Ago-24'!$S14</f>
        <v>0</v>
      </c>
      <c r="U14" s="10"/>
      <c r="V14" s="10"/>
      <c r="W14" s="10"/>
      <c r="X14" s="10"/>
      <c r="Y14" s="10"/>
      <c r="Z14" s="10"/>
    </row>
    <row r="15" spans="1:26" ht="14.4" x14ac:dyDescent="0.3">
      <c r="A15" s="10"/>
      <c r="B15" s="113" t="s">
        <v>1418</v>
      </c>
      <c r="C15" s="139">
        <v>1</v>
      </c>
      <c r="D15" s="140">
        <v>4</v>
      </c>
      <c r="E15" s="119">
        <v>1654</v>
      </c>
      <c r="F15" s="141">
        <v>20268897721</v>
      </c>
      <c r="G15" s="134" t="str">
        <f>IFERROR(IF('Ago-24'!$F15="","-",VLOOKUP('Ago-24'!$F15,Lista_CUIT!$A$1:$D$2241,2,0)),"CUIT NO CARGADO")</f>
        <v>BAIGORRIA DIEGO JORGE</v>
      </c>
      <c r="H15" s="142">
        <v>30316.74</v>
      </c>
      <c r="I15" s="143"/>
      <c r="J15" s="143"/>
      <c r="K15" s="143">
        <f>'Ago-24'!$H15*0.105</f>
        <v>3183.2577000000001</v>
      </c>
      <c r="L15" s="143"/>
      <c r="M15" s="143"/>
      <c r="N15" s="143"/>
      <c r="O15" s="143"/>
      <c r="P15" s="135">
        <f>SUM('Ago-24'!$H15:$O15)</f>
        <v>33499.9977</v>
      </c>
      <c r="Q15" s="144" t="str">
        <f>IFERROR(IF('Ago-24'!$F15="","-",VLOOKUP('Ago-24'!$F15,Lista_CUIT!$A$1:$D$2241,3,0)),"CUIT NO CARGADO")</f>
        <v>Software Mantenimiento</v>
      </c>
      <c r="R15" s="144">
        <f>IFERROR(IF('Ago-24'!$F15="","-",VLOOKUP('Ago-24'!$F15,Lista_CUIT!$A$1:$D$2241,4,0)),"CUIT NO CARGADO")</f>
        <v>0</v>
      </c>
      <c r="S15" s="10">
        <v>33500</v>
      </c>
      <c r="T15" s="147">
        <f>'Ago-24'!$P15-'Ago-24'!$S15</f>
        <v>-2.3000000001047738E-3</v>
      </c>
      <c r="U15" s="10"/>
      <c r="V15" s="10"/>
      <c r="W15" s="10"/>
      <c r="X15" s="10"/>
      <c r="Y15" s="10"/>
      <c r="Z15" s="10"/>
    </row>
    <row r="16" spans="1:26" ht="14.4" x14ac:dyDescent="0.3">
      <c r="A16" s="10"/>
      <c r="B16" s="113" t="s">
        <v>1419</v>
      </c>
      <c r="C16" s="139">
        <v>1</v>
      </c>
      <c r="D16" s="140">
        <v>5</v>
      </c>
      <c r="E16" s="119">
        <v>2000</v>
      </c>
      <c r="F16" s="141">
        <v>20243751544</v>
      </c>
      <c r="G16" s="134" t="str">
        <f>IFERROR(IF('Ago-24'!$F16="","-",VLOOKUP('Ago-24'!$F16,Lista_CUIT!$A$1:$D$2241,2,0)),"CUIT NO CARGADO")</f>
        <v>BALDYGA MARTIN OSCAR</v>
      </c>
      <c r="H16" s="142">
        <v>33016.53</v>
      </c>
      <c r="I16" s="143">
        <f>IF('Ago-24'!$H16="","",'Ago-24'!$H16*0.21)</f>
        <v>6933.4712999999992</v>
      </c>
      <c r="J16" s="143"/>
      <c r="K16" s="143"/>
      <c r="L16" s="143"/>
      <c r="M16" s="143"/>
      <c r="N16" s="143"/>
      <c r="O16" s="143"/>
      <c r="P16" s="135">
        <f>SUM('Ago-24'!$H16:$O16)</f>
        <v>39950.001299999996</v>
      </c>
      <c r="Q16" s="144" t="str">
        <f>IFERROR(IF('Ago-24'!$F16="","-",VLOOKUP('Ago-24'!$F16,Lista_CUIT!$A$1:$D$2241,3,0)),"CUIT NO CARGADO")</f>
        <v>GASTOS VARIOS</v>
      </c>
      <c r="R16" s="144">
        <f>IFERROR(IF('Ago-24'!$F16="","-",VLOOKUP('Ago-24'!$F16,Lista_CUIT!$A$1:$D$2241,4,0)),"CUIT NO CARGADO")</f>
        <v>0</v>
      </c>
      <c r="S16" s="10">
        <v>39950</v>
      </c>
      <c r="T16" s="147">
        <f>'Ago-24'!$P16-'Ago-24'!$S16</f>
        <v>1.2999999962630682E-3</v>
      </c>
      <c r="U16" s="10"/>
      <c r="V16" s="10"/>
      <c r="W16" s="10"/>
      <c r="X16" s="10"/>
      <c r="Y16" s="10"/>
      <c r="Z16" s="10"/>
    </row>
    <row r="17" spans="1:26" ht="14.4" x14ac:dyDescent="0.3">
      <c r="A17" s="10"/>
      <c r="B17" s="113" t="s">
        <v>1420</v>
      </c>
      <c r="C17" s="139">
        <v>1</v>
      </c>
      <c r="D17" s="140">
        <v>3</v>
      </c>
      <c r="E17" s="119">
        <v>2804</v>
      </c>
      <c r="F17" s="141">
        <v>33717740519</v>
      </c>
      <c r="G17" s="134" t="str">
        <f>IFERROR(IF('Ago-24'!$F17="","-",VLOOKUP('Ago-24'!$F17,Lista_CUIT!$A$1:$D$2241,2,0)),"CUIT NO CARGADO")</f>
        <v>DIMALACK S.R.L.</v>
      </c>
      <c r="H17" s="142">
        <v>20039.96</v>
      </c>
      <c r="I17" s="143">
        <f>IF('Ago-24'!$H17="","",'Ago-24'!$H17*0.21)</f>
        <v>4208.3915999999999</v>
      </c>
      <c r="J17" s="143"/>
      <c r="K17" s="143"/>
      <c r="L17" s="143"/>
      <c r="M17" s="143"/>
      <c r="N17" s="143"/>
      <c r="O17" s="143"/>
      <c r="P17" s="135">
        <f>SUM('Ago-24'!$H17:$O17)</f>
        <v>24248.351599999998</v>
      </c>
      <c r="Q17" s="144" t="str">
        <f>IFERROR(IF('Ago-24'!$F17="","-",VLOOKUP('Ago-24'!$F17,Lista_CUIT!$A$1:$D$2241,3,0)),"CUIT NO CARGADO")</f>
        <v>Ropa de Trabajo</v>
      </c>
      <c r="R17" s="144">
        <f>IFERROR(IF('Ago-24'!$F17="","-",VLOOKUP('Ago-24'!$F17,Lista_CUIT!$A$1:$D$2241,4,0)),"CUIT NO CARGADO")</f>
        <v>0</v>
      </c>
      <c r="S17" s="10">
        <v>24248.35</v>
      </c>
      <c r="T17" s="147">
        <f>'Ago-24'!$P17-'Ago-24'!$S17</f>
        <v>1.5999999995983671E-3</v>
      </c>
      <c r="U17" s="10"/>
      <c r="V17" s="10"/>
      <c r="W17" s="10"/>
      <c r="X17" s="10"/>
      <c r="Y17" s="10"/>
      <c r="Z17" s="10"/>
    </row>
    <row r="18" spans="1:26" ht="14.4" x14ac:dyDescent="0.3">
      <c r="A18" s="10"/>
      <c r="B18" s="113" t="s">
        <v>1419</v>
      </c>
      <c r="C18" s="139">
        <v>1</v>
      </c>
      <c r="D18" s="140">
        <v>2</v>
      </c>
      <c r="E18" s="119">
        <v>2833</v>
      </c>
      <c r="F18" s="141">
        <v>30709131733</v>
      </c>
      <c r="G18" s="134" t="str">
        <f>IFERROR(IF('Ago-24'!$F18="","-",VLOOKUP('Ago-24'!$F18,Lista_CUIT!$A$1:$D$2241,2,0)),"CUIT NO CARGADO")</f>
        <v>DIGAS SRL</v>
      </c>
      <c r="H18" s="142">
        <v>3141683</v>
      </c>
      <c r="I18" s="143">
        <f>IF('Ago-24'!$H18="","",'Ago-24'!$H18*0.21)</f>
        <v>659753.42999999993</v>
      </c>
      <c r="J18" s="143"/>
      <c r="K18" s="143"/>
      <c r="L18" s="143"/>
      <c r="M18" s="143"/>
      <c r="N18" s="143"/>
      <c r="O18" s="143"/>
      <c r="P18" s="135">
        <f>SUM('Ago-24'!$H18:$O18)</f>
        <v>3801436.4299999997</v>
      </c>
      <c r="Q18" s="144" t="str">
        <f>IFERROR(IF('Ago-24'!$F18="","-",VLOOKUP('Ago-24'!$F18,Lista_CUIT!$A$1:$D$2241,3,0)),"CUIT NO CARGADO")</f>
        <v>INSUMO</v>
      </c>
      <c r="R18" s="144">
        <f>IFERROR(IF('Ago-24'!$F18="","-",VLOOKUP('Ago-24'!$F18,Lista_CUIT!$A$1:$D$2241,4,0)),"CUIT NO CARGADO")</f>
        <v>0</v>
      </c>
      <c r="S18" s="10">
        <v>3801436.43</v>
      </c>
      <c r="T18" s="147">
        <f>'Ago-24'!$P18-'Ago-24'!$S18</f>
        <v>0</v>
      </c>
      <c r="U18" s="10"/>
      <c r="V18" s="10"/>
      <c r="W18" s="10"/>
      <c r="X18" s="10"/>
      <c r="Y18" s="10"/>
      <c r="Z18" s="10"/>
    </row>
    <row r="19" spans="1:26" ht="14.4" x14ac:dyDescent="0.3">
      <c r="A19" s="10"/>
      <c r="B19" s="113" t="s">
        <v>1421</v>
      </c>
      <c r="C19" s="139">
        <v>1</v>
      </c>
      <c r="D19" s="140">
        <v>3</v>
      </c>
      <c r="E19" s="119">
        <v>3474</v>
      </c>
      <c r="F19" s="141">
        <v>27214660097</v>
      </c>
      <c r="G19" s="134" t="str">
        <f>IFERROR(IF('Ago-24'!$F19="","-",VLOOKUP('Ago-24'!$F19,Lista_CUIT!$A$1:$D$2241,2,0)),"CUIT NO CARGADO")</f>
        <v>D ANGELO ANDREA FABIANA</v>
      </c>
      <c r="H19" s="142">
        <v>441211</v>
      </c>
      <c r="I19" s="143">
        <f>IF('Ago-24'!$H19="","",'Ago-24'!$H19*0.21)</f>
        <v>92654.31</v>
      </c>
      <c r="J19" s="143"/>
      <c r="K19" s="143"/>
      <c r="L19" s="143"/>
      <c r="M19" s="143"/>
      <c r="N19" s="143"/>
      <c r="O19" s="143"/>
      <c r="P19" s="135">
        <f>SUM('Ago-24'!$H19:$O19)</f>
        <v>533865.31000000006</v>
      </c>
      <c r="Q19" s="144" t="str">
        <f>IFERROR(IF('Ago-24'!$F19="","-",VLOOKUP('Ago-24'!$F19,Lista_CUIT!$A$1:$D$2241,3,0)),"CUIT NO CARGADO")</f>
        <v>Honorarios Prof</v>
      </c>
      <c r="R19" s="144">
        <f>IFERROR(IF('Ago-24'!$F19="","-",VLOOKUP('Ago-24'!$F19,Lista_CUIT!$A$1:$D$2241,4,0)),"CUIT NO CARGADO")</f>
        <v>0</v>
      </c>
      <c r="S19" s="10">
        <v>533865.31000000006</v>
      </c>
      <c r="T19" s="147">
        <f>'Ago-24'!$P19-'Ago-24'!$S19</f>
        <v>0</v>
      </c>
      <c r="U19" s="10"/>
      <c r="V19" s="10"/>
      <c r="W19" s="10"/>
      <c r="X19" s="10"/>
      <c r="Y19" s="10"/>
      <c r="Z19" s="10"/>
    </row>
    <row r="20" spans="1:26" ht="14.4" x14ac:dyDescent="0.3">
      <c r="A20" s="10"/>
      <c r="B20" s="113" t="s">
        <v>1420</v>
      </c>
      <c r="C20" s="139">
        <v>1</v>
      </c>
      <c r="D20" s="140">
        <v>9</v>
      </c>
      <c r="E20" s="119">
        <v>4889</v>
      </c>
      <c r="F20" s="141">
        <v>30693449525</v>
      </c>
      <c r="G20" s="134" t="str">
        <f>IFERROR(IF('Ago-24'!$F20="","-",VLOOKUP('Ago-24'!$F20,Lista_CUIT!$A$1:$D$2241,2,0)),"CUIT NO CARGADO")</f>
        <v>PHONEMARK S R L</v>
      </c>
      <c r="H20" s="142">
        <v>27965.24</v>
      </c>
      <c r="I20" s="143">
        <f>IF('Ago-24'!$H20="","",'Ago-24'!$H20*0.21)</f>
        <v>5872.7003999999997</v>
      </c>
      <c r="J20" s="143"/>
      <c r="K20" s="143"/>
      <c r="L20" s="143"/>
      <c r="M20" s="143"/>
      <c r="N20" s="143"/>
      <c r="O20" s="143"/>
      <c r="P20" s="135">
        <f>SUM('Ago-24'!$H20:$O20)</f>
        <v>33837.940399999999</v>
      </c>
      <c r="Q20" s="144" t="str">
        <f>IFERROR(IF('Ago-24'!$F20="","-",VLOOKUP('Ago-24'!$F20,Lista_CUIT!$A$1:$D$2241,3,0)),"CUIT NO CARGADO")</f>
        <v>GASTOS VARIOS</v>
      </c>
      <c r="R20" s="144">
        <f>IFERROR(IF('Ago-24'!$F20="","-",VLOOKUP('Ago-24'!$F20,Lista_CUIT!$A$1:$D$2241,4,0)),"CUIT NO CARGADO")</f>
        <v>0</v>
      </c>
      <c r="S20" s="10">
        <v>33837.94</v>
      </c>
      <c r="T20" s="147">
        <f>'Ago-24'!$P20-'Ago-24'!$S20</f>
        <v>3.9999999717110768E-4</v>
      </c>
      <c r="U20" s="10"/>
      <c r="V20" s="10"/>
      <c r="W20" s="10"/>
      <c r="X20" s="10"/>
      <c r="Y20" s="10"/>
      <c r="Z20" s="10"/>
    </row>
    <row r="21" spans="1:26" ht="15.75" customHeight="1" x14ac:dyDescent="0.3">
      <c r="A21" s="10"/>
      <c r="B21" s="113" t="s">
        <v>1422</v>
      </c>
      <c r="C21" s="139">
        <v>1</v>
      </c>
      <c r="D21" s="140">
        <v>7</v>
      </c>
      <c r="E21" s="119">
        <v>5413</v>
      </c>
      <c r="F21" s="141">
        <v>30685776215</v>
      </c>
      <c r="G21" s="134" t="str">
        <f>IFERROR(IF('Ago-24'!$F21="","-",VLOOKUP('Ago-24'!$F21,Lista_CUIT!$A$1:$D$2241,2,0)),"CUIT NO CARGADO")</f>
        <v>BULCOR SRL</v>
      </c>
      <c r="H21" s="142">
        <v>5076.04</v>
      </c>
      <c r="I21" s="143">
        <f>IF('Ago-24'!$H21="","",'Ago-24'!$H21*0.21)</f>
        <v>1065.9684</v>
      </c>
      <c r="J21" s="143"/>
      <c r="K21" s="143"/>
      <c r="L21" s="143"/>
      <c r="M21" s="143"/>
      <c r="N21" s="143"/>
      <c r="O21" s="143"/>
      <c r="P21" s="135">
        <f>SUM('Ago-24'!$H21:$O21)</f>
        <v>6142.0083999999997</v>
      </c>
      <c r="Q21" s="144" t="str">
        <f>IFERROR(IF('Ago-24'!$F21="","-",VLOOKUP('Ago-24'!$F21,Lista_CUIT!$A$1:$D$2241,3,0)),"CUIT NO CARGADO")</f>
        <v>INSUMO</v>
      </c>
      <c r="R21" s="144">
        <f>IFERROR(IF('Ago-24'!$F21="","-",VLOOKUP('Ago-24'!$F21,Lista_CUIT!$A$1:$D$2241,4,0)),"CUIT NO CARGADO")</f>
        <v>0</v>
      </c>
      <c r="S21" s="10">
        <v>6142.01</v>
      </c>
      <c r="T21" s="147">
        <f>'Ago-24'!$P21-'Ago-24'!$S21</f>
        <v>-1.6000000005078618E-3</v>
      </c>
      <c r="U21" s="10"/>
      <c r="V21" s="10"/>
      <c r="W21" s="10"/>
      <c r="X21" s="10"/>
      <c r="Y21" s="10"/>
      <c r="Z21" s="10"/>
    </row>
    <row r="22" spans="1:26" ht="15.75" customHeight="1" x14ac:dyDescent="0.3">
      <c r="A22" s="10"/>
      <c r="B22" s="113" t="s">
        <v>1423</v>
      </c>
      <c r="C22" s="139">
        <v>1</v>
      </c>
      <c r="D22" s="140">
        <v>3</v>
      </c>
      <c r="E22" s="119">
        <v>12030</v>
      </c>
      <c r="F22" s="141">
        <v>20293627127</v>
      </c>
      <c r="G22" s="134" t="str">
        <f>IFERROR(IF('Ago-24'!$F22="","-",VLOOKUP('Ago-24'!$F22,Lista_CUIT!$A$1:$D$2241,2,0)),"CUIT NO CARGADO")</f>
        <v>GONZALEZ FERNANDO ARIEL</v>
      </c>
      <c r="H22" s="142">
        <v>29493.43</v>
      </c>
      <c r="I22" s="143">
        <f>IF('Ago-24'!$H22="","",'Ago-24'!$H22*0.21)</f>
        <v>6193.6202999999996</v>
      </c>
      <c r="J22" s="143"/>
      <c r="K22" s="143"/>
      <c r="L22" s="143"/>
      <c r="M22" s="143"/>
      <c r="N22" s="143"/>
      <c r="O22" s="143"/>
      <c r="P22" s="135">
        <f>SUM('Ago-24'!$H22:$O22)</f>
        <v>35687.050300000003</v>
      </c>
      <c r="Q22" s="144" t="str">
        <f>IFERROR(IF('Ago-24'!$F22="","-",VLOOKUP('Ago-24'!$F22,Lista_CUIT!$A$1:$D$2241,3,0)),"CUIT NO CARGADO")</f>
        <v>GASTOS VARIOS</v>
      </c>
      <c r="R22" s="144">
        <f>IFERROR(IF('Ago-24'!$F22="","-",VLOOKUP('Ago-24'!$F22,Lista_CUIT!$A$1:$D$2241,4,0)),"CUIT NO CARGADO")</f>
        <v>0</v>
      </c>
      <c r="S22" s="10">
        <v>35687.050000000003</v>
      </c>
      <c r="T22" s="147">
        <f>'Ago-24'!$P22-'Ago-24'!$S22</f>
        <v>2.9999999969732016E-4</v>
      </c>
      <c r="U22" s="10"/>
      <c r="V22" s="10"/>
      <c r="W22" s="10"/>
      <c r="X22" s="10"/>
      <c r="Y22" s="10"/>
      <c r="Z22" s="10"/>
    </row>
    <row r="23" spans="1:26" ht="15.75" customHeight="1" x14ac:dyDescent="0.3">
      <c r="A23" s="10"/>
      <c r="B23" s="113" t="s">
        <v>1423</v>
      </c>
      <c r="C23" s="139">
        <v>1</v>
      </c>
      <c r="D23" s="140">
        <v>15</v>
      </c>
      <c r="E23" s="119">
        <v>13004</v>
      </c>
      <c r="F23" s="141">
        <v>30708003316</v>
      </c>
      <c r="G23" s="134" t="str">
        <f>IFERROR(IF('Ago-24'!$F23="","-",VLOOKUP('Ago-24'!$F23,Lista_CUIT!$A$1:$D$2241,2,0)),"CUIT NO CARGADO")</f>
        <v>LOMIR SA</v>
      </c>
      <c r="H23" s="142">
        <v>5751.35</v>
      </c>
      <c r="I23" s="143">
        <f>IF('Ago-24'!$H23="","",'Ago-24'!$H23*0.21)</f>
        <v>1207.7835</v>
      </c>
      <c r="J23" s="143"/>
      <c r="K23" s="143"/>
      <c r="L23" s="143"/>
      <c r="M23" s="143"/>
      <c r="N23" s="143"/>
      <c r="O23" s="143"/>
      <c r="P23" s="135">
        <f>SUM('Ago-24'!$H23:$O23)</f>
        <v>6959.1334999999999</v>
      </c>
      <c r="Q23" s="144" t="str">
        <f>IFERROR(IF('Ago-24'!$F23="","-",VLOOKUP('Ago-24'!$F23,Lista_CUIT!$A$1:$D$2241,3,0)),"CUIT NO CARGADO")</f>
        <v>Seg e Higiene</v>
      </c>
      <c r="R23" s="144">
        <f>IFERROR(IF('Ago-24'!$F23="","-",VLOOKUP('Ago-24'!$F23,Lista_CUIT!$A$1:$D$2241,4,0)),"CUIT NO CARGADO")</f>
        <v>0</v>
      </c>
      <c r="S23" s="10">
        <v>6959.13</v>
      </c>
      <c r="T23" s="147">
        <f>'Ago-24'!$P23-'Ago-24'!$S23</f>
        <v>3.4999999998035491E-3</v>
      </c>
      <c r="U23" s="10"/>
      <c r="V23" s="10"/>
      <c r="W23" s="10"/>
      <c r="X23" s="10"/>
      <c r="Y23" s="10"/>
      <c r="Z23" s="10"/>
    </row>
    <row r="24" spans="1:26" ht="15.75" customHeight="1" x14ac:dyDescent="0.3">
      <c r="A24" s="10"/>
      <c r="B24" s="113" t="s">
        <v>1420</v>
      </c>
      <c r="C24" s="139">
        <v>1</v>
      </c>
      <c r="D24" s="140">
        <v>6</v>
      </c>
      <c r="E24" s="119">
        <v>15564</v>
      </c>
      <c r="F24" s="141">
        <v>30707756434</v>
      </c>
      <c r="G24" s="134" t="str">
        <f>IFERROR(IF('Ago-24'!$F24="","-",VLOOKUP('Ago-24'!$F24,Lista_CUIT!$A$1:$D$2241,2,0)),"CUIT NO CARGADO")</f>
        <v>SERVICIO INTEGRAL DE LIMPIEZA SRL</v>
      </c>
      <c r="H24" s="142">
        <v>276000</v>
      </c>
      <c r="I24" s="143">
        <f>IF('Ago-24'!$H24="","",'Ago-24'!$H24*0.21)</f>
        <v>57960</v>
      </c>
      <c r="J24" s="143"/>
      <c r="K24" s="143"/>
      <c r="L24" s="143"/>
      <c r="M24" s="143"/>
      <c r="N24" s="143"/>
      <c r="O24" s="143"/>
      <c r="P24" s="135">
        <f>SUM('Ago-24'!$H24:$O24)</f>
        <v>333960</v>
      </c>
      <c r="Q24" s="144" t="str">
        <f>IFERROR(IF('Ago-24'!$F24="","-",VLOOKUP('Ago-24'!$F24,Lista_CUIT!$A$1:$D$2241,3,0)),"CUIT NO CARGADO")</f>
        <v>Mantenimiento</v>
      </c>
      <c r="R24" s="144">
        <f>IFERROR(IF('Ago-24'!$F24="","-",VLOOKUP('Ago-24'!$F24,Lista_CUIT!$A$1:$D$2241,4,0)),"CUIT NO CARGADO")</f>
        <v>0</v>
      </c>
      <c r="S24" s="10">
        <v>333960</v>
      </c>
      <c r="T24" s="147">
        <f>'Ago-24'!$P24-'Ago-24'!$S24</f>
        <v>0</v>
      </c>
      <c r="U24" s="10"/>
      <c r="V24" s="10"/>
      <c r="W24" s="10"/>
      <c r="X24" s="10"/>
      <c r="Y24" s="10"/>
      <c r="Z24" s="10"/>
    </row>
    <row r="25" spans="1:26" ht="15.75" customHeight="1" x14ac:dyDescent="0.3">
      <c r="A25" s="10"/>
      <c r="B25" s="113" t="s">
        <v>1424</v>
      </c>
      <c r="C25" s="139">
        <v>1</v>
      </c>
      <c r="D25" s="140">
        <v>9</v>
      </c>
      <c r="E25" s="119">
        <v>16561</v>
      </c>
      <c r="F25" s="141">
        <v>30708573279</v>
      </c>
      <c r="G25" s="134" t="str">
        <f>IFERROR(IF('Ago-24'!$F25="","-",VLOOKUP('Ago-24'!$F25,Lista_CUIT!$A$1:$D$2241,2,0)),"CUIT NO CARGADO")</f>
        <v>BOTIX SRL</v>
      </c>
      <c r="H25" s="142">
        <v>12839.45</v>
      </c>
      <c r="I25" s="143">
        <f>IF('Ago-24'!$H25="","",'Ago-24'!$H25*0.21)</f>
        <v>2696.2845000000002</v>
      </c>
      <c r="J25" s="143"/>
      <c r="K25" s="143"/>
      <c r="L25" s="143"/>
      <c r="M25" s="143"/>
      <c r="N25" s="143"/>
      <c r="O25" s="143"/>
      <c r="P25" s="135">
        <f>SUM('Ago-24'!$H25:$O25)</f>
        <v>15535.7345</v>
      </c>
      <c r="Q25" s="144" t="str">
        <f>IFERROR(IF('Ago-24'!$F25="","-",VLOOKUP('Ago-24'!$F25,Lista_CUIT!$A$1:$D$2241,3,0)),"CUIT NO CARGADO")</f>
        <v>INSUMO</v>
      </c>
      <c r="R25" s="144">
        <f>IFERROR(IF('Ago-24'!$F25="","-",VLOOKUP('Ago-24'!$F25,Lista_CUIT!$A$1:$D$2241,4,0)),"CUIT NO CARGADO")</f>
        <v>0</v>
      </c>
      <c r="S25" s="10">
        <v>15535.74</v>
      </c>
      <c r="T25" s="147">
        <f>'Ago-24'!$P25-'Ago-24'!$S25</f>
        <v>-5.4999999993015081E-3</v>
      </c>
      <c r="U25" s="10"/>
      <c r="V25" s="10"/>
      <c r="W25" s="10"/>
      <c r="X25" s="10"/>
      <c r="Y25" s="10"/>
      <c r="Z25" s="10"/>
    </row>
    <row r="26" spans="1:26" ht="15.75" customHeight="1" x14ac:dyDescent="0.3">
      <c r="A26" s="10"/>
      <c r="B26" s="113" t="s">
        <v>1422</v>
      </c>
      <c r="C26" s="139">
        <v>1</v>
      </c>
      <c r="D26" s="140">
        <v>2</v>
      </c>
      <c r="E26" s="119">
        <v>16635</v>
      </c>
      <c r="F26" s="141">
        <v>20103565309</v>
      </c>
      <c r="G26" s="134" t="str">
        <f>IFERROR(IF('Ago-24'!$F26="","-",VLOOKUP('Ago-24'!$F26,Lista_CUIT!$A$1:$D$2241,2,0)),"CUIT NO CARGADO")</f>
        <v>CASATI ENRIQUE ARIEL</v>
      </c>
      <c r="H26" s="142">
        <v>874574.95</v>
      </c>
      <c r="I26" s="143">
        <f>IF('Ago-24'!$H26="","",'Ago-24'!$H26*0.21)</f>
        <v>183660.7395</v>
      </c>
      <c r="J26" s="143"/>
      <c r="K26" s="143"/>
      <c r="L26" s="143"/>
      <c r="M26" s="143"/>
      <c r="N26" s="143"/>
      <c r="O26" s="143"/>
      <c r="P26" s="135">
        <f>SUM('Ago-24'!$H26:$O26)</f>
        <v>1058235.6894999999</v>
      </c>
      <c r="Q26" s="144" t="str">
        <f>IFERROR(IF('Ago-24'!$F26="","-",VLOOKUP('Ago-24'!$F26,Lista_CUIT!$A$1:$D$2241,3,0)),"CUIT NO CARGADO")</f>
        <v>Papeleria</v>
      </c>
      <c r="R26" s="144">
        <f>IFERROR(IF('Ago-24'!$F26="","-",VLOOKUP('Ago-24'!$F26,Lista_CUIT!$A$1:$D$2241,4,0)),"CUIT NO CARGADO")</f>
        <v>0</v>
      </c>
      <c r="S26" s="10">
        <v>1058235.7</v>
      </c>
      <c r="T26" s="147">
        <f>'Ago-24'!$P26-'Ago-24'!$S26</f>
        <v>-1.0500000091269612E-2</v>
      </c>
      <c r="U26" s="10"/>
      <c r="V26" s="10"/>
      <c r="W26" s="10"/>
      <c r="X26" s="10"/>
      <c r="Y26" s="10"/>
      <c r="Z26" s="10"/>
    </row>
    <row r="27" spans="1:26" ht="15.75" customHeight="1" x14ac:dyDescent="0.3">
      <c r="A27" s="10"/>
      <c r="B27" s="113" t="s">
        <v>1418</v>
      </c>
      <c r="C27" s="139">
        <v>1</v>
      </c>
      <c r="D27" s="140">
        <v>9</v>
      </c>
      <c r="E27" s="119">
        <v>17357</v>
      </c>
      <c r="F27" s="141">
        <v>30641121521</v>
      </c>
      <c r="G27" s="134" t="str">
        <f>IFERROR(IF('Ago-24'!$F27="","-",VLOOKUP('Ago-24'!$F27,Lista_CUIT!$A$1:$D$2241,2,0)),"CUIT NO CARGADO")</f>
        <v>PATERNAL S R L</v>
      </c>
      <c r="H27" s="142">
        <v>17279.34</v>
      </c>
      <c r="I27" s="143">
        <f>IF('Ago-24'!$H27="","",'Ago-24'!$H27*0.21)</f>
        <v>3628.6614</v>
      </c>
      <c r="J27" s="143"/>
      <c r="K27" s="143"/>
      <c r="L27" s="143"/>
      <c r="M27" s="143"/>
      <c r="N27" s="143"/>
      <c r="O27" s="143"/>
      <c r="P27" s="135">
        <f>SUM('Ago-24'!$H27:$O27)</f>
        <v>20908.001400000001</v>
      </c>
      <c r="Q27" s="144" t="str">
        <f>IFERROR(IF('Ago-24'!$F27="","-",VLOOKUP('Ago-24'!$F27,Lista_CUIT!$A$1:$D$2241,3,0)),"CUIT NO CARGADO")</f>
        <v>INSUMO</v>
      </c>
      <c r="R27" s="144">
        <f>IFERROR(IF('Ago-24'!$F27="","-",VLOOKUP('Ago-24'!$F27,Lista_CUIT!$A$1:$D$2241,4,0)),"CUIT NO CARGADO")</f>
        <v>0</v>
      </c>
      <c r="S27" s="10">
        <v>20908</v>
      </c>
      <c r="T27" s="147">
        <f>'Ago-24'!$P27-'Ago-24'!$S27</f>
        <v>1.4000000010128133E-3</v>
      </c>
      <c r="U27" s="10"/>
      <c r="V27" s="10"/>
      <c r="W27" s="10"/>
      <c r="X27" s="10"/>
      <c r="Y27" s="10"/>
      <c r="Z27" s="10"/>
    </row>
    <row r="28" spans="1:26" ht="15.75" customHeight="1" x14ac:dyDescent="0.3">
      <c r="A28" s="10"/>
      <c r="B28" s="113" t="s">
        <v>1412</v>
      </c>
      <c r="C28" s="139">
        <v>1</v>
      </c>
      <c r="D28" s="140">
        <v>7</v>
      </c>
      <c r="E28" s="119">
        <v>24215</v>
      </c>
      <c r="F28" s="141">
        <v>30716661519</v>
      </c>
      <c r="G28" s="134" t="str">
        <f>IFERROR(IF('Ago-24'!$F28="","-",VLOOKUP('Ago-24'!$F28,Lista_CUIT!$A$1:$D$2241,2,0)),"CUIT NO CARGADO")</f>
        <v>KASAMI S.A.</v>
      </c>
      <c r="H28" s="142">
        <v>29436.6</v>
      </c>
      <c r="I28" s="143">
        <f>IF('Ago-24'!$H28="","",'Ago-24'!$H28*0.21)</f>
        <v>6181.6859999999997</v>
      </c>
      <c r="J28" s="143"/>
      <c r="K28" s="143"/>
      <c r="L28" s="143"/>
      <c r="M28" s="143"/>
      <c r="N28" s="143"/>
      <c r="O28" s="143"/>
      <c r="P28" s="135">
        <f>SUM('Ago-24'!$H28:$O28)</f>
        <v>35618.286</v>
      </c>
      <c r="Q28" s="144" t="str">
        <f>IFERROR(IF('Ago-24'!$F28="","-",VLOOKUP('Ago-24'!$F28,Lista_CUIT!$A$1:$D$2241,3,0)),"CUIT NO CARGADO")</f>
        <v>GASTOS VARIOS</v>
      </c>
      <c r="R28" s="144">
        <f>IFERROR(IF('Ago-24'!$F28="","-",VLOOKUP('Ago-24'!$F28,Lista_CUIT!$A$1:$D$2241,4,0)),"CUIT NO CARGADO")</f>
        <v>0</v>
      </c>
      <c r="S28" s="10">
        <v>35618.29</v>
      </c>
      <c r="T28" s="147">
        <f>'Ago-24'!$P28-'Ago-24'!$S28</f>
        <v>-4.0000000008149073E-3</v>
      </c>
      <c r="U28" s="10"/>
      <c r="V28" s="10"/>
      <c r="W28" s="10"/>
      <c r="X28" s="10"/>
      <c r="Y28" s="10"/>
      <c r="Z28" s="10"/>
    </row>
    <row r="29" spans="1:26" ht="15.75" customHeight="1" x14ac:dyDescent="0.3">
      <c r="A29" s="10"/>
      <c r="B29" s="113" t="s">
        <v>1412</v>
      </c>
      <c r="C29" s="139">
        <v>1</v>
      </c>
      <c r="D29" s="140">
        <v>7</v>
      </c>
      <c r="E29" s="119">
        <v>24216</v>
      </c>
      <c r="F29" s="141">
        <v>30716661519</v>
      </c>
      <c r="G29" s="134" t="str">
        <f>IFERROR(IF('Ago-24'!$F29="","-",VLOOKUP('Ago-24'!$F29,Lista_CUIT!$A$1:$D$2241,2,0)),"CUIT NO CARGADO")</f>
        <v>KASAMI S.A.</v>
      </c>
      <c r="H29" s="142">
        <v>29436.6</v>
      </c>
      <c r="I29" s="143">
        <f>IF('Ago-24'!$H29="","",'Ago-24'!$H29*0.21)</f>
        <v>6181.6859999999997</v>
      </c>
      <c r="J29" s="143"/>
      <c r="K29" s="143"/>
      <c r="L29" s="143"/>
      <c r="M29" s="143"/>
      <c r="N29" s="143"/>
      <c r="O29" s="143"/>
      <c r="P29" s="135">
        <f>SUM('Ago-24'!$H29:$O29)</f>
        <v>35618.286</v>
      </c>
      <c r="Q29" s="144" t="str">
        <f>IFERROR(IF('Ago-24'!$F29="","-",VLOOKUP('Ago-24'!$F29,Lista_CUIT!$A$1:$D$2241,3,0)),"CUIT NO CARGADO")</f>
        <v>GASTOS VARIOS</v>
      </c>
      <c r="R29" s="144">
        <f>IFERROR(IF('Ago-24'!$F29="","-",VLOOKUP('Ago-24'!$F29,Lista_CUIT!$A$1:$D$2241,4,0)),"CUIT NO CARGADO")</f>
        <v>0</v>
      </c>
      <c r="S29" s="10">
        <v>35618.29</v>
      </c>
      <c r="T29" s="147">
        <f>'Ago-24'!$P29-'Ago-24'!$S29</f>
        <v>-4.0000000008149073E-3</v>
      </c>
      <c r="U29" s="10"/>
      <c r="V29" s="10"/>
      <c r="W29" s="10"/>
      <c r="X29" s="10"/>
      <c r="Y29" s="10"/>
      <c r="Z29" s="10"/>
    </row>
    <row r="30" spans="1:26" ht="15.75" customHeight="1" x14ac:dyDescent="0.3">
      <c r="A30" s="10"/>
      <c r="B30" s="113" t="s">
        <v>1423</v>
      </c>
      <c r="C30" s="139">
        <v>1</v>
      </c>
      <c r="D30" s="140">
        <v>8</v>
      </c>
      <c r="E30" s="119">
        <v>28816</v>
      </c>
      <c r="F30" s="141">
        <v>30709953482</v>
      </c>
      <c r="G30" s="134" t="str">
        <f>IFERROR(IF('Ago-24'!$F30="","-",VLOOKUP('Ago-24'!$F30,Lista_CUIT!$A$1:$D$2241,2,0)),"CUIT NO CARGADO")</f>
        <v>HONRE S.A</v>
      </c>
      <c r="H30" s="142">
        <v>6901.32</v>
      </c>
      <c r="I30" s="143">
        <f>IF('Ago-24'!$H30="","",'Ago-24'!$H30*0.21)</f>
        <v>1449.2772</v>
      </c>
      <c r="J30" s="143"/>
      <c r="K30" s="143"/>
      <c r="L30" s="143"/>
      <c r="M30" s="143"/>
      <c r="N30" s="143"/>
      <c r="O30" s="143"/>
      <c r="P30" s="135">
        <f>SUM('Ago-24'!$H30:$O30)</f>
        <v>8350.5972000000002</v>
      </c>
      <c r="Q30" s="144" t="str">
        <f>IFERROR(IF('Ago-24'!$F30="","-",VLOOKUP('Ago-24'!$F30,Lista_CUIT!$A$1:$D$2241,3,0)),"CUIT NO CARGADO")</f>
        <v>GASTOS VARIOS</v>
      </c>
      <c r="R30" s="144">
        <f>IFERROR(IF('Ago-24'!$F30="","-",VLOOKUP('Ago-24'!$F30,Lista_CUIT!$A$1:$D$2241,4,0)),"CUIT NO CARGADO")</f>
        <v>0</v>
      </c>
      <c r="S30" s="10">
        <v>8350.6</v>
      </c>
      <c r="T30" s="147">
        <f>'Ago-24'!$P30-'Ago-24'!$S30</f>
        <v>-2.8000000002066372E-3</v>
      </c>
      <c r="U30" s="10"/>
      <c r="V30" s="10"/>
      <c r="W30" s="10"/>
      <c r="X30" s="10"/>
      <c r="Y30" s="10"/>
      <c r="Z30" s="10"/>
    </row>
    <row r="31" spans="1:26" ht="15.75" customHeight="1" x14ac:dyDescent="0.3">
      <c r="A31" s="10"/>
      <c r="B31" s="113" t="s">
        <v>1419</v>
      </c>
      <c r="C31" s="139">
        <v>1</v>
      </c>
      <c r="D31" s="140">
        <v>5</v>
      </c>
      <c r="E31" s="119">
        <v>41859</v>
      </c>
      <c r="F31" s="141">
        <v>27182686641</v>
      </c>
      <c r="G31" s="134" t="str">
        <f>IFERROR(IF('Ago-24'!$F31="","-",VLOOKUP('Ago-24'!$F31,Lista_CUIT!$A$1:$D$2241,2,0)),"CUIT NO CARGADO")</f>
        <v>RIFENHOLZ MARCELA ROXANA</v>
      </c>
      <c r="H31" s="142">
        <v>44371.9</v>
      </c>
      <c r="I31" s="143">
        <f>IF('Ago-24'!$H31="","",'Ago-24'!$H31*0.21)</f>
        <v>9318.0990000000002</v>
      </c>
      <c r="J31" s="143"/>
      <c r="K31" s="143"/>
      <c r="L31" s="143"/>
      <c r="M31" s="143"/>
      <c r="N31" s="143"/>
      <c r="O31" s="143"/>
      <c r="P31" s="135">
        <f>SUM('Ago-24'!$H31:$O31)</f>
        <v>53689.999000000003</v>
      </c>
      <c r="Q31" s="144" t="str">
        <f>IFERROR(IF('Ago-24'!$F31="","-",VLOOKUP('Ago-24'!$F31,Lista_CUIT!$A$1:$D$2241,3,0)),"CUIT NO CARGADO")</f>
        <v>Catering</v>
      </c>
      <c r="R31" s="144">
        <f>IFERROR(IF('Ago-24'!$F31="","-",VLOOKUP('Ago-24'!$F31,Lista_CUIT!$A$1:$D$2241,4,0)),"CUIT NO CARGADO")</f>
        <v>0</v>
      </c>
      <c r="S31" s="10">
        <v>53690</v>
      </c>
      <c r="T31" s="147">
        <f>'Ago-24'!$P31-'Ago-24'!$S31</f>
        <v>-9.9999999656574801E-4</v>
      </c>
      <c r="U31" s="10"/>
      <c r="V31" s="10"/>
      <c r="W31" s="10"/>
      <c r="X31" s="10"/>
      <c r="Y31" s="10"/>
      <c r="Z31" s="10"/>
    </row>
    <row r="32" spans="1:26" ht="15.75" customHeight="1" x14ac:dyDescent="0.3">
      <c r="A32" s="10"/>
      <c r="B32" s="113" t="s">
        <v>1423</v>
      </c>
      <c r="C32" s="139">
        <v>1</v>
      </c>
      <c r="D32" s="140">
        <v>14</v>
      </c>
      <c r="E32" s="119">
        <v>42903</v>
      </c>
      <c r="F32" s="141">
        <v>20271822058</v>
      </c>
      <c r="G32" s="134" t="str">
        <f>IFERROR(IF('Ago-24'!$F32="","-",VLOOKUP('Ago-24'!$F32,Lista_CUIT!$A$1:$D$2241,2,0)),"CUIT NO CARGADO")</f>
        <v>CASSINI MARTIN</v>
      </c>
      <c r="H32" s="142">
        <v>2560.96</v>
      </c>
      <c r="I32" s="143">
        <f>IF('Ago-24'!$H32="","",'Ago-24'!$H32*0.21)</f>
        <v>537.80160000000001</v>
      </c>
      <c r="J32" s="143"/>
      <c r="K32" s="143"/>
      <c r="L32" s="143"/>
      <c r="M32" s="143"/>
      <c r="N32" s="143"/>
      <c r="O32" s="143"/>
      <c r="P32" s="135">
        <f>SUM('Ago-24'!$H32:$O32)</f>
        <v>3098.7615999999998</v>
      </c>
      <c r="Q32" s="144" t="str">
        <f>IFERROR(IF('Ago-24'!$F32="","-",VLOOKUP('Ago-24'!$F32,Lista_CUIT!$A$1:$D$2241,3,0)),"CUIT NO CARGADO")</f>
        <v>Seg e Higiene</v>
      </c>
      <c r="R32" s="144">
        <f>IFERROR(IF('Ago-24'!$F32="","-",VLOOKUP('Ago-24'!$F32,Lista_CUIT!$A$1:$D$2241,4,0)),"CUIT NO CARGADO")</f>
        <v>0</v>
      </c>
      <c r="S32" s="10">
        <v>3098.76</v>
      </c>
      <c r="T32" s="147">
        <f>'Ago-24'!$P32-'Ago-24'!$S32</f>
        <v>1.5999999995983671E-3</v>
      </c>
      <c r="U32" s="10"/>
      <c r="V32" s="10"/>
      <c r="W32" s="10"/>
      <c r="X32" s="10"/>
      <c r="Y32" s="10"/>
      <c r="Z32" s="10"/>
    </row>
    <row r="33" spans="1:26" ht="15.75" customHeight="1" x14ac:dyDescent="0.3">
      <c r="A33" s="10"/>
      <c r="B33" s="113" t="s">
        <v>1424</v>
      </c>
      <c r="C33" s="139">
        <v>1</v>
      </c>
      <c r="D33" s="140">
        <v>3</v>
      </c>
      <c r="E33" s="119">
        <v>45341</v>
      </c>
      <c r="F33" s="141">
        <v>33712244629</v>
      </c>
      <c r="G33" s="134" t="str">
        <f>IFERROR(IF('Ago-24'!$F33="","-",VLOOKUP('Ago-24'!$F33,Lista_CUIT!$A$1:$D$2241,2,0)),"CUIT NO CARGADO")</f>
        <v>COSENZA CONSTRUCCIONES S.A.</v>
      </c>
      <c r="H33" s="142">
        <v>22367.77</v>
      </c>
      <c r="I33" s="143">
        <f>IF('Ago-24'!$H33="","",'Ago-24'!$H33*0.21)</f>
        <v>4697.2317000000003</v>
      </c>
      <c r="J33" s="143"/>
      <c r="K33" s="143"/>
      <c r="L33" s="143"/>
      <c r="M33" s="143"/>
      <c r="N33" s="143"/>
      <c r="O33" s="143"/>
      <c r="P33" s="135">
        <f>SUM('Ago-24'!$H33:$O33)</f>
        <v>27065.001700000001</v>
      </c>
      <c r="Q33" s="144" t="str">
        <f>IFERROR(IF('Ago-24'!$F33="","-",VLOOKUP('Ago-24'!$F33,Lista_CUIT!$A$1:$D$2241,3,0)),"CUIT NO CARGADO")</f>
        <v>INSUMO</v>
      </c>
      <c r="R33" s="144">
        <f>IFERROR(IF('Ago-24'!$F33="","-",VLOOKUP('Ago-24'!$F33,Lista_CUIT!$A$1:$D$2241,4,0)),"CUIT NO CARGADO")</f>
        <v>0</v>
      </c>
      <c r="S33" s="10">
        <v>27065</v>
      </c>
      <c r="T33" s="147">
        <f>'Ago-24'!$P33-'Ago-24'!$S33</f>
        <v>1.7000000007101335E-3</v>
      </c>
      <c r="U33" s="10"/>
      <c r="V33" s="10"/>
      <c r="W33" s="10"/>
      <c r="X33" s="10"/>
      <c r="Y33" s="10"/>
      <c r="Z33" s="10"/>
    </row>
    <row r="34" spans="1:26" ht="15.75" customHeight="1" x14ac:dyDescent="0.3">
      <c r="A34" s="148"/>
      <c r="B34" s="113" t="s">
        <v>1419</v>
      </c>
      <c r="C34" s="139">
        <v>1</v>
      </c>
      <c r="D34" s="140">
        <v>6</v>
      </c>
      <c r="E34" s="119">
        <v>47176</v>
      </c>
      <c r="F34" s="141">
        <v>30709407895</v>
      </c>
      <c r="G34" s="134" t="str">
        <f>IFERROR(IF('Ago-24'!$F34="","-",VLOOKUP('Ago-24'!$F34,Lista_CUIT!$A$1:$D$2241,2,0)),"CUIT NO CARGADO")</f>
        <v>SISTEMAS GAFF S.A.</v>
      </c>
      <c r="H34" s="142">
        <v>1983.47</v>
      </c>
      <c r="I34" s="143">
        <f>IF('Ago-24'!$H34="","",'Ago-24'!$H34*0.21)</f>
        <v>416.52870000000001</v>
      </c>
      <c r="J34" s="143"/>
      <c r="K34" s="143"/>
      <c r="L34" s="143"/>
      <c r="M34" s="143"/>
      <c r="N34" s="143"/>
      <c r="O34" s="143"/>
      <c r="P34" s="135">
        <f>SUM('Ago-24'!$H34:$O34)</f>
        <v>2399.9987000000001</v>
      </c>
      <c r="Q34" s="144" t="str">
        <f>IFERROR(IF('Ago-24'!$F34="","-",VLOOKUP('Ago-24'!$F34,Lista_CUIT!$A$1:$D$2241,3,0)),"CUIT NO CARGADO")</f>
        <v>Seg e Higiene</v>
      </c>
      <c r="R34" s="144">
        <f>IFERROR(IF('Ago-24'!$F34="","-",VLOOKUP('Ago-24'!$F34,Lista_CUIT!$A$1:$D$2241,4,0)),"CUIT NO CARGADO")</f>
        <v>0</v>
      </c>
      <c r="S34" s="148">
        <v>2400</v>
      </c>
      <c r="T34" s="149">
        <f>'Ago-24'!$P34-'Ago-24'!$S34</f>
        <v>-1.299999999901047E-3</v>
      </c>
      <c r="U34" s="148"/>
      <c r="V34" s="148"/>
      <c r="W34" s="148"/>
      <c r="X34" s="148"/>
      <c r="Y34" s="148"/>
      <c r="Z34" s="148"/>
    </row>
    <row r="35" spans="1:26" ht="15.75" customHeight="1" x14ac:dyDescent="0.3">
      <c r="A35" s="10"/>
      <c r="B35" s="113" t="s">
        <v>1417</v>
      </c>
      <c r="C35" s="139">
        <v>1</v>
      </c>
      <c r="D35" s="140">
        <v>10</v>
      </c>
      <c r="E35" s="119">
        <v>50245</v>
      </c>
      <c r="F35" s="141">
        <v>30528214483</v>
      </c>
      <c r="G35" s="134" t="str">
        <f>IFERROR(IF('Ago-24'!$F35="","-",VLOOKUP('Ago-24'!$F35,Lista_CUIT!$A$1:$D$2241,2,0)),"CUIT NO CARGADO")</f>
        <v>D WEINSTOCK S R L</v>
      </c>
      <c r="H35" s="142">
        <v>45147.11</v>
      </c>
      <c r="I35" s="143">
        <f>IF('Ago-24'!$H35="","",'Ago-24'!$H35*0.21)</f>
        <v>9480.8930999999993</v>
      </c>
      <c r="J35" s="143"/>
      <c r="K35" s="143"/>
      <c r="L35" s="143"/>
      <c r="M35" s="143"/>
      <c r="N35" s="143"/>
      <c r="O35" s="143"/>
      <c r="P35" s="135">
        <f>SUM('Ago-24'!$H35:$O35)</f>
        <v>54628.003100000002</v>
      </c>
      <c r="Q35" s="144" t="str">
        <f>IFERROR(IF('Ago-24'!$F35="","-",VLOOKUP('Ago-24'!$F35,Lista_CUIT!$A$1:$D$2241,3,0)),"CUIT NO CARGADO")</f>
        <v>INSUMO</v>
      </c>
      <c r="R35" s="144">
        <f>IFERROR(IF('Ago-24'!$F35="","-",VLOOKUP('Ago-24'!$F35,Lista_CUIT!$A$1:$D$2241,4,0)),"CUIT NO CARGADO")</f>
        <v>0</v>
      </c>
      <c r="S35" s="10">
        <v>54628</v>
      </c>
      <c r="T35" s="147">
        <f>'Ago-24'!$P35-'Ago-24'!$S35</f>
        <v>3.1000000017229468E-3</v>
      </c>
      <c r="U35" s="10"/>
      <c r="V35" s="10"/>
      <c r="W35" s="10"/>
      <c r="X35" s="10"/>
      <c r="Y35" s="10"/>
      <c r="Z35" s="10"/>
    </row>
    <row r="36" spans="1:26" ht="15.75" customHeight="1" x14ac:dyDescent="0.3">
      <c r="A36" s="10"/>
      <c r="B36" s="113" t="s">
        <v>1419</v>
      </c>
      <c r="C36" s="139">
        <v>1</v>
      </c>
      <c r="D36" s="140">
        <v>89</v>
      </c>
      <c r="E36" s="119">
        <v>78166</v>
      </c>
      <c r="F36" s="141">
        <v>30710854072</v>
      </c>
      <c r="G36" s="134" t="str">
        <f>IFERROR(IF('Ago-24'!$F36="","-",VLOOKUP('Ago-24'!$F36,Lista_CUIT!$A$1:$D$2241,2,0)),"CUIT NO CARGADO")</f>
        <v>TIMARO SRL</v>
      </c>
      <c r="H36" s="142">
        <v>56844.800000000003</v>
      </c>
      <c r="I36" s="143">
        <f>IF('Ago-24'!$H36="","",'Ago-24'!$H36*0.21)</f>
        <v>11937.407999999999</v>
      </c>
      <c r="J36" s="143"/>
      <c r="K36" s="143"/>
      <c r="L36" s="143"/>
      <c r="M36" s="143"/>
      <c r="N36" s="143"/>
      <c r="O36" s="143"/>
      <c r="P36" s="135">
        <f>SUM('Ago-24'!$H36:$O36)</f>
        <v>68782.207999999999</v>
      </c>
      <c r="Q36" s="144" t="str">
        <f>IFERROR(IF('Ago-24'!$F36="","-",VLOOKUP('Ago-24'!$F36,Lista_CUIT!$A$1:$D$2241,3,0)),"CUIT NO CARGADO")</f>
        <v>pintureria</v>
      </c>
      <c r="R36" s="144">
        <f>IFERROR(IF('Ago-24'!$F36="","-",VLOOKUP('Ago-24'!$F36,Lista_CUIT!$A$1:$D$2241,4,0)),"CUIT NO CARGADO")</f>
        <v>0</v>
      </c>
      <c r="S36" s="10">
        <v>68782.210000000006</v>
      </c>
      <c r="T36" s="147">
        <f>'Ago-24'!$P36-'Ago-24'!$S36</f>
        <v>-2.0000000076834112E-3</v>
      </c>
      <c r="U36" s="10"/>
      <c r="V36" s="10"/>
      <c r="W36" s="10"/>
      <c r="X36" s="10"/>
      <c r="Y36" s="10"/>
      <c r="Z36" s="10"/>
    </row>
    <row r="37" spans="1:26" ht="15.75" customHeight="1" x14ac:dyDescent="0.3">
      <c r="A37" s="10"/>
      <c r="B37" s="113" t="s">
        <v>1418</v>
      </c>
      <c r="C37" s="139">
        <v>1</v>
      </c>
      <c r="D37" s="140">
        <v>8</v>
      </c>
      <c r="E37" s="119">
        <v>81069</v>
      </c>
      <c r="F37" s="141">
        <v>30586172308</v>
      </c>
      <c r="G37" s="134" t="str">
        <f>IFERROR(IF('Ago-24'!$F37="","-",VLOOKUP('Ago-24'!$F37,Lista_CUIT!$A$1:$D$2241,2,0)),"CUIT NO CARGADO")</f>
        <v>SANTA FE COMERCIAL SOCIEDAD DE RESPONSABILIDAD LIMITADA</v>
      </c>
      <c r="H37" s="142">
        <v>30559.200000000001</v>
      </c>
      <c r="I37" s="143">
        <f>IF('Ago-24'!$H37="","",'Ago-24'!$H37*0.21)</f>
        <v>6417.4319999999998</v>
      </c>
      <c r="J37" s="143"/>
      <c r="K37" s="143"/>
      <c r="L37" s="143"/>
      <c r="M37" s="143"/>
      <c r="N37" s="143"/>
      <c r="O37" s="143"/>
      <c r="P37" s="135">
        <f>SUM('Ago-24'!$H37:$O37)</f>
        <v>36976.631999999998</v>
      </c>
      <c r="Q37" s="144" t="str">
        <f>IFERROR(IF('Ago-24'!$F37="","-",VLOOKUP('Ago-24'!$F37,Lista_CUIT!$A$1:$D$2241,3,0)),"CUIT NO CARGADO")</f>
        <v>Papeleria</v>
      </c>
      <c r="R37" s="144">
        <f>IFERROR(IF('Ago-24'!$F37="","-",VLOOKUP('Ago-24'!$F37,Lista_CUIT!$A$1:$D$2241,4,0)),"CUIT NO CARGADO")</f>
        <v>0</v>
      </c>
      <c r="S37" s="10">
        <v>36976.629999999997</v>
      </c>
      <c r="T37" s="147">
        <f>'Ago-24'!$P37-'Ago-24'!$S37</f>
        <v>2.0000000004074536E-3</v>
      </c>
      <c r="U37" s="10"/>
      <c r="V37" s="10"/>
      <c r="W37" s="10"/>
      <c r="X37" s="10"/>
      <c r="Y37" s="10"/>
      <c r="Z37" s="10"/>
    </row>
    <row r="38" spans="1:26" ht="14.25" customHeight="1" x14ac:dyDescent="0.3">
      <c r="A38" s="10"/>
      <c r="B38" s="113" t="s">
        <v>1425</v>
      </c>
      <c r="C38" s="139">
        <v>1</v>
      </c>
      <c r="D38" s="140">
        <v>35</v>
      </c>
      <c r="E38" s="119">
        <v>127414</v>
      </c>
      <c r="F38" s="141">
        <v>30655534462</v>
      </c>
      <c r="G38" s="134" t="str">
        <f>IFERROR(IF('Ago-24'!$F38="","-",VLOOKUP('Ago-24'!$F38,Lista_CUIT!$A$1:$D$2241,2,0)),"CUIT NO CARGADO")</f>
        <v>VISUAR S.A.</v>
      </c>
      <c r="H38" s="142">
        <v>1251024.81</v>
      </c>
      <c r="I38" s="143">
        <f>IF('Ago-24'!$H38="","",'Ago-24'!$H38*0.21)</f>
        <v>262715.21010000003</v>
      </c>
      <c r="J38" s="143"/>
      <c r="K38" s="143"/>
      <c r="L38" s="143"/>
      <c r="M38" s="143"/>
      <c r="N38" s="143"/>
      <c r="O38" s="143"/>
      <c r="P38" s="135">
        <f>SUM('Ago-24'!$H38:$O38)</f>
        <v>1513740.0201000001</v>
      </c>
      <c r="Q38" s="144" t="str">
        <f>IFERROR(IF('Ago-24'!$F38="","-",VLOOKUP('Ago-24'!$F38,Lista_CUIT!$A$1:$D$2241,3,0)),"CUIT NO CARGADO")</f>
        <v>GASTOS VARIOS</v>
      </c>
      <c r="R38" s="144">
        <f>IFERROR(IF('Ago-24'!$F38="","-",VLOOKUP('Ago-24'!$F38,Lista_CUIT!$A$1:$D$2241,4,0)),"CUIT NO CARGADO")</f>
        <v>0</v>
      </c>
      <c r="S38" s="10">
        <v>1513740</v>
      </c>
      <c r="T38" s="147">
        <f>'Ago-24'!$P38-'Ago-24'!$S38</f>
        <v>2.0100000081583858E-2</v>
      </c>
      <c r="U38" s="10"/>
      <c r="V38" s="10"/>
      <c r="W38" s="10"/>
      <c r="X38" s="10"/>
      <c r="Y38" s="10"/>
      <c r="Z38" s="10"/>
    </row>
    <row r="39" spans="1:26" ht="15.75" customHeight="1" x14ac:dyDescent="0.3">
      <c r="A39" s="10"/>
      <c r="B39" s="113" t="s">
        <v>1416</v>
      </c>
      <c r="C39" s="139">
        <v>1</v>
      </c>
      <c r="D39" s="140">
        <v>3</v>
      </c>
      <c r="E39" s="119">
        <v>237143</v>
      </c>
      <c r="F39" s="141">
        <v>30707135596</v>
      </c>
      <c r="G39" s="134" t="str">
        <f>IFERROR(IF('Ago-24'!$F39="","-",VLOOKUP('Ago-24'!$F39,Lista_CUIT!$A$1:$D$2241,2,0)),"CUIT NO CARGADO")</f>
        <v>CITILAN ARGENTINA S.A.</v>
      </c>
      <c r="H39" s="142">
        <v>18698.37</v>
      </c>
      <c r="I39" s="143">
        <f>IF('Ago-24'!$H39="","",'Ago-24'!$H39*0.21)</f>
        <v>3926.6576999999997</v>
      </c>
      <c r="J39" s="143"/>
      <c r="K39" s="143"/>
      <c r="L39" s="143"/>
      <c r="M39" s="143"/>
      <c r="N39" s="143"/>
      <c r="O39" s="143"/>
      <c r="P39" s="135">
        <f>SUM('Ago-24'!$H39:$O39)</f>
        <v>22625.027699999999</v>
      </c>
      <c r="Q39" s="144" t="str">
        <f>IFERROR(IF('Ago-24'!$F39="","-",VLOOKUP('Ago-24'!$F39,Lista_CUIT!$A$1:$D$2241,3,0)),"CUIT NO CARGADO")</f>
        <v>Telefonia</v>
      </c>
      <c r="R39" s="144">
        <f>IFERROR(IF('Ago-24'!$F39="","-",VLOOKUP('Ago-24'!$F39,Lista_CUIT!$A$1:$D$2241,4,0)),"CUIT NO CARGADO")</f>
        <v>0</v>
      </c>
      <c r="S39" s="10">
        <v>22625.03</v>
      </c>
      <c r="T39" s="147">
        <f>'Ago-24'!$P39-'Ago-24'!$S39</f>
        <v>-2.3000000001047738E-3</v>
      </c>
      <c r="U39" s="10"/>
      <c r="V39" s="10"/>
      <c r="W39" s="10"/>
      <c r="X39" s="10"/>
      <c r="Y39" s="10"/>
      <c r="Z39" s="10"/>
    </row>
    <row r="40" spans="1:26" ht="15.75" customHeight="1" x14ac:dyDescent="0.3">
      <c r="A40" s="10"/>
      <c r="B40" s="113" t="s">
        <v>1426</v>
      </c>
      <c r="C40" s="139">
        <v>1</v>
      </c>
      <c r="D40" s="140">
        <v>2466</v>
      </c>
      <c r="E40" s="119">
        <v>687431</v>
      </c>
      <c r="F40" s="141">
        <v>30678814357</v>
      </c>
      <c r="G40" s="134" t="str">
        <f>IFERROR(IF('Ago-24'!$F40="","-",VLOOKUP('Ago-24'!$F40,Lista_CUIT!$A$1:$D$2241,2,0)),"CUIT NO CARGADO")</f>
        <v>TELEFONICA MOVILES ARG</v>
      </c>
      <c r="H40" s="142">
        <v>24764.6</v>
      </c>
      <c r="I40" s="143"/>
      <c r="J40" s="143">
        <f>'Ago-24'!$H40*0.27</f>
        <v>6686.442</v>
      </c>
      <c r="K40" s="143"/>
      <c r="L40" s="143"/>
      <c r="M40" s="143"/>
      <c r="N40" s="143">
        <v>742.94</v>
      </c>
      <c r="O40" s="143">
        <v>1274.99</v>
      </c>
      <c r="P40" s="135">
        <f>SUM('Ago-24'!$H40:$O40)</f>
        <v>33468.971999999994</v>
      </c>
      <c r="Q40" s="144" t="str">
        <f>IFERROR(IF('Ago-24'!$F40="","-",VLOOKUP('Ago-24'!$F40,Lista_CUIT!$A$1:$D$2241,3,0)),"CUIT NO CARGADO")</f>
        <v>Telefonia</v>
      </c>
      <c r="R40" s="144">
        <f>IFERROR(IF('Ago-24'!$F40="","-",VLOOKUP('Ago-24'!$F40,Lista_CUIT!$A$1:$D$2241,4,0)),"CUIT NO CARGADO")</f>
        <v>0</v>
      </c>
      <c r="S40" s="10">
        <v>33468.97</v>
      </c>
      <c r="T40" s="147">
        <f>'Ago-24'!$P40-'Ago-24'!$S40</f>
        <v>1.999999993131496E-3</v>
      </c>
      <c r="U40" s="10"/>
      <c r="V40" s="10"/>
      <c r="W40" s="10"/>
      <c r="X40" s="10"/>
      <c r="Y40" s="10"/>
      <c r="Z40" s="10"/>
    </row>
    <row r="41" spans="1:26" ht="15.75" customHeight="1" x14ac:dyDescent="0.3">
      <c r="A41" s="10"/>
      <c r="B41" s="113" t="s">
        <v>1419</v>
      </c>
      <c r="C41" s="139">
        <v>1</v>
      </c>
      <c r="D41" s="140">
        <v>106</v>
      </c>
      <c r="E41" s="119">
        <v>759157</v>
      </c>
      <c r="F41" s="141">
        <v>30594494187</v>
      </c>
      <c r="G41" s="134" t="str">
        <f>IFERROR(IF('Ago-24'!$F41="","-",VLOOKUP('Ago-24'!$F41,Lista_CUIT!$A$1:$D$2241,2,0)),"CUIT NO CARGADO")</f>
        <v>FEDERAL EXPRESS CORPORATION</v>
      </c>
      <c r="H41" s="142">
        <v>80430</v>
      </c>
      <c r="I41" s="143">
        <f>IF('Ago-24'!$H41="","",'Ago-24'!$H41*0.21)</f>
        <v>16890.3</v>
      </c>
      <c r="J41" s="143"/>
      <c r="K41" s="143"/>
      <c r="L41" s="143"/>
      <c r="M41" s="143"/>
      <c r="N41" s="143"/>
      <c r="O41" s="143">
        <v>411100.8</v>
      </c>
      <c r="P41" s="135">
        <f>SUM('Ago-24'!$H41:$O41)</f>
        <v>508421.1</v>
      </c>
      <c r="Q41" s="144" t="str">
        <f>IFERROR(IF('Ago-24'!$F41="","-",VLOOKUP('Ago-24'!$F41,Lista_CUIT!$A$1:$D$2241,3,0)),"CUIT NO CARGADO")</f>
        <v>Gastos Importacion</v>
      </c>
      <c r="R41" s="144">
        <f>IFERROR(IF('Ago-24'!$F41="","-",VLOOKUP('Ago-24'!$F41,Lista_CUIT!$A$1:$D$2241,4,0)),"CUIT NO CARGADO")</f>
        <v>0</v>
      </c>
      <c r="S41" s="10">
        <v>508421.1</v>
      </c>
      <c r="T41" s="147">
        <f>'Ago-24'!$P41-'Ago-24'!$S41</f>
        <v>0</v>
      </c>
      <c r="U41" s="10"/>
      <c r="V41" s="10"/>
      <c r="W41" s="10"/>
      <c r="X41" s="10"/>
      <c r="Y41" s="10"/>
      <c r="Z41" s="10"/>
    </row>
    <row r="42" spans="1:26" ht="14.25" customHeight="1" x14ac:dyDescent="0.3">
      <c r="A42" s="10"/>
      <c r="B42" s="113"/>
      <c r="C42" s="139"/>
      <c r="D42" s="140"/>
      <c r="E42" s="119"/>
      <c r="F42" s="141"/>
      <c r="G42" s="134" t="str">
        <f>IFERROR(IF('Ago-24'!$F42="","-",VLOOKUP('Ago-24'!$F42,Lista_CUIT!$A$1:$D$2241,2,0)),"CUIT NO CARGADO")</f>
        <v>-</v>
      </c>
      <c r="H42" s="142"/>
      <c r="I42" s="143" t="str">
        <f>IF('Ago-24'!$H42="","",'Ago-24'!$H42*0.21)</f>
        <v/>
      </c>
      <c r="J42" s="143"/>
      <c r="K42" s="143"/>
      <c r="L42" s="143"/>
      <c r="M42" s="143"/>
      <c r="N42" s="143"/>
      <c r="O42" s="143"/>
      <c r="P42" s="135">
        <f>SUM('Ago-24'!$H42:$O42)</f>
        <v>0</v>
      </c>
      <c r="Q42" s="144" t="str">
        <f>IFERROR(IF('Ago-24'!$F42="","-",VLOOKUP('Ago-24'!$F42,Lista_CUIT!$A$1:$D$2241,3,0)),"CUIT NO CARGADO")</f>
        <v>-</v>
      </c>
      <c r="R42" s="144" t="str">
        <f>IFERROR(IF('Ago-24'!$F42="","-",VLOOKUP('Ago-24'!$F42,Lista_CUIT!$A$1:$D$2241,4,0)),"CUIT NO CARGADO")</f>
        <v>-</v>
      </c>
      <c r="S42" s="10"/>
      <c r="T42" s="147">
        <f>'Ago-24'!$P42-'Ago-24'!$S42</f>
        <v>0</v>
      </c>
      <c r="U42" s="10"/>
      <c r="V42" s="10"/>
      <c r="W42" s="10"/>
      <c r="X42" s="10"/>
      <c r="Y42" s="10"/>
      <c r="Z42" s="10"/>
    </row>
    <row r="43" spans="1:26" ht="15.75" customHeight="1" x14ac:dyDescent="0.3">
      <c r="A43" s="10"/>
      <c r="B43" s="113"/>
      <c r="C43" s="139"/>
      <c r="D43" s="140"/>
      <c r="E43" s="119"/>
      <c r="F43" s="141"/>
      <c r="G43" s="134" t="str">
        <f>IFERROR(IF('Ago-24'!$F43="","-",VLOOKUP('Ago-24'!$F43,Lista_CUIT!$A$1:$D$2241,2,0)),"CUIT NO CARGADO")</f>
        <v>-</v>
      </c>
      <c r="H43" s="142"/>
      <c r="I43" s="143" t="str">
        <f>IF('Ago-24'!$H43="","",'Ago-24'!$H43*0.21)</f>
        <v/>
      </c>
      <c r="J43" s="143"/>
      <c r="K43" s="143"/>
      <c r="L43" s="143"/>
      <c r="M43" s="143"/>
      <c r="N43" s="143"/>
      <c r="O43" s="143"/>
      <c r="P43" s="135">
        <f>SUM('Ago-24'!$H43:$O43)</f>
        <v>0</v>
      </c>
      <c r="Q43" s="144" t="str">
        <f>IFERROR(IF('Ago-24'!$F43="","-",VLOOKUP('Ago-24'!$F43,Lista_CUIT!$A$1:$D$2241,3,0)),"CUIT NO CARGADO")</f>
        <v>-</v>
      </c>
      <c r="R43" s="144" t="str">
        <f>IFERROR(IF('Ago-24'!$F43="","-",VLOOKUP('Ago-24'!$F43,Lista_CUIT!$A$1:$D$2241,4,0)),"CUIT NO CARGADO")</f>
        <v>-</v>
      </c>
      <c r="S43" s="10"/>
      <c r="T43" s="147">
        <f>'Ago-24'!$P43-'Ago-24'!$S43</f>
        <v>0</v>
      </c>
      <c r="U43" s="10"/>
      <c r="V43" s="10"/>
      <c r="W43" s="10"/>
      <c r="X43" s="10"/>
      <c r="Y43" s="10"/>
      <c r="Z43" s="10"/>
    </row>
    <row r="44" spans="1:26" ht="15.75" customHeight="1" x14ac:dyDescent="0.3">
      <c r="A44" s="10"/>
      <c r="B44" s="113"/>
      <c r="C44" s="139"/>
      <c r="D44" s="140"/>
      <c r="E44" s="119"/>
      <c r="F44" s="141"/>
      <c r="G44" s="134" t="str">
        <f>IFERROR(IF('Ago-24'!$F44="","-",VLOOKUP('Ago-24'!$F44,Lista_CUIT!$A$1:$D$2241,2,0)),"CUIT NO CARGADO")</f>
        <v>-</v>
      </c>
      <c r="H44" s="142"/>
      <c r="I44" s="143" t="str">
        <f>IF('Ago-24'!$H44="","",'Ago-24'!$H44*0.21)</f>
        <v/>
      </c>
      <c r="J44" s="143"/>
      <c r="K44" s="143"/>
      <c r="L44" s="143"/>
      <c r="M44" s="143"/>
      <c r="N44" s="143"/>
      <c r="O44" s="143"/>
      <c r="P44" s="135">
        <f>SUM('Ago-24'!$H44:$O44)</f>
        <v>0</v>
      </c>
      <c r="Q44" s="144" t="str">
        <f>IFERROR(IF('Ago-24'!$F44="","-",VLOOKUP('Ago-24'!$F44,Lista_CUIT!$A$1:$D$2241,3,0)),"CUIT NO CARGADO")</f>
        <v>-</v>
      </c>
      <c r="R44" s="144" t="str">
        <f>IFERROR(IF('Ago-24'!$F44="","-",VLOOKUP('Ago-24'!$F44,Lista_CUIT!$A$1:$D$2241,4,0)),"CUIT NO CARGADO")</f>
        <v>-</v>
      </c>
      <c r="S44" s="10"/>
      <c r="T44" s="147">
        <f>'Ago-24'!$P44-'Ago-24'!$S44</f>
        <v>0</v>
      </c>
      <c r="U44" s="10"/>
      <c r="V44" s="10"/>
      <c r="W44" s="10"/>
      <c r="X44" s="10"/>
      <c r="Y44" s="10"/>
      <c r="Z44" s="10"/>
    </row>
    <row r="45" spans="1:26" ht="15.75" customHeight="1" x14ac:dyDescent="0.3">
      <c r="A45" s="10"/>
      <c r="B45" s="113"/>
      <c r="C45" s="139"/>
      <c r="D45" s="140"/>
      <c r="E45" s="119"/>
      <c r="F45" s="141"/>
      <c r="G45" s="134" t="str">
        <f>IFERROR(IF('Ago-24'!$F45="","-",VLOOKUP('Ago-24'!$F45,Lista_CUIT!$A$1:$D$2241,2,0)),"CUIT NO CARGADO")</f>
        <v>-</v>
      </c>
      <c r="H45" s="142"/>
      <c r="I45" s="143" t="str">
        <f>IF('Ago-24'!$H45="","",'Ago-24'!$H45*0.21)</f>
        <v/>
      </c>
      <c r="J45" s="143"/>
      <c r="K45" s="143"/>
      <c r="L45" s="143"/>
      <c r="M45" s="143"/>
      <c r="N45" s="143"/>
      <c r="O45" s="143"/>
      <c r="P45" s="135">
        <f>SUM('Ago-24'!$H45:$O45)</f>
        <v>0</v>
      </c>
      <c r="Q45" s="144" t="str">
        <f>IFERROR(IF('Ago-24'!$F45="","-",VLOOKUP('Ago-24'!$F45,Lista_CUIT!$A$1:$D$2241,3,0)),"CUIT NO CARGADO")</f>
        <v>-</v>
      </c>
      <c r="R45" s="144" t="str">
        <f>IFERROR(IF('Ago-24'!$F45="","-",VLOOKUP('Ago-24'!$F45,Lista_CUIT!$A$1:$D$2241,4,0)),"CUIT NO CARGADO")</f>
        <v>-</v>
      </c>
      <c r="S45" s="10"/>
      <c r="T45" s="147">
        <f>'Ago-24'!$P45-'Ago-24'!$S45</f>
        <v>0</v>
      </c>
      <c r="U45" s="10"/>
      <c r="V45" s="10"/>
      <c r="W45" s="10"/>
      <c r="X45" s="10"/>
      <c r="Y45" s="10"/>
      <c r="Z45" s="10"/>
    </row>
    <row r="46" spans="1:26" ht="15.75" customHeight="1" x14ac:dyDescent="0.3">
      <c r="A46" s="10"/>
      <c r="B46" s="113"/>
      <c r="C46" s="139"/>
      <c r="D46" s="140"/>
      <c r="E46" s="119"/>
      <c r="F46" s="141"/>
      <c r="G46" s="134" t="str">
        <f>IFERROR(IF('Ago-24'!$F46="","-",VLOOKUP('Ago-24'!$F46,Lista_CUIT!$A$1:$D$2241,2,0)),"CUIT NO CARGADO")</f>
        <v>-</v>
      </c>
      <c r="H46" s="142"/>
      <c r="I46" s="143" t="str">
        <f>IF('Ago-24'!$H46="","",'Ago-24'!$H46*0.21)</f>
        <v/>
      </c>
      <c r="J46" s="143"/>
      <c r="K46" s="143"/>
      <c r="L46" s="143"/>
      <c r="M46" s="143"/>
      <c r="N46" s="143"/>
      <c r="O46" s="143"/>
      <c r="P46" s="135">
        <f>SUM('Ago-24'!$H46:$O46)</f>
        <v>0</v>
      </c>
      <c r="Q46" s="144" t="str">
        <f>IFERROR(IF('Ago-24'!$F46="","-",VLOOKUP('Ago-24'!$F46,Lista_CUIT!$A$1:$D$2241,3,0)),"CUIT NO CARGADO")</f>
        <v>-</v>
      </c>
      <c r="R46" s="144" t="str">
        <f>IFERROR(IF('Ago-24'!$F46="","-",VLOOKUP('Ago-24'!$F46,Lista_CUIT!$A$1:$D$2241,4,0)),"CUIT NO CARGADO")</f>
        <v>-</v>
      </c>
      <c r="S46" s="10"/>
      <c r="T46" s="147">
        <f>'Ago-24'!$P46-'Ago-24'!$S46</f>
        <v>0</v>
      </c>
      <c r="U46" s="10"/>
      <c r="V46" s="10"/>
      <c r="W46" s="10"/>
      <c r="X46" s="10"/>
      <c r="Y46" s="10"/>
      <c r="Z46" s="10"/>
    </row>
    <row r="47" spans="1:26" ht="18" customHeight="1" x14ac:dyDescent="0.3">
      <c r="A47" s="148"/>
      <c r="B47" s="113"/>
      <c r="C47" s="139"/>
      <c r="D47" s="140"/>
      <c r="E47" s="119"/>
      <c r="F47" s="141"/>
      <c r="G47" s="134" t="str">
        <f>IFERROR(IF('Ago-24'!$F47="","-",VLOOKUP('Ago-24'!$F47,Lista_CUIT!$A$1:$D$2241,2,0)),"CUIT NO CARGADO")</f>
        <v>-</v>
      </c>
      <c r="H47" s="142"/>
      <c r="I47" s="143" t="str">
        <f>IF('Ago-24'!$H47="","",'Ago-24'!$H47*0.21)</f>
        <v/>
      </c>
      <c r="J47" s="143"/>
      <c r="K47" s="143"/>
      <c r="L47" s="143"/>
      <c r="M47" s="143"/>
      <c r="N47" s="143"/>
      <c r="O47" s="143"/>
      <c r="P47" s="135">
        <f>SUM('Ago-24'!$H47:$O47)</f>
        <v>0</v>
      </c>
      <c r="Q47" s="144" t="str">
        <f>IFERROR(IF('Ago-24'!$F47="","-",VLOOKUP('Ago-24'!$F47,Lista_CUIT!$A$1:$D$2241,3,0)),"CUIT NO CARGADO")</f>
        <v>-</v>
      </c>
      <c r="R47" s="144" t="str">
        <f>IFERROR(IF('Ago-24'!$F47="","-",VLOOKUP('Ago-24'!$F47,Lista_CUIT!$A$1:$D$2241,4,0)),"CUIT NO CARGADO")</f>
        <v>-</v>
      </c>
      <c r="S47" s="148"/>
      <c r="T47" s="149">
        <f>'Ago-24'!$P47-'Ago-24'!$S47</f>
        <v>0</v>
      </c>
      <c r="U47" s="148"/>
      <c r="V47" s="148"/>
      <c r="W47" s="148"/>
      <c r="X47" s="148"/>
      <c r="Y47" s="148"/>
      <c r="Z47" s="148"/>
    </row>
    <row r="48" spans="1:26" ht="15.75" customHeight="1" x14ac:dyDescent="0.3">
      <c r="A48" s="10"/>
      <c r="B48" s="21" t="s">
        <v>1343</v>
      </c>
      <c r="C48" s="21"/>
      <c r="D48" s="21"/>
      <c r="E48" s="21"/>
      <c r="F48" s="21"/>
      <c r="G48" s="17"/>
      <c r="H48" s="18">
        <f>SUBTOTAL(109,'Ago-24'!$H$9:$H$47)</f>
        <v>14726117.769999998</v>
      </c>
      <c r="I48" s="18">
        <f>SUBTOTAL(109,'Ago-24'!$I$9:$I$47)</f>
        <v>3080917.6503000003</v>
      </c>
      <c r="J48" s="18">
        <f>SUBTOTAL(109,'Ago-24'!$J$9:$J$47)</f>
        <v>6686.442</v>
      </c>
      <c r="K48" s="18">
        <f>SUBTOTAL(109,'Ago-24'!$K$9:$K$47)</f>
        <v>3183.2577000000001</v>
      </c>
      <c r="L48" s="18">
        <f>SUBTOTAL(109,'Ago-24'!$L$9:$L$47)</f>
        <v>0</v>
      </c>
      <c r="M48" s="18">
        <f>SUBTOTAL(109,'Ago-24'!$M$9:$M$47)</f>
        <v>0</v>
      </c>
      <c r="N48" s="18">
        <f>SUBTOTAL(109,'Ago-24'!$N$9:$N$47)</f>
        <v>742.94</v>
      </c>
      <c r="O48" s="18">
        <f>SUBTOTAL(109,'Ago-24'!$O$9:$O$47)</f>
        <v>412375.79</v>
      </c>
      <c r="P48" s="18">
        <f>SUBTOTAL(109,'Ago-24'!$P$9:$P$47)</f>
        <v>18230023.850000005</v>
      </c>
      <c r="Q48" s="21"/>
      <c r="R48" s="21"/>
      <c r="S48" s="136"/>
      <c r="T48" s="43"/>
      <c r="U48" s="10"/>
      <c r="V48" s="10"/>
      <c r="W48" s="10"/>
      <c r="X48" s="10"/>
      <c r="Y48" s="10"/>
      <c r="Z48" s="10"/>
    </row>
    <row r="49" spans="1:26" ht="15.75" customHeight="1" x14ac:dyDescent="0.3">
      <c r="A49" s="10"/>
      <c r="B49" s="12"/>
      <c r="C49" s="13"/>
      <c r="D49" s="14"/>
      <c r="E49" s="15"/>
      <c r="F49" s="16"/>
      <c r="G49" s="17"/>
      <c r="H49" s="18"/>
      <c r="I49" s="19"/>
      <c r="J49" s="19"/>
      <c r="K49" s="19"/>
      <c r="L49" s="19"/>
      <c r="M49" s="19"/>
      <c r="N49" s="19"/>
      <c r="O49" s="19"/>
      <c r="P49" s="20"/>
      <c r="Q49" s="21"/>
      <c r="R49" s="21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B50" s="12"/>
      <c r="C50" s="13"/>
      <c r="D50" s="14"/>
      <c r="E50" s="15"/>
      <c r="F50" s="16"/>
      <c r="G50" s="17"/>
      <c r="H50" s="18"/>
      <c r="I50" s="19"/>
      <c r="J50" s="19"/>
      <c r="K50" s="19"/>
      <c r="L50" s="19"/>
      <c r="M50" s="19"/>
      <c r="N50" s="19"/>
      <c r="O50" s="19"/>
      <c r="P50" s="20"/>
      <c r="Q50" s="21"/>
      <c r="R50" s="21"/>
    </row>
    <row r="51" spans="1:26" ht="15.75" customHeight="1" x14ac:dyDescent="0.3">
      <c r="B51" s="12"/>
      <c r="C51" s="13"/>
      <c r="D51" s="14"/>
      <c r="E51" s="15"/>
      <c r="F51" s="16"/>
      <c r="G51" s="17"/>
      <c r="H51" s="18"/>
      <c r="I51" s="19"/>
      <c r="J51" s="19"/>
      <c r="K51" s="19"/>
      <c r="L51" s="19"/>
      <c r="M51" s="19"/>
      <c r="N51" s="19"/>
      <c r="O51" s="19"/>
      <c r="P51" s="20"/>
      <c r="Q51" s="21"/>
      <c r="R51" s="21"/>
    </row>
    <row r="52" spans="1:26" ht="15.75" customHeight="1" x14ac:dyDescent="0.3">
      <c r="B52" s="12"/>
      <c r="C52" s="13"/>
      <c r="D52" s="14"/>
      <c r="E52" s="15"/>
      <c r="F52" s="16"/>
      <c r="G52" s="17"/>
      <c r="H52" s="18"/>
      <c r="I52" s="19"/>
      <c r="J52" s="19"/>
      <c r="K52" s="19"/>
      <c r="L52" s="19"/>
    </row>
    <row r="53" spans="1:26" ht="15.75" customHeight="1" x14ac:dyDescent="0.3">
      <c r="D53" s="484" t="s">
        <v>1344</v>
      </c>
      <c r="E53" s="476"/>
      <c r="F53" s="476"/>
      <c r="G53" s="476"/>
      <c r="H53" s="476"/>
      <c r="I53" s="476"/>
      <c r="J53" s="476"/>
      <c r="K53" s="476"/>
      <c r="L53" s="477"/>
      <c r="M53" s="150"/>
    </row>
    <row r="54" spans="1:26" ht="15.75" customHeight="1" x14ac:dyDescent="0.3">
      <c r="D54" s="24" t="s">
        <v>1322</v>
      </c>
      <c r="E54" s="25" t="s">
        <v>1345</v>
      </c>
      <c r="F54" s="25" t="s">
        <v>1346</v>
      </c>
      <c r="G54" s="25" t="s">
        <v>1347</v>
      </c>
      <c r="H54" s="25" t="s">
        <v>1348</v>
      </c>
      <c r="I54" s="25" t="s">
        <v>1329</v>
      </c>
      <c r="J54" s="26" t="s">
        <v>1349</v>
      </c>
      <c r="K54" s="26" t="s">
        <v>1350</v>
      </c>
      <c r="L54" s="27" t="s">
        <v>1351</v>
      </c>
      <c r="M54" s="28" t="s">
        <v>1334</v>
      </c>
    </row>
    <row r="55" spans="1:26" ht="15.75" customHeight="1" x14ac:dyDescent="0.3">
      <c r="D55" s="12">
        <v>45531</v>
      </c>
      <c r="E55" s="140">
        <v>892665</v>
      </c>
      <c r="F55" s="29" t="s">
        <v>1427</v>
      </c>
      <c r="G55" s="31">
        <v>71250</v>
      </c>
      <c r="H55" s="31">
        <f>'Ago-24'!$G55*0.21</f>
        <v>14962.5</v>
      </c>
      <c r="I55" s="31"/>
      <c r="J55" s="31"/>
      <c r="K55" s="31">
        <v>2137.5</v>
      </c>
      <c r="L55" s="31"/>
      <c r="M55" s="31">
        <f>SUM('Ago-24'!$G55:$L55)</f>
        <v>88350</v>
      </c>
    </row>
    <row r="56" spans="1:26" ht="15.75" customHeight="1" x14ac:dyDescent="0.3">
      <c r="D56" s="12">
        <v>45525</v>
      </c>
      <c r="E56" s="140">
        <v>108771</v>
      </c>
      <c r="F56" s="29" t="s">
        <v>1427</v>
      </c>
      <c r="G56" s="31">
        <v>23625</v>
      </c>
      <c r="H56" s="31">
        <f>'Ago-24'!$G56*0.21</f>
        <v>4961.25</v>
      </c>
      <c r="I56" s="31"/>
      <c r="J56" s="31"/>
      <c r="K56" s="31">
        <v>708.75</v>
      </c>
      <c r="L56" s="31"/>
      <c r="M56" s="31">
        <f>SUM('Ago-24'!$G56:$L56)</f>
        <v>29295</v>
      </c>
    </row>
    <row r="57" spans="1:26" ht="15.75" customHeight="1" x14ac:dyDescent="0.3">
      <c r="D57" s="12">
        <v>45530</v>
      </c>
      <c r="E57" s="140">
        <v>1088107</v>
      </c>
      <c r="F57" s="29" t="s">
        <v>1427</v>
      </c>
      <c r="G57" s="31">
        <v>23762.5</v>
      </c>
      <c r="H57" s="31">
        <f>'Ago-24'!$G57*0.21</f>
        <v>4990.125</v>
      </c>
      <c r="I57" s="31"/>
      <c r="J57" s="31"/>
      <c r="K57" s="31">
        <v>712.88</v>
      </c>
      <c r="L57" s="31"/>
      <c r="M57" s="31">
        <f>SUM('Ago-24'!$G57:$L57)</f>
        <v>29465.505000000001</v>
      </c>
    </row>
    <row r="58" spans="1:26" ht="15.75" customHeight="1" x14ac:dyDescent="0.3">
      <c r="D58" s="12">
        <v>45531</v>
      </c>
      <c r="E58" s="140">
        <v>1088296</v>
      </c>
      <c r="F58" s="29" t="s">
        <v>1427</v>
      </c>
      <c r="G58" s="31">
        <v>23750</v>
      </c>
      <c r="H58" s="31">
        <f>'Ago-24'!$G58*0.21</f>
        <v>4987.5</v>
      </c>
      <c r="I58" s="31"/>
      <c r="J58" s="31"/>
      <c r="K58" s="31">
        <v>712.5</v>
      </c>
      <c r="L58" s="31"/>
      <c r="M58" s="31">
        <f>SUM('Ago-24'!$G58:$L58)</f>
        <v>29450</v>
      </c>
    </row>
    <row r="59" spans="1:26" ht="15.75" customHeight="1" x14ac:dyDescent="0.3">
      <c r="D59" s="12"/>
      <c r="E59" s="140"/>
      <c r="F59" s="29"/>
      <c r="G59" s="31"/>
      <c r="H59" s="31">
        <f>'Ago-24'!$G59*0.21</f>
        <v>0</v>
      </c>
      <c r="I59" s="31"/>
      <c r="J59" s="31"/>
      <c r="K59" s="31"/>
      <c r="L59" s="31"/>
      <c r="M59" s="31">
        <f>SUM('Ago-24'!$G59:$L59)</f>
        <v>0</v>
      </c>
    </row>
    <row r="60" spans="1:26" ht="15.75" customHeight="1" x14ac:dyDescent="0.3">
      <c r="D60" s="21" t="s">
        <v>1343</v>
      </c>
      <c r="E60" s="29"/>
      <c r="F60" s="29"/>
      <c r="G60" s="31">
        <f>SUBTOTAL(109,'Ago-24'!$G$55:$G$59)</f>
        <v>142387.5</v>
      </c>
      <c r="H60" s="31">
        <f>SUBTOTAL(109,'Ago-24'!$H$55:$H$59)</f>
        <v>29901.375</v>
      </c>
      <c r="I60" s="31">
        <f>SUBTOTAL(109,'Ago-24'!$I$55:$I$59)</f>
        <v>0</v>
      </c>
      <c r="J60" s="31">
        <f>SUBTOTAL(109,'Ago-24'!$J$55:$J$59)</f>
        <v>0</v>
      </c>
      <c r="K60" s="31">
        <f>SUBTOTAL(109,'Ago-24'!$K$55:$K$59)</f>
        <v>4271.63</v>
      </c>
      <c r="L60" s="31">
        <f>SUBTOTAL(109,'Ago-24'!$L$55:$L$59)</f>
        <v>0</v>
      </c>
      <c r="M60" s="32"/>
    </row>
    <row r="61" spans="1:26" ht="18" customHeight="1" x14ac:dyDescent="0.3"/>
    <row r="62" spans="1:26" ht="15.75" customHeight="1" x14ac:dyDescent="0.3"/>
    <row r="63" spans="1:26" ht="15.75" customHeight="1" x14ac:dyDescent="0.3"/>
    <row r="64" spans="1:26" ht="15.75" customHeight="1" x14ac:dyDescent="0.3">
      <c r="D64" s="484" t="s">
        <v>1361</v>
      </c>
      <c r="E64" s="476"/>
      <c r="F64" s="476"/>
      <c r="G64" s="476"/>
      <c r="H64" s="476"/>
      <c r="I64" s="476"/>
      <c r="J64" s="476"/>
      <c r="K64" s="477"/>
    </row>
    <row r="65" spans="1:26" ht="15.75" customHeight="1" x14ac:dyDescent="0.3">
      <c r="D65" s="35" t="s">
        <v>1322</v>
      </c>
      <c r="E65" s="35" t="s">
        <v>1324</v>
      </c>
      <c r="F65" s="35" t="s">
        <v>1362</v>
      </c>
      <c r="G65" s="35" t="s">
        <v>0</v>
      </c>
      <c r="H65" s="35" t="s">
        <v>1</v>
      </c>
      <c r="I65" s="36" t="s">
        <v>1334</v>
      </c>
      <c r="J65" s="35" t="s">
        <v>1363</v>
      </c>
      <c r="K65" s="35" t="s">
        <v>1335</v>
      </c>
    </row>
    <row r="66" spans="1:26" ht="15.75" customHeight="1" x14ac:dyDescent="0.3">
      <c r="B66" s="10"/>
      <c r="C66" s="10"/>
      <c r="D66" s="113" t="s">
        <v>1416</v>
      </c>
      <c r="E66" s="140">
        <v>1</v>
      </c>
      <c r="F66" s="119">
        <v>39</v>
      </c>
      <c r="G66" s="141">
        <v>20365938688</v>
      </c>
      <c r="H66" s="116" t="str">
        <f>IFERROR(IF('Ago-24'!$G66="","-",VLOOKUP('Ago-24'!$G66,Lista_CUIT!$A$1:$D$2241,2,0)),"CUIT NO CARGADO")</f>
        <v>LIPANOVICH JUAN CRUZ</v>
      </c>
      <c r="I66" s="151">
        <v>750000</v>
      </c>
      <c r="J66" s="118" t="str">
        <f>IFERROR(IF('Ago-24'!$G66="","-",VLOOKUP('Ago-24'!$G66,Lista_CUIT!$A$1:$D$2241,3,0)),"CUIT NO CARGADO")</f>
        <v>SOFTWARE</v>
      </c>
      <c r="K66" s="118">
        <f>IFERROR(IF('Ago-24'!$G66="","-",VLOOKUP('Ago-24'!$G66,Lista_CUIT!$A$1:$D$2241,4,0)),"CUIT NO CARGADO")</f>
        <v>0</v>
      </c>
      <c r="L66" s="10"/>
      <c r="M66" s="10"/>
      <c r="N66" s="10"/>
      <c r="O66" s="10"/>
      <c r="P66" s="10"/>
      <c r="Q66" s="10"/>
      <c r="R66" s="10"/>
    </row>
    <row r="67" spans="1:26" ht="15.75" customHeight="1" x14ac:dyDescent="0.3">
      <c r="B67" s="10"/>
      <c r="C67" s="10"/>
      <c r="D67" s="113" t="s">
        <v>1416</v>
      </c>
      <c r="E67" s="140">
        <v>1</v>
      </c>
      <c r="F67" s="119">
        <v>28</v>
      </c>
      <c r="G67" s="141">
        <v>27387896150</v>
      </c>
      <c r="H67" s="116" t="str">
        <f>IFERROR(IF('Ago-24'!$G67="","-",VLOOKUP('Ago-24'!$G67,Lista_CUIT!$A$1:$D$2241,2,0)),"CUIT NO CARGADO")</f>
        <v>LIPANOVICH MARIA SOL</v>
      </c>
      <c r="I67" s="151">
        <v>900000</v>
      </c>
      <c r="J67" s="118" t="str">
        <f>IFERROR(IF('Ago-24'!$G67="","-",VLOOKUP('Ago-24'!$G67,Lista_CUIT!$A$1:$D$2241,3,0)),"CUIT NO CARGADO")</f>
        <v>consultoria informatica</v>
      </c>
      <c r="K67" s="118">
        <f>IFERROR(IF('Ago-24'!$G67="","-",VLOOKUP('Ago-24'!$G67,Lista_CUIT!$A$1:$D$2241,4,0)),"CUIT NO CARGADO")</f>
        <v>0</v>
      </c>
      <c r="L67" s="10"/>
      <c r="M67" s="10"/>
      <c r="N67" s="10"/>
      <c r="O67" s="10"/>
      <c r="P67" s="10"/>
      <c r="Q67" s="10"/>
      <c r="R67" s="10"/>
    </row>
    <row r="68" spans="1:26" ht="15.75" customHeight="1" x14ac:dyDescent="0.3">
      <c r="A68" s="10"/>
      <c r="B68" s="10"/>
      <c r="C68" s="10"/>
      <c r="D68" s="113" t="s">
        <v>1416</v>
      </c>
      <c r="E68" s="140">
        <v>2</v>
      </c>
      <c r="F68" s="119">
        <v>174</v>
      </c>
      <c r="G68" s="141">
        <v>20136544625</v>
      </c>
      <c r="H68" s="116" t="str">
        <f>IFERROR(IF('Ago-24'!$G68="","-",VLOOKUP('Ago-24'!$G68,Lista_CUIT!$A$1:$D$2241,2,0)),"CUIT NO CARGADO")</f>
        <v>RODRIGUEZ DE LA FUEN HECTOR MARCELO</v>
      </c>
      <c r="I68" s="151">
        <v>813500</v>
      </c>
      <c r="J68" s="118" t="str">
        <f>IFERROR(IF('Ago-24'!$G68="","-",VLOOKUP('Ago-24'!$G68,Lista_CUIT!$A$1:$D$2241,3,0)),"CUIT NO CARGADO")</f>
        <v>Honorarios Admin</v>
      </c>
      <c r="K68" s="118">
        <f>IFERROR(IF('Ago-24'!$G68="","-",VLOOKUP('Ago-24'!$G68,Lista_CUIT!$A$1:$D$2241,4,0)),"CUIT NO CARGADO")</f>
        <v>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">
      <c r="A69" s="10"/>
      <c r="B69" s="10"/>
      <c r="C69" s="10"/>
      <c r="D69" s="113" t="s">
        <v>1416</v>
      </c>
      <c r="E69" s="140">
        <v>2</v>
      </c>
      <c r="F69" s="119">
        <v>250</v>
      </c>
      <c r="G69" s="141">
        <v>27173820866</v>
      </c>
      <c r="H69" s="116" t="str">
        <f>IFERROR(IF('Ago-24'!$G69="","-",VLOOKUP('Ago-24'!$G69,Lista_CUIT!$A$1:$D$2241,2,0)),"CUIT NO CARGADO")</f>
        <v>FREIER SANDRA DANIELA</v>
      </c>
      <c r="I69" s="151">
        <v>713000</v>
      </c>
      <c r="J69" s="118" t="str">
        <f>IFERROR(IF('Ago-24'!$G69="","-",VLOOKUP('Ago-24'!$G69,Lista_CUIT!$A$1:$D$2241,3,0)),"CUIT NO CARGADO")</f>
        <v>Honorarios Prof</v>
      </c>
      <c r="K69" s="118">
        <f>IFERROR(IF('Ago-24'!$G69="","-",VLOOKUP('Ago-24'!$G69,Lista_CUIT!$A$1:$D$2241,4,0)),"CUIT NO CARGADO")</f>
        <v>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">
      <c r="A70" s="10"/>
      <c r="B70" s="10"/>
      <c r="C70" s="10"/>
      <c r="D70" s="113" t="s">
        <v>1424</v>
      </c>
      <c r="E70" s="140">
        <v>3</v>
      </c>
      <c r="F70" s="119">
        <v>873</v>
      </c>
      <c r="G70" s="141">
        <v>20086277523</v>
      </c>
      <c r="H70" s="116" t="str">
        <f>IFERROR(IF('Ago-24'!$G70="","-",VLOOKUP('Ago-24'!$G70,Lista_CUIT!$A$1:$D$2241,2,0)),"CUIT NO CARGADO")</f>
        <v>ESTUDIO BOTINDARI</v>
      </c>
      <c r="I70" s="151">
        <v>270000</v>
      </c>
      <c r="J70" s="118" t="str">
        <f>IFERROR(IF('Ago-24'!$G70="","-",VLOOKUP('Ago-24'!$G70,Lista_CUIT!$A$1:$D$2241,3,0)),"CUIT NO CARGADO")</f>
        <v>Honorarios Contables</v>
      </c>
      <c r="K70" s="118">
        <f>IFERROR(IF('Ago-24'!$G70="","-",VLOOKUP('Ago-24'!$G70,Lista_CUIT!$A$1:$D$2241,4,0)),"CUIT NO CARGADO")</f>
        <v>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">
      <c r="A71" s="10"/>
      <c r="B71" s="10"/>
      <c r="C71" s="10"/>
      <c r="D71" s="113" t="s">
        <v>1428</v>
      </c>
      <c r="E71" s="140">
        <v>2</v>
      </c>
      <c r="F71" s="119">
        <v>6</v>
      </c>
      <c r="G71" s="141">
        <v>23118167279</v>
      </c>
      <c r="H71" s="116" t="str">
        <f>IFERROR(IF('Ago-24'!$G71="","-",VLOOKUP('Ago-24'!$G71,Lista_CUIT!$A$1:$D$2241,2,0)),"CUIT NO CARGADO")</f>
        <v>ABELEDO ENRIQUE JUAN</v>
      </c>
      <c r="I71" s="151">
        <v>780000</v>
      </c>
      <c r="J71" s="118" t="str">
        <f>IFERROR(IF('Ago-24'!$G71="","-",VLOOKUP('Ago-24'!$G71,Lista_CUIT!$A$1:$D$2241,3,0)),"CUIT NO CARGADO")</f>
        <v>Honorarios Admin</v>
      </c>
      <c r="K71" s="118">
        <f>IFERROR(IF('Ago-24'!$G71="","-",VLOOKUP('Ago-24'!$G71,Lista_CUIT!$A$1:$D$2241,4,0)),"CUIT NO CARGADO")</f>
        <v>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">
      <c r="A72" s="10"/>
      <c r="B72" s="10"/>
      <c r="C72" s="10"/>
      <c r="D72" s="113" t="s">
        <v>1429</v>
      </c>
      <c r="E72" s="140">
        <v>3</v>
      </c>
      <c r="F72" s="119">
        <v>3616</v>
      </c>
      <c r="G72" s="141">
        <v>20936336826</v>
      </c>
      <c r="H72" s="116" t="str">
        <f>IFERROR(IF('Ago-24'!$G72="","-",VLOOKUP('Ago-24'!$G72,Lista_CUIT!$A$1:$D$2241,2,0)),"CUIT NO CARGADO")</f>
        <v>CUIT NO CARGADO</v>
      </c>
      <c r="I72" s="151">
        <v>9942.7000000000007</v>
      </c>
      <c r="J72" s="118" t="str">
        <f>IFERROR(IF('Ago-24'!$G72="","-",VLOOKUP('Ago-24'!$G72,Lista_CUIT!$A$1:$D$2241,3,0)),"CUIT NO CARGADO")</f>
        <v>CUIT NO CARGADO</v>
      </c>
      <c r="K72" s="118" t="str">
        <f>IFERROR(IF('Ago-24'!$G72="","-",VLOOKUP('Ago-24'!$G72,Lista_CUIT!$A$1:$D$2241,4,0)),"CUIT NO CARGADO")</f>
        <v>CUIT NO CARGADO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7.25" customHeight="1" x14ac:dyDescent="0.3">
      <c r="A73" s="10"/>
      <c r="B73" s="10"/>
      <c r="C73" s="10"/>
      <c r="D73" s="113" t="s">
        <v>1429</v>
      </c>
      <c r="E73" s="140">
        <v>2</v>
      </c>
      <c r="F73" s="119">
        <v>251</v>
      </c>
      <c r="G73" s="141">
        <v>27173820866</v>
      </c>
      <c r="H73" s="116" t="str">
        <f>IFERROR(IF('Ago-24'!$G73="","-",VLOOKUP('Ago-24'!$G73,Lista_CUIT!$A$1:$D$2241,2,0)),"CUIT NO CARGADO")</f>
        <v>FREIER SANDRA DANIELA</v>
      </c>
      <c r="I73" s="151">
        <v>696000</v>
      </c>
      <c r="J73" s="118" t="str">
        <f>IFERROR(IF('Ago-24'!$G73="","-",VLOOKUP('Ago-24'!$G73,Lista_CUIT!$A$1:$D$2241,3,0)),"CUIT NO CARGADO")</f>
        <v>Honorarios Prof</v>
      </c>
      <c r="K73" s="118">
        <f>IFERROR(IF('Ago-24'!$G73="","-",VLOOKUP('Ago-24'!$G73,Lista_CUIT!$A$1:$D$2241,4,0)),"CUIT NO CARGADO")</f>
        <v>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/>
      <c r="B74" s="10"/>
      <c r="C74" s="10"/>
      <c r="D74" s="113" t="s">
        <v>1412</v>
      </c>
      <c r="E74" s="140">
        <v>1</v>
      </c>
      <c r="F74" s="119">
        <v>497</v>
      </c>
      <c r="G74" s="141">
        <v>27925308868</v>
      </c>
      <c r="H74" s="116" t="str">
        <f>IFERROR(IF('Ago-24'!$G74="","-",VLOOKUP('Ago-24'!$G74,Lista_CUIT!$A$1:$D$2241,2,0)),"CUIT NO CARGADO")</f>
        <v>LOPEZ MOLINA MARIA</v>
      </c>
      <c r="I74" s="151">
        <v>13000</v>
      </c>
      <c r="J74" s="118" t="str">
        <f>IFERROR(IF('Ago-24'!$G74="","-",VLOOKUP('Ago-24'!$G74,Lista_CUIT!$A$1:$D$2241,3,0)),"CUIT NO CARGADO")</f>
        <v>GASTOS VARIOS</v>
      </c>
      <c r="K74" s="118">
        <f>IFERROR(IF('Ago-24'!$G74="","-",VLOOKUP('Ago-24'!$G74,Lista_CUIT!$A$1:$D$2241,4,0)),"CUIT NO CARGADO")</f>
        <v>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10"/>
      <c r="C75" s="10"/>
      <c r="D75" s="113" t="s">
        <v>1430</v>
      </c>
      <c r="E75" s="140">
        <v>1</v>
      </c>
      <c r="F75" s="119">
        <v>21</v>
      </c>
      <c r="G75" s="141">
        <v>20338344695</v>
      </c>
      <c r="H75" s="116" t="str">
        <f>IFERROR(IF('Ago-24'!$G75="","-",VLOOKUP('Ago-24'!$G75,Lista_CUIT!$A$1:$D$2241,2,0)),"CUIT NO CARGADO")</f>
        <v>FUERTES DAMIAN MATIAS</v>
      </c>
      <c r="I75" s="151">
        <v>188100</v>
      </c>
      <c r="J75" s="118" t="str">
        <f>IFERROR(IF('Ago-24'!$G75="","-",VLOOKUP('Ago-24'!$G75,Lista_CUIT!$A$1:$D$2241,3,0)),"CUIT NO CARGADO")</f>
        <v>INSUMO</v>
      </c>
      <c r="K75" s="118">
        <f>IFERROR(IF('Ago-24'!$G75="","-",VLOOKUP('Ago-24'!$G75,Lista_CUIT!$A$1:$D$2241,4,0)),"CUIT NO CARGADO")</f>
        <v>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10"/>
      <c r="C76" s="10"/>
      <c r="D76" s="113" t="s">
        <v>1430</v>
      </c>
      <c r="E76" s="140">
        <v>2</v>
      </c>
      <c r="F76" s="119">
        <v>175</v>
      </c>
      <c r="G76" s="141">
        <v>20136544625</v>
      </c>
      <c r="H76" s="116" t="str">
        <f>IFERROR(IF('Ago-24'!$G76="","-",VLOOKUP('Ago-24'!$G76,Lista_CUIT!$A$1:$D$2241,2,0)),"CUIT NO CARGADO")</f>
        <v>RODRIGUEZ DE LA FUEN HECTOR MARCELO</v>
      </c>
      <c r="I76" s="151">
        <v>1207000</v>
      </c>
      <c r="J76" s="118" t="str">
        <f>IFERROR(IF('Ago-24'!$G76="","-",VLOOKUP('Ago-24'!$G76,Lista_CUIT!$A$1:$D$2241,3,0)),"CUIT NO CARGADO")</f>
        <v>Honorarios Admin</v>
      </c>
      <c r="K76" s="118">
        <f>IFERROR(IF('Ago-24'!$G76="","-",VLOOKUP('Ago-24'!$G76,Lista_CUIT!$A$1:$D$2241,4,0)),"CUIT NO CARGADO")</f>
        <v>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10"/>
      <c r="C77" s="10"/>
      <c r="D77" s="113" t="s">
        <v>1431</v>
      </c>
      <c r="E77" s="140">
        <v>1</v>
      </c>
      <c r="F77" s="119">
        <v>113</v>
      </c>
      <c r="G77" s="141">
        <v>20389908569</v>
      </c>
      <c r="H77" s="116" t="str">
        <f>IFERROR(IF('Ago-24'!$G77="","-",VLOOKUP('Ago-24'!$G77,Lista_CUIT!$A$1:$D$2241,2,0)),"CUIT NO CARGADO")</f>
        <v>BOTINDARI JUAN IGNACIO</v>
      </c>
      <c r="I77" s="151">
        <v>72530</v>
      </c>
      <c r="J77" s="118" t="str">
        <f>IFERROR(IF('Ago-24'!$G77="","-",VLOOKUP('Ago-24'!$G77,Lista_CUIT!$A$1:$D$2241,3,0)),"CUIT NO CARGADO")</f>
        <v>Honorarios Contables</v>
      </c>
      <c r="K77" s="118">
        <f>IFERROR(IF('Ago-24'!$G77="","-",VLOOKUP('Ago-24'!$G77,Lista_CUIT!$A$1:$D$2241,4,0)),"CUIT NO CARGADO")</f>
        <v>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10"/>
      <c r="C78" s="10"/>
      <c r="D78" s="113" t="s">
        <v>1432</v>
      </c>
      <c r="E78" s="140">
        <v>2</v>
      </c>
      <c r="F78" s="119">
        <v>145</v>
      </c>
      <c r="G78" s="141">
        <v>27125997835</v>
      </c>
      <c r="H78" s="116" t="str">
        <f>IFERROR(IF('Ago-24'!$G78="","-",VLOOKUP('Ago-24'!$G78,Lista_CUIT!$A$1:$D$2241,2,0)),"CUIT NO CARGADO")</f>
        <v>DANSKY ULLMANN VIVIANA EVA YOLANDA</v>
      </c>
      <c r="I78" s="151">
        <v>66000</v>
      </c>
      <c r="J78" s="118" t="str">
        <f>IFERROR(IF('Ago-24'!$G78="","-",VLOOKUP('Ago-24'!$G78,Lista_CUIT!$A$1:$D$2241,3,0)),"CUIT NO CARGADO")</f>
        <v>Honorarios Prof</v>
      </c>
      <c r="K78" s="118">
        <f>IFERROR(IF('Ago-24'!$G78="","-",VLOOKUP('Ago-24'!$G78,Lista_CUIT!$A$1:$D$2241,4,0)),"CUIT NO CARGADO")</f>
        <v>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10"/>
      <c r="C79" s="10"/>
      <c r="D79" s="113" t="s">
        <v>1433</v>
      </c>
      <c r="E79" s="140">
        <v>4</v>
      </c>
      <c r="F79" s="119">
        <v>28</v>
      </c>
      <c r="G79" s="141">
        <v>20341462933</v>
      </c>
      <c r="H79" s="116" t="str">
        <f>IFERROR(IF('Ago-24'!$G79="","-",VLOOKUP('Ago-24'!$G79,Lista_CUIT!$A$1:$D$2241,2,0)),"CUIT NO CARGADO")</f>
        <v>CASTIGLIONI MATIAS EZEQUIEL</v>
      </c>
      <c r="I79" s="151">
        <v>1525000</v>
      </c>
      <c r="J79" s="118" t="str">
        <f>IFERROR(IF('Ago-24'!$G79="","-",VLOOKUP('Ago-24'!$G79,Lista_CUIT!$A$1:$D$2241,3,0)),"CUIT NO CARGADO")</f>
        <v>ASESORAMIENTO</v>
      </c>
      <c r="K79" s="118" t="str">
        <f>IFERROR(IF('Ago-24'!$G79="","-",VLOOKUP('Ago-24'!$G79,Lista_CUIT!$A$1:$D$2241,4,0)),"CUIT NO CARGADO")</f>
        <v>BUENOS AIRES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10"/>
      <c r="C80" s="10"/>
      <c r="D80" s="113"/>
      <c r="E80" s="140"/>
      <c r="F80" s="119"/>
      <c r="G80" s="141"/>
      <c r="H80" s="116" t="str">
        <f>IFERROR(IF('Ago-24'!$G80="","-",VLOOKUP('Ago-24'!$G80,Lista_CUIT!$A$1:$D$2241,2,0)),"CUIT NO CARGADO")</f>
        <v>-</v>
      </c>
      <c r="I80" s="151"/>
      <c r="J80" s="118" t="str">
        <f>IFERROR(IF('Ago-24'!$G80="","-",VLOOKUP('Ago-24'!$G80,Lista_CUIT!$A$1:$D$2241,3,0)),"CUIT NO CARGADO")</f>
        <v>-</v>
      </c>
      <c r="K80" s="118" t="str">
        <f>IFERROR(IF('Ago-24'!$G80="","-",VLOOKUP('Ago-24'!$G80,Lista_CUIT!$A$1:$D$2241,4,0)),"CUIT NO CARGADO")</f>
        <v>-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10"/>
      <c r="C81" s="10"/>
      <c r="D81" s="113"/>
      <c r="E81" s="140"/>
      <c r="F81" s="119"/>
      <c r="G81" s="141"/>
      <c r="H81" s="116" t="str">
        <f>IFERROR(IF('Ago-24'!$G81="","-",VLOOKUP('Ago-24'!$G81,Lista_CUIT!$A$1:$D$2241,2,0)),"CUIT NO CARGADO")</f>
        <v>-</v>
      </c>
      <c r="I81" s="151"/>
      <c r="J81" s="118" t="str">
        <f>IFERROR(IF('Ago-24'!$G81="","-",VLOOKUP('Ago-24'!$G81,Lista_CUIT!$A$1:$D$2241,3,0)),"CUIT NO CARGADO")</f>
        <v>-</v>
      </c>
      <c r="K81" s="118" t="str">
        <f>IFERROR(IF('Ago-24'!$G81="","-",VLOOKUP('Ago-24'!$G81,Lista_CUIT!$A$1:$D$2241,4,0)),"CUIT NO CARGADO")</f>
        <v>-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10"/>
      <c r="C82" s="10"/>
      <c r="D82" s="114"/>
      <c r="E82" s="114"/>
      <c r="F82" s="114"/>
      <c r="G82" s="115"/>
      <c r="H82" s="116" t="str">
        <f>IFERROR(IF('Ago-24'!$G82="","-",VLOOKUP('Ago-24'!$G82,Lista_CUIT!$A$1:$D$2241,2,0)),"CUIT NO CARGADO")</f>
        <v>-</v>
      </c>
      <c r="I82" s="152"/>
      <c r="J82" s="118" t="str">
        <f>IFERROR(IF('Ago-24'!$G82="","-",VLOOKUP('Ago-24'!$G82,Lista_CUIT!$A$1:$D$2241,3,0)),"CUIT NO CARGADO")</f>
        <v>-</v>
      </c>
      <c r="K82" s="118" t="str">
        <f>IFERROR(IF('Ago-24'!$G82="","-",VLOOKUP('Ago-24'!$G82,Lista_CUIT!$A$1:$D$2241,4,0)),"CUIT NO CARGADO")</f>
        <v>-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D83" s="38"/>
      <c r="E83" s="38"/>
      <c r="F83" s="38"/>
      <c r="G83" s="39"/>
      <c r="H83" s="40" t="str">
        <f>IFERROR(IF('Ago-24'!$G83="","-",VLOOKUP('Ago-24'!$G83,Lista_CUIT!$A$1:$D$2241,2,0)),"CUIT NO CARGADO")</f>
        <v>-</v>
      </c>
      <c r="I83" s="41"/>
      <c r="J83" s="42" t="str">
        <f>IFERROR(IF('Ago-24'!$G83="","-",VLOOKUP('Ago-24'!$G83,Lista_CUIT!$A$1:$D$2241,3,0)),"CUIT NO CARGADO")</f>
        <v>-</v>
      </c>
      <c r="K83" s="42" t="str">
        <f>IFERROR(IF('Ago-24'!$G83="","-",VLOOKUP('Ago-24'!$G83,Lista_CUIT!$A$1:$D$2241,4,0)),"CUIT NO CARGADO")</f>
        <v>-</v>
      </c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D84" s="42" t="s">
        <v>1343</v>
      </c>
      <c r="E84" s="42"/>
      <c r="F84" s="42"/>
      <c r="G84" s="42"/>
      <c r="H84" s="44"/>
      <c r="I84" s="41">
        <f>SUBTOTAL(109,'Ago-24'!$I$66:$I$83)</f>
        <v>8004072.7000000002</v>
      </c>
      <c r="J84" s="42"/>
      <c r="K84" s="42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B85" s="43"/>
      <c r="C85" s="43"/>
      <c r="L85" s="43"/>
      <c r="M85" s="43"/>
      <c r="N85" s="43"/>
      <c r="O85" s="43"/>
      <c r="P85" s="43"/>
      <c r="Q85" s="43"/>
      <c r="R85" s="43"/>
    </row>
    <row r="86" spans="1:26" ht="15.75" customHeight="1" x14ac:dyDescent="0.3"/>
    <row r="87" spans="1:26" ht="15.75" customHeight="1" x14ac:dyDescent="0.3"/>
    <row r="88" spans="1:26" ht="15.75" customHeight="1" x14ac:dyDescent="0.3"/>
    <row r="89" spans="1:26" ht="15.75" customHeight="1" x14ac:dyDescent="0.3"/>
    <row r="90" spans="1:26" ht="15.75" customHeight="1" x14ac:dyDescent="0.3">
      <c r="B90" s="492" t="s">
        <v>1364</v>
      </c>
      <c r="C90" s="476"/>
      <c r="D90" s="476"/>
      <c r="E90" s="476"/>
      <c r="F90" s="476"/>
      <c r="G90" s="476"/>
      <c r="H90" s="476"/>
      <c r="I90" s="476"/>
      <c r="J90" s="477"/>
      <c r="K90" s="493">
        <f>N1</f>
        <v>45139</v>
      </c>
      <c r="L90" s="476"/>
      <c r="M90" s="477"/>
    </row>
    <row r="91" spans="1:26" ht="15.75" customHeight="1" x14ac:dyDescent="0.3"/>
    <row r="92" spans="1:26" ht="18.75" customHeight="1" x14ac:dyDescent="0.3">
      <c r="B92" s="485" t="s">
        <v>1365</v>
      </c>
      <c r="C92" s="486"/>
    </row>
    <row r="93" spans="1:26" ht="15.75" customHeight="1" x14ac:dyDescent="0.3">
      <c r="B93" s="45" t="s">
        <v>1322</v>
      </c>
      <c r="C93" s="46" t="s">
        <v>1323</v>
      </c>
      <c r="D93" s="46" t="s">
        <v>1366</v>
      </c>
      <c r="E93" s="46" t="s">
        <v>1367</v>
      </c>
      <c r="F93" s="46" t="s">
        <v>0</v>
      </c>
      <c r="G93" s="46" t="s">
        <v>1</v>
      </c>
      <c r="H93" s="46" t="s">
        <v>1368</v>
      </c>
      <c r="I93" s="46" t="s">
        <v>1348</v>
      </c>
      <c r="J93" s="46" t="s">
        <v>1329</v>
      </c>
      <c r="K93" s="46" t="s">
        <v>1369</v>
      </c>
      <c r="L93" s="46" t="s">
        <v>1334</v>
      </c>
      <c r="M93" s="47" t="s">
        <v>1335</v>
      </c>
    </row>
    <row r="94" spans="1:26" ht="15.75" customHeight="1" x14ac:dyDescent="0.3">
      <c r="B94" s="12" t="s">
        <v>1429</v>
      </c>
      <c r="C94" s="13">
        <v>1</v>
      </c>
      <c r="D94" s="14">
        <v>3</v>
      </c>
      <c r="E94" s="15">
        <v>213</v>
      </c>
      <c r="F94" s="16">
        <v>20408014019</v>
      </c>
      <c r="G94" s="120" t="str">
        <f>IFERROR(IF('Ago-24'!$F94="","-",VLOOKUP('Ago-24'!$F94,Lista_CUIT!$A$1:$D$2241,2,0)),"CUIT NO CARGADO")</f>
        <v>BRUNETTO LUCAS GASTON</v>
      </c>
      <c r="H94" s="49">
        <v>1132037</v>
      </c>
      <c r="I94" s="50">
        <f>'Ago-24'!$H94*0.21</f>
        <v>237727.77</v>
      </c>
      <c r="J94" s="51"/>
      <c r="K94" s="51"/>
      <c r="L94" s="51">
        <f>SUM('Ago-24'!$H94:$K94)</f>
        <v>1369764.77</v>
      </c>
      <c r="M94" s="52"/>
    </row>
    <row r="95" spans="1:26" ht="15.75" customHeight="1" x14ac:dyDescent="0.3">
      <c r="B95" s="12" t="s">
        <v>1430</v>
      </c>
      <c r="C95" s="13">
        <v>1</v>
      </c>
      <c r="D95" s="14">
        <v>3</v>
      </c>
      <c r="E95" s="15">
        <v>214</v>
      </c>
      <c r="F95" s="16">
        <v>30638318470</v>
      </c>
      <c r="G95" s="120" t="str">
        <f>IFERROR(IF('Ago-24'!$F95="","-",VLOOKUP('Ago-24'!$F95,Lista_CUIT!$A$1:$D$2241,2,0)),"CUIT NO CARGADO")</f>
        <v>DELTA COMPRESION S R L</v>
      </c>
      <c r="H95" s="49">
        <v>2682400</v>
      </c>
      <c r="I95" s="50">
        <f>'Ago-24'!$H95*0.21</f>
        <v>563304</v>
      </c>
      <c r="J95" s="51"/>
      <c r="K95" s="51"/>
      <c r="L95" s="51">
        <f>SUM('Ago-24'!$H95:$K95)</f>
        <v>3245704</v>
      </c>
      <c r="M95" s="52"/>
    </row>
    <row r="96" spans="1:26" ht="15.75" customHeight="1" x14ac:dyDescent="0.3">
      <c r="B96" s="12" t="s">
        <v>1430</v>
      </c>
      <c r="C96" s="13">
        <v>1</v>
      </c>
      <c r="D96" s="14">
        <v>3</v>
      </c>
      <c r="E96" s="15">
        <v>215</v>
      </c>
      <c r="F96" s="16">
        <v>30638318470</v>
      </c>
      <c r="G96" s="120" t="str">
        <f>IFERROR(IF('Ago-24'!$F96="","-",VLOOKUP('Ago-24'!$F96,Lista_CUIT!$A$1:$D$2241,2,0)),"CUIT NO CARGADO")</f>
        <v>DELTA COMPRESION S R L</v>
      </c>
      <c r="H96" s="49">
        <v>2682400</v>
      </c>
      <c r="I96" s="50">
        <f>'Ago-24'!$H96*0.21</f>
        <v>563304</v>
      </c>
      <c r="J96" s="51"/>
      <c r="K96" s="51"/>
      <c r="L96" s="51">
        <f>SUM('Ago-24'!$H96:$K96)</f>
        <v>3245704</v>
      </c>
      <c r="M96" s="52"/>
    </row>
    <row r="97" spans="2:13" ht="15.75" customHeight="1" x14ac:dyDescent="0.3">
      <c r="B97" s="12" t="s">
        <v>1430</v>
      </c>
      <c r="C97" s="13">
        <v>3</v>
      </c>
      <c r="D97" s="14">
        <v>3</v>
      </c>
      <c r="E97" s="15">
        <v>24</v>
      </c>
      <c r="F97" s="16">
        <v>30638318470</v>
      </c>
      <c r="G97" s="120" t="str">
        <f>IFERROR(IF('Ago-24'!$F97="","-",VLOOKUP('Ago-24'!$F97,Lista_CUIT!$A$1:$D$2241,2,0)),"CUIT NO CARGADO")</f>
        <v>DELTA COMPRESION S R L</v>
      </c>
      <c r="H97" s="49">
        <v>-2682400</v>
      </c>
      <c r="I97" s="50">
        <f>'Ago-24'!$H97*0.21</f>
        <v>-563304</v>
      </c>
      <c r="J97" s="51"/>
      <c r="K97" s="51"/>
      <c r="L97" s="51">
        <f>SUM('Ago-24'!$H97:$K97)</f>
        <v>-3245704</v>
      </c>
      <c r="M97" s="52"/>
    </row>
    <row r="98" spans="2:13" ht="15.75" customHeight="1" x14ac:dyDescent="0.3">
      <c r="B98" s="12" t="s">
        <v>1419</v>
      </c>
      <c r="C98" s="13">
        <v>3</v>
      </c>
      <c r="D98" s="14">
        <v>3</v>
      </c>
      <c r="E98" s="15">
        <v>25</v>
      </c>
      <c r="F98" s="16">
        <v>30638318470</v>
      </c>
      <c r="G98" s="120" t="str">
        <f>IFERROR(IF('Ago-24'!$F98="","-",VLOOKUP('Ago-24'!$F98,Lista_CUIT!$A$1:$D$2241,2,0)),"CUIT NO CARGADO")</f>
        <v>DELTA COMPRESION S R L</v>
      </c>
      <c r="H98" s="49">
        <v>-321480</v>
      </c>
      <c r="I98" s="50">
        <f>'Ago-24'!$H98*0.21</f>
        <v>-67510.8</v>
      </c>
      <c r="J98" s="51"/>
      <c r="K98" s="51"/>
      <c r="L98" s="51">
        <f>SUM('Ago-24'!$H98:$K98)</f>
        <v>-388990.8</v>
      </c>
      <c r="M98" s="52"/>
    </row>
    <row r="99" spans="2:13" ht="15.75" customHeight="1" x14ac:dyDescent="0.3">
      <c r="B99" s="12" t="s">
        <v>1418</v>
      </c>
      <c r="C99" s="13">
        <v>1</v>
      </c>
      <c r="D99" s="14">
        <v>3</v>
      </c>
      <c r="E99" s="15">
        <v>216</v>
      </c>
      <c r="F99" s="16">
        <v>30628274327</v>
      </c>
      <c r="G99" s="120" t="str">
        <f>IFERROR(IF('Ago-24'!$F99="","-",VLOOKUP('Ago-24'!$F99,Lista_CUIT!$A$1:$D$2241,2,0)),"CUIT NO CARGADO")</f>
        <v>AGIRA  S A</v>
      </c>
      <c r="H99" s="49">
        <v>17603640</v>
      </c>
      <c r="I99" s="50">
        <f>385200*0.21</f>
        <v>80892</v>
      </c>
      <c r="J99" s="51">
        <f>17218440*0.105</f>
        <v>1807936.2</v>
      </c>
      <c r="K99" s="51"/>
      <c r="L99" s="153">
        <f>SUM('Ago-24'!$H99:$K99)</f>
        <v>19492468.199999999</v>
      </c>
      <c r="M99" s="52"/>
    </row>
    <row r="100" spans="2:13" ht="15.75" customHeight="1" x14ac:dyDescent="0.3">
      <c r="B100" s="12" t="s">
        <v>1418</v>
      </c>
      <c r="C100" s="13">
        <v>1</v>
      </c>
      <c r="D100" s="14">
        <v>3</v>
      </c>
      <c r="E100" s="15">
        <v>217</v>
      </c>
      <c r="F100" s="16">
        <v>30638318470</v>
      </c>
      <c r="G100" s="120" t="str">
        <f>IFERROR(IF('Ago-24'!$F100="","-",VLOOKUP('Ago-24'!$F100,Lista_CUIT!$A$1:$D$2241,2,0)),"CUIT NO CARGADO")</f>
        <v>DELTA COMPRESION S R L</v>
      </c>
      <c r="H100" s="49">
        <v>40910100</v>
      </c>
      <c r="I100" s="50"/>
      <c r="J100" s="51">
        <f>'Ago-24'!$H100*0.105</f>
        <v>4295560.5</v>
      </c>
      <c r="K100" s="51"/>
      <c r="L100" s="51">
        <f>SUM('Ago-24'!$H100:$K100)</f>
        <v>45205660.5</v>
      </c>
      <c r="M100" s="53"/>
    </row>
    <row r="101" spans="2:13" ht="15.75" customHeight="1" x14ac:dyDescent="0.3">
      <c r="B101" s="12" t="s">
        <v>1414</v>
      </c>
      <c r="C101" s="13">
        <v>1</v>
      </c>
      <c r="D101" s="14">
        <v>3</v>
      </c>
      <c r="E101" s="15">
        <v>218</v>
      </c>
      <c r="F101" s="16">
        <v>30718512545</v>
      </c>
      <c r="G101" s="120" t="str">
        <f>IFERROR(IF('Ago-24'!$F101="","-",VLOOKUP('Ago-24'!$F101,Lista_CUIT!$A$1:$D$2241,2,0)),"CUIT NO CARGADO")</f>
        <v>MAJUBEN MDP SERVICIOS S.R.L.</v>
      </c>
      <c r="H101" s="49">
        <v>1047060</v>
      </c>
      <c r="I101" s="50">
        <f>'Ago-24'!$H101*0.21</f>
        <v>219882.6</v>
      </c>
      <c r="J101" s="51"/>
      <c r="K101" s="61"/>
      <c r="L101" s="61">
        <f>SUM('Ago-24'!$H101:$K101)</f>
        <v>1266942.6000000001</v>
      </c>
      <c r="M101" s="53"/>
    </row>
    <row r="102" spans="2:13" ht="15.75" customHeight="1" x14ac:dyDescent="0.3">
      <c r="B102" s="12" t="s">
        <v>1414</v>
      </c>
      <c r="C102" s="13">
        <v>1</v>
      </c>
      <c r="D102" s="14">
        <v>3</v>
      </c>
      <c r="E102" s="15">
        <v>219</v>
      </c>
      <c r="F102" s="16">
        <v>30716403900</v>
      </c>
      <c r="G102" s="120" t="str">
        <f>IFERROR(IF('Ago-24'!$F102="","-",VLOOKUP('Ago-24'!$F102,Lista_CUIT!$A$1:$D$2241,2,0)),"CUIT NO CARGADO")</f>
        <v>PARQUE CONSTITUCION SRL</v>
      </c>
      <c r="H102" s="49">
        <v>1454250</v>
      </c>
      <c r="I102" s="50">
        <f>'Ago-24'!$H102*0.21</f>
        <v>305392.5</v>
      </c>
      <c r="J102" s="51"/>
      <c r="K102" s="51"/>
      <c r="L102" s="51">
        <f>SUM('Ago-24'!$H102:$K102)</f>
        <v>1759642.5</v>
      </c>
      <c r="M102" s="52"/>
    </row>
    <row r="103" spans="2:13" ht="15.75" customHeight="1" x14ac:dyDescent="0.3">
      <c r="B103" s="68" t="s">
        <v>1343</v>
      </c>
      <c r="C103" s="69"/>
      <c r="D103" s="69"/>
      <c r="E103" s="69"/>
      <c r="F103" s="69"/>
      <c r="G103" s="69"/>
      <c r="H103" s="70">
        <f>SUBTOTAL(109,'Ago-24'!$H$94:$H$102)</f>
        <v>64508007</v>
      </c>
      <c r="I103" s="71">
        <f>SUBTOTAL(109,'Ago-24'!$I$94:$I$102)</f>
        <v>1339688.0699999998</v>
      </c>
      <c r="J103" s="61">
        <f>SUBTOTAL(109,'Ago-24'!$J$94:$J$102)</f>
        <v>6103496.7000000002</v>
      </c>
      <c r="K103" s="61">
        <f>SUBTOTAL(109,'Ago-24'!$K$94:$K$102)</f>
        <v>0</v>
      </c>
      <c r="L103" s="61">
        <f>SUBTOTAL(109,'Ago-24'!$L$94:$L$102)</f>
        <v>71951191.769999996</v>
      </c>
      <c r="M103" s="72">
        <f>SUBTOTAL(103,'Ago-24'!$M$94:$M$102)</f>
        <v>0</v>
      </c>
    </row>
    <row r="104" spans="2:13" ht="15.75" customHeight="1" x14ac:dyDescent="0.3"/>
    <row r="105" spans="2:13" ht="15.75" customHeight="1" x14ac:dyDescent="0.3"/>
    <row r="106" spans="2:13" ht="15.75" customHeight="1" x14ac:dyDescent="0.3">
      <c r="B106" s="485" t="s">
        <v>1372</v>
      </c>
      <c r="C106" s="486"/>
    </row>
    <row r="107" spans="2:13" ht="15.75" customHeight="1" x14ac:dyDescent="0.3">
      <c r="B107" s="45" t="s">
        <v>1322</v>
      </c>
      <c r="C107" s="46" t="s">
        <v>1323</v>
      </c>
      <c r="D107" s="46" t="s">
        <v>1366</v>
      </c>
      <c r="E107" s="46" t="s">
        <v>1367</v>
      </c>
      <c r="F107" s="46" t="s">
        <v>0</v>
      </c>
      <c r="G107" s="46" t="s">
        <v>1</v>
      </c>
      <c r="H107" s="46" t="s">
        <v>1368</v>
      </c>
      <c r="I107" s="46" t="s">
        <v>1348</v>
      </c>
      <c r="J107" s="46" t="s">
        <v>1329</v>
      </c>
      <c r="K107" s="46" t="s">
        <v>1369</v>
      </c>
      <c r="L107" s="46" t="s">
        <v>1334</v>
      </c>
      <c r="M107" s="47" t="s">
        <v>1335</v>
      </c>
    </row>
    <row r="108" spans="2:13" ht="15.75" customHeight="1" x14ac:dyDescent="0.3">
      <c r="B108" s="12" t="s">
        <v>1412</v>
      </c>
      <c r="C108" s="13">
        <v>6</v>
      </c>
      <c r="D108" s="14">
        <v>3</v>
      </c>
      <c r="E108" s="15">
        <v>11</v>
      </c>
      <c r="F108" s="16">
        <v>86809059768</v>
      </c>
      <c r="G108" s="73" t="str">
        <f>IFERROR(IF('Ago-24'!$F108="","-",VLOOKUP('Ago-24'!$F108,Lista_CUIT!$A$1:$D$2241,2,0)),"CUIT NO CARGADO")</f>
        <v>CUIT NO CARGADO</v>
      </c>
      <c r="H108" s="74">
        <f>'Ago-24'!$L108/1.21</f>
        <v>383112</v>
      </c>
      <c r="I108" s="74">
        <f>'Ago-24'!$H108*0.21</f>
        <v>80453.52</v>
      </c>
      <c r="J108" s="74"/>
      <c r="K108" s="74"/>
      <c r="L108" s="74">
        <v>463565.52</v>
      </c>
      <c r="M108" s="52"/>
    </row>
    <row r="109" spans="2:13" ht="15.75" customHeight="1" x14ac:dyDescent="0.3">
      <c r="B109" s="12"/>
      <c r="C109" s="13"/>
      <c r="D109" s="14"/>
      <c r="E109" s="15"/>
      <c r="F109" s="16"/>
      <c r="G109" s="73"/>
      <c r="H109" s="74">
        <f>'Ago-24'!$L109/1.21</f>
        <v>0</v>
      </c>
      <c r="I109" s="74">
        <f>'Ago-24'!$H109*0.21</f>
        <v>0</v>
      </c>
      <c r="J109" s="74"/>
      <c r="K109" s="74"/>
      <c r="L109" s="74"/>
      <c r="M109" s="52"/>
    </row>
    <row r="110" spans="2:13" ht="15.75" customHeight="1" x14ac:dyDescent="0.3">
      <c r="B110" s="12"/>
      <c r="C110" s="13"/>
      <c r="D110" s="14"/>
      <c r="E110" s="15"/>
      <c r="F110" s="16"/>
      <c r="G110" s="73"/>
      <c r="H110" s="74">
        <f>'Ago-24'!$L110/1.21</f>
        <v>0</v>
      </c>
      <c r="I110" s="74">
        <f>'Ago-24'!$H110*0.21</f>
        <v>0</v>
      </c>
      <c r="J110" s="74"/>
      <c r="K110" s="74"/>
      <c r="L110" s="74"/>
      <c r="M110" s="52"/>
    </row>
    <row r="111" spans="2:13" ht="15.75" customHeight="1" x14ac:dyDescent="0.3">
      <c r="B111" s="12"/>
      <c r="C111" s="13"/>
      <c r="D111" s="14"/>
      <c r="E111" s="15"/>
      <c r="F111" s="16"/>
      <c r="G111" s="73"/>
      <c r="H111" s="74">
        <f>'Ago-24'!$L111/1.21</f>
        <v>0</v>
      </c>
      <c r="I111" s="74">
        <f>'Ago-24'!$H111*0.21</f>
        <v>0</v>
      </c>
      <c r="J111" s="74"/>
      <c r="K111" s="74"/>
      <c r="L111" s="74"/>
      <c r="M111" s="52"/>
    </row>
    <row r="112" spans="2:13" ht="15.75" customHeight="1" x14ac:dyDescent="0.3">
      <c r="B112" s="12"/>
      <c r="C112" s="13"/>
      <c r="D112" s="14"/>
      <c r="E112" s="15"/>
      <c r="F112" s="16"/>
      <c r="G112" s="73"/>
      <c r="H112" s="74">
        <f>'Ago-24'!$L112/1.21</f>
        <v>0</v>
      </c>
      <c r="I112" s="74">
        <f>'Ago-24'!$H112*0.21</f>
        <v>0</v>
      </c>
      <c r="J112" s="74"/>
      <c r="K112" s="74"/>
      <c r="L112" s="74"/>
      <c r="M112" s="52"/>
    </row>
    <row r="113" spans="2:13" ht="15.75" customHeight="1" x14ac:dyDescent="0.3">
      <c r="B113" s="12"/>
      <c r="C113" s="13"/>
      <c r="D113" s="14"/>
      <c r="E113" s="15"/>
      <c r="F113" s="16"/>
      <c r="G113" s="73"/>
      <c r="H113" s="74">
        <f>'Ago-24'!$L113/1.21</f>
        <v>0</v>
      </c>
      <c r="I113" s="74">
        <f>'Ago-24'!$H113*0.21</f>
        <v>0</v>
      </c>
      <c r="J113" s="74"/>
      <c r="K113" s="74"/>
      <c r="L113" s="74"/>
      <c r="M113" s="52"/>
    </row>
    <row r="114" spans="2:13" ht="15.75" customHeight="1" x14ac:dyDescent="0.3">
      <c r="B114" s="68" t="s">
        <v>1343</v>
      </c>
      <c r="C114" s="69"/>
      <c r="D114" s="69"/>
      <c r="E114" s="69"/>
      <c r="F114" s="69"/>
      <c r="G114" s="69"/>
      <c r="H114" s="75">
        <f>SUBTOTAL(109,'Ago-24'!$H$108:$H$113)</f>
        <v>383112</v>
      </c>
      <c r="I114" s="75">
        <f>SUBTOTAL(109,'Ago-24'!$I$108:$I$113)</f>
        <v>80453.52</v>
      </c>
      <c r="J114" s="76">
        <f>SUBTOTAL(109,'Ago-24'!$J$108:$J$113)</f>
        <v>0</v>
      </c>
      <c r="K114" s="76">
        <f>SUBTOTAL(109,'Ago-24'!$K$108:$K$113)</f>
        <v>0</v>
      </c>
      <c r="L114" s="76">
        <f>SUBTOTAL(109,'Ago-24'!$L$108:$L$113)</f>
        <v>463565.52</v>
      </c>
      <c r="M114" s="72">
        <f>SUBTOTAL(103,'Ago-24'!$M$108:$M$113)</f>
        <v>0</v>
      </c>
    </row>
    <row r="115" spans="2:13" ht="15.75" customHeight="1" x14ac:dyDescent="0.3"/>
    <row r="116" spans="2:13" ht="15.75" customHeight="1" x14ac:dyDescent="0.3"/>
    <row r="117" spans="2:13" ht="15.75" customHeight="1" x14ac:dyDescent="0.3">
      <c r="B117" s="485" t="s">
        <v>1373</v>
      </c>
      <c r="C117" s="486"/>
    </row>
    <row r="118" spans="2:13" ht="15.75" customHeight="1" x14ac:dyDescent="0.3">
      <c r="B118" s="45" t="s">
        <v>1322</v>
      </c>
      <c r="C118" s="46" t="s">
        <v>1323</v>
      </c>
      <c r="D118" s="46" t="s">
        <v>1366</v>
      </c>
      <c r="E118" s="46" t="s">
        <v>1367</v>
      </c>
      <c r="F118" s="46" t="s">
        <v>0</v>
      </c>
      <c r="G118" s="46" t="s">
        <v>1</v>
      </c>
      <c r="H118" s="46" t="s">
        <v>1374</v>
      </c>
      <c r="I118" s="46" t="s">
        <v>1377</v>
      </c>
      <c r="J118" s="46" t="s">
        <v>1334</v>
      </c>
      <c r="K118" s="47" t="s">
        <v>1411</v>
      </c>
    </row>
    <row r="119" spans="2:13" ht="15.75" customHeight="1" x14ac:dyDescent="0.3">
      <c r="B119" s="12">
        <v>45517</v>
      </c>
      <c r="C119" s="13">
        <v>19</v>
      </c>
      <c r="D119" s="14">
        <v>30</v>
      </c>
      <c r="E119" s="15">
        <v>88</v>
      </c>
      <c r="F119" s="16">
        <v>55000000050</v>
      </c>
      <c r="G119" s="154" t="str">
        <f>IFERROR(IF('Ago-24'!$F119="","-",VLOOKUP('Ago-24'!$F119,Lista_CUIT!$A$1:$D$2241,2,0)),"CUIT NO CARGADO")</f>
        <v>GAS FUTURO SISTEMAS DE COMPRESSÃO LTDA</v>
      </c>
      <c r="H119" s="49">
        <v>6720</v>
      </c>
      <c r="I119" s="74">
        <v>939.5</v>
      </c>
      <c r="J119" s="74">
        <f>'Ago-24'!$H119*'Ago-24'!$I119</f>
        <v>6313440</v>
      </c>
      <c r="K119" s="52"/>
    </row>
    <row r="120" spans="2:13" ht="16.5" customHeight="1" x14ac:dyDescent="0.3">
      <c r="B120" s="12">
        <v>45518</v>
      </c>
      <c r="C120" s="13">
        <v>19</v>
      </c>
      <c r="D120" s="14">
        <v>30</v>
      </c>
      <c r="E120" s="15">
        <v>89</v>
      </c>
      <c r="F120" s="16">
        <v>55000000050</v>
      </c>
      <c r="G120" s="154" t="str">
        <f>IFERROR(IF('Ago-24'!$F120="","-",VLOOKUP('Ago-24'!$F120,Lista_CUIT!$A$1:$D$2241,2,0)),"CUIT NO CARGADO")</f>
        <v>GAS FUTURO SISTEMAS DE COMPRESSÃO LTDA</v>
      </c>
      <c r="H120" s="49">
        <v>1110</v>
      </c>
      <c r="I120" s="74">
        <v>940.5</v>
      </c>
      <c r="J120" s="74">
        <f>'Ago-24'!$H120*'Ago-24'!$I120</f>
        <v>1043955</v>
      </c>
      <c r="K120" s="52"/>
    </row>
    <row r="121" spans="2:13" ht="15.75" customHeight="1" x14ac:dyDescent="0.3">
      <c r="B121" s="12">
        <v>45523</v>
      </c>
      <c r="C121" s="13">
        <v>19</v>
      </c>
      <c r="D121" s="14">
        <v>30</v>
      </c>
      <c r="E121" s="15">
        <v>91</v>
      </c>
      <c r="F121" s="16">
        <v>55000000050</v>
      </c>
      <c r="G121" s="154" t="str">
        <f>IFERROR(IF('Ago-24'!$F121="","-",VLOOKUP('Ago-24'!$F121,Lista_CUIT!$A$1:$D$2241,2,0)),"CUIT NO CARGADO")</f>
        <v>GAS FUTURO SISTEMAS DE COMPRESSÃO LTDA</v>
      </c>
      <c r="H121" s="49">
        <v>1920</v>
      </c>
      <c r="I121" s="74">
        <v>944</v>
      </c>
      <c r="J121" s="74">
        <f>'Ago-24'!$H121*'Ago-24'!$I121</f>
        <v>1812480</v>
      </c>
      <c r="K121" s="52"/>
    </row>
    <row r="122" spans="2:13" ht="15.75" customHeight="1" x14ac:dyDescent="0.3">
      <c r="B122" s="12">
        <v>45523</v>
      </c>
      <c r="C122" s="13">
        <v>19</v>
      </c>
      <c r="D122" s="14">
        <v>30</v>
      </c>
      <c r="E122" s="15">
        <v>90</v>
      </c>
      <c r="F122" s="16">
        <v>55000002096</v>
      </c>
      <c r="G122" s="154" t="str">
        <f>IFERROR(IF('Ago-24'!$F122="","-",VLOOKUP('Ago-24'!$F122,Lista_CUIT!$A$1:$D$2241,2,0)),"CUIT NO CARGADO")</f>
        <v>CUIT NO CARGADO</v>
      </c>
      <c r="H122" s="49">
        <v>5750</v>
      </c>
      <c r="I122" s="74">
        <v>944</v>
      </c>
      <c r="J122" s="74">
        <f>'Ago-24'!$H122*'Ago-24'!$I122</f>
        <v>5428000</v>
      </c>
      <c r="K122" s="52"/>
    </row>
    <row r="123" spans="2:13" ht="15.75" customHeight="1" x14ac:dyDescent="0.3">
      <c r="B123" s="12">
        <v>45527</v>
      </c>
      <c r="C123" s="13">
        <v>19</v>
      </c>
      <c r="D123" s="14">
        <v>30</v>
      </c>
      <c r="E123" s="15">
        <v>92</v>
      </c>
      <c r="F123" s="16">
        <v>55000000050</v>
      </c>
      <c r="G123" s="154" t="str">
        <f>IFERROR(IF('Ago-24'!$F123="","-",VLOOKUP('Ago-24'!$F123,Lista_CUIT!$A$1:$D$2241,2,0)),"CUIT NO CARGADO")</f>
        <v>GAS FUTURO SISTEMAS DE COMPRESSÃO LTDA</v>
      </c>
      <c r="H123" s="49">
        <v>1920</v>
      </c>
      <c r="I123" s="74">
        <v>946</v>
      </c>
      <c r="J123" s="74">
        <f>'Ago-24'!$H123*'Ago-24'!$I123</f>
        <v>1816320</v>
      </c>
      <c r="K123" s="52"/>
    </row>
    <row r="124" spans="2:13" ht="15.75" customHeight="1" x14ac:dyDescent="0.3">
      <c r="B124" s="12"/>
      <c r="C124" s="13"/>
      <c r="D124" s="14"/>
      <c r="E124" s="15"/>
      <c r="F124" s="16"/>
      <c r="G124" s="73" t="str">
        <f>IFERROR(IF('Ago-24'!$F124="","-",VLOOKUP('Ago-24'!$F124,Lista_CUIT!$A$1:$D$2241,2,0)),"CUIT NO CARGADO")</f>
        <v>-</v>
      </c>
      <c r="H124" s="49"/>
      <c r="I124" s="74"/>
      <c r="J124" s="74">
        <f>'Ago-24'!$H124*'Ago-24'!$I124</f>
        <v>0</v>
      </c>
      <c r="K124" s="52"/>
    </row>
    <row r="125" spans="2:13" ht="15.75" customHeight="1" x14ac:dyDescent="0.3">
      <c r="B125" s="12"/>
      <c r="C125" s="13"/>
      <c r="D125" s="14"/>
      <c r="E125" s="15"/>
      <c r="F125" s="16"/>
      <c r="G125" s="73" t="str">
        <f>IFERROR(IF('Ago-24'!$F125="","-",VLOOKUP('Ago-24'!$F125,Lista_CUIT!$A$1:$D$2241,2,0)),"CUIT NO CARGADO")</f>
        <v>-</v>
      </c>
      <c r="H125" s="49"/>
      <c r="I125" s="74"/>
      <c r="J125" s="74">
        <f>'Ago-24'!$H125*'Ago-24'!$I125</f>
        <v>0</v>
      </c>
      <c r="K125" s="52"/>
    </row>
    <row r="126" spans="2:13" ht="15.75" customHeight="1" x14ac:dyDescent="0.3">
      <c r="B126" s="12"/>
      <c r="C126" s="13"/>
      <c r="D126" s="14"/>
      <c r="E126" s="15"/>
      <c r="F126" s="16"/>
      <c r="G126" s="73" t="str">
        <f>IFERROR(IF('Ago-24'!$F126="","-",VLOOKUP('Ago-24'!$F126,Lista_CUIT!$A$1:$D$2241,2,0)),"CUIT NO CARGADO")</f>
        <v>-</v>
      </c>
      <c r="H126" s="49"/>
      <c r="I126" s="74"/>
      <c r="J126" s="74">
        <f>'Ago-24'!$H126*'Ago-24'!$I126</f>
        <v>0</v>
      </c>
      <c r="K126" s="52"/>
    </row>
    <row r="127" spans="2:13" ht="15.75" customHeight="1" x14ac:dyDescent="0.3">
      <c r="B127" s="12"/>
      <c r="C127" s="13"/>
      <c r="D127" s="14"/>
      <c r="E127" s="15"/>
      <c r="F127" s="16"/>
      <c r="G127" s="73" t="str">
        <f>IFERROR(IF('Ago-24'!$F127="","-",VLOOKUP('Ago-24'!$F127,Lista_CUIT!$A$1:$D$2241,2,0)),"CUIT NO CARGADO")</f>
        <v>-</v>
      </c>
      <c r="H127" s="49"/>
      <c r="I127" s="74"/>
      <c r="J127" s="74">
        <f>'Ago-24'!$H127*'Ago-24'!$I127</f>
        <v>0</v>
      </c>
      <c r="K127" s="52"/>
    </row>
    <row r="128" spans="2:13" ht="15.75" customHeight="1" x14ac:dyDescent="0.3">
      <c r="B128" s="12"/>
      <c r="C128" s="13"/>
      <c r="D128" s="14"/>
      <c r="E128" s="15"/>
      <c r="F128" s="16"/>
      <c r="G128" s="73" t="str">
        <f>IFERROR(IF('Ago-24'!$F128="","-",VLOOKUP('Ago-24'!$F128,Lista_CUIT!$A$1:$D$2241,2,0)),"CUIT NO CARGADO")</f>
        <v>-</v>
      </c>
      <c r="H128" s="49"/>
      <c r="I128" s="74"/>
      <c r="J128" s="74">
        <f>'Ago-24'!$H128*'Ago-24'!$I128</f>
        <v>0</v>
      </c>
      <c r="K128" s="52"/>
    </row>
    <row r="129" spans="2:12" ht="15.75" customHeight="1" x14ac:dyDescent="0.3">
      <c r="B129" s="68" t="s">
        <v>1343</v>
      </c>
      <c r="C129" s="69"/>
      <c r="D129" s="69"/>
      <c r="E129" s="69"/>
      <c r="F129" s="69"/>
      <c r="G129" s="69"/>
      <c r="H129" s="75">
        <f>SUBTOTAL(109,'Ago-24'!$H$119:$H$128)</f>
        <v>17420</v>
      </c>
      <c r="I129" s="76"/>
      <c r="J129" s="76">
        <f>SUBTOTAL(109,'Ago-24'!$J$119:$J$128)</f>
        <v>16414195</v>
      </c>
      <c r="K129" s="72">
        <f>SUBTOTAL(103,'Ago-24'!$K$119:$K$128)</f>
        <v>0</v>
      </c>
    </row>
    <row r="130" spans="2:12" ht="15.75" customHeight="1" x14ac:dyDescent="0.3">
      <c r="B130" s="86"/>
      <c r="C130" s="86"/>
      <c r="D130" s="86"/>
      <c r="E130" s="86"/>
      <c r="F130" s="86"/>
      <c r="G130" s="86"/>
      <c r="H130" s="87"/>
      <c r="I130" s="19"/>
      <c r="J130" s="19"/>
      <c r="K130" s="32"/>
    </row>
    <row r="131" spans="2:12" ht="15.75" customHeight="1" x14ac:dyDescent="0.3">
      <c r="B131" s="86"/>
      <c r="C131" s="86"/>
      <c r="D131" s="86"/>
      <c r="E131" s="86"/>
      <c r="F131" s="86"/>
      <c r="G131" s="86"/>
      <c r="H131" s="87"/>
      <c r="I131" s="19"/>
      <c r="J131" s="19"/>
      <c r="K131" s="32"/>
    </row>
    <row r="132" spans="2:12" ht="15.75" customHeight="1" x14ac:dyDescent="0.3">
      <c r="B132" s="86"/>
      <c r="C132" s="86"/>
      <c r="D132" s="86"/>
      <c r="E132" s="86"/>
      <c r="F132" s="86"/>
      <c r="G132" s="86"/>
      <c r="H132" s="87"/>
      <c r="I132" s="19"/>
      <c r="J132" s="19"/>
      <c r="K132" s="32"/>
    </row>
    <row r="133" spans="2:12" ht="15.75" customHeight="1" x14ac:dyDescent="0.3">
      <c r="C133" s="487" t="s">
        <v>1380</v>
      </c>
      <c r="D133" s="488"/>
      <c r="E133" s="488"/>
      <c r="F133" s="488"/>
      <c r="G133" s="489"/>
      <c r="H133" s="88"/>
      <c r="I133" s="88"/>
      <c r="J133" s="88"/>
    </row>
    <row r="134" spans="2:12" ht="15.75" customHeight="1" x14ac:dyDescent="0.3">
      <c r="C134" s="89" t="s">
        <v>1381</v>
      </c>
      <c r="D134" s="90" t="s">
        <v>1382</v>
      </c>
      <c r="E134" s="90" t="s">
        <v>1376</v>
      </c>
      <c r="F134" s="90" t="s">
        <v>0</v>
      </c>
      <c r="G134" s="90" t="s">
        <v>1</v>
      </c>
      <c r="H134" s="91" t="s">
        <v>1383</v>
      </c>
      <c r="I134" s="91" t="s">
        <v>1384</v>
      </c>
      <c r="J134" s="91" t="s">
        <v>1385</v>
      </c>
      <c r="K134" s="91" t="s">
        <v>1386</v>
      </c>
      <c r="L134" s="91" t="s">
        <v>1387</v>
      </c>
    </row>
    <row r="135" spans="2:12" ht="15.75" customHeight="1" x14ac:dyDescent="0.3">
      <c r="C135" s="92"/>
      <c r="D135" s="93"/>
      <c r="E135" s="93"/>
      <c r="F135" s="39"/>
      <c r="G135" s="40" t="str">
        <f>IFERROR(IF('Ago-24'!$F135="","-",VLOOKUP('Ago-24'!$F135,Lista_CUIT!$A$1:$D$2241,2,0)),"CUIT NO CARGADO")</f>
        <v>-</v>
      </c>
      <c r="H135" s="94"/>
      <c r="I135" s="94"/>
      <c r="J135" s="94"/>
      <c r="K135" s="94"/>
      <c r="L135" s="94"/>
    </row>
    <row r="136" spans="2:12" ht="15.75" customHeight="1" x14ac:dyDescent="0.3">
      <c r="C136" s="92"/>
      <c r="D136" s="93"/>
      <c r="E136" s="93"/>
      <c r="F136" s="39"/>
      <c r="G136" s="40" t="str">
        <f>IFERROR(IF('Ago-24'!$F136="","-",VLOOKUP('Ago-24'!$F136,Lista_CUIT!$A$1:$D$2241,2,0)),"CUIT NO CARGADO")</f>
        <v>-</v>
      </c>
      <c r="H136" s="94"/>
      <c r="I136" s="94"/>
      <c r="J136" s="94"/>
      <c r="K136" s="94"/>
      <c r="L136" s="94"/>
    </row>
    <row r="137" spans="2:12" ht="15.75" customHeight="1" x14ac:dyDescent="0.3">
      <c r="C137" s="92"/>
      <c r="D137" s="93"/>
      <c r="E137" s="93"/>
      <c r="F137" s="39"/>
      <c r="G137" s="40" t="str">
        <f>IFERROR(IF('Ago-24'!$F137="","-",VLOOKUP('Ago-24'!$F137,Lista_CUIT!$A$1:$D$2241,2,0)),"CUIT NO CARGADO")</f>
        <v>-</v>
      </c>
      <c r="H137" s="94"/>
      <c r="I137" s="94"/>
      <c r="J137" s="94"/>
      <c r="K137" s="94"/>
      <c r="L137" s="94"/>
    </row>
    <row r="138" spans="2:12" ht="15.75" customHeight="1" x14ac:dyDescent="0.3">
      <c r="C138" s="92"/>
      <c r="D138" s="93"/>
      <c r="E138" s="93"/>
      <c r="F138" s="39"/>
      <c r="G138" s="40" t="str">
        <f>IFERROR(IF('Ago-24'!$F138="","-",VLOOKUP('Ago-24'!$F138,Lista_CUIT!$A$1:$D$2241,2,0)),"CUIT NO CARGADO")</f>
        <v>-</v>
      </c>
      <c r="H138" s="94"/>
      <c r="I138" s="94"/>
      <c r="J138" s="94"/>
      <c r="K138" s="94"/>
      <c r="L138" s="94"/>
    </row>
    <row r="139" spans="2:12" ht="15.75" customHeight="1" x14ac:dyDescent="0.3">
      <c r="C139" s="3"/>
      <c r="D139" s="93"/>
      <c r="E139" s="93"/>
      <c r="F139" s="3"/>
      <c r="G139" s="40" t="str">
        <f>IFERROR(IF('Ago-24'!$F139="","-",VLOOKUP('Ago-24'!$F139,Lista_CUIT!$A$1:$D$2241,2,0)),"CUIT NO CARGADO")</f>
        <v>-</v>
      </c>
      <c r="H139" s="3"/>
      <c r="I139" s="3"/>
      <c r="J139" s="3"/>
      <c r="K139" s="3"/>
      <c r="L139" s="3"/>
    </row>
    <row r="140" spans="2:12" ht="15.75" customHeight="1" x14ac:dyDescent="0.3">
      <c r="C140" s="145"/>
    </row>
    <row r="141" spans="2:12" ht="15.75" customHeight="1" x14ac:dyDescent="0.3"/>
    <row r="142" spans="2:12" ht="15.75" customHeight="1" x14ac:dyDescent="0.3"/>
    <row r="143" spans="2:12" ht="15.75" customHeight="1" x14ac:dyDescent="0.3"/>
    <row r="144" spans="2:12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P4:R4"/>
    <mergeCell ref="D53:L53"/>
    <mergeCell ref="B117:C117"/>
    <mergeCell ref="C133:G133"/>
    <mergeCell ref="B3:E3"/>
    <mergeCell ref="B4:E4"/>
    <mergeCell ref="G4:H4"/>
    <mergeCell ref="D64:K64"/>
    <mergeCell ref="B90:J90"/>
    <mergeCell ref="K90:M90"/>
    <mergeCell ref="B92:C92"/>
    <mergeCell ref="B106:C106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H108:L113 I119:J128" xr:uid="{00000000-0002-0000-0500-000000000000}">
      <formula1>IF($C108=8,H108&lt;0,H108&gt;=0)</formula1>
    </dataValidation>
    <dataValidation type="decimal" allowBlank="1" showErrorMessage="1" sqref="D9:D47 E66:E83 D94:D102 D108:D113 D119:D128" xr:uid="{00000000-0002-0000-0500-000001000000}">
      <formula1>1</formula1>
      <formula2>9999</formula2>
    </dataValidation>
    <dataValidation type="decimal" allowBlank="1" showErrorMessage="1" sqref="C9:C47" xr:uid="{00000000-0002-0000-0500-000002000000}">
      <formula1>1</formula1>
      <formula2>81</formula2>
    </dataValidation>
    <dataValidation type="decimal" allowBlank="1" showErrorMessage="1" sqref="C119:C128" xr:uid="{00000000-0002-0000-0500-000003000000}">
      <formula1>80</formula1>
      <formula2>80</formula2>
    </dataValidation>
    <dataValidation type="date" allowBlank="1" showErrorMessage="1" sqref="B9:B47 B49:B52 D55:D59 D66:D83 B94:B102 B108:B113 B119:B128" xr:uid="{00000000-0002-0000-0500-000004000000}">
      <formula1>40179</formula1>
      <formula2>TODAY()</formula2>
    </dataValidation>
    <dataValidation type="decimal" allowBlank="1" showErrorMessage="1" sqref="F9:F47 G66:G83 F94:F102 F108:F113 F119:F128" xr:uid="{00000000-0002-0000-0500-000005000000}">
      <formula1>20000000000</formula1>
      <formula2>33999999999</formula2>
    </dataValidation>
    <dataValidation type="custom" allowBlank="1" showErrorMessage="1" sqref="L99:L100" xr:uid="{00000000-0002-0000-0500-000006000000}">
      <formula1>IF($C48=3,L48&lt;0,L48&gt;=0)</formula1>
    </dataValidation>
    <dataValidation type="decimal" allowBlank="1" showErrorMessage="1" sqref="C108:C113" xr:uid="{00000000-0002-0000-05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6 H47:N47" xr:uid="{00000000-0002-0000-0500-000008000000}">
      <formula1>IF($C9=3,H9&lt;0,H9&gt;=0)</formula1>
    </dataValidation>
    <dataValidation type="decimal" allowBlank="1" showErrorMessage="1" sqref="E9:E47 F66:F83 E94:E102 E108:E113 E119:E128" xr:uid="{00000000-0002-0000-0500-000009000000}">
      <formula1>1</formula1>
      <formula2>99999999</formula2>
    </dataValidation>
    <dataValidation type="custom" allowBlank="1" showErrorMessage="1" sqref="L94:L95" xr:uid="{00000000-0002-0000-0500-00000A000000}">
      <formula1>IF($C9=3,L9&lt;0,L9&gt;=0)</formula1>
    </dataValidation>
    <dataValidation type="decimal" allowBlank="1" showErrorMessage="1" sqref="C49:C52 C94:C102" xr:uid="{00000000-0002-0000-0500-00000B000000}">
      <formula1>1</formula1>
      <formula2>3</formula2>
    </dataValidation>
    <dataValidation type="custom" allowBlank="1" showErrorMessage="1" sqref="H94:K94 H95:J95 H96:K96 H97:J97 H98:K98 H99:J99 H100:K100 H101:J102 H119:H127" xr:uid="{00000000-0002-0000-0500-00000C000000}">
      <formula1>IF($C94=3,H94&lt;0,H94&gt;=0)</formula1>
    </dataValidation>
    <dataValidation type="custom" allowBlank="1" showErrorMessage="1" sqref="L96:L98" xr:uid="{00000000-0002-0000-0500-00000D000000}">
      <formula1>IF($C31=3,L31&lt;0,L31&gt;=0)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DE9D9"/>
  </sheetPr>
  <dimension ref="A1:Z1001"/>
  <sheetViews>
    <sheetView showGridLines="0" topLeftCell="K73" zoomScale="80" zoomScaleNormal="80" workbookViewId="0">
      <selection activeCell="L81" sqref="L81:L89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26" ht="34.5" customHeight="1" x14ac:dyDescent="0.3">
      <c r="A1" s="6"/>
      <c r="B1" s="475" t="s">
        <v>1315</v>
      </c>
      <c r="C1" s="476"/>
      <c r="D1" s="476"/>
      <c r="E1" s="476"/>
      <c r="F1" s="477"/>
      <c r="G1" s="497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EDATE('Abr-24'!N1,5)</f>
        <v>45170</v>
      </c>
      <c r="O1" s="476"/>
      <c r="P1" s="476"/>
      <c r="Q1" s="476"/>
      <c r="R1" s="477"/>
    </row>
    <row r="3" spans="1:26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26" ht="24.75" customHeight="1" x14ac:dyDescent="0.4">
      <c r="B4" s="490">
        <f>SUM('Sept-24'!$H$42)+'Sept-24'!$G$53</f>
        <v>6088124.6900000013</v>
      </c>
      <c r="C4" s="476"/>
      <c r="D4" s="476"/>
      <c r="E4" s="477"/>
      <c r="F4" s="8"/>
      <c r="G4" s="491">
        <f>'Sept-24'!$I$42+'Sept-24'!$J$42+'Sept-24'!$K$42+'Sept-24'!$H$53+'Sept-24'!$I$53</f>
        <v>1280038.5849000001</v>
      </c>
      <c r="H4" s="477"/>
      <c r="I4" s="8"/>
      <c r="J4" s="494">
        <f>'Sept-24'!$H$91+'Sept-24'!$H$101</f>
        <v>124099413.05</v>
      </c>
      <c r="K4" s="477"/>
      <c r="L4" s="8"/>
      <c r="M4" s="494">
        <f>'Sept-24'!$I$91+'Sept-24'!$J$91+'Sept-24'!$I$101+'Sept-24'!$J$101</f>
        <v>14146937.757999999</v>
      </c>
      <c r="N4" s="477"/>
      <c r="O4" s="8"/>
      <c r="P4" s="483">
        <f>G4-M4</f>
        <v>-12866899.173099998</v>
      </c>
      <c r="Q4" s="476"/>
      <c r="R4" s="477"/>
    </row>
    <row r="5" spans="1:26" ht="12.75" customHeight="1" x14ac:dyDescent="0.3"/>
    <row r="7" spans="1:26" ht="14.4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26" ht="14.4" x14ac:dyDescent="0.3">
      <c r="B9" s="12">
        <v>45536</v>
      </c>
      <c r="C9" s="13">
        <v>1</v>
      </c>
      <c r="D9" s="14">
        <v>3</v>
      </c>
      <c r="E9" s="15">
        <v>785</v>
      </c>
      <c r="F9" s="16">
        <v>30715402765</v>
      </c>
      <c r="G9" s="17" t="str">
        <f>IFERROR(IF('Sept-24'!$F9="","-",VLOOKUP('Sept-24'!$F9,Lista_CUIT!$A$1:$D$2241,2,0)),"CUIT NO CARGADO")</f>
        <v>RIO 265 S.R.L.</v>
      </c>
      <c r="H9" s="18">
        <v>64462.81</v>
      </c>
      <c r="I9" s="23">
        <f>IF('Sept-24'!$H9="","",'Sept-24'!$H9*0.21)</f>
        <v>13537.1901</v>
      </c>
      <c r="J9" s="23"/>
      <c r="K9" s="23"/>
      <c r="L9" s="23"/>
      <c r="M9" s="23"/>
      <c r="N9" s="23"/>
      <c r="O9" s="23"/>
      <c r="P9" s="20">
        <f>SUM('Sept-24'!$H9:$O9)</f>
        <v>78000.000100000005</v>
      </c>
      <c r="Q9" s="21" t="str">
        <f>IFERROR(IF('Sept-24'!$F9="","-",VLOOKUP('Sept-24'!$F9,Lista_CUIT!$A$1:$D$2241,3,0)),"CUIT NO CARGADO")</f>
        <v>GASTOS VARIOS</v>
      </c>
      <c r="R9" s="21">
        <f>IFERROR(IF('Sept-24'!$F9="","-",VLOOKUP('Sept-24'!$F9,Lista_CUIT!$A$1:$D$2241,4,0)),"CUIT NO CARGADO")</f>
        <v>0</v>
      </c>
    </row>
    <row r="10" spans="1:26" ht="14.4" x14ac:dyDescent="0.3">
      <c r="B10" s="12">
        <v>45559</v>
      </c>
      <c r="C10" s="13">
        <v>1</v>
      </c>
      <c r="D10" s="14">
        <v>2</v>
      </c>
      <c r="E10" s="15">
        <v>798</v>
      </c>
      <c r="F10" s="16">
        <v>20296550184</v>
      </c>
      <c r="G10" s="17" t="str">
        <f>IFERROR(IF('Sept-24'!$F10="","-",VLOOKUP('Sept-24'!$F10,Lista_CUIT!$A$1:$D$2241,2,0)),"CUIT NO CARGADO")</f>
        <v>COSTA DIEGO ALEJANDRO</v>
      </c>
      <c r="H10" s="18">
        <v>251600</v>
      </c>
      <c r="I10" s="23">
        <f>IF('Sept-24'!$H10="","",'Sept-24'!$H10*0.21)</f>
        <v>52836</v>
      </c>
      <c r="J10" s="23"/>
      <c r="K10" s="23"/>
      <c r="L10" s="23"/>
      <c r="M10" s="23"/>
      <c r="N10" s="23"/>
      <c r="O10" s="23"/>
      <c r="P10" s="20">
        <f>SUM('Sept-24'!$H10:$O10)</f>
        <v>304436</v>
      </c>
      <c r="Q10" s="21" t="str">
        <f>IFERROR(IF('Sept-24'!$F10="","-",VLOOKUP('Sept-24'!$F10,Lista_CUIT!$A$1:$D$2241,3,0)),"CUIT NO CARGADO")</f>
        <v>Mat. Prima</v>
      </c>
      <c r="R10" s="21">
        <f>IFERROR(IF('Sept-24'!$F10="","-",VLOOKUP('Sept-24'!$F10,Lista_CUIT!$A$1:$D$2241,4,0)),"CUIT NO CARGADO")</f>
        <v>0</v>
      </c>
    </row>
    <row r="11" spans="1:26" ht="14.4" x14ac:dyDescent="0.3">
      <c r="B11" s="12">
        <v>45553</v>
      </c>
      <c r="C11" s="13">
        <v>1</v>
      </c>
      <c r="D11" s="14">
        <v>2</v>
      </c>
      <c r="E11" s="15">
        <v>1335</v>
      </c>
      <c r="F11" s="16">
        <v>20284880049</v>
      </c>
      <c r="G11" s="17" t="str">
        <f>IFERROR(IF('Sept-24'!$F11="","-",VLOOKUP('Sept-24'!$F11,Lista_CUIT!$A$1:$D$2241,2,0)),"CUIT NO CARGADO")</f>
        <v>MOROLDO EMILIANO DANIEL</v>
      </c>
      <c r="H11" s="18">
        <v>16970.240000000002</v>
      </c>
      <c r="I11" s="23">
        <f>IF('Sept-24'!$H11="","",'Sept-24'!$H11*0.21)</f>
        <v>3563.7504000000004</v>
      </c>
      <c r="J11" s="23"/>
      <c r="K11" s="23"/>
      <c r="L11" s="23"/>
      <c r="M11" s="23"/>
      <c r="N11" s="23"/>
      <c r="O11" s="23"/>
      <c r="P11" s="20">
        <f>SUM('Sept-24'!$H11:$O11)</f>
        <v>20533.990400000002</v>
      </c>
      <c r="Q11" s="21" t="str">
        <f>IFERROR(IF('Sept-24'!$F11="","-",VLOOKUP('Sept-24'!$F11,Lista_CUIT!$A$1:$D$2241,3,0)),"CUIT NO CARGADO")</f>
        <v>Electronica</v>
      </c>
      <c r="R11" s="21">
        <f>IFERROR(IF('Sept-24'!$F11="","-",VLOOKUP('Sept-24'!$F11,Lista_CUIT!$A$1:$D$2241,4,0)),"CUIT NO CARGADO")</f>
        <v>0</v>
      </c>
    </row>
    <row r="12" spans="1:26" ht="14.4" x14ac:dyDescent="0.3">
      <c r="B12" s="95">
        <v>45557</v>
      </c>
      <c r="C12" s="96">
        <v>1</v>
      </c>
      <c r="D12" s="97">
        <v>3</v>
      </c>
      <c r="E12" s="98">
        <v>2316</v>
      </c>
      <c r="F12" s="99">
        <v>20367496836</v>
      </c>
      <c r="G12" s="100" t="str">
        <f>IFERROR(IF('Sept-24'!$F12="","-",VLOOKUP('Sept-24'!$F12,Lista_CUIT!$A$1:$D$2241,2,0)),"CUIT NO CARGADO")</f>
        <v>AYALA COLMAN OSCAR</v>
      </c>
      <c r="H12" s="101">
        <v>105419.65</v>
      </c>
      <c r="I12" s="102">
        <f>IF('Sept-24'!$H12="","",'Sept-24'!$H12*0.21)</f>
        <v>22138.126499999998</v>
      </c>
      <c r="J12" s="102"/>
      <c r="K12" s="102"/>
      <c r="L12" s="102"/>
      <c r="M12" s="102"/>
      <c r="N12" s="102"/>
      <c r="O12" s="102"/>
      <c r="P12" s="103">
        <f>SUM('Sept-24'!$H12:$O12)</f>
        <v>127557.77649999999</v>
      </c>
      <c r="Q12" s="104" t="str">
        <f>IFERROR(IF('Sept-24'!$F12="","-",VLOOKUP('Sept-24'!$F12,Lista_CUIT!$A$1:$D$2241,3,0)),"CUIT NO CARGADO")</f>
        <v>GASTOS VARIOS</v>
      </c>
      <c r="R12" s="104">
        <f>IFERROR(IF('Sept-24'!$F12="","-",VLOOKUP('Sept-24'!$F12,Lista_CUIT!$A$1:$D$2241,4,0)),"CUIT NO CARGADO")</f>
        <v>0</v>
      </c>
    </row>
    <row r="13" spans="1:26" ht="14.4" x14ac:dyDescent="0.3">
      <c r="B13" s="12">
        <v>45537</v>
      </c>
      <c r="C13" s="13">
        <v>1</v>
      </c>
      <c r="D13" s="14">
        <v>2</v>
      </c>
      <c r="E13" s="15">
        <v>2850</v>
      </c>
      <c r="F13" s="16">
        <v>30709131733</v>
      </c>
      <c r="G13" s="17" t="str">
        <f>IFERROR(IF('Sept-24'!$F13="","-",VLOOKUP('Sept-24'!$F13,Lista_CUIT!$A$1:$D$2241,2,0)),"CUIT NO CARGADO")</f>
        <v>DIGAS SRL</v>
      </c>
      <c r="H13" s="18">
        <v>3146238</v>
      </c>
      <c r="I13" s="23">
        <f>IF('Sept-24'!$H13="","",'Sept-24'!$H13*0.21)</f>
        <v>660709.98</v>
      </c>
      <c r="J13" s="23"/>
      <c r="K13" s="23"/>
      <c r="L13" s="23"/>
      <c r="M13" s="23"/>
      <c r="N13" s="23"/>
      <c r="O13" s="23"/>
      <c r="P13" s="20">
        <f>SUM('Sept-24'!$H13:$O13)</f>
        <v>3806947.98</v>
      </c>
      <c r="Q13" s="21" t="str">
        <f>IFERROR(IF('Sept-24'!$F13="","-",VLOOKUP('Sept-24'!$F13,Lista_CUIT!$A$1:$D$2241,3,0)),"CUIT NO CARGADO")</f>
        <v>INSUMO</v>
      </c>
      <c r="R13" s="21">
        <f>IFERROR(IF('Sept-24'!$F13="","-",VLOOKUP('Sept-24'!$F13,Lista_CUIT!$A$1:$D$2241,4,0)),"CUIT NO CARGADO")</f>
        <v>0</v>
      </c>
    </row>
    <row r="14" spans="1:26" ht="14.4" x14ac:dyDescent="0.3">
      <c r="B14" s="12">
        <v>45551</v>
      </c>
      <c r="C14" s="13">
        <v>1</v>
      </c>
      <c r="D14" s="14">
        <v>7</v>
      </c>
      <c r="E14" s="15">
        <v>2854</v>
      </c>
      <c r="F14" s="16">
        <v>23270085679</v>
      </c>
      <c r="G14" s="17" t="str">
        <f>IFERROR(IF('Sept-24'!$F14="","-",VLOOKUP('Sept-24'!$F14,Lista_CUIT!$A$1:$D$2241,2,0)),"CUIT NO CARGADO")</f>
        <v>GARCIA DIEGO OMAR</v>
      </c>
      <c r="H14" s="18">
        <v>36809.919999999998</v>
      </c>
      <c r="I14" s="23">
        <f>IF('Sept-24'!$H14="","",'Sept-24'!$H14*0.21)</f>
        <v>7730.0831999999991</v>
      </c>
      <c r="J14" s="23"/>
      <c r="K14" s="23"/>
      <c r="L14" s="23"/>
      <c r="M14" s="23"/>
      <c r="N14" s="23"/>
      <c r="O14" s="23"/>
      <c r="P14" s="20">
        <f>SUM('Sept-24'!$H14:$O14)</f>
        <v>44540.003199999999</v>
      </c>
      <c r="Q14" s="21" t="str">
        <f>IFERROR(IF('Sept-24'!$F14="","-",VLOOKUP('Sept-24'!$F14,Lista_CUIT!$A$1:$D$2241,3,0)),"CUIT NO CARGADO")</f>
        <v>Servicios Informaticos</v>
      </c>
      <c r="R14" s="21">
        <f>IFERROR(IF('Sept-24'!$F14="","-",VLOOKUP('Sept-24'!$F14,Lista_CUIT!$A$1:$D$2241,4,0)),"CUIT NO CARGADO")</f>
        <v>0</v>
      </c>
    </row>
    <row r="15" spans="1:26" ht="18" customHeight="1" x14ac:dyDescent="0.3">
      <c r="A15" s="43"/>
      <c r="B15" s="12">
        <v>45554</v>
      </c>
      <c r="C15" s="13">
        <v>1</v>
      </c>
      <c r="D15" s="14">
        <v>13</v>
      </c>
      <c r="E15" s="15">
        <v>3554</v>
      </c>
      <c r="F15" s="16">
        <v>30710571801</v>
      </c>
      <c r="G15" s="17" t="str">
        <f>IFERROR(IF('Sept-24'!$F15="","-",VLOOKUP('Sept-24'!$F15,Lista_CUIT!$A$1:$D$2241,2,0)),"CUIT NO CARGADO")</f>
        <v>HOGAR ACTUAL SRL</v>
      </c>
      <c r="H15" s="18">
        <v>43214.879999999997</v>
      </c>
      <c r="I15" s="23">
        <f>IF('Sept-24'!$H15="","",'Sept-24'!$H15*0.21)</f>
        <v>9075.1247999999996</v>
      </c>
      <c r="J15" s="23"/>
      <c r="K15" s="23"/>
      <c r="L15" s="23"/>
      <c r="M15" s="23"/>
      <c r="N15" s="23"/>
      <c r="O15" s="23"/>
      <c r="P15" s="20">
        <f>SUM('Sept-24'!$H15:$O15)</f>
        <v>52290.004799999995</v>
      </c>
      <c r="Q15" s="21" t="str">
        <f>IFERROR(IF('Sept-24'!$F15="","-",VLOOKUP('Sept-24'!$F15,Lista_CUIT!$A$1:$D$2241,3,0)),"CUIT NO CARGADO")</f>
        <v>GASTOS VARIOS</v>
      </c>
      <c r="R15" s="21">
        <f>IFERROR(IF('Sept-24'!$F15="","-",VLOOKUP('Sept-24'!$F15,Lista_CUIT!$A$1:$D$2241,4,0)),"CUIT NO CARGADO")</f>
        <v>0</v>
      </c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B16" s="12">
        <v>45551</v>
      </c>
      <c r="C16" s="13">
        <v>1</v>
      </c>
      <c r="D16" s="14">
        <v>262</v>
      </c>
      <c r="E16" s="15">
        <v>3731</v>
      </c>
      <c r="F16" s="16">
        <v>33708711999</v>
      </c>
      <c r="G16" s="17" t="str">
        <f>IFERROR(IF('Sept-24'!$F16="","-",VLOOKUP('Sept-24'!$F16,Lista_CUIT!$A$1:$D$2241,2,0)),"CUIT NO CARGADO")</f>
        <v>MARANSI SA</v>
      </c>
      <c r="H16" s="18">
        <v>1472424.28</v>
      </c>
      <c r="I16" s="23">
        <f>IF('Sept-24'!$H16="","",'Sept-24'!$H16*0.21)</f>
        <v>309209.09879999998</v>
      </c>
      <c r="J16" s="23"/>
      <c r="K16" s="23"/>
      <c r="L16" s="23"/>
      <c r="M16" s="23"/>
      <c r="N16" s="23"/>
      <c r="O16" s="23"/>
      <c r="P16" s="20">
        <f>SUM('Sept-24'!$H16:$O16)</f>
        <v>1781633.3788000001</v>
      </c>
      <c r="Q16" s="21" t="str">
        <f>IFERROR(IF('Sept-24'!$F16="","-",VLOOKUP('Sept-24'!$F16,Lista_CUIT!$A$1:$D$2241,3,0)),"CUIT NO CARGADO")</f>
        <v>GASTOS VARIOS</v>
      </c>
      <c r="R16" s="21">
        <f>IFERROR(IF('Sept-24'!$F16="","-",VLOOKUP('Sept-24'!$F16,Lista_CUIT!$A$1:$D$2241,4,0)),"CUIT NO CARGADO")</f>
        <v>0</v>
      </c>
    </row>
    <row r="17" spans="2:18" ht="14.4" x14ac:dyDescent="0.3">
      <c r="B17" s="12">
        <v>45558</v>
      </c>
      <c r="C17" s="13">
        <v>1</v>
      </c>
      <c r="D17" s="14">
        <v>4</v>
      </c>
      <c r="E17" s="15">
        <v>5187</v>
      </c>
      <c r="F17" s="16">
        <v>30695313140</v>
      </c>
      <c r="G17" s="17" t="str">
        <f>IFERROR(IF('Sept-24'!$F17="","-",VLOOKUP('Sept-24'!$F17,Lista_CUIT!$A$1:$D$2241,2,0)),"CUIT NO CARGADO")</f>
        <v>ELECTRONICA BOUSA</v>
      </c>
      <c r="H17" s="18">
        <v>27271.9</v>
      </c>
      <c r="I17" s="23">
        <f>IF('Sept-24'!$H17="","",'Sept-24'!$H17*0.21)</f>
        <v>5727.0990000000002</v>
      </c>
      <c r="J17" s="23"/>
      <c r="K17" s="23"/>
      <c r="L17" s="23"/>
      <c r="M17" s="23"/>
      <c r="N17" s="23"/>
      <c r="O17" s="23"/>
      <c r="P17" s="20">
        <f>SUM('Sept-24'!$H17:$O17)</f>
        <v>32998.999000000003</v>
      </c>
      <c r="Q17" s="21" t="str">
        <f>IFERROR(IF('Sept-24'!$F17="","-",VLOOKUP('Sept-24'!$F17,Lista_CUIT!$A$1:$D$2241,3,0)),"CUIT NO CARGADO")</f>
        <v>INSUMO</v>
      </c>
      <c r="R17" s="21">
        <f>IFERROR(IF('Sept-24'!$F17="","-",VLOOKUP('Sept-24'!$F17,Lista_CUIT!$A$1:$D$2241,4,0)),"CUIT NO CARGADO")</f>
        <v>0</v>
      </c>
    </row>
    <row r="18" spans="2:18" ht="14.4" x14ac:dyDescent="0.3">
      <c r="B18" s="12">
        <v>45563</v>
      </c>
      <c r="C18" s="13">
        <v>1</v>
      </c>
      <c r="D18" s="14">
        <v>5</v>
      </c>
      <c r="E18" s="15">
        <v>5388</v>
      </c>
      <c r="F18" s="16">
        <v>20319259113</v>
      </c>
      <c r="G18" s="17" t="str">
        <f>IFERROR(IF('Sept-24'!$F18="","-",VLOOKUP('Sept-24'!$F18,Lista_CUIT!$A$1:$D$2241,2,0)),"CUIT NO CARGADO")</f>
        <v>SZNEIBERG HERNAN GASTON</v>
      </c>
      <c r="H18" s="18">
        <v>6983.47</v>
      </c>
      <c r="I18" s="23">
        <f>IF('Sept-24'!$H18="","",'Sept-24'!$H18*0.21)</f>
        <v>1466.5287000000001</v>
      </c>
      <c r="J18" s="23"/>
      <c r="K18" s="23"/>
      <c r="L18" s="23"/>
      <c r="M18" s="23"/>
      <c r="N18" s="23"/>
      <c r="O18" s="23"/>
      <c r="P18" s="20">
        <f>SUM('Sept-24'!$H18:$O18)</f>
        <v>8449.9987000000001</v>
      </c>
      <c r="Q18" s="21" t="str">
        <f>IFERROR(IF('Sept-24'!$F18="","-",VLOOKUP('Sept-24'!$F18,Lista_CUIT!$A$1:$D$2241,3,0)),"CUIT NO CARGADO")</f>
        <v>INSUMO</v>
      </c>
      <c r="R18" s="21">
        <f>IFERROR(IF('Sept-24'!$F18="","-",VLOOKUP('Sept-24'!$F18,Lista_CUIT!$A$1:$D$2241,4,0)),"CUIT NO CARGADO")</f>
        <v>0</v>
      </c>
    </row>
    <row r="19" spans="2:18" ht="14.25" customHeight="1" x14ac:dyDescent="0.3">
      <c r="B19" s="12">
        <v>45558</v>
      </c>
      <c r="C19" s="13">
        <v>1</v>
      </c>
      <c r="D19" s="14">
        <v>2</v>
      </c>
      <c r="E19" s="15">
        <v>7071</v>
      </c>
      <c r="F19" s="16">
        <v>30717788261</v>
      </c>
      <c r="G19" s="17" t="str">
        <f>IFERROR(IF('Sept-24'!$F19="","-",VLOOKUP('Sept-24'!$F19,Lista_CUIT!$A$1:$D$2241,2,0)),"CUIT NO CARGADO")</f>
        <v>UTILAR SRL</v>
      </c>
      <c r="H19" s="18">
        <v>45493.62</v>
      </c>
      <c r="I19" s="23">
        <f>IF('Sept-24'!$H19="","",'Sept-24'!$H19*0.21)</f>
        <v>9553.6602000000003</v>
      </c>
      <c r="J19" s="23"/>
      <c r="K19" s="23"/>
      <c r="L19" s="23"/>
      <c r="M19" s="23"/>
      <c r="N19" s="23"/>
      <c r="O19" s="23"/>
      <c r="P19" s="20">
        <f>SUM('Sept-24'!$H19:$O19)</f>
        <v>55047.280200000001</v>
      </c>
      <c r="Q19" s="21" t="str">
        <f>IFERROR(IF('Sept-24'!$F19="","-",VLOOKUP('Sept-24'!$F19,Lista_CUIT!$A$1:$D$2241,3,0)),"CUIT NO CARGADO")</f>
        <v>GASTOS VARIOS</v>
      </c>
      <c r="R19" s="21">
        <f>IFERROR(IF('Sept-24'!$F19="","-",VLOOKUP('Sept-24'!$F19,Lista_CUIT!$A$1:$D$2241,4,0)),"CUIT NO CARGADO")</f>
        <v>0</v>
      </c>
    </row>
    <row r="20" spans="2:18" ht="14.4" x14ac:dyDescent="0.3">
      <c r="B20" s="12">
        <v>45563</v>
      </c>
      <c r="C20" s="13">
        <v>1</v>
      </c>
      <c r="D20" s="14">
        <v>4</v>
      </c>
      <c r="E20" s="15">
        <v>8100</v>
      </c>
      <c r="F20" s="16">
        <v>27184156658</v>
      </c>
      <c r="G20" s="17" t="str">
        <f>IFERROR(IF('Sept-24'!$F20="","-",VLOOKUP('Sept-24'!$F20,Lista_CUIT!$A$1:$D$2241,2,0)),"CUIT NO CARGADO")</f>
        <v>GRACIELA MONICA NUBELMAN</v>
      </c>
      <c r="H20" s="18">
        <v>28219.21</v>
      </c>
      <c r="I20" s="23">
        <f>IF('Sept-24'!$H20="","",'Sept-24'!$H20*0.21)</f>
        <v>5926.0340999999999</v>
      </c>
      <c r="J20" s="23"/>
      <c r="K20" s="23"/>
      <c r="L20" s="23"/>
      <c r="M20" s="23"/>
      <c r="N20" s="23"/>
      <c r="O20" s="23"/>
      <c r="P20" s="20">
        <f>SUM('Sept-24'!$H20:$O20)</f>
        <v>34145.244099999996</v>
      </c>
      <c r="Q20" s="21" t="str">
        <f>IFERROR(IF('Sept-24'!$F20="","-",VLOOKUP('Sept-24'!$F20,Lista_CUIT!$A$1:$D$2241,3,0)),"CUIT NO CARGADO")</f>
        <v>GASTOS VARIOS</v>
      </c>
      <c r="R20" s="21">
        <f>IFERROR(IF('Sept-24'!$F20="","-",VLOOKUP('Sept-24'!$F20,Lista_CUIT!$A$1:$D$2241,4,0)),"CUIT NO CARGADO")</f>
        <v>0</v>
      </c>
    </row>
    <row r="21" spans="2:18" ht="15.75" customHeight="1" x14ac:dyDescent="0.3">
      <c r="B21" s="12">
        <v>45540</v>
      </c>
      <c r="C21" s="13">
        <v>1</v>
      </c>
      <c r="D21" s="14">
        <v>5</v>
      </c>
      <c r="E21" s="15">
        <v>10463</v>
      </c>
      <c r="F21" s="16">
        <v>33711557119</v>
      </c>
      <c r="G21" s="17" t="str">
        <f>IFERROR(IF('Sept-24'!$F21="","-",VLOOKUP('Sept-24'!$F21,Lista_CUIT!$A$1:$D$2241,2,0)),"CUIT NO CARGADO")</f>
        <v>ELECTROMINGO S.R.L.</v>
      </c>
      <c r="H21" s="18">
        <v>30429.75</v>
      </c>
      <c r="I21" s="23">
        <f>IF('Sept-24'!$H21="","",'Sept-24'!$H21*0.21)</f>
        <v>6390.2474999999995</v>
      </c>
      <c r="J21" s="23"/>
      <c r="K21" s="23"/>
      <c r="L21" s="23"/>
      <c r="M21" s="23"/>
      <c r="N21" s="23"/>
      <c r="O21" s="23"/>
      <c r="P21" s="20">
        <f>SUM('Sept-24'!$H21:$O21)</f>
        <v>36819.997499999998</v>
      </c>
      <c r="Q21" s="21" t="str">
        <f>IFERROR(IF('Sept-24'!$F21="","-",VLOOKUP('Sept-24'!$F21,Lista_CUIT!$A$1:$D$2241,3,0)),"CUIT NO CARGADO")</f>
        <v>INSUMO</v>
      </c>
      <c r="R21" s="21" t="str">
        <f>IFERROR(IF('Sept-24'!$F21="","-",VLOOKUP('Sept-24'!$F21,Lista_CUIT!$A$1:$D$2241,4,0)),"CUIT NO CARGADO")</f>
        <v>BUENOS AIRES</v>
      </c>
    </row>
    <row r="22" spans="2:18" ht="14.25" customHeight="1" x14ac:dyDescent="0.3">
      <c r="B22" s="12">
        <v>45558</v>
      </c>
      <c r="C22" s="13">
        <v>1</v>
      </c>
      <c r="D22" s="14">
        <v>1</v>
      </c>
      <c r="E22" s="15">
        <v>11037</v>
      </c>
      <c r="F22" s="16">
        <v>30714082317</v>
      </c>
      <c r="G22" s="17" t="str">
        <f>IFERROR(IF('Sept-24'!$F22="","-",VLOOKUP('Sept-24'!$F22,Lista_CUIT!$A$1:$D$2241,2,0)),"CUIT NO CARGADO")</f>
        <v>TRADING SUD SRL</v>
      </c>
      <c r="H22" s="18">
        <v>17272.73</v>
      </c>
      <c r="I22" s="23">
        <f>IF('Sept-24'!$H22="","",'Sept-24'!$H22*0.21)</f>
        <v>3627.2732999999998</v>
      </c>
      <c r="J22" s="23"/>
      <c r="K22" s="23"/>
      <c r="L22" s="23"/>
      <c r="M22" s="23"/>
      <c r="N22" s="23"/>
      <c r="O22" s="23"/>
      <c r="P22" s="20">
        <f>SUM('Sept-24'!$H22:$O22)</f>
        <v>20900.0033</v>
      </c>
      <c r="Q22" s="21" t="str">
        <f>IFERROR(IF('Sept-24'!$F22="","-",VLOOKUP('Sept-24'!$F22,Lista_CUIT!$A$1:$D$2241,3,0)),"CUIT NO CARGADO")</f>
        <v>GASTOS VARIOS</v>
      </c>
      <c r="R22" s="21">
        <f>IFERROR(IF('Sept-24'!$F22="","-",VLOOKUP('Sept-24'!$F22,Lista_CUIT!$A$1:$D$2241,4,0)),"CUIT NO CARGADO")</f>
        <v>0</v>
      </c>
    </row>
    <row r="23" spans="2:18" ht="14.25" customHeight="1" x14ac:dyDescent="0.3">
      <c r="B23" s="12">
        <v>45540</v>
      </c>
      <c r="C23" s="13">
        <v>1</v>
      </c>
      <c r="D23" s="14">
        <v>3</v>
      </c>
      <c r="E23" s="15">
        <v>12030</v>
      </c>
      <c r="F23" s="16">
        <v>30716200244</v>
      </c>
      <c r="G23" s="17" t="str">
        <f>IFERROR(IF('Sept-24'!$F23="","-",VLOOKUP('Sept-24'!$F23,Lista_CUIT!$A$1:$D$2241,2,0)),"CUIT NO CARGADO")</f>
        <v>DE ELECTRICIDAD OSNI SRL</v>
      </c>
      <c r="H23" s="18">
        <v>6889.26</v>
      </c>
      <c r="I23" s="23">
        <f>IF('Sept-24'!$H23="","",'Sept-24'!$H23*0.21)</f>
        <v>1446.7446</v>
      </c>
      <c r="J23" s="23"/>
      <c r="K23" s="23"/>
      <c r="L23" s="23"/>
      <c r="M23" s="23"/>
      <c r="N23" s="23"/>
      <c r="O23" s="23"/>
      <c r="P23" s="20">
        <f>SUM('Sept-24'!$H23:$O23)</f>
        <v>8336.0046000000002</v>
      </c>
      <c r="Q23" s="21" t="str">
        <f>IFERROR(IF('Sept-24'!$F23="","-",VLOOKUP('Sept-24'!$F23,Lista_CUIT!$A$1:$D$2241,3,0)),"CUIT NO CARGADO")</f>
        <v>INSUMO</v>
      </c>
      <c r="R23" s="21">
        <f>IFERROR(IF('Sept-24'!$F23="","-",VLOOKUP('Sept-24'!$F23,Lista_CUIT!$A$1:$D$2241,4,0)),"CUIT NO CARGADO")</f>
        <v>0</v>
      </c>
    </row>
    <row r="24" spans="2:18" ht="15" customHeight="1" x14ac:dyDescent="0.3">
      <c r="B24" s="12">
        <v>45558</v>
      </c>
      <c r="C24" s="13">
        <v>1</v>
      </c>
      <c r="D24" s="14">
        <v>7</v>
      </c>
      <c r="E24" s="15">
        <v>16444</v>
      </c>
      <c r="F24" s="16">
        <v>20262008267</v>
      </c>
      <c r="G24" s="17" t="str">
        <f>IFERROR(IF('Sept-24'!$F24="","-",VLOOKUP('Sept-24'!$F24,Lista_CUIT!$A$1:$D$2241,2,0)),"CUIT NO CARGADO")</f>
        <v>ARIEL NACACH</v>
      </c>
      <c r="H24" s="18">
        <v>20560.330000000002</v>
      </c>
      <c r="I24" s="23">
        <f>IF('Sept-24'!$H24="","",'Sept-24'!$H24*0.21)</f>
        <v>4317.6693000000005</v>
      </c>
      <c r="J24" s="23"/>
      <c r="K24" s="23"/>
      <c r="L24" s="23"/>
      <c r="M24" s="23"/>
      <c r="N24" s="23"/>
      <c r="O24" s="23"/>
      <c r="P24" s="20">
        <f>SUM('Sept-24'!$H24:$O24)</f>
        <v>24877.999300000003</v>
      </c>
      <c r="Q24" s="21" t="str">
        <f>IFERROR(IF('Sept-24'!$F24="","-",VLOOKUP('Sept-24'!$F24,Lista_CUIT!$A$1:$D$2241,3,0)),"CUIT NO CARGADO")</f>
        <v>Gastos Oficina</v>
      </c>
      <c r="R24" s="21">
        <f>IFERROR(IF('Sept-24'!$F24="","-",VLOOKUP('Sept-24'!$F24,Lista_CUIT!$A$1:$D$2241,4,0)),"CUIT NO CARGADO")</f>
        <v>0</v>
      </c>
    </row>
    <row r="25" spans="2:18" ht="15" customHeight="1" x14ac:dyDescent="0.3">
      <c r="B25" s="12">
        <v>45552</v>
      </c>
      <c r="C25" s="13">
        <v>1</v>
      </c>
      <c r="D25" s="14">
        <v>6</v>
      </c>
      <c r="E25" s="15">
        <v>17860</v>
      </c>
      <c r="F25" s="16">
        <v>20289190148</v>
      </c>
      <c r="G25" s="17" t="str">
        <f>IFERROR(IF('Sept-24'!$F25="","-",VLOOKUP('Sept-24'!$F25,Lista_CUIT!$A$1:$D$2241,2,0)),"CUIT NO CARGADO")</f>
        <v>LAROCCA JUAN MARTIN</v>
      </c>
      <c r="H25" s="18">
        <v>11025.04</v>
      </c>
      <c r="I25" s="23">
        <f>IF('Sept-24'!$H25="","",'Sept-24'!$H25*0.21)</f>
        <v>2315.2584000000002</v>
      </c>
      <c r="J25" s="23"/>
      <c r="K25" s="23"/>
      <c r="L25" s="23"/>
      <c r="M25" s="23"/>
      <c r="N25" s="23"/>
      <c r="O25" s="23"/>
      <c r="P25" s="20">
        <f>SUM('Sept-24'!$H25:$O25)</f>
        <v>13340.298400000001</v>
      </c>
      <c r="Q25" s="21" t="str">
        <f>IFERROR(IF('Sept-24'!$F25="","-",VLOOKUP('Sept-24'!$F25,Lista_CUIT!$A$1:$D$2241,3,0)),"CUIT NO CARGADO")</f>
        <v>INSUMO</v>
      </c>
      <c r="R25" s="21">
        <f>IFERROR(IF('Sept-24'!$F25="","-",VLOOKUP('Sept-24'!$F25,Lista_CUIT!$A$1:$D$2241,4,0)),"CUIT NO CARGADO")</f>
        <v>0</v>
      </c>
    </row>
    <row r="26" spans="2:18" ht="15" customHeight="1" x14ac:dyDescent="0.3">
      <c r="B26" s="12">
        <v>45558</v>
      </c>
      <c r="C26" s="13">
        <v>1</v>
      </c>
      <c r="D26" s="14">
        <v>7</v>
      </c>
      <c r="E26" s="15">
        <v>24214</v>
      </c>
      <c r="F26" s="16">
        <v>30710951647</v>
      </c>
      <c r="G26" s="17" t="str">
        <f>IFERROR(IF('Sept-24'!$F26="","-",VLOOKUP('Sept-24'!$F26,Lista_CUIT!$A$1:$D$2241,2,0)),"CUIT NO CARGADO")</f>
        <v>SOLUCIONES TECNOLOGICAS INTEGRALES SRL</v>
      </c>
      <c r="H26" s="18">
        <v>30436.36</v>
      </c>
      <c r="I26" s="23">
        <f>IF('Sept-24'!$H26="","",'Sept-24'!$H26*0.21)</f>
        <v>6391.6355999999996</v>
      </c>
      <c r="J26" s="23"/>
      <c r="K26" s="23"/>
      <c r="L26" s="23"/>
      <c r="M26" s="23"/>
      <c r="N26" s="23"/>
      <c r="O26" s="23"/>
      <c r="P26" s="20">
        <f>SUM('Sept-24'!$H26:$O26)</f>
        <v>36827.995600000002</v>
      </c>
      <c r="Q26" s="21" t="str">
        <f>IFERROR(IF('Sept-24'!$F26="","-",VLOOKUP('Sept-24'!$F26,Lista_CUIT!$A$1:$D$2241,3,0)),"CUIT NO CARGADO")</f>
        <v>GASTOS VARIOS</v>
      </c>
      <c r="R26" s="21">
        <f>IFERROR(IF('Sept-24'!$F26="","-",VLOOKUP('Sept-24'!$F26,Lista_CUIT!$A$1:$D$2241,4,0)),"CUIT NO CARGADO")</f>
        <v>0</v>
      </c>
    </row>
    <row r="27" spans="2:18" ht="15" customHeight="1" x14ac:dyDescent="0.3">
      <c r="B27" s="12">
        <v>45556</v>
      </c>
      <c r="C27" s="13">
        <v>1</v>
      </c>
      <c r="D27" s="14">
        <v>3</v>
      </c>
      <c r="E27" s="15">
        <v>25457</v>
      </c>
      <c r="F27" s="16">
        <v>20292504455</v>
      </c>
      <c r="G27" s="17" t="str">
        <f>IFERROR(IF('Sept-24'!$F27="","-",VLOOKUP('Sept-24'!$F27,Lista_CUIT!$A$1:$D$2241,2,0)),"CUIT NO CARGADO")</f>
        <v>LABEL TRAX</v>
      </c>
      <c r="H27" s="18">
        <v>17851.240000000002</v>
      </c>
      <c r="I27" s="23">
        <f>IF('Sept-24'!$H27="","",'Sept-24'!$H27*0.21)</f>
        <v>3748.7604000000001</v>
      </c>
      <c r="J27" s="23"/>
      <c r="K27" s="23"/>
      <c r="L27" s="23"/>
      <c r="M27" s="23"/>
      <c r="N27" s="23"/>
      <c r="O27" s="23"/>
      <c r="P27" s="20">
        <f>SUM('Sept-24'!$H27:$O27)</f>
        <v>21600.000400000001</v>
      </c>
      <c r="Q27" s="21" t="str">
        <f>IFERROR(IF('Sept-24'!$F27="","-",VLOOKUP('Sept-24'!$F27,Lista_CUIT!$A$1:$D$2241,3,0)),"CUIT NO CARGADO")</f>
        <v>Papeleria</v>
      </c>
      <c r="R27" s="21">
        <f>IFERROR(IF('Sept-24'!$F27="","-",VLOOKUP('Sept-24'!$F27,Lista_CUIT!$A$1:$D$2241,4,0)),"CUIT NO CARGADO")</f>
        <v>0</v>
      </c>
    </row>
    <row r="28" spans="2:18" ht="15" customHeight="1" x14ac:dyDescent="0.3">
      <c r="B28" s="12">
        <v>45555</v>
      </c>
      <c r="C28" s="13">
        <v>1</v>
      </c>
      <c r="D28" s="14">
        <v>5</v>
      </c>
      <c r="E28" s="15">
        <v>26056</v>
      </c>
      <c r="F28" s="16">
        <v>27366871336</v>
      </c>
      <c r="G28" s="17" t="str">
        <f>IFERROR(IF('Sept-24'!$F28="","-",VLOOKUP('Sept-24'!$F28,Lista_CUIT!$A$1:$D$2241,2,0)),"CUIT NO CARGADO")</f>
        <v>STENDEL ELIANA JUDITH</v>
      </c>
      <c r="H28" s="18">
        <v>33069.06</v>
      </c>
      <c r="I28" s="23">
        <f>IF('Sept-24'!$H28="","",'Sept-24'!$H28*0.21)</f>
        <v>6944.5025999999989</v>
      </c>
      <c r="J28" s="23"/>
      <c r="K28" s="23"/>
      <c r="L28" s="23"/>
      <c r="M28" s="23"/>
      <c r="N28" s="23"/>
      <c r="O28" s="23"/>
      <c r="P28" s="20">
        <f>SUM('Sept-24'!$H28:$O28)</f>
        <v>40013.562599999997</v>
      </c>
      <c r="Q28" s="21" t="str">
        <f>IFERROR(IF('Sept-24'!$F28="","-",VLOOKUP('Sept-24'!$F28,Lista_CUIT!$A$1:$D$2241,3,0)),"CUIT NO CARGADO")</f>
        <v>INSUMO</v>
      </c>
      <c r="R28" s="21">
        <f>IFERROR(IF('Sept-24'!$F28="","-",VLOOKUP('Sept-24'!$F28,Lista_CUIT!$A$1:$D$2241,4,0)),"CUIT NO CARGADO")</f>
        <v>0</v>
      </c>
    </row>
    <row r="29" spans="2:18" ht="15.75" customHeight="1" x14ac:dyDescent="0.3">
      <c r="B29" s="12">
        <v>45558</v>
      </c>
      <c r="C29" s="13">
        <v>1</v>
      </c>
      <c r="D29" s="14">
        <v>5</v>
      </c>
      <c r="E29" s="15">
        <v>33307</v>
      </c>
      <c r="F29" s="16">
        <v>30715491180</v>
      </c>
      <c r="G29" s="17" t="str">
        <f>IFERROR(IF('Sept-24'!$F29="","-",VLOOKUP('Sept-24'!$F29,Lista_CUIT!$A$1:$D$2241,2,0)),"CUIT NO CARGADO")</f>
        <v>ONE CIRCLE SA</v>
      </c>
      <c r="H29" s="18">
        <v>5435.6</v>
      </c>
      <c r="I29" s="23">
        <f>IF('Sept-24'!$H29="","",'Sept-24'!$H29*0.21)</f>
        <v>1141.4760000000001</v>
      </c>
      <c r="J29" s="23"/>
      <c r="K29" s="23"/>
      <c r="L29" s="23"/>
      <c r="M29" s="23"/>
      <c r="N29" s="23"/>
      <c r="O29" s="23"/>
      <c r="P29" s="20">
        <f>SUM('Sept-24'!$H29:$O29)</f>
        <v>6577.0760000000009</v>
      </c>
      <c r="Q29" s="21" t="str">
        <f>IFERROR(IF('Sept-24'!$F29="","-",VLOOKUP('Sept-24'!$F29,Lista_CUIT!$A$1:$D$2241,3,0)),"CUIT NO CARGADO")</f>
        <v>GASTOS VARIOS</v>
      </c>
      <c r="R29" s="21">
        <f>IFERROR(IF('Sept-24'!$F29="","-",VLOOKUP('Sept-24'!$F29,Lista_CUIT!$A$1:$D$2241,4,0)),"CUIT NO CARGADO")</f>
        <v>0</v>
      </c>
    </row>
    <row r="30" spans="2:18" ht="15.75" customHeight="1" x14ac:dyDescent="0.3">
      <c r="B30" s="95" t="s">
        <v>1434</v>
      </c>
      <c r="C30" s="96">
        <v>3</v>
      </c>
      <c r="D30" s="97">
        <v>106</v>
      </c>
      <c r="E30" s="98">
        <v>34428</v>
      </c>
      <c r="F30" s="99">
        <v>30594494187</v>
      </c>
      <c r="G30" s="100" t="str">
        <f>IFERROR(IF('Sept-24'!$F30="","-",VLOOKUP('Sept-24'!$F30,Lista_CUIT!$A$1:$D$2241,2,0)),"CUIT NO CARGADO")</f>
        <v>FEDERAL EXPRESS CORPORATION</v>
      </c>
      <c r="H30" s="101"/>
      <c r="I30" s="102" t="str">
        <f>IF('Sept-24'!$H30="","",'Sept-24'!$H30*0.21)</f>
        <v/>
      </c>
      <c r="J30" s="102"/>
      <c r="K30" s="102"/>
      <c r="L30" s="102"/>
      <c r="M30" s="102"/>
      <c r="N30" s="102"/>
      <c r="O30" s="102">
        <v>-3225.6</v>
      </c>
      <c r="P30" s="103">
        <f>SUM('Sept-24'!$H30:$O30)</f>
        <v>-3225.6</v>
      </c>
      <c r="Q30" s="104" t="str">
        <f>IFERROR(IF('Sept-24'!$F30="","-",VLOOKUP('Sept-24'!$F30,Lista_CUIT!$A$1:$D$2241,3,0)),"CUIT NO CARGADO")</f>
        <v>Gastos Importacion</v>
      </c>
      <c r="R30" s="104">
        <f>IFERROR(IF('Sept-24'!$F30="","-",VLOOKUP('Sept-24'!$F30,Lista_CUIT!$A$1:$D$2241,4,0)),"CUIT NO CARGADO")</f>
        <v>0</v>
      </c>
    </row>
    <row r="31" spans="2:18" ht="15.75" customHeight="1" x14ac:dyDescent="0.3">
      <c r="B31" s="95" t="s">
        <v>1434</v>
      </c>
      <c r="C31" s="96">
        <v>3</v>
      </c>
      <c r="D31" s="97">
        <v>106</v>
      </c>
      <c r="E31" s="98">
        <v>34457</v>
      </c>
      <c r="F31" s="99">
        <v>30594494187</v>
      </c>
      <c r="G31" s="100" t="str">
        <f>IFERROR(IF('Sept-24'!$F31="","-",VLOOKUP('Sept-24'!$F31,Lista_CUIT!$A$1:$D$2241,2,0)),"CUIT NO CARGADO")</f>
        <v>FEDERAL EXPRESS CORPORATION</v>
      </c>
      <c r="H31" s="101"/>
      <c r="I31" s="102" t="str">
        <f>IF('Sept-24'!$H31="","",'Sept-24'!$H31*0.21)</f>
        <v/>
      </c>
      <c r="J31" s="102"/>
      <c r="K31" s="102"/>
      <c r="L31" s="102"/>
      <c r="M31" s="102"/>
      <c r="N31" s="102"/>
      <c r="O31" s="102">
        <v>-9727.2000000000007</v>
      </c>
      <c r="P31" s="103">
        <f>SUM('Sept-24'!$H31:$O31)</f>
        <v>-9727.2000000000007</v>
      </c>
      <c r="Q31" s="104" t="str">
        <f>IFERROR(IF('Sept-24'!$F31="","-",VLOOKUP('Sept-24'!$F31,Lista_CUIT!$A$1:$D$2241,3,0)),"CUIT NO CARGADO")</f>
        <v>Gastos Importacion</v>
      </c>
      <c r="R31" s="104">
        <f>IFERROR(IF('Sept-24'!$F31="","-",VLOOKUP('Sept-24'!$F31,Lista_CUIT!$A$1:$D$2241,4,0)),"CUIT NO CARGADO")</f>
        <v>0</v>
      </c>
    </row>
    <row r="32" spans="2:18" ht="15.75" customHeight="1" x14ac:dyDescent="0.3">
      <c r="B32" s="12">
        <v>45555</v>
      </c>
      <c r="C32" s="13">
        <v>1</v>
      </c>
      <c r="D32" s="14">
        <v>2000</v>
      </c>
      <c r="E32" s="15">
        <v>49527</v>
      </c>
      <c r="F32" s="16">
        <v>30716932245</v>
      </c>
      <c r="G32" s="17" t="str">
        <f>IFERROR(IF('Sept-24'!$F32="","-",VLOOKUP('Sept-24'!$F32,Lista_CUIT!$A$1:$D$2241,2,0)),"CUIT NO CARGADO")</f>
        <v>GRUPO MEXX SRL</v>
      </c>
      <c r="H32" s="18">
        <v>251238.84</v>
      </c>
      <c r="I32" s="23">
        <f>IF('Sept-24'!$H32="","",'Sept-24'!$H32*0.21)</f>
        <v>52760.1564</v>
      </c>
      <c r="J32" s="23"/>
      <c r="K32" s="23"/>
      <c r="L32" s="23"/>
      <c r="M32" s="23"/>
      <c r="N32" s="23"/>
      <c r="O32" s="23"/>
      <c r="P32" s="20">
        <f>SUM('Sept-24'!$H32:$O32)</f>
        <v>303998.9964</v>
      </c>
      <c r="Q32" s="21" t="str">
        <f>IFERROR(IF('Sept-24'!$F32="","-",VLOOKUP('Sept-24'!$F32,Lista_CUIT!$A$1:$D$2241,3,0)),"CUIT NO CARGADO")</f>
        <v>GASTOS VARIOS</v>
      </c>
      <c r="R32" s="21">
        <f>IFERROR(IF('Sept-24'!$F32="","-",VLOOKUP('Sept-24'!$F32,Lista_CUIT!$A$1:$D$2241,4,0)),"CUIT NO CARGADO")</f>
        <v>0</v>
      </c>
    </row>
    <row r="33" spans="1:26" ht="15.75" customHeight="1" x14ac:dyDescent="0.3">
      <c r="B33" s="12">
        <v>45558</v>
      </c>
      <c r="C33" s="13">
        <v>1</v>
      </c>
      <c r="D33" s="14">
        <v>2</v>
      </c>
      <c r="E33" s="15">
        <v>55169</v>
      </c>
      <c r="F33" s="16">
        <v>30716831066</v>
      </c>
      <c r="G33" s="17" t="str">
        <f>IFERROR(IF('Sept-24'!$F33="","-",VLOOKUP('Sept-24'!$F33,Lista_CUIT!$A$1:$D$2241,2,0)),"CUIT NO CARGADO")</f>
        <v>DOUBLE G SA</v>
      </c>
      <c r="H33" s="18">
        <v>34694.21</v>
      </c>
      <c r="I33" s="23">
        <f>IF('Sept-24'!$H33="","",'Sept-24'!$H33*0.21)</f>
        <v>7285.7840999999999</v>
      </c>
      <c r="J33" s="23"/>
      <c r="K33" s="23"/>
      <c r="L33" s="23"/>
      <c r="M33" s="23"/>
      <c r="N33" s="23"/>
      <c r="O33" s="23"/>
      <c r="P33" s="20">
        <f>SUM('Sept-24'!$H33:$O33)</f>
        <v>41979.994099999996</v>
      </c>
      <c r="Q33" s="21" t="str">
        <f>IFERROR(IF('Sept-24'!$F33="","-",VLOOKUP('Sept-24'!$F33,Lista_CUIT!$A$1:$D$2241,3,0)),"CUIT NO CARGADO")</f>
        <v>REPUESTOS</v>
      </c>
      <c r="R33" s="21">
        <f>IFERROR(IF('Sept-24'!$F33="","-",VLOOKUP('Sept-24'!$F33,Lista_CUIT!$A$1:$D$2241,4,0)),"CUIT NO CARGADO")</f>
        <v>0</v>
      </c>
    </row>
    <row r="34" spans="1:26" ht="15.75" customHeight="1" x14ac:dyDescent="0.3">
      <c r="B34" s="12">
        <v>45565</v>
      </c>
      <c r="C34" s="13">
        <v>1</v>
      </c>
      <c r="D34" s="14">
        <v>11</v>
      </c>
      <c r="E34" s="15">
        <v>55853</v>
      </c>
      <c r="F34" s="16">
        <v>30711526419</v>
      </c>
      <c r="G34" s="17" t="str">
        <f>IFERROR(IF('Sept-24'!$F34="","-",VLOOKUP('Sept-24'!$F34,Lista_CUIT!$A$1:$D$2241,2,0)),"CUIT NO CARGADO")</f>
        <v>ZETABURGOS SRL</v>
      </c>
      <c r="H34" s="18">
        <v>27431.4</v>
      </c>
      <c r="I34" s="23">
        <f>IF('Sept-24'!$H34="","",'Sept-24'!$H34*0.21)</f>
        <v>5760.5940000000001</v>
      </c>
      <c r="J34" s="23"/>
      <c r="K34" s="23"/>
      <c r="L34" s="23"/>
      <c r="M34" s="23"/>
      <c r="N34" s="23"/>
      <c r="O34" s="23"/>
      <c r="P34" s="20">
        <f>SUM('Sept-24'!$H34:$O34)</f>
        <v>33191.993999999999</v>
      </c>
      <c r="Q34" s="21" t="str">
        <f>IFERROR(IF('Sept-24'!$F34="","-",VLOOKUP('Sept-24'!$F34,Lista_CUIT!$A$1:$D$2241,3,0)),"CUIT NO CARGADO")</f>
        <v>INSUMO</v>
      </c>
      <c r="R34" s="21">
        <f>IFERROR(IF('Sept-24'!$F34="","-",VLOOKUP('Sept-24'!$F34,Lista_CUIT!$A$1:$D$2241,4,0)),"CUIT NO CARGADO")</f>
        <v>0</v>
      </c>
    </row>
    <row r="35" spans="1:26" ht="15.75" customHeight="1" x14ac:dyDescent="0.3">
      <c r="B35" s="12">
        <v>45562</v>
      </c>
      <c r="C35" s="13">
        <v>1</v>
      </c>
      <c r="D35" s="14">
        <v>4</v>
      </c>
      <c r="E35" s="15">
        <v>85286</v>
      </c>
      <c r="F35" s="16">
        <v>30714749206</v>
      </c>
      <c r="G35" s="17" t="str">
        <f>IFERROR(IF('Sept-24'!$F35="","-",VLOOKUP('Sept-24'!$F35,Lista_CUIT!$A$1:$D$2241,2,0)),"CUIT NO CARGADO")</f>
        <v>EBOX SA</v>
      </c>
      <c r="H35" s="18">
        <v>196283.47</v>
      </c>
      <c r="I35" s="23">
        <f>IF('Sept-24'!$H35="","",'Sept-24'!$H35*0.21)</f>
        <v>41219.528699999995</v>
      </c>
      <c r="J35" s="23"/>
      <c r="K35" s="23"/>
      <c r="L35" s="23"/>
      <c r="M35" s="23"/>
      <c r="N35" s="23"/>
      <c r="O35" s="23"/>
      <c r="P35" s="20">
        <f>SUM('Sept-24'!$H35:$O35)</f>
        <v>237502.9987</v>
      </c>
      <c r="Q35" s="21" t="str">
        <f>IFERROR(IF('Sept-24'!$F35="","-",VLOOKUP('Sept-24'!$F35,Lista_CUIT!$A$1:$D$2241,3,0)),"CUIT NO CARGADO")</f>
        <v>Gastos Oficina</v>
      </c>
      <c r="R35" s="21">
        <f>IFERROR(IF('Sept-24'!$F35="","-",VLOOKUP('Sept-24'!$F35,Lista_CUIT!$A$1:$D$2241,4,0)),"CUIT NO CARGADO")</f>
        <v>0</v>
      </c>
      <c r="S35" s="3" t="s">
        <v>1390</v>
      </c>
    </row>
    <row r="36" spans="1:26" ht="15.75" customHeight="1" x14ac:dyDescent="0.3">
      <c r="B36" s="12">
        <v>45536</v>
      </c>
      <c r="C36" s="13">
        <v>1</v>
      </c>
      <c r="D36" s="14">
        <v>3</v>
      </c>
      <c r="E36" s="15">
        <v>239291</v>
      </c>
      <c r="F36" s="16">
        <v>30707135596</v>
      </c>
      <c r="G36" s="17" t="str">
        <f>IFERROR(IF('Sept-24'!$F36="","-",VLOOKUP('Sept-24'!$F36,Lista_CUIT!$A$1:$D$2241,2,0)),"CUIT NO CARGADO")</f>
        <v>CITILAN ARGENTINA S.A.</v>
      </c>
      <c r="H36" s="18">
        <v>21084.94</v>
      </c>
      <c r="I36" s="23">
        <f>IF('Sept-24'!$H36="","",'Sept-24'!$H36*0.21)</f>
        <v>4427.8373999999994</v>
      </c>
      <c r="J36" s="23"/>
      <c r="K36" s="23"/>
      <c r="L36" s="23"/>
      <c r="M36" s="23"/>
      <c r="N36" s="23"/>
      <c r="O36" s="23"/>
      <c r="P36" s="20">
        <f>SUM('Sept-24'!$H36:$O36)</f>
        <v>25512.777399999999</v>
      </c>
      <c r="Q36" s="21" t="str">
        <f>IFERROR(IF('Sept-24'!$F36="","-",VLOOKUP('Sept-24'!$F36,Lista_CUIT!$A$1:$D$2241,3,0)),"CUIT NO CARGADO")</f>
        <v>Telefonia</v>
      </c>
      <c r="R36" s="21">
        <f>IFERROR(IF('Sept-24'!$F36="","-",VLOOKUP('Sept-24'!$F36,Lista_CUIT!$A$1:$D$2241,4,0)),"CUIT NO CARGADO")</f>
        <v>0</v>
      </c>
    </row>
    <row r="37" spans="1:26" ht="15.75" customHeight="1" x14ac:dyDescent="0.3">
      <c r="B37" s="95">
        <v>45546</v>
      </c>
      <c r="C37" s="96">
        <v>1</v>
      </c>
      <c r="D37" s="97">
        <v>2466</v>
      </c>
      <c r="E37" s="98">
        <v>699353</v>
      </c>
      <c r="F37" s="99">
        <v>30678814357</v>
      </c>
      <c r="G37" s="100" t="str">
        <f>IFERROR(IF('Sept-24'!$F37="","-",VLOOKUP('Sept-24'!$F37,Lista_CUIT!$A$1:$D$2241,2,0)),"CUIT NO CARGADO")</f>
        <v>TELEFONICA MOVILES ARG</v>
      </c>
      <c r="H37" s="101">
        <v>25540</v>
      </c>
      <c r="I37" s="102"/>
      <c r="J37" s="102">
        <f>'Sept-24'!$H37*0.27</f>
        <v>6895.8</v>
      </c>
      <c r="K37" s="102"/>
      <c r="L37" s="102">
        <v>766.2</v>
      </c>
      <c r="M37" s="102"/>
      <c r="N37" s="102"/>
      <c r="O37" s="102">
        <v>1344.2</v>
      </c>
      <c r="P37" s="103">
        <f>SUM('Sept-24'!$H37:$O37)</f>
        <v>34546.199999999997</v>
      </c>
      <c r="Q37" s="104" t="str">
        <f>IFERROR(IF('Sept-24'!$F37="","-",VLOOKUP('Sept-24'!$F37,Lista_CUIT!$A$1:$D$2241,3,0)),"CUIT NO CARGADO")</f>
        <v>Telefonia</v>
      </c>
      <c r="R37" s="104">
        <f>IFERROR(IF('Sept-24'!$F37="","-",VLOOKUP('Sept-24'!$F37,Lista_CUIT!$A$1:$D$2241,4,0)),"CUIT NO CARGADO")</f>
        <v>0</v>
      </c>
    </row>
    <row r="38" spans="1:26" ht="15.75" customHeight="1" x14ac:dyDescent="0.3">
      <c r="B38" s="95">
        <v>45537</v>
      </c>
      <c r="C38" s="96">
        <v>1</v>
      </c>
      <c r="D38" s="97">
        <v>106</v>
      </c>
      <c r="E38" s="98">
        <v>766015</v>
      </c>
      <c r="F38" s="99">
        <v>30594494187</v>
      </c>
      <c r="G38" s="100" t="str">
        <f>IFERROR(IF('Sept-24'!$F38="","-",VLOOKUP('Sept-24'!$F38,Lista_CUIT!$A$1:$D$2241,2,0)),"CUIT NO CARGADO")</f>
        <v>FEDERAL EXPRESS CORPORATION</v>
      </c>
      <c r="H38" s="101"/>
      <c r="I38" s="102" t="str">
        <f>IF('Sept-24'!$H38="","",'Sept-24'!$H38*0.21)</f>
        <v/>
      </c>
      <c r="J38" s="102"/>
      <c r="K38" s="102"/>
      <c r="L38" s="102"/>
      <c r="M38" s="102"/>
      <c r="N38" s="102"/>
      <c r="O38" s="102">
        <v>574924.19999999995</v>
      </c>
      <c r="P38" s="103">
        <f>SUM('Sept-24'!$H38:$O38)</f>
        <v>574924.19999999995</v>
      </c>
      <c r="Q38" s="104" t="str">
        <f>IFERROR(IF('Sept-24'!$F38="","-",VLOOKUP('Sept-24'!$F38,Lista_CUIT!$A$1:$D$2241,3,0)),"CUIT NO CARGADO")</f>
        <v>Gastos Importacion</v>
      </c>
      <c r="R38" s="104">
        <f>IFERROR(IF('Sept-24'!$F38="","-",VLOOKUP('Sept-24'!$F38,Lista_CUIT!$A$1:$D$2241,4,0)),"CUIT NO CARGADO")</f>
        <v>0</v>
      </c>
    </row>
    <row r="39" spans="1:26" ht="15.75" customHeight="1" x14ac:dyDescent="0.3">
      <c r="B39" s="95">
        <v>45552</v>
      </c>
      <c r="C39" s="96">
        <v>1</v>
      </c>
      <c r="D39" s="97">
        <v>106</v>
      </c>
      <c r="E39" s="98">
        <v>770685</v>
      </c>
      <c r="F39" s="99">
        <v>30594494187</v>
      </c>
      <c r="G39" s="100" t="str">
        <f>IFERROR(IF('Sept-24'!$F39="","-",VLOOKUP('Sept-24'!$F39,Lista_CUIT!$A$1:$D$2241,2,0)),"CUIT NO CARGADO")</f>
        <v>FEDERAL EXPRESS CORPORATION</v>
      </c>
      <c r="H39" s="101"/>
      <c r="I39" s="102" t="str">
        <f>IF('Sept-24'!$H39="","",'Sept-24'!$H39*0.21)</f>
        <v/>
      </c>
      <c r="J39" s="102"/>
      <c r="K39" s="102"/>
      <c r="L39" s="102"/>
      <c r="M39" s="102"/>
      <c r="N39" s="102"/>
      <c r="O39" s="102">
        <v>549129.02</v>
      </c>
      <c r="P39" s="103">
        <f>SUM('Sept-24'!$H39:$O39)</f>
        <v>549129.02</v>
      </c>
      <c r="Q39" s="104" t="str">
        <f>IFERROR(IF('Sept-24'!$F39="","-",VLOOKUP('Sept-24'!$F39,Lista_CUIT!$A$1:$D$2241,3,0)),"CUIT NO CARGADO")</f>
        <v>Gastos Importacion</v>
      </c>
      <c r="R39" s="104">
        <f>IFERROR(IF('Sept-24'!$F39="","-",VLOOKUP('Sept-24'!$F39,Lista_CUIT!$A$1:$D$2241,4,0)),"CUIT NO CARGADO")</f>
        <v>0</v>
      </c>
    </row>
    <row r="40" spans="1:26" ht="15.75" customHeight="1" x14ac:dyDescent="0.3">
      <c r="B40" s="95">
        <v>45565</v>
      </c>
      <c r="C40" s="96">
        <v>1</v>
      </c>
      <c r="D40" s="97">
        <v>106</v>
      </c>
      <c r="E40" s="98">
        <v>774913</v>
      </c>
      <c r="F40" s="99">
        <v>30594494187</v>
      </c>
      <c r="G40" s="100" t="str">
        <f>IFERROR(IF('Sept-24'!$F40="","-",VLOOKUP('Sept-24'!$F40,Lista_CUIT!$A$1:$D$2241,2,0)),"CUIT NO CARGADO")</f>
        <v>FEDERAL EXPRESS CORPORATION</v>
      </c>
      <c r="H40" s="101"/>
      <c r="I40" s="102" t="str">
        <f>IF('Sept-24'!$H40="","",'Sept-24'!$H40*0.21)</f>
        <v/>
      </c>
      <c r="J40" s="102"/>
      <c r="K40" s="102"/>
      <c r="L40" s="102"/>
      <c r="M40" s="102"/>
      <c r="N40" s="102"/>
      <c r="O40" s="102">
        <v>193380.26</v>
      </c>
      <c r="P40" s="103">
        <f>SUM('Sept-24'!$H40:$O40)</f>
        <v>193380.26</v>
      </c>
      <c r="Q40" s="104" t="str">
        <f>IFERROR(IF('Sept-24'!$F40="","-",VLOOKUP('Sept-24'!$F40,Lista_CUIT!$A$1:$D$2241,3,0)),"CUIT NO CARGADO")</f>
        <v>Gastos Importacion</v>
      </c>
      <c r="R40" s="104">
        <f>IFERROR(IF('Sept-24'!$F40="","-",VLOOKUP('Sept-24'!$F40,Lista_CUIT!$A$1:$D$2241,4,0)),"CUIT NO CARGADO")</f>
        <v>0</v>
      </c>
    </row>
    <row r="41" spans="1:26" ht="15.75" customHeight="1" x14ac:dyDescent="0.3">
      <c r="B41" s="12">
        <v>45563</v>
      </c>
      <c r="C41" s="13">
        <v>1</v>
      </c>
      <c r="D41" s="14">
        <v>4</v>
      </c>
      <c r="E41" s="15">
        <v>1082054</v>
      </c>
      <c r="F41" s="16">
        <v>30716620634</v>
      </c>
      <c r="G41" s="17" t="str">
        <f>IFERROR(IF('Sept-24'!$F41="","-",VLOOKUP('Sept-24'!$F41,Lista_CUIT!$A$1:$D$2241,2,0)),"CUIT NO CARGADO")</f>
        <v>FIRSTLABEL SRL</v>
      </c>
      <c r="H41" s="18">
        <v>29791.53</v>
      </c>
      <c r="I41" s="23">
        <f>IF('Sept-24'!$H41="","",'Sept-24'!$H41*0.21)</f>
        <v>6256.2212999999992</v>
      </c>
      <c r="J41" s="23"/>
      <c r="K41" s="23"/>
      <c r="L41" s="23"/>
      <c r="M41" s="23"/>
      <c r="N41" s="23"/>
      <c r="O41" s="23"/>
      <c r="P41" s="20">
        <f>SUM('Sept-24'!$H41:$O41)</f>
        <v>36047.751299999996</v>
      </c>
      <c r="Q41" s="21" t="str">
        <f>IFERROR(IF('Sept-24'!$F41="","-",VLOOKUP('Sept-24'!$F41,Lista_CUIT!$A$1:$D$2241,3,0)),"CUIT NO CARGADO")</f>
        <v>GASTOS VARIOS</v>
      </c>
      <c r="R41" s="21">
        <f>IFERROR(IF('Sept-24'!$F41="","-",VLOOKUP('Sept-24'!$F41,Lista_CUIT!$A$1:$D$2241,4,0)),"CUIT NO CARGADO")</f>
        <v>0</v>
      </c>
    </row>
    <row r="42" spans="1:26" ht="15.75" customHeight="1" x14ac:dyDescent="0.3">
      <c r="B42" s="21" t="s">
        <v>1343</v>
      </c>
      <c r="C42" s="21"/>
      <c r="D42" s="21"/>
      <c r="E42" s="21"/>
      <c r="F42" s="21"/>
      <c r="G42" s="17"/>
      <c r="H42" s="18">
        <f>SUBTOTAL(109,'Sept-24'!$H$9:$H$41)</f>
        <v>6004141.7400000012</v>
      </c>
      <c r="I42" s="18">
        <f>SUBTOTAL(109,'Sept-24'!$I$9:$I$41)</f>
        <v>1255506.3654</v>
      </c>
      <c r="J42" s="18">
        <f>SUBTOTAL(109,'Sept-24'!$J$9:$J$41)</f>
        <v>6895.8</v>
      </c>
      <c r="K42" s="18">
        <f>SUBTOTAL(109,'Sept-24'!$K$9:$K$41)</f>
        <v>0</v>
      </c>
      <c r="L42" s="18">
        <f>SUBTOTAL(109,'Sept-24'!$L$9:$L$41)</f>
        <v>766.2</v>
      </c>
      <c r="M42" s="18">
        <f>SUBTOTAL(109,'Sept-24'!$M$9:$M$41)</f>
        <v>0</v>
      </c>
      <c r="N42" s="18">
        <f>SUBTOTAL(109,'Sept-24'!$N$9:$N$41)</f>
        <v>0</v>
      </c>
      <c r="O42" s="18">
        <f>SUBTOTAL(109,'Sept-24'!$O$9:$O$41)</f>
        <v>1305824.8800000001</v>
      </c>
      <c r="P42" s="18">
        <f>SUBTOTAL(109,'Sept-24'!$P$9:$P$41)</f>
        <v>8573134.9853999987</v>
      </c>
      <c r="Q42" s="21"/>
      <c r="R42" s="21"/>
    </row>
    <row r="43" spans="1:26" ht="18" customHeight="1" x14ac:dyDescent="0.3">
      <c r="A43" s="43"/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  <c r="M43" s="19"/>
      <c r="N43" s="19"/>
      <c r="O43" s="19"/>
      <c r="P43" s="20"/>
      <c r="Q43" s="21"/>
      <c r="R43" s="21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B44" s="12"/>
      <c r="C44" s="13"/>
      <c r="D44" s="14"/>
      <c r="E44" s="15"/>
      <c r="F44" s="16"/>
      <c r="G44" s="17"/>
      <c r="H44" s="18"/>
      <c r="I44" s="19"/>
      <c r="J44" s="19"/>
      <c r="K44" s="19"/>
      <c r="L44" s="19"/>
      <c r="M44" s="19"/>
      <c r="N44" s="19"/>
      <c r="O44" s="19"/>
      <c r="P44" s="20"/>
      <c r="Q44" s="21"/>
      <c r="R44" s="21"/>
    </row>
    <row r="45" spans="1:26" ht="15.75" customHeight="1" x14ac:dyDescent="0.3">
      <c r="B45" s="12"/>
      <c r="C45" s="13"/>
      <c r="D45" s="14"/>
      <c r="E45" s="15"/>
      <c r="F45" s="16"/>
      <c r="G45" s="17"/>
      <c r="H45" s="18"/>
      <c r="J45" s="19"/>
      <c r="K45" s="19"/>
      <c r="L45" s="19"/>
      <c r="M45" s="19"/>
      <c r="N45" s="19"/>
      <c r="O45" s="19"/>
      <c r="P45" s="20"/>
      <c r="Q45" s="21"/>
      <c r="R45" s="21"/>
    </row>
    <row r="46" spans="1:26" ht="15.75" customHeight="1" x14ac:dyDescent="0.3">
      <c r="B46" s="12"/>
      <c r="C46" s="13"/>
      <c r="D46" s="14"/>
      <c r="E46" s="15"/>
      <c r="F46" s="16"/>
      <c r="G46" s="17"/>
      <c r="H46" s="18"/>
      <c r="I46" s="19"/>
      <c r="J46" s="19"/>
      <c r="K46" s="19"/>
      <c r="L46" s="19"/>
      <c r="N46" s="155"/>
    </row>
    <row r="47" spans="1:26" ht="15.75" customHeight="1" x14ac:dyDescent="0.3">
      <c r="D47" s="484" t="s">
        <v>1344</v>
      </c>
      <c r="E47" s="476"/>
      <c r="F47" s="476"/>
      <c r="G47" s="476"/>
      <c r="H47" s="476"/>
      <c r="I47" s="476"/>
      <c r="J47" s="476"/>
      <c r="K47" s="476"/>
      <c r="L47" s="477"/>
    </row>
    <row r="48" spans="1:26" ht="15.75" customHeight="1" x14ac:dyDescent="0.3">
      <c r="D48" s="24" t="s">
        <v>1322</v>
      </c>
      <c r="E48" s="25" t="s">
        <v>1345</v>
      </c>
      <c r="F48" s="25" t="s">
        <v>1346</v>
      </c>
      <c r="G48" s="25" t="s">
        <v>1347</v>
      </c>
      <c r="H48" s="25" t="s">
        <v>1348</v>
      </c>
      <c r="I48" s="25" t="s">
        <v>1329</v>
      </c>
      <c r="J48" s="26" t="s">
        <v>1349</v>
      </c>
      <c r="K48" s="26" t="s">
        <v>1350</v>
      </c>
      <c r="L48" s="27" t="s">
        <v>1351</v>
      </c>
    </row>
    <row r="49" spans="4:12" ht="15.75" customHeight="1" x14ac:dyDescent="0.3">
      <c r="D49" s="12"/>
      <c r="E49" s="29"/>
      <c r="F49" s="29" t="s">
        <v>1427</v>
      </c>
      <c r="G49" s="31">
        <v>24050</v>
      </c>
      <c r="H49" s="31">
        <f>'Sept-24'!$G49*0.21</f>
        <v>5050.5</v>
      </c>
      <c r="I49" s="31"/>
      <c r="J49" s="31"/>
      <c r="K49" s="31">
        <v>721.5</v>
      </c>
      <c r="L49" s="31"/>
    </row>
    <row r="50" spans="4:12" ht="15.75" customHeight="1" x14ac:dyDescent="0.3">
      <c r="D50" s="12"/>
      <c r="E50" s="29"/>
      <c r="F50" s="29" t="s">
        <v>1427</v>
      </c>
      <c r="G50" s="31">
        <v>59132.95</v>
      </c>
      <c r="H50" s="31">
        <f>'Sept-24'!$G50*0.21</f>
        <v>12417.919499999998</v>
      </c>
      <c r="I50" s="31"/>
      <c r="J50" s="31"/>
      <c r="K50" s="31">
        <v>1613.86</v>
      </c>
      <c r="L50" s="31"/>
    </row>
    <row r="51" spans="4:12" ht="18" customHeight="1" x14ac:dyDescent="0.3">
      <c r="D51" s="12"/>
      <c r="E51" s="29"/>
      <c r="F51" s="29" t="s">
        <v>1435</v>
      </c>
      <c r="G51" s="31">
        <v>800</v>
      </c>
      <c r="H51" s="31">
        <f>'Sept-24'!$G51*0.21</f>
        <v>168</v>
      </c>
      <c r="I51" s="31"/>
      <c r="J51" s="31">
        <v>27.76</v>
      </c>
      <c r="K51" s="31"/>
      <c r="L51" s="31"/>
    </row>
    <row r="52" spans="4:12" ht="15.75" customHeight="1" x14ac:dyDescent="0.3">
      <c r="D52" s="12"/>
      <c r="E52" s="29"/>
      <c r="F52" s="29"/>
      <c r="G52" s="31"/>
      <c r="H52" s="31">
        <f>'Sept-24'!$G52*0.21</f>
        <v>0</v>
      </c>
      <c r="I52" s="31"/>
      <c r="J52" s="31"/>
      <c r="K52" s="31"/>
      <c r="L52" s="31"/>
    </row>
    <row r="53" spans="4:12" ht="15.75" customHeight="1" x14ac:dyDescent="0.3">
      <c r="D53" s="21" t="s">
        <v>1343</v>
      </c>
      <c r="E53" s="29"/>
      <c r="F53" s="29"/>
      <c r="G53" s="31">
        <f>SUBTOTAL(109,'Sept-24'!$G$49:$G$52)</f>
        <v>83982.95</v>
      </c>
      <c r="H53" s="31">
        <f>SUBTOTAL(109,'Sept-24'!$H$49:$H$52)</f>
        <v>17636.419499999996</v>
      </c>
      <c r="I53" s="31">
        <f>SUBTOTAL(109,'Sept-24'!$I$49:$I$52)</f>
        <v>0</v>
      </c>
      <c r="J53" s="31">
        <f>SUBTOTAL(109,'Sept-24'!$J$49:$J$52)</f>
        <v>27.76</v>
      </c>
      <c r="K53" s="31">
        <f>SUBTOTAL(109,'Sept-24'!$K$49:$K$52)</f>
        <v>2335.3599999999997</v>
      </c>
      <c r="L53" s="31">
        <f>SUBTOTAL(109,'Sept-24'!$L$49:$L$52)</f>
        <v>0</v>
      </c>
    </row>
    <row r="54" spans="4:12" ht="15.75" customHeight="1" x14ac:dyDescent="0.3"/>
    <row r="55" spans="4:12" ht="15.75" customHeight="1" x14ac:dyDescent="0.3">
      <c r="D55" s="484" t="s">
        <v>1361</v>
      </c>
      <c r="E55" s="476"/>
      <c r="F55" s="476"/>
      <c r="G55" s="476"/>
      <c r="H55" s="476"/>
      <c r="I55" s="476"/>
      <c r="J55" s="476"/>
      <c r="K55" s="477"/>
    </row>
    <row r="56" spans="4:12" ht="15.75" customHeight="1" x14ac:dyDescent="0.3">
      <c r="D56" s="35" t="s">
        <v>1322</v>
      </c>
      <c r="E56" s="35" t="s">
        <v>1324</v>
      </c>
      <c r="F56" s="35" t="s">
        <v>1362</v>
      </c>
      <c r="G56" s="35" t="s">
        <v>0</v>
      </c>
      <c r="H56" s="35" t="s">
        <v>1</v>
      </c>
      <c r="I56" s="36" t="s">
        <v>1334</v>
      </c>
      <c r="J56" s="35" t="s">
        <v>1363</v>
      </c>
      <c r="K56" s="35" t="s">
        <v>1335</v>
      </c>
    </row>
    <row r="57" spans="4:12" ht="15.75" customHeight="1" x14ac:dyDescent="0.3">
      <c r="D57" s="12">
        <v>45536</v>
      </c>
      <c r="E57" s="38">
        <v>1</v>
      </c>
      <c r="F57" s="38">
        <v>40</v>
      </c>
      <c r="G57" s="39">
        <v>20365938688</v>
      </c>
      <c r="H57" s="40" t="str">
        <f>IFERROR(IF('Sept-24'!$G57="","-",VLOOKUP('Sept-24'!$G57,Lista_CUIT!$A$1:$D$2241,2,0)),"CUIT NO CARGADO")</f>
        <v>LIPANOVICH JUAN CRUZ</v>
      </c>
      <c r="I57" s="41">
        <v>750000</v>
      </c>
      <c r="J57" s="42" t="str">
        <f>IFERROR(IF('Sept-24'!$G57="","-",VLOOKUP('Sept-24'!$G57,Lista_CUIT!$A$1:$D$2241,3,0)),"CUIT NO CARGADO")</f>
        <v>SOFTWARE</v>
      </c>
      <c r="K57" s="42">
        <f>IFERROR(IF('Sept-24'!$G57="","-",VLOOKUP('Sept-24'!$G57,Lista_CUIT!$A$1:$D$2241,4,0)),"CUIT NO CARGADO")</f>
        <v>0</v>
      </c>
    </row>
    <row r="58" spans="4:12" ht="15.75" customHeight="1" x14ac:dyDescent="0.3">
      <c r="D58" s="12">
        <v>45537</v>
      </c>
      <c r="E58" s="38">
        <v>1</v>
      </c>
      <c r="F58" s="38">
        <v>29</v>
      </c>
      <c r="G58" s="39">
        <v>27387896150</v>
      </c>
      <c r="H58" s="40" t="str">
        <f>IFERROR(IF('Sept-24'!$G58="","-",VLOOKUP('Sept-24'!$G58,Lista_CUIT!$A$1:$D$2241,2,0)),"CUIT NO CARGADO")</f>
        <v>LIPANOVICH MARIA SOL</v>
      </c>
      <c r="I58" s="41">
        <v>900000</v>
      </c>
      <c r="J58" s="42" t="str">
        <f>IFERROR(IF('Sept-24'!$G58="","-",VLOOKUP('Sept-24'!$G58,Lista_CUIT!$A$1:$D$2241,3,0)),"CUIT NO CARGADO")</f>
        <v>consultoria informatica</v>
      </c>
      <c r="K58" s="42">
        <f>IFERROR(IF('Sept-24'!$G58="","-",VLOOKUP('Sept-24'!$G58,Lista_CUIT!$A$1:$D$2241,4,0)),"CUIT NO CARGADO")</f>
        <v>0</v>
      </c>
    </row>
    <row r="59" spans="4:12" ht="15.75" customHeight="1" x14ac:dyDescent="0.3">
      <c r="D59" s="12">
        <v>45537</v>
      </c>
      <c r="E59" s="38">
        <v>2</v>
      </c>
      <c r="F59" s="38">
        <v>176</v>
      </c>
      <c r="G59" s="39">
        <v>20136544625</v>
      </c>
      <c r="H59" s="40" t="str">
        <f>IFERROR(IF('Sept-24'!$G59="","-",VLOOKUP('Sept-24'!$G59,Lista_CUIT!$A$1:$D$2241,2,0)),"CUIT NO CARGADO")</f>
        <v>RODRIGUEZ DE LA FUEN HECTOR MARCELO</v>
      </c>
      <c r="I59" s="41">
        <v>1035000</v>
      </c>
      <c r="J59" s="42" t="str">
        <f>IFERROR(IF('Sept-24'!$G59="","-",VLOOKUP('Sept-24'!$G59,Lista_CUIT!$A$1:$D$2241,3,0)),"CUIT NO CARGADO")</f>
        <v>Honorarios Admin</v>
      </c>
      <c r="K59" s="42">
        <f>IFERROR(IF('Sept-24'!$G59="","-",VLOOKUP('Sept-24'!$G59,Lista_CUIT!$A$1:$D$2241,4,0)),"CUIT NO CARGADO")</f>
        <v>0</v>
      </c>
    </row>
    <row r="60" spans="4:12" ht="15.75" customHeight="1" x14ac:dyDescent="0.3">
      <c r="D60" s="12">
        <v>45537</v>
      </c>
      <c r="E60" s="38">
        <v>3</v>
      </c>
      <c r="F60" s="38">
        <v>881</v>
      </c>
      <c r="G60" s="39">
        <v>20086277523</v>
      </c>
      <c r="H60" s="40" t="str">
        <f>IFERROR(IF('Sept-24'!$G60="","-",VLOOKUP('Sept-24'!$G60,Lista_CUIT!$A$1:$D$2241,2,0)),"CUIT NO CARGADO")</f>
        <v>ESTUDIO BOTINDARI</v>
      </c>
      <c r="I60" s="41">
        <v>270000</v>
      </c>
      <c r="J60" s="42" t="str">
        <f>IFERROR(IF('Sept-24'!$G60="","-",VLOOKUP('Sept-24'!$G60,Lista_CUIT!$A$1:$D$2241,3,0)),"CUIT NO CARGADO")</f>
        <v>Honorarios Contables</v>
      </c>
      <c r="K60" s="42">
        <f>IFERROR(IF('Sept-24'!$G60="","-",VLOOKUP('Sept-24'!$G60,Lista_CUIT!$A$1:$D$2241,4,0)),"CUIT NO CARGADO")</f>
        <v>0</v>
      </c>
    </row>
    <row r="61" spans="4:12" ht="15.75" customHeight="1" x14ac:dyDescent="0.3">
      <c r="D61" s="12">
        <v>45539</v>
      </c>
      <c r="E61" s="38">
        <v>2</v>
      </c>
      <c r="F61" s="38">
        <v>7</v>
      </c>
      <c r="G61" s="39">
        <v>23118167279</v>
      </c>
      <c r="H61" s="40" t="str">
        <f>IFERROR(IF('Sept-24'!$G61="","-",VLOOKUP('Sept-24'!$G61,Lista_CUIT!$A$1:$D$2241,2,0)),"CUIT NO CARGADO")</f>
        <v>ABELEDO ENRIQUE JUAN</v>
      </c>
      <c r="I61" s="41">
        <v>780000</v>
      </c>
      <c r="J61" s="42" t="str">
        <f>IFERROR(IF('Sept-24'!$G61="","-",VLOOKUP('Sept-24'!$G61,Lista_CUIT!$A$1:$D$2241,3,0)),"CUIT NO CARGADO")</f>
        <v>Honorarios Admin</v>
      </c>
      <c r="K61" s="42">
        <f>IFERROR(IF('Sept-24'!$G61="","-",VLOOKUP('Sept-24'!$G61,Lista_CUIT!$A$1:$D$2241,4,0)),"CUIT NO CARGADO")</f>
        <v>0</v>
      </c>
    </row>
    <row r="62" spans="4:12" ht="15.75" customHeight="1" x14ac:dyDescent="0.3">
      <c r="D62" s="12">
        <v>45541</v>
      </c>
      <c r="E62" s="38">
        <v>1</v>
      </c>
      <c r="F62" s="38">
        <v>117</v>
      </c>
      <c r="G62" s="39">
        <v>20389908569</v>
      </c>
      <c r="H62" s="40" t="str">
        <f>IFERROR(IF('Sept-24'!$G62="","-",VLOOKUP('Sept-24'!$G62,Lista_CUIT!$A$1:$D$2241,2,0)),"CUIT NO CARGADO")</f>
        <v>BOTINDARI JUAN IGNACIO</v>
      </c>
      <c r="I62" s="41">
        <v>72530</v>
      </c>
      <c r="J62" s="42" t="str">
        <f>IFERROR(IF('Sept-24'!$G62="","-",VLOOKUP('Sept-24'!$G62,Lista_CUIT!$A$1:$D$2241,3,0)),"CUIT NO CARGADO")</f>
        <v>Honorarios Contables</v>
      </c>
      <c r="K62" s="42">
        <f>IFERROR(IF('Sept-24'!$G62="","-",VLOOKUP('Sept-24'!$G62,Lista_CUIT!$A$1:$D$2241,4,0)),"CUIT NO CARGADO")</f>
        <v>0</v>
      </c>
    </row>
    <row r="63" spans="4:12" ht="15.75" customHeight="1" x14ac:dyDescent="0.3">
      <c r="D63" s="12">
        <v>45544</v>
      </c>
      <c r="E63" s="38">
        <v>2</v>
      </c>
      <c r="F63" s="38">
        <v>255</v>
      </c>
      <c r="G63" s="39">
        <v>27173820866</v>
      </c>
      <c r="H63" s="40" t="str">
        <f>IFERROR(IF('Sept-24'!$G63="","-",VLOOKUP('Sept-24'!$G63,Lista_CUIT!$A$1:$D$2241,2,0)),"CUIT NO CARGADO")</f>
        <v>FREIER SANDRA DANIELA</v>
      </c>
      <c r="I63" s="41">
        <v>985000</v>
      </c>
      <c r="J63" s="42" t="str">
        <f>IFERROR(IF('Sept-24'!$G63="","-",VLOOKUP('Sept-24'!$G63,Lista_CUIT!$A$1:$D$2241,3,0)),"CUIT NO CARGADO")</f>
        <v>Honorarios Prof</v>
      </c>
      <c r="K63" s="42">
        <f>IFERROR(IF('Sept-24'!$G63="","-",VLOOKUP('Sept-24'!$G63,Lista_CUIT!$A$1:$D$2241,4,0)),"CUIT NO CARGADO")</f>
        <v>0</v>
      </c>
    </row>
    <row r="64" spans="4:12" ht="15.75" customHeight="1" x14ac:dyDescent="0.3">
      <c r="D64" s="12">
        <v>45548</v>
      </c>
      <c r="E64" s="38">
        <v>1</v>
      </c>
      <c r="F64" s="38">
        <v>538</v>
      </c>
      <c r="G64" s="39">
        <v>27925308868</v>
      </c>
      <c r="H64" s="40" t="str">
        <f>IFERROR(IF('Sept-24'!$G64="","-",VLOOKUP('Sept-24'!$G64,Lista_CUIT!$A$1:$D$2241,2,0)),"CUIT NO CARGADO")</f>
        <v>LOPEZ MOLINA MARIA</v>
      </c>
      <c r="I64" s="41">
        <v>10000</v>
      </c>
      <c r="J64" s="42" t="str">
        <f>IFERROR(IF('Sept-24'!$G64="","-",VLOOKUP('Sept-24'!$G64,Lista_CUIT!$A$1:$D$2241,3,0)),"CUIT NO CARGADO")</f>
        <v>GASTOS VARIOS</v>
      </c>
      <c r="K64" s="42">
        <f>IFERROR(IF('Sept-24'!$G64="","-",VLOOKUP('Sept-24'!$G64,Lista_CUIT!$A$1:$D$2241,4,0)),"CUIT NO CARGADO")</f>
        <v>0</v>
      </c>
    </row>
    <row r="65" spans="2:18" ht="15.75" customHeight="1" x14ac:dyDescent="0.3">
      <c r="D65" s="12">
        <v>45551</v>
      </c>
      <c r="E65" s="38">
        <v>4</v>
      </c>
      <c r="F65" s="38">
        <v>31</v>
      </c>
      <c r="G65" s="39">
        <v>20341462933</v>
      </c>
      <c r="H65" s="40" t="str">
        <f>IFERROR(IF('Sept-24'!$G65="","-",VLOOKUP('Sept-24'!$G65,Lista_CUIT!$A$1:$D$2241,2,0)),"CUIT NO CARGADO")</f>
        <v>CASTIGLIONI MATIAS EZEQUIEL</v>
      </c>
      <c r="I65" s="41">
        <v>1395000</v>
      </c>
      <c r="J65" s="42" t="str">
        <f>IFERROR(IF('Sept-24'!$G65="","-",VLOOKUP('Sept-24'!$G65,Lista_CUIT!$A$1:$D$2241,3,0)),"CUIT NO CARGADO")</f>
        <v>ASESORAMIENTO</v>
      </c>
      <c r="K65" s="42" t="str">
        <f>IFERROR(IF('Sept-24'!$G65="","-",VLOOKUP('Sept-24'!$G65,Lista_CUIT!$A$1:$D$2241,4,0)),"CUIT NO CARGADO")</f>
        <v>BUENOS AIRES</v>
      </c>
    </row>
    <row r="66" spans="2:18" ht="15.75" customHeight="1" x14ac:dyDescent="0.3">
      <c r="D66" s="95">
        <v>45553</v>
      </c>
      <c r="E66" s="156">
        <v>2</v>
      </c>
      <c r="F66" s="156">
        <v>150</v>
      </c>
      <c r="G66" s="157">
        <v>27125997835</v>
      </c>
      <c r="H66" s="158" t="str">
        <f>IFERROR(IF('Sept-24'!$G66="","-",VLOOKUP('Sept-24'!$G66,Lista_CUIT!$A$1:$D$2241,2,0)),"CUIT NO CARGADO")</f>
        <v>DANSKY ULLMANN VIVIANA EVA YOLANDA</v>
      </c>
      <c r="I66" s="159">
        <v>10000</v>
      </c>
      <c r="J66" s="160" t="str">
        <f>IFERROR(IF('Sept-24'!$G66="","-",VLOOKUP('Sept-24'!$G66,Lista_CUIT!$A$1:$D$2241,3,0)),"CUIT NO CARGADO")</f>
        <v>Honorarios Prof</v>
      </c>
      <c r="K66" s="160">
        <f>IFERROR(IF('Sept-24'!$G66="","-",VLOOKUP('Sept-24'!$G66,Lista_CUIT!$A$1:$D$2241,4,0)),"CUIT NO CARGADO")</f>
        <v>0</v>
      </c>
    </row>
    <row r="67" spans="2:18" ht="15.75" customHeight="1" x14ac:dyDescent="0.3">
      <c r="D67" s="12">
        <v>45554</v>
      </c>
      <c r="E67" s="38">
        <v>32</v>
      </c>
      <c r="F67" s="38">
        <v>148292</v>
      </c>
      <c r="G67" s="39">
        <v>30690179020</v>
      </c>
      <c r="H67" s="40" t="str">
        <f>IFERROR(IF('Sept-24'!$G67="","-",VLOOKUP('Sept-24'!$G67,Lista_CUIT!$A$1:$D$2241,2,0)),"CUIT NO CARGADO")</f>
        <v>FIRST RATE SA</v>
      </c>
      <c r="I67" s="41">
        <v>30899.5</v>
      </c>
      <c r="J67" s="42" t="str">
        <f>IFERROR(IF('Sept-24'!$G67="","-",VLOOKUP('Sept-24'!$G67,Lista_CUIT!$A$1:$D$2241,3,0)),"CUIT NO CARGADO")</f>
        <v>GASTOS VARIOS</v>
      </c>
      <c r="K67" s="42">
        <f>IFERROR(IF('Sept-24'!$G67="","-",VLOOKUP('Sept-24'!$G67,Lista_CUIT!$A$1:$D$2241,4,0)),"CUIT NO CARGADO")</f>
        <v>0</v>
      </c>
    </row>
    <row r="68" spans="2:18" ht="15.75" customHeight="1" x14ac:dyDescent="0.3">
      <c r="D68" s="12">
        <v>45558</v>
      </c>
      <c r="E68" s="38">
        <v>4</v>
      </c>
      <c r="F68" s="38">
        <v>71</v>
      </c>
      <c r="G68" s="39">
        <v>23214737914</v>
      </c>
      <c r="H68" s="40" t="str">
        <f>IFERROR(IF('Sept-24'!$G68="","-",VLOOKUP('Sept-24'!$G68,Lista_CUIT!$A$1:$D$2241,2,0)),"CUIT NO CARGADO")</f>
        <v>SBARRA GABRIELA BEATRIZ</v>
      </c>
      <c r="I68" s="41">
        <v>1153940</v>
      </c>
      <c r="J68" s="42" t="str">
        <f>IFERROR(IF('Sept-24'!$G68="","-",VLOOKUP('Sept-24'!$G68,Lista_CUIT!$A$1:$D$2241,3,0)),"CUIT NO CARGADO")</f>
        <v>Honorarios Admin</v>
      </c>
      <c r="K68" s="42">
        <f>IFERROR(IF('Sept-24'!$G68="","-",VLOOKUP('Sept-24'!$G68,Lista_CUIT!$A$1:$D$2241,4,0)),"CUIT NO CARGADO")</f>
        <v>0</v>
      </c>
    </row>
    <row r="69" spans="2:18" ht="15.75" customHeight="1" x14ac:dyDescent="0.3">
      <c r="D69" s="12">
        <v>45562</v>
      </c>
      <c r="E69" s="38">
        <v>1</v>
      </c>
      <c r="F69" s="38">
        <v>103</v>
      </c>
      <c r="G69" s="39">
        <v>20341465134</v>
      </c>
      <c r="H69" s="40" t="str">
        <f>IFERROR(IF('Sept-24'!$G69="","-",VLOOKUP('Sept-24'!$G69,Lista_CUIT!$A$1:$D$2241,2,0)),"CUIT NO CARGADO")</f>
        <v>ABELEDO AGUSTIN ENRIQUE</v>
      </c>
      <c r="I69" s="41">
        <v>650000</v>
      </c>
      <c r="J69" s="42" t="str">
        <f>IFERROR(IF('Sept-24'!$G69="","-",VLOOKUP('Sept-24'!$G69,Lista_CUIT!$A$1:$D$2241,3,0)),"CUIT NO CARGADO")</f>
        <v>Mantenimiento</v>
      </c>
      <c r="K69" s="42" t="str">
        <f>IFERROR(IF('Sept-24'!$G69="","-",VLOOKUP('Sept-24'!$G69,Lista_CUIT!$A$1:$D$2241,4,0)),"CUIT NO CARGADO")</f>
        <v>CABA</v>
      </c>
    </row>
    <row r="70" spans="2:18" ht="15.75" customHeight="1" x14ac:dyDescent="0.3">
      <c r="D70" s="95">
        <v>45564</v>
      </c>
      <c r="E70" s="97">
        <v>1</v>
      </c>
      <c r="F70" s="98">
        <v>1117</v>
      </c>
      <c r="G70" s="99">
        <v>20412228627</v>
      </c>
      <c r="H70" s="158" t="str">
        <f>IFERROR(IF('Sept-24'!$G70="","-",VLOOKUP('Sept-24'!$G70,Lista_CUIT!$A$1:$D$2241,2,0)),"CUIT NO CARGADO")</f>
        <v>EMBOM RODRIGO NICOLAS</v>
      </c>
      <c r="I70" s="161">
        <v>16471.27</v>
      </c>
      <c r="J70" s="160" t="str">
        <f>IFERROR(IF('Sept-24'!$G70="","-",VLOOKUP('Sept-24'!$G70,Lista_CUIT!$A$1:$D$2241,3,0)),"CUIT NO CARGADO")</f>
        <v>GASTOS VARIOS</v>
      </c>
      <c r="K70" s="160">
        <f>IFERROR(IF('Sept-24'!$G70="","-",VLOOKUP('Sept-24'!$G70,Lista_CUIT!$A$1:$D$2241,4,0)),"CUIT NO CARGADO")</f>
        <v>0</v>
      </c>
    </row>
    <row r="71" spans="2:18" ht="15.75" customHeight="1" x14ac:dyDescent="0.3">
      <c r="D71" s="42" t="s">
        <v>1343</v>
      </c>
      <c r="E71" s="42"/>
      <c r="F71" s="42"/>
      <c r="G71" s="42"/>
      <c r="H71" s="44"/>
      <c r="I71" s="41">
        <f>SUBTOTAL(109,'Sept-24'!$I$57:$I$70)</f>
        <v>8058840.7699999996</v>
      </c>
      <c r="J71" s="42"/>
      <c r="K71" s="42"/>
    </row>
    <row r="72" spans="2:18" ht="15.75" customHeight="1" x14ac:dyDescent="0.3">
      <c r="B72" s="43"/>
      <c r="C72" s="43"/>
      <c r="L72" s="43"/>
      <c r="M72" s="43"/>
      <c r="N72" s="43"/>
      <c r="O72" s="43"/>
      <c r="P72" s="43"/>
      <c r="Q72" s="43"/>
      <c r="R72" s="43"/>
    </row>
    <row r="73" spans="2:18" ht="15.75" customHeight="1" x14ac:dyDescent="0.3"/>
    <row r="74" spans="2:18" ht="15.75" customHeight="1" x14ac:dyDescent="0.3"/>
    <row r="75" spans="2:18" ht="18.75" customHeight="1" x14ac:dyDescent="0.3"/>
    <row r="76" spans="2:18" ht="15.75" customHeight="1" x14ac:dyDescent="0.3"/>
    <row r="77" spans="2:18" ht="15.75" customHeight="1" x14ac:dyDescent="0.3">
      <c r="B77" s="492" t="s">
        <v>1364</v>
      </c>
      <c r="C77" s="476"/>
      <c r="D77" s="476"/>
      <c r="E77" s="476"/>
      <c r="F77" s="476"/>
      <c r="G77" s="476"/>
      <c r="H77" s="476"/>
      <c r="I77" s="476"/>
      <c r="J77" s="477"/>
      <c r="K77" s="493">
        <f>N1</f>
        <v>45170</v>
      </c>
      <c r="L77" s="476"/>
      <c r="M77" s="477"/>
    </row>
    <row r="78" spans="2:18" ht="15.75" customHeight="1" x14ac:dyDescent="0.3"/>
    <row r="79" spans="2:18" ht="15.75" customHeight="1" x14ac:dyDescent="0.3">
      <c r="B79" s="485" t="s">
        <v>1365</v>
      </c>
      <c r="C79" s="486"/>
    </row>
    <row r="80" spans="2:18" ht="15.75" customHeight="1" x14ac:dyDescent="0.3">
      <c r="B80" s="162" t="s">
        <v>1322</v>
      </c>
      <c r="C80" s="162" t="s">
        <v>1323</v>
      </c>
      <c r="D80" s="162" t="s">
        <v>1366</v>
      </c>
      <c r="E80" s="162" t="s">
        <v>1367</v>
      </c>
      <c r="F80" s="162" t="s">
        <v>0</v>
      </c>
      <c r="G80" s="162" t="s">
        <v>1</v>
      </c>
      <c r="H80" s="162" t="s">
        <v>1368</v>
      </c>
      <c r="I80" s="162" t="s">
        <v>1348</v>
      </c>
      <c r="J80" s="162" t="s">
        <v>1329</v>
      </c>
      <c r="K80" s="162" t="s">
        <v>1369</v>
      </c>
      <c r="L80" s="162" t="s">
        <v>1334</v>
      </c>
      <c r="M80" s="162" t="s">
        <v>1335</v>
      </c>
    </row>
    <row r="81" spans="2:13" ht="15.75" customHeight="1" x14ac:dyDescent="0.3">
      <c r="B81" s="163">
        <v>45537</v>
      </c>
      <c r="C81" s="164"/>
      <c r="D81" s="165">
        <v>3</v>
      </c>
      <c r="E81" s="166">
        <v>220</v>
      </c>
      <c r="F81" s="167">
        <v>30638318470</v>
      </c>
      <c r="G81" s="120" t="str">
        <f>IFERROR(IF('Sept-24'!$F81="","-",VLOOKUP('Sept-24'!$F81,Lista_CUIT!$A$1:$D$2241,2,0)),"CUIT NO CARGADO")</f>
        <v>DELTA COMPRESION S R L</v>
      </c>
      <c r="H81" s="49">
        <v>4424328.3000000007</v>
      </c>
      <c r="I81" s="50">
        <f>'Sept-24'!$H81*0.21</f>
        <v>929108.94300000009</v>
      </c>
      <c r="J81" s="51"/>
      <c r="K81" s="51"/>
      <c r="L81" s="51">
        <f>SUM('Sept-24'!$H81:$K81)</f>
        <v>5353437.2430000007</v>
      </c>
      <c r="M81" s="168"/>
    </row>
    <row r="82" spans="2:13" ht="15.75" customHeight="1" x14ac:dyDescent="0.3">
      <c r="B82" s="163">
        <v>45539</v>
      </c>
      <c r="C82" s="164"/>
      <c r="D82" s="165">
        <v>3</v>
      </c>
      <c r="E82" s="166">
        <v>221</v>
      </c>
      <c r="F82" s="167">
        <v>30687492397</v>
      </c>
      <c r="G82" s="120" t="str">
        <f>IFERROR(IF('Sept-24'!$F82="","-",VLOOKUP('Sept-24'!$F82,Lista_CUIT!$A$1:$D$2241,2,0)),"CUIT NO CARGADO")</f>
        <v>CIUDAD DE EZEIZA SRL</v>
      </c>
      <c r="H82" s="49">
        <v>311520</v>
      </c>
      <c r="I82" s="50">
        <f>'Sept-24'!$H82*0.21</f>
        <v>65419.199999999997</v>
      </c>
      <c r="J82" s="51"/>
      <c r="K82" s="51"/>
      <c r="L82" s="51">
        <f>SUM('Sept-24'!$H82:$K82)</f>
        <v>376939.2</v>
      </c>
      <c r="M82" s="168"/>
    </row>
    <row r="83" spans="2:13" ht="15.75" customHeight="1" x14ac:dyDescent="0.3">
      <c r="B83" s="163">
        <v>45551</v>
      </c>
      <c r="C83" s="164"/>
      <c r="D83" s="165">
        <v>3</v>
      </c>
      <c r="E83" s="166">
        <v>222</v>
      </c>
      <c r="F83" s="167">
        <v>30628274327</v>
      </c>
      <c r="G83" s="120" t="str">
        <f>IFERROR(IF('Sept-24'!$F83="","-",VLOOKUP('Sept-24'!$F83,Lista_CUIT!$A$1:$D$2241,2,0)),"CUIT NO CARGADO")</f>
        <v>AGIRA  S A</v>
      </c>
      <c r="H83" s="49">
        <v>13339830</v>
      </c>
      <c r="I83" s="50">
        <v>61299</v>
      </c>
      <c r="J83" s="51">
        <v>1370032.65</v>
      </c>
      <c r="K83" s="51"/>
      <c r="L83" s="51">
        <f>SUM('Sept-24'!$H83:$K83)</f>
        <v>14771161.65</v>
      </c>
      <c r="M83" s="168"/>
    </row>
    <row r="84" spans="2:13" ht="15.75" customHeight="1" x14ac:dyDescent="0.3">
      <c r="B84" s="163">
        <v>45553</v>
      </c>
      <c r="C84" s="164"/>
      <c r="D84" s="165">
        <v>3</v>
      </c>
      <c r="E84" s="166">
        <v>223</v>
      </c>
      <c r="F84" s="167">
        <v>20124583463</v>
      </c>
      <c r="G84" s="120" t="str">
        <f>IFERROR(IF('Sept-24'!$F84="","-",VLOOKUP('Sept-24'!$F84,Lista_CUIT!$A$1:$D$2241,2,0)),"CUIT NO CARGADO")</f>
        <v>LUCERO MARIO ALFREDO</v>
      </c>
      <c r="H84" s="49">
        <v>378070</v>
      </c>
      <c r="I84" s="50">
        <f>'Sept-24'!$H84*0.21</f>
        <v>79394.7</v>
      </c>
      <c r="J84" s="51"/>
      <c r="K84" s="51"/>
      <c r="L84" s="51">
        <f>SUM('Sept-24'!$H84:$K84)</f>
        <v>457464.7</v>
      </c>
      <c r="M84" s="168"/>
    </row>
    <row r="85" spans="2:13" ht="15.75" customHeight="1" x14ac:dyDescent="0.3">
      <c r="B85" s="163">
        <v>45554</v>
      </c>
      <c r="C85" s="164"/>
      <c r="D85" s="165">
        <v>3</v>
      </c>
      <c r="E85" s="166">
        <v>224</v>
      </c>
      <c r="F85" s="167">
        <v>20228469492</v>
      </c>
      <c r="G85" s="120" t="str">
        <f>IFERROR(IF('Sept-24'!$F85="","-",VLOOKUP('Sept-24'!$F85,Lista_CUIT!$A$1:$D$2241,2,0)),"CUIT NO CARGADO")</f>
        <v>DOMINGUEZ LAGANA GONZALO FABIAN</v>
      </c>
      <c r="H85" s="49">
        <v>275380</v>
      </c>
      <c r="I85" s="50">
        <f>'Sept-24'!$H85*0.21</f>
        <v>57829.799999999996</v>
      </c>
      <c r="J85" s="51"/>
      <c r="K85" s="51"/>
      <c r="L85" s="51">
        <f>SUM('Sept-24'!$H85:$K85)</f>
        <v>333209.8</v>
      </c>
      <c r="M85" s="168"/>
    </row>
    <row r="86" spans="2:13" ht="15.75" customHeight="1" x14ac:dyDescent="0.3">
      <c r="B86" s="163">
        <v>45555</v>
      </c>
      <c r="C86" s="164"/>
      <c r="D86" s="165">
        <v>3</v>
      </c>
      <c r="E86" s="166">
        <v>225</v>
      </c>
      <c r="F86" s="167">
        <v>30638318470</v>
      </c>
      <c r="G86" s="120" t="str">
        <f>IFERROR(IF('Sept-24'!$F86="","-",VLOOKUP('Sept-24'!$F86,Lista_CUIT!$A$1:$D$2241,2,0)),"CUIT NO CARGADO")</f>
        <v>DELTA COMPRESION S R L</v>
      </c>
      <c r="H86" s="49">
        <v>3395689</v>
      </c>
      <c r="I86" s="50">
        <f>'Sept-24'!$H86*0.21</f>
        <v>713094.69</v>
      </c>
      <c r="J86" s="51"/>
      <c r="K86" s="51"/>
      <c r="L86" s="51">
        <f>SUM('Sept-24'!$H86:$K86)</f>
        <v>4108783.69</v>
      </c>
      <c r="M86" s="168"/>
    </row>
    <row r="87" spans="2:13" ht="15.75" customHeight="1" x14ac:dyDescent="0.3">
      <c r="B87" s="163">
        <v>45559</v>
      </c>
      <c r="C87" s="164"/>
      <c r="D87" s="165">
        <v>3</v>
      </c>
      <c r="E87" s="166">
        <v>226</v>
      </c>
      <c r="F87" s="167">
        <v>30638318470</v>
      </c>
      <c r="G87" s="120" t="str">
        <f>IFERROR(IF('Sept-24'!$F87="","-",VLOOKUP('Sept-24'!$F87,Lista_CUIT!$A$1:$D$2241,2,0)),"CUIT NO CARGADO")</f>
        <v>DELTA COMPRESION S R L</v>
      </c>
      <c r="H87" s="49">
        <v>20878550</v>
      </c>
      <c r="I87" s="50"/>
      <c r="J87" s="51">
        <v>2192252.6800000002</v>
      </c>
      <c r="K87" s="51"/>
      <c r="L87" s="51">
        <f>SUM('Sept-24'!$H87:$K87)</f>
        <v>23070802.68</v>
      </c>
      <c r="M87" s="168"/>
    </row>
    <row r="88" spans="2:13" ht="15.75" customHeight="1" x14ac:dyDescent="0.3">
      <c r="B88" s="169">
        <v>45561</v>
      </c>
      <c r="C88" s="164"/>
      <c r="D88" s="64">
        <v>3</v>
      </c>
      <c r="E88" s="65">
        <v>228</v>
      </c>
      <c r="F88" s="66">
        <v>30638318470</v>
      </c>
      <c r="G88" s="120" t="str">
        <f>IFERROR(IF('Sept-24'!$F88="","-",VLOOKUP('Sept-24'!$F88,Lista_CUIT!$A$1:$D$2241,2,0)),"CUIT NO CARGADO")</f>
        <v>DELTA COMPRESION S R L</v>
      </c>
      <c r="H88" s="49">
        <v>79539652.5</v>
      </c>
      <c r="I88" s="50"/>
      <c r="J88" s="51">
        <f>'Sept-24'!$H88*0.105</f>
        <v>8351663.5124999993</v>
      </c>
      <c r="K88" s="51"/>
      <c r="L88" s="51">
        <f>SUM('Sept-24'!$H88:$K88)</f>
        <v>87891316.012500003</v>
      </c>
      <c r="M88" s="168"/>
    </row>
    <row r="89" spans="2:13" ht="15.75" customHeight="1" x14ac:dyDescent="0.3">
      <c r="B89" s="169">
        <v>45561</v>
      </c>
      <c r="C89" s="164"/>
      <c r="D89" s="64">
        <v>3</v>
      </c>
      <c r="E89" s="65">
        <v>227</v>
      </c>
      <c r="F89" s="66">
        <v>30638318470</v>
      </c>
      <c r="G89" s="120" t="str">
        <f>IFERROR(IF('Sept-24'!$F89="","-",VLOOKUP('Sept-24'!$F89,Lista_CUIT!$A$1:$D$2241,2,0)),"CUIT NO CARGADO")</f>
        <v>DELTA COMPRESION S R L</v>
      </c>
      <c r="H89" s="49">
        <v>1556393.25</v>
      </c>
      <c r="I89" s="50">
        <f>'Sept-24'!$H89*0.21</f>
        <v>326842.58249999996</v>
      </c>
      <c r="J89" s="51"/>
      <c r="K89" s="51"/>
      <c r="L89" s="51">
        <f>SUM('Sept-24'!$H89:$K89)</f>
        <v>1883235.8325</v>
      </c>
      <c r="M89" s="168"/>
    </row>
    <row r="90" spans="2:13" ht="15.75" customHeight="1" x14ac:dyDescent="0.3">
      <c r="B90" s="169"/>
      <c r="C90" s="164"/>
      <c r="D90" s="64"/>
      <c r="E90" s="65"/>
      <c r="F90" s="66"/>
      <c r="G90" s="120" t="str">
        <f>IFERROR(IF('Sept-24'!$F90="","-",VLOOKUP('Sept-24'!$F90,Lista_CUIT!$A$1:$D$2241,2,0)),"CUIT NO CARGADO")</f>
        <v>-</v>
      </c>
      <c r="H90" s="49"/>
      <c r="I90" s="50"/>
      <c r="J90" s="51"/>
      <c r="K90" s="51"/>
      <c r="L90" s="51">
        <f>SUM('Sept-24'!$H90:$K90)</f>
        <v>0</v>
      </c>
      <c r="M90" s="168"/>
    </row>
    <row r="91" spans="2:13" ht="15.75" customHeight="1" x14ac:dyDescent="0.3">
      <c r="B91" s="68" t="s">
        <v>1343</v>
      </c>
      <c r="C91" s="69"/>
      <c r="D91" s="69"/>
      <c r="E91" s="69"/>
      <c r="F91" s="69"/>
      <c r="G91" s="69"/>
      <c r="H91" s="70">
        <f>SUBTOTAL(109,'Sept-24'!$H$81:$H$90)</f>
        <v>124099413.05</v>
      </c>
      <c r="I91" s="71">
        <f>SUBTOTAL(109,'Sept-24'!$I$81:$I$90)</f>
        <v>2232988.9155000001</v>
      </c>
      <c r="J91" s="61">
        <f>SUBTOTAL(109,'Sept-24'!$J$81:$J$90)</f>
        <v>11913948.842499999</v>
      </c>
      <c r="K91" s="61">
        <f>SUBTOTAL(109,'Sept-24'!$K$81:$K$90)</f>
        <v>0</v>
      </c>
      <c r="L91" s="61">
        <f>SUBTOTAL(109,'Sept-24'!$L$81:$L$90)</f>
        <v>138246350.808</v>
      </c>
      <c r="M91" s="72">
        <f>SUBTOTAL(103,'Sept-24'!$M$81:$M$90)</f>
        <v>0</v>
      </c>
    </row>
    <row r="92" spans="2:13" ht="15.75" customHeight="1" x14ac:dyDescent="0.3"/>
    <row r="93" spans="2:13" ht="15.75" customHeight="1" x14ac:dyDescent="0.3">
      <c r="B93" s="485" t="s">
        <v>1372</v>
      </c>
      <c r="C93" s="486"/>
    </row>
    <row r="94" spans="2:13" ht="15.75" customHeight="1" x14ac:dyDescent="0.3">
      <c r="B94" s="162" t="s">
        <v>1322</v>
      </c>
      <c r="C94" s="162" t="s">
        <v>1323</v>
      </c>
      <c r="D94" s="162" t="s">
        <v>1366</v>
      </c>
      <c r="E94" s="162" t="s">
        <v>1367</v>
      </c>
      <c r="F94" s="162" t="s">
        <v>0</v>
      </c>
      <c r="G94" s="162" t="s">
        <v>1</v>
      </c>
      <c r="H94" s="162" t="s">
        <v>1368</v>
      </c>
      <c r="I94" s="162" t="s">
        <v>1348</v>
      </c>
      <c r="J94" s="162" t="s">
        <v>1329</v>
      </c>
      <c r="K94" s="162" t="s">
        <v>1369</v>
      </c>
      <c r="L94" s="162" t="s">
        <v>1334</v>
      </c>
      <c r="M94" s="162" t="s">
        <v>1335</v>
      </c>
    </row>
    <row r="95" spans="2:13" ht="15.75" customHeight="1" x14ac:dyDescent="0.3">
      <c r="B95" s="163"/>
      <c r="C95" s="164"/>
      <c r="D95" s="165"/>
      <c r="E95" s="166"/>
      <c r="F95" s="167"/>
      <c r="G95" s="73" t="str">
        <f>IFERROR(IF('Sept-24'!$F95="","-",VLOOKUP('Sept-24'!$F95,Lista_CUIT!$A$1:$D$2241,2,0)),"CUIT NO CARGADO")</f>
        <v>-</v>
      </c>
      <c r="H95" s="74"/>
      <c r="I95" s="74"/>
      <c r="J95" s="74"/>
      <c r="K95" s="74"/>
      <c r="L95" s="74">
        <f>SUM('Sept-24'!$H95:$K95)</f>
        <v>0</v>
      </c>
      <c r="M95" s="168"/>
    </row>
    <row r="96" spans="2:13" ht="15.75" customHeight="1" x14ac:dyDescent="0.3">
      <c r="B96" s="163"/>
      <c r="C96" s="164"/>
      <c r="D96" s="165"/>
      <c r="E96" s="166"/>
      <c r="F96" s="167"/>
      <c r="G96" s="73"/>
      <c r="H96" s="74"/>
      <c r="I96" s="74"/>
      <c r="J96" s="74"/>
      <c r="K96" s="74"/>
      <c r="L96" s="74">
        <f>SUM('Sept-24'!$H96:$K96)</f>
        <v>0</v>
      </c>
      <c r="M96" s="168"/>
    </row>
    <row r="97" spans="2:13" ht="15.75" customHeight="1" x14ac:dyDescent="0.3">
      <c r="B97" s="163"/>
      <c r="C97" s="164"/>
      <c r="D97" s="165"/>
      <c r="E97" s="166"/>
      <c r="F97" s="167"/>
      <c r="G97" s="73"/>
      <c r="H97" s="74"/>
      <c r="I97" s="74"/>
      <c r="J97" s="74"/>
      <c r="K97" s="74"/>
      <c r="L97" s="74">
        <f>SUM('Sept-24'!$H97:$K97)</f>
        <v>0</v>
      </c>
      <c r="M97" s="168"/>
    </row>
    <row r="98" spans="2:13" ht="15.75" customHeight="1" x14ac:dyDescent="0.3">
      <c r="B98" s="163"/>
      <c r="C98" s="164"/>
      <c r="D98" s="165"/>
      <c r="E98" s="166"/>
      <c r="F98" s="167"/>
      <c r="G98" s="73"/>
      <c r="H98" s="74"/>
      <c r="I98" s="74"/>
      <c r="J98" s="74"/>
      <c r="K98" s="74"/>
      <c r="L98" s="74">
        <f>SUM('Sept-24'!$H98:$K98)</f>
        <v>0</v>
      </c>
      <c r="M98" s="168"/>
    </row>
    <row r="99" spans="2:13" ht="15.75" customHeight="1" x14ac:dyDescent="0.3">
      <c r="B99" s="163"/>
      <c r="C99" s="164"/>
      <c r="D99" s="165"/>
      <c r="E99" s="166"/>
      <c r="F99" s="167"/>
      <c r="G99" s="73"/>
      <c r="H99" s="74"/>
      <c r="I99" s="74"/>
      <c r="J99" s="74"/>
      <c r="K99" s="74"/>
      <c r="L99" s="74">
        <f>SUM('Sept-24'!$H99:$K99)</f>
        <v>0</v>
      </c>
      <c r="M99" s="168"/>
    </row>
    <row r="100" spans="2:13" ht="15.75" customHeight="1" x14ac:dyDescent="0.3">
      <c r="B100" s="163"/>
      <c r="C100" s="164"/>
      <c r="D100" s="165"/>
      <c r="E100" s="166"/>
      <c r="F100" s="167"/>
      <c r="G100" s="73"/>
      <c r="H100" s="74"/>
      <c r="I100" s="74"/>
      <c r="J100" s="74"/>
      <c r="K100" s="74"/>
      <c r="L100" s="74">
        <f>SUM('Sept-24'!$H100:$K100)</f>
        <v>0</v>
      </c>
      <c r="M100" s="168"/>
    </row>
    <row r="101" spans="2:13" ht="15.75" customHeight="1" x14ac:dyDescent="0.3">
      <c r="B101" s="82" t="s">
        <v>1343</v>
      </c>
      <c r="C101" s="82"/>
      <c r="D101" s="82"/>
      <c r="E101" s="82"/>
      <c r="F101" s="82"/>
      <c r="G101" s="82"/>
      <c r="H101" s="170">
        <f>SUBTOTAL(109,'Sept-24'!$H$95:$H$100)</f>
        <v>0</v>
      </c>
      <c r="I101" s="170">
        <f>SUBTOTAL(109,'Sept-24'!$I$95:$I$100)</f>
        <v>0</v>
      </c>
      <c r="J101" s="168">
        <f>SUBTOTAL(109,'Sept-24'!$J$95:$J$100)</f>
        <v>0</v>
      </c>
      <c r="K101" s="168">
        <f>SUBTOTAL(109,'Sept-24'!$K$95:$K$100)</f>
        <v>0</v>
      </c>
      <c r="L101" s="168">
        <f>SUBTOTAL(109,'Sept-24'!$L$95:$L$100)</f>
        <v>0</v>
      </c>
      <c r="M101" s="171">
        <f>SUBTOTAL(103,'Sept-24'!$M$95:$M$100)</f>
        <v>0</v>
      </c>
    </row>
    <row r="102" spans="2:13" ht="15.75" customHeight="1" x14ac:dyDescent="0.3"/>
    <row r="103" spans="2:13" ht="15.75" customHeight="1" x14ac:dyDescent="0.3">
      <c r="B103" s="485" t="s">
        <v>1373</v>
      </c>
      <c r="C103" s="486"/>
    </row>
    <row r="104" spans="2:13" ht="15.75" customHeight="1" x14ac:dyDescent="0.3">
      <c r="B104" s="45" t="s">
        <v>1322</v>
      </c>
      <c r="C104" s="46" t="s">
        <v>1323</v>
      </c>
      <c r="D104" s="46" t="s">
        <v>1366</v>
      </c>
      <c r="E104" s="46" t="s">
        <v>1367</v>
      </c>
      <c r="F104" s="46" t="s">
        <v>0</v>
      </c>
      <c r="G104" s="46" t="s">
        <v>1</v>
      </c>
      <c r="H104" s="46" t="s">
        <v>1374</v>
      </c>
      <c r="I104" s="46" t="s">
        <v>1348</v>
      </c>
      <c r="J104" s="46" t="s">
        <v>1376</v>
      </c>
      <c r="K104" s="46" t="s">
        <v>1377</v>
      </c>
      <c r="L104" s="46" t="s">
        <v>1334</v>
      </c>
      <c r="M104" s="47" t="s">
        <v>1437</v>
      </c>
    </row>
    <row r="105" spans="2:13" ht="15.75" customHeight="1" x14ac:dyDescent="0.3">
      <c r="B105" s="163" t="s">
        <v>1438</v>
      </c>
      <c r="C105" s="164"/>
      <c r="D105" s="165">
        <v>30</v>
      </c>
      <c r="E105" s="166">
        <v>93</v>
      </c>
      <c r="F105" s="172">
        <v>55000002223</v>
      </c>
      <c r="G105" s="73"/>
      <c r="H105" s="74">
        <v>1185</v>
      </c>
      <c r="I105" s="83"/>
      <c r="J105" s="84"/>
      <c r="K105" s="74">
        <v>954.5</v>
      </c>
      <c r="L105" s="74">
        <f>+'Sept-24'!$K105*'Sept-24'!$H105</f>
        <v>1131082.5</v>
      </c>
      <c r="M105" s="168"/>
    </row>
    <row r="106" spans="2:13" ht="15.75" customHeight="1" x14ac:dyDescent="0.3">
      <c r="B106" s="163" t="s">
        <v>1436</v>
      </c>
      <c r="C106" s="164"/>
      <c r="D106" s="165">
        <v>30</v>
      </c>
      <c r="E106" s="166">
        <v>94</v>
      </c>
      <c r="F106" s="172">
        <v>55000000050</v>
      </c>
      <c r="G106" s="73"/>
      <c r="H106" s="74">
        <v>13400</v>
      </c>
      <c r="I106" s="83"/>
      <c r="J106" s="74"/>
      <c r="K106" s="74">
        <v>966</v>
      </c>
      <c r="L106" s="74">
        <f>+'Sept-24'!$K106*'Sept-24'!$H106</f>
        <v>12944400</v>
      </c>
      <c r="M106" s="168"/>
    </row>
    <row r="107" spans="2:13" ht="15.75" customHeight="1" x14ac:dyDescent="0.3">
      <c r="B107" s="173" t="s">
        <v>1439</v>
      </c>
      <c r="C107" s="173"/>
      <c r="D107" s="173">
        <v>30</v>
      </c>
      <c r="E107" s="173">
        <v>96</v>
      </c>
      <c r="F107" s="173"/>
      <c r="G107" s="173"/>
      <c r="H107" s="174">
        <v>2080</v>
      </c>
      <c r="I107" s="175"/>
      <c r="J107" s="176"/>
      <c r="K107" s="174">
        <v>966.5</v>
      </c>
      <c r="L107" s="177">
        <f>+'Sept-24'!$K107*'Sept-24'!$H107</f>
        <v>2010320</v>
      </c>
      <c r="M107" s="178">
        <f>SUBTOTAL(103,'Abr-24'!$M$103:$M$106)</f>
        <v>0</v>
      </c>
    </row>
    <row r="108" spans="2:13" ht="15.75" customHeight="1" x14ac:dyDescent="0.3">
      <c r="B108" s="179" t="s">
        <v>1439</v>
      </c>
      <c r="C108" s="180"/>
      <c r="D108" s="181">
        <v>30</v>
      </c>
      <c r="E108" s="182">
        <v>95</v>
      </c>
      <c r="F108" s="173"/>
      <c r="G108" s="183"/>
      <c r="H108" s="177">
        <v>900</v>
      </c>
      <c r="I108" s="175"/>
      <c r="J108" s="184"/>
      <c r="K108" s="177">
        <v>966.5</v>
      </c>
      <c r="L108" s="177">
        <f>+'Sept-24'!$K108*'Sept-24'!$H108</f>
        <v>869850</v>
      </c>
      <c r="M108" s="176"/>
    </row>
    <row r="109" spans="2:13" ht="15.75" customHeight="1" x14ac:dyDescent="0.3">
      <c r="B109" s="185"/>
      <c r="C109" s="79"/>
      <c r="D109" s="186"/>
      <c r="E109" s="81"/>
      <c r="F109" s="82"/>
      <c r="G109" s="73"/>
      <c r="H109" s="74"/>
      <c r="I109" s="83"/>
      <c r="J109" s="84"/>
      <c r="K109" s="125"/>
      <c r="L109" s="84"/>
      <c r="M109" s="168"/>
    </row>
    <row r="110" spans="2:13" ht="15.75" customHeight="1" x14ac:dyDescent="0.3">
      <c r="B110" s="185"/>
      <c r="C110" s="79"/>
      <c r="D110" s="186"/>
      <c r="E110" s="81"/>
      <c r="F110" s="82"/>
      <c r="G110" s="73"/>
      <c r="H110" s="74"/>
      <c r="I110" s="83"/>
      <c r="J110" s="84"/>
      <c r="K110" s="125"/>
      <c r="L110" s="84"/>
      <c r="M110" s="168"/>
    </row>
    <row r="111" spans="2:13" ht="15.75" customHeight="1" x14ac:dyDescent="0.3">
      <c r="B111" s="185"/>
      <c r="C111" s="79"/>
      <c r="D111" s="186"/>
      <c r="E111" s="81"/>
      <c r="F111" s="82"/>
      <c r="G111" s="73"/>
      <c r="H111" s="74"/>
      <c r="I111" s="83"/>
      <c r="J111" s="84"/>
      <c r="K111" s="125"/>
      <c r="L111" s="84"/>
      <c r="M111" s="168"/>
    </row>
    <row r="112" spans="2:13" ht="15.75" customHeight="1" x14ac:dyDescent="0.3">
      <c r="B112" s="185"/>
      <c r="C112" s="79"/>
      <c r="D112" s="186"/>
      <c r="E112" s="81"/>
      <c r="F112" s="82"/>
      <c r="G112" s="73"/>
      <c r="H112" s="74"/>
      <c r="I112" s="83">
        <f>'Sept-24'!$H112*0.21</f>
        <v>0</v>
      </c>
      <c r="J112" s="84"/>
      <c r="K112" s="125"/>
      <c r="L112" s="84"/>
      <c r="M112" s="168"/>
    </row>
    <row r="113" spans="1:26" ht="15.75" customHeight="1" x14ac:dyDescent="0.3">
      <c r="B113" s="82" t="s">
        <v>1343</v>
      </c>
      <c r="C113" s="82"/>
      <c r="D113" s="82"/>
      <c r="E113" s="82"/>
      <c r="F113" s="82"/>
      <c r="G113" s="82"/>
      <c r="H113" s="170">
        <f>SUBTOTAL(109,'Sept-24'!$H$105:$H$112)</f>
        <v>17565</v>
      </c>
      <c r="I113" s="170">
        <f>SUBTOTAL(109,'Sept-24'!$I$105:$I$112)</f>
        <v>0</v>
      </c>
      <c r="J113" s="168">
        <f>SUBTOTAL(109,'Sept-24'!$J$105:$J$112)</f>
        <v>0</v>
      </c>
      <c r="K113" s="168">
        <f>SUBTOTAL(109,'Sept-24'!$K$105:$K$112)</f>
        <v>3853.5</v>
      </c>
      <c r="L113" s="168">
        <f>SUM(L105:L106)</f>
        <v>14075482.5</v>
      </c>
      <c r="M113" s="171">
        <f>SUBTOTAL(103,'Sept-24'!$M$105:$M$112)</f>
        <v>0</v>
      </c>
    </row>
    <row r="114" spans="1:26" ht="15.75" customHeight="1" x14ac:dyDescent="0.3">
      <c r="A114" s="187"/>
      <c r="B114" s="187"/>
      <c r="C114" s="188"/>
      <c r="D114" s="188"/>
      <c r="E114" s="188"/>
      <c r="F114" s="188"/>
      <c r="G114" s="188"/>
      <c r="H114" s="189"/>
      <c r="I114" s="189"/>
      <c r="J114" s="189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spans="1:26" ht="15.75" customHeight="1" x14ac:dyDescent="0.3">
      <c r="C115" s="498" t="s">
        <v>1380</v>
      </c>
      <c r="D115" s="499"/>
      <c r="E115" s="499"/>
      <c r="F115" s="499"/>
      <c r="G115" s="500"/>
      <c r="H115" s="88"/>
      <c r="I115" s="88"/>
      <c r="J115" s="88"/>
    </row>
    <row r="116" spans="1:26" ht="15.75" customHeight="1" x14ac:dyDescent="0.3">
      <c r="C116" s="89" t="s">
        <v>1381</v>
      </c>
      <c r="D116" s="90" t="s">
        <v>1382</v>
      </c>
      <c r="E116" s="90" t="s">
        <v>1376</v>
      </c>
      <c r="F116" s="90" t="s">
        <v>0</v>
      </c>
      <c r="G116" s="90" t="s">
        <v>1</v>
      </c>
      <c r="H116" s="91" t="s">
        <v>1383</v>
      </c>
      <c r="I116" s="91" t="s">
        <v>1384</v>
      </c>
      <c r="J116" s="91" t="s">
        <v>1385</v>
      </c>
      <c r="K116" s="91" t="s">
        <v>1386</v>
      </c>
      <c r="L116" s="91" t="s">
        <v>1387</v>
      </c>
    </row>
    <row r="117" spans="1:26" ht="15.75" customHeight="1" x14ac:dyDescent="0.3">
      <c r="C117" s="92"/>
      <c r="D117" s="93">
        <v>11694</v>
      </c>
      <c r="E117" s="93"/>
      <c r="F117" s="39"/>
      <c r="G117" s="40" t="str">
        <f>IFERROR(IF('Sept-24'!$F117="","-",VLOOKUP('Sept-24'!$F117,Lista_CUIT!$A$1:$D$2241,2,0)),"CUIT NO CARGADO")</f>
        <v>-</v>
      </c>
      <c r="H117" s="94"/>
      <c r="I117" s="94"/>
      <c r="J117" s="94"/>
      <c r="K117" s="94"/>
      <c r="L117" s="94"/>
    </row>
    <row r="118" spans="1:26" ht="15.75" customHeight="1" x14ac:dyDescent="0.3">
      <c r="C118" s="92"/>
      <c r="D118" s="93">
        <v>11695</v>
      </c>
      <c r="E118" s="93"/>
      <c r="F118" s="39"/>
      <c r="G118" s="40" t="str">
        <f>IFERROR(IF('Sept-24'!$F118="","-",VLOOKUP('Sept-24'!$F118,Lista_CUIT!$A$1:$D$2241,2,0)),"CUIT NO CARGADO")</f>
        <v>-</v>
      </c>
      <c r="H118" s="94"/>
      <c r="I118" s="94"/>
      <c r="J118" s="94"/>
      <c r="K118" s="94"/>
      <c r="L118" s="94"/>
    </row>
    <row r="119" spans="1:26" ht="15.75" customHeight="1" x14ac:dyDescent="0.3">
      <c r="C119" s="92"/>
      <c r="D119" s="93">
        <v>11696</v>
      </c>
      <c r="E119" s="93"/>
      <c r="F119" s="39"/>
      <c r="G119" s="40" t="str">
        <f>IFERROR(IF('Sept-24'!$F119="","-",VLOOKUP('Sept-24'!$F119,Lista_CUIT!$A$1:$D$2241,2,0)),"CUIT NO CARGADO")</f>
        <v>-</v>
      </c>
      <c r="H119" s="94"/>
      <c r="I119" s="94"/>
      <c r="J119" s="94"/>
      <c r="K119" s="94"/>
      <c r="L119" s="94"/>
    </row>
    <row r="120" spans="1:26" ht="15.75" customHeight="1" x14ac:dyDescent="0.3">
      <c r="C120" s="92"/>
      <c r="D120" s="93">
        <v>11697</v>
      </c>
      <c r="E120" s="93"/>
      <c r="F120" s="39"/>
      <c r="G120" s="40" t="str">
        <f>IFERROR(IF('Sept-24'!$F120="","-",VLOOKUP('Sept-24'!$F120,Lista_CUIT!$A$1:$D$2241,2,0)),"CUIT NO CARGADO")</f>
        <v>-</v>
      </c>
      <c r="H120" s="94"/>
      <c r="I120" s="94"/>
      <c r="J120" s="94"/>
      <c r="K120" s="94"/>
      <c r="L120" s="94"/>
    </row>
    <row r="121" spans="1:26" ht="15.75" customHeight="1" x14ac:dyDescent="0.3">
      <c r="C121" s="3"/>
      <c r="D121" s="93">
        <v>11698</v>
      </c>
      <c r="E121" s="93"/>
      <c r="F121" s="3"/>
      <c r="G121" s="40" t="str">
        <f>IFERROR(IF('Sept-24'!$F121="","-",VLOOKUP('Sept-24'!$F121,Lista_CUIT!$A$1:$D$2241,2,0)),"CUIT NO CARGADO")</f>
        <v>-</v>
      </c>
      <c r="H121" s="3"/>
      <c r="I121" s="3"/>
      <c r="J121" s="3"/>
      <c r="K121" s="3"/>
      <c r="L121" s="3"/>
    </row>
    <row r="122" spans="1:26" ht="15.75" customHeight="1" x14ac:dyDescent="0.3">
      <c r="C122" s="145"/>
    </row>
    <row r="123" spans="1:26" ht="15.75" customHeight="1" x14ac:dyDescent="0.3"/>
    <row r="124" spans="1:26" ht="15.75" customHeight="1" x14ac:dyDescent="0.3"/>
    <row r="125" spans="1:26" ht="15.75" customHeight="1" x14ac:dyDescent="0.3"/>
    <row r="126" spans="1:26" ht="15.75" customHeight="1" x14ac:dyDescent="0.3"/>
    <row r="127" spans="1:26" ht="15.75" customHeight="1" x14ac:dyDescent="0.3"/>
    <row r="128" spans="1:2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1">
    <mergeCell ref="P4:R4"/>
    <mergeCell ref="D47:L47"/>
    <mergeCell ref="B103:C103"/>
    <mergeCell ref="C115:G115"/>
    <mergeCell ref="B3:E3"/>
    <mergeCell ref="B4:E4"/>
    <mergeCell ref="G4:H4"/>
    <mergeCell ref="D55:K55"/>
    <mergeCell ref="B77:J77"/>
    <mergeCell ref="K77:M77"/>
    <mergeCell ref="B79:C79"/>
    <mergeCell ref="B93:C93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H95:L100 K105:L105 H105:H106 J106:L106 L107:L108" xr:uid="{00000000-0002-0000-0600-000000000000}">
      <formula1>IF($C95=8,H95&lt;0,H95&gt;=0)</formula1>
    </dataValidation>
    <dataValidation type="custom" allowBlank="1" showErrorMessage="1" sqref="L86:L87" xr:uid="{00000000-0002-0000-0600-000001000000}">
      <formula1>IF($C42=3,L42&lt;0,L42&gt;=0)</formula1>
    </dataValidation>
    <dataValidation type="custom" allowBlank="1" showErrorMessage="1" sqref="L83:L85" xr:uid="{00000000-0002-0000-0600-000002000000}">
      <formula1>IF($C13=3,L13&lt;0,L13&gt;=0)</formula1>
    </dataValidation>
    <dataValidation type="decimal" allowBlank="1" showErrorMessage="1" sqref="D9:D41 E57:E70 D81:D90 D95:D100 D105:D106" xr:uid="{00000000-0002-0000-0600-000003000000}">
      <formula1>1</formula1>
      <formula2>9999</formula2>
    </dataValidation>
    <dataValidation type="decimal" allowBlank="1" showErrorMessage="1" sqref="C105:C106" xr:uid="{00000000-0002-0000-0600-000004000000}">
      <formula1>80</formula1>
      <formula2>80</formula2>
    </dataValidation>
    <dataValidation type="date" allowBlank="1" showErrorMessage="1" sqref="B9:B41 B43:B46 D49:D52 D57:D70 B81:B90 B95:B100 B105:B106" xr:uid="{00000000-0002-0000-0600-000005000000}">
      <formula1>40179</formula1>
      <formula2>TODAY()</formula2>
    </dataValidation>
    <dataValidation type="decimal" allowBlank="1" showErrorMessage="1" sqref="F9:F41 G57:G70 F81:F90 F95:F100" xr:uid="{00000000-0002-0000-0600-000006000000}">
      <formula1>20000000000</formula1>
      <formula2>33999999999</formula2>
    </dataValidation>
    <dataValidation type="decimal" allowBlank="1" showErrorMessage="1" sqref="C95:C100" xr:uid="{00000000-0002-0000-06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1" xr:uid="{00000000-0002-0000-0600-000008000000}">
      <formula1>IF($C9=3,H9&lt;0,H9&gt;=0)</formula1>
    </dataValidation>
    <dataValidation type="decimal" allowBlank="1" showErrorMessage="1" sqref="E9:E41 F57:F70 E81:E90 E95:E100 E105:E106" xr:uid="{00000000-0002-0000-0600-000009000000}">
      <formula1>1</formula1>
      <formula2>99999999</formula2>
    </dataValidation>
    <dataValidation type="decimal" allowBlank="1" showErrorMessage="1" sqref="C9:C41 C43:C46 C81:C90" xr:uid="{00000000-0002-0000-0600-00000A000000}">
      <formula1>1</formula1>
      <formula2>3</formula2>
    </dataValidation>
    <dataValidation type="custom" allowBlank="1" showErrorMessage="1" sqref="H81:K81 I82 H83:K83 I84 H85:K85 I86 H87:K87 I88:I89" xr:uid="{00000000-0002-0000-0600-00000B000000}">
      <formula1>IF($C81=3,H81&lt;0,H81&gt;=0)</formula1>
    </dataValidation>
    <dataValidation type="custom" allowBlank="1" showErrorMessage="1" sqref="L81:L82" xr:uid="{00000000-0002-0000-0600-00000C000000}">
      <formula1>IF($C9=3,L9&lt;0,L9&gt;=0)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DE9D9"/>
  </sheetPr>
  <dimension ref="A1:Z1025"/>
  <sheetViews>
    <sheetView showGridLines="0" topLeftCell="I106" zoomScale="85" zoomScaleNormal="85" workbookViewId="0">
      <selection activeCell="L110" sqref="L110:L113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39.44140625" customWidth="1"/>
    <col min="8" max="8" width="20" customWidth="1"/>
    <col min="9" max="9" width="18.33203125" customWidth="1"/>
    <col min="10" max="10" width="17.88671875" customWidth="1"/>
    <col min="11" max="11" width="20.33203125" customWidth="1"/>
    <col min="12" max="12" width="18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2.6640625" customWidth="1"/>
    <col min="18" max="18" width="14.33203125" customWidth="1"/>
    <col min="19" max="29" width="15.6640625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97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EDATE('Abr-24'!N1,6)</f>
        <v>45200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SUM('Oct-24'!$H$63)+'Oct-24'!$G$74</f>
        <v>3059537.6038095239</v>
      </c>
      <c r="C4" s="476"/>
      <c r="D4" s="476"/>
      <c r="E4" s="477"/>
      <c r="F4" s="8"/>
      <c r="G4" s="491">
        <f>'Oct-24'!$I$63+'Oct-24'!$J$63+'Oct-24'!$K$63+'Oct-24'!$H$74+'Oct-24'!$I$74</f>
        <v>632042.56324999966</v>
      </c>
      <c r="H4" s="477"/>
      <c r="I4" s="8"/>
      <c r="J4" s="494">
        <f>'Oct-24'!$H$119+'Oct-24'!$H$130</f>
        <v>10286191.404761903</v>
      </c>
      <c r="K4" s="477"/>
      <c r="L4" s="8"/>
      <c r="M4" s="494">
        <f>'Oct-24'!$I$119+'Oct-24'!$J$119+'Oct-24'!$I$130+'Oct-24'!$J$130+I141+J141</f>
        <v>2177095.7650000001</v>
      </c>
      <c r="N4" s="477"/>
      <c r="O4" s="8"/>
      <c r="P4" s="501">
        <f>G4-M4</f>
        <v>-1545053.2017500005</v>
      </c>
      <c r="Q4" s="502"/>
      <c r="R4" s="503"/>
    </row>
    <row r="5" spans="1:19" ht="12.75" customHeight="1" x14ac:dyDescent="0.3"/>
    <row r="6" spans="1:19" ht="10.5" customHeight="1" x14ac:dyDescent="0.3"/>
    <row r="7" spans="1:19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27.75" customHeight="1" x14ac:dyDescent="0.3">
      <c r="B8" s="237" t="s">
        <v>1322</v>
      </c>
      <c r="C8" s="238" t="s">
        <v>1323</v>
      </c>
      <c r="D8" s="238" t="s">
        <v>1324</v>
      </c>
      <c r="E8" s="238" t="s">
        <v>1325</v>
      </c>
      <c r="F8" s="238" t="s">
        <v>0</v>
      </c>
      <c r="G8" s="238" t="s">
        <v>1</v>
      </c>
      <c r="H8" s="238" t="s">
        <v>1326</v>
      </c>
      <c r="I8" s="238" t="s">
        <v>1327</v>
      </c>
      <c r="J8" s="238" t="s">
        <v>1328</v>
      </c>
      <c r="K8" s="238" t="s">
        <v>1329</v>
      </c>
      <c r="L8" s="238" t="s">
        <v>1330</v>
      </c>
      <c r="M8" s="238" t="s">
        <v>1331</v>
      </c>
      <c r="N8" s="238" t="s">
        <v>1332</v>
      </c>
      <c r="O8" s="238" t="s">
        <v>1333</v>
      </c>
      <c r="P8" s="238" t="s">
        <v>1334</v>
      </c>
      <c r="Q8" s="238" t="s">
        <v>2</v>
      </c>
      <c r="R8" s="239" t="s">
        <v>1335</v>
      </c>
    </row>
    <row r="9" spans="1:19" ht="14.4" x14ac:dyDescent="0.3">
      <c r="B9" s="221" t="s">
        <v>1468</v>
      </c>
      <c r="C9" s="222">
        <v>1</v>
      </c>
      <c r="D9" s="223">
        <v>3</v>
      </c>
      <c r="E9" s="224">
        <v>242462</v>
      </c>
      <c r="F9" s="225">
        <v>30707135596</v>
      </c>
      <c r="G9" s="226" t="str">
        <f>IFERROR(IF('Oct-24'!$F9="","-",VLOOKUP('Oct-24'!$F9,Lista_CUIT!$A$1:$D$2241,2,0)),"CUIT NO CARGADO")</f>
        <v>CITILAN ARGENTINA S.A.</v>
      </c>
      <c r="H9" s="227">
        <v>23571.53</v>
      </c>
      <c r="I9" s="228">
        <f>IF('Oct-24'!$H9="","",'Oct-24'!$H9*0.21)</f>
        <v>4950.0212999999994</v>
      </c>
      <c r="J9" s="228"/>
      <c r="K9" s="228"/>
      <c r="L9" s="228"/>
      <c r="M9" s="228"/>
      <c r="N9" s="228"/>
      <c r="O9" s="228"/>
      <c r="P9" s="229">
        <f>SUM('Oct-24'!$H9:$O9)</f>
        <v>28521.551299999999</v>
      </c>
      <c r="Q9" s="230" t="str">
        <f>IFERROR(IF('Oct-24'!$F9="","-",VLOOKUP('Oct-24'!$F9,Lista_CUIT!$A$1:$D$2241,3,0)),"CUIT NO CARGADO")</f>
        <v>Telefonia</v>
      </c>
      <c r="R9" s="231">
        <f>IFERROR(IF('Oct-24'!$F9="","-",VLOOKUP('Oct-24'!$F9,Lista_CUIT!$A$1:$D$2241,4,0)),"CUIT NO CARGADO")</f>
        <v>0</v>
      </c>
    </row>
    <row r="10" spans="1:19" ht="14.4" x14ac:dyDescent="0.3">
      <c r="B10" s="221" t="s">
        <v>1468</v>
      </c>
      <c r="C10" s="222">
        <v>1</v>
      </c>
      <c r="D10" s="223">
        <v>9002</v>
      </c>
      <c r="E10" s="224">
        <v>8514</v>
      </c>
      <c r="F10" s="225">
        <v>30710644809</v>
      </c>
      <c r="G10" s="226" t="str">
        <f>IFERROR(IF('Oct-24'!$F10="","-",VLOOKUP('Oct-24'!$F10,Lista_CUIT!$A$1:$D$2241,2,0)),"CUIT NO CARGADO")</f>
        <v>MAARE S.R.L.</v>
      </c>
      <c r="H10" s="227">
        <v>37388.43</v>
      </c>
      <c r="I10" s="228">
        <f>IF('Oct-24'!$H10="","",'Oct-24'!$H10*0.21)</f>
        <v>7851.5702999999994</v>
      </c>
      <c r="J10" s="228"/>
      <c r="K10" s="228"/>
      <c r="L10" s="228"/>
      <c r="M10" s="228"/>
      <c r="N10" s="228"/>
      <c r="O10" s="228"/>
      <c r="P10" s="229">
        <f>SUM('Oct-24'!$H10:$O10)</f>
        <v>45240.0003</v>
      </c>
      <c r="Q10" s="230" t="str">
        <f>IFERROR(IF('Oct-24'!$F10="","-",VLOOKUP('Oct-24'!$F10,Lista_CUIT!$A$1:$D$2241,3,0)),"CUIT NO CARGADO")</f>
        <v>Ropa de Trabajo</v>
      </c>
      <c r="R10" s="231">
        <f>IFERROR(IF('Oct-24'!$F10="","-",VLOOKUP('Oct-24'!$F10,Lista_CUIT!$A$1:$D$2241,4,0)),"CUIT NO CARGADO")</f>
        <v>0</v>
      </c>
    </row>
    <row r="11" spans="1:19" ht="14.4" x14ac:dyDescent="0.3">
      <c r="B11" s="221" t="s">
        <v>1468</v>
      </c>
      <c r="C11" s="222">
        <v>1</v>
      </c>
      <c r="D11" s="223">
        <v>4</v>
      </c>
      <c r="E11" s="224">
        <v>4052</v>
      </c>
      <c r="F11" s="225">
        <v>27200094331</v>
      </c>
      <c r="G11" s="226" t="str">
        <f>IFERROR(IF('Oct-24'!$F11="","-",VLOOKUP('Oct-24'!$F11,Lista_CUIT!$A$1:$D$2241,2,0)),"CUIT NO CARGADO")</f>
        <v>PEREZ ADRIANA MARINA</v>
      </c>
      <c r="H11" s="227">
        <v>28922.31</v>
      </c>
      <c r="I11" s="228">
        <f>IF('Oct-24'!$H11="","",'Oct-24'!$H11*0.21)</f>
        <v>6073.6850999999997</v>
      </c>
      <c r="J11" s="228"/>
      <c r="K11" s="228"/>
      <c r="L11" s="228"/>
      <c r="M11" s="228"/>
      <c r="N11" s="228"/>
      <c r="O11" s="228"/>
      <c r="P11" s="229">
        <f>SUM('Oct-24'!$H11:$O11)</f>
        <v>34995.9951</v>
      </c>
      <c r="Q11" s="230" t="str">
        <f>IFERROR(IF('Oct-24'!$F11="","-",VLOOKUP('Oct-24'!$F11,Lista_CUIT!$A$1:$D$2241,3,0)),"CUIT NO CARGADO")</f>
        <v>Materiales Electricos</v>
      </c>
      <c r="R11" s="231">
        <f>IFERROR(IF('Oct-24'!$F11="","-",VLOOKUP('Oct-24'!$F11,Lista_CUIT!$A$1:$D$2241,4,0)),"CUIT NO CARGADO")</f>
        <v>0</v>
      </c>
    </row>
    <row r="12" spans="1:19" ht="14.4" x14ac:dyDescent="0.3">
      <c r="B12" s="221" t="s">
        <v>1468</v>
      </c>
      <c r="C12" s="222">
        <v>1</v>
      </c>
      <c r="D12" s="223">
        <v>2</v>
      </c>
      <c r="E12" s="224">
        <v>204</v>
      </c>
      <c r="F12" s="225">
        <v>20125142851</v>
      </c>
      <c r="G12" s="226" t="str">
        <f>IFERROR(IF('Oct-24'!$F12="","-",VLOOKUP('Oct-24'!$F12,Lista_CUIT!$A$1:$D$2241,2,0)),"CUIT NO CARGADO")</f>
        <v>FEDERICI NICOLAS JOSE</v>
      </c>
      <c r="H12" s="227">
        <v>200133</v>
      </c>
      <c r="I12" s="228">
        <f>IF('Oct-24'!$H12="","",'Oct-24'!$H12*0.21)</f>
        <v>42027.93</v>
      </c>
      <c r="J12" s="228"/>
      <c r="K12" s="228"/>
      <c r="L12" s="228"/>
      <c r="M12" s="228"/>
      <c r="N12" s="228"/>
      <c r="O12" s="228"/>
      <c r="P12" s="229">
        <f>SUM('Oct-24'!$H12:$O12)</f>
        <v>242160.93</v>
      </c>
      <c r="Q12" s="230" t="str">
        <f>IFERROR(IF('Oct-24'!$F12="","-",VLOOKUP('Oct-24'!$F12,Lista_CUIT!$A$1:$D$2241,3,0)),"CUIT NO CARGADO")</f>
        <v>INSUMO</v>
      </c>
      <c r="R12" s="231">
        <f>IFERROR(IF('Oct-24'!$F12="","-",VLOOKUP('Oct-24'!$F12,Lista_CUIT!$A$1:$D$2241,4,0)),"CUIT NO CARGADO")</f>
        <v>0</v>
      </c>
    </row>
    <row r="13" spans="1:19" ht="14.4" x14ac:dyDescent="0.3">
      <c r="B13" s="221" t="s">
        <v>1468</v>
      </c>
      <c r="C13" s="222">
        <v>1</v>
      </c>
      <c r="D13" s="223">
        <v>3</v>
      </c>
      <c r="E13" s="224">
        <v>793</v>
      </c>
      <c r="F13" s="225">
        <v>30715402765</v>
      </c>
      <c r="G13" s="226" t="str">
        <f>IFERROR(IF('Oct-24'!$F13="","-",VLOOKUP('Oct-24'!$F13,Lista_CUIT!$A$1:$D$2241,2,0)),"CUIT NO CARGADO")</f>
        <v>RIO 265 S.R.L.</v>
      </c>
      <c r="H13" s="227">
        <v>67768.62</v>
      </c>
      <c r="I13" s="228">
        <f>IF('Oct-24'!$H13="","",'Oct-24'!$H13*0.21)</f>
        <v>14231.410199999998</v>
      </c>
      <c r="J13" s="228"/>
      <c r="K13" s="228"/>
      <c r="L13" s="228"/>
      <c r="M13" s="228"/>
      <c r="N13" s="228"/>
      <c r="O13" s="228"/>
      <c r="P13" s="229">
        <f>SUM('Oct-24'!$H13:$O13)</f>
        <v>82000.030199999994</v>
      </c>
      <c r="Q13" s="230" t="str">
        <f>IFERROR(IF('Oct-24'!$F13="","-",VLOOKUP('Oct-24'!$F13,Lista_CUIT!$A$1:$D$2241,3,0)),"CUIT NO CARGADO")</f>
        <v>GASTOS VARIOS</v>
      </c>
      <c r="R13" s="231">
        <f>IFERROR(IF('Oct-24'!$F13="","-",VLOOKUP('Oct-24'!$F13,Lista_CUIT!$A$1:$D$2241,4,0)),"CUIT NO CARGADO")</f>
        <v>0</v>
      </c>
    </row>
    <row r="14" spans="1:19" ht="14.4" x14ac:dyDescent="0.3">
      <c r="B14" s="221" t="s">
        <v>1469</v>
      </c>
      <c r="C14" s="222">
        <v>1</v>
      </c>
      <c r="D14" s="223">
        <v>4</v>
      </c>
      <c r="E14" s="224">
        <v>18335</v>
      </c>
      <c r="F14" s="225">
        <v>30709362875</v>
      </c>
      <c r="G14" s="226" t="str">
        <f>IFERROR(IF('Oct-24'!$F14="","-",VLOOKUP('Oct-24'!$F14,Lista_CUIT!$A$1:$D$2241,2,0)),"CUIT NO CARGADO")</f>
        <v>ELINDAR SRL</v>
      </c>
      <c r="H14" s="227">
        <v>63768.95</v>
      </c>
      <c r="I14" s="228"/>
      <c r="J14" s="228"/>
      <c r="K14" s="228">
        <f>Table_43[[#This Row],[NETO GRAVADO]]*0.105</f>
        <v>6695.7397499999997</v>
      </c>
      <c r="L14" s="228"/>
      <c r="M14" s="228"/>
      <c r="N14" s="228"/>
      <c r="O14" s="228"/>
      <c r="P14" s="300">
        <f>SUM('Oct-24'!$H14:$O14)</f>
        <v>70464.68974999999</v>
      </c>
      <c r="Q14" s="230" t="str">
        <f>IFERROR(IF('Oct-24'!$F14="","-",VLOOKUP('Oct-24'!$F14,Lista_CUIT!$A$1:$D$2241,3,0)),"CUIT NO CARGADO")</f>
        <v>REPUESTOS</v>
      </c>
      <c r="R14" s="231" t="str">
        <f>IFERROR(IF('Oct-24'!$F14="","-",VLOOKUP('Oct-24'!$F14,Lista_CUIT!$A$1:$D$2241,4,0)),"CUIT NO CARGADO")</f>
        <v>BUENOS AIRES</v>
      </c>
    </row>
    <row r="15" spans="1:19" ht="14.4" x14ac:dyDescent="0.3">
      <c r="B15" s="221" t="s">
        <v>1469</v>
      </c>
      <c r="C15" s="222">
        <v>1</v>
      </c>
      <c r="D15" s="223">
        <v>2</v>
      </c>
      <c r="E15" s="224">
        <v>57001</v>
      </c>
      <c r="F15" s="225">
        <v>30716831066</v>
      </c>
      <c r="G15" s="226" t="str">
        <f>IFERROR(IF('Oct-24'!$F15="","-",VLOOKUP('Oct-24'!$F15,Lista_CUIT!$A$1:$D$2241,2,0)),"CUIT NO CARGADO")</f>
        <v>DOUBLE G SA</v>
      </c>
      <c r="H15" s="227">
        <v>34694.21</v>
      </c>
      <c r="I15" s="228">
        <f>IF('Oct-24'!$H15="","",'Oct-24'!$H15*0.21)</f>
        <v>7285.7840999999999</v>
      </c>
      <c r="J15" s="228"/>
      <c r="K15" s="228"/>
      <c r="L15" s="228"/>
      <c r="M15" s="228"/>
      <c r="N15" s="228"/>
      <c r="O15" s="228"/>
      <c r="P15" s="229">
        <f>SUM('Oct-24'!$H15:$O15)</f>
        <v>41979.994099999996</v>
      </c>
      <c r="Q15" s="230" t="str">
        <f>IFERROR(IF('Oct-24'!$F15="","-",VLOOKUP('Oct-24'!$F15,Lista_CUIT!$A$1:$D$2241,3,0)),"CUIT NO CARGADO")</f>
        <v>REPUESTOS</v>
      </c>
      <c r="R15" s="231">
        <f>IFERROR(IF('Oct-24'!$F15="","-",VLOOKUP('Oct-24'!$F15,Lista_CUIT!$A$1:$D$2241,4,0)),"CUIT NO CARGADO")</f>
        <v>0</v>
      </c>
    </row>
    <row r="16" spans="1:19" ht="14.4" x14ac:dyDescent="0.3">
      <c r="B16" s="221" t="s">
        <v>1469</v>
      </c>
      <c r="C16" s="222">
        <v>1</v>
      </c>
      <c r="D16" s="223">
        <v>5</v>
      </c>
      <c r="E16" s="224">
        <v>4850</v>
      </c>
      <c r="F16" s="225">
        <v>23342701469</v>
      </c>
      <c r="G16" s="226" t="str">
        <f>IFERROR(IF('Oct-24'!$F16="","-",VLOOKUP('Oct-24'!$F16,Lista_CUIT!$A$1:$D$2241,2,0)),"CUIT NO CARGADO")</f>
        <v>MALETTI ALEJANDRO ARTURO</v>
      </c>
      <c r="H16" s="227">
        <v>110826.45</v>
      </c>
      <c r="I16" s="228">
        <f>IF('Oct-24'!$H16="","",'Oct-24'!$H16*0.21)</f>
        <v>23273.554499999998</v>
      </c>
      <c r="J16" s="228"/>
      <c r="K16" s="228"/>
      <c r="L16" s="228"/>
      <c r="M16" s="228"/>
      <c r="N16" s="228"/>
      <c r="O16" s="228"/>
      <c r="P16" s="229">
        <f>SUM('Oct-24'!$H16:$O16)</f>
        <v>134100.00449999998</v>
      </c>
      <c r="Q16" s="230" t="str">
        <f>IFERROR(IF('Oct-24'!$F16="","-",VLOOKUP('Oct-24'!$F16,Lista_CUIT!$A$1:$D$2241,3,0)),"CUIT NO CARGADO")</f>
        <v>GASTOS VARIOS</v>
      </c>
      <c r="R16" s="231">
        <f>IFERROR(IF('Oct-24'!$F16="","-",VLOOKUP('Oct-24'!$F16,Lista_CUIT!$A$1:$D$2241,4,0)),"CUIT NO CARGADO")</f>
        <v>0</v>
      </c>
    </row>
    <row r="17" spans="2:18" ht="14.4" x14ac:dyDescent="0.3">
      <c r="B17" s="221" t="s">
        <v>1470</v>
      </c>
      <c r="C17" s="222">
        <v>1</v>
      </c>
      <c r="D17" s="223">
        <v>89</v>
      </c>
      <c r="E17" s="224">
        <v>87807</v>
      </c>
      <c r="F17" s="225">
        <v>30710854072</v>
      </c>
      <c r="G17" s="226" t="str">
        <f>IFERROR(IF('Oct-24'!$F17="","-",VLOOKUP('Oct-24'!$F17,Lista_CUIT!$A$1:$D$2241,2,0)),"CUIT NO CARGADO")</f>
        <v>TIMARO SRL</v>
      </c>
      <c r="H17" s="227">
        <v>31262.81</v>
      </c>
      <c r="I17" s="228">
        <f>IF('Oct-24'!$H17="","",'Oct-24'!$H17*0.21)</f>
        <v>6565.1900999999998</v>
      </c>
      <c r="J17" s="228"/>
      <c r="K17" s="228"/>
      <c r="L17" s="228"/>
      <c r="M17" s="228"/>
      <c r="N17" s="228"/>
      <c r="O17" s="228"/>
      <c r="P17" s="229">
        <f>SUM('Oct-24'!$H17:$O17)</f>
        <v>37828.000100000005</v>
      </c>
      <c r="Q17" s="230" t="str">
        <f>IFERROR(IF('Oct-24'!$F17="","-",VLOOKUP('Oct-24'!$F17,Lista_CUIT!$A$1:$D$2241,3,0)),"CUIT NO CARGADO")</f>
        <v>pintureria</v>
      </c>
      <c r="R17" s="231">
        <f>IFERROR(IF('Oct-24'!$F17="","-",VLOOKUP('Oct-24'!$F17,Lista_CUIT!$A$1:$D$2241,4,0)),"CUIT NO CARGADO")</f>
        <v>0</v>
      </c>
    </row>
    <row r="18" spans="2:18" ht="14.4" x14ac:dyDescent="0.3">
      <c r="B18" s="221" t="s">
        <v>1471</v>
      </c>
      <c r="C18" s="222">
        <v>1</v>
      </c>
      <c r="D18" s="223">
        <v>5</v>
      </c>
      <c r="E18" s="224">
        <v>45028</v>
      </c>
      <c r="F18" s="225">
        <v>30712387390</v>
      </c>
      <c r="G18" s="226" t="str">
        <f>IFERROR(IF('Oct-24'!$F18="","-",VLOOKUP('Oct-24'!$F18,Lista_CUIT!$A$1:$D$2241,2,0)),"CUIT NO CARGADO")</f>
        <v>MOMA FOOD S.R.L.</v>
      </c>
      <c r="H18" s="227">
        <v>29453.02</v>
      </c>
      <c r="I18" s="228">
        <f>IF('Oct-24'!$H18="","",'Oct-24'!$H18*0.21)</f>
        <v>6185.1341999999995</v>
      </c>
      <c r="J18" s="228"/>
      <c r="K18" s="228"/>
      <c r="L18" s="228"/>
      <c r="M18" s="228"/>
      <c r="N18" s="228"/>
      <c r="O18" s="228"/>
      <c r="P18" s="229">
        <f>SUM('Oct-24'!$H18:$O18)</f>
        <v>35638.154199999997</v>
      </c>
      <c r="Q18" s="230" t="str">
        <f>IFERROR(IF('Oct-24'!$F18="","-",VLOOKUP('Oct-24'!$F18,Lista_CUIT!$A$1:$D$2241,3,0)),"CUIT NO CARGADO")</f>
        <v>Catering</v>
      </c>
      <c r="R18" s="231">
        <f>IFERROR(IF('Oct-24'!$F18="","-",VLOOKUP('Oct-24'!$F18,Lista_CUIT!$A$1:$D$2241,4,0)),"CUIT NO CARGADO")</f>
        <v>0</v>
      </c>
    </row>
    <row r="19" spans="2:18" ht="14.4" x14ac:dyDescent="0.3">
      <c r="B19" s="221" t="s">
        <v>1471</v>
      </c>
      <c r="C19" s="222">
        <v>1</v>
      </c>
      <c r="D19" s="223">
        <v>23</v>
      </c>
      <c r="E19" s="224">
        <v>31069</v>
      </c>
      <c r="F19" s="225">
        <v>30711493596</v>
      </c>
      <c r="G19" s="226" t="str">
        <f>IFERROR(IF('Oct-24'!$F19="","-",VLOOKUP('Oct-24'!$F19,Lista_CUIT!$A$1:$D$2241,2,0)),"CUIT NO CARGADO")</f>
        <v>LBH HOME &amp; HOTEL S.A.</v>
      </c>
      <c r="H19" s="227">
        <v>39743.800000000003</v>
      </c>
      <c r="I19" s="228">
        <f>IF('Oct-24'!$H19="","",'Oct-24'!$H19*0.21)</f>
        <v>8346.1980000000003</v>
      </c>
      <c r="J19" s="228"/>
      <c r="K19" s="228"/>
      <c r="L19" s="228"/>
      <c r="M19" s="228"/>
      <c r="N19" s="228"/>
      <c r="O19" s="228"/>
      <c r="P19" s="229">
        <f>SUM('Oct-24'!$H19:$O19)</f>
        <v>48089.998000000007</v>
      </c>
      <c r="Q19" s="230" t="str">
        <f>IFERROR(IF('Oct-24'!$F19="","-",VLOOKUP('Oct-24'!$F19,Lista_CUIT!$A$1:$D$2241,3,0)),"CUIT NO CARGADO")</f>
        <v>Ropa de Trabajo</v>
      </c>
      <c r="R19" s="231">
        <f>IFERROR(IF('Oct-24'!$F19="","-",VLOOKUP('Oct-24'!$F19,Lista_CUIT!$A$1:$D$2241,4,0)),"CUIT NO CARGADO")</f>
        <v>0</v>
      </c>
    </row>
    <row r="20" spans="2:18" ht="14.4" x14ac:dyDescent="0.3">
      <c r="B20" s="221" t="s">
        <v>1472</v>
      </c>
      <c r="C20" s="222">
        <v>1</v>
      </c>
      <c r="D20" s="223">
        <v>2</v>
      </c>
      <c r="E20" s="224">
        <v>205</v>
      </c>
      <c r="F20" s="225">
        <v>20125142851</v>
      </c>
      <c r="G20" s="226" t="str">
        <f>IFERROR(IF('Oct-24'!$F20="","-",VLOOKUP('Oct-24'!$F20,Lista_CUIT!$A$1:$D$2241,2,0)),"CUIT NO CARGADO")</f>
        <v>FEDERICI NICOLAS JOSE</v>
      </c>
      <c r="H20" s="227">
        <v>210049.52</v>
      </c>
      <c r="I20" s="228">
        <f>IF('Oct-24'!$H20="","",'Oct-24'!$H20*0.21)</f>
        <v>44110.399199999993</v>
      </c>
      <c r="J20" s="228"/>
      <c r="K20" s="228"/>
      <c r="L20" s="228"/>
      <c r="M20" s="228"/>
      <c r="N20" s="228"/>
      <c r="O20" s="228"/>
      <c r="P20" s="229">
        <f>SUM('Oct-24'!$H20:$O20)</f>
        <v>254159.91919999997</v>
      </c>
      <c r="Q20" s="230" t="str">
        <f>IFERROR(IF('Oct-24'!$F20="","-",VLOOKUP('Oct-24'!$F20,Lista_CUIT!$A$1:$D$2241,3,0)),"CUIT NO CARGADO")</f>
        <v>INSUMO</v>
      </c>
      <c r="R20" s="231">
        <f>IFERROR(IF('Oct-24'!$F20="","-",VLOOKUP('Oct-24'!$F20,Lista_CUIT!$A$1:$D$2241,4,0)),"CUIT NO CARGADO")</f>
        <v>0</v>
      </c>
    </row>
    <row r="21" spans="2:18" ht="14.4" x14ac:dyDescent="0.3">
      <c r="B21" s="221" t="s">
        <v>1472</v>
      </c>
      <c r="C21" s="222">
        <v>1</v>
      </c>
      <c r="D21" s="223">
        <v>2</v>
      </c>
      <c r="E21" s="224">
        <v>206</v>
      </c>
      <c r="F21" s="225">
        <v>20125142851</v>
      </c>
      <c r="G21" s="226" t="str">
        <f>IFERROR(IF('Oct-24'!$F21="","-",VLOOKUP('Oct-24'!$F21,Lista_CUIT!$A$1:$D$2241,2,0)),"CUIT NO CARGADO")</f>
        <v>FEDERICI NICOLAS JOSE</v>
      </c>
      <c r="H21" s="227">
        <v>1393481.52</v>
      </c>
      <c r="I21" s="228">
        <f>IF('Oct-24'!$H21="","",'Oct-24'!$H21*0.21)</f>
        <v>292631.11920000002</v>
      </c>
      <c r="J21" s="228"/>
      <c r="K21" s="228"/>
      <c r="L21" s="228"/>
      <c r="M21" s="228"/>
      <c r="N21" s="228"/>
      <c r="O21" s="228"/>
      <c r="P21" s="229">
        <f>SUM('Oct-24'!$H21:$O21)</f>
        <v>1686112.6392000001</v>
      </c>
      <c r="Q21" s="230" t="str">
        <f>IFERROR(IF('Oct-24'!$F21="","-",VLOOKUP('Oct-24'!$F21,Lista_CUIT!$A$1:$D$2241,3,0)),"CUIT NO CARGADO")</f>
        <v>INSUMO</v>
      </c>
      <c r="R21" s="231">
        <f>IFERROR(IF('Oct-24'!$F21="","-",VLOOKUP('Oct-24'!$F21,Lista_CUIT!$A$1:$D$2241,4,0)),"CUIT NO CARGADO")</f>
        <v>0</v>
      </c>
    </row>
    <row r="22" spans="2:18" ht="14.4" x14ac:dyDescent="0.3">
      <c r="B22" s="221" t="s">
        <v>1473</v>
      </c>
      <c r="C22" s="222">
        <v>1</v>
      </c>
      <c r="D22" s="223">
        <v>2466</v>
      </c>
      <c r="E22" s="224">
        <v>711677</v>
      </c>
      <c r="F22" s="225">
        <v>30678814357</v>
      </c>
      <c r="G22" s="226" t="str">
        <f>IFERROR(IF('Oct-24'!$F22="","-",VLOOKUP('Oct-24'!$F22,Lista_CUIT!$A$1:$D$2241,2,0)),"CUIT NO CARGADO")</f>
        <v>TELEFONICA MOVILES ARG</v>
      </c>
      <c r="H22" s="227">
        <v>26835</v>
      </c>
      <c r="I22" s="228"/>
      <c r="J22" s="228">
        <f>Table_43[[#This Row],[NETO GRAVADO]]*0.27</f>
        <v>7245.4500000000007</v>
      </c>
      <c r="K22" s="228"/>
      <c r="L22" s="228">
        <v>805.05</v>
      </c>
      <c r="M22" s="228"/>
      <c r="N22" s="228"/>
      <c r="O22" s="228">
        <v>1412.35</v>
      </c>
      <c r="P22" s="300">
        <f>SUM('Oct-24'!$H22:$O22)</f>
        <v>36297.85</v>
      </c>
      <c r="Q22" s="230" t="str">
        <f>IFERROR(IF('Oct-24'!$F22="","-",VLOOKUP('Oct-24'!$F22,Lista_CUIT!$A$1:$D$2241,3,0)),"CUIT NO CARGADO")</f>
        <v>Telefonia</v>
      </c>
      <c r="R22" s="231">
        <f>IFERROR(IF('Oct-24'!$F22="","-",VLOOKUP('Oct-24'!$F22,Lista_CUIT!$A$1:$D$2241,4,0)),"CUIT NO CARGADO")</f>
        <v>0</v>
      </c>
    </row>
    <row r="23" spans="2:18" ht="14.4" x14ac:dyDescent="0.3">
      <c r="B23" s="221" t="s">
        <v>1474</v>
      </c>
      <c r="C23" s="222">
        <v>1</v>
      </c>
      <c r="D23" s="223">
        <v>4</v>
      </c>
      <c r="E23" s="224">
        <v>1819</v>
      </c>
      <c r="F23" s="225">
        <v>30714356360</v>
      </c>
      <c r="G23" s="226" t="str">
        <f>IFERROR(IF('Oct-24'!$F23="","-",VLOOKUP('Oct-24'!$F23,Lista_CUIT!$A$1:$D$2241,2,0)),"CUIT NO CARGADO")</f>
        <v>IMPRENTA24 S.R.L.</v>
      </c>
      <c r="H23" s="227">
        <v>32231.43</v>
      </c>
      <c r="I23" s="228">
        <f>IF('Oct-24'!$H23="","",'Oct-24'!$H23*0.21)</f>
        <v>6768.6003000000001</v>
      </c>
      <c r="J23" s="228"/>
      <c r="K23" s="228"/>
      <c r="L23" s="228"/>
      <c r="M23" s="228"/>
      <c r="N23" s="228"/>
      <c r="O23" s="228"/>
      <c r="P23" s="229">
        <f>SUM('Oct-24'!$H23:$O23)</f>
        <v>39000.030299999999</v>
      </c>
      <c r="Q23" s="230" t="str">
        <f>IFERROR(IF('Oct-24'!$F23="","-",VLOOKUP('Oct-24'!$F23,Lista_CUIT!$A$1:$D$2241,3,0)),"CUIT NO CARGADO")</f>
        <v>Papeleria</v>
      </c>
      <c r="R23" s="231">
        <f>IFERROR(IF('Oct-24'!$F23="","-",VLOOKUP('Oct-24'!$F23,Lista_CUIT!$A$1:$D$2241,4,0)),"CUIT NO CARGADO")</f>
        <v>0</v>
      </c>
    </row>
    <row r="24" spans="2:18" ht="14.4" x14ac:dyDescent="0.3">
      <c r="B24" s="221" t="s">
        <v>1475</v>
      </c>
      <c r="C24" s="222">
        <v>1</v>
      </c>
      <c r="D24" s="223">
        <v>443</v>
      </c>
      <c r="E24" s="224">
        <v>391917</v>
      </c>
      <c r="F24" s="225">
        <v>30546764040</v>
      </c>
      <c r="G24" s="226" t="str">
        <f>IFERROR(IF('Oct-24'!$F24="","-",VLOOKUP('Oct-24'!$F24,Lista_CUIT!$A$1:$D$2241,2,0)),"CUIT NO CARGADO")</f>
        <v>NESTLE ARG S.A</v>
      </c>
      <c r="H24" s="227">
        <v>7768.67</v>
      </c>
      <c r="I24" s="228">
        <f>IF('Oct-24'!$H24="","",'Oct-24'!$H24*0.21)</f>
        <v>1631.4206999999999</v>
      </c>
      <c r="J24" s="228"/>
      <c r="K24" s="228"/>
      <c r="L24" s="228"/>
      <c r="M24" s="228"/>
      <c r="N24" s="228"/>
      <c r="O24" s="228">
        <v>233.06</v>
      </c>
      <c r="P24" s="300">
        <f>SUM('Oct-24'!$H24:$O24)</f>
        <v>9633.1507000000001</v>
      </c>
      <c r="Q24" s="230" t="str">
        <f>IFERROR(IF('Oct-24'!$F24="","-",VLOOKUP('Oct-24'!$F24,Lista_CUIT!$A$1:$D$2241,3,0)),"CUIT NO CARGADO")</f>
        <v>CATERING</v>
      </c>
      <c r="R24" s="231">
        <f>IFERROR(IF('Oct-24'!$F24="","-",VLOOKUP('Oct-24'!$F24,Lista_CUIT!$A$1:$D$2241,4,0)),"CUIT NO CARGADO")</f>
        <v>0</v>
      </c>
    </row>
    <row r="25" spans="2:18" ht="14.4" x14ac:dyDescent="0.3">
      <c r="B25" s="221" t="s">
        <v>1476</v>
      </c>
      <c r="C25" s="222">
        <v>1</v>
      </c>
      <c r="D25" s="223">
        <v>10</v>
      </c>
      <c r="E25" s="224">
        <v>56257</v>
      </c>
      <c r="F25" s="225">
        <v>30528214483</v>
      </c>
      <c r="G25" s="226" t="str">
        <f>IFERROR(IF('Oct-24'!$F25="","-",VLOOKUP('Oct-24'!$F25,Lista_CUIT!$A$1:$D$2241,2,0)),"CUIT NO CARGADO")</f>
        <v>D WEINSTOCK S R L</v>
      </c>
      <c r="H25" s="227">
        <v>23385.119999999999</v>
      </c>
      <c r="I25" s="228">
        <f>IF('Oct-24'!$H25="","",'Oct-24'!$H25*0.21)</f>
        <v>4910.8751999999995</v>
      </c>
      <c r="J25" s="228"/>
      <c r="K25" s="228"/>
      <c r="L25" s="228"/>
      <c r="M25" s="228"/>
      <c r="N25" s="228"/>
      <c r="O25" s="228"/>
      <c r="P25" s="229">
        <f>SUM('Oct-24'!$H25:$O25)</f>
        <v>28295.995199999998</v>
      </c>
      <c r="Q25" s="230" t="str">
        <f>IFERROR(IF('Oct-24'!$F25="","-",VLOOKUP('Oct-24'!$F25,Lista_CUIT!$A$1:$D$2241,3,0)),"CUIT NO CARGADO")</f>
        <v>INSUMO</v>
      </c>
      <c r="R25" s="231">
        <f>IFERROR(IF('Oct-24'!$F25="","-",VLOOKUP('Oct-24'!$F25,Lista_CUIT!$A$1:$D$2241,4,0)),"CUIT NO CARGADO")</f>
        <v>0</v>
      </c>
    </row>
    <row r="26" spans="2:18" ht="14.4" x14ac:dyDescent="0.3">
      <c r="B26" s="221" t="s">
        <v>1476</v>
      </c>
      <c r="C26" s="222">
        <v>1</v>
      </c>
      <c r="D26" s="223">
        <v>5</v>
      </c>
      <c r="E26" s="224">
        <v>10835</v>
      </c>
      <c r="F26" s="225">
        <v>33711557119</v>
      </c>
      <c r="G26" s="226" t="str">
        <f>IFERROR(IF('Oct-24'!$F26="","-",VLOOKUP('Oct-24'!$F26,Lista_CUIT!$A$1:$D$2241,2,0)),"CUIT NO CARGADO")</f>
        <v>ELECTROMINGO S.R.L.</v>
      </c>
      <c r="H26" s="227">
        <v>6371.04</v>
      </c>
      <c r="I26" s="228"/>
      <c r="J26" s="228"/>
      <c r="K26" s="228">
        <f>Table_43[[#This Row],[NETO GRAVADO]]*0.105</f>
        <v>668.95920000000001</v>
      </c>
      <c r="L26" s="228"/>
      <c r="M26" s="228"/>
      <c r="N26" s="228"/>
      <c r="O26" s="228"/>
      <c r="P26" s="300">
        <f>SUM('Oct-24'!$H26:$O26)</f>
        <v>7039.9992000000002</v>
      </c>
      <c r="Q26" s="230" t="str">
        <f>IFERROR(IF('Oct-24'!$F26="","-",VLOOKUP('Oct-24'!$F26,Lista_CUIT!$A$1:$D$2241,3,0)),"CUIT NO CARGADO")</f>
        <v>INSUMO</v>
      </c>
      <c r="R26" s="231" t="str">
        <f>IFERROR(IF('Oct-24'!$F26="","-",VLOOKUP('Oct-24'!$F26,Lista_CUIT!$A$1:$D$2241,4,0)),"CUIT NO CARGADO")</f>
        <v>BUENOS AIRES</v>
      </c>
    </row>
    <row r="27" spans="2:18" ht="14.4" x14ac:dyDescent="0.3">
      <c r="B27" s="221" t="s">
        <v>1476</v>
      </c>
      <c r="C27" s="222">
        <v>1</v>
      </c>
      <c r="D27" s="223">
        <v>106</v>
      </c>
      <c r="E27" s="224">
        <v>779800</v>
      </c>
      <c r="F27" s="225">
        <v>30594494187</v>
      </c>
      <c r="G27" s="226" t="str">
        <f>IFERROR(IF('Oct-24'!$F27="","-",VLOOKUP('Oct-24'!$F27,Lista_CUIT!$A$1:$D$2241,2,0)),"CUIT NO CARGADO")</f>
        <v>FEDERAL EXPRESS CORPORATION</v>
      </c>
      <c r="H27" s="227">
        <v>0</v>
      </c>
      <c r="I27" s="228">
        <f>IF('Oct-24'!$H27="","",'Oct-24'!$H27*0.21)</f>
        <v>0</v>
      </c>
      <c r="J27" s="228"/>
      <c r="K27" s="228"/>
      <c r="L27" s="228"/>
      <c r="M27" s="228"/>
      <c r="N27" s="228"/>
      <c r="O27" s="228">
        <v>938990.27</v>
      </c>
      <c r="P27" s="300">
        <f>SUM('Oct-24'!$H27:$O27)</f>
        <v>938990.27</v>
      </c>
      <c r="Q27" s="230" t="str">
        <f>IFERROR(IF('Oct-24'!$F27="","-",VLOOKUP('Oct-24'!$F27,Lista_CUIT!$A$1:$D$2241,3,0)),"CUIT NO CARGADO")</f>
        <v>Gastos Importacion</v>
      </c>
      <c r="R27" s="231">
        <f>IFERROR(IF('Oct-24'!$F27="","-",VLOOKUP('Oct-24'!$F27,Lista_CUIT!$A$1:$D$2241,4,0)),"CUIT NO CARGADO")</f>
        <v>0</v>
      </c>
    </row>
    <row r="28" spans="2:18" ht="14.4" x14ac:dyDescent="0.3">
      <c r="B28" s="221" t="s">
        <v>1477</v>
      </c>
      <c r="C28" s="222">
        <v>1</v>
      </c>
      <c r="D28" s="223">
        <v>36</v>
      </c>
      <c r="E28" s="224">
        <v>45047</v>
      </c>
      <c r="F28" s="225">
        <v>30714769290</v>
      </c>
      <c r="G28" s="226" t="str">
        <f>IFERROR(IF('Oct-24'!$F28="","-",VLOOKUP('Oct-24'!$F28,Lista_CUIT!$A$1:$D$2241,2,0)),"CUIT NO CARGADO")</f>
        <v>GOLONOR S.A.</v>
      </c>
      <c r="H28" s="227">
        <v>13884.3</v>
      </c>
      <c r="I28" s="228">
        <f>IF('Oct-24'!$H28="","",'Oct-24'!$H28*0.21)</f>
        <v>2915.7029999999995</v>
      </c>
      <c r="J28" s="228"/>
      <c r="K28" s="228"/>
      <c r="L28" s="228"/>
      <c r="M28" s="228"/>
      <c r="N28" s="228"/>
      <c r="O28" s="228"/>
      <c r="P28" s="229">
        <f>SUM('Oct-24'!$H28:$O28)</f>
        <v>16800.002999999997</v>
      </c>
      <c r="Q28" s="230" t="str">
        <f>IFERROR(IF('Oct-24'!$F28="","-",VLOOKUP('Oct-24'!$F28,Lista_CUIT!$A$1:$D$2241,3,0)),"CUIT NO CARGADO")</f>
        <v>Gastos Oficina</v>
      </c>
      <c r="R28" s="231">
        <f>IFERROR(IF('Oct-24'!$F28="","-",VLOOKUP('Oct-24'!$F28,Lista_CUIT!$A$1:$D$2241,4,0)),"CUIT NO CARGADO")</f>
        <v>0</v>
      </c>
    </row>
    <row r="29" spans="2:18" ht="14.4" x14ac:dyDescent="0.3">
      <c r="B29" s="221" t="s">
        <v>1478</v>
      </c>
      <c r="C29" s="222">
        <v>1</v>
      </c>
      <c r="D29" s="223">
        <v>5</v>
      </c>
      <c r="E29" s="224">
        <v>16349</v>
      </c>
      <c r="F29" s="225">
        <v>30718509552</v>
      </c>
      <c r="G29" s="226" t="str">
        <f>IFERROR(IF('Oct-24'!$F29="","-",VLOOKUP('Oct-24'!$F29,Lista_CUIT!$A$1:$D$2241,2,0)),"CUIT NO CARGADO")</f>
        <v>SEDAFE</v>
      </c>
      <c r="H29" s="227">
        <v>4957.8500000000004</v>
      </c>
      <c r="I29" s="228">
        <f>IF('Oct-24'!$H29="","",'Oct-24'!$H29*0.21)</f>
        <v>1041.1485</v>
      </c>
      <c r="J29" s="228"/>
      <c r="K29" s="228"/>
      <c r="L29" s="228"/>
      <c r="M29" s="228"/>
      <c r="N29" s="228"/>
      <c r="O29" s="228"/>
      <c r="P29" s="229">
        <f>SUM('Oct-24'!$H29:$O29)</f>
        <v>5998.9985000000006</v>
      </c>
      <c r="Q29" s="230" t="str">
        <f>IFERROR(IF('Oct-24'!$F29="","-",VLOOKUP('Oct-24'!$F29,Lista_CUIT!$A$1:$D$2241,3,0)),"CUIT NO CARGADO")</f>
        <v>Papeleria</v>
      </c>
      <c r="R29" s="231">
        <f>IFERROR(IF('Oct-24'!$F29="","-",VLOOKUP('Oct-24'!$F29,Lista_CUIT!$A$1:$D$2241,4,0)),"CUIT NO CARGADO")</f>
        <v>0</v>
      </c>
    </row>
    <row r="30" spans="2:18" ht="14.4" x14ac:dyDescent="0.3">
      <c r="B30" s="221" t="s">
        <v>1478</v>
      </c>
      <c r="C30" s="222">
        <v>1</v>
      </c>
      <c r="D30" s="223">
        <v>106</v>
      </c>
      <c r="E30" s="224">
        <v>780938</v>
      </c>
      <c r="F30" s="225">
        <v>30594494187</v>
      </c>
      <c r="G30" s="226" t="str">
        <f>IFERROR(IF('Oct-24'!$F30="","-",VLOOKUP('Oct-24'!$F30,Lista_CUIT!$A$1:$D$2241,2,0)),"CUIT NO CARGADO")</f>
        <v>FEDERAL EXPRESS CORPORATION</v>
      </c>
      <c r="H30" s="227">
        <v>72000</v>
      </c>
      <c r="I30" s="228">
        <f>IF('Oct-24'!$H30="","",'Oct-24'!$H30*0.21)</f>
        <v>15120</v>
      </c>
      <c r="J30" s="228"/>
      <c r="K30" s="228"/>
      <c r="L30" s="228"/>
      <c r="M30" s="228"/>
      <c r="N30" s="228"/>
      <c r="O30" s="228">
        <v>357113.43</v>
      </c>
      <c r="P30" s="300">
        <f>SUM('Oct-24'!$H30:$O30)</f>
        <v>444233.43</v>
      </c>
      <c r="Q30" s="230" t="str">
        <f>IFERROR(IF('Oct-24'!$F30="","-",VLOOKUP('Oct-24'!$F30,Lista_CUIT!$A$1:$D$2241,3,0)),"CUIT NO CARGADO")</f>
        <v>Gastos Importacion</v>
      </c>
      <c r="R30" s="231">
        <f>IFERROR(IF('Oct-24'!$F30="","-",VLOOKUP('Oct-24'!$F30,Lista_CUIT!$A$1:$D$2241,4,0)),"CUIT NO CARGADO")</f>
        <v>0</v>
      </c>
    </row>
    <row r="31" spans="2:18" ht="14.4" x14ac:dyDescent="0.3">
      <c r="B31" s="221" t="s">
        <v>1478</v>
      </c>
      <c r="C31" s="222">
        <v>1</v>
      </c>
      <c r="D31" s="223">
        <v>5</v>
      </c>
      <c r="E31" s="224">
        <v>10854</v>
      </c>
      <c r="F31" s="225">
        <v>33711557119</v>
      </c>
      <c r="G31" s="226" t="str">
        <f>IFERROR(IF('Oct-24'!$F31="","-",VLOOKUP('Oct-24'!$F31,Lista_CUIT!$A$1:$D$2241,2,0)),"CUIT NO CARGADO")</f>
        <v>ELECTROMINGO S.R.L.</v>
      </c>
      <c r="H31" s="227">
        <v>15270.66</v>
      </c>
      <c r="I31" s="228">
        <f>IF('Oct-24'!$H31="","",'Oct-24'!$H31*0.21)</f>
        <v>3206.8386</v>
      </c>
      <c r="J31" s="228"/>
      <c r="K31" s="228"/>
      <c r="L31" s="228"/>
      <c r="M31" s="228"/>
      <c r="N31" s="228"/>
      <c r="O31" s="228"/>
      <c r="P31" s="229">
        <f>SUM('Oct-24'!$H31:$O31)</f>
        <v>18477.498599999999</v>
      </c>
      <c r="Q31" s="230" t="str">
        <f>IFERROR(IF('Oct-24'!$F31="","-",VLOOKUP('Oct-24'!$F31,Lista_CUIT!$A$1:$D$2241,3,0)),"CUIT NO CARGADO")</f>
        <v>INSUMO</v>
      </c>
      <c r="R31" s="231" t="str">
        <f>IFERROR(IF('Oct-24'!$F31="","-",VLOOKUP('Oct-24'!$F31,Lista_CUIT!$A$1:$D$2241,4,0)),"CUIT NO CARGADO")</f>
        <v>BUENOS AIRES</v>
      </c>
    </row>
    <row r="32" spans="2:18" ht="14.4" x14ac:dyDescent="0.3">
      <c r="B32" s="221" t="s">
        <v>1479</v>
      </c>
      <c r="C32" s="222">
        <v>1</v>
      </c>
      <c r="D32" s="223">
        <v>5</v>
      </c>
      <c r="E32" s="224">
        <v>10879</v>
      </c>
      <c r="F32" s="225">
        <v>33711557119</v>
      </c>
      <c r="G32" s="226" t="str">
        <f>IFERROR(IF('Oct-24'!$F32="","-",VLOOKUP('Oct-24'!$F32,Lista_CUIT!$A$1:$D$2241,2,0)),"CUIT NO CARGADO")</f>
        <v>ELECTROMINGO S.R.L.</v>
      </c>
      <c r="H32" s="227">
        <v>9381.36</v>
      </c>
      <c r="I32" s="228"/>
      <c r="J32" s="228"/>
      <c r="K32" s="228">
        <f>Table_43[[#This Row],[NETO GRAVADO]]*0.105</f>
        <v>985.04280000000006</v>
      </c>
      <c r="L32" s="228"/>
      <c r="M32" s="228"/>
      <c r="N32" s="228"/>
      <c r="O32" s="228"/>
      <c r="P32" s="300">
        <f>SUM('Oct-24'!$H32:$O32)</f>
        <v>10366.4028</v>
      </c>
      <c r="Q32" s="230" t="str">
        <f>IFERROR(IF('Oct-24'!$F32="","-",VLOOKUP('Oct-24'!$F32,Lista_CUIT!$A$1:$D$2241,3,0)),"CUIT NO CARGADO")</f>
        <v>INSUMO</v>
      </c>
      <c r="R32" s="231" t="str">
        <f>IFERROR(IF('Oct-24'!$F32="","-",VLOOKUP('Oct-24'!$F32,Lista_CUIT!$A$1:$D$2241,4,0)),"CUIT NO CARGADO")</f>
        <v>BUENOS AIRES</v>
      </c>
    </row>
    <row r="33" spans="2:18" ht="14.4" x14ac:dyDescent="0.3">
      <c r="B33" s="221" t="s">
        <v>1479</v>
      </c>
      <c r="C33" s="222">
        <v>1</v>
      </c>
      <c r="D33" s="223">
        <v>10</v>
      </c>
      <c r="E33" s="224">
        <v>36942</v>
      </c>
      <c r="F33" s="225">
        <v>20357275882</v>
      </c>
      <c r="G33" s="226" t="str">
        <f>IFERROR(IF('Oct-24'!$F33="","-",VLOOKUP('Oct-24'!$F33,Lista_CUIT!$A$1:$D$2241,2,0)),"CUIT NO CARGADO")</f>
        <v>LAVADERO BLANCANIEVES</v>
      </c>
      <c r="H33" s="227">
        <v>2447.9299999999998</v>
      </c>
      <c r="I33" s="228">
        <f>IF('Oct-24'!$H33="","",'Oct-24'!$H33*0.21)</f>
        <v>514.06529999999998</v>
      </c>
      <c r="J33" s="228"/>
      <c r="K33" s="228"/>
      <c r="L33" s="228"/>
      <c r="M33" s="228"/>
      <c r="N33" s="228"/>
      <c r="O33" s="228"/>
      <c r="P33" s="229">
        <f>SUM('Oct-24'!$H33:$O33)</f>
        <v>2961.9952999999996</v>
      </c>
      <c r="Q33" s="230" t="str">
        <f>IFERROR(IF('Oct-24'!$F33="","-",VLOOKUP('Oct-24'!$F33,Lista_CUIT!$A$1:$D$2241,3,0)),"CUIT NO CARGADO")</f>
        <v>Seg e Higiene</v>
      </c>
      <c r="R33" s="231">
        <f>IFERROR(IF('Oct-24'!$F33="","-",VLOOKUP('Oct-24'!$F33,Lista_CUIT!$A$1:$D$2241,4,0)),"CUIT NO CARGADO")</f>
        <v>0</v>
      </c>
    </row>
    <row r="34" spans="2:18" ht="14.4" x14ac:dyDescent="0.3">
      <c r="B34" s="221" t="s">
        <v>1479</v>
      </c>
      <c r="C34" s="222">
        <v>1</v>
      </c>
      <c r="D34" s="223">
        <v>10</v>
      </c>
      <c r="E34" s="224">
        <v>36976</v>
      </c>
      <c r="F34" s="225">
        <v>20357275882</v>
      </c>
      <c r="G34" s="226" t="str">
        <f>IFERROR(IF('Oct-24'!$F34="","-",VLOOKUP('Oct-24'!$F34,Lista_CUIT!$A$1:$D$2241,2,0)),"CUIT NO CARGADO")</f>
        <v>LAVADERO BLANCANIEVES</v>
      </c>
      <c r="H34" s="227">
        <v>2447.9299999999998</v>
      </c>
      <c r="I34" s="228">
        <f>IF('Oct-24'!$H34="","",'Oct-24'!$H34*0.21)</f>
        <v>514.06529999999998</v>
      </c>
      <c r="J34" s="228"/>
      <c r="K34" s="228"/>
      <c r="L34" s="228"/>
      <c r="M34" s="228"/>
      <c r="N34" s="228"/>
      <c r="O34" s="228"/>
      <c r="P34" s="229">
        <f>SUM('Oct-24'!$H34:$O34)</f>
        <v>2961.9952999999996</v>
      </c>
      <c r="Q34" s="230" t="str">
        <f>IFERROR(IF('Oct-24'!$F34="","-",VLOOKUP('Oct-24'!$F34,Lista_CUIT!$A$1:$D$2241,3,0)),"CUIT NO CARGADO")</f>
        <v>Seg e Higiene</v>
      </c>
      <c r="R34" s="231">
        <f>IFERROR(IF('Oct-24'!$F34="","-",VLOOKUP('Oct-24'!$F34,Lista_CUIT!$A$1:$D$2241,4,0)),"CUIT NO CARGADO")</f>
        <v>0</v>
      </c>
    </row>
    <row r="35" spans="2:18" ht="14.4" x14ac:dyDescent="0.3">
      <c r="B35" s="221" t="s">
        <v>1479</v>
      </c>
      <c r="C35" s="222">
        <v>1</v>
      </c>
      <c r="D35" s="223">
        <v>8</v>
      </c>
      <c r="E35" s="224">
        <v>33221</v>
      </c>
      <c r="F35" s="225">
        <v>30709953482</v>
      </c>
      <c r="G35" s="226" t="str">
        <f>IFERROR(IF('Oct-24'!$F35="","-",VLOOKUP('Oct-24'!$F35,Lista_CUIT!$A$1:$D$2241,2,0)),"CUIT NO CARGADO")</f>
        <v>HONRE S.A</v>
      </c>
      <c r="H35" s="227">
        <v>7693.17</v>
      </c>
      <c r="I35" s="228">
        <f>IF('Oct-24'!$H35="","",'Oct-24'!$H35*0.21)</f>
        <v>1615.5656999999999</v>
      </c>
      <c r="J35" s="228"/>
      <c r="K35" s="228"/>
      <c r="L35" s="228"/>
      <c r="M35" s="228"/>
      <c r="N35" s="228"/>
      <c r="O35" s="228"/>
      <c r="P35" s="229">
        <f>SUM('Oct-24'!$H35:$O35)</f>
        <v>9308.7356999999993</v>
      </c>
      <c r="Q35" s="230" t="str">
        <f>IFERROR(IF('Oct-24'!$F35="","-",VLOOKUP('Oct-24'!$F35,Lista_CUIT!$A$1:$D$2241,3,0)),"CUIT NO CARGADO")</f>
        <v>GASTOS VARIOS</v>
      </c>
      <c r="R35" s="231">
        <f>IFERROR(IF('Oct-24'!$F35="","-",VLOOKUP('Oct-24'!$F35,Lista_CUIT!$A$1:$D$2241,4,0)),"CUIT NO CARGADO")</f>
        <v>0</v>
      </c>
    </row>
    <row r="36" spans="2:18" ht="14.4" x14ac:dyDescent="0.3">
      <c r="B36" s="221" t="s">
        <v>1479</v>
      </c>
      <c r="C36" s="222">
        <v>1</v>
      </c>
      <c r="D36" s="223">
        <v>7</v>
      </c>
      <c r="E36" s="224">
        <v>597</v>
      </c>
      <c r="F36" s="225">
        <v>20104609288</v>
      </c>
      <c r="G36" s="226" t="str">
        <f>IFERROR(IF('Oct-24'!$F36="","-",VLOOKUP('Oct-24'!$F36,Lista_CUIT!$A$1:$D$2241,2,0)),"CUIT NO CARGADO")</f>
        <v>FRAGA FERNANDO LEOPOLDO</v>
      </c>
      <c r="H36" s="227">
        <v>74371.899999999994</v>
      </c>
      <c r="I36" s="228">
        <f>IF('Oct-24'!$H36="","",'Oct-24'!$H36*0.21)</f>
        <v>15618.098999999998</v>
      </c>
      <c r="J36" s="228"/>
      <c r="K36" s="228"/>
      <c r="L36" s="228"/>
      <c r="M36" s="228"/>
      <c r="N36" s="228"/>
      <c r="O36" s="228"/>
      <c r="P36" s="229">
        <f>SUM('Oct-24'!$H36:$O36)</f>
        <v>89989.998999999996</v>
      </c>
      <c r="Q36" s="230" t="str">
        <f>IFERROR(IF('Oct-24'!$F36="","-",VLOOKUP('Oct-24'!$F36,Lista_CUIT!$A$1:$D$2241,3,0)),"CUIT NO CARGADO")</f>
        <v>Papeleria</v>
      </c>
      <c r="R36" s="231">
        <f>IFERROR(IF('Oct-24'!$F36="","-",VLOOKUP('Oct-24'!$F36,Lista_CUIT!$A$1:$D$2241,4,0)),"CUIT NO CARGADO")</f>
        <v>0</v>
      </c>
    </row>
    <row r="37" spans="2:18" ht="14.4" x14ac:dyDescent="0.3">
      <c r="B37" s="221" t="s">
        <v>1479</v>
      </c>
      <c r="C37" s="222">
        <v>1</v>
      </c>
      <c r="D37" s="223">
        <v>14</v>
      </c>
      <c r="E37" s="224">
        <v>65783</v>
      </c>
      <c r="F37" s="225">
        <v>20271822058</v>
      </c>
      <c r="G37" s="226" t="str">
        <f>IFERROR(IF('Oct-24'!$F37="","-",VLOOKUP('Oct-24'!$F37,Lista_CUIT!$A$1:$D$2241,2,0)),"CUIT NO CARGADO")</f>
        <v>CASSINI MARTIN</v>
      </c>
      <c r="H37" s="227">
        <v>7681.02</v>
      </c>
      <c r="I37" s="228">
        <f>IF('Oct-24'!$H37="","",'Oct-24'!$H37*0.21)</f>
        <v>1613.0142000000001</v>
      </c>
      <c r="J37" s="228"/>
      <c r="K37" s="228"/>
      <c r="L37" s="228"/>
      <c r="M37" s="228"/>
      <c r="N37" s="228"/>
      <c r="O37" s="228"/>
      <c r="P37" s="229">
        <f>SUM('Oct-24'!$H37:$O37)</f>
        <v>9294.0342000000001</v>
      </c>
      <c r="Q37" s="230" t="str">
        <f>IFERROR(IF('Oct-24'!$F37="","-",VLOOKUP('Oct-24'!$F37,Lista_CUIT!$A$1:$D$2241,3,0)),"CUIT NO CARGADO")</f>
        <v>Seg e Higiene</v>
      </c>
      <c r="R37" s="231">
        <f>IFERROR(IF('Oct-24'!$F37="","-",VLOOKUP('Oct-24'!$F37,Lista_CUIT!$A$1:$D$2241,4,0)),"CUIT NO CARGADO")</f>
        <v>0</v>
      </c>
    </row>
    <row r="38" spans="2:18" ht="14.4" x14ac:dyDescent="0.3">
      <c r="B38" s="221" t="s">
        <v>1479</v>
      </c>
      <c r="C38" s="222">
        <v>3</v>
      </c>
      <c r="D38" s="223">
        <v>10</v>
      </c>
      <c r="E38" s="224">
        <v>2576</v>
      </c>
      <c r="F38" s="225">
        <v>20357275882</v>
      </c>
      <c r="G38" s="226" t="str">
        <f>IFERROR(IF('Oct-24'!$F38="","-",VLOOKUP('Oct-24'!$F38,Lista_CUIT!$A$1:$D$2241,2,0)),"CUIT NO CARGADO")</f>
        <v>LAVADERO BLANCANIEVES</v>
      </c>
      <c r="H38" s="227">
        <v>-2447.9299999999998</v>
      </c>
      <c r="I38" s="228">
        <f>IF('Oct-24'!$H38="","",'Oct-24'!$H38*0.21)</f>
        <v>-514.06529999999998</v>
      </c>
      <c r="J38" s="228"/>
      <c r="K38" s="228"/>
      <c r="L38" s="228"/>
      <c r="M38" s="228"/>
      <c r="N38" s="228"/>
      <c r="O38" s="228"/>
      <c r="P38" s="229">
        <f>SUM('Oct-24'!$H38:$O38)</f>
        <v>-2961.9952999999996</v>
      </c>
      <c r="Q38" s="230" t="str">
        <f>IFERROR(IF('Oct-24'!$F38="","-",VLOOKUP('Oct-24'!$F38,Lista_CUIT!$A$1:$D$2241,3,0)),"CUIT NO CARGADO")</f>
        <v>Seg e Higiene</v>
      </c>
      <c r="R38" s="231">
        <f>IFERROR(IF('Oct-24'!$F38="","-",VLOOKUP('Oct-24'!$F38,Lista_CUIT!$A$1:$D$2241,4,0)),"CUIT NO CARGADO")</f>
        <v>0</v>
      </c>
    </row>
    <row r="39" spans="2:18" ht="14.4" x14ac:dyDescent="0.3">
      <c r="B39" s="221" t="s">
        <v>1480</v>
      </c>
      <c r="C39" s="222">
        <v>1</v>
      </c>
      <c r="D39" s="223">
        <v>8</v>
      </c>
      <c r="E39" s="224">
        <v>33255</v>
      </c>
      <c r="F39" s="225">
        <v>30709953482</v>
      </c>
      <c r="G39" s="226" t="str">
        <f>IFERROR(IF('Oct-24'!$F39="","-",VLOOKUP('Oct-24'!$F39,Lista_CUIT!$A$1:$D$2241,2,0)),"CUIT NO CARGADO")</f>
        <v>HONRE S.A</v>
      </c>
      <c r="H39" s="227">
        <v>7693.17</v>
      </c>
      <c r="I39" s="228">
        <f>IF('Oct-24'!$H39="","",'Oct-24'!$H39*0.21)</f>
        <v>1615.5656999999999</v>
      </c>
      <c r="J39" s="228"/>
      <c r="K39" s="228"/>
      <c r="L39" s="228"/>
      <c r="M39" s="228"/>
      <c r="N39" s="228"/>
      <c r="O39" s="228"/>
      <c r="P39" s="229">
        <f>SUM('Oct-24'!$H39:$O39)</f>
        <v>9308.7356999999993</v>
      </c>
      <c r="Q39" s="230" t="str">
        <f>IFERROR(IF('Oct-24'!$F39="","-",VLOOKUP('Oct-24'!$F39,Lista_CUIT!$A$1:$D$2241,3,0)),"CUIT NO CARGADO")</f>
        <v>GASTOS VARIOS</v>
      </c>
      <c r="R39" s="231">
        <f>IFERROR(IF('Oct-24'!$F39="","-",VLOOKUP('Oct-24'!$F39,Lista_CUIT!$A$1:$D$2241,4,0)),"CUIT NO CARGADO")</f>
        <v>0</v>
      </c>
    </row>
    <row r="40" spans="2:18" ht="15.75" customHeight="1" x14ac:dyDescent="0.3">
      <c r="B40" s="221" t="s">
        <v>1480</v>
      </c>
      <c r="C40" s="222">
        <v>1</v>
      </c>
      <c r="D40" s="223">
        <v>2041</v>
      </c>
      <c r="E40" s="224">
        <v>65627</v>
      </c>
      <c r="F40" s="225">
        <v>30516186670</v>
      </c>
      <c r="G40" s="226" t="str">
        <f>IFERROR(IF('Oct-24'!$F40="","-",VLOOKUP('Oct-24'!$F40,Lista_CUIT!$A$1:$D$2241,2,0)),"CUIT NO CARGADO")</f>
        <v>DEHEZA SAICF E I</v>
      </c>
      <c r="H40" s="227">
        <v>14655.73</v>
      </c>
      <c r="I40" s="228">
        <f>IF('Oct-24'!$H40="","",'Oct-24'!$H40*0.21)</f>
        <v>3077.7032999999997</v>
      </c>
      <c r="J40" s="228"/>
      <c r="K40" s="228"/>
      <c r="L40" s="228">
        <v>439.67</v>
      </c>
      <c r="M40" s="228"/>
      <c r="N40" s="228"/>
      <c r="O40" s="228">
        <v>1871.57</v>
      </c>
      <c r="P40" s="300">
        <f>SUM('Oct-24'!$H40:$O40)</f>
        <v>20044.673299999999</v>
      </c>
      <c r="Q40" s="230" t="str">
        <f>IFERROR(IF('Oct-24'!$F40="","-",VLOOKUP('Oct-24'!$F40,Lista_CUIT!$A$1:$D$2241,3,0)),"CUIT NO CARGADO")</f>
        <v>Mercaderia</v>
      </c>
      <c r="R40" s="231">
        <f>IFERROR(IF('Oct-24'!$F40="","-",VLOOKUP('Oct-24'!$F40,Lista_CUIT!$A$1:$D$2241,4,0)),"CUIT NO CARGADO")</f>
        <v>0</v>
      </c>
    </row>
    <row r="41" spans="2:18" ht="15.75" customHeight="1" x14ac:dyDescent="0.3">
      <c r="B41" s="221" t="s">
        <v>1480</v>
      </c>
      <c r="C41" s="222">
        <v>3</v>
      </c>
      <c r="D41" s="223">
        <v>8</v>
      </c>
      <c r="E41" s="224">
        <v>3609</v>
      </c>
      <c r="F41" s="225">
        <v>30709953482</v>
      </c>
      <c r="G41" s="226" t="str">
        <f>IFERROR(IF('Oct-24'!$F41="","-",VLOOKUP('Oct-24'!$F41,Lista_CUIT!$A$1:$D$2241,2,0)),"CUIT NO CARGADO")</f>
        <v>HONRE S.A</v>
      </c>
      <c r="H41" s="227">
        <v>-7693.17</v>
      </c>
      <c r="I41" s="228">
        <f>IF('Oct-24'!$H41="","",'Oct-24'!$H41*0.21)</f>
        <v>-1615.5656999999999</v>
      </c>
      <c r="J41" s="228"/>
      <c r="K41" s="228"/>
      <c r="L41" s="228"/>
      <c r="M41" s="228"/>
      <c r="N41" s="228"/>
      <c r="O41" s="228"/>
      <c r="P41" s="229">
        <f>SUM('Oct-24'!$H41:$O41)</f>
        <v>-9308.7356999999993</v>
      </c>
      <c r="Q41" s="230" t="str">
        <f>IFERROR(IF('Oct-24'!$F41="","-",VLOOKUP('Oct-24'!$F41,Lista_CUIT!$A$1:$D$2241,3,0)),"CUIT NO CARGADO")</f>
        <v>GASTOS VARIOS</v>
      </c>
      <c r="R41" s="231">
        <f>IFERROR(IF('Oct-24'!$F41="","-",VLOOKUP('Oct-24'!$F41,Lista_CUIT!$A$1:$D$2241,4,0)),"CUIT NO CARGADO")</f>
        <v>0</v>
      </c>
    </row>
    <row r="42" spans="2:18" ht="15.75" customHeight="1" x14ac:dyDescent="0.3">
      <c r="B42" s="221" t="s">
        <v>1481</v>
      </c>
      <c r="C42" s="222">
        <v>1</v>
      </c>
      <c r="D42" s="223">
        <v>2</v>
      </c>
      <c r="E42" s="224">
        <v>2291</v>
      </c>
      <c r="F42" s="225">
        <v>30717100308</v>
      </c>
      <c r="G42" s="226" t="str">
        <f>IFERROR(IF('Oct-24'!$F42="","-",VLOOKUP('Oct-24'!$F42,Lista_CUIT!$A$1:$D$2241,2,0)),"CUIT NO CARGADO")</f>
        <v>SIMILON S.A.</v>
      </c>
      <c r="H42" s="227">
        <v>20144.8</v>
      </c>
      <c r="I42" s="228"/>
      <c r="J42" s="228"/>
      <c r="K42" s="228">
        <f>Table_43[[#This Row],[NETO GRAVADO]]*0.105</f>
        <v>2115.2039999999997</v>
      </c>
      <c r="L42" s="228"/>
      <c r="M42" s="228"/>
      <c r="N42" s="228"/>
      <c r="O42" s="228"/>
      <c r="P42" s="300">
        <f>SUM('Oct-24'!$H42:$O42)</f>
        <v>22260.004000000001</v>
      </c>
      <c r="Q42" s="230" t="str">
        <f>IFERROR(IF('Oct-24'!$F42="","-",VLOOKUP('Oct-24'!$F42,Lista_CUIT!$A$1:$D$2241,3,0)),"CUIT NO CARGADO")</f>
        <v>Mantenimiento</v>
      </c>
      <c r="R42" s="231">
        <f>IFERROR(IF('Oct-24'!$F42="","-",VLOOKUP('Oct-24'!$F42,Lista_CUIT!$A$1:$D$2241,4,0)),"CUIT NO CARGADO")</f>
        <v>0</v>
      </c>
    </row>
    <row r="43" spans="2:18" ht="15.75" customHeight="1" x14ac:dyDescent="0.3">
      <c r="B43" s="221" t="s">
        <v>1481</v>
      </c>
      <c r="C43" s="222">
        <v>1</v>
      </c>
      <c r="D43" s="223">
        <v>106</v>
      </c>
      <c r="E43" s="224">
        <v>782184</v>
      </c>
      <c r="F43" s="225">
        <v>30594494187</v>
      </c>
      <c r="G43" s="226" t="str">
        <f>IFERROR(IF('Oct-24'!$F43="","-",VLOOKUP('Oct-24'!$F43,Lista_CUIT!$A$1:$D$2241,2,0)),"CUIT NO CARGADO")</f>
        <v>FEDERAL EXPRESS CORPORATION</v>
      </c>
      <c r="H43" s="227">
        <v>84378</v>
      </c>
      <c r="I43" s="228">
        <f>IF('Oct-24'!$H43="","",'Oct-24'!$H43*0.21)</f>
        <v>17719.38</v>
      </c>
      <c r="J43" s="228"/>
      <c r="K43" s="228"/>
      <c r="L43" s="228"/>
      <c r="M43" s="228"/>
      <c r="N43" s="228"/>
      <c r="O43" s="228">
        <v>432165.97</v>
      </c>
      <c r="P43" s="300">
        <f>SUM('Oct-24'!$H43:$O43)</f>
        <v>534263.35</v>
      </c>
      <c r="Q43" s="230" t="str">
        <f>IFERROR(IF('Oct-24'!$F43="","-",VLOOKUP('Oct-24'!$F43,Lista_CUIT!$A$1:$D$2241,3,0)),"CUIT NO CARGADO")</f>
        <v>Gastos Importacion</v>
      </c>
      <c r="R43" s="231">
        <f>IFERROR(IF('Oct-24'!$F43="","-",VLOOKUP('Oct-24'!$F43,Lista_CUIT!$A$1:$D$2241,4,0)),"CUIT NO CARGADO")</f>
        <v>0</v>
      </c>
    </row>
    <row r="44" spans="2:18" ht="15.75" customHeight="1" x14ac:dyDescent="0.3">
      <c r="B44" s="221" t="s">
        <v>1482</v>
      </c>
      <c r="C44" s="222">
        <v>1</v>
      </c>
      <c r="D44" s="223">
        <v>2078</v>
      </c>
      <c r="E44" s="224">
        <v>74669</v>
      </c>
      <c r="F44" s="225">
        <v>30548083156</v>
      </c>
      <c r="G44" s="226" t="str">
        <f>IFERROR(IF('Oct-24'!$F44="","-",VLOOKUP('Oct-24'!$F44,Lista_CUIT!$A$1:$D$2241,2,0)),"CUIT NO CARGADO")</f>
        <v>COTO CICSA</v>
      </c>
      <c r="H44" s="227">
        <v>53917.05</v>
      </c>
      <c r="I44" s="228">
        <f>38626.69*0.21</f>
        <v>8111.6049000000003</v>
      </c>
      <c r="J44" s="228"/>
      <c r="K44" s="228">
        <f>15290.36*0.105</f>
        <v>1605.4878000000001</v>
      </c>
      <c r="L44" s="228"/>
      <c r="M44" s="228"/>
      <c r="N44" s="228"/>
      <c r="O44" s="228">
        <v>1388.16</v>
      </c>
      <c r="P44" s="300">
        <f>SUM('Oct-24'!$H44:$O44)</f>
        <v>65022.302700000007</v>
      </c>
      <c r="Q44" s="230" t="str">
        <f>IFERROR(IF('Oct-24'!$F44="","-",VLOOKUP('Oct-24'!$F44,Lista_CUIT!$A$1:$D$2241,3,0)),"CUIT NO CARGADO")</f>
        <v>Gastos Varios</v>
      </c>
      <c r="R44" s="231">
        <f>IFERROR(IF('Oct-24'!$F44="","-",VLOOKUP('Oct-24'!$F44,Lista_CUIT!$A$1:$D$2241,4,0)),"CUIT NO CARGADO")</f>
        <v>0</v>
      </c>
    </row>
    <row r="45" spans="2:18" ht="15.75" customHeight="1" x14ac:dyDescent="0.3">
      <c r="B45" s="221" t="s">
        <v>1482</v>
      </c>
      <c r="C45" s="222">
        <v>1</v>
      </c>
      <c r="D45" s="223">
        <v>6</v>
      </c>
      <c r="E45" s="224">
        <v>39558</v>
      </c>
      <c r="F45" s="225">
        <v>30710492626</v>
      </c>
      <c r="G45" s="226" t="str">
        <f>IFERROR(IF('Oct-24'!$F45="","-",VLOOKUP('Oct-24'!$F45,Lista_CUIT!$A$1:$D$2241,2,0)),"CUIT NO CARGADO")</f>
        <v>ELECTRO SERVICE M&amp;E SRL.</v>
      </c>
      <c r="H45" s="227">
        <v>19092.55</v>
      </c>
      <c r="I45" s="228">
        <f>IF('Oct-24'!$H45="","",'Oct-24'!$H45*0.21)</f>
        <v>4009.4354999999996</v>
      </c>
      <c r="J45" s="228"/>
      <c r="K45" s="228"/>
      <c r="L45" s="228"/>
      <c r="M45" s="228"/>
      <c r="N45" s="228"/>
      <c r="O45" s="228"/>
      <c r="P45" s="229">
        <f>SUM('Oct-24'!$H45:$O45)</f>
        <v>23101.985499999999</v>
      </c>
      <c r="Q45" s="230" t="str">
        <f>IFERROR(IF('Oct-24'!$F45="","-",VLOOKUP('Oct-24'!$F45,Lista_CUIT!$A$1:$D$2241,3,0)),"CUIT NO CARGADO")</f>
        <v>Mantenimiento</v>
      </c>
      <c r="R45" s="231">
        <f>IFERROR(IF('Oct-24'!$F45="","-",VLOOKUP('Oct-24'!$F45,Lista_CUIT!$A$1:$D$2241,4,0)),"CUIT NO CARGADO")</f>
        <v>0</v>
      </c>
    </row>
    <row r="46" spans="2:18" ht="15.75" customHeight="1" x14ac:dyDescent="0.3">
      <c r="B46" s="221" t="s">
        <v>1482</v>
      </c>
      <c r="C46" s="222">
        <v>3</v>
      </c>
      <c r="D46" s="223">
        <v>106</v>
      </c>
      <c r="E46" s="224">
        <v>35606</v>
      </c>
      <c r="F46" s="225">
        <v>30594494187</v>
      </c>
      <c r="G46" s="226" t="str">
        <f>IFERROR(IF('Oct-24'!$F46="","-",VLOOKUP('Oct-24'!$F46,Lista_CUIT!$A$1:$D$2241,2,0)),"CUIT NO CARGADO")</f>
        <v>FEDERAL EXPRESS CORPORATION</v>
      </c>
      <c r="H46" s="227">
        <v>0</v>
      </c>
      <c r="I46" s="228">
        <f>IF('Oct-24'!$H46="","",'Oct-24'!$H46*0.21)</f>
        <v>0</v>
      </c>
      <c r="J46" s="228"/>
      <c r="K46" s="228"/>
      <c r="L46" s="228"/>
      <c r="M46" s="228"/>
      <c r="N46" s="228"/>
      <c r="O46" s="228">
        <v>-444890.5</v>
      </c>
      <c r="P46" s="300">
        <f>SUM('Oct-24'!$H46:$O46)</f>
        <v>-444890.5</v>
      </c>
      <c r="Q46" s="230" t="str">
        <f>IFERROR(IF('Oct-24'!$F46="","-",VLOOKUP('Oct-24'!$F46,Lista_CUIT!$A$1:$D$2241,3,0)),"CUIT NO CARGADO")</f>
        <v>Gastos Importacion</v>
      </c>
      <c r="R46" s="231">
        <f>IFERROR(IF('Oct-24'!$F46="","-",VLOOKUP('Oct-24'!$F46,Lista_CUIT!$A$1:$D$2241,4,0)),"CUIT NO CARGADO")</f>
        <v>0</v>
      </c>
    </row>
    <row r="47" spans="2:18" ht="15.75" customHeight="1" x14ac:dyDescent="0.3">
      <c r="B47" s="221" t="s">
        <v>1483</v>
      </c>
      <c r="C47" s="222">
        <v>1</v>
      </c>
      <c r="D47" s="223">
        <v>10</v>
      </c>
      <c r="E47" s="224">
        <v>170</v>
      </c>
      <c r="F47" s="225">
        <v>30711125139</v>
      </c>
      <c r="G47" s="226" t="str">
        <f>IFERROR(IF('Oct-24'!$F47="","-",VLOOKUP('Oct-24'!$F47,Lista_CUIT!$A$1:$D$2241,2,0)),"CUIT NO CARGADO")</f>
        <v>BURGER GROUP S.R.L</v>
      </c>
      <c r="H47" s="227">
        <v>37818.18</v>
      </c>
      <c r="I47" s="228">
        <f>IF('Oct-24'!$H47="","",'Oct-24'!$H47*0.21)</f>
        <v>7941.8177999999998</v>
      </c>
      <c r="J47" s="228"/>
      <c r="K47" s="228"/>
      <c r="L47" s="228"/>
      <c r="M47" s="228"/>
      <c r="N47" s="228"/>
      <c r="O47" s="228"/>
      <c r="P47" s="229">
        <f>SUM('Oct-24'!$H47:$O47)</f>
        <v>45759.997799999997</v>
      </c>
      <c r="Q47" s="230" t="str">
        <f>IFERROR(IF('Oct-24'!$F47="","-",VLOOKUP('Oct-24'!$F47,Lista_CUIT!$A$1:$D$2241,3,0)),"CUIT NO CARGADO")</f>
        <v>Materiales Electricos</v>
      </c>
      <c r="R47" s="231">
        <f>IFERROR(IF('Oct-24'!$F47="","-",VLOOKUP('Oct-24'!$F47,Lista_CUIT!$A$1:$D$2241,4,0)),"CUIT NO CARGADO")</f>
        <v>0</v>
      </c>
    </row>
    <row r="48" spans="2:18" ht="15.75" customHeight="1" x14ac:dyDescent="0.3">
      <c r="B48" s="221" t="s">
        <v>1484</v>
      </c>
      <c r="C48" s="222">
        <v>1</v>
      </c>
      <c r="D48" s="223">
        <v>106</v>
      </c>
      <c r="E48" s="224">
        <v>783532</v>
      </c>
      <c r="F48" s="225">
        <v>30594494187</v>
      </c>
      <c r="G48" s="226" t="str">
        <f>IFERROR(IF('Oct-24'!$F48="","-",VLOOKUP('Oct-24'!$F48,Lista_CUIT!$A$1:$D$2241,2,0)),"CUIT NO CARGADO")</f>
        <v>FEDERAL EXPRESS CORPORATION</v>
      </c>
      <c r="H48" s="227">
        <v>0</v>
      </c>
      <c r="I48" s="228">
        <f>IF('Oct-24'!$H48="","",'Oct-24'!$H48*0.21)</f>
        <v>0</v>
      </c>
      <c r="J48" s="228"/>
      <c r="K48" s="228"/>
      <c r="L48" s="228"/>
      <c r="M48" s="228"/>
      <c r="N48" s="228"/>
      <c r="O48" s="228">
        <v>960172.07</v>
      </c>
      <c r="P48" s="300">
        <f>SUM('Oct-24'!$H48:$O48)</f>
        <v>960172.07</v>
      </c>
      <c r="Q48" s="230" t="str">
        <f>IFERROR(IF('Oct-24'!$F48="","-",VLOOKUP('Oct-24'!$F48,Lista_CUIT!$A$1:$D$2241,3,0)),"CUIT NO CARGADO")</f>
        <v>Gastos Importacion</v>
      </c>
      <c r="R48" s="231">
        <f>IFERROR(IF('Oct-24'!$F48="","-",VLOOKUP('Oct-24'!$F48,Lista_CUIT!$A$1:$D$2241,4,0)),"CUIT NO CARGADO")</f>
        <v>0</v>
      </c>
    </row>
    <row r="49" spans="1:24" ht="15.75" customHeight="1" x14ac:dyDescent="0.3">
      <c r="B49" s="221" t="s">
        <v>1484</v>
      </c>
      <c r="C49" s="222">
        <v>1</v>
      </c>
      <c r="D49" s="223">
        <v>700</v>
      </c>
      <c r="E49" s="224">
        <v>719166</v>
      </c>
      <c r="F49" s="225">
        <v>30580111315</v>
      </c>
      <c r="G49" s="226" t="str">
        <f>IFERROR(IF('Oct-24'!$F49="","-",VLOOKUP('Oct-24'!$F49,Lista_CUIT!$A$1:$D$2241,2,0)),"CUIT NO CARGADO")</f>
        <v>DHL EXPRESS (ARGENTINA) S.A.</v>
      </c>
      <c r="H49" s="227">
        <v>15112.5</v>
      </c>
      <c r="I49" s="228">
        <f>IF('Oct-24'!$H49="","",'Oct-24'!$H49*0.21)</f>
        <v>3173.625</v>
      </c>
      <c r="J49" s="228"/>
      <c r="K49" s="228"/>
      <c r="L49" s="228"/>
      <c r="M49" s="228"/>
      <c r="N49" s="228"/>
      <c r="O49" s="228">
        <f>698.42*1007.5</f>
        <v>703658.14999999991</v>
      </c>
      <c r="P49" s="300">
        <f>SUM('Oct-24'!$H49:$O49)</f>
        <v>721944.27499999991</v>
      </c>
      <c r="Q49" s="230" t="str">
        <f>IFERROR(IF('Oct-24'!$F49="","-",VLOOKUP('Oct-24'!$F49,Lista_CUIT!$A$1:$D$2241,3,0)),"CUIT NO CARGADO")</f>
        <v>Gastos Importacion</v>
      </c>
      <c r="R49" s="231">
        <f>IFERROR(IF('Oct-24'!$F49="","-",VLOOKUP('Oct-24'!$F49,Lista_CUIT!$A$1:$D$2241,4,0)),"CUIT NO CARGADO")</f>
        <v>0</v>
      </c>
    </row>
    <row r="50" spans="1:24" ht="15.75" customHeight="1" x14ac:dyDescent="0.3">
      <c r="B50" s="221" t="s">
        <v>1484</v>
      </c>
      <c r="C50" s="222">
        <v>1</v>
      </c>
      <c r="D50" s="223">
        <v>7</v>
      </c>
      <c r="E50" s="224">
        <v>17630</v>
      </c>
      <c r="F50" s="225">
        <v>30604413482</v>
      </c>
      <c r="G50" s="226" t="str">
        <f>IFERROR(IF('Oct-24'!$F50="","-",VLOOKUP('Oct-24'!$F50,Lista_CUIT!$A$1:$D$2241,2,0)),"CUIT NO CARGADO")</f>
        <v>BULONERA VIETRI SOCIEDAD DE RESPONSABILIDAD LIMITADA</v>
      </c>
      <c r="H50" s="227">
        <v>32200</v>
      </c>
      <c r="I50" s="228">
        <f>IF('Oct-24'!$H50="","",'Oct-24'!$H50*0.21)</f>
        <v>6762</v>
      </c>
      <c r="J50" s="228"/>
      <c r="K50" s="228"/>
      <c r="L50" s="228"/>
      <c r="M50" s="228"/>
      <c r="N50" s="228"/>
      <c r="O50" s="228"/>
      <c r="P50" s="229">
        <f>SUM('Oct-24'!$H50:$O50)</f>
        <v>38962</v>
      </c>
      <c r="Q50" s="230" t="str">
        <f>IFERROR(IF('Oct-24'!$F50="","-",VLOOKUP('Oct-24'!$F50,Lista_CUIT!$A$1:$D$2241,3,0)),"CUIT NO CARGADO")</f>
        <v>INSUMO</v>
      </c>
      <c r="R50" s="231">
        <f>IFERROR(IF('Oct-24'!$F50="","-",VLOOKUP('Oct-24'!$F50,Lista_CUIT!$A$1:$D$2241,4,0)),"CUIT NO CARGADO")</f>
        <v>0</v>
      </c>
    </row>
    <row r="51" spans="1:24" ht="15.75" customHeight="1" x14ac:dyDescent="0.3">
      <c r="B51" s="221" t="s">
        <v>1485</v>
      </c>
      <c r="C51" s="222">
        <v>1</v>
      </c>
      <c r="D51" s="223">
        <v>50</v>
      </c>
      <c r="E51" s="224">
        <v>406716</v>
      </c>
      <c r="F51" s="225">
        <v>30610333822</v>
      </c>
      <c r="G51" s="226" t="str">
        <f>IFERROR(IF('Oct-24'!$F51="","-",VLOOKUP('Oct-24'!$F51,Lista_CUIT!$A$1:$D$2241,2,0)),"CUIT NO CARGADO")</f>
        <v>MASIVOS S A</v>
      </c>
      <c r="H51" s="227">
        <v>4295.87</v>
      </c>
      <c r="I51" s="228">
        <f>IF('Oct-24'!$H51="","",'Oct-24'!$H51*0.21)</f>
        <v>902.1327</v>
      </c>
      <c r="J51" s="228"/>
      <c r="K51" s="228"/>
      <c r="L51" s="228"/>
      <c r="M51" s="228"/>
      <c r="N51" s="228"/>
      <c r="O51" s="228"/>
      <c r="P51" s="229">
        <f>SUM('Oct-24'!$H51:$O51)</f>
        <v>5198.0027</v>
      </c>
      <c r="Q51" s="230" t="str">
        <f>IFERROR(IF('Oct-24'!$F51="","-",VLOOKUP('Oct-24'!$F51,Lista_CUIT!$A$1:$D$2241,3,0)),"CUIT NO CARGADO")</f>
        <v>GASTOS VARIOS</v>
      </c>
      <c r="R51" s="231">
        <f>IFERROR(IF('Oct-24'!$F51="","-",VLOOKUP('Oct-24'!$F51,Lista_CUIT!$A$1:$D$2241,4,0)),"CUIT NO CARGADO")</f>
        <v>0</v>
      </c>
    </row>
    <row r="52" spans="1:24" ht="15.75" customHeight="1" x14ac:dyDescent="0.3">
      <c r="B52" s="221" t="s">
        <v>1485</v>
      </c>
      <c r="C52" s="222">
        <v>1</v>
      </c>
      <c r="D52" s="223">
        <v>50</v>
      </c>
      <c r="E52" s="224">
        <v>406786</v>
      </c>
      <c r="F52" s="225">
        <v>30610333822</v>
      </c>
      <c r="G52" s="226" t="str">
        <f>IFERROR(IF('Oct-24'!$F52="","-",VLOOKUP('Oct-24'!$F52,Lista_CUIT!$A$1:$D$2241,2,0)),"CUIT NO CARGADO")</f>
        <v>MASIVOS S A</v>
      </c>
      <c r="H52" s="227">
        <v>4295.87</v>
      </c>
      <c r="I52" s="228">
        <f>IF('Oct-24'!$H52="","",'Oct-24'!$H52*0.21)</f>
        <v>902.1327</v>
      </c>
      <c r="J52" s="228"/>
      <c r="K52" s="228"/>
      <c r="L52" s="228"/>
      <c r="M52" s="228"/>
      <c r="N52" s="228"/>
      <c r="O52" s="228"/>
      <c r="P52" s="229">
        <f>SUM('Oct-24'!$H52:$O52)</f>
        <v>5198.0027</v>
      </c>
      <c r="Q52" s="230" t="str">
        <f>IFERROR(IF('Oct-24'!$F52="","-",VLOOKUP('Oct-24'!$F52,Lista_CUIT!$A$1:$D$2241,3,0)),"CUIT NO CARGADO")</f>
        <v>GASTOS VARIOS</v>
      </c>
      <c r="R52" s="231">
        <f>IFERROR(IF('Oct-24'!$F52="","-",VLOOKUP('Oct-24'!$F52,Lista_CUIT!$A$1:$D$2241,4,0)),"CUIT NO CARGADO")</f>
        <v>0</v>
      </c>
    </row>
    <row r="53" spans="1:24" ht="15.75" customHeight="1" x14ac:dyDescent="0.3">
      <c r="B53" s="221" t="s">
        <v>1486</v>
      </c>
      <c r="C53" s="222">
        <v>1</v>
      </c>
      <c r="D53" s="223">
        <v>1</v>
      </c>
      <c r="E53" s="224">
        <v>890</v>
      </c>
      <c r="F53" s="225">
        <v>30718293436</v>
      </c>
      <c r="G53" s="226" t="str">
        <f>IFERROR(IF('Oct-24'!$F53="","-",VLOOKUP('Oct-24'!$F53,Lista_CUIT!$A$1:$D$2241,2,0)),"CUIT NO CARGADO")</f>
        <v>PHANTOM S. A. S.</v>
      </c>
      <c r="H53" s="227">
        <v>2611.5700000000002</v>
      </c>
      <c r="I53" s="228">
        <f>IF('Oct-24'!$H53="","",'Oct-24'!$H53*0.21)</f>
        <v>548.42970000000003</v>
      </c>
      <c r="J53" s="228"/>
      <c r="K53" s="228"/>
      <c r="L53" s="228"/>
      <c r="M53" s="228"/>
      <c r="N53" s="228"/>
      <c r="O53" s="228"/>
      <c r="P53" s="229">
        <f>SUM('Oct-24'!$H53:$O53)</f>
        <v>3159.9997000000003</v>
      </c>
      <c r="Q53" s="230" t="str">
        <f>IFERROR(IF('Oct-24'!$F53="","-",VLOOKUP('Oct-24'!$F53,Lista_CUIT!$A$1:$D$2241,3,0)),"CUIT NO CARGADO")</f>
        <v>mant vehiculos</v>
      </c>
      <c r="R53" s="231">
        <f>IFERROR(IF('Oct-24'!$F53="","-",VLOOKUP('Oct-24'!$F53,Lista_CUIT!$A$1:$D$2241,4,0)),"CUIT NO CARGADO")</f>
        <v>0</v>
      </c>
    </row>
    <row r="54" spans="1:24" ht="15.75" customHeight="1" x14ac:dyDescent="0.3">
      <c r="B54" s="221" t="s">
        <v>1486</v>
      </c>
      <c r="C54" s="222">
        <v>1</v>
      </c>
      <c r="D54" s="223">
        <v>8</v>
      </c>
      <c r="E54" s="224">
        <v>5083</v>
      </c>
      <c r="F54" s="225">
        <v>30715197509</v>
      </c>
      <c r="G54" s="226" t="str">
        <f>IFERROR(IF('Oct-24'!$F54="","-",VLOOKUP('Oct-24'!$F54,Lista_CUIT!$A$1:$D$2241,2,0)),"CUIT NO CARGADO")</f>
        <v>DISTRIBUIDORA MULTIMARCA S.A.</v>
      </c>
      <c r="H54" s="227">
        <v>7685.95</v>
      </c>
      <c r="I54" s="228">
        <f>IF('Oct-24'!$H54="","",'Oct-24'!$H54*0.21)</f>
        <v>1614.0494999999999</v>
      </c>
      <c r="J54" s="228"/>
      <c r="K54" s="228"/>
      <c r="L54" s="228"/>
      <c r="M54" s="228"/>
      <c r="N54" s="228"/>
      <c r="O54" s="228"/>
      <c r="P54" s="229">
        <f>SUM('Oct-24'!$H54:$O54)</f>
        <v>9299.9994999999999</v>
      </c>
      <c r="Q54" s="230" t="str">
        <f>IFERROR(IF('Oct-24'!$F54="","-",VLOOKUP('Oct-24'!$F54,Lista_CUIT!$A$1:$D$2241,3,0)),"CUIT NO CARGADO")</f>
        <v>mant vehiculos</v>
      </c>
      <c r="R54" s="231">
        <f>IFERROR(IF('Oct-24'!$F54="","-",VLOOKUP('Oct-24'!$F54,Lista_CUIT!$A$1:$D$2241,4,0)),"CUIT NO CARGADO")</f>
        <v>0</v>
      </c>
    </row>
    <row r="55" spans="1:24" ht="15.75" customHeight="1" x14ac:dyDescent="0.3">
      <c r="B55" s="221" t="s">
        <v>1486</v>
      </c>
      <c r="C55" s="222">
        <v>1</v>
      </c>
      <c r="D55" s="223">
        <v>7</v>
      </c>
      <c r="E55" s="224">
        <v>3102</v>
      </c>
      <c r="F55" s="225">
        <v>30717740439</v>
      </c>
      <c r="G55" s="226" t="str">
        <f>IFERROR(IF('Oct-24'!$F55="","-",VLOOKUP('Oct-24'!$F55,Lista_CUIT!$A$1:$D$2241,2,0)),"CUIT NO CARGADO")</f>
        <v>BALANCINES S.R.L.</v>
      </c>
      <c r="H55" s="227">
        <v>12607.87</v>
      </c>
      <c r="I55" s="228">
        <f>IF('Oct-24'!$H55="","",'Oct-24'!$H55*0.21)</f>
        <v>2647.6527000000001</v>
      </c>
      <c r="J55" s="228"/>
      <c r="K55" s="228"/>
      <c r="L55" s="228"/>
      <c r="M55" s="228"/>
      <c r="N55" s="228"/>
      <c r="O55" s="228"/>
      <c r="P55" s="229">
        <f>SUM('Oct-24'!$H55:$O55)</f>
        <v>15255.522700000001</v>
      </c>
      <c r="Q55" s="230" t="str">
        <f>IFERROR(IF('Oct-24'!$F55="","-",VLOOKUP('Oct-24'!$F55,Lista_CUIT!$A$1:$D$2241,3,0)),"CUIT NO CARGADO")</f>
        <v>FLETE-LOGISTICA</v>
      </c>
      <c r="R55" s="231">
        <f>IFERROR(IF('Oct-24'!$F55="","-",VLOOKUP('Oct-24'!$F55,Lista_CUIT!$A$1:$D$2241,4,0)),"CUIT NO CARGADO")</f>
        <v>0</v>
      </c>
    </row>
    <row r="56" spans="1:24" ht="15.75" customHeight="1" x14ac:dyDescent="0.3">
      <c r="B56" s="221" t="s">
        <v>1486</v>
      </c>
      <c r="C56" s="222">
        <v>1</v>
      </c>
      <c r="D56" s="223">
        <v>3</v>
      </c>
      <c r="E56" s="224">
        <v>7495</v>
      </c>
      <c r="F56" s="225">
        <v>30710567642</v>
      </c>
      <c r="G56" s="226" t="str">
        <f>IFERROR(IF('Oct-24'!$F56="","-",VLOOKUP('Oct-24'!$F56,Lista_CUIT!$A$1:$D$2241,2,0)),"CUIT NO CARGADO")</f>
        <v>DISTRIBUIDORA ALCAR S.R.L.</v>
      </c>
      <c r="H56" s="227">
        <v>15397.83</v>
      </c>
      <c r="I56" s="228">
        <f>IF('Oct-24'!$H56="","",'Oct-24'!$H56*0.21)</f>
        <v>3233.5443</v>
      </c>
      <c r="J56" s="228"/>
      <c r="K56" s="228"/>
      <c r="L56" s="228"/>
      <c r="M56" s="228"/>
      <c r="N56" s="228"/>
      <c r="O56" s="228"/>
      <c r="P56" s="229">
        <f>SUM('Oct-24'!$H56:$O56)</f>
        <v>18631.374299999999</v>
      </c>
      <c r="Q56" s="230" t="str">
        <f>IFERROR(IF('Oct-24'!$F56="","-",VLOOKUP('Oct-24'!$F56,Lista_CUIT!$A$1:$D$2241,3,0)),"CUIT NO CARGADO")</f>
        <v>GASTOS VARIOS</v>
      </c>
      <c r="R56" s="231">
        <f>IFERROR(IF('Oct-24'!$F56="","-",VLOOKUP('Oct-24'!$F56,Lista_CUIT!$A$1:$D$2241,4,0)),"CUIT NO CARGADO")</f>
        <v>0</v>
      </c>
    </row>
    <row r="57" spans="1:24" ht="15.75" customHeight="1" x14ac:dyDescent="0.3">
      <c r="B57" s="221" t="s">
        <v>1486</v>
      </c>
      <c r="C57" s="222">
        <v>3</v>
      </c>
      <c r="D57" s="223">
        <v>106</v>
      </c>
      <c r="E57" s="224">
        <v>35728</v>
      </c>
      <c r="F57" s="225">
        <v>30594494187</v>
      </c>
      <c r="G57" s="226" t="str">
        <f>IFERROR(IF('Oct-24'!$F57="","-",VLOOKUP('Oct-24'!$F57,Lista_CUIT!$A$1:$D$2241,2,0)),"CUIT NO CARGADO")</f>
        <v>FEDERAL EXPRESS CORPORATION</v>
      </c>
      <c r="H57" s="227">
        <v>0</v>
      </c>
      <c r="I57" s="228">
        <f>IF('Oct-24'!$H57="","",'Oct-24'!$H57*0.21)</f>
        <v>0</v>
      </c>
      <c r="J57" s="228"/>
      <c r="K57" s="228"/>
      <c r="L57" s="228"/>
      <c r="M57" s="228"/>
      <c r="N57" s="228"/>
      <c r="O57" s="228">
        <v>-15540</v>
      </c>
      <c r="P57" s="300">
        <f>SUM('Oct-24'!$H57:$O57)</f>
        <v>-15540</v>
      </c>
      <c r="Q57" s="230" t="str">
        <f>IFERROR(IF('Oct-24'!$F57="","-",VLOOKUP('Oct-24'!$F57,Lista_CUIT!$A$1:$D$2241,3,0)),"CUIT NO CARGADO")</f>
        <v>Gastos Importacion</v>
      </c>
      <c r="R57" s="231">
        <f>IFERROR(IF('Oct-24'!$F57="","-",VLOOKUP('Oct-24'!$F57,Lista_CUIT!$A$1:$D$2241,4,0)),"CUIT NO CARGADO")</f>
        <v>0</v>
      </c>
    </row>
    <row r="58" spans="1:24" ht="15.75" customHeight="1" x14ac:dyDescent="0.3">
      <c r="B58" s="221" t="s">
        <v>1487</v>
      </c>
      <c r="C58" s="222">
        <v>1</v>
      </c>
      <c r="D58" s="223">
        <v>5</v>
      </c>
      <c r="E58" s="224">
        <v>8453</v>
      </c>
      <c r="F58" s="225">
        <v>27270570564</v>
      </c>
      <c r="G58" s="226" t="str">
        <f>IFERROR(IF('Oct-24'!$F58="","-",VLOOKUP('Oct-24'!$F58,Lista_CUIT!$A$1:$D$2241,2,0)),"CUIT NO CARGADO")</f>
        <v>TAICHURE LAILA YAMILA</v>
      </c>
      <c r="H58" s="227">
        <v>27467.86</v>
      </c>
      <c r="I58" s="228">
        <f>IF('Oct-24'!$H58="","",'Oct-24'!$H58*0.21)</f>
        <v>5768.2506000000003</v>
      </c>
      <c r="J58" s="228"/>
      <c r="K58" s="228"/>
      <c r="L58" s="228"/>
      <c r="M58" s="228"/>
      <c r="N58" s="228"/>
      <c r="O58" s="228"/>
      <c r="P58" s="229">
        <f>SUM('Oct-24'!$H58:$O58)</f>
        <v>33236.1106</v>
      </c>
      <c r="Q58" s="230" t="str">
        <f>IFERROR(IF('Oct-24'!$F58="","-",VLOOKUP('Oct-24'!$F58,Lista_CUIT!$A$1:$D$2241,3,0)),"CUIT NO CARGADO")</f>
        <v>GASTOS VARIOS</v>
      </c>
      <c r="R58" s="231">
        <f>IFERROR(IF('Oct-24'!$F58="","-",VLOOKUP('Oct-24'!$F58,Lista_CUIT!$A$1:$D$2241,4,0)),"CUIT NO CARGADO")</f>
        <v>0</v>
      </c>
    </row>
    <row r="59" spans="1:24" ht="15.75" customHeight="1" x14ac:dyDescent="0.3">
      <c r="B59" s="221" t="s">
        <v>1487</v>
      </c>
      <c r="C59" s="222">
        <v>1</v>
      </c>
      <c r="D59" s="223">
        <v>9</v>
      </c>
      <c r="E59" s="224">
        <v>10966</v>
      </c>
      <c r="F59" s="225">
        <v>30709872911</v>
      </c>
      <c r="G59" s="226" t="str">
        <f>IFERROR(IF('Oct-24'!$F59="","-",VLOOKUP('Oct-24'!$F59,Lista_CUIT!$A$1:$D$2241,2,0)),"CUIT NO CARGADO")</f>
        <v>GRUPOBELL S.R.L.</v>
      </c>
      <c r="H59" s="227">
        <v>40900.83</v>
      </c>
      <c r="I59" s="228">
        <f>IF('Oct-24'!$H59="","",'Oct-24'!$H59*0.21)</f>
        <v>8589.1743000000006</v>
      </c>
      <c r="J59" s="228"/>
      <c r="K59" s="228"/>
      <c r="L59" s="228"/>
      <c r="M59" s="228"/>
      <c r="N59" s="228"/>
      <c r="O59" s="228"/>
      <c r="P59" s="229">
        <f>SUM('Oct-24'!$H59:$O59)</f>
        <v>49490.004300000001</v>
      </c>
      <c r="Q59" s="230" t="str">
        <f>IFERROR(IF('Oct-24'!$F59="","-",VLOOKUP('Oct-24'!$F59,Lista_CUIT!$A$1:$D$2241,3,0)),"CUIT NO CARGADO")</f>
        <v>Gastos Oficina</v>
      </c>
      <c r="R59" s="231">
        <f>IFERROR(IF('Oct-24'!$F59="","-",VLOOKUP('Oct-24'!$F59,Lista_CUIT!$A$1:$D$2241,4,0)),"CUIT NO CARGADO")</f>
        <v>0</v>
      </c>
    </row>
    <row r="60" spans="1:24" ht="15.75" customHeight="1" x14ac:dyDescent="0.3">
      <c r="B60" s="221"/>
      <c r="C60" s="222"/>
      <c r="D60" s="223"/>
      <c r="E60" s="224"/>
      <c r="F60" s="225"/>
      <c r="G60" s="226"/>
      <c r="H60" s="227"/>
      <c r="I60" s="228"/>
      <c r="J60" s="228"/>
      <c r="K60" s="228"/>
      <c r="L60" s="228"/>
      <c r="M60" s="228"/>
      <c r="N60" s="228"/>
      <c r="O60" s="228"/>
      <c r="P60" s="229"/>
      <c r="Q60" s="230"/>
      <c r="R60" s="231"/>
    </row>
    <row r="61" spans="1:24" ht="15.75" customHeight="1" x14ac:dyDescent="0.3">
      <c r="B61" s="221"/>
      <c r="C61" s="222"/>
      <c r="D61" s="223"/>
      <c r="E61" s="224"/>
      <c r="F61" s="225"/>
      <c r="G61" s="226"/>
      <c r="H61" s="227"/>
      <c r="I61" s="228"/>
      <c r="J61" s="228"/>
      <c r="K61" s="228"/>
      <c r="L61" s="228"/>
      <c r="M61" s="228"/>
      <c r="N61" s="228"/>
      <c r="O61" s="228"/>
      <c r="P61" s="229"/>
      <c r="Q61" s="230"/>
      <c r="R61" s="231"/>
    </row>
    <row r="62" spans="1:24" ht="15.75" customHeight="1" x14ac:dyDescent="0.3">
      <c r="A62" s="43"/>
      <c r="B62" s="221"/>
      <c r="C62" s="222"/>
      <c r="D62" s="223"/>
      <c r="E62" s="224"/>
      <c r="F62" s="225"/>
      <c r="G62" s="226" t="str">
        <f>IFERROR(IF('Oct-24'!$F62="","-",VLOOKUP('Oct-24'!$F62,Lista_CUIT!$A$1:$D$2241,2,0)),"CUIT NO CARGADO")</f>
        <v>-</v>
      </c>
      <c r="H62" s="227"/>
      <c r="I62" s="228" t="str">
        <f>IF('Oct-24'!$H62="","",'Oct-24'!$H62*0.21)</f>
        <v/>
      </c>
      <c r="J62" s="228"/>
      <c r="K62" s="228"/>
      <c r="L62" s="228"/>
      <c r="M62" s="228"/>
      <c r="N62" s="228"/>
      <c r="O62" s="228"/>
      <c r="P62" s="229">
        <f>SUM('Oct-24'!$H62:$O62)</f>
        <v>0</v>
      </c>
      <c r="Q62" s="230" t="str">
        <f>IFERROR(IF('Oct-24'!$F62="","-",VLOOKUP('Oct-24'!$F62,Lista_CUIT!$A$1:$D$2241,3,0)),"CUIT NO CARGADO")</f>
        <v>-</v>
      </c>
      <c r="R62" s="231" t="str">
        <f>IFERROR(IF('Oct-24'!$F62="","-",VLOOKUP('Oct-24'!$F62,Lista_CUIT!$A$1:$D$2241,4,0)),"CUIT NO CARGADO")</f>
        <v>-</v>
      </c>
      <c r="S62" s="43"/>
      <c r="T62" s="43"/>
      <c r="U62" s="43"/>
      <c r="V62" s="43"/>
      <c r="W62" s="43"/>
      <c r="X62" s="43"/>
    </row>
    <row r="63" spans="1:24" ht="15.75" customHeight="1" x14ac:dyDescent="0.3">
      <c r="B63" s="232" t="s">
        <v>1343</v>
      </c>
      <c r="C63" s="233"/>
      <c r="D63" s="233"/>
      <c r="E63" s="233"/>
      <c r="F63" s="233"/>
      <c r="G63" s="234"/>
      <c r="H63" s="235">
        <f>SUBTOTAL(109,'Oct-24'!$H$9:$H$62)</f>
        <v>2967926.08</v>
      </c>
      <c r="I63" s="235">
        <f>SUBTOTAL(109,'Oct-24'!$I$9:$I$62)</f>
        <v>593488.2596999997</v>
      </c>
      <c r="J63" s="235">
        <f>SUBTOTAL(109,'Oct-24'!$J$9:$J$62)</f>
        <v>7245.4500000000007</v>
      </c>
      <c r="K63" s="235">
        <f>SUBTOTAL(109,'Oct-24'!$K$9:$K$62)</f>
        <v>12070.43355</v>
      </c>
      <c r="L63" s="235">
        <f>SUBTOTAL(109,'Oct-24'!$L$9:$L$62)</f>
        <v>1244.72</v>
      </c>
      <c r="M63" s="235">
        <f>SUBTOTAL(109,'Oct-24'!$M$9:$M$62)</f>
        <v>0</v>
      </c>
      <c r="N63" s="235">
        <f>SUBTOTAL(109,'Oct-24'!$N$9:$N$62)</f>
        <v>0</v>
      </c>
      <c r="O63" s="235">
        <f>SUBTOTAL(109,'Oct-24'!$O$9:$O$62)</f>
        <v>2936574.53</v>
      </c>
      <c r="P63" s="235">
        <f>SUBTOTAL(109,'Oct-24'!$P$9:$P$62)</f>
        <v>6518549.4732499998</v>
      </c>
      <c r="Q63" s="233"/>
      <c r="R63" s="236"/>
    </row>
    <row r="64" spans="1:24" ht="15.75" customHeight="1" x14ac:dyDescent="0.3">
      <c r="B64" s="12"/>
      <c r="C64" s="13"/>
      <c r="D64" s="14"/>
      <c r="E64" s="15"/>
      <c r="F64" s="16"/>
      <c r="G64" s="17"/>
      <c r="H64" s="18"/>
      <c r="I64" s="19"/>
      <c r="J64" s="19"/>
      <c r="K64" s="19"/>
      <c r="L64" s="19"/>
      <c r="M64" s="19"/>
      <c r="N64" s="19"/>
      <c r="O64" s="19"/>
      <c r="P64" s="20"/>
      <c r="Q64" s="21"/>
      <c r="R64" s="21"/>
    </row>
    <row r="65" spans="2:18" ht="15.75" customHeight="1" x14ac:dyDescent="0.3">
      <c r="B65" s="12"/>
      <c r="C65" s="13"/>
      <c r="D65" s="14"/>
      <c r="E65" s="15"/>
      <c r="F65" s="16"/>
      <c r="G65" s="17"/>
      <c r="H65" s="18"/>
      <c r="I65" s="19"/>
      <c r="J65" s="19"/>
      <c r="K65" s="19"/>
      <c r="L65" s="19"/>
      <c r="M65" s="19"/>
      <c r="N65" s="19"/>
      <c r="O65" s="19"/>
      <c r="P65" s="20"/>
      <c r="Q65" s="21"/>
      <c r="R65" s="21"/>
    </row>
    <row r="66" spans="2:18" ht="14.25" customHeight="1" x14ac:dyDescent="0.3">
      <c r="B66" s="12"/>
      <c r="C66" s="13"/>
      <c r="D66" s="14"/>
      <c r="E66" s="15"/>
      <c r="F66" s="16"/>
      <c r="G66" s="17"/>
      <c r="H66" s="18"/>
      <c r="I66" s="19"/>
      <c r="J66" s="19"/>
      <c r="K66" s="19"/>
      <c r="L66" s="19"/>
      <c r="M66" s="19"/>
      <c r="N66" s="19"/>
      <c r="O66" s="19"/>
      <c r="P66" s="20"/>
      <c r="Q66" s="21"/>
      <c r="R66" s="21"/>
    </row>
    <row r="67" spans="2:18" ht="22.5" customHeight="1" x14ac:dyDescent="0.3">
      <c r="B67" s="12"/>
      <c r="C67" s="13"/>
      <c r="D67" s="14"/>
      <c r="E67" s="15"/>
      <c r="F67" s="16"/>
      <c r="G67" s="17"/>
      <c r="H67" s="18"/>
      <c r="I67" s="19"/>
      <c r="J67" s="19"/>
      <c r="K67" s="19"/>
      <c r="L67" s="19"/>
    </row>
    <row r="68" spans="2:18" ht="21.75" customHeight="1" x14ac:dyDescent="0.3">
      <c r="D68" s="484" t="s">
        <v>1344</v>
      </c>
      <c r="E68" s="476"/>
      <c r="F68" s="476"/>
      <c r="G68" s="476"/>
      <c r="H68" s="476"/>
      <c r="I68" s="476"/>
      <c r="J68" s="476"/>
      <c r="K68" s="476"/>
      <c r="L68" s="477"/>
      <c r="M68" s="283"/>
    </row>
    <row r="69" spans="2:18" ht="14.25" customHeight="1" x14ac:dyDescent="0.3">
      <c r="D69" s="240" t="s">
        <v>1322</v>
      </c>
      <c r="E69" s="241" t="s">
        <v>1345</v>
      </c>
      <c r="F69" s="241" t="s">
        <v>1346</v>
      </c>
      <c r="G69" s="241" t="s">
        <v>1347</v>
      </c>
      <c r="H69" s="241" t="s">
        <v>1348</v>
      </c>
      <c r="I69" s="241" t="s">
        <v>1329</v>
      </c>
      <c r="J69" s="242" t="s">
        <v>1349</v>
      </c>
      <c r="K69" s="242" t="s">
        <v>1350</v>
      </c>
      <c r="L69" s="243" t="s">
        <v>1351</v>
      </c>
      <c r="M69" s="243" t="s">
        <v>1334</v>
      </c>
    </row>
    <row r="70" spans="2:18" ht="14.25" customHeight="1" x14ac:dyDescent="0.3">
      <c r="D70" s="221"/>
      <c r="E70" s="244"/>
      <c r="F70" s="244" t="s">
        <v>1389</v>
      </c>
      <c r="G70" s="245">
        <v>67224</v>
      </c>
      <c r="H70" s="245">
        <f>'Oct-24'!$G70*0.21</f>
        <v>14117.039999999999</v>
      </c>
      <c r="I70" s="245"/>
      <c r="J70" s="245"/>
      <c r="K70" s="245">
        <v>752.34</v>
      </c>
      <c r="L70" s="246"/>
      <c r="M70" s="285">
        <f>SUM(Table_44[[#This Row],[NETO]:[PERC IIBB]])</f>
        <v>82093.37999999999</v>
      </c>
      <c r="O70" s="301"/>
    </row>
    <row r="71" spans="2:18" ht="15" customHeight="1" x14ac:dyDescent="0.3">
      <c r="D71" s="221"/>
      <c r="E71" s="244"/>
      <c r="F71" s="244" t="s">
        <v>1389</v>
      </c>
      <c r="G71" s="245">
        <v>24387.523809523809</v>
      </c>
      <c r="H71" s="245">
        <f>'Oct-24'!$G71*0.21</f>
        <v>5121.38</v>
      </c>
      <c r="I71" s="245"/>
      <c r="J71" s="245"/>
      <c r="K71" s="245">
        <v>731.63</v>
      </c>
      <c r="L71" s="246"/>
      <c r="M71" s="285">
        <f>SUM(Table_44[[#This Row],[NETO]:[PERC IIBB]])</f>
        <v>30240.533809523811</v>
      </c>
    </row>
    <row r="72" spans="2:18" ht="15" customHeight="1" x14ac:dyDescent="0.3">
      <c r="D72" s="221"/>
      <c r="E72" s="244"/>
      <c r="F72" s="244"/>
      <c r="G72" s="245"/>
      <c r="H72" s="245">
        <f>'Oct-24'!$G72*0.21</f>
        <v>0</v>
      </c>
      <c r="I72" s="245"/>
      <c r="J72" s="245"/>
      <c r="K72" s="245"/>
      <c r="L72" s="246"/>
      <c r="M72" s="285">
        <f>SUM(Table_44[[#This Row],[NETO]:[PERC IIBB]])</f>
        <v>0</v>
      </c>
    </row>
    <row r="73" spans="2:18" ht="15" customHeight="1" x14ac:dyDescent="0.3">
      <c r="D73" s="221"/>
      <c r="E73" s="244"/>
      <c r="F73" s="244"/>
      <c r="G73" s="245"/>
      <c r="H73" s="245">
        <f>'Oct-24'!$G73*0.21</f>
        <v>0</v>
      </c>
      <c r="I73" s="245"/>
      <c r="J73" s="245"/>
      <c r="K73" s="245"/>
      <c r="L73" s="246"/>
      <c r="M73" s="285">
        <f>SUM(Table_44[[#This Row],[NETO]:[PERC IIBB]])</f>
        <v>0</v>
      </c>
    </row>
    <row r="74" spans="2:18" ht="15" customHeight="1" x14ac:dyDescent="0.3">
      <c r="D74" s="232" t="s">
        <v>1343</v>
      </c>
      <c r="E74" s="247"/>
      <c r="F74" s="247"/>
      <c r="G74" s="248">
        <f>SUBTOTAL(109,'Oct-24'!$G$70:$G$73)</f>
        <v>91611.523809523816</v>
      </c>
      <c r="H74" s="248">
        <f>SUBTOTAL(109,'Oct-24'!$H$70:$H$73)</f>
        <v>19238.419999999998</v>
      </c>
      <c r="I74" s="248">
        <f>SUBTOTAL(109,'Oct-24'!$I$70:$I$73)</f>
        <v>0</v>
      </c>
      <c r="J74" s="248">
        <f>SUBTOTAL(109,'Oct-24'!$J$70:$J$73)</f>
        <v>0</v>
      </c>
      <c r="K74" s="248">
        <f>SUBTOTAL(109,'Oct-24'!$K$70:$K$73)</f>
        <v>1483.97</v>
      </c>
      <c r="L74" s="249">
        <f>SUBTOTAL(109,'Oct-24'!$L$70:$L$73)</f>
        <v>0</v>
      </c>
      <c r="M74" s="284">
        <f>SUM(Table_44[[#This Row],[NETO]:[PERC IIBB]])</f>
        <v>112333.91380952382</v>
      </c>
    </row>
    <row r="76" spans="2:18" ht="15" customHeight="1" x14ac:dyDescent="0.3">
      <c r="O76" s="301"/>
    </row>
    <row r="77" spans="2:18" ht="14.25" customHeight="1" x14ac:dyDescent="0.3"/>
    <row r="78" spans="2:18" ht="24" customHeight="1" x14ac:dyDescent="0.3">
      <c r="D78" s="484" t="s">
        <v>1361</v>
      </c>
      <c r="E78" s="476"/>
      <c r="F78" s="476"/>
      <c r="G78" s="476"/>
      <c r="H78" s="476"/>
      <c r="I78" s="476"/>
      <c r="J78" s="476"/>
      <c r="K78" s="477"/>
    </row>
    <row r="79" spans="2:18" ht="15.75" customHeight="1" x14ac:dyDescent="0.3">
      <c r="D79" s="250" t="s">
        <v>1322</v>
      </c>
      <c r="E79" s="251" t="s">
        <v>1324</v>
      </c>
      <c r="F79" s="251" t="s">
        <v>1362</v>
      </c>
      <c r="G79" s="251" t="s">
        <v>0</v>
      </c>
      <c r="H79" s="251" t="s">
        <v>1</v>
      </c>
      <c r="I79" s="252" t="s">
        <v>1334</v>
      </c>
      <c r="J79" s="251" t="s">
        <v>1363</v>
      </c>
      <c r="K79" s="253" t="s">
        <v>1335</v>
      </c>
      <c r="O79" s="301"/>
    </row>
    <row r="80" spans="2:18" ht="15.75" customHeight="1" x14ac:dyDescent="0.3">
      <c r="D80" s="221" t="s">
        <v>1468</v>
      </c>
      <c r="E80" s="223">
        <v>1</v>
      </c>
      <c r="F80" s="286">
        <v>30</v>
      </c>
      <c r="G80" s="225">
        <v>27387896150</v>
      </c>
      <c r="H80" s="254" t="str">
        <f>IFERROR(IF('Oct-24'!$G80="","-",VLOOKUP('Oct-24'!$G80,Lista_CUIT!$A$1:$D$2241,2,0)),"CUIT NO CARGADO")</f>
        <v>LIPANOVICH MARIA SOL</v>
      </c>
      <c r="I80" s="255">
        <v>1300000</v>
      </c>
      <c r="J80" s="256" t="str">
        <f>IFERROR(IF('Oct-24'!$G80="","-",VLOOKUP('Oct-24'!$G80,Lista_CUIT!$A$1:$D$2241,3,0)),"CUIT NO CARGADO")</f>
        <v>consultoria informatica</v>
      </c>
      <c r="K80" s="257">
        <f>IFERROR(IF('Oct-24'!$G80="","-",VLOOKUP('Oct-24'!$G80,Lista_CUIT!$A$1:$D$2241,4,0)),"CUIT NO CARGADO")</f>
        <v>0</v>
      </c>
    </row>
    <row r="81" spans="4:15" ht="15.75" customHeight="1" x14ac:dyDescent="0.3">
      <c r="D81" s="221" t="s">
        <v>1468</v>
      </c>
      <c r="E81" s="223">
        <v>1</v>
      </c>
      <c r="F81" s="286">
        <v>41</v>
      </c>
      <c r="G81" s="225">
        <v>20365938688</v>
      </c>
      <c r="H81" s="254" t="str">
        <f>IFERROR(IF('Oct-24'!$G81="","-",VLOOKUP('Oct-24'!$G81,Lista_CUIT!$A$1:$D$2241,2,0)),"CUIT NO CARGADO")</f>
        <v>LIPANOVICH JUAN CRUZ</v>
      </c>
      <c r="I81" s="255">
        <v>1000000</v>
      </c>
      <c r="J81" s="256" t="str">
        <f>IFERROR(IF('Oct-24'!$G81="","-",VLOOKUP('Oct-24'!$G81,Lista_CUIT!$A$1:$D$2241,3,0)),"CUIT NO CARGADO")</f>
        <v>SOFTWARE</v>
      </c>
      <c r="K81" s="257">
        <f>IFERROR(IF('Oct-24'!$G81="","-",VLOOKUP('Oct-24'!$G81,Lista_CUIT!$A$1:$D$2241,4,0)),"CUIT NO CARGADO")</f>
        <v>0</v>
      </c>
    </row>
    <row r="82" spans="4:15" ht="15.75" customHeight="1" x14ac:dyDescent="0.3">
      <c r="D82" s="221" t="s">
        <v>1468</v>
      </c>
      <c r="E82" s="223">
        <v>2</v>
      </c>
      <c r="F82" s="286">
        <v>177</v>
      </c>
      <c r="G82" s="225">
        <v>20136544625</v>
      </c>
      <c r="H82" s="254" t="str">
        <f>IFERROR(IF('Oct-24'!$G82="","-",VLOOKUP('Oct-24'!$G82,Lista_CUIT!$A$1:$D$2241,2,0)),"CUIT NO CARGADO")</f>
        <v>RODRIGUEZ DE LA FUEN HECTOR MARCELO</v>
      </c>
      <c r="I82" s="255">
        <v>1061700</v>
      </c>
      <c r="J82" s="256" t="str">
        <f>IFERROR(IF('Oct-24'!$G82="","-",VLOOKUP('Oct-24'!$G82,Lista_CUIT!$A$1:$D$2241,3,0)),"CUIT NO CARGADO")</f>
        <v>Honorarios Admin</v>
      </c>
      <c r="K82" s="257">
        <f>IFERROR(IF('Oct-24'!$G82="","-",VLOOKUP('Oct-24'!$G82,Lista_CUIT!$A$1:$D$2241,4,0)),"CUIT NO CARGADO")</f>
        <v>0</v>
      </c>
    </row>
    <row r="83" spans="4:15" ht="15.75" customHeight="1" x14ac:dyDescent="0.3">
      <c r="D83" s="221" t="s">
        <v>1506</v>
      </c>
      <c r="E83" s="223">
        <v>1</v>
      </c>
      <c r="F83" s="286">
        <v>121</v>
      </c>
      <c r="G83" s="225">
        <v>20389908569</v>
      </c>
      <c r="H83" s="254" t="str">
        <f>IFERROR(IF('Oct-24'!$G83="","-",VLOOKUP('Oct-24'!$G83,Lista_CUIT!$A$1:$D$2241,2,0)),"CUIT NO CARGADO")</f>
        <v>BOTINDARI JUAN IGNACIO</v>
      </c>
      <c r="I83" s="255">
        <v>87036.04</v>
      </c>
      <c r="J83" s="256" t="str">
        <f>IFERROR(IF('Oct-24'!$G83="","-",VLOOKUP('Oct-24'!$G83,Lista_CUIT!$A$1:$D$2241,3,0)),"CUIT NO CARGADO")</f>
        <v>Honorarios Contables</v>
      </c>
      <c r="K83" s="257">
        <f>IFERROR(IF('Oct-24'!$G83="","-",VLOOKUP('Oct-24'!$G83,Lista_CUIT!$A$1:$D$2241,4,0)),"CUIT NO CARGADO")</f>
        <v>0</v>
      </c>
    </row>
    <row r="84" spans="4:15" ht="15.75" customHeight="1" x14ac:dyDescent="0.3">
      <c r="D84" s="221" t="s">
        <v>1506</v>
      </c>
      <c r="E84" s="223">
        <v>3</v>
      </c>
      <c r="F84" s="286">
        <v>888</v>
      </c>
      <c r="G84" s="225">
        <v>20086277523</v>
      </c>
      <c r="H84" s="254" t="str">
        <f>IFERROR(IF('Oct-24'!$G84="","-",VLOOKUP('Oct-24'!$G84,Lista_CUIT!$A$1:$D$2241,2,0)),"CUIT NO CARGADO")</f>
        <v>ESTUDIO BOTINDARI</v>
      </c>
      <c r="I84" s="255">
        <v>310000</v>
      </c>
      <c r="J84" s="256" t="str">
        <f>IFERROR(IF('Oct-24'!$G84="","-",VLOOKUP('Oct-24'!$G84,Lista_CUIT!$A$1:$D$2241,3,0)),"CUIT NO CARGADO")</f>
        <v>Honorarios Contables</v>
      </c>
      <c r="K84" s="257">
        <f>IFERROR(IF('Oct-24'!$G84="","-",VLOOKUP('Oct-24'!$G84,Lista_CUIT!$A$1:$D$2241,4,0)),"CUIT NO CARGADO")</f>
        <v>0</v>
      </c>
      <c r="O84" s="301"/>
    </row>
    <row r="85" spans="4:15" ht="15.75" customHeight="1" x14ac:dyDescent="0.3">
      <c r="D85" s="221" t="s">
        <v>1507</v>
      </c>
      <c r="E85" s="223">
        <v>2</v>
      </c>
      <c r="F85" s="286">
        <v>8</v>
      </c>
      <c r="G85" s="225">
        <v>23118167279</v>
      </c>
      <c r="H85" s="254" t="str">
        <f>IFERROR(IF('Oct-24'!$G85="","-",VLOOKUP('Oct-24'!$G85,Lista_CUIT!$A$1:$D$2241,2,0)),"CUIT NO CARGADO")</f>
        <v>ABELEDO ENRIQUE JUAN</v>
      </c>
      <c r="I85" s="255">
        <v>780000</v>
      </c>
      <c r="J85" s="256" t="str">
        <f>IFERROR(IF('Oct-24'!$G85="","-",VLOOKUP('Oct-24'!$G85,Lista_CUIT!$A$1:$D$2241,3,0)),"CUIT NO CARGADO")</f>
        <v>Honorarios Admin</v>
      </c>
      <c r="K85" s="257">
        <f>IFERROR(IF('Oct-24'!$G85="","-",VLOOKUP('Oct-24'!$G85,Lista_CUIT!$A$1:$D$2241,4,0)),"CUIT NO CARGADO")</f>
        <v>0</v>
      </c>
    </row>
    <row r="86" spans="4:15" ht="15.75" customHeight="1" x14ac:dyDescent="0.3">
      <c r="D86" s="221" t="s">
        <v>1471</v>
      </c>
      <c r="E86" s="223">
        <v>9</v>
      </c>
      <c r="F86" s="286">
        <v>4784635</v>
      </c>
      <c r="G86" s="225">
        <v>33715179119</v>
      </c>
      <c r="H86" s="254" t="str">
        <f>IFERROR(IF('Oct-24'!$G86="","-",VLOOKUP('Oct-24'!$G86,Lista_CUIT!$A$1:$D$2241,2,0)),"CUIT NO CARGADO")</f>
        <v>FONDO DE COOPERACION TECNICA Y FINANCIERA - CECBA - SL Y T - LEY 23.412</v>
      </c>
      <c r="I86" s="255">
        <v>8500</v>
      </c>
      <c r="J86" s="256" t="str">
        <f>IFERROR(IF('Oct-24'!$G86="","-",VLOOKUP('Oct-24'!$G86,Lista_CUIT!$A$1:$D$2241,3,0)),"CUIT NO CARGADO")</f>
        <v>Servicios Informaticos</v>
      </c>
      <c r="K86" s="257">
        <f>IFERROR(IF('Oct-24'!$G86="","-",VLOOKUP('Oct-24'!$G86,Lista_CUIT!$A$1:$D$2241,4,0)),"CUIT NO CARGADO")</f>
        <v>0</v>
      </c>
    </row>
    <row r="87" spans="4:15" ht="15.75" customHeight="1" x14ac:dyDescent="0.3">
      <c r="D87" s="221" t="s">
        <v>1471</v>
      </c>
      <c r="E87" s="223">
        <v>2</v>
      </c>
      <c r="F87" s="286">
        <v>256</v>
      </c>
      <c r="G87" s="225">
        <v>27173820866</v>
      </c>
      <c r="H87" s="254" t="str">
        <f>IFERROR(IF('Oct-24'!$G87="","-",VLOOKUP('Oct-24'!$G87,Lista_CUIT!$A$1:$D$2241,2,0)),"CUIT NO CARGADO")</f>
        <v>FREIER SANDRA DANIELA</v>
      </c>
      <c r="I87" s="255">
        <v>550000</v>
      </c>
      <c r="J87" s="256" t="str">
        <f>IFERROR(IF('Oct-24'!$G87="","-",VLOOKUP('Oct-24'!$G87,Lista_CUIT!$A$1:$D$2241,3,0)),"CUIT NO CARGADO")</f>
        <v>Honorarios Prof</v>
      </c>
      <c r="K87" s="257">
        <f>IFERROR(IF('Oct-24'!$G87="","-",VLOOKUP('Oct-24'!$G87,Lista_CUIT!$A$1:$D$2241,4,0)),"CUIT NO CARGADO")</f>
        <v>0</v>
      </c>
    </row>
    <row r="88" spans="4:15" ht="15.75" customHeight="1" x14ac:dyDescent="0.3">
      <c r="D88" s="221" t="s">
        <v>1508</v>
      </c>
      <c r="E88" s="223">
        <v>4</v>
      </c>
      <c r="F88" s="286">
        <v>35</v>
      </c>
      <c r="G88" s="225">
        <v>20341462933</v>
      </c>
      <c r="H88" s="254" t="str">
        <f>IFERROR(IF('Oct-24'!$G88="","-",VLOOKUP('Oct-24'!$G88,Lista_CUIT!$A$1:$D$2241,2,0)),"CUIT NO CARGADO")</f>
        <v>CASTIGLIONI MATIAS EZEQUIEL</v>
      </c>
      <c r="I88" s="255">
        <v>1955000</v>
      </c>
      <c r="J88" s="256" t="str">
        <f>IFERROR(IF('Oct-24'!$G88="","-",VLOOKUP('Oct-24'!$G88,Lista_CUIT!$A$1:$D$2241,3,0)),"CUIT NO CARGADO")</f>
        <v>ASESORAMIENTO</v>
      </c>
      <c r="K88" s="257" t="str">
        <f>IFERROR(IF('Oct-24'!$G88="","-",VLOOKUP('Oct-24'!$G88,Lista_CUIT!$A$1:$D$2241,4,0)),"CUIT NO CARGADO")</f>
        <v>BUENOS AIRES</v>
      </c>
    </row>
    <row r="89" spans="4:15" ht="15.75" customHeight="1" x14ac:dyDescent="0.3">
      <c r="D89" s="221" t="s">
        <v>1508</v>
      </c>
      <c r="E89" s="223">
        <v>2</v>
      </c>
      <c r="F89" s="286">
        <v>9</v>
      </c>
      <c r="G89" s="225">
        <v>23118167279</v>
      </c>
      <c r="H89" s="254" t="str">
        <f>IFERROR(IF('Oct-24'!$G89="","-",VLOOKUP('Oct-24'!$G89,Lista_CUIT!$A$1:$D$2241,2,0)),"CUIT NO CARGADO")</f>
        <v>ABELEDO ENRIQUE JUAN</v>
      </c>
      <c r="I89" s="255">
        <v>550000</v>
      </c>
      <c r="J89" s="256" t="str">
        <f>IFERROR(IF('Oct-24'!$G89="","-",VLOOKUP('Oct-24'!$G89,Lista_CUIT!$A$1:$D$2241,3,0)),"CUIT NO CARGADO")</f>
        <v>Honorarios Admin</v>
      </c>
      <c r="K89" s="257">
        <f>IFERROR(IF('Oct-24'!$G89="","-",VLOOKUP('Oct-24'!$G89,Lista_CUIT!$A$1:$D$2241,4,0)),"CUIT NO CARGADO")</f>
        <v>0</v>
      </c>
    </row>
    <row r="90" spans="4:15" ht="15.75" customHeight="1" x14ac:dyDescent="0.3">
      <c r="D90" s="221" t="s">
        <v>1475</v>
      </c>
      <c r="E90" s="223">
        <v>2</v>
      </c>
      <c r="F90" s="286">
        <v>159</v>
      </c>
      <c r="G90" s="225">
        <v>27125997835</v>
      </c>
      <c r="H90" s="254" t="str">
        <f>IFERROR(IF('Oct-24'!$G90="","-",VLOOKUP('Oct-24'!$G90,Lista_CUIT!$A$1:$D$2241,2,0)),"CUIT NO CARGADO")</f>
        <v>DANSKY ULLMANN VIVIANA EVA YOLANDA</v>
      </c>
      <c r="I90" s="255">
        <v>50000</v>
      </c>
      <c r="J90" s="256" t="str">
        <f>IFERROR(IF('Oct-24'!$G90="","-",VLOOKUP('Oct-24'!$G90,Lista_CUIT!$A$1:$D$2241,3,0)),"CUIT NO CARGADO")</f>
        <v>Honorarios Prof</v>
      </c>
      <c r="K90" s="257">
        <f>IFERROR(IF('Oct-24'!$G90="","-",VLOOKUP('Oct-24'!$G90,Lista_CUIT!$A$1:$D$2241,4,0)),"CUIT NO CARGADO")</f>
        <v>0</v>
      </c>
    </row>
    <row r="91" spans="4:15" ht="15.75" customHeight="1" x14ac:dyDescent="0.3">
      <c r="D91" s="221" t="s">
        <v>1477</v>
      </c>
      <c r="E91" s="223">
        <v>3</v>
      </c>
      <c r="F91" s="286">
        <v>891</v>
      </c>
      <c r="G91" s="225">
        <v>20086277523</v>
      </c>
      <c r="H91" s="254" t="str">
        <f>IFERROR(IF('Oct-24'!$G91="","-",VLOOKUP('Oct-24'!$G91,Lista_CUIT!$A$1:$D$2241,2,0)),"CUIT NO CARGADO")</f>
        <v>ESTUDIO BOTINDARI</v>
      </c>
      <c r="I91" s="255">
        <v>1275000</v>
      </c>
      <c r="J91" s="256" t="str">
        <f>IFERROR(IF('Oct-24'!$G91="","-",VLOOKUP('Oct-24'!$G91,Lista_CUIT!$A$1:$D$2241,3,0)),"CUIT NO CARGADO")</f>
        <v>Honorarios Contables</v>
      </c>
      <c r="K91" s="257">
        <f>IFERROR(IF('Oct-24'!$G91="","-",VLOOKUP('Oct-24'!$G91,Lista_CUIT!$A$1:$D$2241,4,0)),"CUIT NO CARGADO")</f>
        <v>0</v>
      </c>
    </row>
    <row r="92" spans="4:15" ht="15.75" customHeight="1" x14ac:dyDescent="0.3">
      <c r="D92" s="221" t="s">
        <v>1479</v>
      </c>
      <c r="E92" s="223">
        <v>1</v>
      </c>
      <c r="F92" s="286">
        <v>104</v>
      </c>
      <c r="G92" s="225">
        <v>20341465134</v>
      </c>
      <c r="H92" s="254" t="str">
        <f>IFERROR(IF('Oct-24'!$G92="","-",VLOOKUP('Oct-24'!$G92,Lista_CUIT!$A$1:$D$2241,2,0)),"CUIT NO CARGADO")</f>
        <v>ABELEDO AGUSTIN ENRIQUE</v>
      </c>
      <c r="I92" s="255">
        <v>2248500</v>
      </c>
      <c r="J92" s="256" t="str">
        <f>IFERROR(IF('Oct-24'!$G92="","-",VLOOKUP('Oct-24'!$G92,Lista_CUIT!$A$1:$D$2241,3,0)),"CUIT NO CARGADO")</f>
        <v>Mantenimiento</v>
      </c>
      <c r="K92" s="257" t="str">
        <f>IFERROR(IF('Oct-24'!$G92="","-",VLOOKUP('Oct-24'!$G92,Lista_CUIT!$A$1:$D$2241,4,0)),"CUIT NO CARGADO")</f>
        <v>CABA</v>
      </c>
    </row>
    <row r="93" spans="4:15" ht="15.75" customHeight="1" x14ac:dyDescent="0.3">
      <c r="D93" s="221" t="s">
        <v>1509</v>
      </c>
      <c r="E93" s="223">
        <v>2</v>
      </c>
      <c r="F93" s="286">
        <v>861</v>
      </c>
      <c r="G93" s="225">
        <v>20400104094</v>
      </c>
      <c r="H93" s="254" t="str">
        <f>IFERROR(IF('Oct-24'!$G93="","-",VLOOKUP('Oct-24'!$G93,Lista_CUIT!$A$1:$D$2241,2,0)),"CUIT NO CARGADO")</f>
        <v>FEDERICO BOTINDARI</v>
      </c>
      <c r="I93" s="255">
        <v>2100000</v>
      </c>
      <c r="J93" s="256" t="str">
        <f>IFERROR(IF('Oct-24'!$G93="","-",VLOOKUP('Oct-24'!$G93,Lista_CUIT!$A$1:$D$2241,3,0)),"CUIT NO CARGADO")</f>
        <v>Honorarios Contables</v>
      </c>
      <c r="K93" s="257">
        <f>IFERROR(IF('Oct-24'!$G93="","-",VLOOKUP('Oct-24'!$G93,Lista_CUIT!$A$1:$D$2241,4,0)),"CUIT NO CARGADO")</f>
        <v>0</v>
      </c>
    </row>
    <row r="94" spans="4:15" ht="15.75" customHeight="1" x14ac:dyDescent="0.3">
      <c r="D94" s="221" t="s">
        <v>1482</v>
      </c>
      <c r="E94" s="223">
        <v>4</v>
      </c>
      <c r="F94" s="224">
        <v>73</v>
      </c>
      <c r="G94" s="225">
        <v>23214737914</v>
      </c>
      <c r="H94" s="254" t="str">
        <f>IFERROR(IF('Oct-24'!$G94="","-",VLOOKUP('Oct-24'!$G94,Lista_CUIT!$A$1:$D$2241,2,0)),"CUIT NO CARGADO")</f>
        <v>SBARRA GABRIELA BEATRIZ</v>
      </c>
      <c r="I94" s="245">
        <v>1280785</v>
      </c>
      <c r="J94" s="256" t="str">
        <f>IFERROR(IF('Oct-24'!$G94="","-",VLOOKUP('Oct-24'!$G94,Lista_CUIT!$A$1:$D$2241,3,0)),"CUIT NO CARGADO")</f>
        <v>Honorarios Admin</v>
      </c>
      <c r="K94" s="257">
        <f>IFERROR(IF('Oct-24'!$G94="","-",VLOOKUP('Oct-24'!$G94,Lista_CUIT!$A$1:$D$2241,4,0)),"CUIT NO CARGADO")</f>
        <v>0</v>
      </c>
    </row>
    <row r="95" spans="4:15" ht="15.75" customHeight="1" x14ac:dyDescent="0.3">
      <c r="D95" s="221" t="s">
        <v>1484</v>
      </c>
      <c r="E95" s="223">
        <v>2</v>
      </c>
      <c r="F95" s="224">
        <v>862</v>
      </c>
      <c r="G95" s="225">
        <v>20400104094</v>
      </c>
      <c r="H95" s="254" t="str">
        <f>IFERROR(IF('Oct-24'!$G95="","-",VLOOKUP('Oct-24'!$G95,Lista_CUIT!$A$1:$D$2241,2,0)),"CUIT NO CARGADO")</f>
        <v>FEDERICO BOTINDARI</v>
      </c>
      <c r="I95" s="245">
        <v>2025760</v>
      </c>
      <c r="J95" s="256" t="str">
        <f>IFERROR(IF('Oct-24'!$G95="","-",VLOOKUP('Oct-24'!$G95,Lista_CUIT!$A$1:$D$2241,3,0)),"CUIT NO CARGADO")</f>
        <v>Honorarios Contables</v>
      </c>
      <c r="K95" s="257">
        <f>IFERROR(IF('Oct-24'!$G95="","-",VLOOKUP('Oct-24'!$G95,Lista_CUIT!$A$1:$D$2241,4,0)),"CUIT NO CARGADO")</f>
        <v>0</v>
      </c>
    </row>
    <row r="96" spans="4:15" ht="15.75" customHeight="1" x14ac:dyDescent="0.3">
      <c r="D96" s="221">
        <v>45596</v>
      </c>
      <c r="E96" s="223">
        <v>5</v>
      </c>
      <c r="F96" s="224">
        <v>59345</v>
      </c>
      <c r="G96" s="225">
        <v>30710804830</v>
      </c>
      <c r="H96" s="254" t="str">
        <f>IFERROR(IF('Oct-24'!$G96="","-",VLOOKUP('Oct-24'!$G96,Lista_CUIT!$A$1:$D$2241,2,0)),"CUIT NO CARGADO")</f>
        <v>ZG MULTITEC SRL</v>
      </c>
      <c r="I96" s="245">
        <v>21599</v>
      </c>
      <c r="J96" s="256" t="str">
        <f>IFERROR(IF('Oct-24'!$G96="","-",VLOOKUP('Oct-24'!$G96,Lista_CUIT!$A$1:$D$2241,3,0)),"CUIT NO CARGADO")</f>
        <v>Materiales Electricos</v>
      </c>
      <c r="K96" s="257">
        <f>IFERROR(IF('Oct-24'!$G96="","-",VLOOKUP('Oct-24'!$G96,Lista_CUIT!$A$1:$D$2241,4,0)),"CUIT NO CARGADO")</f>
        <v>0</v>
      </c>
    </row>
    <row r="97" spans="1:26" ht="15.75" customHeight="1" x14ac:dyDescent="0.3">
      <c r="D97" s="221">
        <v>45582</v>
      </c>
      <c r="E97" s="223">
        <v>6</v>
      </c>
      <c r="F97" s="224">
        <v>1658318</v>
      </c>
      <c r="G97" s="225">
        <v>30714928577</v>
      </c>
      <c r="H97" s="254" t="str">
        <f>IFERROR(IF('Oct-24'!$G97="","-",VLOOKUP('Oct-24'!$G97,Lista_CUIT!$A$1:$D$2241,2,0)),"CUIT NO CARGADO")</f>
        <v>SIMPLEX VILLI SA</v>
      </c>
      <c r="I97" s="245">
        <v>11204</v>
      </c>
      <c r="J97" s="256" t="str">
        <f>IFERROR(IF('Oct-24'!$G97="","-",VLOOKUP('Oct-24'!$G97,Lista_CUIT!$A$1:$D$2241,3,0)),"CUIT NO CARGADO")</f>
        <v>Gastos Oficina</v>
      </c>
      <c r="K97" s="257">
        <f>IFERROR(IF('Oct-24'!$G97="","-",VLOOKUP('Oct-24'!$G97,Lista_CUIT!$A$1:$D$2241,4,0)),"CUIT NO CARGADO")</f>
        <v>0</v>
      </c>
    </row>
    <row r="98" spans="1:26" ht="15.75" customHeight="1" x14ac:dyDescent="0.3">
      <c r="D98" s="221">
        <v>45586</v>
      </c>
      <c r="E98" s="223">
        <v>1</v>
      </c>
      <c r="F98" s="224">
        <v>1663165</v>
      </c>
      <c r="G98" s="225">
        <v>30714928577</v>
      </c>
      <c r="H98" s="254" t="str">
        <f>IFERROR(IF('Oct-24'!$G98="","-",VLOOKUP('Oct-24'!$G98,Lista_CUIT!$A$1:$D$2241,2,0)),"CUIT NO CARGADO")</f>
        <v>SIMPLEX VILLI SA</v>
      </c>
      <c r="I98" s="245">
        <v>28228</v>
      </c>
      <c r="J98" s="256" t="str">
        <f>IFERROR(IF('Oct-24'!$G98="","-",VLOOKUP('Oct-24'!$G98,Lista_CUIT!$A$1:$D$2241,3,0)),"CUIT NO CARGADO")</f>
        <v>Gastos Oficina</v>
      </c>
      <c r="K98" s="257">
        <f>IFERROR(IF('Oct-24'!$G98="","-",VLOOKUP('Oct-24'!$G98,Lista_CUIT!$A$1:$D$2241,4,0)),"CUIT NO CARGADO")</f>
        <v>0</v>
      </c>
    </row>
    <row r="99" spans="1:26" ht="15.75" customHeight="1" x14ac:dyDescent="0.3">
      <c r="D99" s="221"/>
      <c r="E99" s="223"/>
      <c r="F99" s="224"/>
      <c r="G99" s="225"/>
      <c r="H99" s="254"/>
      <c r="I99" s="245"/>
      <c r="J99" s="256"/>
      <c r="K99" s="257"/>
    </row>
    <row r="100" spans="1:26" ht="18" customHeight="1" x14ac:dyDescent="0.3">
      <c r="A100" s="43"/>
      <c r="D100" s="258" t="s">
        <v>1343</v>
      </c>
      <c r="E100" s="259"/>
      <c r="F100" s="259"/>
      <c r="G100" s="259"/>
      <c r="H100" s="260"/>
      <c r="I100" s="261">
        <f>SUBTOTAL(109,'Oct-24'!$I$80:$I$98)</f>
        <v>16643312.039999999</v>
      </c>
      <c r="J100" s="259"/>
      <c r="K100" s="262"/>
      <c r="S100" s="43"/>
      <c r="T100" s="43"/>
      <c r="U100" s="43"/>
      <c r="V100" s="43"/>
      <c r="W100" s="43"/>
      <c r="X100" s="43"/>
      <c r="Y100" s="43"/>
      <c r="Z100" s="43"/>
    </row>
    <row r="101" spans="1:26" ht="15.75" customHeight="1" x14ac:dyDescent="0.3">
      <c r="B101" s="43"/>
      <c r="C101" s="43"/>
      <c r="L101" s="43"/>
      <c r="M101" s="43"/>
      <c r="N101" s="43"/>
      <c r="O101" s="43"/>
      <c r="P101" s="43"/>
      <c r="Q101" s="43"/>
      <c r="R101" s="43"/>
    </row>
    <row r="102" spans="1:26" ht="15.75" customHeight="1" x14ac:dyDescent="0.3"/>
    <row r="103" spans="1:26" ht="15.75" customHeight="1" x14ac:dyDescent="0.3"/>
    <row r="104" spans="1:26" ht="15.75" customHeight="1" x14ac:dyDescent="0.3"/>
    <row r="105" spans="1:26" ht="15.75" customHeight="1" x14ac:dyDescent="0.3"/>
    <row r="106" spans="1:26" ht="15.75" customHeight="1" x14ac:dyDescent="0.3">
      <c r="B106" s="492" t="s">
        <v>1364</v>
      </c>
      <c r="C106" s="476"/>
      <c r="D106" s="476"/>
      <c r="E106" s="476"/>
      <c r="F106" s="476"/>
      <c r="G106" s="476"/>
      <c r="H106" s="476"/>
      <c r="I106" s="476"/>
      <c r="J106" s="477"/>
      <c r="K106" s="493">
        <f>N1</f>
        <v>45200</v>
      </c>
      <c r="L106" s="476"/>
      <c r="M106" s="477"/>
    </row>
    <row r="107" spans="1:26" ht="22.5" customHeight="1" x14ac:dyDescent="0.3"/>
    <row r="108" spans="1:26" ht="15.75" customHeight="1" x14ac:dyDescent="0.3">
      <c r="B108" s="504" t="s">
        <v>1365</v>
      </c>
      <c r="C108" s="499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</row>
    <row r="109" spans="1:26" ht="18" customHeight="1" x14ac:dyDescent="0.3">
      <c r="B109" s="264" t="s">
        <v>1322</v>
      </c>
      <c r="C109" s="265" t="s">
        <v>1323</v>
      </c>
      <c r="D109" s="265" t="s">
        <v>1366</v>
      </c>
      <c r="E109" s="265" t="s">
        <v>1367</v>
      </c>
      <c r="F109" s="265" t="s">
        <v>0</v>
      </c>
      <c r="G109" s="265" t="s">
        <v>1</v>
      </c>
      <c r="H109" s="265" t="s">
        <v>1368</v>
      </c>
      <c r="I109" s="265" t="s">
        <v>1348</v>
      </c>
      <c r="J109" s="265" t="s">
        <v>1329</v>
      </c>
      <c r="K109" s="265" t="s">
        <v>1369</v>
      </c>
      <c r="L109" s="265" t="s">
        <v>1334</v>
      </c>
      <c r="M109" s="266" t="s">
        <v>1335</v>
      </c>
    </row>
    <row r="110" spans="1:26" ht="15.75" customHeight="1" x14ac:dyDescent="0.3">
      <c r="B110" s="221">
        <v>45574</v>
      </c>
      <c r="C110" s="222">
        <v>1</v>
      </c>
      <c r="D110" s="223">
        <v>3</v>
      </c>
      <c r="E110" s="224">
        <v>229</v>
      </c>
      <c r="F110" s="225">
        <v>30638318470</v>
      </c>
      <c r="G110" s="267" t="str">
        <f>IFERROR(IF('Oct-24'!$F110="","-",VLOOKUP('Oct-24'!$F110,Lista_CUIT!$A$1:$D$2241,2,0)),"CUIT NO CARGADO")</f>
        <v>DELTA COMPRESION S R L</v>
      </c>
      <c r="H110" s="268">
        <v>5764371.6428571427</v>
      </c>
      <c r="I110" s="269">
        <f>'Oct-24'!$H110*0.21</f>
        <v>1210518.0449999999</v>
      </c>
      <c r="J110" s="270"/>
      <c r="K110" s="270"/>
      <c r="L110" s="270">
        <f>SUM('Oct-24'!$H110:$K110)</f>
        <v>6974889.6878571426</v>
      </c>
      <c r="M110" s="271"/>
    </row>
    <row r="111" spans="1:26" ht="15.75" customHeight="1" x14ac:dyDescent="0.3">
      <c r="B111" s="221">
        <v>45582</v>
      </c>
      <c r="C111" s="222">
        <v>1</v>
      </c>
      <c r="D111" s="223">
        <v>3</v>
      </c>
      <c r="E111" s="224">
        <v>230</v>
      </c>
      <c r="F111" s="225">
        <v>30716559188</v>
      </c>
      <c r="G111" s="267" t="str">
        <f>IFERROR(IF('Oct-24'!$F111="","-",VLOOKUP('Oct-24'!$F111,Lista_CUIT!$A$1:$D$2241,2,0)),"CUIT NO CARGADO")</f>
        <v>VISUAR S.A.</v>
      </c>
      <c r="H111" s="268">
        <v>3503500</v>
      </c>
      <c r="I111" s="269">
        <f>'Oct-24'!$H111*0.21</f>
        <v>735735</v>
      </c>
      <c r="J111" s="270"/>
      <c r="K111" s="270"/>
      <c r="L111" s="270">
        <f>SUM('Oct-24'!$H111:$K111)</f>
        <v>4239235</v>
      </c>
      <c r="M111" s="271"/>
    </row>
    <row r="112" spans="1:26" ht="15.75" customHeight="1" x14ac:dyDescent="0.3">
      <c r="B112" s="221">
        <v>45590</v>
      </c>
      <c r="C112" s="222">
        <v>1</v>
      </c>
      <c r="D112" s="223">
        <v>3</v>
      </c>
      <c r="E112" s="224">
        <v>231</v>
      </c>
      <c r="F112" s="225">
        <v>30638318470</v>
      </c>
      <c r="G112" s="267" t="str">
        <f>IFERROR(IF('Oct-24'!$F112="","-",VLOOKUP('Oct-24'!$F112,Lista_CUIT!$A$1:$D$2241,2,0)),"CUIT NO CARGADO")</f>
        <v>DELTA COMPRESION S R L</v>
      </c>
      <c r="H112" s="268">
        <v>814539.76190476189</v>
      </c>
      <c r="I112" s="269">
        <f>'Oct-24'!$H112*0.21</f>
        <v>171053.35</v>
      </c>
      <c r="J112" s="270"/>
      <c r="K112" s="270"/>
      <c r="L112" s="270">
        <f>SUM('Oct-24'!$H112:$K112)</f>
        <v>985593.11190476187</v>
      </c>
      <c r="M112" s="271"/>
    </row>
    <row r="113" spans="2:14" ht="15.75" customHeight="1" x14ac:dyDescent="0.3">
      <c r="B113" s="221">
        <v>45594</v>
      </c>
      <c r="C113" s="222">
        <v>1</v>
      </c>
      <c r="D113" s="223">
        <v>3</v>
      </c>
      <c r="E113" s="224">
        <v>232</v>
      </c>
      <c r="F113" s="225">
        <v>23239931359</v>
      </c>
      <c r="G113" s="267" t="str">
        <f>IFERROR(IF('Oct-24'!$F113="","-",VLOOKUP('Oct-24'!$F113,Lista_CUIT!$A$1:$D$2241,2,0)),"CUIT NO CARGADO")</f>
        <v>SAN MIGUEL JOSE MARCELO</v>
      </c>
      <c r="H113" s="268">
        <v>201700</v>
      </c>
      <c r="I113" s="269">
        <f>'Oct-24'!$H113*0.21</f>
        <v>42357</v>
      </c>
      <c r="J113" s="270"/>
      <c r="K113" s="270"/>
      <c r="L113" s="270">
        <f>SUM('Oct-24'!$H113:$K113)</f>
        <v>244057</v>
      </c>
      <c r="M113" s="271"/>
    </row>
    <row r="114" spans="2:14" ht="15.75" customHeight="1" x14ac:dyDescent="0.3">
      <c r="B114" s="221"/>
      <c r="C114" s="222"/>
      <c r="D114" s="223"/>
      <c r="E114" s="224"/>
      <c r="F114" s="297"/>
      <c r="G114" s="267" t="str">
        <f>IFERROR(IF('Oct-24'!$F114="","-",VLOOKUP('Oct-24'!$F114,Lista_CUIT!$A$1:$D$2241,2,0)),"CUIT NO CARGADO")</f>
        <v>-</v>
      </c>
      <c r="H114" s="268"/>
      <c r="I114" s="269">
        <f>'Oct-24'!$H114*0.21</f>
        <v>0</v>
      </c>
      <c r="J114" s="270"/>
      <c r="K114" s="270"/>
      <c r="L114" s="270">
        <f>SUM('Oct-24'!$H114:$K114)</f>
        <v>0</v>
      </c>
      <c r="M114" s="271"/>
    </row>
    <row r="115" spans="2:14" ht="15.75" customHeight="1" x14ac:dyDescent="0.3">
      <c r="B115" s="221"/>
      <c r="C115" s="222"/>
      <c r="D115" s="223"/>
      <c r="E115" s="224"/>
      <c r="F115" s="225"/>
      <c r="G115" s="267" t="str">
        <f>IFERROR(IF('Oct-24'!$F115="","-",VLOOKUP('Oct-24'!$F115,Lista_CUIT!$A$1:$D$2241,2,0)),"CUIT NO CARGADO")</f>
        <v>-</v>
      </c>
      <c r="H115" s="268"/>
      <c r="I115" s="269">
        <f>'Oct-24'!$H115*0.21</f>
        <v>0</v>
      </c>
      <c r="J115" s="270"/>
      <c r="K115" s="270"/>
      <c r="L115" s="270">
        <f>SUM('Oct-24'!$H115:$K115)</f>
        <v>0</v>
      </c>
      <c r="M115" s="271"/>
    </row>
    <row r="116" spans="2:14" ht="15.75" customHeight="1" x14ac:dyDescent="0.3">
      <c r="B116" s="221"/>
      <c r="C116" s="222"/>
      <c r="D116" s="223"/>
      <c r="E116" s="224"/>
      <c r="F116" s="225"/>
      <c r="G116" s="267" t="str">
        <f>IFERROR(IF('Oct-24'!$F116="","-",VLOOKUP('Oct-24'!$F116,Lista_CUIT!$A$1:$D$2241,2,0)),"CUIT NO CARGADO")</f>
        <v>-</v>
      </c>
      <c r="H116" s="268"/>
      <c r="I116" s="269">
        <f>'Oct-24'!$H116*0.21</f>
        <v>0</v>
      </c>
      <c r="J116" s="270"/>
      <c r="K116" s="270"/>
      <c r="L116" s="270">
        <f>SUM('Oct-24'!$H116:$K116)</f>
        <v>0</v>
      </c>
      <c r="M116" s="271"/>
    </row>
    <row r="117" spans="2:14" ht="15.75" customHeight="1" x14ac:dyDescent="0.3">
      <c r="B117" s="272"/>
      <c r="C117" s="273"/>
      <c r="D117" s="274"/>
      <c r="E117" s="275"/>
      <c r="F117" s="244"/>
      <c r="G117" s="267" t="str">
        <f>IFERROR(IF('Oct-24'!$F117="","-",VLOOKUP('Oct-24'!$F117,Lista_CUIT!$A$1:$D$2241,2,0)),"CUIT NO CARGADO")</f>
        <v>-</v>
      </c>
      <c r="H117" s="268"/>
      <c r="I117" s="269">
        <f>'Oct-24'!$H117*0.21</f>
        <v>0</v>
      </c>
      <c r="J117" s="270"/>
      <c r="K117" s="270"/>
      <c r="L117" s="270">
        <f>SUM('Oct-24'!$H117:$K117)</f>
        <v>0</v>
      </c>
      <c r="M117" s="271"/>
    </row>
    <row r="118" spans="2:14" ht="15.75" customHeight="1" x14ac:dyDescent="0.3">
      <c r="B118" s="272"/>
      <c r="C118" s="273"/>
      <c r="D118" s="274"/>
      <c r="E118" s="275"/>
      <c r="F118" s="244"/>
      <c r="G118" s="267" t="str">
        <f>IFERROR(IF('Oct-24'!$F118="","-",VLOOKUP('Oct-24'!$F118,Lista_CUIT!$A$1:$D$2241,2,0)),"CUIT NO CARGADO")</f>
        <v>-</v>
      </c>
      <c r="H118" s="268"/>
      <c r="I118" s="269">
        <f>'Oct-24'!$H118*0.21</f>
        <v>0</v>
      </c>
      <c r="J118" s="270"/>
      <c r="K118" s="270"/>
      <c r="L118" s="270">
        <f>SUM('Oct-24'!$H118:$K118)</f>
        <v>0</v>
      </c>
      <c r="M118" s="271"/>
    </row>
    <row r="119" spans="2:14" ht="18" customHeight="1" x14ac:dyDescent="0.3">
      <c r="B119" s="276" t="s">
        <v>1343</v>
      </c>
      <c r="C119" s="277"/>
      <c r="D119" s="277"/>
      <c r="E119" s="277"/>
      <c r="F119" s="277"/>
      <c r="G119" s="277"/>
      <c r="H119" s="287">
        <f>SUBTOTAL(109,'Oct-24'!$H$110:$H$118)</f>
        <v>10284111.404761903</v>
      </c>
      <c r="I119" s="288">
        <f>SUBTOTAL(109,'Oct-24'!$I$110:$I$118)</f>
        <v>2159663.395</v>
      </c>
      <c r="J119" s="289">
        <f>SUBTOTAL(109,'Oct-24'!$J$110:$J$118)</f>
        <v>0</v>
      </c>
      <c r="K119" s="289">
        <f>SUBTOTAL(109,'Oct-24'!$K$110:$K$118)</f>
        <v>0</v>
      </c>
      <c r="L119" s="289">
        <f>SUBTOTAL(109,'Oct-24'!$L$110:$L$118)</f>
        <v>12443774.799761906</v>
      </c>
      <c r="M119" s="278">
        <f>SUBTOTAL(103,'Oct-24'!$M$110:$M$118)</f>
        <v>0</v>
      </c>
    </row>
    <row r="120" spans="2:14" ht="15.75" customHeight="1" x14ac:dyDescent="0.3"/>
    <row r="121" spans="2:14" ht="17.25" customHeight="1" x14ac:dyDescent="0.3"/>
    <row r="122" spans="2:14" ht="31.5" customHeight="1" x14ac:dyDescent="0.3">
      <c r="B122" s="504" t="s">
        <v>1373</v>
      </c>
      <c r="C122" s="499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</row>
    <row r="123" spans="2:14" ht="15.75" customHeight="1" x14ac:dyDescent="0.3">
      <c r="B123" s="264" t="s">
        <v>1322</v>
      </c>
      <c r="C123" s="265" t="s">
        <v>1323</v>
      </c>
      <c r="D123" s="265" t="s">
        <v>1366</v>
      </c>
      <c r="E123" s="265" t="s">
        <v>1367</v>
      </c>
      <c r="F123" s="265" t="s">
        <v>0</v>
      </c>
      <c r="G123" s="265" t="s">
        <v>1</v>
      </c>
      <c r="H123" s="265" t="s">
        <v>1374</v>
      </c>
      <c r="I123" s="265" t="s">
        <v>1348</v>
      </c>
      <c r="J123" s="265" t="s">
        <v>1329</v>
      </c>
      <c r="K123" s="265" t="s">
        <v>1511</v>
      </c>
      <c r="L123" s="265" t="s">
        <v>1334</v>
      </c>
      <c r="M123" s="266" t="s">
        <v>1335</v>
      </c>
    </row>
    <row r="124" spans="2:14" ht="15.75" customHeight="1" x14ac:dyDescent="0.3">
      <c r="B124" s="221" t="s">
        <v>1481</v>
      </c>
      <c r="C124" s="222"/>
      <c r="D124" s="223">
        <v>30</v>
      </c>
      <c r="E124" s="224">
        <v>97</v>
      </c>
      <c r="F124" s="225">
        <v>55000000050</v>
      </c>
      <c r="G124" s="267" t="str">
        <f>IFERROR(IF('Oct-24'!$F124="","-",VLOOKUP('Oct-24'!$F124,Lista_CUIT!$A$1:$D$2241,2,0)),"CUIT NO CARGADO")</f>
        <v>GAS FUTURO SISTEMAS DE COMPRESSÃO LTDA</v>
      </c>
      <c r="H124" s="280">
        <v>2080</v>
      </c>
      <c r="I124" s="280"/>
      <c r="J124" s="280"/>
      <c r="K124" s="280">
        <v>985.5</v>
      </c>
      <c r="L124" s="280">
        <f>Table_47[[#This Row],[USD]]*Table_47[[#This Row],[TIPO DE CAMBIO]]</f>
        <v>2049840</v>
      </c>
      <c r="M124" s="271"/>
    </row>
    <row r="125" spans="2:14" ht="15.75" customHeight="1" x14ac:dyDescent="0.3">
      <c r="B125" s="221"/>
      <c r="C125" s="222"/>
      <c r="D125" s="223"/>
      <c r="E125" s="224"/>
      <c r="F125" s="225"/>
      <c r="G125" s="267" t="str">
        <f>IFERROR(IF('Oct-24'!$F125="","-",VLOOKUP('Oct-24'!$F125,Lista_CUIT!$A$1:$D$2241,2,0)),"CUIT NO CARGADO")</f>
        <v>-</v>
      </c>
      <c r="H125" s="280"/>
      <c r="I125" s="280"/>
      <c r="J125" s="280"/>
      <c r="K125" s="280"/>
      <c r="L125" s="280">
        <f>Table_47[[#This Row],[USD]]*Table_47[[#This Row],[TIPO DE CAMBIO]]</f>
        <v>0</v>
      </c>
      <c r="M125" s="271"/>
    </row>
    <row r="126" spans="2:14" ht="15.75" customHeight="1" x14ac:dyDescent="0.3">
      <c r="B126" s="221"/>
      <c r="C126" s="222"/>
      <c r="D126" s="223"/>
      <c r="E126" s="224"/>
      <c r="F126" s="225"/>
      <c r="G126" s="267" t="str">
        <f>IFERROR(IF('Oct-24'!$F126="","-",VLOOKUP('Oct-24'!$F126,Lista_CUIT!$A$1:$D$2241,2,0)),"CUIT NO CARGADO")</f>
        <v>-</v>
      </c>
      <c r="H126" s="280"/>
      <c r="I126" s="280"/>
      <c r="J126" s="280"/>
      <c r="K126" s="280"/>
      <c r="L126" s="280">
        <f>Table_47[[#This Row],[USD]]*Table_47[[#This Row],[TIPO DE CAMBIO]]</f>
        <v>0</v>
      </c>
      <c r="M126" s="271"/>
      <c r="N126" s="3"/>
    </row>
    <row r="127" spans="2:14" ht="15.75" customHeight="1" x14ac:dyDescent="0.3">
      <c r="B127" s="221"/>
      <c r="C127" s="222"/>
      <c r="D127" s="223"/>
      <c r="E127" s="224"/>
      <c r="F127" s="225"/>
      <c r="G127" s="279" t="str">
        <f>IFERROR(IF('Oct-24'!$F127="","-",VLOOKUP('Oct-24'!$F127,Lista_CUIT!$A$1:$D$2241,2,0)),"CUIT NO CARGADO")</f>
        <v>-</v>
      </c>
      <c r="H127" s="280"/>
      <c r="I127" s="280"/>
      <c r="J127" s="280"/>
      <c r="K127" s="280"/>
      <c r="L127" s="280">
        <f>Table_47[[#This Row],[USD]]*Table_47[[#This Row],[TIPO DE CAMBIO]]</f>
        <v>0</v>
      </c>
      <c r="M127" s="271"/>
    </row>
    <row r="128" spans="2:14" ht="15.75" customHeight="1" x14ac:dyDescent="0.3">
      <c r="B128" s="221"/>
      <c r="C128" s="222"/>
      <c r="D128" s="223"/>
      <c r="E128" s="224"/>
      <c r="F128" s="225"/>
      <c r="G128" s="279" t="str">
        <f>IFERROR(IF('Oct-24'!$F128="","-",VLOOKUP('Oct-24'!$F128,Lista_CUIT!$A$1:$D$2241,2,0)),"CUIT NO CARGADO")</f>
        <v>-</v>
      </c>
      <c r="H128" s="280"/>
      <c r="I128" s="280"/>
      <c r="J128" s="280"/>
      <c r="K128" s="280"/>
      <c r="L128" s="280">
        <f>Table_47[[#This Row],[USD]]*Table_47[[#This Row],[TIPO DE CAMBIO]]</f>
        <v>0</v>
      </c>
      <c r="M128" s="271"/>
    </row>
    <row r="129" spans="2:13" ht="15.75" customHeight="1" x14ac:dyDescent="0.3">
      <c r="B129" s="221"/>
      <c r="C129" s="222"/>
      <c r="D129" s="223"/>
      <c r="E129" s="224"/>
      <c r="F129" s="225"/>
      <c r="G129" s="279" t="str">
        <f>IFERROR(IF('Oct-24'!$F129="","-",VLOOKUP('Oct-24'!$F129,Lista_CUIT!$A$1:$D$2241,2,0)),"CUIT NO CARGADO")</f>
        <v>-</v>
      </c>
      <c r="H129" s="280"/>
      <c r="I129" s="280"/>
      <c r="J129" s="280"/>
      <c r="K129" s="280"/>
      <c r="L129" s="280">
        <f>Table_47[[#This Row],[USD]]*Table_47[[#This Row],[TIPO DE CAMBIO]]</f>
        <v>0</v>
      </c>
      <c r="M129" s="271"/>
    </row>
    <row r="130" spans="2:13" ht="15.75" customHeight="1" x14ac:dyDescent="0.3">
      <c r="B130" s="276" t="s">
        <v>1343</v>
      </c>
      <c r="C130" s="277"/>
      <c r="D130" s="277"/>
      <c r="E130" s="277"/>
      <c r="F130" s="277"/>
      <c r="G130" s="299" t="str">
        <f>IFERROR(IF('Oct-24'!$F130="","-",VLOOKUP('Oct-24'!$F130,Lista_CUIT!$A$1:$D$2241,2,0)),"CUIT NO CARGADO")</f>
        <v>-</v>
      </c>
      <c r="H130" s="281">
        <f>SUBTOTAL(109,'Oct-24'!$H$124:$H$129)</f>
        <v>2080</v>
      </c>
      <c r="I130" s="281">
        <f>SUBTOTAL(109,'Oct-24'!$I$124:$I$129)</f>
        <v>0</v>
      </c>
      <c r="J130" s="282">
        <f>SUBTOTAL(109,'Oct-24'!$J$124:$J$129)</f>
        <v>0</v>
      </c>
      <c r="K130" s="282">
        <f>SUBTOTAL(109,'Oct-24'!$K$124:$K$129)</f>
        <v>985.5</v>
      </c>
      <c r="L130" s="282">
        <f>SUBTOTAL(109,'Oct-24'!$L$124:$L$129)</f>
        <v>2049840</v>
      </c>
      <c r="M130" s="278">
        <f>SUBTOTAL(103,'Oct-24'!$M$124:$M$129)</f>
        <v>0</v>
      </c>
    </row>
    <row r="131" spans="2:13" ht="15.75" customHeight="1" x14ac:dyDescent="0.3"/>
    <row r="132" spans="2:13" ht="18.75" customHeight="1" x14ac:dyDescent="0.3"/>
    <row r="133" spans="2:13" ht="28.5" customHeight="1" x14ac:dyDescent="0.3">
      <c r="B133" s="485" t="s">
        <v>1372</v>
      </c>
      <c r="C133" s="486"/>
    </row>
    <row r="134" spans="2:13" ht="15.75" customHeight="1" x14ac:dyDescent="0.3">
      <c r="B134" s="291" t="s">
        <v>1322</v>
      </c>
      <c r="C134" s="291" t="s">
        <v>1323</v>
      </c>
      <c r="D134" s="291" t="s">
        <v>1366</v>
      </c>
      <c r="E134" s="291" t="s">
        <v>1367</v>
      </c>
      <c r="F134" s="291" t="s">
        <v>0</v>
      </c>
      <c r="G134" s="291" t="s">
        <v>1</v>
      </c>
      <c r="H134" s="291" t="s">
        <v>1368</v>
      </c>
      <c r="I134" s="291" t="s">
        <v>1348</v>
      </c>
      <c r="J134" s="291" t="s">
        <v>1329</v>
      </c>
      <c r="K134" s="291" t="s">
        <v>1369</v>
      </c>
      <c r="L134" s="291" t="s">
        <v>1334</v>
      </c>
      <c r="M134" s="291" t="s">
        <v>1335</v>
      </c>
    </row>
    <row r="135" spans="2:13" ht="15.75" customHeight="1" x14ac:dyDescent="0.3">
      <c r="B135" s="292" t="s">
        <v>1477</v>
      </c>
      <c r="C135" s="222">
        <v>6</v>
      </c>
      <c r="D135" s="223">
        <v>3</v>
      </c>
      <c r="E135" s="224">
        <v>12</v>
      </c>
      <c r="F135" s="225">
        <v>20236101909</v>
      </c>
      <c r="G135" s="298" t="str">
        <f>IFERROR(IF('Oct-24'!$F135="","-",VLOOKUP('Oct-24'!$F135,Lista_CUIT!$A$1:$D$2241,2,0)),"CUIT NO CARGADO")</f>
        <v>CUIT NO CARGADO</v>
      </c>
      <c r="H135" s="280">
        <v>83011.28571428571</v>
      </c>
      <c r="I135" s="280">
        <f>H135*0.21</f>
        <v>17432.37</v>
      </c>
      <c r="J135" s="280"/>
      <c r="K135" s="280"/>
      <c r="L135" s="280">
        <f>H135+I135+J135+K135</f>
        <v>100443.65571428571</v>
      </c>
      <c r="M135" s="290"/>
    </row>
    <row r="136" spans="2:13" ht="15.75" customHeight="1" x14ac:dyDescent="0.3">
      <c r="B136" s="292"/>
      <c r="C136" s="222"/>
      <c r="D136" s="223"/>
      <c r="E136" s="224"/>
      <c r="F136" s="225"/>
      <c r="G136" s="298" t="str">
        <f>IFERROR(IF('Oct-24'!$F136="","-",VLOOKUP('Oct-24'!$F136,Lista_CUIT!$A$1:$D$2241,2,0)),"CUIT NO CARGADO")</f>
        <v>-</v>
      </c>
      <c r="H136" s="280"/>
      <c r="I136" s="280">
        <f t="shared" ref="I136:I140" si="0">H136*0.21</f>
        <v>0</v>
      </c>
      <c r="J136" s="280"/>
      <c r="K136" s="280"/>
      <c r="L136" s="280">
        <f t="shared" ref="L136:L140" si="1">H136+I136+J136+K136</f>
        <v>0</v>
      </c>
      <c r="M136" s="290"/>
    </row>
    <row r="137" spans="2:13" ht="15.75" customHeight="1" x14ac:dyDescent="0.3">
      <c r="B137" s="292"/>
      <c r="C137" s="222"/>
      <c r="D137" s="223"/>
      <c r="E137" s="224"/>
      <c r="F137" s="225"/>
      <c r="G137" s="298" t="str">
        <f>IFERROR(IF('Oct-24'!$F137="","-",VLOOKUP('Oct-24'!$F137,Lista_CUIT!$A$1:$D$2241,2,0)),"CUIT NO CARGADO")</f>
        <v>-</v>
      </c>
      <c r="H137" s="280"/>
      <c r="I137" s="280">
        <f t="shared" si="0"/>
        <v>0</v>
      </c>
      <c r="J137" s="280"/>
      <c r="K137" s="280"/>
      <c r="L137" s="280">
        <f t="shared" si="1"/>
        <v>0</v>
      </c>
      <c r="M137" s="290"/>
    </row>
    <row r="138" spans="2:13" ht="15.75" customHeight="1" x14ac:dyDescent="0.3">
      <c r="B138" s="292"/>
      <c r="C138" s="222"/>
      <c r="D138" s="223"/>
      <c r="E138" s="224"/>
      <c r="F138" s="225"/>
      <c r="G138" s="298" t="str">
        <f>IFERROR(IF('Oct-24'!$F138="","-",VLOOKUP('Oct-24'!$F138,Lista_CUIT!$A$1:$D$2241,2,0)),"CUIT NO CARGADO")</f>
        <v>-</v>
      </c>
      <c r="H138" s="280"/>
      <c r="I138" s="280">
        <f t="shared" si="0"/>
        <v>0</v>
      </c>
      <c r="J138" s="280"/>
      <c r="K138" s="280"/>
      <c r="L138" s="280">
        <f t="shared" si="1"/>
        <v>0</v>
      </c>
      <c r="M138" s="290"/>
    </row>
    <row r="139" spans="2:13" ht="15.75" customHeight="1" x14ac:dyDescent="0.3">
      <c r="B139" s="292"/>
      <c r="C139" s="222"/>
      <c r="D139" s="223"/>
      <c r="E139" s="224"/>
      <c r="F139" s="225"/>
      <c r="G139" s="298" t="str">
        <f>IFERROR(IF('Oct-24'!$F139="","-",VLOOKUP('Oct-24'!$F139,Lista_CUIT!$A$1:$D$2241,2,0)),"CUIT NO CARGADO")</f>
        <v>-</v>
      </c>
      <c r="H139" s="280"/>
      <c r="I139" s="280">
        <f t="shared" si="0"/>
        <v>0</v>
      </c>
      <c r="J139" s="280"/>
      <c r="K139" s="280"/>
      <c r="L139" s="280">
        <f t="shared" si="1"/>
        <v>0</v>
      </c>
      <c r="M139" s="290"/>
    </row>
    <row r="140" spans="2:13" ht="15.75" customHeight="1" x14ac:dyDescent="0.3">
      <c r="B140" s="292"/>
      <c r="C140" s="222"/>
      <c r="D140" s="223"/>
      <c r="E140" s="224"/>
      <c r="F140" s="225"/>
      <c r="G140" s="298" t="str">
        <f>IFERROR(IF('Oct-24'!$F140="","-",VLOOKUP('Oct-24'!$F140,Lista_CUIT!$A$1:$D$2241,2,0)),"CUIT NO CARGADO")</f>
        <v>-</v>
      </c>
      <c r="H140" s="280"/>
      <c r="I140" s="280">
        <f t="shared" si="0"/>
        <v>0</v>
      </c>
      <c r="J140" s="280"/>
      <c r="K140" s="280"/>
      <c r="L140" s="280">
        <f t="shared" si="1"/>
        <v>0</v>
      </c>
      <c r="M140" s="290"/>
    </row>
    <row r="141" spans="2:13" ht="15.75" customHeight="1" x14ac:dyDescent="0.3">
      <c r="B141" s="293" t="s">
        <v>1343</v>
      </c>
      <c r="C141" s="294">
        <f>SUBTOTAL(103,'Sept-24'!$M$95:$M$100)</f>
        <v>0</v>
      </c>
      <c r="D141" s="295"/>
      <c r="E141" s="295"/>
      <c r="F141" s="295"/>
      <c r="G141" s="295"/>
      <c r="H141" s="296">
        <f>SUM(H135:H140)</f>
        <v>83011.28571428571</v>
      </c>
      <c r="I141" s="296">
        <f>SUM(I135:I140)</f>
        <v>17432.37</v>
      </c>
      <c r="J141" s="296">
        <f>SUM(J135:J140)</f>
        <v>0</v>
      </c>
      <c r="K141" s="296">
        <f>SUM(K135:K140)</f>
        <v>0</v>
      </c>
      <c r="L141" s="296">
        <f>SUM(L135:L140)</f>
        <v>100443.65571428571</v>
      </c>
      <c r="M141" s="295"/>
    </row>
    <row r="142" spans="2:13" ht="15.75" customHeight="1" x14ac:dyDescent="0.3"/>
    <row r="143" spans="2:13" ht="15.75" customHeight="1" x14ac:dyDescent="0.3"/>
    <row r="144" spans="2:13" ht="15.75" customHeight="1" x14ac:dyDescent="0.3"/>
    <row r="145" spans="3:3" ht="15.75" customHeight="1" x14ac:dyDescent="0.3">
      <c r="C145" s="145"/>
    </row>
    <row r="146" spans="3:3" ht="15.75" customHeight="1" x14ac:dyDescent="0.3"/>
    <row r="147" spans="3:3" ht="15.75" customHeight="1" x14ac:dyDescent="0.3"/>
    <row r="148" spans="3:3" ht="15.75" customHeight="1" x14ac:dyDescent="0.3"/>
    <row r="149" spans="3:3" ht="15.75" customHeight="1" x14ac:dyDescent="0.3"/>
    <row r="150" spans="3:3" ht="15.75" customHeight="1" x14ac:dyDescent="0.3"/>
    <row r="151" spans="3:3" ht="15.75" customHeight="1" x14ac:dyDescent="0.3"/>
    <row r="152" spans="3:3" ht="15.75" customHeight="1" x14ac:dyDescent="0.3"/>
    <row r="153" spans="3:3" ht="15.75" customHeight="1" x14ac:dyDescent="0.3"/>
    <row r="154" spans="3:3" ht="15.75" customHeight="1" x14ac:dyDescent="0.3"/>
    <row r="155" spans="3:3" ht="15.75" customHeight="1" x14ac:dyDescent="0.3"/>
    <row r="156" spans="3:3" ht="15.75" customHeight="1" x14ac:dyDescent="0.3"/>
    <row r="157" spans="3:3" ht="15.75" customHeight="1" x14ac:dyDescent="0.3"/>
    <row r="158" spans="3:3" ht="15.75" customHeight="1" x14ac:dyDescent="0.3"/>
    <row r="159" spans="3:3" ht="15.75" customHeight="1" x14ac:dyDescent="0.3"/>
    <row r="160" spans="3:3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</sheetData>
  <mergeCells count="20">
    <mergeCell ref="M4:N4"/>
    <mergeCell ref="P4:R4"/>
    <mergeCell ref="D68:L68"/>
    <mergeCell ref="B133:C133"/>
    <mergeCell ref="B3:E3"/>
    <mergeCell ref="B4:E4"/>
    <mergeCell ref="G4:H4"/>
    <mergeCell ref="J4:K4"/>
    <mergeCell ref="D78:K78"/>
    <mergeCell ref="B106:J106"/>
    <mergeCell ref="K106:M106"/>
    <mergeCell ref="B108:C108"/>
    <mergeCell ref="B122:C122"/>
    <mergeCell ref="B1:F1"/>
    <mergeCell ref="G1:M1"/>
    <mergeCell ref="N1:R1"/>
    <mergeCell ref="G3:H3"/>
    <mergeCell ref="J3:K3"/>
    <mergeCell ref="M3:N3"/>
    <mergeCell ref="P3:R3"/>
  </mergeCells>
  <phoneticPr fontId="27" type="noConversion"/>
  <dataValidations count="11">
    <dataValidation type="custom" allowBlank="1" showErrorMessage="1" sqref="H135:L140 H124:L129" xr:uid="{00000000-0002-0000-0700-000000000000}">
      <formula1>IF($C124=8,H124&lt;0,H124&gt;=0)</formula1>
    </dataValidation>
    <dataValidation type="decimal" allowBlank="1" showErrorMessage="1" sqref="D110:D118 D124:D129 E80:E99 D9:D62 D135:D140" xr:uid="{00000000-0002-0000-0700-000001000000}">
      <formula1>1</formula1>
      <formula2>9999</formula2>
    </dataValidation>
    <dataValidation type="date" allowBlank="1" showErrorMessage="1" sqref="B110:B118 B64:B67 B124:B129 D70:D73 D80:D99 B9:B62 B135:B140" xr:uid="{00000000-0002-0000-0700-000002000000}">
      <formula1>40179</formula1>
      <formula2>TODAY()</formula2>
    </dataValidation>
    <dataValidation type="decimal" allowBlank="1" showErrorMessage="1" sqref="F110:F118 F124:F129 F135:F140 F9:F62 G80:G99" xr:uid="{00000000-0002-0000-0700-000003000000}">
      <formula1>20000000000</formula1>
      <formula2>33999999999</formula2>
    </dataValidation>
    <dataValidation type="decimal" allowBlank="1" showErrorMessage="1" sqref="C124:C129 C135:C140" xr:uid="{00000000-0002-0000-0700-000004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62" xr:uid="{00000000-0002-0000-0700-000005000000}">
      <formula1>IF($C9=3,H9&lt;0,H9&gt;=0)</formula1>
    </dataValidation>
    <dataValidation type="decimal" allowBlank="1" showErrorMessage="1" sqref="E110:E118 E124:E129 F80:F99 E9:E62 E135:E140" xr:uid="{00000000-0002-0000-0700-000006000000}">
      <formula1>1</formula1>
      <formula2>99999999</formula2>
    </dataValidation>
    <dataValidation type="decimal" allowBlank="1" showErrorMessage="1" sqref="C110:C118 C64:C67 C9:C62" xr:uid="{00000000-0002-0000-0700-000007000000}">
      <formula1>1</formula1>
      <formula2>3</formula2>
    </dataValidation>
    <dataValidation type="custom" allowBlank="1" showErrorMessage="1" sqref="H116:K116 H110:K114" xr:uid="{00000000-0002-0000-0700-000008000000}">
      <formula1>IF($C110=3,H110&lt;0,H110&gt;=0)</formula1>
    </dataValidation>
    <dataValidation type="custom" allowBlank="1" showErrorMessage="1" sqref="L110:L113" xr:uid="{00000000-0002-0000-0700-000009000000}">
      <formula1>IF($C56=3,L56&lt;0,L56&gt;=0)</formula1>
    </dataValidation>
    <dataValidation type="custom" allowBlank="1" showErrorMessage="1" sqref="L114:L116" xr:uid="{00000000-0002-0000-0700-00000A000000}">
      <formula1>IF($C62=3,L62&lt;0,L62&gt;=0)</formula1>
    </dataValidation>
  </dataValidations>
  <pageMargins left="0.7" right="0.7" top="0.75" bottom="0.75" header="0" footer="0"/>
  <pageSetup paperSize="9" orientation="portrait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DE9D9"/>
  </sheetPr>
  <dimension ref="A1:Z1034"/>
  <sheetViews>
    <sheetView showGridLines="0" topLeftCell="H46" zoomScale="80" zoomScaleNormal="80" workbookViewId="0">
      <selection activeCell="L87" sqref="L87:L90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26" ht="34.5" customHeight="1" x14ac:dyDescent="0.3">
      <c r="A1" s="6"/>
      <c r="B1" s="475" t="s">
        <v>1315</v>
      </c>
      <c r="C1" s="476"/>
      <c r="D1" s="476"/>
      <c r="E1" s="476"/>
      <c r="F1" s="477"/>
      <c r="G1" s="478" t="str">
        <f>'Abr-24'!G1:M1</f>
        <v>CORITEC S. R. L.</v>
      </c>
      <c r="H1" s="505"/>
      <c r="I1" s="505"/>
      <c r="J1" s="505"/>
      <c r="K1" s="505"/>
      <c r="L1" s="505"/>
      <c r="M1" s="506"/>
      <c r="N1" s="479">
        <f>EDATE('Abr-24'!N1,7)</f>
        <v>45231</v>
      </c>
      <c r="O1" s="476"/>
      <c r="P1" s="476"/>
      <c r="Q1" s="476"/>
      <c r="R1" s="477"/>
    </row>
    <row r="3" spans="1:26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26" ht="24.75" customHeight="1" x14ac:dyDescent="0.4">
      <c r="B4" s="490">
        <f>SUM('Nov-24'!$H$49)+'Nov-24'!$G$60</f>
        <v>6683463.3799999999</v>
      </c>
      <c r="C4" s="476"/>
      <c r="D4" s="476"/>
      <c r="E4" s="477"/>
      <c r="F4" s="8"/>
      <c r="G4" s="491">
        <f>'Nov-24'!$I$49+'Nov-24'!$J$49+'Nov-24'!$K$49+'Nov-24'!$H$60+'Nov-24'!$I$60</f>
        <v>1395283.4830999996</v>
      </c>
      <c r="H4" s="477"/>
      <c r="I4" s="8"/>
      <c r="J4" s="494">
        <f>'Nov-24'!$H$96+'Nov-24'!$H$119</f>
        <v>84828393.319999993</v>
      </c>
      <c r="K4" s="477"/>
      <c r="L4" s="8"/>
      <c r="M4" s="494">
        <f>'Nov-24'!$I$96+'Nov-24'!$J$96+'Nov-24'!$I$119+'Nov-24'!$J$119</f>
        <v>10257254.347199999</v>
      </c>
      <c r="N4" s="477"/>
      <c r="O4" s="8"/>
      <c r="P4" s="483">
        <f>G4-M4</f>
        <v>-8861970.8640999999</v>
      </c>
      <c r="Q4" s="476"/>
      <c r="R4" s="477"/>
    </row>
    <row r="5" spans="1:26" ht="12.75" customHeight="1" x14ac:dyDescent="0.3"/>
    <row r="6" spans="1:26" ht="14.4" x14ac:dyDescent="0.3">
      <c r="G6" s="390" t="s">
        <v>1532</v>
      </c>
    </row>
    <row r="7" spans="1:26" ht="10.5" customHeight="1" thickBot="1" x14ac:dyDescent="0.3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thickBot="1" x14ac:dyDescent="0.35">
      <c r="B8" s="314" t="s">
        <v>1322</v>
      </c>
      <c r="C8" s="315" t="s">
        <v>1323</v>
      </c>
      <c r="D8" s="315" t="s">
        <v>1324</v>
      </c>
      <c r="E8" s="315" t="s">
        <v>1325</v>
      </c>
      <c r="F8" s="315" t="s">
        <v>0</v>
      </c>
      <c r="G8" s="315" t="s">
        <v>1</v>
      </c>
      <c r="H8" s="315" t="s">
        <v>1326</v>
      </c>
      <c r="I8" s="315" t="s">
        <v>1327</v>
      </c>
      <c r="J8" s="315" t="s">
        <v>1328</v>
      </c>
      <c r="K8" s="315" t="s">
        <v>1329</v>
      </c>
      <c r="L8" s="315" t="s">
        <v>1330</v>
      </c>
      <c r="M8" s="315" t="s">
        <v>1331</v>
      </c>
      <c r="N8" s="315" t="s">
        <v>1332</v>
      </c>
      <c r="O8" s="315" t="s">
        <v>1333</v>
      </c>
      <c r="P8" s="315" t="s">
        <v>1334</v>
      </c>
      <c r="Q8" s="315" t="s">
        <v>2</v>
      </c>
      <c r="R8" s="316" t="s">
        <v>1335</v>
      </c>
    </row>
    <row r="9" spans="1:26" ht="15" customHeight="1" x14ac:dyDescent="0.3">
      <c r="B9" s="303">
        <v>45606</v>
      </c>
      <c r="C9" s="304">
        <v>1</v>
      </c>
      <c r="D9" s="305">
        <v>9</v>
      </c>
      <c r="E9" s="306">
        <v>18631</v>
      </c>
      <c r="F9" s="307">
        <v>30708573279</v>
      </c>
      <c r="G9" s="308" t="str">
        <f>IFERROR(IF('Nov-24'!$F9="","-",VLOOKUP('Nov-24'!$F9,Lista_CUIT!$A$1:$D$2241,2,0)),"CUIT NO CARGADO")</f>
        <v>BOTIX SRL</v>
      </c>
      <c r="H9" s="309">
        <v>7683.46</v>
      </c>
      <c r="I9" s="310">
        <f>IF('Nov-24'!$H9="","",'Nov-24'!$H9*0.21)</f>
        <v>1613.5265999999999</v>
      </c>
      <c r="J9" s="310"/>
      <c r="K9" s="310"/>
      <c r="L9" s="310"/>
      <c r="M9" s="310"/>
      <c r="N9" s="310"/>
      <c r="O9" s="310"/>
      <c r="P9" s="311">
        <f>SUM('Nov-24'!$H9:$O9)</f>
        <v>9296.9866000000002</v>
      </c>
      <c r="Q9" s="312" t="str">
        <f>IFERROR(IF('Nov-24'!$F9="","-",VLOOKUP('Nov-24'!$F9,Lista_CUIT!$A$1:$D$2241,3,0)),"CUIT NO CARGADO")</f>
        <v>INSUMO</v>
      </c>
      <c r="R9" s="313">
        <f>IFERROR(IF('Nov-24'!$F9="","-",VLOOKUP('Nov-24'!$F9,Lista_CUIT!$A$1:$D$2241,4,0)),"CUIT NO CARGADO")</f>
        <v>0</v>
      </c>
    </row>
    <row r="10" spans="1:26" ht="15" customHeight="1" x14ac:dyDescent="0.3">
      <c r="B10" s="221">
        <v>45626</v>
      </c>
      <c r="C10" s="222">
        <v>1</v>
      </c>
      <c r="D10" s="223">
        <v>20</v>
      </c>
      <c r="E10" s="224">
        <v>66079</v>
      </c>
      <c r="F10" s="225">
        <v>30700940957</v>
      </c>
      <c r="G10" s="226" t="str">
        <f>IFERROR(IF('Nov-24'!$F10="","-",VLOOKUP('Nov-24'!$F10,Lista_CUIT!$A$1:$D$2241,2,0)),"CUIT NO CARGADO")</f>
        <v>UPS DE ARGENTINA SA</v>
      </c>
      <c r="H10" s="227"/>
      <c r="I10" s="228" t="str">
        <f>IF('Nov-24'!$H10="","",'Nov-24'!$H10*0.21)</f>
        <v/>
      </c>
      <c r="J10" s="228"/>
      <c r="K10" s="228"/>
      <c r="L10" s="228"/>
      <c r="M10" s="228"/>
      <c r="N10" s="228"/>
      <c r="O10" s="228">
        <v>9093.42</v>
      </c>
      <c r="P10" s="229">
        <f>SUM('Nov-24'!$H10:$O10)</f>
        <v>9093.42</v>
      </c>
      <c r="Q10" s="230" t="str">
        <f>IFERROR(IF('Nov-24'!$F10="","-",VLOOKUP('Nov-24'!$F10,Lista_CUIT!$A$1:$D$2241,3,0)),"CUIT NO CARGADO")</f>
        <v>Gastos Importacion</v>
      </c>
      <c r="R10" s="231">
        <f>IFERROR(IF('Nov-24'!$F10="","-",VLOOKUP('Nov-24'!$F10,Lista_CUIT!$A$1:$D$2241,4,0)),"CUIT NO CARGADO")</f>
        <v>0</v>
      </c>
    </row>
    <row r="11" spans="1:26" ht="15" customHeight="1" x14ac:dyDescent="0.3">
      <c r="B11" s="221">
        <v>45611</v>
      </c>
      <c r="C11" s="222">
        <v>1</v>
      </c>
      <c r="D11" s="223">
        <v>3</v>
      </c>
      <c r="E11" s="224">
        <v>21695</v>
      </c>
      <c r="F11" s="225">
        <v>30707468161</v>
      </c>
      <c r="G11" s="226" t="str">
        <f>IFERROR(IF('Nov-24'!$F11="","-",VLOOKUP('Nov-24'!$F11,Lista_CUIT!$A$1:$D$2241,2,0)),"CUIT NO CARGADO")</f>
        <v>LASERTEC INGENIERIA SOCIEDAD ANONIMA</v>
      </c>
      <c r="H11" s="227">
        <v>244560</v>
      </c>
      <c r="I11" s="228">
        <f>IF('Nov-24'!$H11="","",'Nov-24'!$H11*0.21)</f>
        <v>51357.599999999999</v>
      </c>
      <c r="J11" s="228"/>
      <c r="K11" s="228"/>
      <c r="L11" s="228"/>
      <c r="M11" s="228"/>
      <c r="N11" s="228"/>
      <c r="O11" s="228"/>
      <c r="P11" s="229">
        <f>SUM('Nov-24'!$H11:$O11)</f>
        <v>295917.59999999998</v>
      </c>
      <c r="Q11" s="230" t="str">
        <f>IFERROR(IF('Nov-24'!$F11="","-",VLOOKUP('Nov-24'!$F11,Lista_CUIT!$A$1:$D$2241,3,0)),"CUIT NO CARGADO")</f>
        <v>INSUMO</v>
      </c>
      <c r="R11" s="231">
        <f>IFERROR(IF('Nov-24'!$F11="","-",VLOOKUP('Nov-24'!$F11,Lista_CUIT!$A$1:$D$2241,4,0)),"CUIT NO CARGADO")</f>
        <v>0</v>
      </c>
    </row>
    <row r="12" spans="1:26" ht="15" customHeight="1" x14ac:dyDescent="0.3">
      <c r="B12" s="221">
        <v>45622</v>
      </c>
      <c r="C12" s="222">
        <v>1</v>
      </c>
      <c r="D12" s="223">
        <v>3</v>
      </c>
      <c r="E12" s="224">
        <v>21765</v>
      </c>
      <c r="F12" s="225">
        <v>30707468161</v>
      </c>
      <c r="G12" s="226" t="str">
        <f>IFERROR(IF('Nov-24'!$F12="","-",VLOOKUP('Nov-24'!$F12,Lista_CUIT!$A$1:$D$2241,2,0)),"CUIT NO CARGADO")</f>
        <v>LASERTEC INGENIERIA SOCIEDAD ANONIMA</v>
      </c>
      <c r="H12" s="227">
        <v>246480</v>
      </c>
      <c r="I12" s="228">
        <f>IF('Nov-24'!$H12="","",'Nov-24'!$H12*0.21)</f>
        <v>51760.799999999996</v>
      </c>
      <c r="J12" s="228"/>
      <c r="K12" s="228"/>
      <c r="L12" s="228"/>
      <c r="M12" s="228">
        <v>19718.400000000001</v>
      </c>
      <c r="N12" s="228"/>
      <c r="O12" s="228"/>
      <c r="P12" s="229">
        <f>SUM('Nov-24'!$H12:$O12)</f>
        <v>317959.2</v>
      </c>
      <c r="Q12" s="230" t="str">
        <f>IFERROR(IF('Nov-24'!$F12="","-",VLOOKUP('Nov-24'!$F12,Lista_CUIT!$A$1:$D$2241,3,0)),"CUIT NO CARGADO")</f>
        <v>INSUMO</v>
      </c>
      <c r="R12" s="231">
        <f>IFERROR(IF('Nov-24'!$F12="","-",VLOOKUP('Nov-24'!$F12,Lista_CUIT!$A$1:$D$2241,4,0)),"CUIT NO CARGADO")</f>
        <v>0</v>
      </c>
    </row>
    <row r="13" spans="1:26" ht="15" customHeight="1" x14ac:dyDescent="0.3">
      <c r="B13" s="221">
        <v>45604</v>
      </c>
      <c r="C13" s="222">
        <v>1</v>
      </c>
      <c r="D13" s="223">
        <v>106</v>
      </c>
      <c r="E13" s="224">
        <v>786518</v>
      </c>
      <c r="F13" s="225">
        <v>30594494187</v>
      </c>
      <c r="G13" s="226" t="str">
        <f>IFERROR(IF('Nov-24'!$F13="","-",VLOOKUP('Nov-24'!$F13,Lista_CUIT!$A$1:$D$2241,2,0)),"CUIT NO CARGADO")</f>
        <v>FEDERAL EXPRESS CORPORATION</v>
      </c>
      <c r="H13" s="227">
        <v>85176</v>
      </c>
      <c r="I13" s="228">
        <f>IF('Nov-24'!$H13="","",'Nov-24'!$H13*0.21)</f>
        <v>17886.96</v>
      </c>
      <c r="J13" s="228"/>
      <c r="K13" s="228"/>
      <c r="L13" s="228"/>
      <c r="M13" s="228"/>
      <c r="N13" s="228"/>
      <c r="O13" s="228">
        <v>434676.07</v>
      </c>
      <c r="P13" s="229">
        <f>SUM('Nov-24'!$H13:$O13)</f>
        <v>537739.03</v>
      </c>
      <c r="Q13" s="230" t="str">
        <f>IFERROR(IF('Nov-24'!$F13="","-",VLOOKUP('Nov-24'!$F13,Lista_CUIT!$A$1:$D$2241,3,0)),"CUIT NO CARGADO")</f>
        <v>Gastos Importacion</v>
      </c>
      <c r="R13" s="231">
        <f>IFERROR(IF('Nov-24'!$F13="","-",VLOOKUP('Nov-24'!$F13,Lista_CUIT!$A$1:$D$2241,4,0)),"CUIT NO CARGADO")</f>
        <v>0</v>
      </c>
    </row>
    <row r="14" spans="1:26" ht="15" customHeight="1" x14ac:dyDescent="0.3">
      <c r="B14" s="221">
        <v>45615</v>
      </c>
      <c r="C14" s="222">
        <v>1</v>
      </c>
      <c r="D14" s="223">
        <v>106</v>
      </c>
      <c r="E14" s="224">
        <v>789490</v>
      </c>
      <c r="F14" s="225">
        <v>30594494187</v>
      </c>
      <c r="G14" s="226" t="str">
        <f>IFERROR(IF('Nov-24'!$F14="","-",VLOOKUP('Nov-24'!$F14,Lista_CUIT!$A$1:$D$2241,2,0)),"CUIT NO CARGADO")</f>
        <v>FEDERAL EXPRESS CORPORATION</v>
      </c>
      <c r="H14" s="227"/>
      <c r="I14" s="228" t="str">
        <f>IF('Nov-24'!$H14="","",'Nov-24'!$H14*0.21)</f>
        <v/>
      </c>
      <c r="J14" s="228"/>
      <c r="K14" s="228"/>
      <c r="L14" s="228"/>
      <c r="M14" s="228"/>
      <c r="N14" s="228"/>
      <c r="O14" s="228">
        <v>950849.28</v>
      </c>
      <c r="P14" s="229">
        <f>SUM('Nov-24'!$H14:$O14)</f>
        <v>950849.28</v>
      </c>
      <c r="Q14" s="230" t="str">
        <f>IFERROR(IF('Nov-24'!$F14="","-",VLOOKUP('Nov-24'!$F14,Lista_CUIT!$A$1:$D$2241,3,0)),"CUIT NO CARGADO")</f>
        <v>Gastos Importacion</v>
      </c>
      <c r="R14" s="231">
        <f>IFERROR(IF('Nov-24'!$F14="","-",VLOOKUP('Nov-24'!$F14,Lista_CUIT!$A$1:$D$2241,4,0)),"CUIT NO CARGADO")</f>
        <v>0</v>
      </c>
    </row>
    <row r="15" spans="1:26" ht="15" customHeight="1" x14ac:dyDescent="0.3">
      <c r="B15" s="221">
        <v>45607</v>
      </c>
      <c r="C15" s="222">
        <v>1</v>
      </c>
      <c r="D15" s="223">
        <v>2</v>
      </c>
      <c r="E15" s="224">
        <v>4012</v>
      </c>
      <c r="F15" s="225">
        <v>20224251263</v>
      </c>
      <c r="G15" s="226" t="str">
        <f>IFERROR(IF('Nov-24'!$F15="","-",VLOOKUP('Nov-24'!$F15,Lista_CUIT!$A$1:$D$2241,2,0)),"CUIT NO CARGADO")</f>
        <v>ZANGARI CESAR DAVID</v>
      </c>
      <c r="H15" s="227">
        <v>10854.54</v>
      </c>
      <c r="I15" s="228">
        <f>IF('Nov-24'!$H15="","",'Nov-24'!$H15*0.21)</f>
        <v>2279.4533999999999</v>
      </c>
      <c r="J15" s="228"/>
      <c r="K15" s="228"/>
      <c r="L15" s="228"/>
      <c r="M15" s="228"/>
      <c r="N15" s="228"/>
      <c r="O15" s="228"/>
      <c r="P15" s="229">
        <f>SUM('Nov-24'!$H15:$O15)</f>
        <v>13133.993400000001</v>
      </c>
      <c r="Q15" s="230" t="str">
        <f>IFERROR(IF('Nov-24'!$F15="","-",VLOOKUP('Nov-24'!$F15,Lista_CUIT!$A$1:$D$2241,3,0)),"CUIT NO CARGADO")</f>
        <v>Materiales Electricos</v>
      </c>
      <c r="R15" s="231">
        <f>IFERROR(IF('Nov-24'!$F15="","-",VLOOKUP('Nov-24'!$F15,Lista_CUIT!$A$1:$D$2241,4,0)),"CUIT NO CARGADO")</f>
        <v>0</v>
      </c>
    </row>
    <row r="16" spans="1:26" ht="15" customHeight="1" x14ac:dyDescent="0.3">
      <c r="A16" s="43"/>
      <c r="B16" s="221">
        <v>45625</v>
      </c>
      <c r="C16" s="222">
        <v>1</v>
      </c>
      <c r="D16" s="223">
        <v>6</v>
      </c>
      <c r="E16" s="224">
        <v>17416</v>
      </c>
      <c r="F16" s="225">
        <v>30717247244</v>
      </c>
      <c r="G16" s="226" t="str">
        <f>IFERROR(IF('Nov-24'!$F16="","-",VLOOKUP('Nov-24'!$F16,Lista_CUIT!$A$1:$D$2241,2,0)),"CUIT NO CARGADO")</f>
        <v>DISPERO SA</v>
      </c>
      <c r="H16" s="227">
        <v>22078</v>
      </c>
      <c r="I16" s="228">
        <f>IF('Nov-24'!$H16="","",'Nov-24'!$H16*0.21)</f>
        <v>4636.38</v>
      </c>
      <c r="J16" s="228"/>
      <c r="K16" s="228"/>
      <c r="L16" s="228"/>
      <c r="M16" s="228"/>
      <c r="N16" s="228"/>
      <c r="O16" s="228"/>
      <c r="P16" s="229">
        <f>SUM('Nov-24'!$H16:$O16)</f>
        <v>26714.38</v>
      </c>
      <c r="Q16" s="230" t="str">
        <f>IFERROR(IF('Nov-24'!$F16="","-",VLOOKUP('Nov-24'!$F16,Lista_CUIT!$A$1:$D$2241,3,0)),"CUIT NO CARGADO")</f>
        <v>Ropa de Trabajo</v>
      </c>
      <c r="R16" s="231">
        <f>IFERROR(IF('Nov-24'!$F16="","-",VLOOKUP('Nov-24'!$F16,Lista_CUIT!$A$1:$D$2241,4,0)),"CUIT NO CARGADO")</f>
        <v>0</v>
      </c>
      <c r="S16" s="43"/>
      <c r="T16" s="43"/>
      <c r="U16" s="43"/>
      <c r="V16" s="43"/>
      <c r="W16" s="43"/>
      <c r="X16" s="43"/>
      <c r="Y16" s="43"/>
      <c r="Z16" s="43"/>
    </row>
    <row r="17" spans="2:19" ht="15" customHeight="1" x14ac:dyDescent="0.3">
      <c r="B17" s="221">
        <v>45602</v>
      </c>
      <c r="C17" s="222">
        <v>1</v>
      </c>
      <c r="D17" s="223">
        <v>3</v>
      </c>
      <c r="E17" s="224">
        <v>7864</v>
      </c>
      <c r="F17" s="225">
        <v>30710585411</v>
      </c>
      <c r="G17" s="226" t="str">
        <f>IFERROR(IF('Nov-24'!$F17="","-",VLOOKUP('Nov-24'!$F17,Lista_CUIT!$A$1:$D$2241,2,0)),"CUIT NO CARGADO")</f>
        <v>POSITIF PLANIFIER S.A.</v>
      </c>
      <c r="H17" s="227">
        <v>52214.879999999997</v>
      </c>
      <c r="I17" s="228">
        <f>IF('Nov-24'!$H17="","",'Nov-24'!$H17*0.21)</f>
        <v>10965.1248</v>
      </c>
      <c r="J17" s="228"/>
      <c r="K17" s="228"/>
      <c r="L17" s="228"/>
      <c r="M17" s="228"/>
      <c r="N17" s="228"/>
      <c r="O17" s="228"/>
      <c r="P17" s="229">
        <f>SUM('Nov-24'!$H17:$O17)</f>
        <v>63180.004799999995</v>
      </c>
      <c r="Q17" s="230" t="str">
        <f>IFERROR(IF('Nov-24'!$F17="","-",VLOOKUP('Nov-24'!$F17,Lista_CUIT!$A$1:$D$2241,3,0)),"CUIT NO CARGADO")</f>
        <v>Gastos de Comercializacion</v>
      </c>
      <c r="R17" s="231">
        <f>IFERROR(IF('Nov-24'!$F17="","-",VLOOKUP('Nov-24'!$F17,Lista_CUIT!$A$1:$D$2241,4,0)),"CUIT NO CARGADO")</f>
        <v>0</v>
      </c>
    </row>
    <row r="18" spans="2:19" ht="15" customHeight="1" x14ac:dyDescent="0.3">
      <c r="B18" s="221">
        <v>45622</v>
      </c>
      <c r="C18" s="222">
        <v>1</v>
      </c>
      <c r="D18" s="223">
        <v>280</v>
      </c>
      <c r="E18" s="224">
        <v>1532403</v>
      </c>
      <c r="F18" s="225">
        <v>30580111315</v>
      </c>
      <c r="G18" s="226" t="str">
        <f>IFERROR(IF('Nov-24'!$F18="","-",VLOOKUP('Nov-24'!$F18,Lista_CUIT!$A$1:$D$2241,2,0)),"CUIT NO CARGADO")</f>
        <v>DHL EXPRESS (ARGENTINA) S.A.</v>
      </c>
      <c r="H18" s="227">
        <v>1037582.59</v>
      </c>
      <c r="I18" s="228">
        <f>IF('Nov-24'!$H18="","",'Nov-24'!$H18*0.21)</f>
        <v>217892.34389999998</v>
      </c>
      <c r="J18" s="228"/>
      <c r="K18" s="228"/>
      <c r="L18" s="228"/>
      <c r="M18" s="228"/>
      <c r="N18" s="228">
        <v>191048.04</v>
      </c>
      <c r="O18" s="228">
        <v>-1037582.59</v>
      </c>
      <c r="P18" s="229">
        <f>SUM('Nov-24'!$H18:$O18)</f>
        <v>408940.38390000013</v>
      </c>
      <c r="Q18" s="230" t="str">
        <f>IFERROR(IF('Nov-24'!$F18="","-",VLOOKUP('Nov-24'!$F18,Lista_CUIT!$A$1:$D$2241,3,0)),"CUIT NO CARGADO")</f>
        <v>Gastos Importacion</v>
      </c>
      <c r="R18" s="231">
        <f>IFERROR(IF('Nov-24'!$F18="","-",VLOOKUP('Nov-24'!$F18,Lista_CUIT!$A$1:$D$2241,4,0)),"CUIT NO CARGADO")</f>
        <v>0</v>
      </c>
    </row>
    <row r="19" spans="2:19" ht="15" customHeight="1" x14ac:dyDescent="0.3">
      <c r="B19" s="221">
        <v>45626</v>
      </c>
      <c r="C19" s="222">
        <v>1</v>
      </c>
      <c r="D19" s="223">
        <v>700</v>
      </c>
      <c r="E19" s="224">
        <v>733402</v>
      </c>
      <c r="F19" s="225">
        <v>30580111315</v>
      </c>
      <c r="G19" s="226" t="str">
        <f>IFERROR(IF('Nov-24'!$F19="","-",VLOOKUP('Nov-24'!$F19,Lista_CUIT!$A$1:$D$2241,2,0)),"CUIT NO CARGADO")</f>
        <v>DHL EXPRESS (ARGENTINA) S.A.</v>
      </c>
      <c r="H19" s="227">
        <v>15450</v>
      </c>
      <c r="I19" s="228">
        <f>IF('Nov-24'!$H19="","",'Nov-24'!$H19*0.21)</f>
        <v>3244.5</v>
      </c>
      <c r="J19" s="228"/>
      <c r="K19" s="228"/>
      <c r="L19" s="228"/>
      <c r="M19" s="228"/>
      <c r="N19" s="228"/>
      <c r="O19" s="228">
        <v>1801229.17</v>
      </c>
      <c r="P19" s="229">
        <f>SUM('Nov-24'!$H19:$O19)</f>
        <v>1819923.67</v>
      </c>
      <c r="Q19" s="230" t="str">
        <f>IFERROR(IF('Nov-24'!$F19="","-",VLOOKUP('Nov-24'!$F19,Lista_CUIT!$A$1:$D$2241,3,0)),"CUIT NO CARGADO")</f>
        <v>Gastos Importacion</v>
      </c>
      <c r="R19" s="231">
        <f>IFERROR(IF('Nov-24'!$F19="","-",VLOOKUP('Nov-24'!$F19,Lista_CUIT!$A$1:$D$2241,4,0)),"CUIT NO CARGADO")</f>
        <v>0</v>
      </c>
    </row>
    <row r="20" spans="2:19" ht="15" customHeight="1" x14ac:dyDescent="0.3">
      <c r="B20" s="221">
        <v>45618</v>
      </c>
      <c r="C20" s="222">
        <v>1</v>
      </c>
      <c r="D20" s="223">
        <v>2</v>
      </c>
      <c r="E20" s="224">
        <v>207</v>
      </c>
      <c r="F20" s="225">
        <v>20125142851</v>
      </c>
      <c r="G20" s="226" t="str">
        <f>IFERROR(IF('Nov-24'!$F20="","-",VLOOKUP('Nov-24'!$F20,Lista_CUIT!$A$1:$D$2241,2,0)),"CUIT NO CARGADO")</f>
        <v>FEDERICI NICOLAS JOSE</v>
      </c>
      <c r="H20" s="227">
        <v>1427765.04</v>
      </c>
      <c r="I20" s="228">
        <f>IF('Nov-24'!$H20="","",'Nov-24'!$H20*0.21)</f>
        <v>299830.65840000001</v>
      </c>
      <c r="J20" s="228"/>
      <c r="K20" s="228"/>
      <c r="L20" s="228"/>
      <c r="M20" s="228"/>
      <c r="N20" s="228"/>
      <c r="O20" s="228"/>
      <c r="P20" s="229">
        <f>SUM('Nov-24'!$H20:$O20)</f>
        <v>1727595.6984000001</v>
      </c>
      <c r="Q20" s="230" t="str">
        <f>IFERROR(IF('Nov-24'!$F20="","-",VLOOKUP('Nov-24'!$F20,Lista_CUIT!$A$1:$D$2241,3,0)),"CUIT NO CARGADO")</f>
        <v>INSUMO</v>
      </c>
      <c r="R20" s="231">
        <f>IFERROR(IF('Nov-24'!$F20="","-",VLOOKUP('Nov-24'!$F20,Lista_CUIT!$A$1:$D$2241,4,0)),"CUIT NO CARGADO")</f>
        <v>0</v>
      </c>
    </row>
    <row r="21" spans="2:19" ht="15" customHeight="1" x14ac:dyDescent="0.3">
      <c r="B21" s="221">
        <v>45623</v>
      </c>
      <c r="C21" s="222">
        <v>1</v>
      </c>
      <c r="D21" s="223">
        <v>2</v>
      </c>
      <c r="E21" s="224">
        <v>208</v>
      </c>
      <c r="F21" s="225">
        <v>20125142851</v>
      </c>
      <c r="G21" s="226" t="str">
        <f>IFERROR(IF('Nov-24'!$F21="","-",VLOOKUP('Nov-24'!$F21,Lista_CUIT!$A$1:$D$2241,2,0)),"CUIT NO CARGADO")</f>
        <v>FEDERICI NICOLAS JOSE</v>
      </c>
      <c r="H21" s="227">
        <v>246993.12</v>
      </c>
      <c r="I21" s="228">
        <f>IF('Nov-24'!$H21="","",'Nov-24'!$H21*0.21)</f>
        <v>51868.555199999995</v>
      </c>
      <c r="J21" s="228"/>
      <c r="K21" s="228"/>
      <c r="L21" s="228"/>
      <c r="M21" s="228"/>
      <c r="N21" s="228"/>
      <c r="O21" s="228"/>
      <c r="P21" s="229">
        <f>SUM('Nov-24'!$H21:$O21)</f>
        <v>298861.6752</v>
      </c>
      <c r="Q21" s="230" t="str">
        <f>IFERROR(IF('Nov-24'!$F21="","-",VLOOKUP('Nov-24'!$F21,Lista_CUIT!$A$1:$D$2241,3,0)),"CUIT NO CARGADO")</f>
        <v>INSUMO</v>
      </c>
      <c r="R21" s="231">
        <f>IFERROR(IF('Nov-24'!$F21="","-",VLOOKUP('Nov-24'!$F21,Lista_CUIT!$A$1:$D$2241,4,0)),"CUIT NO CARGADO")</f>
        <v>0</v>
      </c>
    </row>
    <row r="22" spans="2:19" ht="15" customHeight="1" x14ac:dyDescent="0.3">
      <c r="B22" s="221">
        <v>45597</v>
      </c>
      <c r="C22" s="222">
        <v>1</v>
      </c>
      <c r="D22" s="223">
        <v>3</v>
      </c>
      <c r="E22" s="224">
        <v>802</v>
      </c>
      <c r="F22" s="225">
        <v>30715402765</v>
      </c>
      <c r="G22" s="226" t="str">
        <f>IFERROR(IF('Nov-24'!$F22="","-",VLOOKUP('Nov-24'!$F22,Lista_CUIT!$A$1:$D$2241,2,0)),"CUIT NO CARGADO")</f>
        <v>RIO 265 S.R.L.</v>
      </c>
      <c r="H22" s="227">
        <v>71074.39</v>
      </c>
      <c r="I22" s="228">
        <f>IF('Nov-24'!$H22="","",'Nov-24'!$H22*0.21)</f>
        <v>14925.6219</v>
      </c>
      <c r="J22" s="228"/>
      <c r="K22" s="228"/>
      <c r="L22" s="228"/>
      <c r="M22" s="228"/>
      <c r="N22" s="228"/>
      <c r="O22" s="228"/>
      <c r="P22" s="229">
        <f>SUM('Nov-24'!$H22:$O22)</f>
        <v>86000.011899999998</v>
      </c>
      <c r="Q22" s="230" t="str">
        <f>IFERROR(IF('Nov-24'!$F22="","-",VLOOKUP('Nov-24'!$F22,Lista_CUIT!$A$1:$D$2241,3,0)),"CUIT NO CARGADO")</f>
        <v>GASTOS VARIOS</v>
      </c>
      <c r="R22" s="231">
        <f>IFERROR(IF('Nov-24'!$F22="","-",VLOOKUP('Nov-24'!$F22,Lista_CUIT!$A$1:$D$2241,4,0)),"CUIT NO CARGADO")</f>
        <v>0</v>
      </c>
    </row>
    <row r="23" spans="2:19" ht="15" customHeight="1" x14ac:dyDescent="0.3">
      <c r="B23" s="221">
        <v>45597</v>
      </c>
      <c r="C23" s="222">
        <v>1</v>
      </c>
      <c r="D23" s="223">
        <v>3</v>
      </c>
      <c r="E23" s="224">
        <v>245795</v>
      </c>
      <c r="F23" s="225">
        <v>30707135596</v>
      </c>
      <c r="G23" s="226" t="str">
        <f>IFERROR(IF('Nov-24'!$F23="","-",VLOOKUP('Nov-24'!$F23,Lista_CUIT!$A$1:$D$2241,2,0)),"CUIT NO CARGADO")</f>
        <v>CITILAN ARGENTINA S.A.</v>
      </c>
      <c r="H23" s="227">
        <v>23621.040000000001</v>
      </c>
      <c r="I23" s="228">
        <f>IF('Nov-24'!$H23="","",'Nov-24'!$H23*0.21)</f>
        <v>4960.4183999999996</v>
      </c>
      <c r="J23" s="228"/>
      <c r="K23" s="228"/>
      <c r="L23" s="228"/>
      <c r="M23" s="228"/>
      <c r="N23" s="228"/>
      <c r="O23" s="228"/>
      <c r="P23" s="229">
        <f>SUM('Nov-24'!$H23:$O23)</f>
        <v>28581.4584</v>
      </c>
      <c r="Q23" s="230" t="str">
        <f>IFERROR(IF('Nov-24'!$F23="","-",VLOOKUP('Nov-24'!$F23,Lista_CUIT!$A$1:$D$2241,3,0)),"CUIT NO CARGADO")</f>
        <v>Telefonia</v>
      </c>
      <c r="R23" s="231">
        <f>IFERROR(IF('Nov-24'!$F23="","-",VLOOKUP('Nov-24'!$F23,Lista_CUIT!$A$1:$D$2241,4,0)),"CUIT NO CARGADO")</f>
        <v>0</v>
      </c>
    </row>
    <row r="24" spans="2:19" ht="15" customHeight="1" x14ac:dyDescent="0.3">
      <c r="B24" s="221">
        <v>45610</v>
      </c>
      <c r="C24" s="222">
        <v>1</v>
      </c>
      <c r="D24" s="223">
        <v>13</v>
      </c>
      <c r="E24" s="224">
        <v>904544</v>
      </c>
      <c r="F24" s="225">
        <v>30700940957</v>
      </c>
      <c r="G24" s="226" t="str">
        <f>IFERROR(IF('Nov-24'!$F24="","-",VLOOKUP('Nov-24'!$F24,Lista_CUIT!$A$1:$D$2241,2,0)),"CUIT NO CARGADO")</f>
        <v>UPS DE ARGENTINA SA</v>
      </c>
      <c r="H24" s="227"/>
      <c r="I24" s="228" t="str">
        <f>IF('Nov-24'!$H24="","",'Nov-24'!$H24*0.21)</f>
        <v/>
      </c>
      <c r="J24" s="228"/>
      <c r="K24" s="228"/>
      <c r="L24" s="228"/>
      <c r="M24" s="228"/>
      <c r="N24" s="228"/>
      <c r="O24" s="228">
        <v>109280.61</v>
      </c>
      <c r="P24" s="229">
        <f>SUM('Nov-24'!$H24:$O24)</f>
        <v>109280.61</v>
      </c>
      <c r="Q24" s="230" t="str">
        <f>IFERROR(IF('Nov-24'!$F24="","-",VLOOKUP('Nov-24'!$F24,Lista_CUIT!$A$1:$D$2241,3,0)),"CUIT NO CARGADO")</f>
        <v>Gastos Importacion</v>
      </c>
      <c r="R24" s="231">
        <f>IFERROR(IF('Nov-24'!$F24="","-",VLOOKUP('Nov-24'!$F24,Lista_CUIT!$A$1:$D$2241,4,0)),"CUIT NO CARGADO")</f>
        <v>0</v>
      </c>
    </row>
    <row r="25" spans="2:19" ht="15" customHeight="1" x14ac:dyDescent="0.3">
      <c r="B25" s="221">
        <v>45610</v>
      </c>
      <c r="C25" s="222">
        <v>1</v>
      </c>
      <c r="D25" s="223">
        <v>13</v>
      </c>
      <c r="E25" s="224">
        <v>904545</v>
      </c>
      <c r="F25" s="225">
        <v>30700940957</v>
      </c>
      <c r="G25" s="226" t="str">
        <f>IFERROR(IF('Nov-24'!$F25="","-",VLOOKUP('Nov-24'!$F25,Lista_CUIT!$A$1:$D$2241,2,0)),"CUIT NO CARGADO")</f>
        <v>UPS DE ARGENTINA SA</v>
      </c>
      <c r="H25" s="227">
        <v>1101359.71</v>
      </c>
      <c r="I25" s="228">
        <f>IF('Nov-24'!$H25="","",'Nov-24'!$H25*0.21)</f>
        <v>231285.53909999999</v>
      </c>
      <c r="J25" s="228"/>
      <c r="K25" s="228"/>
      <c r="L25" s="228"/>
      <c r="M25" s="228"/>
      <c r="N25" s="228"/>
      <c r="O25" s="228">
        <v>485299.24</v>
      </c>
      <c r="P25" s="229">
        <f>SUM('Nov-24'!$H25:$O25)</f>
        <v>1817944.4890999999</v>
      </c>
      <c r="Q25" s="230" t="str">
        <f>IFERROR(IF('Nov-24'!$F25="","-",VLOOKUP('Nov-24'!$F25,Lista_CUIT!$A$1:$D$2241,3,0)),"CUIT NO CARGADO")</f>
        <v>Gastos Importacion</v>
      </c>
      <c r="R25" s="231">
        <f>IFERROR(IF('Nov-24'!$F25="","-",VLOOKUP('Nov-24'!$F25,Lista_CUIT!$A$1:$D$2241,4,0)),"CUIT NO CARGADO")</f>
        <v>0</v>
      </c>
    </row>
    <row r="26" spans="2:19" ht="15" customHeight="1" x14ac:dyDescent="0.3">
      <c r="B26" s="221">
        <v>45625</v>
      </c>
      <c r="C26" s="222">
        <v>1</v>
      </c>
      <c r="D26" s="223">
        <v>2</v>
      </c>
      <c r="E26" s="224">
        <v>17138</v>
      </c>
      <c r="F26" s="225">
        <v>30624684628</v>
      </c>
      <c r="G26" s="226" t="str">
        <f>IFERROR(IF('Nov-24'!$F26="","-",VLOOKUP('Nov-24'!$F26,Lista_CUIT!$A$1:$D$2241,2,0)),"CUIT NO CARGADO")</f>
        <v>MITSUKO ARGENTINA S R L</v>
      </c>
      <c r="H26" s="227">
        <v>563160</v>
      </c>
      <c r="I26" s="228">
        <f>IF('Nov-24'!$H26="","",'Nov-24'!$H26*0.21)</f>
        <v>118263.59999999999</v>
      </c>
      <c r="J26" s="228"/>
      <c r="K26" s="228"/>
      <c r="L26" s="228"/>
      <c r="M26" s="228"/>
      <c r="N26" s="228"/>
      <c r="O26" s="228"/>
      <c r="P26" s="229">
        <f>SUM('Nov-24'!$H26:$O26)</f>
        <v>681423.6</v>
      </c>
      <c r="Q26" s="230" t="str">
        <f>IFERROR(IF('Nov-24'!$F26="","-",VLOOKUP('Nov-24'!$F26,Lista_CUIT!$A$1:$D$2241,3,0)),"CUIT NO CARGADO")</f>
        <v>INSUMO</v>
      </c>
      <c r="R26" s="231">
        <f>IFERROR(IF('Nov-24'!$F26="","-",VLOOKUP('Nov-24'!$F26,Lista_CUIT!$A$1:$D$2241,4,0)),"CUIT NO CARGADO")</f>
        <v>0</v>
      </c>
    </row>
    <row r="27" spans="2:19" ht="15" customHeight="1" x14ac:dyDescent="0.3">
      <c r="B27" s="221">
        <v>45609</v>
      </c>
      <c r="C27" s="222">
        <v>1</v>
      </c>
      <c r="D27" s="223">
        <v>5</v>
      </c>
      <c r="E27" s="224">
        <v>61824</v>
      </c>
      <c r="F27" s="225">
        <v>30716711621</v>
      </c>
      <c r="G27" s="226" t="str">
        <f>IFERROR(IF('Nov-24'!$F27="","-",VLOOKUP('Nov-24'!$F27,Lista_CUIT!$A$1:$D$2241,2,0)),"CUIT NO CARGADO")</f>
        <v>TC TIENDAS AR SRL</v>
      </c>
      <c r="H27" s="227">
        <v>10850.68</v>
      </c>
      <c r="I27" s="228"/>
      <c r="J27" s="228"/>
      <c r="K27" s="228">
        <f>Table_49[[#This Row],[NETO GRAVADO]]*0.105</f>
        <v>1139.3214</v>
      </c>
      <c r="L27" s="228"/>
      <c r="M27" s="228"/>
      <c r="N27" s="228"/>
      <c r="O27" s="228"/>
      <c r="P27" s="229">
        <f>SUM('Nov-24'!$H27:$O27)</f>
        <v>11990.001400000001</v>
      </c>
      <c r="Q27" s="230" t="str">
        <f>IFERROR(IF('Nov-24'!$F27="","-",VLOOKUP('Nov-24'!$F27,Lista_CUIT!$A$1:$D$2241,3,0)),"CUIT NO CARGADO")</f>
        <v>Gastos Oficina</v>
      </c>
      <c r="R27" s="231">
        <f>IFERROR(IF('Nov-24'!$F27="","-",VLOOKUP('Nov-24'!$F27,Lista_CUIT!$A$1:$D$2241,4,0)),"CUIT NO CARGADO")</f>
        <v>0</v>
      </c>
    </row>
    <row r="28" spans="2:19" ht="15" customHeight="1" x14ac:dyDescent="0.3">
      <c r="B28" s="221">
        <v>45614</v>
      </c>
      <c r="C28" s="222">
        <v>1</v>
      </c>
      <c r="D28" s="223">
        <v>4</v>
      </c>
      <c r="E28" s="224">
        <v>24038</v>
      </c>
      <c r="F28" s="225">
        <v>20328816807</v>
      </c>
      <c r="G28" s="226" t="str">
        <f>IFERROR(IF('Nov-24'!$F28="","-",VLOOKUP('Nov-24'!$F28,Lista_CUIT!$A$1:$D$2241,2,0)),"CUIT NO CARGADO")</f>
        <v>ALBANO SEBASTIAN LUPONE</v>
      </c>
      <c r="H28" s="227">
        <v>6419.01</v>
      </c>
      <c r="I28" s="228">
        <f>IF('Nov-24'!$H28="","",'Nov-24'!$H28*0.21)</f>
        <v>1347.9920999999999</v>
      </c>
      <c r="J28" s="228"/>
      <c r="K28" s="228"/>
      <c r="L28" s="228"/>
      <c r="M28" s="228"/>
      <c r="N28" s="228"/>
      <c r="O28" s="228"/>
      <c r="P28" s="229">
        <f>SUM('Nov-24'!$H28:$O28)</f>
        <v>7767.0020999999997</v>
      </c>
      <c r="Q28" s="230" t="str">
        <f>IFERROR(IF('Nov-24'!$F28="","-",VLOOKUP('Nov-24'!$F28,Lista_CUIT!$A$1:$D$2241,3,0)),"CUIT NO CARGADO")</f>
        <v>Papeleria</v>
      </c>
      <c r="R28" s="231">
        <f>IFERROR(IF('Nov-24'!$F28="","-",VLOOKUP('Nov-24'!$F28,Lista_CUIT!$A$1:$D$2241,4,0)),"CUIT NO CARGADO")</f>
        <v>0</v>
      </c>
    </row>
    <row r="29" spans="2:19" ht="15" customHeight="1" x14ac:dyDescent="0.3">
      <c r="B29" s="221">
        <v>45609</v>
      </c>
      <c r="C29" s="222">
        <v>1</v>
      </c>
      <c r="D29" s="223">
        <v>4</v>
      </c>
      <c r="E29" s="224">
        <v>23974</v>
      </c>
      <c r="F29" s="225">
        <v>20328816807</v>
      </c>
      <c r="G29" s="226" t="str">
        <f>IFERROR(IF('Nov-24'!$F29="","-",VLOOKUP('Nov-24'!$F29,Lista_CUIT!$A$1:$D$2241,2,0)),"CUIT NO CARGADO")</f>
        <v>ALBANO SEBASTIAN LUPONE</v>
      </c>
      <c r="H29" s="227">
        <v>6419.01</v>
      </c>
      <c r="I29" s="228">
        <f>IF('Nov-24'!$H29="","",'Nov-24'!$H29*0.21)</f>
        <v>1347.9920999999999</v>
      </c>
      <c r="J29" s="228"/>
      <c r="K29" s="228"/>
      <c r="L29" s="228"/>
      <c r="M29" s="228"/>
      <c r="N29" s="228"/>
      <c r="O29" s="228"/>
      <c r="P29" s="229">
        <f>SUM('Nov-24'!$H29:$O29)</f>
        <v>7767.0020999999997</v>
      </c>
      <c r="Q29" s="230" t="str">
        <f>IFERROR(IF('Nov-24'!$F29="","-",VLOOKUP('Nov-24'!$F29,Lista_CUIT!$A$1:$D$2241,3,0)),"CUIT NO CARGADO")</f>
        <v>Papeleria</v>
      </c>
      <c r="R29" s="231">
        <f>IFERROR(IF('Nov-24'!$F29="","-",VLOOKUP('Nov-24'!$F29,Lista_CUIT!$A$1:$D$2241,4,0)),"CUIT NO CARGADO")</f>
        <v>0</v>
      </c>
    </row>
    <row r="30" spans="2:19" ht="15" customHeight="1" x14ac:dyDescent="0.3">
      <c r="B30" s="221">
        <v>45614</v>
      </c>
      <c r="C30" s="222">
        <v>1</v>
      </c>
      <c r="D30" s="223">
        <v>10</v>
      </c>
      <c r="E30" s="224">
        <v>9969</v>
      </c>
      <c r="F30" s="225">
        <v>30716373475</v>
      </c>
      <c r="G30" s="226" t="str">
        <f>IFERROR(IF('Nov-24'!$F30="","-",VLOOKUP('Nov-24'!$F30,Lista_CUIT!$A$1:$D$2241,2,0)),"CUIT NO CARGADO")</f>
        <v>GRUPO FELIPA  SAS</v>
      </c>
      <c r="H30" s="227">
        <v>37910.5</v>
      </c>
      <c r="I30" s="228">
        <f>IF('Nov-24'!$H30="","",'Nov-24'!$H30*0.21)</f>
        <v>7961.2049999999999</v>
      </c>
      <c r="J30" s="228"/>
      <c r="K30" s="228"/>
      <c r="L30" s="228"/>
      <c r="M30" s="228"/>
      <c r="N30" s="228"/>
      <c r="O30" s="228"/>
      <c r="P30" s="229">
        <f>SUM('Nov-24'!$H30:$O30)</f>
        <v>45871.705000000002</v>
      </c>
      <c r="Q30" s="230" t="str">
        <f>IFERROR(IF('Nov-24'!$F30="","-",VLOOKUP('Nov-24'!$F30,Lista_CUIT!$A$1:$D$2241,3,0)),"CUIT NO CARGADO")</f>
        <v>INSUMO</v>
      </c>
      <c r="R30" s="231">
        <f>IFERROR(IF('Nov-24'!$F30="","-",VLOOKUP('Nov-24'!$F30,Lista_CUIT!$A$1:$D$2241,4,0)),"CUIT NO CARGADO")</f>
        <v>0</v>
      </c>
    </row>
    <row r="31" spans="2:19" ht="15" customHeight="1" x14ac:dyDescent="0.3">
      <c r="B31" s="221">
        <v>45626</v>
      </c>
      <c r="C31" s="222">
        <v>1</v>
      </c>
      <c r="D31" s="223">
        <v>5</v>
      </c>
      <c r="E31" s="224">
        <v>1303</v>
      </c>
      <c r="F31" s="225">
        <v>20315447241</v>
      </c>
      <c r="G31" s="226" t="str">
        <f>IFERROR(IF('Nov-24'!$F31="","-",VLOOKUP('Nov-24'!$F31,Lista_CUIT!$A$1:$D$2241,2,0)),"CUIT NO CARGADO")</f>
        <v>RODRIGUEZ MATIAS ALEJANDRO</v>
      </c>
      <c r="H31" s="227">
        <v>24768.6</v>
      </c>
      <c r="I31" s="228">
        <f>IF('Nov-24'!$H31="","",'Nov-24'!$H31*0.21)</f>
        <v>5201.4059999999999</v>
      </c>
      <c r="J31" s="228"/>
      <c r="K31" s="228"/>
      <c r="L31" s="228"/>
      <c r="M31" s="228"/>
      <c r="N31" s="228"/>
      <c r="O31" s="228"/>
      <c r="P31" s="229">
        <f>SUM('Nov-24'!$H31:$O31)</f>
        <v>29970.005999999998</v>
      </c>
      <c r="Q31" s="230" t="str">
        <f>IFERROR(IF('Nov-24'!$F31="","-",VLOOKUP('Nov-24'!$F31,Lista_CUIT!$A$1:$D$2241,3,0)),"CUIT NO CARGADO")</f>
        <v>GASTOS VARIOS</v>
      </c>
      <c r="R31" s="231">
        <f>IFERROR(IF('Nov-24'!$F31="","-",VLOOKUP('Nov-24'!$F31,Lista_CUIT!$A$1:$D$2241,4,0)),"CUIT NO CARGADO")</f>
        <v>0</v>
      </c>
    </row>
    <row r="32" spans="2:19" ht="15" customHeight="1" x14ac:dyDescent="0.3">
      <c r="B32" s="221">
        <v>45614</v>
      </c>
      <c r="C32" s="222">
        <v>1</v>
      </c>
      <c r="D32" s="223">
        <v>7</v>
      </c>
      <c r="E32" s="224">
        <v>8746</v>
      </c>
      <c r="F32" s="225">
        <v>30716855909</v>
      </c>
      <c r="G32" s="226" t="str">
        <f>IFERROR(IF('Nov-24'!$F32="","-",VLOOKUP('Nov-24'!$F32,Lista_CUIT!$A$1:$D$2241,2,0)),"CUIT NO CARGADO")</f>
        <v>EQ DIGITAL SRL</v>
      </c>
      <c r="H32" s="227">
        <v>76684.160000000003</v>
      </c>
      <c r="I32" s="228"/>
      <c r="J32" s="228"/>
      <c r="K32" s="228">
        <f>Table_49[[#This Row],[NETO GRAVADO]]*0.105</f>
        <v>8051.8368</v>
      </c>
      <c r="L32" s="228"/>
      <c r="M32" s="228"/>
      <c r="N32" s="228"/>
      <c r="O32" s="228"/>
      <c r="P32" s="229">
        <f>SUM('Nov-24'!$H32:$O32)</f>
        <v>84735.996800000008</v>
      </c>
      <c r="Q32" s="230" t="str">
        <f>IFERROR(IF('Nov-24'!$F32="","-",VLOOKUP('Nov-24'!$F32,Lista_CUIT!$A$1:$D$2241,3,0)),"CUIT NO CARGADO")</f>
        <v>INSUMO</v>
      </c>
      <c r="R32" s="231">
        <f>IFERROR(IF('Nov-24'!$F32="","-",VLOOKUP('Nov-24'!$F32,Lista_CUIT!$A$1:$D$2241,4,0)),"CUIT NO CARGADO")</f>
        <v>0</v>
      </c>
      <c r="S32" s="3" t="s">
        <v>1440</v>
      </c>
    </row>
    <row r="33" spans="2:19" ht="15" customHeight="1" x14ac:dyDescent="0.3">
      <c r="B33" s="221">
        <v>45604</v>
      </c>
      <c r="C33" s="222">
        <v>1</v>
      </c>
      <c r="D33" s="223">
        <v>11</v>
      </c>
      <c r="E33" s="224">
        <v>1010</v>
      </c>
      <c r="F33" s="225">
        <v>20268221590</v>
      </c>
      <c r="G33" s="302" t="str">
        <f>IFERROR(IF('Nov-24'!$F33="","-",VLOOKUP('Nov-24'!$F33,Lista_CUIT!$A$1:$D$2241,2,0)),"CUIT NO CARGADO")</f>
        <v>CURRAO JOSE ANTONIO DAVID</v>
      </c>
      <c r="H33" s="227">
        <v>8735.3700000000008</v>
      </c>
      <c r="I33" s="228">
        <f>IF('Nov-24'!$H33="","",'Nov-24'!$H33*0.21)</f>
        <v>1834.4277000000002</v>
      </c>
      <c r="J33" s="228"/>
      <c r="K33" s="228"/>
      <c r="L33" s="228"/>
      <c r="M33" s="228"/>
      <c r="N33" s="228"/>
      <c r="O33" s="228"/>
      <c r="P33" s="322">
        <f>SUM('Nov-24'!$H33:$O33)</f>
        <v>10569.797700000001</v>
      </c>
      <c r="Q33" s="230" t="str">
        <f>IFERROR(IF('Nov-24'!$F33="","-",VLOOKUP('Nov-24'!$F33,Lista_CUIT!$A$1:$D$2241,3,0)),"CUIT NO CARGADO")</f>
        <v>Materiales Electricos</v>
      </c>
      <c r="R33" s="231"/>
      <c r="S33" s="3"/>
    </row>
    <row r="34" spans="2:19" ht="15" customHeight="1" x14ac:dyDescent="0.3">
      <c r="B34" s="221">
        <v>45604</v>
      </c>
      <c r="C34" s="222">
        <v>1</v>
      </c>
      <c r="D34" s="223">
        <v>3</v>
      </c>
      <c r="E34" s="224">
        <v>10383</v>
      </c>
      <c r="F34" s="225">
        <v>30715907794</v>
      </c>
      <c r="G34" s="302" t="str">
        <f>IFERROR(IF('Nov-24'!$F34="","-",VLOOKUP('Nov-24'!$F34,Lista_CUIT!$A$1:$D$2241,2,0)),"CUIT NO CARGADO")</f>
        <v>TBBD SAS</v>
      </c>
      <c r="H34" s="227">
        <v>14041.32</v>
      </c>
      <c r="I34" s="228">
        <f>IF('Nov-24'!$H34="","",'Nov-24'!$H34*0.21)</f>
        <v>2948.6771999999996</v>
      </c>
      <c r="J34" s="228"/>
      <c r="K34" s="228"/>
      <c r="L34" s="228"/>
      <c r="M34" s="228"/>
      <c r="N34" s="228"/>
      <c r="O34" s="228"/>
      <c r="P34" s="322">
        <f>SUM('Nov-24'!$H34:$O34)</f>
        <v>16989.997199999998</v>
      </c>
      <c r="Q34" s="230" t="str">
        <f>IFERROR(IF('Nov-24'!$F34="","-",VLOOKUP('Nov-24'!$F34,Lista_CUIT!$A$1:$D$2241,3,0)),"CUIT NO CARGADO")</f>
        <v>Gastos Oficina</v>
      </c>
      <c r="R34" s="231"/>
      <c r="S34" s="3"/>
    </row>
    <row r="35" spans="2:19" ht="15" customHeight="1" x14ac:dyDescent="0.3">
      <c r="B35" s="221">
        <v>45606</v>
      </c>
      <c r="C35" s="222">
        <v>1</v>
      </c>
      <c r="D35" s="223">
        <v>9</v>
      </c>
      <c r="E35" s="224">
        <v>18632</v>
      </c>
      <c r="F35" s="225">
        <v>30708573279</v>
      </c>
      <c r="G35" s="302" t="str">
        <f>IFERROR(IF('Nov-24'!$F35="","-",VLOOKUP('Nov-24'!$F35,Lista_CUIT!$A$1:$D$2241,2,0)),"CUIT NO CARGADO")</f>
        <v>BOTIX SRL</v>
      </c>
      <c r="H35" s="227">
        <v>23885.94</v>
      </c>
      <c r="I35" s="228">
        <f>IF('Nov-24'!$H35="","",'Nov-24'!$H35*0.21)</f>
        <v>5016.0473999999995</v>
      </c>
      <c r="J35" s="228"/>
      <c r="K35" s="228"/>
      <c r="L35" s="228"/>
      <c r="M35" s="228"/>
      <c r="N35" s="228"/>
      <c r="O35" s="228"/>
      <c r="P35" s="322">
        <f>SUM('Nov-24'!$H35:$O35)</f>
        <v>28901.987399999998</v>
      </c>
      <c r="Q35" s="230" t="str">
        <f>IFERROR(IF('Nov-24'!$F35="","-",VLOOKUP('Nov-24'!$F35,Lista_CUIT!$A$1:$D$2241,3,0)),"CUIT NO CARGADO")</f>
        <v>INSUMO</v>
      </c>
      <c r="R35" s="231"/>
      <c r="S35" s="3"/>
    </row>
    <row r="36" spans="2:19" ht="15" customHeight="1" x14ac:dyDescent="0.3">
      <c r="B36" s="221">
        <v>45602</v>
      </c>
      <c r="C36" s="222">
        <v>1</v>
      </c>
      <c r="D36" s="223">
        <v>5</v>
      </c>
      <c r="E36" s="224">
        <v>33953</v>
      </c>
      <c r="F36" s="225">
        <v>30707555404</v>
      </c>
      <c r="G36" s="302" t="str">
        <f>IFERROR(IF('Nov-24'!$F36="","-",VLOOKUP('Nov-24'!$F36,Lista_CUIT!$A$1:$D$2241,2,0)),"CUIT NO CARGADO")</f>
        <v>MAQUINAS E INSUMOS S.R.L.</v>
      </c>
      <c r="H36" s="227">
        <v>72355.33</v>
      </c>
      <c r="I36" s="228">
        <f>IF('Nov-24'!$H36="","",'Nov-24'!$H36*0.21)</f>
        <v>15194.6193</v>
      </c>
      <c r="J36" s="228"/>
      <c r="K36" s="228"/>
      <c r="L36" s="228"/>
      <c r="M36" s="228"/>
      <c r="N36" s="228"/>
      <c r="O36" s="228"/>
      <c r="P36" s="322">
        <f>SUM('Nov-24'!$H36:$O36)</f>
        <v>87549.949300000007</v>
      </c>
      <c r="Q36" s="230" t="str">
        <f>IFERROR(IF('Nov-24'!$F36="","-",VLOOKUP('Nov-24'!$F36,Lista_CUIT!$A$1:$D$2241,3,0)),"CUIT NO CARGADO")</f>
        <v>INSUMO</v>
      </c>
      <c r="R36" s="231"/>
      <c r="S36" s="3"/>
    </row>
    <row r="37" spans="2:19" ht="15" customHeight="1" x14ac:dyDescent="0.3">
      <c r="B37" s="221">
        <v>45614</v>
      </c>
      <c r="C37" s="222">
        <v>1</v>
      </c>
      <c r="D37" s="223">
        <v>4</v>
      </c>
      <c r="E37" s="224">
        <v>890</v>
      </c>
      <c r="F37" s="225">
        <v>27190958464</v>
      </c>
      <c r="G37" s="302" t="str">
        <f>IFERROR(IF('Nov-24'!$F37="","-",VLOOKUP('Nov-24'!$F37,Lista_CUIT!$A$1:$D$2241,2,0)),"CUIT NO CARGADO")</f>
        <v>GLADYS GEORGELY MORIN LICON</v>
      </c>
      <c r="H37" s="227">
        <v>17355.37</v>
      </c>
      <c r="I37" s="228">
        <f>IF('Nov-24'!$H37="","",'Nov-24'!$H37*0.21)</f>
        <v>3644.6276999999995</v>
      </c>
      <c r="J37" s="228"/>
      <c r="K37" s="228"/>
      <c r="L37" s="228"/>
      <c r="M37" s="228"/>
      <c r="N37" s="228"/>
      <c r="O37" s="228"/>
      <c r="P37" s="322">
        <f>SUM('Nov-24'!$H37:$O37)</f>
        <v>20999.9977</v>
      </c>
      <c r="Q37" s="230" t="str">
        <f>IFERROR(IF('Nov-24'!$F37="","-",VLOOKUP('Nov-24'!$F37,Lista_CUIT!$A$1:$D$2241,3,0)),"CUIT NO CARGADO")</f>
        <v>GASTOS VARIOS</v>
      </c>
      <c r="R37" s="231"/>
      <c r="S37" s="3"/>
    </row>
    <row r="38" spans="2:19" ht="15" customHeight="1" x14ac:dyDescent="0.3">
      <c r="B38" s="221">
        <v>45611</v>
      </c>
      <c r="C38" s="222">
        <v>1</v>
      </c>
      <c r="D38" s="223">
        <v>50</v>
      </c>
      <c r="E38" s="224">
        <v>95408</v>
      </c>
      <c r="F38" s="225">
        <v>30710730845</v>
      </c>
      <c r="G38" s="302" t="str">
        <f>IFERROR(IF('Nov-24'!$F38="","-",VLOOKUP('Nov-24'!$F38,Lista_CUIT!$A$1:$D$2241,2,0)),"CUIT NO CARGADO")</f>
        <v>D LED SOCIEDAD DE HECHO DE DIEGO NICOLAS BARSKY Y DAMIAN DANEL SPIVAK</v>
      </c>
      <c r="H38" s="227">
        <v>24973</v>
      </c>
      <c r="I38" s="228">
        <f>IF('Nov-24'!$H38="","",'Nov-24'!$H38*0.21)</f>
        <v>5244.33</v>
      </c>
      <c r="J38" s="228"/>
      <c r="K38" s="228"/>
      <c r="L38" s="228"/>
      <c r="M38" s="228"/>
      <c r="N38" s="228"/>
      <c r="O38" s="228"/>
      <c r="P38" s="322">
        <f>SUM('Nov-24'!$H38:$O38)</f>
        <v>30217.33</v>
      </c>
      <c r="Q38" s="230" t="str">
        <f>IFERROR(IF('Nov-24'!$F38="","-",VLOOKUP('Nov-24'!$F38,Lista_CUIT!$A$1:$D$2241,3,0)),"CUIT NO CARGADO")</f>
        <v>INSUMO</v>
      </c>
      <c r="R38" s="231"/>
      <c r="S38" s="3"/>
    </row>
    <row r="39" spans="2:19" ht="15" customHeight="1" x14ac:dyDescent="0.3">
      <c r="B39" s="221">
        <v>45626</v>
      </c>
      <c r="C39" s="222">
        <v>1</v>
      </c>
      <c r="D39" s="223">
        <v>12</v>
      </c>
      <c r="E39" s="224">
        <v>21556</v>
      </c>
      <c r="F39" s="225">
        <v>30716086492</v>
      </c>
      <c r="G39" s="302" t="str">
        <f>IFERROR(IF('Nov-24'!$F39="","-",VLOOKUP('Nov-24'!$F39,Lista_CUIT!$A$1:$D$2241,2,0)),"CUIT NO CARGADO")</f>
        <v>TORIKOS SAS</v>
      </c>
      <c r="H39" s="227">
        <v>32952.730000000003</v>
      </c>
      <c r="I39" s="228">
        <f>IF('Nov-24'!$H39="","",'Nov-24'!$H39*0.21)</f>
        <v>6920.0733</v>
      </c>
      <c r="J39" s="228"/>
      <c r="K39" s="228"/>
      <c r="L39" s="228"/>
      <c r="M39" s="228"/>
      <c r="N39" s="228"/>
      <c r="O39" s="228"/>
      <c r="P39" s="322">
        <f>SUM('Nov-24'!$H39:$O39)</f>
        <v>39872.8033</v>
      </c>
      <c r="Q39" s="230" t="str">
        <f>IFERROR(IF('Nov-24'!$F39="","-",VLOOKUP('Nov-24'!$F39,Lista_CUIT!$A$1:$D$2241,3,0)),"CUIT NO CARGADO")</f>
        <v>Catering</v>
      </c>
      <c r="R39" s="231"/>
      <c r="S39" s="3"/>
    </row>
    <row r="40" spans="2:19" ht="15" customHeight="1" x14ac:dyDescent="0.3">
      <c r="B40" s="221">
        <v>45610</v>
      </c>
      <c r="C40" s="222">
        <v>1</v>
      </c>
      <c r="D40" s="223">
        <v>3</v>
      </c>
      <c r="E40" s="224">
        <v>4505</v>
      </c>
      <c r="F40" s="225">
        <v>23403990639</v>
      </c>
      <c r="G40" s="302" t="str">
        <f>IFERROR(IF('Nov-24'!$F40="","-",VLOOKUP('Nov-24'!$F40,Lista_CUIT!$A$1:$D$2241,2,0)),"CUIT NO CARGADO")</f>
        <v>FLORESTA LIGHTING</v>
      </c>
      <c r="H40" s="227">
        <v>7214.87</v>
      </c>
      <c r="I40" s="228">
        <f>IF('Nov-24'!$H40="","",'Nov-24'!$H40*0.21)</f>
        <v>1515.1226999999999</v>
      </c>
      <c r="J40" s="228"/>
      <c r="K40" s="228"/>
      <c r="L40" s="228"/>
      <c r="M40" s="228"/>
      <c r="N40" s="228"/>
      <c r="O40" s="228"/>
      <c r="P40" s="322">
        <f>SUM('Nov-24'!$H40:$O40)</f>
        <v>8729.9926999999989</v>
      </c>
      <c r="Q40" s="230" t="str">
        <f>IFERROR(IF('Nov-24'!$F40="","-",VLOOKUP('Nov-24'!$F40,Lista_CUIT!$A$1:$D$2241,3,0)),"CUIT NO CARGADO")</f>
        <v>INSUMO</v>
      </c>
      <c r="R40" s="231"/>
      <c r="S40" s="3"/>
    </row>
    <row r="41" spans="2:19" ht="15" customHeight="1" x14ac:dyDescent="0.3">
      <c r="B41" s="221">
        <v>45617</v>
      </c>
      <c r="C41" s="222">
        <v>1</v>
      </c>
      <c r="D41" s="223">
        <v>4</v>
      </c>
      <c r="E41" s="224">
        <v>52845</v>
      </c>
      <c r="F41" s="225">
        <v>20272726915</v>
      </c>
      <c r="G41" s="302" t="str">
        <f>IFERROR(IF('Nov-24'!$F41="","-",VLOOKUP('Nov-24'!$F41,Lista_CUIT!$A$1:$D$2241,2,0)),"CUIT NO CARGADO")</f>
        <v>DE SERGIO DANIEL ALVAREZ</v>
      </c>
      <c r="H41" s="227">
        <v>9331.77</v>
      </c>
      <c r="I41" s="228">
        <f>IF('Nov-24'!$H41="","",'Nov-24'!$H41*0.21)</f>
        <v>1959.6717000000001</v>
      </c>
      <c r="J41" s="228"/>
      <c r="K41" s="228"/>
      <c r="L41" s="228"/>
      <c r="M41" s="228"/>
      <c r="N41" s="228"/>
      <c r="O41" s="228"/>
      <c r="P41" s="322">
        <f>SUM('Nov-24'!$H41:$O41)</f>
        <v>11291.441700000001</v>
      </c>
      <c r="Q41" s="230" t="str">
        <f>IFERROR(IF('Nov-24'!$F41="","-",VLOOKUP('Nov-24'!$F41,Lista_CUIT!$A$1:$D$2241,3,0)),"CUIT NO CARGADO")</f>
        <v>INSUMO</v>
      </c>
      <c r="R41" s="231"/>
      <c r="S41" s="3"/>
    </row>
    <row r="42" spans="2:19" ht="15" customHeight="1" x14ac:dyDescent="0.3">
      <c r="B42" s="221">
        <v>45626</v>
      </c>
      <c r="C42" s="222">
        <v>1</v>
      </c>
      <c r="D42" s="223">
        <v>7</v>
      </c>
      <c r="E42" s="224">
        <v>83127</v>
      </c>
      <c r="F42" s="225">
        <v>30716160889</v>
      </c>
      <c r="G42" s="302" t="str">
        <f>IFERROR(IF('Nov-24'!$F42="","-",VLOOKUP('Nov-24'!$F42,Lista_CUIT!$A$1:$D$2241,2,0)),"CUIT NO CARGADO")</f>
        <v>COMERCIALIZADORA DE BEBIDAS SRL</v>
      </c>
      <c r="H42" s="227">
        <v>33071.279999999999</v>
      </c>
      <c r="I42" s="228">
        <f>IF('Nov-24'!$H42="","",'Nov-24'!$H42*0.21)</f>
        <v>6944.9687999999996</v>
      </c>
      <c r="J42" s="228"/>
      <c r="K42" s="228"/>
      <c r="L42" s="228"/>
      <c r="M42" s="228"/>
      <c r="N42" s="228"/>
      <c r="O42" s="228"/>
      <c r="P42" s="322">
        <f>SUM('Nov-24'!$H42:$O42)</f>
        <v>40016.248800000001</v>
      </c>
      <c r="Q42" s="230" t="str">
        <f>IFERROR(IF('Nov-24'!$F42="","-",VLOOKUP('Nov-24'!$F42,Lista_CUIT!$A$1:$D$2241,3,0)),"CUIT NO CARGADO")</f>
        <v>Catering</v>
      </c>
      <c r="R42" s="231"/>
      <c r="S42" s="3"/>
    </row>
    <row r="43" spans="2:19" ht="15" customHeight="1" x14ac:dyDescent="0.3">
      <c r="B43" s="221">
        <v>45621</v>
      </c>
      <c r="C43" s="222">
        <v>3</v>
      </c>
      <c r="D43" s="223">
        <v>10</v>
      </c>
      <c r="E43" s="389">
        <v>581</v>
      </c>
      <c r="F43" s="225">
        <v>30716373475</v>
      </c>
      <c r="G43" s="302" t="str">
        <f>IFERROR(IF('Nov-24'!$F43="","-",VLOOKUP('Nov-24'!$F43,Lista_CUIT!$A$1:$D$2241,2,0)),"CUIT NO CARGADO")</f>
        <v>GRUPO FELIPA  SAS</v>
      </c>
      <c r="H43" s="227">
        <v>-37910.5</v>
      </c>
      <c r="I43" s="228">
        <f>IF('Nov-24'!$H43="","",'Nov-24'!$H43*0.21)</f>
        <v>-7961.2049999999999</v>
      </c>
      <c r="J43" s="228"/>
      <c r="K43" s="228"/>
      <c r="L43" s="228"/>
      <c r="M43" s="228"/>
      <c r="N43" s="228"/>
      <c r="O43" s="228"/>
      <c r="P43" s="322">
        <f>SUM('Nov-24'!$H43:$O43)</f>
        <v>-45871.705000000002</v>
      </c>
      <c r="Q43" s="230" t="str">
        <f>IFERROR(IF('Nov-24'!$F43="","-",VLOOKUP('Nov-24'!$F43,Lista_CUIT!$A$1:$D$2241,3,0)),"CUIT NO CARGADO")</f>
        <v>INSUMO</v>
      </c>
      <c r="R43" s="231"/>
      <c r="S43" s="3"/>
    </row>
    <row r="44" spans="2:19" ht="15" customHeight="1" x14ac:dyDescent="0.3">
      <c r="B44" s="221">
        <v>45598</v>
      </c>
      <c r="C44" s="222">
        <v>1</v>
      </c>
      <c r="D44" s="223">
        <v>2078</v>
      </c>
      <c r="E44" s="389">
        <v>75051</v>
      </c>
      <c r="F44" s="225">
        <v>30548083156</v>
      </c>
      <c r="G44" s="302" t="str">
        <f>IFERROR(IF('Nov-24'!$F44="","-",VLOOKUP('Nov-24'!$F44,Lista_CUIT!$A$1:$D$2241,2,0)),"CUIT NO CARGADO")</f>
        <v>COTO CICSA</v>
      </c>
      <c r="H44" s="227">
        <v>55516.85</v>
      </c>
      <c r="I44" s="228">
        <v>9859</v>
      </c>
      <c r="J44" s="228"/>
      <c r="K44" s="228">
        <v>899.77</v>
      </c>
      <c r="L44" s="228"/>
      <c r="M44" s="228"/>
      <c r="N44" s="228"/>
      <c r="O44" s="228">
        <v>1536.97</v>
      </c>
      <c r="P44" s="322">
        <f>SUM('Nov-24'!$H44:$O44)</f>
        <v>67812.59</v>
      </c>
      <c r="Q44" s="230" t="str">
        <f>IFERROR(IF('Nov-24'!$F44="","-",VLOOKUP('Nov-24'!$F44,Lista_CUIT!$A$1:$D$2241,3,0)),"CUIT NO CARGADO")</f>
        <v>Gastos Varios</v>
      </c>
      <c r="R44" s="231"/>
      <c r="S44" s="3"/>
    </row>
    <row r="45" spans="2:19" ht="15" customHeight="1" x14ac:dyDescent="0.3">
      <c r="B45" s="221">
        <v>45607</v>
      </c>
      <c r="C45" s="222">
        <v>1</v>
      </c>
      <c r="D45" s="223">
        <v>2466</v>
      </c>
      <c r="E45" s="389">
        <v>718290</v>
      </c>
      <c r="F45" s="225">
        <v>30678814357</v>
      </c>
      <c r="G45" s="302" t="str">
        <f>IFERROR(IF('Nov-24'!$F45="","-",VLOOKUP('Nov-24'!$F45,Lista_CUIT!$A$1:$D$2241,2,0)),"CUIT NO CARGADO")</f>
        <v>TELEFONICA MOVILES ARG</v>
      </c>
      <c r="H45" s="227">
        <v>27985</v>
      </c>
      <c r="I45" s="228"/>
      <c r="J45" s="228">
        <f>Table_49[[#This Row],[NETO GRAVADO]]*0.27</f>
        <v>7555.9500000000007</v>
      </c>
      <c r="K45" s="228"/>
      <c r="L45" s="228">
        <v>839.55</v>
      </c>
      <c r="M45" s="228"/>
      <c r="N45" s="228"/>
      <c r="O45" s="228">
        <v>1472.88</v>
      </c>
      <c r="P45" s="322">
        <f>SUM('Nov-24'!$H45:$O45)</f>
        <v>37853.379999999997</v>
      </c>
      <c r="Q45" s="230" t="str">
        <f>IFERROR(IF('Nov-24'!$F45="","-",VLOOKUP('Nov-24'!$F45,Lista_CUIT!$A$1:$D$2241,3,0)),"CUIT NO CARGADO")</f>
        <v>Telefonia</v>
      </c>
      <c r="R45" s="231"/>
      <c r="S45" s="3"/>
    </row>
    <row r="46" spans="2:19" ht="15" customHeight="1" x14ac:dyDescent="0.3">
      <c r="B46" s="221">
        <v>45608</v>
      </c>
      <c r="C46" s="222">
        <v>1</v>
      </c>
      <c r="D46" s="223">
        <v>7</v>
      </c>
      <c r="E46" s="389">
        <v>3249</v>
      </c>
      <c r="F46" s="225">
        <v>30717740439</v>
      </c>
      <c r="G46" s="302" t="str">
        <f>IFERROR(IF('Nov-24'!$F46="","-",VLOOKUP('Nov-24'!$F46,Lista_CUIT!$A$1:$D$2241,2,0)),"CUIT NO CARGADO")</f>
        <v>BALANCINES S.R.L.</v>
      </c>
      <c r="H46" s="227">
        <v>49166.94</v>
      </c>
      <c r="I46" s="228">
        <f>IF('Nov-24'!$H46="","",'Nov-24'!$H46*0.21)</f>
        <v>10325.0574</v>
      </c>
      <c r="J46" s="228"/>
      <c r="K46" s="228"/>
      <c r="L46" s="228"/>
      <c r="M46" s="228"/>
      <c r="N46" s="228"/>
      <c r="O46" s="228"/>
      <c r="P46" s="322">
        <f>SUM('Nov-24'!$H46:$O46)</f>
        <v>59491.9974</v>
      </c>
      <c r="Q46" s="230" t="str">
        <f>IFERROR(IF('Nov-24'!$F46="","-",VLOOKUP('Nov-24'!$F46,Lista_CUIT!$A$1:$D$2241,3,0)),"CUIT NO CARGADO")</f>
        <v>FLETE-LOGISTICA</v>
      </c>
      <c r="R46" s="231"/>
      <c r="S46" s="3"/>
    </row>
    <row r="47" spans="2:19" ht="15" customHeight="1" x14ac:dyDescent="0.3">
      <c r="B47" s="221">
        <v>45609</v>
      </c>
      <c r="C47" s="222">
        <v>1</v>
      </c>
      <c r="D47" s="223">
        <v>4</v>
      </c>
      <c r="E47" s="389">
        <v>6887</v>
      </c>
      <c r="F47" s="225">
        <v>20247225243</v>
      </c>
      <c r="G47" s="302" t="str">
        <f>IFERROR(IF('Nov-24'!$F47="","-",VLOOKUP('Nov-24'!$F47,Lista_CUIT!$A$1:$D$2241,2,0)),"CUIT NO CARGADO")</f>
        <v>VENTO HUGO GABRIEL</v>
      </c>
      <c r="H47" s="227">
        <v>25604.13</v>
      </c>
      <c r="I47" s="228">
        <f>IF('Nov-24'!$H47="","",'Nov-24'!$H47*0.21)</f>
        <v>5376.8672999999999</v>
      </c>
      <c r="J47" s="228"/>
      <c r="K47" s="228"/>
      <c r="L47" s="228"/>
      <c r="M47" s="228"/>
      <c r="N47" s="228"/>
      <c r="O47" s="228"/>
      <c r="P47" s="322">
        <f>SUM('Nov-24'!$H47:$O47)</f>
        <v>30980.997300000003</v>
      </c>
      <c r="Q47" s="230" t="str">
        <f>IFERROR(IF('Nov-24'!$F47="","-",VLOOKUP('Nov-24'!$F47,Lista_CUIT!$A$1:$D$2241,3,0)),"CUIT NO CARGADO")</f>
        <v>Mercaderia</v>
      </c>
      <c r="R47" s="231"/>
      <c r="S47" s="3"/>
    </row>
    <row r="48" spans="2:19" ht="15" customHeight="1" thickBot="1" x14ac:dyDescent="0.35">
      <c r="B48" s="221">
        <v>45609</v>
      </c>
      <c r="C48" s="222">
        <v>1</v>
      </c>
      <c r="D48" s="223">
        <v>1</v>
      </c>
      <c r="E48" s="389">
        <v>874</v>
      </c>
      <c r="F48" s="225">
        <v>30715048066</v>
      </c>
      <c r="G48" s="302" t="str">
        <f>IFERROR(IF('Nov-24'!$F48="","-",VLOOKUP('Nov-24'!$F48,Lista_CUIT!$A$1:$D$2241,2,0)),"CUIT NO CARGADO")</f>
        <v>ROLLS Y EMPANADAS SA</v>
      </c>
      <c r="H48" s="227">
        <v>808940</v>
      </c>
      <c r="I48" s="228">
        <f>IF('Nov-24'!$H48="","",'Nov-24'!$H48*0.21)</f>
        <v>169877.4</v>
      </c>
      <c r="J48" s="228"/>
      <c r="K48" s="228"/>
      <c r="L48" s="228"/>
      <c r="M48" s="228"/>
      <c r="N48" s="228"/>
      <c r="O48" s="228"/>
      <c r="P48" s="322">
        <f>SUM('Nov-24'!$H48:$O48)</f>
        <v>978817.4</v>
      </c>
      <c r="Q48" s="230" t="str">
        <f>IFERROR(IF('Nov-24'!$F48="","-",VLOOKUP('Nov-24'!$F48,Lista_CUIT!$A$1:$D$2241,3,0)),"CUIT NO CARGADO")</f>
        <v>CATERING</v>
      </c>
      <c r="R48" s="231"/>
      <c r="S48" s="3"/>
    </row>
    <row r="49" spans="1:26" ht="15.75" customHeight="1" thickBot="1" x14ac:dyDescent="0.35">
      <c r="B49" s="323" t="s">
        <v>1343</v>
      </c>
      <c r="C49" s="324"/>
      <c r="D49" s="324"/>
      <c r="E49" s="324"/>
      <c r="F49" s="324"/>
      <c r="G49" s="325"/>
      <c r="H49" s="326">
        <f>SUBTOTAL(109,'Nov-24'!$H$9:$H$48)</f>
        <v>6492324.1299999999</v>
      </c>
      <c r="I49" s="326">
        <f>SUBTOTAL(109,'Nov-24'!$I$9:$I$48)</f>
        <v>1337329.3623999998</v>
      </c>
      <c r="J49" s="326">
        <v>7555.95</v>
      </c>
      <c r="K49" s="326">
        <v>10090.9282</v>
      </c>
      <c r="L49" s="326">
        <f>SUBTOTAL(109,'Nov-24'!$L$9:$L$48)</f>
        <v>839.55</v>
      </c>
      <c r="M49" s="326">
        <f>SUBTOTAL(109,'Nov-24'!$M$9:$M$48)</f>
        <v>19718.400000000001</v>
      </c>
      <c r="N49" s="326">
        <f>SUBTOTAL(109,'Nov-24'!$N$9:$N$48)</f>
        <v>191048.04</v>
      </c>
      <c r="O49" s="326">
        <f>SUBTOTAL(109,'Nov-24'!$O$9:$O$48)</f>
        <v>2755855.0500000003</v>
      </c>
      <c r="P49" s="326">
        <f>SUBTOTAL(109,'Nov-24'!$P$9:$P$48)</f>
        <v>10814761.410600003</v>
      </c>
      <c r="Q49" s="324"/>
      <c r="R49" s="327"/>
    </row>
    <row r="50" spans="1:26" ht="15.75" customHeight="1" x14ac:dyDescent="0.3">
      <c r="B50" s="12"/>
      <c r="C50" s="13"/>
      <c r="D50" s="14"/>
      <c r="E50" s="15"/>
      <c r="F50" s="16"/>
      <c r="G50" s="17"/>
      <c r="H50" s="18"/>
      <c r="I50" s="19"/>
      <c r="J50" s="19"/>
      <c r="K50" s="19"/>
      <c r="L50" s="19"/>
      <c r="M50" s="19"/>
      <c r="N50" s="19"/>
      <c r="O50" s="19"/>
      <c r="P50" s="20"/>
      <c r="Q50" s="21"/>
      <c r="R50" s="21"/>
    </row>
    <row r="51" spans="1:26" ht="18" customHeight="1" x14ac:dyDescent="0.3">
      <c r="A51" s="43"/>
      <c r="B51" s="12"/>
      <c r="C51" s="13"/>
      <c r="D51" s="14"/>
      <c r="E51" s="15"/>
      <c r="F51" s="16"/>
      <c r="G51" s="17"/>
      <c r="H51" s="18"/>
      <c r="I51" s="19"/>
      <c r="J51" s="19"/>
      <c r="K51" s="19"/>
      <c r="L51" s="19"/>
      <c r="M51" s="19"/>
      <c r="N51" s="19"/>
      <c r="O51" s="19"/>
      <c r="P51" s="20"/>
      <c r="Q51" s="21"/>
      <c r="R51" s="21"/>
      <c r="S51" s="43"/>
      <c r="T51" s="43"/>
      <c r="U51" s="43"/>
      <c r="V51" s="43"/>
      <c r="W51" s="43"/>
      <c r="X51" s="43"/>
      <c r="Y51" s="43"/>
      <c r="Z51" s="43"/>
    </row>
    <row r="52" spans="1:26" ht="15.75" customHeight="1" x14ac:dyDescent="0.3">
      <c r="B52" s="12"/>
      <c r="C52" s="13"/>
      <c r="D52" s="14"/>
      <c r="E52" s="15"/>
      <c r="F52" s="16"/>
      <c r="G52" s="17"/>
      <c r="H52" s="18"/>
      <c r="I52" s="19"/>
      <c r="J52" s="19"/>
      <c r="K52" s="19"/>
      <c r="L52" s="19"/>
      <c r="M52" s="19"/>
      <c r="N52" s="19"/>
      <c r="O52" s="19"/>
      <c r="P52" s="20"/>
      <c r="Q52" s="21"/>
      <c r="R52" s="21"/>
    </row>
    <row r="53" spans="1:26" ht="15.75" customHeight="1" x14ac:dyDescent="0.3">
      <c r="B53" s="12"/>
      <c r="C53" s="13"/>
      <c r="D53" s="14"/>
      <c r="E53" s="15"/>
      <c r="F53" s="16"/>
      <c r="G53" s="17"/>
      <c r="H53" s="18"/>
      <c r="I53" s="19"/>
      <c r="J53" s="19"/>
      <c r="K53" s="19"/>
      <c r="L53" s="19"/>
    </row>
    <row r="54" spans="1:26" ht="15.75" customHeight="1" thickBot="1" x14ac:dyDescent="0.35">
      <c r="D54" s="484" t="s">
        <v>1344</v>
      </c>
      <c r="E54" s="476"/>
      <c r="F54" s="476"/>
      <c r="G54" s="476"/>
      <c r="H54" s="476"/>
      <c r="I54" s="476"/>
      <c r="J54" s="476"/>
      <c r="K54" s="476"/>
      <c r="L54" s="477"/>
    </row>
    <row r="55" spans="1:26" ht="15.75" customHeight="1" thickBot="1" x14ac:dyDescent="0.35">
      <c r="D55" s="334" t="s">
        <v>1322</v>
      </c>
      <c r="E55" s="335" t="s">
        <v>1345</v>
      </c>
      <c r="F55" s="335" t="s">
        <v>1346</v>
      </c>
      <c r="G55" s="335" t="s">
        <v>1347</v>
      </c>
      <c r="H55" s="335" t="s">
        <v>1348</v>
      </c>
      <c r="I55" s="335" t="s">
        <v>1329</v>
      </c>
      <c r="J55" s="336" t="s">
        <v>1349</v>
      </c>
      <c r="K55" s="336" t="s">
        <v>1350</v>
      </c>
      <c r="L55" s="337" t="s">
        <v>1351</v>
      </c>
    </row>
    <row r="56" spans="1:26" ht="15" customHeight="1" x14ac:dyDescent="0.3">
      <c r="D56" s="303"/>
      <c r="E56" s="331"/>
      <c r="F56" s="331" t="s">
        <v>1441</v>
      </c>
      <c r="G56" s="332">
        <v>74962.5</v>
      </c>
      <c r="H56" s="332">
        <f>'Nov-24'!$G56*0.21</f>
        <v>15742.125</v>
      </c>
      <c r="I56" s="332"/>
      <c r="J56" s="332"/>
      <c r="K56" s="332">
        <v>2248.88</v>
      </c>
      <c r="L56" s="333"/>
    </row>
    <row r="57" spans="1:26" ht="15" customHeight="1" x14ac:dyDescent="0.3">
      <c r="D57" s="221"/>
      <c r="E57" s="244"/>
      <c r="F57" s="244" t="s">
        <v>1529</v>
      </c>
      <c r="G57" s="245">
        <f>Table_50[[#This Row],[IVA 21%]]*100/21</f>
        <v>56000</v>
      </c>
      <c r="H57" s="245">
        <v>11760</v>
      </c>
      <c r="I57" s="245"/>
      <c r="J57" s="245"/>
      <c r="K57" s="245">
        <v>1680</v>
      </c>
      <c r="L57" s="246"/>
    </row>
    <row r="58" spans="1:26" ht="15" customHeight="1" x14ac:dyDescent="0.3">
      <c r="D58" s="317"/>
      <c r="E58" s="338"/>
      <c r="F58" s="328" t="s">
        <v>1441</v>
      </c>
      <c r="G58" s="329">
        <v>60176.75</v>
      </c>
      <c r="H58" s="329">
        <f>'Nov-24'!$G58*0.21</f>
        <v>12637.1175</v>
      </c>
      <c r="I58" s="329"/>
      <c r="J58" s="329"/>
      <c r="K58" s="329">
        <v>1731.92</v>
      </c>
      <c r="L58" s="330"/>
    </row>
    <row r="59" spans="1:26" ht="15" customHeight="1" thickBot="1" x14ac:dyDescent="0.35">
      <c r="D59" s="221"/>
      <c r="E59" s="383"/>
      <c r="F59" s="244" t="s">
        <v>1533</v>
      </c>
      <c r="G59" s="245">
        <v>800</v>
      </c>
      <c r="H59" s="329">
        <f>'Nov-24'!$G59*0.21</f>
        <v>168</v>
      </c>
      <c r="I59" s="245"/>
      <c r="J59" s="245">
        <v>2007.2</v>
      </c>
      <c r="K59" s="245"/>
      <c r="L59" s="246"/>
    </row>
    <row r="60" spans="1:26" ht="15.75" customHeight="1" thickBot="1" x14ac:dyDescent="0.35">
      <c r="D60" s="323" t="s">
        <v>1343</v>
      </c>
      <c r="E60" s="339"/>
      <c r="F60" s="339"/>
      <c r="G60" s="340">
        <f>SUBTOTAL(109,'Nov-24'!$G$56:$G$58)</f>
        <v>191139.25</v>
      </c>
      <c r="H60" s="340">
        <f>SUBTOTAL(109,'Nov-24'!$H$56:$H$59)</f>
        <v>40307.2425</v>
      </c>
      <c r="I60" s="340">
        <f>SUBTOTAL(109,'Nov-24'!$I$56:$I$58)</f>
        <v>0</v>
      </c>
      <c r="J60" s="340">
        <f>SUBTOTAL(109,'Nov-24'!$J$56:$J$59)</f>
        <v>2007.2</v>
      </c>
      <c r="K60" s="340">
        <f>SUBTOTAL(109,'Nov-24'!$K$56:$K$59)</f>
        <v>5660.8</v>
      </c>
      <c r="L60" s="341">
        <f>SUBTOTAL(109,'Nov-24'!$L$56:$L$58)</f>
        <v>0</v>
      </c>
    </row>
    <row r="61" spans="1:26" ht="18" customHeight="1" x14ac:dyDescent="0.3"/>
    <row r="62" spans="1:26" ht="15.75" customHeight="1" x14ac:dyDescent="0.3"/>
    <row r="63" spans="1:26" ht="15.75" customHeight="1" x14ac:dyDescent="0.3"/>
    <row r="64" spans="1:26" ht="15.75" customHeight="1" thickBot="1" x14ac:dyDescent="0.35">
      <c r="D64" s="484" t="s">
        <v>1361</v>
      </c>
      <c r="E64" s="476"/>
      <c r="F64" s="476"/>
      <c r="G64" s="476"/>
      <c r="H64" s="476"/>
      <c r="I64" s="476"/>
      <c r="J64" s="476"/>
      <c r="K64" s="477"/>
    </row>
    <row r="65" spans="2:18" ht="15.75" customHeight="1" thickBot="1" x14ac:dyDescent="0.35">
      <c r="D65" s="345" t="s">
        <v>1322</v>
      </c>
      <c r="E65" s="346" t="s">
        <v>1324</v>
      </c>
      <c r="F65" s="346" t="s">
        <v>1362</v>
      </c>
      <c r="G65" s="346" t="s">
        <v>0</v>
      </c>
      <c r="H65" s="346" t="s">
        <v>1</v>
      </c>
      <c r="I65" s="347" t="s">
        <v>1334</v>
      </c>
      <c r="J65" s="346" t="s">
        <v>1363</v>
      </c>
      <c r="K65" s="348" t="s">
        <v>1335</v>
      </c>
    </row>
    <row r="66" spans="2:18" ht="15" customHeight="1" x14ac:dyDescent="0.3">
      <c r="D66" s="303">
        <v>45601</v>
      </c>
      <c r="E66" s="305">
        <v>1</v>
      </c>
      <c r="F66" s="306">
        <v>124</v>
      </c>
      <c r="G66" s="307">
        <v>20389908569</v>
      </c>
      <c r="H66" s="342" t="str">
        <f>IFERROR(IF('Nov-24'!$G66="","-",VLOOKUP('Nov-24'!$G66,Lista_CUIT!$A$1:$D$2241,2,0)),"CUIT NO CARGADO")</f>
        <v>BOTINDARI JUAN IGNACIO</v>
      </c>
      <c r="I66" s="332">
        <v>87036.04</v>
      </c>
      <c r="J66" s="343" t="str">
        <f>IFERROR(IF('Nov-24'!$G66="","-",VLOOKUP('Nov-24'!$G66,Lista_CUIT!$A$1:$D$2241,3,0)),"CUIT NO CARGADO")</f>
        <v>Honorarios Contables</v>
      </c>
      <c r="K66" s="344">
        <f>IFERROR(IF('Nov-24'!$G66="","-",VLOOKUP('Nov-24'!$G66,Lista_CUIT!$A$1:$D$2241,4,0)),"CUIT NO CARGADO")</f>
        <v>0</v>
      </c>
    </row>
    <row r="67" spans="2:18" ht="15" customHeight="1" x14ac:dyDescent="0.3">
      <c r="D67" s="303">
        <v>45603</v>
      </c>
      <c r="E67" s="305">
        <v>1</v>
      </c>
      <c r="F67" s="306">
        <v>11</v>
      </c>
      <c r="G67" s="307">
        <v>20419155870</v>
      </c>
      <c r="H67" s="342" t="str">
        <f>IFERROR(IF('Nov-24'!$G67="","-",VLOOKUP('Nov-24'!$G67,Lista_CUIT!$A$1:$D$2241,2,0)),"CUIT NO CARGADO")</f>
        <v>GULLO GASPAR</v>
      </c>
      <c r="I67" s="332">
        <v>75000</v>
      </c>
      <c r="J67" s="343" t="str">
        <f>IFERROR(IF('Nov-24'!$G67="","-",VLOOKUP('Nov-24'!$G67,Lista_CUIT!$A$1:$D$2241,3,0)),"CUIT NO CARGADO")</f>
        <v>Honorarios Contables</v>
      </c>
      <c r="K67" s="344">
        <f>IFERROR(IF('Nov-24'!$G67="","-",VLOOKUP('Nov-24'!$G67,Lista_CUIT!$A$1:$D$2241,4,0)),"CUIT NO CARGADO")</f>
        <v>0</v>
      </c>
    </row>
    <row r="68" spans="2:18" ht="15" customHeight="1" x14ac:dyDescent="0.3">
      <c r="D68" s="303">
        <v>45618</v>
      </c>
      <c r="E68" s="305">
        <v>1</v>
      </c>
      <c r="F68" s="306">
        <v>13</v>
      </c>
      <c r="G68" s="307">
        <v>20419155870</v>
      </c>
      <c r="H68" s="342" t="str">
        <f>IFERROR(IF('Nov-24'!$G68="","-",VLOOKUP('Nov-24'!$G68,Lista_CUIT!$A$1:$D$2241,2,0)),"CUIT NO CARGADO")</f>
        <v>GULLO GASPAR</v>
      </c>
      <c r="I68" s="332">
        <v>75000</v>
      </c>
      <c r="J68" s="343" t="str">
        <f>IFERROR(IF('Nov-24'!$G68="","-",VLOOKUP('Nov-24'!$G68,Lista_CUIT!$A$1:$D$2241,3,0)),"CUIT NO CARGADO")</f>
        <v>Honorarios Contables</v>
      </c>
      <c r="K68" s="344">
        <f>IFERROR(IF('Nov-24'!$G68="","-",VLOOKUP('Nov-24'!$G68,Lista_CUIT!$A$1:$D$2241,4,0)),"CUIT NO CARGADO")</f>
        <v>0</v>
      </c>
    </row>
    <row r="69" spans="2:18" ht="15" customHeight="1" x14ac:dyDescent="0.3">
      <c r="D69" s="303">
        <v>45615</v>
      </c>
      <c r="E69" s="305">
        <v>2</v>
      </c>
      <c r="F69" s="306">
        <v>261</v>
      </c>
      <c r="G69" s="307">
        <v>27173820866</v>
      </c>
      <c r="H69" s="342" t="str">
        <f>IFERROR(IF('Nov-24'!$G69="","-",VLOOKUP('Nov-24'!$G69,Lista_CUIT!$A$1:$D$2241,2,0)),"CUIT NO CARGADO")</f>
        <v>FREIER SANDRA DANIELA</v>
      </c>
      <c r="I69" s="332">
        <v>1100000</v>
      </c>
      <c r="J69" s="343" t="str">
        <f>IFERROR(IF('Nov-24'!$G69="","-",VLOOKUP('Nov-24'!$G69,Lista_CUIT!$A$1:$D$2241,3,0)),"CUIT NO CARGADO")</f>
        <v>Honorarios Prof</v>
      </c>
      <c r="K69" s="344">
        <f>IFERROR(IF('Nov-24'!$G69="","-",VLOOKUP('Nov-24'!$G69,Lista_CUIT!$A$1:$D$2241,4,0)),"CUIT NO CARGADO")</f>
        <v>0</v>
      </c>
    </row>
    <row r="70" spans="2:18" ht="15" customHeight="1" x14ac:dyDescent="0.3">
      <c r="D70" s="303">
        <v>45602</v>
      </c>
      <c r="E70" s="305">
        <v>4</v>
      </c>
      <c r="F70" s="306">
        <v>75</v>
      </c>
      <c r="G70" s="307">
        <v>23214737914</v>
      </c>
      <c r="H70" s="342" t="str">
        <f>IFERROR(IF('Nov-24'!$G70="","-",VLOOKUP('Nov-24'!$G70,Lista_CUIT!$A$1:$D$2241,2,0)),"CUIT NO CARGADO")</f>
        <v>SBARRA GABRIELA BEATRIZ</v>
      </c>
      <c r="I70" s="332">
        <v>1150410</v>
      </c>
      <c r="J70" s="343" t="str">
        <f>IFERROR(IF('Nov-24'!$G70="","-",VLOOKUP('Nov-24'!$G70,Lista_CUIT!$A$1:$D$2241,3,0)),"CUIT NO CARGADO")</f>
        <v>Honorarios Admin</v>
      </c>
      <c r="K70" s="344">
        <f>IFERROR(IF('Nov-24'!$G70="","-",VLOOKUP('Nov-24'!$G70,Lista_CUIT!$A$1:$D$2241,4,0)),"CUIT NO CARGADO")</f>
        <v>0</v>
      </c>
    </row>
    <row r="71" spans="2:18" ht="15" customHeight="1" x14ac:dyDescent="0.3">
      <c r="B71" s="43"/>
      <c r="C71" s="43"/>
      <c r="D71" s="303">
        <v>45600</v>
      </c>
      <c r="E71" s="305">
        <v>3</v>
      </c>
      <c r="F71" s="306">
        <v>899</v>
      </c>
      <c r="G71" s="307">
        <v>20086277523</v>
      </c>
      <c r="H71" s="342" t="str">
        <f>IFERROR(IF('Nov-24'!$G71="","-",VLOOKUP('Nov-24'!$G71,Lista_CUIT!$A$1:$D$2241,2,0)),"CUIT NO CARGADO")</f>
        <v>ESTUDIO BOTINDARI</v>
      </c>
      <c r="I71" s="332">
        <v>310000</v>
      </c>
      <c r="J71" s="343" t="str">
        <f>IFERROR(IF('Nov-24'!$G71="","-",VLOOKUP('Nov-24'!$G71,Lista_CUIT!$A$1:$D$2241,3,0)),"CUIT NO CARGADO")</f>
        <v>Honorarios Contables</v>
      </c>
      <c r="K71" s="344">
        <f>IFERROR(IF('Nov-24'!$G71="","-",VLOOKUP('Nov-24'!$G71,Lista_CUIT!$A$1:$D$2241,4,0)),"CUIT NO CARGADO")</f>
        <v>0</v>
      </c>
      <c r="L71" s="43"/>
      <c r="M71" s="43"/>
      <c r="N71" s="43"/>
      <c r="O71" s="43"/>
      <c r="P71" s="43"/>
      <c r="Q71" s="43"/>
      <c r="R71" s="43"/>
    </row>
    <row r="72" spans="2:18" ht="15" customHeight="1" x14ac:dyDescent="0.3">
      <c r="D72" s="303">
        <v>45597</v>
      </c>
      <c r="E72" s="305">
        <v>1</v>
      </c>
      <c r="F72" s="306">
        <v>31</v>
      </c>
      <c r="G72" s="307">
        <v>27387896150</v>
      </c>
      <c r="H72" s="342" t="str">
        <f>IFERROR(IF('Nov-24'!$G72="","-",VLOOKUP('Nov-24'!$G72,Lista_CUIT!$A$1:$D$2241,2,0)),"CUIT NO CARGADO")</f>
        <v>LIPANOVICH MARIA SOL</v>
      </c>
      <c r="I72" s="332">
        <v>1279780</v>
      </c>
      <c r="J72" s="343" t="str">
        <f>IFERROR(IF('Nov-24'!$G72="","-",VLOOKUP('Nov-24'!$G72,Lista_CUIT!$A$1:$D$2241,3,0)),"CUIT NO CARGADO")</f>
        <v>consultoria informatica</v>
      </c>
      <c r="K72" s="344">
        <f>IFERROR(IF('Nov-24'!$G72="","-",VLOOKUP('Nov-24'!$G72,Lista_CUIT!$A$1:$D$2241,4,0)),"CUIT NO CARGADO")</f>
        <v>0</v>
      </c>
    </row>
    <row r="73" spans="2:18" ht="15" customHeight="1" x14ac:dyDescent="0.3">
      <c r="D73" s="221">
        <v>45597</v>
      </c>
      <c r="E73" s="223">
        <v>1</v>
      </c>
      <c r="F73" s="224">
        <v>42</v>
      </c>
      <c r="G73" s="225">
        <v>20365938688</v>
      </c>
      <c r="H73" s="342" t="str">
        <f>IFERROR(IF('Nov-24'!$G73="","-",VLOOKUP('Nov-24'!$G73,Lista_CUIT!$A$1:$D$2241,2,0)),"CUIT NO CARGADO")</f>
        <v>LIPANOVICH JUAN CRUZ</v>
      </c>
      <c r="I73" s="245">
        <v>1041780</v>
      </c>
      <c r="J73" s="343" t="str">
        <f>IFERROR(IF('Nov-24'!$G73="","-",VLOOKUP('Nov-24'!$G73,Lista_CUIT!$A$1:$D$2241,3,0)),"CUIT NO CARGADO")</f>
        <v>SOFTWARE</v>
      </c>
      <c r="K73" s="257"/>
    </row>
    <row r="74" spans="2:18" ht="15" customHeight="1" x14ac:dyDescent="0.3">
      <c r="D74" s="221">
        <v>45597</v>
      </c>
      <c r="E74" s="223">
        <v>2</v>
      </c>
      <c r="F74" s="224">
        <v>10</v>
      </c>
      <c r="G74" s="225">
        <v>23118167279</v>
      </c>
      <c r="H74" s="342" t="str">
        <f>IFERROR(IF('Nov-24'!$G74="","-",VLOOKUP('Nov-24'!$G74,Lista_CUIT!$A$1:$D$2241,2,0)),"CUIT NO CARGADO")</f>
        <v>ABELEDO ENRIQUE JUAN</v>
      </c>
      <c r="I74" s="245">
        <v>2195000</v>
      </c>
      <c r="J74" s="343" t="str">
        <f>IFERROR(IF('Nov-24'!$G74="","-",VLOOKUP('Nov-24'!$G74,Lista_CUIT!$A$1:$D$2241,3,0)),"CUIT NO CARGADO")</f>
        <v>Honorarios Admin</v>
      </c>
      <c r="K74" s="257"/>
    </row>
    <row r="75" spans="2:18" ht="15" customHeight="1" x14ac:dyDescent="0.3">
      <c r="D75" s="221">
        <v>45615</v>
      </c>
      <c r="E75" s="223">
        <v>2</v>
      </c>
      <c r="F75" s="224">
        <v>261</v>
      </c>
      <c r="G75" s="225">
        <v>27173820866</v>
      </c>
      <c r="H75" s="342" t="str">
        <f>IFERROR(IF('Nov-24'!$G75="","-",VLOOKUP('Nov-24'!$G75,Lista_CUIT!$A$1:$D$2241,2,0)),"CUIT NO CARGADO")</f>
        <v>FREIER SANDRA DANIELA</v>
      </c>
      <c r="I75" s="245">
        <v>1100000</v>
      </c>
      <c r="J75" s="343" t="str">
        <f>IFERROR(IF('Nov-24'!$G75="","-",VLOOKUP('Nov-24'!$G75,Lista_CUIT!$A$1:$D$2241,3,0)),"CUIT NO CARGADO")</f>
        <v>Honorarios Prof</v>
      </c>
      <c r="K75" s="257"/>
    </row>
    <row r="76" spans="2:18" ht="15" customHeight="1" x14ac:dyDescent="0.3">
      <c r="D76" s="221">
        <v>45625</v>
      </c>
      <c r="E76" s="223">
        <v>2</v>
      </c>
      <c r="F76" s="224">
        <v>178</v>
      </c>
      <c r="G76" s="225">
        <v>20136544625</v>
      </c>
      <c r="H76" s="342" t="str">
        <f>IFERROR(IF('Nov-24'!$G76="","-",VLOOKUP('Nov-24'!$G76,Lista_CUIT!$A$1:$D$2241,2,0)),"CUIT NO CARGADO")</f>
        <v>RODRIGUEZ DE LA FUEN HECTOR MARCELO</v>
      </c>
      <c r="I76" s="245">
        <v>1155000</v>
      </c>
      <c r="J76" s="343" t="str">
        <f>IFERROR(IF('Nov-24'!$G76="","-",VLOOKUP('Nov-24'!$G76,Lista_CUIT!$A$1:$D$2241,3,0)),"CUIT NO CARGADO")</f>
        <v>Honorarios Admin</v>
      </c>
      <c r="K76" s="257"/>
    </row>
    <row r="77" spans="2:18" ht="15" customHeight="1" x14ac:dyDescent="0.3">
      <c r="D77" s="221" t="s">
        <v>1531</v>
      </c>
      <c r="E77" s="223">
        <v>1</v>
      </c>
      <c r="F77" s="224">
        <v>105</v>
      </c>
      <c r="G77" s="225">
        <v>20341465134</v>
      </c>
      <c r="H77" s="342" t="str">
        <f>IFERROR(IF('Nov-24'!$G77="","-",VLOOKUP('Nov-24'!$G77,Lista_CUIT!$A$1:$D$2241,2,0)),"CUIT NO CARGADO")</f>
        <v>ABELEDO AGUSTIN ENRIQUE</v>
      </c>
      <c r="I77" s="245">
        <v>2248500</v>
      </c>
      <c r="J77" s="343" t="str">
        <f>IFERROR(IF('Nov-24'!$G77="","-",VLOOKUP('Nov-24'!$G77,Lista_CUIT!$A$1:$D$2241,3,0)),"CUIT NO CARGADO")</f>
        <v>Mantenimiento</v>
      </c>
      <c r="K77" s="257"/>
    </row>
    <row r="78" spans="2:18" ht="15" customHeight="1" x14ac:dyDescent="0.3">
      <c r="D78" s="221">
        <v>45603</v>
      </c>
      <c r="E78" s="223">
        <v>2</v>
      </c>
      <c r="F78" s="224">
        <v>11</v>
      </c>
      <c r="G78" s="225">
        <v>23118167279</v>
      </c>
      <c r="H78" s="342" t="str">
        <f>IFERROR(IF('Nov-24'!$G78="","-",VLOOKUP('Nov-24'!$G78,Lista_CUIT!$A$1:$D$2241,2,0)),"CUIT NO CARGADO")</f>
        <v>ABELEDO ENRIQUE JUAN</v>
      </c>
      <c r="I78" s="245">
        <v>1825000</v>
      </c>
      <c r="J78" s="343" t="str">
        <f>IFERROR(IF('Nov-24'!$G78="","-",VLOOKUP('Nov-24'!$G78,Lista_CUIT!$A$1:$D$2241,3,0)),"CUIT NO CARGADO")</f>
        <v>Honorarios Admin</v>
      </c>
      <c r="K78" s="257"/>
    </row>
    <row r="79" spans="2:18" ht="15" customHeight="1" thickBot="1" x14ac:dyDescent="0.35">
      <c r="D79" s="221">
        <v>45616</v>
      </c>
      <c r="E79" s="223">
        <v>2</v>
      </c>
      <c r="F79" s="224">
        <v>169</v>
      </c>
      <c r="G79" s="225">
        <v>27125997835</v>
      </c>
      <c r="H79" s="342" t="str">
        <f>IFERROR(IF('Nov-24'!$G79="","-",VLOOKUP('Nov-24'!$G79,Lista_CUIT!$A$1:$D$2241,2,0)),"CUIT NO CARGADO")</f>
        <v>DANSKY ULLMANN VIVIANA EVA YOLANDA</v>
      </c>
      <c r="I79" s="245">
        <v>220000</v>
      </c>
      <c r="J79" s="343" t="str">
        <f>IFERROR(IF('Nov-24'!$G79="","-",VLOOKUP('Nov-24'!$G79,Lista_CUIT!$A$1:$D$2241,3,0)),"CUIT NO CARGADO")</f>
        <v>Honorarios Prof</v>
      </c>
      <c r="K79" s="257"/>
    </row>
    <row r="80" spans="2:18" ht="17.25" customHeight="1" thickBot="1" x14ac:dyDescent="0.35">
      <c r="D80" s="349" t="s">
        <v>1343</v>
      </c>
      <c r="E80" s="350"/>
      <c r="F80" s="350"/>
      <c r="G80" s="350"/>
      <c r="H80" s="351"/>
      <c r="I80" s="352">
        <f>SUBTOTAL(109,'Nov-24'!$I$66:$I$79)</f>
        <v>13862506.039999999</v>
      </c>
      <c r="J80" s="350"/>
      <c r="K80" s="353"/>
    </row>
    <row r="81" spans="2:13" ht="31.5" customHeight="1" x14ac:dyDescent="0.3"/>
    <row r="82" spans="2:13" ht="15.75" customHeight="1" x14ac:dyDescent="0.3"/>
    <row r="83" spans="2:13" ht="15.75" customHeight="1" x14ac:dyDescent="0.3">
      <c r="B83" s="492" t="s">
        <v>1364</v>
      </c>
      <c r="C83" s="476"/>
      <c r="D83" s="476"/>
      <c r="E83" s="476"/>
      <c r="F83" s="476"/>
      <c r="G83" s="476"/>
      <c r="H83" s="476"/>
      <c r="I83" s="476"/>
      <c r="J83" s="477"/>
      <c r="K83" s="493">
        <f>N1</f>
        <v>45231</v>
      </c>
      <c r="L83" s="476"/>
      <c r="M83" s="477"/>
    </row>
    <row r="84" spans="2:13" ht="15.75" customHeight="1" x14ac:dyDescent="0.3"/>
    <row r="85" spans="2:13" ht="15.75" customHeight="1" thickBot="1" x14ac:dyDescent="0.35">
      <c r="B85" s="504" t="s">
        <v>1365</v>
      </c>
      <c r="C85" s="499"/>
      <c r="D85" s="263"/>
      <c r="E85" s="263"/>
      <c r="F85" s="263"/>
      <c r="G85" s="263"/>
      <c r="H85" s="263"/>
      <c r="I85" s="263"/>
      <c r="J85" s="263"/>
      <c r="K85" s="263"/>
      <c r="L85" s="263"/>
      <c r="M85" s="263"/>
    </row>
    <row r="86" spans="2:13" ht="15.75" customHeight="1" thickBot="1" x14ac:dyDescent="0.35">
      <c r="B86" s="360" t="s">
        <v>1322</v>
      </c>
      <c r="C86" s="361" t="s">
        <v>1323</v>
      </c>
      <c r="D86" s="361" t="s">
        <v>1366</v>
      </c>
      <c r="E86" s="361" t="s">
        <v>1367</v>
      </c>
      <c r="F86" s="361" t="s">
        <v>0</v>
      </c>
      <c r="G86" s="361" t="s">
        <v>1</v>
      </c>
      <c r="H86" s="361" t="s">
        <v>1368</v>
      </c>
      <c r="I86" s="361" t="s">
        <v>1348</v>
      </c>
      <c r="J86" s="361" t="s">
        <v>1329</v>
      </c>
      <c r="K86" s="361" t="s">
        <v>1369</v>
      </c>
      <c r="L86" s="361" t="s">
        <v>1334</v>
      </c>
      <c r="M86" s="362" t="s">
        <v>1335</v>
      </c>
    </row>
    <row r="87" spans="2:13" ht="15" customHeight="1" x14ac:dyDescent="0.3">
      <c r="B87" s="303">
        <v>45602</v>
      </c>
      <c r="C87" s="304"/>
      <c r="D87" s="305">
        <v>3</v>
      </c>
      <c r="E87" s="306">
        <v>233</v>
      </c>
      <c r="F87" s="307">
        <v>20362474737</v>
      </c>
      <c r="G87" s="356" t="str">
        <f>IFERROR(IF('Nov-24'!$F87="","-",VLOOKUP('Nov-24'!$F87,Lista_CUIT!$A$1:$D$2241,2,0)),"CUIT NO CARGADO")</f>
        <v>GONZALEZ BRAIAN EZEQUIEL</v>
      </c>
      <c r="H87" s="357">
        <v>5577000</v>
      </c>
      <c r="I87" s="269"/>
      <c r="J87" s="358">
        <f>Table_52[[#This Row],[IMPORTE NETO]]*0.105</f>
        <v>585585</v>
      </c>
      <c r="K87" s="358"/>
      <c r="L87" s="358">
        <f>SUM('Nov-24'!$H87:$K87)</f>
        <v>6162585</v>
      </c>
      <c r="M87" s="359"/>
    </row>
    <row r="88" spans="2:13" ht="15" customHeight="1" x14ac:dyDescent="0.3">
      <c r="B88" s="303">
        <v>45602</v>
      </c>
      <c r="C88" s="304"/>
      <c r="D88" s="305">
        <v>3</v>
      </c>
      <c r="E88" s="306">
        <v>234</v>
      </c>
      <c r="F88" s="307">
        <v>30638318470</v>
      </c>
      <c r="G88" s="356" t="str">
        <f>IFERROR(IF('Nov-24'!$F88="","-",VLOOKUP('Nov-24'!$F88,Lista_CUIT!$A$1:$D$2241,2,0)),"CUIT NO CARGADO")</f>
        <v>DELTA COMPRESION S R L</v>
      </c>
      <c r="H88" s="357">
        <v>66391650</v>
      </c>
      <c r="I88" s="269"/>
      <c r="J88" s="358">
        <f>Table_52[[#This Row],[IMPORTE NETO]]*0.105</f>
        <v>6971123.25</v>
      </c>
      <c r="K88" s="358"/>
      <c r="L88" s="358">
        <f>SUM('Nov-24'!$H88:$K88)</f>
        <v>73362773.25</v>
      </c>
      <c r="M88" s="359"/>
    </row>
    <row r="89" spans="2:13" ht="15" customHeight="1" x14ac:dyDescent="0.3">
      <c r="B89" s="221">
        <v>45602</v>
      </c>
      <c r="C89" s="222"/>
      <c r="D89" s="223">
        <v>3</v>
      </c>
      <c r="E89" s="224">
        <v>9</v>
      </c>
      <c r="F89" s="225">
        <v>30638318470</v>
      </c>
      <c r="G89" s="267" t="str">
        <f>IFERROR(IF('Nov-24'!$F89="","-",VLOOKUP('Nov-24'!$F89,Lista_CUIT!$A$1:$D$2241,2,0)),"CUIT NO CARGADO")</f>
        <v>DELTA COMPRESION S R L</v>
      </c>
      <c r="H89" s="268">
        <v>11617783.319999998</v>
      </c>
      <c r="I89" s="269">
        <f>'Nov-24'!$H89*0.21</f>
        <v>2439734.4971999996</v>
      </c>
      <c r="J89" s="270"/>
      <c r="K89" s="270"/>
      <c r="L89" s="270">
        <f>SUM('Nov-24'!$H89:$K89)</f>
        <v>14057517.817199998</v>
      </c>
      <c r="M89" s="271"/>
    </row>
    <row r="90" spans="2:13" ht="15" customHeight="1" x14ac:dyDescent="0.3">
      <c r="B90" s="221">
        <v>45608</v>
      </c>
      <c r="C90" s="222"/>
      <c r="D90" s="223">
        <v>3</v>
      </c>
      <c r="E90" s="224">
        <v>235</v>
      </c>
      <c r="F90" s="225">
        <v>30718512545</v>
      </c>
      <c r="G90" s="267" t="str">
        <f>IFERROR(IF('Nov-24'!$F90="","-",VLOOKUP('Nov-24'!$F90,Lista_CUIT!$A$1:$D$2241,2,0)),"CUIT NO CARGADO")</f>
        <v>MAJUBEN MDP SERVICIOS S.R.L.</v>
      </c>
      <c r="H90" s="268">
        <v>1241960</v>
      </c>
      <c r="I90" s="269">
        <f>'Nov-24'!$H90*0.21</f>
        <v>260811.59999999998</v>
      </c>
      <c r="J90" s="270"/>
      <c r="K90" s="270"/>
      <c r="L90" s="270">
        <f>SUM('Nov-24'!$H90:$K90)</f>
        <v>1502771.6</v>
      </c>
      <c r="M90" s="271"/>
    </row>
    <row r="91" spans="2:13" ht="15" customHeight="1" x14ac:dyDescent="0.3">
      <c r="B91" s="221"/>
      <c r="C91" s="222"/>
      <c r="D91" s="223"/>
      <c r="E91" s="224"/>
      <c r="F91" s="225"/>
      <c r="G91" s="267" t="str">
        <f>IFERROR(IF('Nov-24'!$F91="","-",VLOOKUP('Nov-24'!$F91,Lista_CUIT!$A$1:$D$2241,2,0)),"CUIT NO CARGADO")</f>
        <v>-</v>
      </c>
      <c r="H91" s="268"/>
      <c r="I91" s="269">
        <f>'Nov-24'!$H91*0.21</f>
        <v>0</v>
      </c>
      <c r="J91" s="270"/>
      <c r="K91" s="270"/>
      <c r="L91" s="270">
        <f>SUM('Nov-24'!$H91:$K91)</f>
        <v>0</v>
      </c>
      <c r="M91" s="271"/>
    </row>
    <row r="92" spans="2:13" ht="15" customHeight="1" x14ac:dyDescent="0.3">
      <c r="B92" s="221"/>
      <c r="C92" s="222"/>
      <c r="D92" s="223"/>
      <c r="E92" s="224"/>
      <c r="F92" s="225"/>
      <c r="G92" s="267" t="str">
        <f>IFERROR(IF('Nov-24'!$F92="","-",VLOOKUP('Nov-24'!$F92,Lista_CUIT!$A$1:$D$2241,2,0)),"CUIT NO CARGADO")</f>
        <v>-</v>
      </c>
      <c r="H92" s="268"/>
      <c r="I92" s="269">
        <f>'Nov-24'!$H92*0.21</f>
        <v>0</v>
      </c>
      <c r="J92" s="270"/>
      <c r="K92" s="270"/>
      <c r="L92" s="270">
        <f>SUM('Nov-24'!$H92:$K92)</f>
        <v>0</v>
      </c>
      <c r="M92" s="271"/>
    </row>
    <row r="93" spans="2:13" ht="15" customHeight="1" x14ac:dyDescent="0.3">
      <c r="B93" s="221"/>
      <c r="C93" s="222"/>
      <c r="D93" s="223"/>
      <c r="E93" s="224"/>
      <c r="F93" s="225"/>
      <c r="G93" s="267" t="str">
        <f>IFERROR(IF('Nov-24'!$F93="","-",VLOOKUP('Nov-24'!$F93,Lista_CUIT!$A$1:$D$2241,2,0)),"CUIT NO CARGADO")</f>
        <v>-</v>
      </c>
      <c r="H93" s="268"/>
      <c r="I93" s="269">
        <f>'Nov-24'!$H93*0.21</f>
        <v>0</v>
      </c>
      <c r="J93" s="270"/>
      <c r="K93" s="270"/>
      <c r="L93" s="270">
        <f>SUM('Nov-24'!$H93:$K93)</f>
        <v>0</v>
      </c>
      <c r="M93" s="271"/>
    </row>
    <row r="94" spans="2:13" ht="15" customHeight="1" x14ac:dyDescent="0.3">
      <c r="B94" s="272"/>
      <c r="C94" s="273"/>
      <c r="D94" s="274"/>
      <c r="E94" s="275"/>
      <c r="F94" s="244"/>
      <c r="G94" s="267" t="str">
        <f>IFERROR(IF('Nov-24'!$F94="","-",VLOOKUP('Nov-24'!$F94,Lista_CUIT!$A$1:$D$2241,2,0)),"CUIT NO CARGADO")</f>
        <v>-</v>
      </c>
      <c r="H94" s="268"/>
      <c r="I94" s="269">
        <f>'Nov-24'!$H94*0.21</f>
        <v>0</v>
      </c>
      <c r="J94" s="270"/>
      <c r="K94" s="270"/>
      <c r="L94" s="270">
        <f>SUM('Nov-24'!$H94:$K94)</f>
        <v>0</v>
      </c>
      <c r="M94" s="271"/>
    </row>
    <row r="95" spans="2:13" ht="15" customHeight="1" thickBot="1" x14ac:dyDescent="0.35">
      <c r="B95" s="363"/>
      <c r="C95" s="364"/>
      <c r="D95" s="365"/>
      <c r="E95" s="366"/>
      <c r="F95" s="328"/>
      <c r="G95" s="367" t="str">
        <f>IFERROR(IF('Nov-24'!$F95="","-",VLOOKUP('Nov-24'!$F95,Lista_CUIT!$A$1:$D$2241,2,0)),"CUIT NO CARGADO")</f>
        <v>-</v>
      </c>
      <c r="H95" s="368"/>
      <c r="I95" s="369">
        <f>'Nov-24'!$H95*0.21</f>
        <v>0</v>
      </c>
      <c r="J95" s="355"/>
      <c r="K95" s="355"/>
      <c r="L95" s="355">
        <f>SUM('Nov-24'!$H95:$K95)</f>
        <v>0</v>
      </c>
      <c r="M95" s="370"/>
    </row>
    <row r="96" spans="2:13" ht="15.75" customHeight="1" thickBot="1" x14ac:dyDescent="0.35">
      <c r="B96" s="371" t="s">
        <v>1343</v>
      </c>
      <c r="C96" s="372"/>
      <c r="D96" s="372"/>
      <c r="E96" s="372"/>
      <c r="F96" s="372"/>
      <c r="G96" s="372"/>
      <c r="H96" s="373">
        <f>SUBTOTAL(109,'Nov-24'!$H$87:$H$95)</f>
        <v>84828393.319999993</v>
      </c>
      <c r="I96" s="374">
        <f>SUBTOTAL(109,'Nov-24'!$I$87:$I$95)</f>
        <v>2700546.0971999997</v>
      </c>
      <c r="J96" s="375">
        <f>SUBTOTAL(109,'Nov-24'!$J$87:$J$95)</f>
        <v>7556708.25</v>
      </c>
      <c r="K96" s="375">
        <f>SUBTOTAL(109,'Nov-24'!$K$87:$K$95)</f>
        <v>0</v>
      </c>
      <c r="L96" s="375">
        <f>SUBTOTAL(109,'Nov-24'!$L$87:$L$95)</f>
        <v>95085647.667199999</v>
      </c>
      <c r="M96" s="376">
        <f>SUBTOTAL(103,'Nov-24'!$M$87:$M$95)</f>
        <v>0</v>
      </c>
    </row>
    <row r="97" spans="2:13" ht="15.75" customHeight="1" x14ac:dyDescent="0.3">
      <c r="B97" s="384"/>
      <c r="C97" s="384"/>
      <c r="D97" s="384"/>
      <c r="E97" s="384"/>
      <c r="F97" s="384"/>
      <c r="G97" s="384"/>
      <c r="H97" s="385"/>
      <c r="I97" s="386"/>
      <c r="J97" s="387"/>
      <c r="K97" s="387"/>
      <c r="L97" s="387"/>
      <c r="M97" s="388"/>
    </row>
    <row r="98" spans="2:13" ht="15.75" customHeight="1" x14ac:dyDescent="0.3"/>
    <row r="99" spans="2:13" ht="15.75" customHeight="1" x14ac:dyDescent="0.3">
      <c r="B99" s="504" t="s">
        <v>1373</v>
      </c>
      <c r="C99" s="499"/>
      <c r="D99" s="263"/>
      <c r="E99" s="263"/>
      <c r="F99" s="263"/>
      <c r="G99" s="263"/>
      <c r="H99" s="263"/>
      <c r="I99" s="263"/>
      <c r="J99" s="263"/>
      <c r="K99" s="263"/>
      <c r="L99" s="263"/>
      <c r="M99" s="263"/>
    </row>
    <row r="100" spans="2:13" ht="15.75" customHeight="1" x14ac:dyDescent="0.3">
      <c r="B100" s="264" t="s">
        <v>1322</v>
      </c>
      <c r="C100" s="265" t="s">
        <v>1323</v>
      </c>
      <c r="D100" s="265" t="s">
        <v>1366</v>
      </c>
      <c r="E100" s="265" t="s">
        <v>1367</v>
      </c>
      <c r="F100" s="265" t="s">
        <v>0</v>
      </c>
      <c r="G100" s="265" t="s">
        <v>1</v>
      </c>
      <c r="H100" s="265" t="s">
        <v>1374</v>
      </c>
      <c r="I100" s="265" t="s">
        <v>1348</v>
      </c>
      <c r="J100" s="265" t="s">
        <v>1329</v>
      </c>
      <c r="K100" s="265" t="s">
        <v>1511</v>
      </c>
      <c r="L100" s="265" t="s">
        <v>1334</v>
      </c>
      <c r="M100" s="266" t="s">
        <v>1335</v>
      </c>
    </row>
    <row r="101" spans="2:13" ht="15.75" customHeight="1" x14ac:dyDescent="0.3">
      <c r="B101" s="221">
        <v>45622</v>
      </c>
      <c r="C101" s="222"/>
      <c r="D101" s="223"/>
      <c r="E101" s="224"/>
      <c r="F101" s="225">
        <v>55000000050</v>
      </c>
      <c r="G101" s="279" t="str">
        <f>IFERROR(IF('Oct-24'!$F96="","-",VLOOKUP('Oct-24'!$F96,Lista_CUIT!$A$1:$D$2241,2,0)),"CUIT NO CARGADO")</f>
        <v>CUIT NO CARGADO</v>
      </c>
      <c r="H101" s="280">
        <v>1920</v>
      </c>
      <c r="I101" s="280"/>
      <c r="J101" s="280"/>
      <c r="K101" s="280">
        <v>1007</v>
      </c>
      <c r="L101" s="280">
        <f>Table_4749[[#This Row],[USD]]*Table_4749[[#This Row],[TIPO DE CAMBIO]]</f>
        <v>1933440</v>
      </c>
      <c r="M101" s="271"/>
    </row>
    <row r="102" spans="2:13" ht="15.75" customHeight="1" x14ac:dyDescent="0.3">
      <c r="B102" s="221"/>
      <c r="C102" s="222"/>
      <c r="D102" s="223"/>
      <c r="E102" s="224"/>
      <c r="F102" s="225"/>
      <c r="G102" s="279" t="str">
        <f>IFERROR(IF('Oct-24'!$F97="","-",VLOOKUP('Oct-24'!$F97,Lista_CUIT!$A$1:$D$2241,2,0)),"CUIT NO CARGADO")</f>
        <v>CUIT NO CARGADO</v>
      </c>
      <c r="H102" s="280"/>
      <c r="I102" s="280"/>
      <c r="J102" s="280"/>
      <c r="K102" s="280"/>
      <c r="L102" s="280">
        <f>Table_4749[[#This Row],[USD]]*Table_4749[[#This Row],[TIPO DE CAMBIO]]</f>
        <v>0</v>
      </c>
      <c r="M102" s="271"/>
    </row>
    <row r="103" spans="2:13" ht="15.75" customHeight="1" x14ac:dyDescent="0.3">
      <c r="B103" s="221"/>
      <c r="C103" s="222"/>
      <c r="D103" s="223"/>
      <c r="E103" s="224"/>
      <c r="F103" s="225"/>
      <c r="G103" s="279" t="str">
        <f>IFERROR(IF('Oct-24'!$F98="","-",VLOOKUP('Oct-24'!$F98,Lista_CUIT!$A$1:$D$2241,2,0)),"CUIT NO CARGADO")</f>
        <v>CUIT NO CARGADO</v>
      </c>
      <c r="H103" s="280"/>
      <c r="I103" s="280"/>
      <c r="J103" s="280"/>
      <c r="K103" s="280"/>
      <c r="L103" s="280">
        <f>Table_4749[[#This Row],[USD]]*Table_4749[[#This Row],[TIPO DE CAMBIO]]</f>
        <v>0</v>
      </c>
      <c r="M103" s="271"/>
    </row>
    <row r="104" spans="2:13" ht="15.75" customHeight="1" x14ac:dyDescent="0.3">
      <c r="B104" s="221"/>
      <c r="C104" s="222"/>
      <c r="D104" s="223"/>
      <c r="E104" s="224"/>
      <c r="F104" s="225"/>
      <c r="G104" s="279" t="str">
        <f>IFERROR(IF('Oct-24'!$F99="","-",VLOOKUP('Oct-24'!$F99,Lista_CUIT!$A$1:$D$2241,2,0)),"CUIT NO CARGADO")</f>
        <v>-</v>
      </c>
      <c r="H104" s="280"/>
      <c r="I104" s="280"/>
      <c r="J104" s="280"/>
      <c r="K104" s="280"/>
      <c r="L104" s="280">
        <f>Table_4749[[#This Row],[USD]]*Table_4749[[#This Row],[TIPO DE CAMBIO]]</f>
        <v>0</v>
      </c>
      <c r="M104" s="271"/>
    </row>
    <row r="105" spans="2:13" ht="15.75" customHeight="1" x14ac:dyDescent="0.3">
      <c r="B105" s="221"/>
      <c r="C105" s="222"/>
      <c r="D105" s="223"/>
      <c r="E105" s="224"/>
      <c r="F105" s="225"/>
      <c r="G105" s="279" t="str">
        <f>IFERROR(IF('Oct-24'!$F100="","-",VLOOKUP('Oct-24'!$F100,Lista_CUIT!$A$1:$D$2241,2,0)),"CUIT NO CARGADO")</f>
        <v>-</v>
      </c>
      <c r="H105" s="280"/>
      <c r="I105" s="280"/>
      <c r="J105" s="280"/>
      <c r="K105" s="280"/>
      <c r="L105" s="280">
        <f>Table_4749[[#This Row],[USD]]*Table_4749[[#This Row],[TIPO DE CAMBIO]]</f>
        <v>0</v>
      </c>
      <c r="M105" s="271"/>
    </row>
    <row r="106" spans="2:13" ht="15.75" customHeight="1" x14ac:dyDescent="0.3">
      <c r="B106" s="221"/>
      <c r="C106" s="222"/>
      <c r="D106" s="223"/>
      <c r="E106" s="224"/>
      <c r="F106" s="225"/>
      <c r="G106" s="279" t="str">
        <f>IFERROR(IF('Oct-24'!$F101="","-",VLOOKUP('Oct-24'!$F101,Lista_CUIT!$A$1:$D$2241,2,0)),"CUIT NO CARGADO")</f>
        <v>-</v>
      </c>
      <c r="H106" s="280"/>
      <c r="I106" s="280"/>
      <c r="J106" s="280"/>
      <c r="K106" s="280"/>
      <c r="L106" s="280">
        <f>Table_4749[[#This Row],[USD]]*Table_4749[[#This Row],[TIPO DE CAMBIO]]</f>
        <v>0</v>
      </c>
      <c r="M106" s="271"/>
    </row>
    <row r="107" spans="2:13" ht="15.75" customHeight="1" x14ac:dyDescent="0.3">
      <c r="B107" s="276" t="s">
        <v>1343</v>
      </c>
      <c r="C107" s="277"/>
      <c r="D107" s="277"/>
      <c r="E107" s="277"/>
      <c r="F107" s="277"/>
      <c r="G107" s="299" t="str">
        <f>IFERROR(IF('Oct-24'!$F102="","-",VLOOKUP('Oct-24'!$F102,Lista_CUIT!$A$1:$D$2241,2,0)),"CUIT NO CARGADO")</f>
        <v>-</v>
      </c>
      <c r="H107" s="281">
        <f>SUBTOTAL(109,'Oct-24'!$H$124:$H$129)</f>
        <v>2080</v>
      </c>
      <c r="I107" s="281">
        <f>SUBTOTAL(109,'Oct-24'!$I$124:$I$129)</f>
        <v>0</v>
      </c>
      <c r="J107" s="282">
        <f>SUBTOTAL(109,'Oct-24'!$J$124:$J$129)</f>
        <v>0</v>
      </c>
      <c r="K107" s="282">
        <f>SUBTOTAL(109,'Oct-24'!$K$124:$K$129)</f>
        <v>985.5</v>
      </c>
      <c r="L107" s="282">
        <f>SUBTOTAL(109,'Oct-24'!$L$124:$L$129)</f>
        <v>2049840</v>
      </c>
      <c r="M107" s="278">
        <f>SUBTOTAL(103,'Oct-24'!$M$124:$M$129)</f>
        <v>0</v>
      </c>
    </row>
    <row r="108" spans="2:13" ht="15.75" customHeight="1" x14ac:dyDescent="0.3"/>
    <row r="109" spans="2:13" ht="15.75" customHeight="1" x14ac:dyDescent="0.3"/>
    <row r="110" spans="2:13" ht="15.75" customHeight="1" x14ac:dyDescent="0.3"/>
    <row r="111" spans="2:13" ht="15.75" customHeight="1" thickBot="1" x14ac:dyDescent="0.35">
      <c r="B111" s="504" t="s">
        <v>1372</v>
      </c>
      <c r="C111" s="499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</row>
    <row r="112" spans="2:13" ht="15.75" customHeight="1" thickBot="1" x14ac:dyDescent="0.35">
      <c r="B112" s="360" t="s">
        <v>1322</v>
      </c>
      <c r="C112" s="361" t="s">
        <v>1323</v>
      </c>
      <c r="D112" s="361" t="s">
        <v>1366</v>
      </c>
      <c r="E112" s="361" t="s">
        <v>1367</v>
      </c>
      <c r="F112" s="361" t="s">
        <v>0</v>
      </c>
      <c r="G112" s="361" t="s">
        <v>1</v>
      </c>
      <c r="H112" s="361" t="s">
        <v>1368</v>
      </c>
      <c r="I112" s="361" t="s">
        <v>1348</v>
      </c>
      <c r="J112" s="361" t="s">
        <v>1329</v>
      </c>
      <c r="K112" s="361" t="s">
        <v>1369</v>
      </c>
      <c r="L112" s="361" t="s">
        <v>1334</v>
      </c>
      <c r="M112" s="362" t="s">
        <v>1335</v>
      </c>
    </row>
    <row r="113" spans="2:13" ht="15" customHeight="1" x14ac:dyDescent="0.3">
      <c r="B113" s="303"/>
      <c r="C113" s="304"/>
      <c r="D113" s="305"/>
      <c r="E113" s="306"/>
      <c r="F113" s="307"/>
      <c r="G113" s="377" t="str">
        <f>IFERROR(IF('Nov-24'!$F113="","-",VLOOKUP('Nov-24'!$F113,Lista_CUIT!$A$1:$D$2241,2,0)),"CUIT NO CARGADO")</f>
        <v>-</v>
      </c>
      <c r="H113" s="378"/>
      <c r="I113" s="378"/>
      <c r="J113" s="378"/>
      <c r="K113" s="378"/>
      <c r="L113" s="378">
        <f>SUM('Nov-24'!$H113:$K113)</f>
        <v>0</v>
      </c>
      <c r="M113" s="359"/>
    </row>
    <row r="114" spans="2:13" ht="15" customHeight="1" x14ac:dyDescent="0.3">
      <c r="B114" s="221"/>
      <c r="C114" s="222"/>
      <c r="D114" s="223"/>
      <c r="E114" s="224"/>
      <c r="F114" s="225"/>
      <c r="G114" s="279"/>
      <c r="H114" s="280"/>
      <c r="I114" s="280"/>
      <c r="J114" s="280"/>
      <c r="K114" s="280"/>
      <c r="L114" s="280">
        <f>SUM('Nov-24'!$H114:$K114)</f>
        <v>0</v>
      </c>
      <c r="M114" s="271"/>
    </row>
    <row r="115" spans="2:13" ht="15" customHeight="1" x14ac:dyDescent="0.3">
      <c r="B115" s="221"/>
      <c r="C115" s="222"/>
      <c r="D115" s="223"/>
      <c r="E115" s="224"/>
      <c r="F115" s="225"/>
      <c r="G115" s="279"/>
      <c r="H115" s="280"/>
      <c r="I115" s="280"/>
      <c r="J115" s="280"/>
      <c r="K115" s="280"/>
      <c r="L115" s="280">
        <f>SUM('Nov-24'!$H115:$K115)</f>
        <v>0</v>
      </c>
      <c r="M115" s="271"/>
    </row>
    <row r="116" spans="2:13" ht="15" customHeight="1" x14ac:dyDescent="0.3">
      <c r="B116" s="221"/>
      <c r="C116" s="222"/>
      <c r="D116" s="223"/>
      <c r="E116" s="224"/>
      <c r="F116" s="225"/>
      <c r="G116" s="279"/>
      <c r="H116" s="280"/>
      <c r="I116" s="280"/>
      <c r="J116" s="280"/>
      <c r="K116" s="280"/>
      <c r="L116" s="280">
        <f>SUM('Nov-24'!$H116:$K116)</f>
        <v>0</v>
      </c>
      <c r="M116" s="271"/>
    </row>
    <row r="117" spans="2:13" ht="15" customHeight="1" x14ac:dyDescent="0.3">
      <c r="B117" s="221"/>
      <c r="C117" s="222"/>
      <c r="D117" s="223"/>
      <c r="E117" s="224"/>
      <c r="F117" s="225"/>
      <c r="G117" s="279"/>
      <c r="H117" s="280"/>
      <c r="I117" s="280"/>
      <c r="J117" s="280"/>
      <c r="K117" s="280"/>
      <c r="L117" s="280">
        <f>SUM('Nov-24'!$H117:$K117)</f>
        <v>0</v>
      </c>
      <c r="M117" s="271"/>
    </row>
    <row r="118" spans="2:13" ht="15" customHeight="1" thickBot="1" x14ac:dyDescent="0.35">
      <c r="B118" s="317"/>
      <c r="C118" s="318"/>
      <c r="D118" s="319"/>
      <c r="E118" s="320"/>
      <c r="F118" s="321"/>
      <c r="G118" s="379"/>
      <c r="H118" s="354"/>
      <c r="I118" s="354"/>
      <c r="J118" s="354"/>
      <c r="K118" s="354"/>
      <c r="L118" s="354">
        <f>SUM('Nov-24'!$H118:$K118)</f>
        <v>0</v>
      </c>
      <c r="M118" s="370"/>
    </row>
    <row r="119" spans="2:13" ht="15.75" customHeight="1" thickBot="1" x14ac:dyDescent="0.35">
      <c r="B119" s="371" t="s">
        <v>1343</v>
      </c>
      <c r="C119" s="372"/>
      <c r="D119" s="372"/>
      <c r="E119" s="372"/>
      <c r="F119" s="372"/>
      <c r="G119" s="372"/>
      <c r="H119" s="380">
        <f>SUBTOTAL(109,'Nov-24'!$H$113:$H$118)</f>
        <v>0</v>
      </c>
      <c r="I119" s="380">
        <f>SUBTOTAL(109,'Nov-24'!$I$113:$I$118)</f>
        <v>0</v>
      </c>
      <c r="J119" s="381">
        <f>SUBTOTAL(109,'Nov-24'!$J$113:$J$118)</f>
        <v>0</v>
      </c>
      <c r="K119" s="381">
        <f>SUBTOTAL(109,'Nov-24'!$K$113:$K$118)</f>
        <v>0</v>
      </c>
      <c r="L119" s="381">
        <f>SUBTOTAL(109,'Nov-24'!$L$113:$L$118)</f>
        <v>0</v>
      </c>
      <c r="M119" s="376">
        <f>SUBTOTAL(103,'Nov-24'!$M$113:$M$118)</f>
        <v>0</v>
      </c>
    </row>
    <row r="120" spans="2:13" ht="15.75" customHeight="1" x14ac:dyDescent="0.3"/>
    <row r="121" spans="2:13" ht="15.75" customHeight="1" x14ac:dyDescent="0.3"/>
    <row r="122" spans="2:13" ht="15.75" customHeight="1" x14ac:dyDescent="0.3"/>
    <row r="123" spans="2:13" ht="15.75" customHeight="1" x14ac:dyDescent="0.3"/>
    <row r="124" spans="2:13" ht="15.75" customHeight="1" x14ac:dyDescent="0.3"/>
    <row r="125" spans="2:13" ht="15.75" customHeight="1" x14ac:dyDescent="0.3"/>
    <row r="126" spans="2:13" ht="15.75" customHeight="1" thickBot="1" x14ac:dyDescent="0.35"/>
    <row r="127" spans="2:13" ht="15.75" customHeight="1" thickTop="1" x14ac:dyDescent="0.3">
      <c r="C127" s="487" t="s">
        <v>1380</v>
      </c>
      <c r="D127" s="488"/>
      <c r="E127" s="488"/>
      <c r="F127" s="488"/>
      <c r="G127" s="489"/>
      <c r="H127" s="88"/>
      <c r="I127" s="88"/>
      <c r="J127" s="88"/>
    </row>
    <row r="128" spans="2:13" ht="15.75" customHeight="1" x14ac:dyDescent="0.3">
      <c r="C128" s="89" t="s">
        <v>1381</v>
      </c>
      <c r="D128" s="90" t="s">
        <v>1382</v>
      </c>
      <c r="E128" s="90" t="s">
        <v>1376</v>
      </c>
      <c r="F128" s="90" t="s">
        <v>0</v>
      </c>
      <c r="G128" s="90" t="s">
        <v>1</v>
      </c>
      <c r="H128" s="91" t="s">
        <v>1383</v>
      </c>
      <c r="I128" s="91" t="s">
        <v>1384</v>
      </c>
      <c r="J128" s="91" t="s">
        <v>1385</v>
      </c>
      <c r="K128" s="91" t="s">
        <v>1386</v>
      </c>
      <c r="L128" s="91" t="s">
        <v>1387</v>
      </c>
    </row>
    <row r="129" spans="3:12" ht="15.75" customHeight="1" x14ac:dyDescent="0.3">
      <c r="C129" s="92"/>
      <c r="D129" s="93">
        <v>11694</v>
      </c>
      <c r="E129" s="93"/>
      <c r="F129" s="39"/>
      <c r="G129" s="40" t="str">
        <f>IFERROR(IF('Nov-24'!$F129="","-",VLOOKUP('Nov-24'!$F129,Lista_CUIT!$A$1:$D$2241,2,0)),"CUIT NO CARGADO")</f>
        <v>-</v>
      </c>
      <c r="H129" s="94"/>
      <c r="I129" s="94"/>
      <c r="J129" s="94"/>
      <c r="K129" s="94"/>
      <c r="L129" s="94"/>
    </row>
    <row r="130" spans="3:12" ht="15.75" customHeight="1" x14ac:dyDescent="0.3">
      <c r="C130" s="92"/>
      <c r="D130" s="93">
        <v>11695</v>
      </c>
      <c r="E130" s="93"/>
      <c r="F130" s="39"/>
      <c r="G130" s="40" t="str">
        <f>IFERROR(IF('Nov-24'!$F130="","-",VLOOKUP('Nov-24'!$F130,Lista_CUIT!$A$1:$D$2241,2,0)),"CUIT NO CARGADO")</f>
        <v>-</v>
      </c>
      <c r="H130" s="94"/>
      <c r="I130" s="94"/>
      <c r="J130" s="94"/>
      <c r="K130" s="94"/>
      <c r="L130" s="94"/>
    </row>
    <row r="131" spans="3:12" ht="15.75" customHeight="1" x14ac:dyDescent="0.3">
      <c r="C131" s="92"/>
      <c r="D131" s="93">
        <v>11696</v>
      </c>
      <c r="E131" s="93"/>
      <c r="F131" s="39"/>
      <c r="G131" s="40" t="str">
        <f>IFERROR(IF('Nov-24'!$F131="","-",VLOOKUP('Nov-24'!$F131,Lista_CUIT!$A$1:$D$2241,2,0)),"CUIT NO CARGADO")</f>
        <v>-</v>
      </c>
      <c r="H131" s="94"/>
      <c r="I131" s="94"/>
      <c r="J131" s="94"/>
      <c r="K131" s="94"/>
      <c r="L131" s="94"/>
    </row>
    <row r="132" spans="3:12" ht="15.75" customHeight="1" x14ac:dyDescent="0.3">
      <c r="C132" s="92"/>
      <c r="D132" s="93">
        <v>11697</v>
      </c>
      <c r="E132" s="93"/>
      <c r="F132" s="39"/>
      <c r="G132" s="40" t="str">
        <f>IFERROR(IF('Nov-24'!$F132="","-",VLOOKUP('Nov-24'!$F132,Lista_CUIT!$A$1:$D$2241,2,0)),"CUIT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3">
      <c r="C133" s="3"/>
      <c r="D133" s="93">
        <v>11698</v>
      </c>
      <c r="E133" s="93"/>
      <c r="F133" s="3"/>
      <c r="G133" s="40" t="str">
        <f>IFERROR(IF('Nov-24'!$F133="","-",VLOOKUP('Nov-24'!$F133,Lista_CUIT!$A$1:$D$2241,2,0)),"CUIT NO CARGADO")</f>
        <v>-</v>
      </c>
      <c r="H133" s="3"/>
      <c r="I133" s="3"/>
      <c r="J133" s="3"/>
      <c r="K133" s="3"/>
      <c r="L133" s="3"/>
    </row>
    <row r="134" spans="3:12" ht="15.75" customHeight="1" x14ac:dyDescent="0.3">
      <c r="C134" s="145"/>
    </row>
    <row r="135" spans="3:12" ht="15.75" customHeight="1" x14ac:dyDescent="0.3"/>
    <row r="136" spans="3:12" ht="15.75" customHeight="1" x14ac:dyDescent="0.3"/>
    <row r="137" spans="3:12" ht="15.75" customHeight="1" x14ac:dyDescent="0.3"/>
    <row r="138" spans="3:12" ht="15.75" customHeight="1" x14ac:dyDescent="0.3"/>
    <row r="139" spans="3:12" ht="15.75" customHeight="1" x14ac:dyDescent="0.3"/>
    <row r="140" spans="3:12" ht="15.75" customHeight="1" x14ac:dyDescent="0.3"/>
    <row r="141" spans="3:12" ht="15.75" customHeight="1" x14ac:dyDescent="0.3"/>
    <row r="142" spans="3:12" ht="15.75" customHeight="1" x14ac:dyDescent="0.3"/>
    <row r="143" spans="3:12" ht="15.75" customHeight="1" x14ac:dyDescent="0.3"/>
    <row r="144" spans="3:12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</sheetData>
  <mergeCells count="21">
    <mergeCell ref="M4:N4"/>
    <mergeCell ref="P4:R4"/>
    <mergeCell ref="D54:L54"/>
    <mergeCell ref="C127:G127"/>
    <mergeCell ref="B3:E3"/>
    <mergeCell ref="B4:E4"/>
    <mergeCell ref="G4:H4"/>
    <mergeCell ref="J4:K4"/>
    <mergeCell ref="D64:K64"/>
    <mergeCell ref="B83:J83"/>
    <mergeCell ref="K83:M83"/>
    <mergeCell ref="B85:C85"/>
    <mergeCell ref="B111:C111"/>
    <mergeCell ref="B99:C99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decimal" allowBlank="1" showErrorMessage="1" sqref="F113:F118 G66:G79 F87:F95 F101:F106 F9:F48" xr:uid="{00000000-0002-0000-0800-000000000000}">
      <formula1>20000000000</formula1>
      <formula2>33999999999</formula2>
    </dataValidation>
    <dataValidation type="decimal" allowBlank="1" showErrorMessage="1" sqref="C113:C118 C101:C106" xr:uid="{00000000-0002-0000-0800-000001000000}">
      <formula1>6</formula1>
      <formula2>8</formula2>
    </dataValidation>
    <dataValidation type="custom" allowBlank="1" showErrorMessage="1" sqref="H113:L118 H101:L106" xr:uid="{00000000-0002-0000-0800-000002000000}">
      <formula1>IF($C101=8,H101&lt;0,H101&gt;=0)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O9:O17 H9:N18 H19:O48" xr:uid="{00000000-0002-0000-0800-000003000000}">
      <formula1>IF($C9=3,H9&lt;0,H9&gt;=0)</formula1>
    </dataValidation>
    <dataValidation type="decimal" allowBlank="1" showErrorMessage="1" sqref="E113:E118 F66:F79 E87:E95 E101:E106 E9:E48" xr:uid="{00000000-0002-0000-0800-000004000000}">
      <formula1>1</formula1>
      <formula2>99999999</formula2>
    </dataValidation>
    <dataValidation type="custom" allowBlank="1" showErrorMessage="1" sqref="L89:L91" xr:uid="{00000000-0002-0000-0800-000005000000}">
      <formula1>IF($C13=3,L13&lt;0,L13&gt;=0)</formula1>
    </dataValidation>
    <dataValidation type="decimal" allowBlank="1" showErrorMessage="1" sqref="D113:D118 E66:E79 D87:D95 D101:D106 D9:D48" xr:uid="{00000000-0002-0000-0800-000006000000}">
      <formula1>1</formula1>
      <formula2>9999</formula2>
    </dataValidation>
    <dataValidation type="custom" allowBlank="1" showErrorMessage="1" sqref="L87:L88" xr:uid="{00000000-0002-0000-0800-000007000000}">
      <formula1>IF($C9=3,L9&lt;0,L9&gt;=0)</formula1>
    </dataValidation>
    <dataValidation type="decimal" allowBlank="1" showErrorMessage="1" sqref="C50:C53 C87:C95 C9:C48" xr:uid="{00000000-0002-0000-0800-000008000000}">
      <formula1>1</formula1>
      <formula2>3</formula2>
    </dataValidation>
    <dataValidation type="custom" allowBlank="1" showErrorMessage="1" sqref="H93:K93 H89:K89 H91:K91 H87:H88 J87:K88" xr:uid="{00000000-0002-0000-0800-000009000000}">
      <formula1>IF($C87=3,H87&lt;0,H87&gt;=0)</formula1>
    </dataValidation>
    <dataValidation type="date" allowBlank="1" showErrorMessage="1" sqref="B113:B118 B50:B53 D56:D59 D66:D79 B87:B95 B101:B106 B9:B48" xr:uid="{00000000-0002-0000-0800-00000A000000}">
      <formula1>40179</formula1>
      <formula2>TODAY()</formula2>
    </dataValidation>
    <dataValidation type="custom" allowBlank="1" showErrorMessage="1" sqref="L92:L93" xr:uid="{00000000-0002-0000-0800-00000B000000}">
      <formula1>IF($C49=3,L49&lt;0,L49&gt;=0)</formula1>
    </dataValidation>
    <dataValidation showInputMessage="1" showErrorMessage="1" prompt="Error de Ingreso - Ingreso condicionado al tipo de compra:_x000a_- Tipo 001: solo positivo_x000a_- Tipo 002: solo positivo_x000a_- Tipo 003: solo negativo" sqref="O18" xr:uid="{00000000-0002-0000-0800-00000C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DE9D9"/>
  </sheetPr>
  <dimension ref="A1:Z999"/>
  <sheetViews>
    <sheetView showGridLines="0" topLeftCell="A37" zoomScale="80" zoomScaleNormal="80" workbookViewId="0">
      <selection activeCell="H30" sqref="H30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15.88671875" customWidth="1"/>
    <col min="12" max="12" width="15.6640625" customWidth="1"/>
    <col min="13" max="13" width="15.88671875" customWidth="1"/>
    <col min="14" max="14" width="16.44140625" customWidth="1"/>
    <col min="15" max="15" width="13.88671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26" ht="34.5" customHeight="1" x14ac:dyDescent="0.3">
      <c r="A1" s="6"/>
      <c r="B1" s="475" t="s">
        <v>1315</v>
      </c>
      <c r="C1" s="476"/>
      <c r="D1" s="476"/>
      <c r="E1" s="476"/>
      <c r="F1" s="477"/>
      <c r="G1" s="478" t="str">
        <f>'Abr-24'!G1:M1</f>
        <v>CORITEC S. R. L.</v>
      </c>
      <c r="H1" s="505"/>
      <c r="I1" s="505"/>
      <c r="J1" s="505"/>
      <c r="K1" s="505"/>
      <c r="L1" s="505"/>
      <c r="M1" s="506"/>
      <c r="N1" s="479">
        <f>EDATE('Abr-24'!N1,8)</f>
        <v>45261</v>
      </c>
      <c r="O1" s="476"/>
      <c r="P1" s="476"/>
      <c r="Q1" s="476"/>
      <c r="R1" s="477"/>
    </row>
    <row r="3" spans="1:26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26" ht="24.75" customHeight="1" x14ac:dyDescent="0.4">
      <c r="B4" s="490">
        <f>Table_55[[#Totals],[NETO GRAVADO]]</f>
        <v>37385489.990000002</v>
      </c>
      <c r="C4" s="476"/>
      <c r="D4" s="476"/>
      <c r="E4" s="477"/>
      <c r="F4" s="8"/>
      <c r="G4" s="491">
        <f>Table_55[[#Totals],[IVA 21 %]]+Table_55[[#Totals],[IVA 27%]]+Table_55[[#Totals],[IVA 10,5%]]+H51</f>
        <v>7868631.0514000002</v>
      </c>
      <c r="H4" s="477"/>
      <c r="I4" s="8"/>
      <c r="J4" s="494">
        <f>Table_58[[#Totals],[IMPORTE NETO]]+H102</f>
        <v>36151670</v>
      </c>
      <c r="K4" s="477"/>
      <c r="L4" s="8"/>
      <c r="M4" s="494">
        <f>Table_58[[#Totals],[IVA 21%]]+Table_58[[#Totals],[IVA 10,5%]]+I102+J102</f>
        <v>4265801.9250000007</v>
      </c>
      <c r="N4" s="477"/>
      <c r="O4" s="8"/>
      <c r="P4" s="483">
        <f>G4-M4</f>
        <v>3602829.1263999995</v>
      </c>
      <c r="Q4" s="476"/>
      <c r="R4" s="477"/>
    </row>
    <row r="5" spans="1:26" ht="12.75" customHeight="1" x14ac:dyDescent="0.3">
      <c r="H5" s="405">
        <v>-7868631.04</v>
      </c>
    </row>
    <row r="6" spans="1:26" ht="10.5" customHeight="1" x14ac:dyDescent="0.3"/>
    <row r="7" spans="1:26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3">
      <c r="B8" s="406" t="s">
        <v>1322</v>
      </c>
      <c r="C8" s="406" t="s">
        <v>1323</v>
      </c>
      <c r="D8" s="406" t="s">
        <v>1324</v>
      </c>
      <c r="E8" s="406" t="s">
        <v>1325</v>
      </c>
      <c r="F8" s="406" t="s">
        <v>0</v>
      </c>
      <c r="G8" s="406" t="s">
        <v>1</v>
      </c>
      <c r="H8" s="406" t="s">
        <v>1326</v>
      </c>
      <c r="I8" s="406" t="s">
        <v>1327</v>
      </c>
      <c r="J8" s="406" t="s">
        <v>1328</v>
      </c>
      <c r="K8" s="406" t="s">
        <v>1329</v>
      </c>
      <c r="L8" s="406" t="s">
        <v>1330</v>
      </c>
      <c r="M8" s="406" t="s">
        <v>1331</v>
      </c>
      <c r="N8" s="406" t="s">
        <v>1332</v>
      </c>
      <c r="O8" s="406" t="s">
        <v>1333</v>
      </c>
      <c r="P8" s="406" t="s">
        <v>1334</v>
      </c>
      <c r="Q8" s="406" t="s">
        <v>2</v>
      </c>
      <c r="R8" s="406" t="s">
        <v>1335</v>
      </c>
    </row>
    <row r="9" spans="1:26" ht="14.4" x14ac:dyDescent="0.3">
      <c r="B9" s="12">
        <v>45627</v>
      </c>
      <c r="C9" s="13">
        <v>1</v>
      </c>
      <c r="D9" s="14">
        <v>3</v>
      </c>
      <c r="E9" s="15">
        <v>248914</v>
      </c>
      <c r="F9" s="16">
        <v>30707135596</v>
      </c>
      <c r="G9" s="17" t="str">
        <f>IFERROR(IF('Dic-24'!$F9="","-",VLOOKUP('Dic-24'!$F9,Lista_CUIT!$A$1:$D$2241,2,0)),"CUIT NO CARGADO")</f>
        <v>CITILAN ARGENTINA S.A.</v>
      </c>
      <c r="H9" s="407">
        <v>25452.38</v>
      </c>
      <c r="I9" s="408">
        <f>IF('Dic-24'!$H9="","",'Dic-24'!$H9*0.21)</f>
        <v>5344.9997999999996</v>
      </c>
      <c r="J9" s="408"/>
      <c r="K9" s="408"/>
      <c r="L9" s="408"/>
      <c r="M9" s="408"/>
      <c r="N9" s="408"/>
      <c r="O9" s="408"/>
      <c r="P9" s="409">
        <f>SUM('Dic-24'!$H9:$O9)</f>
        <v>30797.379800000002</v>
      </c>
      <c r="Q9" s="21" t="str">
        <f>IFERROR(IF('Dic-24'!$F9="","-",VLOOKUP('Dic-24'!$F9,Lista_CUIT!$A$1:$D$2241,3,0)),"CUIT NO CARGADO")</f>
        <v>Telefonia</v>
      </c>
      <c r="R9" s="21">
        <f>IFERROR(IF('Dic-24'!$F9="","-",VLOOKUP('Dic-24'!$F9,Lista_CUIT!$A$1:$D$2241,4,0)),"CUIT NO CARGADO")</f>
        <v>0</v>
      </c>
    </row>
    <row r="10" spans="1:26" ht="14.4" x14ac:dyDescent="0.3">
      <c r="B10" s="12">
        <v>45627</v>
      </c>
      <c r="C10" s="13">
        <v>1</v>
      </c>
      <c r="D10" s="14">
        <v>3</v>
      </c>
      <c r="E10" s="15">
        <v>812</v>
      </c>
      <c r="F10" s="16">
        <v>30715402765</v>
      </c>
      <c r="G10" s="17" t="str">
        <f>IFERROR(IF('Dic-24'!$F10="","-",VLOOKUP('Dic-24'!$F10,Lista_CUIT!$A$1:$D$2241,2,0)),"CUIT NO CARGADO")</f>
        <v>RIO 265 S.R.L.</v>
      </c>
      <c r="H10" s="407">
        <v>71074.38</v>
      </c>
      <c r="I10" s="408">
        <f>IF('Dic-24'!$H10="","",'Dic-24'!$H10*0.21)</f>
        <v>14925.6198</v>
      </c>
      <c r="J10" s="408"/>
      <c r="K10" s="408"/>
      <c r="L10" s="408"/>
      <c r="M10" s="408"/>
      <c r="N10" s="408"/>
      <c r="O10" s="408"/>
      <c r="P10" s="409">
        <f>SUM('Dic-24'!$H10:$O10)</f>
        <v>85999.999800000005</v>
      </c>
      <c r="Q10" s="21" t="str">
        <f>IFERROR(IF('Dic-24'!$F10="","-",VLOOKUP('Dic-24'!$F10,Lista_CUIT!$A$1:$D$2241,3,0)),"CUIT NO CARGADO")</f>
        <v>GASTOS VARIOS</v>
      </c>
      <c r="R10" s="21">
        <f>IFERROR(IF('Dic-24'!$F10="","-",VLOOKUP('Dic-24'!$F10,Lista_CUIT!$A$1:$D$2241,4,0)),"CUIT NO CARGADO")</f>
        <v>0</v>
      </c>
    </row>
    <row r="11" spans="1:26" ht="14.4" x14ac:dyDescent="0.3">
      <c r="B11" s="12">
        <v>45628</v>
      </c>
      <c r="C11" s="13">
        <v>1</v>
      </c>
      <c r="D11" s="14">
        <v>106</v>
      </c>
      <c r="E11" s="15">
        <v>793899</v>
      </c>
      <c r="F11" s="16">
        <v>30594494187</v>
      </c>
      <c r="G11" s="17" t="str">
        <f>IFERROR(IF('Dic-24'!$F11="","-",VLOOKUP('Dic-24'!$F11,Lista_CUIT!$A$1:$D$2241,2,0)),"CUIT NO CARGADO")</f>
        <v>FEDERAL EXPRESS CORPORATION</v>
      </c>
      <c r="H11" s="410">
        <v>0</v>
      </c>
      <c r="I11" s="408">
        <f>IF('Dic-24'!$H11="","",'Dic-24'!$H11*0.21)</f>
        <v>0</v>
      </c>
      <c r="J11" s="411"/>
      <c r="K11" s="411"/>
      <c r="L11" s="411"/>
      <c r="M11" s="411"/>
      <c r="N11" s="411"/>
      <c r="O11" s="411">
        <v>59095</v>
      </c>
      <c r="P11" s="412">
        <f>SUM('Dic-24'!$H11:$O11)</f>
        <v>59095</v>
      </c>
      <c r="Q11" s="21" t="str">
        <f>IFERROR(IF('Dic-24'!$F11="","-",VLOOKUP('Dic-24'!$F11,Lista_CUIT!$A$1:$D$2241,3,0)),"CUIT NO CARGADO")</f>
        <v>Gastos Importacion</v>
      </c>
      <c r="R11" s="21">
        <f>IFERROR(IF('Dic-24'!$F11="","-",VLOOKUP('Dic-24'!$F11,Lista_CUIT!$A$1:$D$2241,4,0)),"CUIT NO CARGADO")</f>
        <v>0</v>
      </c>
    </row>
    <row r="12" spans="1:26" ht="14.4" x14ac:dyDescent="0.3">
      <c r="B12" s="12">
        <v>45628</v>
      </c>
      <c r="C12" s="13">
        <v>1</v>
      </c>
      <c r="D12" s="14">
        <v>106</v>
      </c>
      <c r="E12" s="15">
        <v>793900</v>
      </c>
      <c r="F12" s="16">
        <v>30594494187</v>
      </c>
      <c r="G12" s="17" t="str">
        <f>IFERROR(IF('Dic-24'!$F12="","-",VLOOKUP('Dic-24'!$F12,Lista_CUIT!$A$1:$D$2241,2,0)),"CUIT NO CARGADO")</f>
        <v>FEDERAL EXPRESS CORPORATION</v>
      </c>
      <c r="H12" s="410">
        <v>0</v>
      </c>
      <c r="I12" s="408">
        <f>IF('Dic-24'!$H12="","",'Dic-24'!$H12*0.21)</f>
        <v>0</v>
      </c>
      <c r="J12" s="411"/>
      <c r="K12" s="411"/>
      <c r="L12" s="411"/>
      <c r="M12" s="411"/>
      <c r="N12" s="411"/>
      <c r="O12" s="411">
        <v>491671.84</v>
      </c>
      <c r="P12" s="412">
        <f>SUM('Dic-24'!$H12:$O12)</f>
        <v>491671.84</v>
      </c>
      <c r="Q12" s="21" t="str">
        <f>IFERROR(IF('Dic-24'!$F12="","-",VLOOKUP('Dic-24'!$F12,Lista_CUIT!$A$1:$D$2241,3,0)),"CUIT NO CARGADO")</f>
        <v>Gastos Importacion</v>
      </c>
      <c r="R12" s="21">
        <f>IFERROR(IF('Dic-24'!$F12="","-",VLOOKUP('Dic-24'!$F12,Lista_CUIT!$A$1:$D$2241,4,0)),"CUIT NO CARGADO")</f>
        <v>0</v>
      </c>
    </row>
    <row r="13" spans="1:26" ht="14.4" x14ac:dyDescent="0.3">
      <c r="B13" s="12">
        <v>45628</v>
      </c>
      <c r="C13" s="13">
        <v>1</v>
      </c>
      <c r="D13" s="14">
        <v>3</v>
      </c>
      <c r="E13" s="15">
        <v>149</v>
      </c>
      <c r="F13" s="16">
        <v>20297899830</v>
      </c>
      <c r="G13" s="17" t="str">
        <f>IFERROR(IF('Dic-24'!$F13="","-",VLOOKUP('Dic-24'!$F13,Lista_CUIT!$A$1:$D$2241,2,0)),"CUIT NO CARGADO")</f>
        <v>FUNK MATIAS NICOLAS</v>
      </c>
      <c r="H13" s="407">
        <v>5988080</v>
      </c>
      <c r="I13" s="408">
        <f>IF('Dic-24'!$H13="","",'Dic-24'!$H13*0.21)</f>
        <v>1257496.8</v>
      </c>
      <c r="J13" s="408"/>
      <c r="K13" s="408"/>
      <c r="L13" s="408"/>
      <c r="M13" s="408"/>
      <c r="N13" s="408"/>
      <c r="O13" s="408"/>
      <c r="P13" s="409">
        <f>SUM('Dic-24'!$H13:$O13)</f>
        <v>7245576.7999999998</v>
      </c>
      <c r="Q13" s="21" t="str">
        <f>IFERROR(IF('Dic-24'!$F13="","-",VLOOKUP('Dic-24'!$F13,Lista_CUIT!$A$1:$D$2241,3,0)),"CUIT NO CARGADO")</f>
        <v>INSUMO</v>
      </c>
      <c r="R13" s="21">
        <f>IFERROR(IF('Dic-24'!$F13="","-",VLOOKUP('Dic-24'!$F13,Lista_CUIT!$A$1:$D$2241,4,0)),"CUIT NO CARGADO")</f>
        <v>0</v>
      </c>
    </row>
    <row r="14" spans="1:26" ht="14.4" x14ac:dyDescent="0.3">
      <c r="B14" s="391">
        <v>45630</v>
      </c>
      <c r="C14" s="13">
        <v>1</v>
      </c>
      <c r="D14" s="393">
        <v>3</v>
      </c>
      <c r="E14" s="394">
        <v>21803</v>
      </c>
      <c r="F14" s="395">
        <v>30707468161</v>
      </c>
      <c r="G14" s="382" t="str">
        <f>IFERROR(IF('Dic-24'!$F14="","-",VLOOKUP('Dic-24'!$F14,Lista_CUIT!$A$1:$D$2241,2,0)),"CUIT NO CARGADO")</f>
        <v>LASERTEC INGENIERIA SOCIEDAD ANONIMA</v>
      </c>
      <c r="H14" s="413">
        <v>361375</v>
      </c>
      <c r="I14" s="408">
        <f>IF('Dic-24'!$H14="","",'Dic-24'!$H14*0.21)</f>
        <v>75888.75</v>
      </c>
      <c r="J14" s="414"/>
      <c r="K14" s="414"/>
      <c r="L14" s="414"/>
      <c r="M14" s="414"/>
      <c r="N14" s="414"/>
      <c r="O14" s="414"/>
      <c r="P14" s="415">
        <f>SUM('Dic-24'!$H14:$O14)</f>
        <v>437263.75</v>
      </c>
      <c r="Q14" s="396" t="str">
        <f>IFERROR(IF('Dic-24'!$F14="","-",VLOOKUP('Dic-24'!$F14,Lista_CUIT!$A$1:$D$2241,3,0)),"CUIT NO CARGADO")</f>
        <v>INSUMO</v>
      </c>
      <c r="R14" s="396">
        <f>IFERROR(IF('Dic-24'!$F14="","-",VLOOKUP('Dic-24'!$F14,Lista_CUIT!$A$1:$D$2241,4,0)),"CUIT NO CARGADO")</f>
        <v>0</v>
      </c>
    </row>
    <row r="15" spans="1:26" ht="14.4" x14ac:dyDescent="0.3">
      <c r="B15" s="391">
        <v>45630</v>
      </c>
      <c r="C15" s="13">
        <v>1</v>
      </c>
      <c r="D15" s="393">
        <v>5</v>
      </c>
      <c r="E15" s="394">
        <v>2156</v>
      </c>
      <c r="F15" s="395">
        <v>33716423919</v>
      </c>
      <c r="G15" s="382" t="str">
        <f>IFERROR(IF('Dic-24'!$F15="","-",VLOOKUP('Dic-24'!$F15,Lista_CUIT!$A$1:$D$2241,2,0)),"CUIT NO CARGADO")</f>
        <v>GOLOSINAR SA</v>
      </c>
      <c r="H15" s="413">
        <v>25140.5</v>
      </c>
      <c r="I15" s="408">
        <f>IF('Dic-24'!$H15="","",'Dic-24'!$H15*0.21)</f>
        <v>5279.5050000000001</v>
      </c>
      <c r="J15" s="414"/>
      <c r="K15" s="414"/>
      <c r="L15" s="414"/>
      <c r="M15" s="414"/>
      <c r="N15" s="414"/>
      <c r="O15" s="414"/>
      <c r="P15" s="415">
        <f>SUM('Dic-24'!$H15:$O15)</f>
        <v>30420.005000000001</v>
      </c>
      <c r="Q15" s="396" t="str">
        <f>IFERROR(IF('Dic-24'!$F15="","-",VLOOKUP('Dic-24'!$F15,Lista_CUIT!$A$1:$D$2241,3,0)),"CUIT NO CARGADO")</f>
        <v>GASTOS VARIOS</v>
      </c>
      <c r="R15" s="396">
        <f>IFERROR(IF('Dic-24'!$F15="","-",VLOOKUP('Dic-24'!$F15,Lista_CUIT!$A$1:$D$2241,4,0)),"CUIT NO CARGADO")</f>
        <v>0</v>
      </c>
    </row>
    <row r="16" spans="1:26" ht="16.5" customHeight="1" x14ac:dyDescent="0.3">
      <c r="A16" s="43"/>
      <c r="B16" s="12">
        <v>45631</v>
      </c>
      <c r="C16" s="13">
        <v>1</v>
      </c>
      <c r="D16" s="14">
        <v>2</v>
      </c>
      <c r="E16" s="15">
        <v>827</v>
      </c>
      <c r="F16" s="16">
        <v>20296550184</v>
      </c>
      <c r="G16" s="17" t="str">
        <f>IFERROR(IF('Dic-24'!$F16="","-",VLOOKUP('Dic-24'!$F16,Lista_CUIT!$A$1:$D$2241,2,0)),"CUIT NO CARGADO")</f>
        <v>COSTA DIEGO ALEJANDRO</v>
      </c>
      <c r="H16" s="410">
        <v>392000</v>
      </c>
      <c r="I16" s="408">
        <f>IF('Dic-24'!$H16="","",'Dic-24'!$H16*0.21)</f>
        <v>82320</v>
      </c>
      <c r="J16" s="411"/>
      <c r="K16" s="411"/>
      <c r="L16" s="411"/>
      <c r="M16" s="411"/>
      <c r="N16" s="411"/>
      <c r="O16" s="411"/>
      <c r="P16" s="412">
        <f>SUM('Dic-24'!$H16:$O16)</f>
        <v>474320</v>
      </c>
      <c r="Q16" s="21" t="str">
        <f>IFERROR(IF('Dic-24'!$F16="","-",VLOOKUP('Dic-24'!$F16,Lista_CUIT!$A$1:$D$2241,3,0)),"CUIT NO CARGADO")</f>
        <v>Mat. Prima</v>
      </c>
      <c r="R16" s="21">
        <f>IFERROR(IF('Dic-24'!$F16="","-",VLOOKUP('Dic-24'!$F16,Lista_CUIT!$A$1:$D$2241,4,0)),"CUIT NO CARGADO")</f>
        <v>0</v>
      </c>
      <c r="S16" s="43"/>
      <c r="T16" s="43"/>
      <c r="U16" s="43"/>
      <c r="V16" s="43"/>
      <c r="W16" s="43"/>
      <c r="X16" s="43"/>
      <c r="Y16" s="43"/>
      <c r="Z16" s="43"/>
    </row>
    <row r="17" spans="2:18" ht="14.4" x14ac:dyDescent="0.3">
      <c r="B17" s="391">
        <v>45632</v>
      </c>
      <c r="C17" s="13">
        <v>1</v>
      </c>
      <c r="D17" s="393">
        <v>7</v>
      </c>
      <c r="E17" s="394">
        <v>3122</v>
      </c>
      <c r="F17" s="395">
        <v>23270085679</v>
      </c>
      <c r="G17" s="382" t="str">
        <f>IFERROR(IF('Dic-24'!$F17="","-",VLOOKUP('Dic-24'!$F17,Lista_CUIT!$A$1:$D$2241,2,0)),"CUIT NO CARGADO")</f>
        <v>GARCIA DIEGO OMAR</v>
      </c>
      <c r="H17" s="413">
        <v>40370.25</v>
      </c>
      <c r="I17" s="408">
        <f>IF('Dic-24'!$H17="","",'Dic-24'!$H17*0.21)</f>
        <v>8477.7525000000005</v>
      </c>
      <c r="J17" s="414"/>
      <c r="K17" s="414"/>
      <c r="L17" s="414"/>
      <c r="M17" s="414"/>
      <c r="N17" s="414"/>
      <c r="O17" s="414"/>
      <c r="P17" s="415">
        <f>SUM('Dic-24'!$H17:$O17)</f>
        <v>48848.002500000002</v>
      </c>
      <c r="Q17" s="396" t="str">
        <f>IFERROR(IF('Dic-24'!$F17="","-",VLOOKUP('Dic-24'!$F17,Lista_CUIT!$A$1:$D$2241,3,0)),"CUIT NO CARGADO")</f>
        <v>Servicios Informaticos</v>
      </c>
      <c r="R17" s="396">
        <f>IFERROR(IF('Dic-24'!$F17="","-",VLOOKUP('Dic-24'!$F17,Lista_CUIT!$A$1:$D$2241,4,0)),"CUIT NO CARGADO")</f>
        <v>0</v>
      </c>
    </row>
    <row r="18" spans="2:18" ht="14.4" x14ac:dyDescent="0.3">
      <c r="B18" s="391">
        <v>45632</v>
      </c>
      <c r="C18" s="13">
        <v>1</v>
      </c>
      <c r="D18" s="393">
        <v>3</v>
      </c>
      <c r="E18" s="394">
        <v>19920</v>
      </c>
      <c r="F18" s="395">
        <v>30716578077</v>
      </c>
      <c r="G18" s="382" t="str">
        <f>IFERROR(IF('Dic-24'!$F18="","-",VLOOKUP('Dic-24'!$F18,Lista_CUIT!$A$1:$D$2241,2,0)),"CUIT NO CARGADO")</f>
        <v>AGUJUL SRL</v>
      </c>
      <c r="H18" s="413">
        <v>27435.29</v>
      </c>
      <c r="I18" s="408">
        <v>2880.71</v>
      </c>
      <c r="J18" s="414"/>
      <c r="K18" s="414"/>
      <c r="L18" s="414"/>
      <c r="M18" s="414"/>
      <c r="N18" s="414"/>
      <c r="O18" s="414"/>
      <c r="P18" s="415">
        <f>SUM('Dic-24'!$H18:$O18)</f>
        <v>30316</v>
      </c>
      <c r="Q18" s="396" t="str">
        <f>IFERROR(IF('Dic-24'!$F18="","-",VLOOKUP('Dic-24'!$F18,Lista_CUIT!$A$1:$D$2241,3,0)),"CUIT NO CARGADO")</f>
        <v>INSUMO</v>
      </c>
      <c r="R18" s="396">
        <f>IFERROR(IF('Dic-24'!$F18="","-",VLOOKUP('Dic-24'!$F18,Lista_CUIT!$A$1:$D$2241,4,0)),"CUIT NO CARGADO")</f>
        <v>0</v>
      </c>
    </row>
    <row r="19" spans="2:18" ht="14.4" x14ac:dyDescent="0.3">
      <c r="B19" s="12">
        <v>45632</v>
      </c>
      <c r="C19" s="13">
        <v>1</v>
      </c>
      <c r="D19" s="14">
        <v>3</v>
      </c>
      <c r="E19" s="15">
        <v>31111</v>
      </c>
      <c r="F19" s="16">
        <v>30709511846</v>
      </c>
      <c r="G19" s="17" t="str">
        <f>IFERROR(IF('Dic-24'!$F19="","-",VLOOKUP('Dic-24'!$F19,Lista_CUIT!$A$1:$D$2241,2,0)),"CUIT NO CARGADO")</f>
        <v>KURIABE S. A.</v>
      </c>
      <c r="H19" s="410">
        <v>8804.52</v>
      </c>
      <c r="I19" s="408"/>
      <c r="J19" s="411"/>
      <c r="K19" s="411">
        <v>924.47</v>
      </c>
      <c r="L19" s="411"/>
      <c r="M19" s="411"/>
      <c r="N19" s="411"/>
      <c r="O19" s="411"/>
      <c r="P19" s="412">
        <f>SUM('Dic-24'!$H19:$O19)</f>
        <v>9728.99</v>
      </c>
      <c r="Q19" s="21" t="str">
        <f>IFERROR(IF('Dic-24'!$F19="","-",VLOOKUP('Dic-24'!$F19,Lista_CUIT!$A$1:$D$2241,3,0)),"CUIT NO CARGADO")</f>
        <v>Servicios Informaticos</v>
      </c>
      <c r="R19" s="21">
        <f>IFERROR(IF('Dic-24'!$F19="","-",VLOOKUP('Dic-24'!$F19,Lista_CUIT!$A$1:$D$2241,4,0)),"CUIT NO CARGADO")</f>
        <v>0</v>
      </c>
    </row>
    <row r="20" spans="2:18" ht="14.4" x14ac:dyDescent="0.3">
      <c r="B20" s="12">
        <v>45634</v>
      </c>
      <c r="C20" s="13">
        <v>1</v>
      </c>
      <c r="D20" s="14">
        <v>6996</v>
      </c>
      <c r="E20" s="15">
        <v>28893</v>
      </c>
      <c r="F20" s="16">
        <v>30678774495</v>
      </c>
      <c r="G20" s="17" t="str">
        <f>IFERROR(IF('Dic-24'!$F20="","-",VLOOKUP('Dic-24'!$F20,Lista_CUIT!$A$1:$D$2241,2,0)),"CUIT NO CARGADO")</f>
        <v>OPER. DE EST. DE SERV. SA</v>
      </c>
      <c r="H20" s="407">
        <v>60457.98</v>
      </c>
      <c r="I20" s="408">
        <f>IF('Dic-24'!$H20="","",'Dic-24'!$H20*0.21)</f>
        <v>12696.175800000001</v>
      </c>
      <c r="J20" s="408"/>
      <c r="K20" s="408"/>
      <c r="L20" s="408"/>
      <c r="M20" s="408"/>
      <c r="N20" s="408"/>
      <c r="O20" s="408">
        <v>11847.99</v>
      </c>
      <c r="P20" s="409">
        <f>SUM('Dic-24'!$H20:$O20)</f>
        <v>85002.145800000013</v>
      </c>
      <c r="Q20" s="21" t="str">
        <f>IFERROR(IF('Dic-24'!$F20="","-",VLOOKUP('Dic-24'!$F20,Lista_CUIT!$A$1:$D$2241,3,0)),"CUIT NO CARGADO")</f>
        <v>COMBUSTIBLE</v>
      </c>
      <c r="R20" s="21">
        <f>IFERROR(IF('Dic-24'!$F20="","-",VLOOKUP('Dic-24'!$F20,Lista_CUIT!$A$1:$D$2241,4,0)),"CUIT NO CARGADO")</f>
        <v>0</v>
      </c>
    </row>
    <row r="21" spans="2:18" ht="14.4" x14ac:dyDescent="0.3">
      <c r="B21" s="12">
        <v>45635</v>
      </c>
      <c r="C21" s="13">
        <v>1</v>
      </c>
      <c r="D21" s="14">
        <v>1</v>
      </c>
      <c r="E21" s="15">
        <v>887</v>
      </c>
      <c r="F21" s="16">
        <v>30715048066</v>
      </c>
      <c r="G21" s="17" t="str">
        <f>IFERROR(IF('Dic-24'!$F21="","-",VLOOKUP('Dic-24'!$F21,Lista_CUIT!$A$1:$D$2241,2,0)),"CUIT NO CARGADO")</f>
        <v>ROLLS Y EMPANADAS SA</v>
      </c>
      <c r="H21" s="410">
        <v>744960</v>
      </c>
      <c r="I21" s="408">
        <f>IF('Dic-24'!$H21="","",'Dic-24'!$H21*0.21)</f>
        <v>156441.60000000001</v>
      </c>
      <c r="J21" s="411"/>
      <c r="K21" s="411"/>
      <c r="L21" s="411"/>
      <c r="M21" s="411"/>
      <c r="N21" s="411"/>
      <c r="O21" s="411"/>
      <c r="P21" s="412">
        <f>SUM('Dic-24'!$H21:$O21)</f>
        <v>901401.59999999998</v>
      </c>
      <c r="Q21" s="21" t="str">
        <f>IFERROR(IF('Dic-24'!$F21="","-",VLOOKUP('Dic-24'!$F21,Lista_CUIT!$A$1:$D$2241,3,0)),"CUIT NO CARGADO")</f>
        <v>CATERING</v>
      </c>
      <c r="R21" s="21">
        <f>IFERROR(IF('Dic-24'!$F21="","-",VLOOKUP('Dic-24'!$F21,Lista_CUIT!$A$1:$D$2241,4,0)),"CUIT NO CARGADO")</f>
        <v>0</v>
      </c>
    </row>
    <row r="22" spans="2:18" ht="14.4" x14ac:dyDescent="0.3">
      <c r="B22" s="12">
        <v>45635</v>
      </c>
      <c r="C22" s="13">
        <v>1</v>
      </c>
      <c r="D22" s="14">
        <v>2</v>
      </c>
      <c r="E22" s="15">
        <v>2964</v>
      </c>
      <c r="F22" s="16">
        <v>30709131733</v>
      </c>
      <c r="G22" s="17" t="str">
        <f>IFERROR(IF('Dic-24'!$F22="","-",VLOOKUP('Dic-24'!$F22,Lista_CUIT!$A$1:$D$2241,2,0)),"CUIT NO CARGADO")</f>
        <v>DIGAS SRL</v>
      </c>
      <c r="H22" s="410">
        <v>3392297</v>
      </c>
      <c r="I22" s="408">
        <f>IF('Dic-24'!$H22="","",'Dic-24'!$H22*0.21)</f>
        <v>712382.37</v>
      </c>
      <c r="J22" s="411"/>
      <c r="K22" s="411"/>
      <c r="L22" s="411"/>
      <c r="M22" s="411"/>
      <c r="N22" s="411"/>
      <c r="O22" s="411"/>
      <c r="P22" s="412">
        <f>SUM('Dic-24'!$H22:$O22)</f>
        <v>4104679.37</v>
      </c>
      <c r="Q22" s="21" t="str">
        <f>IFERROR(IF('Dic-24'!$F22="","-",VLOOKUP('Dic-24'!$F22,Lista_CUIT!$A$1:$D$2241,3,0)),"CUIT NO CARGADO")</f>
        <v>INSUMO</v>
      </c>
      <c r="R22" s="21">
        <f>IFERROR(IF('Dic-24'!$F22="","-",VLOOKUP('Dic-24'!$F22,Lista_CUIT!$A$1:$D$2241,4,0)),"CUIT NO CARGADO")</f>
        <v>0</v>
      </c>
    </row>
    <row r="23" spans="2:18" ht="14.4" x14ac:dyDescent="0.3">
      <c r="B23" s="12">
        <v>45636</v>
      </c>
      <c r="C23" s="13">
        <v>1</v>
      </c>
      <c r="D23" s="14">
        <v>8</v>
      </c>
      <c r="E23" s="15">
        <v>176754</v>
      </c>
      <c r="F23" s="16">
        <v>33606484599</v>
      </c>
      <c r="G23" s="17" t="str">
        <f>IFERROR(IF('Dic-24'!$F23="","-",VLOOKUP('Dic-24'!$F23,Lista_CUIT!$A$1:$D$2241,2,0)),"CUIT NO CARGADO")</f>
        <v>JORVICAL ACEROS S A</v>
      </c>
      <c r="H23" s="407">
        <v>7409607.0899999999</v>
      </c>
      <c r="I23" s="408">
        <f>IF('Dic-24'!$H23="","",'Dic-24'!$H23*0.21)</f>
        <v>1556017.4889</v>
      </c>
      <c r="J23" s="408"/>
      <c r="K23" s="408"/>
      <c r="L23" s="408"/>
      <c r="M23" s="408"/>
      <c r="N23" s="408"/>
      <c r="O23" s="408"/>
      <c r="P23" s="409">
        <f>SUM('Dic-24'!$H23:$O23)</f>
        <v>8965624.5789000001</v>
      </c>
      <c r="Q23" s="21" t="str">
        <f>IFERROR(IF('Dic-24'!$F23="","-",VLOOKUP('Dic-24'!$F23,Lista_CUIT!$A$1:$D$2241,3,0)),"CUIT NO CARGADO")</f>
        <v>INSUMO</v>
      </c>
      <c r="R23" s="21">
        <f>IFERROR(IF('Dic-24'!$F23="","-",VLOOKUP('Dic-24'!$F23,Lista_CUIT!$A$1:$D$2241,4,0)),"CUIT NO CARGADO")</f>
        <v>0</v>
      </c>
    </row>
    <row r="24" spans="2:18" ht="14.4" x14ac:dyDescent="0.3">
      <c r="B24" s="12">
        <v>45636</v>
      </c>
      <c r="C24" s="13">
        <v>1</v>
      </c>
      <c r="D24" s="14">
        <v>12</v>
      </c>
      <c r="E24" s="15">
        <v>21736</v>
      </c>
      <c r="F24" s="16">
        <v>30716086492</v>
      </c>
      <c r="G24" s="17" t="str">
        <f>IFERROR(IF('Dic-24'!$F24="","-",VLOOKUP('Dic-24'!$F24,Lista_CUIT!$A$1:$D$2241,2,0)),"CUIT NO CARGADO")</f>
        <v>TORIKOS SAS</v>
      </c>
      <c r="H24" s="407">
        <v>68830.83</v>
      </c>
      <c r="I24" s="408">
        <f>IF('Dic-24'!$H24="","",'Dic-24'!$H24*0.21)</f>
        <v>14454.4743</v>
      </c>
      <c r="J24" s="408"/>
      <c r="K24" s="408"/>
      <c r="L24" s="408"/>
      <c r="M24" s="408"/>
      <c r="N24" s="408"/>
      <c r="O24" s="408"/>
      <c r="P24" s="409">
        <f>SUM('Dic-24'!$H24:$O24)</f>
        <v>83285.304300000003</v>
      </c>
      <c r="Q24" s="21" t="str">
        <f>IFERROR(IF('Dic-24'!$F24="","-",VLOOKUP('Dic-24'!$F24,Lista_CUIT!$A$1:$D$2241,3,0)),"CUIT NO CARGADO")</f>
        <v>Catering</v>
      </c>
      <c r="R24" s="21">
        <f>IFERROR(IF('Dic-24'!$F24="","-",VLOOKUP('Dic-24'!$F24,Lista_CUIT!$A$1:$D$2241,4,0)),"CUIT NO CARGADO")</f>
        <v>0</v>
      </c>
    </row>
    <row r="25" spans="2:18" ht="14.4" x14ac:dyDescent="0.3">
      <c r="B25" s="12">
        <v>45637</v>
      </c>
      <c r="C25" s="13">
        <v>1</v>
      </c>
      <c r="D25" s="14">
        <v>7</v>
      </c>
      <c r="E25" s="15">
        <v>10407</v>
      </c>
      <c r="F25" s="16">
        <v>30690966790</v>
      </c>
      <c r="G25" s="17" t="str">
        <f>IFERROR(IF('Dic-24'!$F25="","-",VLOOKUP('Dic-24'!$F25,Lista_CUIT!$A$1:$D$2241,2,0)),"CUIT NO CARGADO")</f>
        <v>SYTE S.A.</v>
      </c>
      <c r="H25" s="407">
        <v>5952501</v>
      </c>
      <c r="I25" s="408">
        <f>IF('Dic-24'!$H25="","",'Dic-24'!$H25*0.21)</f>
        <v>1250025.21</v>
      </c>
      <c r="J25" s="408"/>
      <c r="K25" s="408"/>
      <c r="L25" s="408"/>
      <c r="M25" s="408"/>
      <c r="N25" s="408"/>
      <c r="O25" s="408"/>
      <c r="P25" s="409">
        <f>SUM('Dic-24'!$H25:$O25)</f>
        <v>7202526.21</v>
      </c>
      <c r="Q25" s="21" t="str">
        <f>IFERROR(IF('Dic-24'!$F25="","-",VLOOKUP('Dic-24'!$F25,Lista_CUIT!$A$1:$D$2241,3,0)),"CUIT NO CARGADO")</f>
        <v>INSUMO</v>
      </c>
      <c r="R25" s="21">
        <f>IFERROR(IF('Dic-24'!$F25="","-",VLOOKUP('Dic-24'!$F25,Lista_CUIT!$A$1:$D$2241,4,0)),"CUIT NO CARGADO")</f>
        <v>0</v>
      </c>
    </row>
    <row r="26" spans="2:18" ht="14.4" x14ac:dyDescent="0.3">
      <c r="B26" s="12">
        <v>45637</v>
      </c>
      <c r="C26" s="13">
        <v>1</v>
      </c>
      <c r="D26" s="14">
        <v>4</v>
      </c>
      <c r="E26" s="15">
        <v>3482</v>
      </c>
      <c r="F26" s="16">
        <v>23958056354</v>
      </c>
      <c r="G26" s="17" t="str">
        <f>IFERROR(IF('Dic-24'!$F26="","-",VLOOKUP('Dic-24'!$F26,Lista_CUIT!$A$1:$D$2241,2,0)),"CUIT NO CARGADO")</f>
        <v>NAVARRO PEÑA DANIELA KARINA</v>
      </c>
      <c r="H26" s="407">
        <v>18692.21</v>
      </c>
      <c r="I26" s="408">
        <f>IF('Dic-24'!$H26="","",'Dic-24'!$H26*0.21)</f>
        <v>3925.3640999999998</v>
      </c>
      <c r="J26" s="408"/>
      <c r="K26" s="408"/>
      <c r="L26" s="408"/>
      <c r="M26" s="408"/>
      <c r="N26" s="408"/>
      <c r="O26" s="408"/>
      <c r="P26" s="409">
        <f>SUM('Dic-24'!$H26:$O26)</f>
        <v>22617.574099999998</v>
      </c>
      <c r="Q26" s="21" t="str">
        <f>IFERROR(IF('Dic-24'!$F26="","-",VLOOKUP('Dic-24'!$F26,Lista_CUIT!$A$1:$D$2241,3,0)),"CUIT NO CARGADO")</f>
        <v>GASTOS VARIOS</v>
      </c>
      <c r="R26" s="21">
        <f>IFERROR(IF('Dic-24'!$F26="","-",VLOOKUP('Dic-24'!$F26,Lista_CUIT!$A$1:$D$2241,4,0)),"CUIT NO CARGADO")</f>
        <v>0</v>
      </c>
    </row>
    <row r="27" spans="2:18" ht="14.4" x14ac:dyDescent="0.3">
      <c r="B27" s="12">
        <v>45637</v>
      </c>
      <c r="C27" s="13">
        <v>1</v>
      </c>
      <c r="D27" s="14">
        <v>2466</v>
      </c>
      <c r="E27" s="15">
        <v>728445</v>
      </c>
      <c r="F27" s="16">
        <v>30678814357</v>
      </c>
      <c r="G27" s="17" t="str">
        <f>IFERROR(IF('Dic-24'!$F27="","-",VLOOKUP('Dic-24'!$F27,Lista_CUIT!$A$1:$D$2241,2,0)),"CUIT NO CARGADO")</f>
        <v>TELEFONICA MOVILES ARG</v>
      </c>
      <c r="H27" s="410">
        <v>29741.919999999998</v>
      </c>
      <c r="I27" s="408"/>
      <c r="J27" s="411">
        <v>8030.32</v>
      </c>
      <c r="K27" s="411"/>
      <c r="L27" s="411">
        <v>892.26</v>
      </c>
      <c r="M27" s="411"/>
      <c r="N27" s="411"/>
      <c r="O27" s="411">
        <v>1534.19</v>
      </c>
      <c r="P27" s="412">
        <f>SUM('Dic-24'!$H27:$O27)</f>
        <v>40198.69</v>
      </c>
      <c r="Q27" s="21" t="str">
        <f>IFERROR(IF('Dic-24'!$F27="","-",VLOOKUP('Dic-24'!$F27,Lista_CUIT!$A$1:$D$2241,3,0)),"CUIT NO CARGADO")</f>
        <v>Telefonia</v>
      </c>
      <c r="R27" s="21">
        <f>IFERROR(IF('Dic-24'!$F27="","-",VLOOKUP('Dic-24'!$F27,Lista_CUIT!$A$1:$D$2241,4,0)),"CUIT NO CARGADO")</f>
        <v>0</v>
      </c>
    </row>
    <row r="28" spans="2:18" ht="14.4" x14ac:dyDescent="0.3">
      <c r="B28" s="12">
        <v>45637</v>
      </c>
      <c r="C28" s="13">
        <v>1</v>
      </c>
      <c r="D28" s="14">
        <v>3</v>
      </c>
      <c r="E28" s="15">
        <v>327</v>
      </c>
      <c r="F28" s="16">
        <v>20921575743</v>
      </c>
      <c r="G28" s="17" t="str">
        <f>IFERROR(IF('Dic-24'!$F28="","-",VLOOKUP('Dic-24'!$F28,Lista_CUIT!$A$1:$D$2241,2,0)),"CUIT NO CARGADO")</f>
        <v>RIOS GOMEZ JOSE ANTONIO</v>
      </c>
      <c r="H28" s="410">
        <v>1037500</v>
      </c>
      <c r="I28" s="408">
        <f>IF('Dic-24'!$H28="","",'Dic-24'!$H28*0.21)</f>
        <v>217875</v>
      </c>
      <c r="J28" s="411"/>
      <c r="K28" s="411"/>
      <c r="L28" s="411"/>
      <c r="M28" s="411"/>
      <c r="N28" s="411"/>
      <c r="O28" s="411"/>
      <c r="P28" s="412">
        <f>SUM('Dic-24'!$H28:$O28)</f>
        <v>1255375</v>
      </c>
      <c r="Q28" s="21" t="str">
        <f>IFERROR(IF('Dic-24'!$F28="","-",VLOOKUP('Dic-24'!$F28,Lista_CUIT!$A$1:$D$2241,3,0)),"CUIT NO CARGADO")</f>
        <v>Papeleria</v>
      </c>
      <c r="R28" s="21">
        <f>IFERROR(IF('Dic-24'!$F28="","-",VLOOKUP('Dic-24'!$F28,Lista_CUIT!$A$1:$D$2241,4,0)),"CUIT NO CARGADO")</f>
        <v>0</v>
      </c>
    </row>
    <row r="29" spans="2:18" ht="14.4" x14ac:dyDescent="0.3">
      <c r="B29" s="12">
        <v>45639</v>
      </c>
      <c r="C29" s="13">
        <v>1</v>
      </c>
      <c r="D29" s="14">
        <v>5</v>
      </c>
      <c r="E29" s="15">
        <v>2199</v>
      </c>
      <c r="F29" s="16">
        <v>33716423919</v>
      </c>
      <c r="G29" s="17" t="str">
        <f>IFERROR(IF('Dic-24'!$F29="","-",VLOOKUP('Dic-24'!$F29,Lista_CUIT!$A$1:$D$2241,2,0)),"CUIT NO CARGADO")</f>
        <v>GOLOSINAR SA</v>
      </c>
      <c r="H29" s="407">
        <v>25421.7</v>
      </c>
      <c r="I29" s="408">
        <f>IF('Dic-24'!$H29="","",'Dic-24'!$H29*0.21)</f>
        <v>5338.5569999999998</v>
      </c>
      <c r="J29" s="408"/>
      <c r="K29" s="408"/>
      <c r="L29" s="408"/>
      <c r="M29" s="408"/>
      <c r="N29" s="408"/>
      <c r="O29" s="408"/>
      <c r="P29" s="409">
        <f>SUM('Dic-24'!$H29:$O29)</f>
        <v>30760.257000000001</v>
      </c>
      <c r="Q29" s="21" t="str">
        <f>IFERROR(IF('Dic-24'!$F29="","-",VLOOKUP('Dic-24'!$F29,Lista_CUIT!$A$1:$D$2241,3,0)),"CUIT NO CARGADO")</f>
        <v>GASTOS VARIOS</v>
      </c>
      <c r="R29" s="21">
        <f>IFERROR(IF('Dic-24'!$F29="","-",VLOOKUP('Dic-24'!$F29,Lista_CUIT!$A$1:$D$2241,4,0)),"CUIT NO CARGADO")</f>
        <v>0</v>
      </c>
    </row>
    <row r="30" spans="2:18" ht="14.4" x14ac:dyDescent="0.3">
      <c r="B30" s="12">
        <v>45639</v>
      </c>
      <c r="C30" s="13">
        <v>1</v>
      </c>
      <c r="D30" s="14">
        <v>2</v>
      </c>
      <c r="E30" s="15">
        <v>993</v>
      </c>
      <c r="F30" s="16">
        <v>30500805222</v>
      </c>
      <c r="G30" s="17" t="str">
        <f>IFERROR(IF('Dic-24'!$F30="","-",VLOOKUP('Dic-24'!$F30,Lista_CUIT!$A$1:$D$2241,2,0)),"CUIT NO CARGADO")</f>
        <v>KAVCIC SRL</v>
      </c>
      <c r="H30" s="407">
        <v>274000</v>
      </c>
      <c r="I30" s="408">
        <f>IF('Dic-24'!$H30="","",'Dic-24'!$H30*0.21)</f>
        <v>57540</v>
      </c>
      <c r="J30" s="408"/>
      <c r="K30" s="408"/>
      <c r="L30" s="408"/>
      <c r="M30" s="408"/>
      <c r="N30" s="408"/>
      <c r="O30" s="408"/>
      <c r="P30" s="409">
        <f>SUM('Dic-24'!$H30:$O30)</f>
        <v>331540</v>
      </c>
      <c r="Q30" s="21" t="str">
        <f>IFERROR(IF('Dic-24'!$F30="","-",VLOOKUP('Dic-24'!$F30,Lista_CUIT!$A$1:$D$2241,3,0)),"CUIT NO CARGADO")</f>
        <v>Mercaderia</v>
      </c>
      <c r="R30" s="21">
        <f>IFERROR(IF('Dic-24'!$F30="","-",VLOOKUP('Dic-24'!$F30,Lista_CUIT!$A$1:$D$2241,4,0)),"CUIT NO CARGADO")</f>
        <v>0</v>
      </c>
    </row>
    <row r="31" spans="2:18" ht="14.4" x14ac:dyDescent="0.3">
      <c r="B31" s="12">
        <v>45642</v>
      </c>
      <c r="C31" s="13">
        <v>1</v>
      </c>
      <c r="D31" s="14">
        <v>3</v>
      </c>
      <c r="E31" s="15">
        <v>12069</v>
      </c>
      <c r="F31" s="16">
        <v>30715864262</v>
      </c>
      <c r="G31" s="17" t="str">
        <f>IFERROR(IF('Dic-24'!$F31="","-",VLOOKUP('Dic-24'!$F31,Lista_CUIT!$A$1:$D$2241,2,0)),"CUIT NO CARGADO")</f>
        <v>ACPLIND SRL</v>
      </c>
      <c r="H31" s="407">
        <v>77180</v>
      </c>
      <c r="I31" s="408">
        <f>IF('Dic-24'!$H31="","",'Dic-24'!$H31*0.21)</f>
        <v>16207.8</v>
      </c>
      <c r="J31" s="408"/>
      <c r="K31" s="408"/>
      <c r="L31" s="408"/>
      <c r="M31" s="408"/>
      <c r="N31" s="408"/>
      <c r="O31" s="408"/>
      <c r="P31" s="409">
        <f>SUM('Dic-24'!$H31:$O31)</f>
        <v>93387.8</v>
      </c>
      <c r="Q31" s="21" t="str">
        <f>IFERROR(IF('Dic-24'!$F31="","-",VLOOKUP('Dic-24'!$F31,Lista_CUIT!$A$1:$D$2241,3,0)),"CUIT NO CARGADO")</f>
        <v>Mercaderia</v>
      </c>
      <c r="R31" s="21">
        <f>IFERROR(IF('Dic-24'!$F31="","-",VLOOKUP('Dic-24'!$F31,Lista_CUIT!$A$1:$D$2241,4,0)),"CUIT NO CARGADO")</f>
        <v>0</v>
      </c>
    </row>
    <row r="32" spans="2:18" ht="14.4" x14ac:dyDescent="0.3">
      <c r="B32" s="12">
        <v>45643</v>
      </c>
      <c r="C32" s="13">
        <v>1</v>
      </c>
      <c r="D32" s="14">
        <v>9</v>
      </c>
      <c r="E32" s="15">
        <v>159785</v>
      </c>
      <c r="F32" s="16">
        <v>33715571639</v>
      </c>
      <c r="G32" s="17" t="str">
        <f>IFERROR(IF('Dic-24'!$F32="","-",VLOOKUP('Dic-24'!$F32,Lista_CUIT!$A$1:$D$2241,2,0)),"CUIT NO CARGADO")</f>
        <v>DUAITEK SRL</v>
      </c>
      <c r="H32" s="407">
        <v>19069.98</v>
      </c>
      <c r="I32" s="408">
        <v>370.36</v>
      </c>
      <c r="J32" s="408"/>
      <c r="K32" s="408">
        <v>1817.17</v>
      </c>
      <c r="L32" s="408"/>
      <c r="M32" s="408"/>
      <c r="N32" s="408"/>
      <c r="O32" s="408"/>
      <c r="P32" s="409">
        <f>SUM('Dic-24'!$H32:$O32)</f>
        <v>21257.510000000002</v>
      </c>
      <c r="Q32" s="21" t="str">
        <f>IFERROR(IF('Dic-24'!$F32="","-",VLOOKUP('Dic-24'!$F32,Lista_CUIT!$A$1:$D$2241,3,0)),"CUIT NO CARGADO")</f>
        <v>Materiales Electricos</v>
      </c>
      <c r="R32" s="21">
        <f>IFERROR(IF('Dic-24'!$F32="","-",VLOOKUP('Dic-24'!$F32,Lista_CUIT!$A$1:$D$2241,4,0)),"CUIT NO CARGADO")</f>
        <v>0</v>
      </c>
    </row>
    <row r="33" spans="2:18" ht="14.25" customHeight="1" x14ac:dyDescent="0.3">
      <c r="B33" s="12">
        <v>45643</v>
      </c>
      <c r="C33" s="13">
        <v>1</v>
      </c>
      <c r="D33" s="14">
        <v>106</v>
      </c>
      <c r="E33" s="15">
        <v>798378</v>
      </c>
      <c r="F33" s="16">
        <v>30594494187</v>
      </c>
      <c r="G33" s="17" t="str">
        <f>IFERROR(IF('Dic-24'!$F33="","-",VLOOKUP('Dic-24'!$F33,Lista_CUIT!$A$1:$D$2241,2,0)),"CUIT NO CARGADO")</f>
        <v>FEDERAL EXPRESS CORPORATION</v>
      </c>
      <c r="H33" s="407">
        <v>0</v>
      </c>
      <c r="I33" s="408">
        <f>IF('Dic-24'!$H33="","",'Dic-24'!$H33*0.21)</f>
        <v>0</v>
      </c>
      <c r="J33" s="408"/>
      <c r="K33" s="408"/>
      <c r="L33" s="408"/>
      <c r="M33" s="408"/>
      <c r="N33" s="408"/>
      <c r="O33" s="408">
        <v>240136</v>
      </c>
      <c r="P33" s="409">
        <f>SUM('Dic-24'!$H33:$O33)</f>
        <v>240136</v>
      </c>
      <c r="Q33" s="21" t="str">
        <f>IFERROR(IF('Dic-24'!$F33="","-",VLOOKUP('Dic-24'!$F33,Lista_CUIT!$A$1:$D$2241,3,0)),"CUIT NO CARGADO")</f>
        <v>Gastos Importacion</v>
      </c>
      <c r="R33" s="21">
        <f>IFERROR(IF('Dic-24'!$F33="","-",VLOOKUP('Dic-24'!$F33,Lista_CUIT!$A$1:$D$2241,4,0)),"CUIT NO CARGADO")</f>
        <v>0</v>
      </c>
    </row>
    <row r="34" spans="2:18" ht="15.75" customHeight="1" x14ac:dyDescent="0.3">
      <c r="B34" s="12">
        <v>45643</v>
      </c>
      <c r="C34" s="13">
        <v>1</v>
      </c>
      <c r="D34" s="14">
        <v>2</v>
      </c>
      <c r="E34" s="15">
        <v>997</v>
      </c>
      <c r="F34" s="16">
        <v>30500805222</v>
      </c>
      <c r="G34" s="17" t="str">
        <f>IFERROR(IF('Dic-24'!$F34="","-",VLOOKUP('Dic-24'!$F34,Lista_CUIT!$A$1:$D$2241,2,0)),"CUIT NO CARGADO")</f>
        <v>KAVCIC SRL</v>
      </c>
      <c r="H34" s="410">
        <v>4025000</v>
      </c>
      <c r="I34" s="408">
        <f>IF('Dic-24'!$H34="","",'Dic-24'!$H34*0.21)</f>
        <v>845250</v>
      </c>
      <c r="J34" s="411"/>
      <c r="K34" s="411"/>
      <c r="L34" s="411"/>
      <c r="M34" s="411"/>
      <c r="N34" s="411"/>
      <c r="O34" s="411"/>
      <c r="P34" s="412">
        <f>SUM('Dic-24'!$H34:$O34)</f>
        <v>4870250</v>
      </c>
      <c r="Q34" s="21" t="str">
        <f>IFERROR(IF('Dic-24'!$F34="","-",VLOOKUP('Dic-24'!$F34,Lista_CUIT!$A$1:$D$2241,3,0)),"CUIT NO CARGADO")</f>
        <v>Mercaderia</v>
      </c>
      <c r="R34" s="21">
        <f>IFERROR(IF('Dic-24'!$F34="","-",VLOOKUP('Dic-24'!$F34,Lista_CUIT!$A$1:$D$2241,4,0)),"CUIT NO CARGADO")</f>
        <v>0</v>
      </c>
    </row>
    <row r="35" spans="2:18" ht="15.75" customHeight="1" x14ac:dyDescent="0.3">
      <c r="B35" s="12">
        <v>45651</v>
      </c>
      <c r="C35" s="13">
        <v>1</v>
      </c>
      <c r="D35" s="14">
        <v>2</v>
      </c>
      <c r="E35" s="15">
        <v>209</v>
      </c>
      <c r="F35" s="16">
        <v>20125142851</v>
      </c>
      <c r="G35" s="17" t="str">
        <f>IFERROR(IF('Dic-24'!$F35="","-",VLOOKUP('Dic-24'!$F35,Lista_CUIT!$A$1:$D$2241,2,0)),"CUIT NO CARGADO")</f>
        <v>FEDERICI NICOLAS JOSE</v>
      </c>
      <c r="H35" s="410">
        <v>1450621.1</v>
      </c>
      <c r="I35" s="408">
        <f>IF('Dic-24'!$H35="","",'Dic-24'!$H35*0.21)</f>
        <v>304630.43099999998</v>
      </c>
      <c r="J35" s="411"/>
      <c r="K35" s="411"/>
      <c r="L35" s="411"/>
      <c r="M35" s="411"/>
      <c r="N35" s="411"/>
      <c r="O35" s="411"/>
      <c r="P35" s="412">
        <f>SUM('Dic-24'!$H35:$O35)</f>
        <v>1755251.531</v>
      </c>
      <c r="Q35" s="21" t="str">
        <f>IFERROR(IF('Dic-24'!$F35="","-",VLOOKUP('Dic-24'!$F35,Lista_CUIT!$A$1:$D$2241,3,0)),"CUIT NO CARGADO")</f>
        <v>INSUMO</v>
      </c>
      <c r="R35" s="21">
        <f>IFERROR(IF('Dic-24'!$F35="","-",VLOOKUP('Dic-24'!$F35,Lista_CUIT!$A$1:$D$2241,4,0)),"CUIT NO CARGADO")</f>
        <v>0</v>
      </c>
    </row>
    <row r="36" spans="2:18" ht="14.25" customHeight="1" x14ac:dyDescent="0.3">
      <c r="B36" s="391">
        <v>45652</v>
      </c>
      <c r="C36" s="13">
        <v>1</v>
      </c>
      <c r="D36" s="393">
        <v>3</v>
      </c>
      <c r="E36" s="394">
        <v>5805</v>
      </c>
      <c r="F36" s="395">
        <v>30709665967</v>
      </c>
      <c r="G36" s="382" t="str">
        <f>IFERROR(IF('Dic-24'!$F36="","-",VLOOKUP('Dic-24'!$F36,Lista_CUIT!$A$1:$D$2241,2,0)),"CUIT NO CARGADO")</f>
        <v>INDUSTRIAS FEMAN S.R.L.</v>
      </c>
      <c r="H36" s="413">
        <v>5838061</v>
      </c>
      <c r="I36" s="408">
        <f>IF('Dic-24'!$H36="","",'Dic-24'!$H36*0.21)</f>
        <v>1225992.81</v>
      </c>
      <c r="J36" s="414"/>
      <c r="K36" s="414"/>
      <c r="L36" s="414"/>
      <c r="M36" s="414"/>
      <c r="N36" s="414"/>
      <c r="O36" s="414"/>
      <c r="P36" s="415">
        <f>SUM('Dic-24'!$H36:$O36)</f>
        <v>7064053.8100000005</v>
      </c>
      <c r="Q36" s="396" t="str">
        <f>IFERROR(IF('Dic-24'!$F36="","-",VLOOKUP('Dic-24'!$F36,Lista_CUIT!$A$1:$D$2241,3,0)),"CUIT NO CARGADO")</f>
        <v>INSUMO</v>
      </c>
      <c r="R36" s="396">
        <f>IFERROR(IF('Dic-24'!$F36="","-",VLOOKUP('Dic-24'!$F36,Lista_CUIT!$A$1:$D$2241,4,0)),"CUIT NO CARGADO")</f>
        <v>0</v>
      </c>
    </row>
    <row r="37" spans="2:18" ht="14.25" customHeight="1" x14ac:dyDescent="0.3">
      <c r="B37" s="12">
        <v>45652</v>
      </c>
      <c r="C37" s="13">
        <v>1</v>
      </c>
      <c r="D37" s="14">
        <v>6</v>
      </c>
      <c r="E37" s="15">
        <v>17903</v>
      </c>
      <c r="F37" s="16">
        <v>30717247244</v>
      </c>
      <c r="G37" s="17" t="str">
        <f>IFERROR(IF('Dic-24'!$F37="","-",VLOOKUP('Dic-24'!$F37,Lista_CUIT!$A$1:$D$2241,2,0)),"CUIT NO CARGADO")</f>
        <v>DISPERO SA</v>
      </c>
      <c r="H37" s="407">
        <v>21815.86</v>
      </c>
      <c r="I37" s="408">
        <f>IF('Dic-24'!$H37="","",'Dic-24'!$H37*0.21)</f>
        <v>4581.3306000000002</v>
      </c>
      <c r="J37" s="408"/>
      <c r="K37" s="408"/>
      <c r="L37" s="408"/>
      <c r="M37" s="408"/>
      <c r="N37" s="408"/>
      <c r="O37" s="408"/>
      <c r="P37" s="409">
        <f>SUM('Dic-24'!$H37:$O37)</f>
        <v>26397.190600000002</v>
      </c>
      <c r="Q37" s="21" t="str">
        <f>IFERROR(IF('Dic-24'!$F37="","-",VLOOKUP('Dic-24'!$F37,Lista_CUIT!$A$1:$D$2241,3,0)),"CUIT NO CARGADO")</f>
        <v>Ropa de Trabajo</v>
      </c>
      <c r="R37" s="21">
        <f>IFERROR(IF('Dic-24'!$F37="","-",VLOOKUP('Dic-24'!$F37,Lista_CUIT!$A$1:$D$2241,4,0)),"CUIT NO CARGADO")</f>
        <v>0</v>
      </c>
    </row>
    <row r="38" spans="2:18" ht="15" customHeight="1" x14ac:dyDescent="0.3">
      <c r="B38" s="12">
        <v>45656</v>
      </c>
      <c r="C38" s="13">
        <v>1</v>
      </c>
      <c r="D38" s="14">
        <v>106</v>
      </c>
      <c r="E38" s="15">
        <v>802131</v>
      </c>
      <c r="F38" s="16">
        <v>30594494187</v>
      </c>
      <c r="G38" s="17" t="str">
        <f>IFERROR(IF('Dic-24'!$F38="","-",VLOOKUP('Dic-24'!$F38,Lista_CUIT!$A$1:$D$2241,2,0)),"CUIT NO CARGADO")</f>
        <v>FEDERAL EXPRESS CORPORATION</v>
      </c>
      <c r="H38" s="410">
        <v>0</v>
      </c>
      <c r="I38" s="408">
        <f>IF('Dic-24'!$H38="","",'Dic-24'!$H38*0.21)</f>
        <v>0</v>
      </c>
      <c r="J38" s="411"/>
      <c r="K38" s="411"/>
      <c r="L38" s="411"/>
      <c r="M38" s="411"/>
      <c r="N38" s="411"/>
      <c r="O38" s="411">
        <v>949432.73</v>
      </c>
      <c r="P38" s="412">
        <f>SUM('Dic-24'!$H38:$O38)</f>
        <v>949432.73</v>
      </c>
      <c r="Q38" s="21" t="str">
        <f>IFERROR(IF('Dic-24'!$F38="","-",VLOOKUP('Dic-24'!$F38,Lista_CUIT!$A$1:$D$2241,3,0)),"CUIT NO CARGADO")</f>
        <v>Gastos Importacion</v>
      </c>
      <c r="R38" s="21">
        <f>IFERROR(IF('Dic-24'!$F38="","-",VLOOKUP('Dic-24'!$F38,Lista_CUIT!$A$1:$D$2241,4,0)),"CUIT NO CARGADO")</f>
        <v>0</v>
      </c>
    </row>
    <row r="39" spans="2:18" ht="15" customHeight="1" x14ac:dyDescent="0.3">
      <c r="B39" s="391"/>
      <c r="C39" s="392"/>
      <c r="D39" s="393"/>
      <c r="E39" s="394"/>
      <c r="F39" s="395"/>
      <c r="G39" s="382" t="str">
        <f>IFERROR(IF('Dic-24'!$F39="","-",VLOOKUP('Dic-24'!$F39,Lista_CUIT!$A$1:$D$2241,2,0)),"CUIT NO CARGADO")</f>
        <v>-</v>
      </c>
      <c r="H39" s="413"/>
      <c r="I39" s="408" t="str">
        <f>IF('Dic-24'!$H39="","",'Dic-24'!$H39*0.21)</f>
        <v/>
      </c>
      <c r="J39" s="414"/>
      <c r="K39" s="414"/>
      <c r="L39" s="414"/>
      <c r="M39" s="414"/>
      <c r="N39" s="414"/>
      <c r="O39" s="414"/>
      <c r="P39" s="415">
        <f>SUM('Dic-24'!$H39:$O39)</f>
        <v>0</v>
      </c>
      <c r="Q39" s="396" t="str">
        <f>IFERROR(IF('Dic-24'!$F39="","-",VLOOKUP('Dic-24'!$F39,Lista_CUIT!$A$1:$D$2241,3,0)),"CUIT NO CARGADO")</f>
        <v>-</v>
      </c>
      <c r="R39" s="396" t="str">
        <f>IFERROR(IF('Dic-24'!$F39="","-",VLOOKUP('Dic-24'!$F39,Lista_CUIT!$A$1:$D$2241,4,0)),"CUIT NO CARGADO")</f>
        <v>-</v>
      </c>
    </row>
    <row r="40" spans="2:18" ht="15.75" customHeight="1" x14ac:dyDescent="0.3">
      <c r="B40" s="391"/>
      <c r="C40" s="392"/>
      <c r="D40" s="393"/>
      <c r="E40" s="394"/>
      <c r="F40" s="395"/>
      <c r="G40" s="382" t="str">
        <f>IFERROR(IF('Dic-24'!$F40="","-",VLOOKUP('Dic-24'!$F40,Lista_CUIT!$A$1:$D$2241,2,0)),"CUIT NO CARGADO")</f>
        <v>-</v>
      </c>
      <c r="H40" s="413"/>
      <c r="I40" s="408" t="str">
        <f>IF('Dic-24'!$H40="","",'Dic-24'!$H40*0.21)</f>
        <v/>
      </c>
      <c r="J40" s="414"/>
      <c r="K40" s="414"/>
      <c r="L40" s="414"/>
      <c r="M40" s="414"/>
      <c r="N40" s="414"/>
      <c r="O40" s="414"/>
      <c r="P40" s="415">
        <f>SUM('Dic-24'!$H40:$O40)</f>
        <v>0</v>
      </c>
      <c r="Q40" s="396" t="str">
        <f>IFERROR(IF('Dic-24'!$F40="","-",VLOOKUP('Dic-24'!$F40,Lista_CUIT!$A$1:$D$2241,3,0)),"CUIT NO CARGADO")</f>
        <v>-</v>
      </c>
      <c r="R40" s="396" t="str">
        <f>IFERROR(IF('Dic-24'!$F40="","-",VLOOKUP('Dic-24'!$F40,Lista_CUIT!$A$1:$D$2241,4,0)),"CUIT NO CARGADO")</f>
        <v>-</v>
      </c>
    </row>
    <row r="41" spans="2:18" ht="15.75" customHeight="1" x14ac:dyDescent="0.3">
      <c r="B41" s="21"/>
      <c r="C41" s="21"/>
      <c r="D41" s="21"/>
      <c r="E41" s="21"/>
      <c r="F41" s="21"/>
      <c r="G41" s="17"/>
      <c r="H41" s="407"/>
      <c r="I41" s="407"/>
      <c r="J41" s="407"/>
      <c r="K41" s="407"/>
      <c r="L41" s="407"/>
      <c r="M41" s="407"/>
      <c r="N41" s="407"/>
      <c r="O41" s="407"/>
      <c r="P41" s="407"/>
      <c r="Q41" s="21"/>
      <c r="R41" s="21"/>
    </row>
    <row r="42" spans="2:18" ht="15.75" customHeight="1" x14ac:dyDescent="0.3">
      <c r="B42" s="12"/>
      <c r="C42" s="13"/>
      <c r="D42" s="14"/>
      <c r="E42" s="15"/>
      <c r="F42" s="16"/>
      <c r="G42" s="17"/>
      <c r="H42" s="18">
        <f>SUBTOTAL(109,Table_55[NETO GRAVADO])</f>
        <v>37385489.990000002</v>
      </c>
      <c r="I42" s="18">
        <f>SUBTOTAL(109,Table_55[IVA 21 %])</f>
        <v>7836343.1088000005</v>
      </c>
      <c r="J42" s="18">
        <f>SUBTOTAL(109,Table_55[IVA 27%])</f>
        <v>8030.32</v>
      </c>
      <c r="K42" s="18">
        <f>SUBTOTAL(109,Table_55[IVA 10,5%])</f>
        <v>2741.6400000000003</v>
      </c>
      <c r="L42" s="18">
        <f>SUBTOTAL(109,Table_55[PERC. IVA])</f>
        <v>892.26</v>
      </c>
      <c r="M42" s="18">
        <f>SUBTOTAL(109,Table_55[PERC IIBB 
BS AS])</f>
        <v>0</v>
      </c>
      <c r="N42" s="18">
        <f>SUBTOTAL(109,Table_55[PERC. IIBB CABA])</f>
        <v>0</v>
      </c>
      <c r="O42" s="18">
        <f>SUBTOTAL(109,Table_55[Otros / No Grav.])</f>
        <v>1753717.75</v>
      </c>
      <c r="P42" s="18">
        <f>SUBTOTAL(109,Table_55[TOTAL])</f>
        <v>46987215.068800002</v>
      </c>
      <c r="Q42" s="18">
        <f>SUBTOTAL(109,Table_55[Tipo de Gasto])</f>
        <v>0</v>
      </c>
      <c r="R42" s="18">
        <f>SUBTOTAL(109,Table_55[Provincia])</f>
        <v>0</v>
      </c>
    </row>
    <row r="43" spans="2:18" ht="15.75" customHeight="1" x14ac:dyDescent="0.3"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  <c r="M43" s="19"/>
      <c r="N43" s="19"/>
      <c r="O43" s="19"/>
      <c r="P43" s="20"/>
      <c r="Q43" s="21"/>
      <c r="R43" s="21"/>
    </row>
    <row r="44" spans="2:18" ht="15.75" customHeight="1" x14ac:dyDescent="0.3">
      <c r="B44" s="12"/>
      <c r="C44" s="13"/>
      <c r="D44" s="14"/>
      <c r="E44" s="15"/>
      <c r="F44" s="16"/>
      <c r="G44" s="17"/>
      <c r="H44" s="18"/>
      <c r="I44" s="19"/>
      <c r="J44" s="19"/>
      <c r="K44" s="19"/>
      <c r="L44" s="19"/>
      <c r="M44" s="19"/>
      <c r="N44" s="19"/>
      <c r="O44" s="19"/>
      <c r="P44" s="20"/>
      <c r="Q44" s="21"/>
      <c r="R44" s="21"/>
    </row>
    <row r="45" spans="2:18" ht="15.75" customHeight="1" x14ac:dyDescent="0.3">
      <c r="B45" s="12"/>
      <c r="C45" s="13"/>
      <c r="D45" s="14"/>
      <c r="E45" s="15"/>
      <c r="F45" s="16"/>
      <c r="G45" s="17"/>
      <c r="H45" s="18"/>
      <c r="I45" s="19"/>
      <c r="J45" s="19"/>
      <c r="K45" s="19"/>
      <c r="L45" s="19"/>
    </row>
    <row r="46" spans="2:18" ht="25.5" customHeight="1" x14ac:dyDescent="0.3">
      <c r="D46" s="484" t="s">
        <v>1344</v>
      </c>
      <c r="E46" s="476"/>
      <c r="F46" s="476"/>
      <c r="G46" s="476"/>
      <c r="H46" s="476"/>
      <c r="I46" s="476"/>
      <c r="J46" s="476"/>
      <c r="K46" s="476"/>
      <c r="L46" s="477"/>
    </row>
    <row r="47" spans="2:18" ht="15.75" customHeight="1" x14ac:dyDescent="0.3">
      <c r="D47" s="24" t="s">
        <v>1322</v>
      </c>
      <c r="E47" s="25" t="s">
        <v>1345</v>
      </c>
      <c r="F47" s="25" t="s">
        <v>1346</v>
      </c>
      <c r="G47" s="25" t="s">
        <v>1347</v>
      </c>
      <c r="H47" s="25" t="s">
        <v>1348</v>
      </c>
      <c r="I47" s="25" t="s">
        <v>1329</v>
      </c>
      <c r="J47" s="26" t="s">
        <v>1349</v>
      </c>
      <c r="K47" s="26" t="s">
        <v>1350</v>
      </c>
      <c r="L47" s="27" t="s">
        <v>1351</v>
      </c>
    </row>
    <row r="48" spans="2:18" ht="17.25" customHeight="1" x14ac:dyDescent="0.3">
      <c r="D48" s="12">
        <v>45657</v>
      </c>
      <c r="E48" s="30"/>
      <c r="F48" s="29" t="s">
        <v>1389</v>
      </c>
      <c r="G48" s="31">
        <f>16+100+46207+33134.06+3000+20000</f>
        <v>102457.06</v>
      </c>
      <c r="H48" s="31">
        <f>'Dic-24'!$G48*0.21</f>
        <v>21515.982599999999</v>
      </c>
      <c r="I48" s="31"/>
      <c r="J48" s="31"/>
      <c r="K48" s="31">
        <f>1386.21+994.02+90+600</f>
        <v>3070.23</v>
      </c>
      <c r="L48" s="31"/>
    </row>
    <row r="49" spans="4:12" ht="15.75" customHeight="1" x14ac:dyDescent="0.3">
      <c r="D49" s="12"/>
      <c r="E49" s="30"/>
      <c r="F49" s="29"/>
      <c r="G49" s="31"/>
      <c r="H49" s="31">
        <f>'Dic-24'!$G49*0.21</f>
        <v>0</v>
      </c>
      <c r="I49" s="31"/>
      <c r="J49" s="31"/>
      <c r="K49" s="31"/>
      <c r="L49" s="31"/>
    </row>
    <row r="50" spans="4:12" ht="15.75" customHeight="1" x14ac:dyDescent="0.3">
      <c r="D50" s="12"/>
      <c r="E50" s="30"/>
      <c r="F50" s="29"/>
      <c r="G50" s="31"/>
      <c r="H50" s="31">
        <f>'Dic-24'!$G50*0.21</f>
        <v>0</v>
      </c>
      <c r="I50" s="31"/>
      <c r="J50" s="31"/>
      <c r="K50" s="31"/>
      <c r="L50" s="31"/>
    </row>
    <row r="51" spans="4:12" ht="15.75" customHeight="1" x14ac:dyDescent="0.3">
      <c r="D51" s="21" t="s">
        <v>1343</v>
      </c>
      <c r="E51" s="29"/>
      <c r="F51" s="29"/>
      <c r="G51" s="31">
        <f>SUBTOTAL(109,'Dic-24'!$G$48:$G$50)</f>
        <v>102457.06</v>
      </c>
      <c r="H51" s="31">
        <f>SUBTOTAL(109,'Dic-24'!$H$48:$H$50)</f>
        <v>21515.982599999999</v>
      </c>
      <c r="I51" s="31">
        <f>SUBTOTAL(109,'Dic-24'!$I$48:$I$50)</f>
        <v>0</v>
      </c>
      <c r="J51" s="31">
        <f>SUBTOTAL(109,'Dic-24'!$J$48:$J$50)</f>
        <v>0</v>
      </c>
      <c r="K51" s="31">
        <f>SUBTOTAL(109,'Dic-24'!$K$48:$K$50)</f>
        <v>3070.23</v>
      </c>
      <c r="L51" s="31">
        <f>SUBTOTAL(109,'Dic-24'!$L$48:$L$50)</f>
        <v>0</v>
      </c>
    </row>
    <row r="52" spans="4:12" ht="15.75" customHeight="1" x14ac:dyDescent="0.3"/>
    <row r="53" spans="4:12" ht="15.75" customHeight="1" x14ac:dyDescent="0.3"/>
    <row r="54" spans="4:12" ht="15.75" customHeight="1" x14ac:dyDescent="0.3"/>
    <row r="55" spans="4:12" ht="15.75" customHeight="1" x14ac:dyDescent="0.3">
      <c r="D55" s="484" t="s">
        <v>1361</v>
      </c>
      <c r="E55" s="476"/>
      <c r="F55" s="476"/>
      <c r="G55" s="476"/>
      <c r="H55" s="476"/>
      <c r="I55" s="476"/>
      <c r="J55" s="476"/>
      <c r="K55" s="477"/>
    </row>
    <row r="56" spans="4:12" ht="15.75" customHeight="1" x14ac:dyDescent="0.3">
      <c r="D56" s="35" t="s">
        <v>1322</v>
      </c>
      <c r="E56" s="35" t="s">
        <v>1324</v>
      </c>
      <c r="F56" s="35" t="s">
        <v>1362</v>
      </c>
      <c r="G56" s="35" t="s">
        <v>0</v>
      </c>
      <c r="H56" s="35" t="s">
        <v>1</v>
      </c>
      <c r="I56" s="36" t="s">
        <v>1334</v>
      </c>
      <c r="J56" s="35" t="s">
        <v>1363</v>
      </c>
      <c r="K56" s="35" t="s">
        <v>1335</v>
      </c>
    </row>
    <row r="57" spans="4:12" ht="15.75" customHeight="1" x14ac:dyDescent="0.3">
      <c r="D57" s="391" t="s">
        <v>1544</v>
      </c>
      <c r="E57" s="38">
        <v>1</v>
      </c>
      <c r="F57" s="38">
        <v>43</v>
      </c>
      <c r="G57" s="39">
        <v>20365938688</v>
      </c>
      <c r="H57" s="40" t="str">
        <f>IFERROR(IF('Dic-24'!$G57="","-",VLOOKUP('Dic-24'!$G57,Lista_CUIT!$A$1:$D$2241,2,0)),"CUIT NO CARGADO")</f>
        <v>LIPANOVICH JUAN CRUZ</v>
      </c>
      <c r="I57" s="41">
        <v>1033780</v>
      </c>
      <c r="J57" s="42" t="str">
        <f>IFERROR(IF('Dic-24'!$G57="","-",VLOOKUP('Dic-24'!$G57,Lista_CUIT!$A$1:$D$2241,3,0)),"CUIT NO CARGADO")</f>
        <v>SOFTWARE</v>
      </c>
      <c r="K57" s="42">
        <f>IFERROR(IF('Dic-24'!$G57="","-",VLOOKUP('Dic-24'!$G57,Lista_CUIT!$A$1:$D$2241,4,0)),"CUIT NO CARGADO")</f>
        <v>0</v>
      </c>
    </row>
    <row r="58" spans="4:12" ht="15.75" customHeight="1" x14ac:dyDescent="0.3">
      <c r="D58" s="38" t="s">
        <v>1534</v>
      </c>
      <c r="E58" s="38">
        <v>1</v>
      </c>
      <c r="F58" s="38">
        <v>32</v>
      </c>
      <c r="G58" s="39">
        <v>27387896150</v>
      </c>
      <c r="H58" s="40" t="str">
        <f>IFERROR(IF('Dic-24'!$G58="","-",VLOOKUP('Dic-24'!$G58,Lista_CUIT!$A$1:$D$2241,2,0)),"CUIT NO CARGADO")</f>
        <v>LIPANOVICH MARIA SOL</v>
      </c>
      <c r="I58" s="41">
        <v>1201030</v>
      </c>
      <c r="J58" s="42" t="str">
        <f>IFERROR(IF('Dic-24'!$G58="","-",VLOOKUP('Dic-24'!$G58,Lista_CUIT!$A$1:$D$2241,3,0)),"CUIT NO CARGADO")</f>
        <v>consultoria informatica</v>
      </c>
      <c r="K58" s="42">
        <f>IFERROR(IF('Dic-24'!$G58="","-",VLOOKUP('Dic-24'!$G58,Lista_CUIT!$A$1:$D$2241,4,0)),"CUIT NO CARGADO")</f>
        <v>0</v>
      </c>
    </row>
    <row r="59" spans="4:12" ht="15.75" customHeight="1" x14ac:dyDescent="0.3">
      <c r="D59" s="399" t="s">
        <v>1534</v>
      </c>
      <c r="E59" s="399">
        <v>3</v>
      </c>
      <c r="F59" s="399">
        <v>911</v>
      </c>
      <c r="G59" s="400">
        <v>20086277523</v>
      </c>
      <c r="H59" s="397" t="str">
        <f>IFERROR(IF('Dic-24'!$G59="","-",VLOOKUP('Dic-24'!$G59,Lista_CUIT!$A$1:$D$2241,2,0)),"CUIT NO CARGADO")</f>
        <v>ESTUDIO BOTINDARI</v>
      </c>
      <c r="I59" s="401">
        <v>310000</v>
      </c>
      <c r="J59" s="398" t="str">
        <f>IFERROR(IF('Dic-24'!$G59="","-",VLOOKUP('Dic-24'!$G59,Lista_CUIT!$A$1:$D$2241,3,0)),"CUIT NO CARGADO")</f>
        <v>Honorarios Contables</v>
      </c>
      <c r="K59" s="398">
        <f>IFERROR(IF('Dic-24'!$G59="","-",VLOOKUP('Dic-24'!$G59,Lista_CUIT!$A$1:$D$2241,4,0)),"CUIT NO CARGADO")</f>
        <v>0</v>
      </c>
    </row>
    <row r="60" spans="4:12" ht="15.75" customHeight="1" x14ac:dyDescent="0.3">
      <c r="D60" s="399" t="s">
        <v>1534</v>
      </c>
      <c r="E60" s="399">
        <v>1</v>
      </c>
      <c r="F60" s="399">
        <v>106</v>
      </c>
      <c r="G60" s="400">
        <v>20341465134</v>
      </c>
      <c r="H60" s="397" t="str">
        <f>IFERROR(IF('Dic-24'!$G60="","-",VLOOKUP('Dic-24'!$G60,Lista_CUIT!$A$1:$D$2241,2,0)),"CUIT NO CARGADO")</f>
        <v>ABELEDO AGUSTIN ENRIQUE</v>
      </c>
      <c r="I60" s="401">
        <v>2248500</v>
      </c>
      <c r="J60" s="398" t="str">
        <f>IFERROR(IF('Dic-24'!$G60="","-",VLOOKUP('Dic-24'!$G60,Lista_CUIT!$A$1:$D$2241,3,0)),"CUIT NO CARGADO")</f>
        <v>Mantenimiento</v>
      </c>
      <c r="K60" s="398" t="str">
        <f>IFERROR(IF('Dic-24'!$G60="","-",VLOOKUP('Dic-24'!$G60,Lista_CUIT!$A$1:$D$2241,4,0)),"CUIT NO CARGADO")</f>
        <v>CABA</v>
      </c>
    </row>
    <row r="61" spans="4:12" ht="15.75" customHeight="1" x14ac:dyDescent="0.3">
      <c r="D61" s="399" t="s">
        <v>1545</v>
      </c>
      <c r="E61" s="399">
        <v>2</v>
      </c>
      <c r="F61" s="399">
        <v>12</v>
      </c>
      <c r="G61" s="400">
        <v>23118167279</v>
      </c>
      <c r="H61" s="397" t="str">
        <f>IFERROR(IF('Dic-24'!$G61="","-",VLOOKUP('Dic-24'!$G61,Lista_CUIT!$A$1:$D$2241,2,0)),"CUIT NO CARGADO")</f>
        <v>ABELEDO ENRIQUE JUAN</v>
      </c>
      <c r="I61" s="401">
        <v>2420000</v>
      </c>
      <c r="J61" s="398" t="str">
        <f>IFERROR(IF('Dic-24'!$G61="","-",VLOOKUP('Dic-24'!$G61,Lista_CUIT!$A$1:$D$2241,3,0)),"CUIT NO CARGADO")</f>
        <v>Honorarios Admin</v>
      </c>
      <c r="K61" s="398">
        <f>IFERROR(IF('Dic-24'!$G61="","-",VLOOKUP('Dic-24'!$G61,Lista_CUIT!$A$1:$D$2241,4,0)),"CUIT NO CARGADO")</f>
        <v>0</v>
      </c>
    </row>
    <row r="62" spans="4:12" ht="15.75" customHeight="1" x14ac:dyDescent="0.3">
      <c r="D62" s="38" t="s">
        <v>1535</v>
      </c>
      <c r="E62" s="38">
        <v>4</v>
      </c>
      <c r="F62" s="38">
        <v>77</v>
      </c>
      <c r="G62" s="39">
        <v>23214737914</v>
      </c>
      <c r="H62" s="40" t="str">
        <f>IFERROR(IF('Dic-24'!$G62="","-",VLOOKUP('Dic-24'!$G62,Lista_CUIT!$A$1:$D$2241,2,0)),"CUIT NO CARGADO")</f>
        <v>SBARRA GABRIELA BEATRIZ</v>
      </c>
      <c r="I62" s="41">
        <v>1032440</v>
      </c>
      <c r="J62" s="42" t="str">
        <f>IFERROR(IF('Dic-24'!$G62="","-",VLOOKUP('Dic-24'!$G62,Lista_CUIT!$A$1:$D$2241,3,0)),"CUIT NO CARGADO")</f>
        <v>Honorarios Admin</v>
      </c>
      <c r="K62" s="42">
        <f>IFERROR(IF('Dic-24'!$G62="","-",VLOOKUP('Dic-24'!$G62,Lista_CUIT!$A$1:$D$2241,4,0)),"CUIT NO CARGADO")</f>
        <v>0</v>
      </c>
    </row>
    <row r="63" spans="4:12" ht="15.75" customHeight="1" x14ac:dyDescent="0.3">
      <c r="D63" s="38" t="s">
        <v>1535</v>
      </c>
      <c r="E63" s="38">
        <v>1</v>
      </c>
      <c r="F63" s="38">
        <v>128</v>
      </c>
      <c r="G63" s="39">
        <v>20389908569</v>
      </c>
      <c r="H63" s="40" t="str">
        <f>IFERROR(IF('Dic-24'!$G63="","-",VLOOKUP('Dic-24'!$G63,Lista_CUIT!$A$1:$D$2241,2,0)),"CUIT NO CARGADO")</f>
        <v>BOTINDARI JUAN IGNACIO</v>
      </c>
      <c r="I63" s="41">
        <v>87036.04</v>
      </c>
      <c r="J63" s="42" t="str">
        <f>IFERROR(IF('Dic-24'!$G63="","-",VLOOKUP('Dic-24'!$G63,Lista_CUIT!$A$1:$D$2241,3,0)),"CUIT NO CARGADO")</f>
        <v>Honorarios Contables</v>
      </c>
      <c r="K63" s="42">
        <f>IFERROR(IF('Dic-24'!$G63="","-",VLOOKUP('Dic-24'!$G63,Lista_CUIT!$A$1:$D$2241,4,0)),"CUIT NO CARGADO")</f>
        <v>0</v>
      </c>
    </row>
    <row r="64" spans="4:12" ht="15.75" customHeight="1" x14ac:dyDescent="0.3">
      <c r="D64" s="399" t="s">
        <v>1535</v>
      </c>
      <c r="E64" s="399">
        <v>4</v>
      </c>
      <c r="F64" s="399">
        <v>78</v>
      </c>
      <c r="G64" s="400">
        <v>23214737914</v>
      </c>
      <c r="H64" s="397" t="str">
        <f>IFERROR(IF('Dic-24'!$G64="","-",VLOOKUP('Dic-24'!$G64,Lista_CUIT!$A$1:$D$2241,2,0)),"CUIT NO CARGADO")</f>
        <v>SBARRA GABRIELA BEATRIZ</v>
      </c>
      <c r="I64" s="401">
        <v>1032440</v>
      </c>
      <c r="J64" s="398" t="str">
        <f>IFERROR(IF('Dic-24'!$G64="","-",VLOOKUP('Dic-24'!$G64,Lista_CUIT!$A$1:$D$2241,3,0)),"CUIT NO CARGADO")</f>
        <v>Honorarios Admin</v>
      </c>
      <c r="K64" s="398">
        <f>IFERROR(IF('Dic-24'!$G64="","-",VLOOKUP('Dic-24'!$G64,Lista_CUIT!$A$1:$D$2241,4,0)),"CUIT NO CARGADO")</f>
        <v>0</v>
      </c>
    </row>
    <row r="65" spans="2:18" ht="15.75" customHeight="1" x14ac:dyDescent="0.3">
      <c r="D65" s="399" t="s">
        <v>1536</v>
      </c>
      <c r="E65" s="399">
        <v>2</v>
      </c>
      <c r="F65" s="399">
        <v>264</v>
      </c>
      <c r="G65" s="400">
        <v>27173820866</v>
      </c>
      <c r="H65" s="397" t="str">
        <f>IFERROR(IF('Dic-24'!$G65="","-",VLOOKUP('Dic-24'!$G65,Lista_CUIT!$A$1:$D$2241,2,0)),"CUIT NO CARGADO")</f>
        <v>FREIER SANDRA DANIELA</v>
      </c>
      <c r="I65" s="401">
        <v>453000</v>
      </c>
      <c r="J65" s="398" t="str">
        <f>IFERROR(IF('Dic-24'!$G65="","-",VLOOKUP('Dic-24'!$G65,Lista_CUIT!$A$1:$D$2241,3,0)),"CUIT NO CARGADO")</f>
        <v>Honorarios Prof</v>
      </c>
      <c r="K65" s="398">
        <f>IFERROR(IF('Dic-24'!$G65="","-",VLOOKUP('Dic-24'!$G65,Lista_CUIT!$A$1:$D$2241,4,0)),"CUIT NO CARGADO")</f>
        <v>0</v>
      </c>
    </row>
    <row r="66" spans="2:18" ht="15.75" customHeight="1" x14ac:dyDescent="0.3">
      <c r="D66" s="399" t="s">
        <v>1536</v>
      </c>
      <c r="E66" s="399">
        <v>1</v>
      </c>
      <c r="F66" s="399">
        <v>400</v>
      </c>
      <c r="G66" s="400">
        <v>27925308884</v>
      </c>
      <c r="H66" s="397" t="str">
        <f>IFERROR(IF('Dic-24'!$G66="","-",VLOOKUP('Dic-24'!$G66,Lista_CUIT!$A$1:$D$2241,2,0)),"CUIT NO CARGADO")</f>
        <v>LOPEZ LOPEZ FLAVIA</v>
      </c>
      <c r="I66" s="401">
        <v>35000</v>
      </c>
      <c r="J66" s="398" t="str">
        <f>IFERROR(IF('Dic-24'!$G66="","-",VLOOKUP('Dic-24'!$G66,Lista_CUIT!$A$1:$D$2241,3,0)),"CUIT NO CARGADO")</f>
        <v>GASTOS VARIOS</v>
      </c>
      <c r="K66" s="398">
        <f>IFERROR(IF('Dic-24'!$G66="","-",VLOOKUP('Dic-24'!$G66,Lista_CUIT!$A$1:$D$2241,4,0)),"CUIT NO CARGADO")</f>
        <v>0</v>
      </c>
    </row>
    <row r="67" spans="2:18" ht="15.75" customHeight="1" x14ac:dyDescent="0.3">
      <c r="D67" s="38" t="s">
        <v>1537</v>
      </c>
      <c r="E67" s="38">
        <v>1</v>
      </c>
      <c r="F67" s="38">
        <v>2817</v>
      </c>
      <c r="G67" s="39">
        <v>20351363283</v>
      </c>
      <c r="H67" s="40" t="str">
        <f>IFERROR(IF('Dic-24'!$G67="","-",VLOOKUP('Dic-24'!$G67,Lista_CUIT!$A$1:$D$2241,2,0)),"CUIT NO CARGADO")</f>
        <v>MARANO LEANDRO MARTIN</v>
      </c>
      <c r="I67" s="41">
        <v>37414</v>
      </c>
      <c r="J67" s="42" t="str">
        <f>IFERROR(IF('Dic-24'!$G67="","-",VLOOKUP('Dic-24'!$G67,Lista_CUIT!$A$1:$D$2241,3,0)),"CUIT NO CARGADO")</f>
        <v>GASTOS VARIOS</v>
      </c>
      <c r="K67" s="42">
        <f>IFERROR(IF('Dic-24'!$G67="","-",VLOOKUP('Dic-24'!$G67,Lista_CUIT!$A$1:$D$2241,4,0)),"CUIT NO CARGADO")</f>
        <v>0</v>
      </c>
    </row>
    <row r="68" spans="2:18" ht="15.75" customHeight="1" x14ac:dyDescent="0.3">
      <c r="D68" s="38" t="s">
        <v>1546</v>
      </c>
      <c r="E68" s="38">
        <v>1</v>
      </c>
      <c r="F68" s="38">
        <v>16</v>
      </c>
      <c r="G68" s="39">
        <v>20419155870</v>
      </c>
      <c r="H68" s="40" t="str">
        <f>IFERROR(IF('Dic-24'!$G68="","-",VLOOKUP('Dic-24'!$G68,Lista_CUIT!$A$1:$D$2241,2,0)),"CUIT NO CARGADO")</f>
        <v>GULLO GASPAR</v>
      </c>
      <c r="I68" s="41">
        <v>75000</v>
      </c>
      <c r="J68" s="42" t="str">
        <f>IFERROR(IF('Dic-24'!$G68="","-",VLOOKUP('Dic-24'!$G68,Lista_CUIT!$A$1:$D$2241,3,0)),"CUIT NO CARGADO")</f>
        <v>Honorarios Contables</v>
      </c>
      <c r="K68" s="42">
        <f>IFERROR(IF('Dic-24'!$G68="","-",VLOOKUP('Dic-24'!$G68,Lista_CUIT!$A$1:$D$2241,4,0)),"CUIT NO CARGADO")</f>
        <v>0</v>
      </c>
    </row>
    <row r="69" spans="2:18" ht="15.75" customHeight="1" x14ac:dyDescent="0.3">
      <c r="D69" s="38" t="s">
        <v>1538</v>
      </c>
      <c r="E69" s="38">
        <v>4</v>
      </c>
      <c r="F69" s="38">
        <v>80</v>
      </c>
      <c r="G69" s="39">
        <v>23214737914</v>
      </c>
      <c r="H69" s="40" t="str">
        <f>IFERROR(IF('Dic-24'!$G69="","-",VLOOKUP('Dic-24'!$G69,Lista_CUIT!$A$1:$D$2241,2,0)),"CUIT NO CARGADO")</f>
        <v>SBARRA GABRIELA BEATRIZ</v>
      </c>
      <c r="I69" s="41">
        <v>880000</v>
      </c>
      <c r="J69" s="42" t="str">
        <f>IFERROR(IF('Dic-24'!$G69="","-",VLOOKUP('Dic-24'!$G69,Lista_CUIT!$A$1:$D$2241,3,0)),"CUIT NO CARGADO")</f>
        <v>Honorarios Admin</v>
      </c>
      <c r="K69" s="42">
        <f>IFERROR(IF('Dic-24'!$G69="","-",VLOOKUP('Dic-24'!$G69,Lista_CUIT!$A$1:$D$2241,4,0)),"CUIT NO CARGADO")</f>
        <v>0</v>
      </c>
    </row>
    <row r="70" spans="2:18" ht="15.75" customHeight="1" x14ac:dyDescent="0.3">
      <c r="D70" s="12" t="s">
        <v>1547</v>
      </c>
      <c r="E70" s="14">
        <v>2</v>
      </c>
      <c r="F70" s="15">
        <v>265</v>
      </c>
      <c r="G70" s="16">
        <v>27173820866</v>
      </c>
      <c r="H70" s="40" t="str">
        <f>IFERROR(IF('Dic-24'!$G70="","-",VLOOKUP('Dic-24'!$G70,Lista_CUIT!$A$1:$D$2241,2,0)),"CUIT NO CARGADO")</f>
        <v>FREIER SANDRA DANIELA</v>
      </c>
      <c r="I70" s="31">
        <v>590000</v>
      </c>
      <c r="J70" s="42" t="str">
        <f>IFERROR(IF('Dic-24'!$G70="","-",VLOOKUP('Dic-24'!$G70,Lista_CUIT!$A$1:$D$2241,3,0)),"CUIT NO CARGADO")</f>
        <v>Honorarios Prof</v>
      </c>
      <c r="K70" s="42">
        <f>IFERROR(IF('Dic-24'!$G70="","-",VLOOKUP('Dic-24'!$G70,Lista_CUIT!$A$1:$D$2241,4,0)),"CUIT NO CARGADO")</f>
        <v>0</v>
      </c>
    </row>
    <row r="71" spans="2:18" ht="15.75" customHeight="1" x14ac:dyDescent="0.3">
      <c r="D71" s="12" t="s">
        <v>1548</v>
      </c>
      <c r="E71" s="14">
        <v>2</v>
      </c>
      <c r="F71" s="15">
        <v>179</v>
      </c>
      <c r="G71" s="16">
        <v>20136544625</v>
      </c>
      <c r="H71" s="40" t="str">
        <f>IFERROR(IF('Dic-24'!$G71="","-",VLOOKUP('Dic-24'!$G71,Lista_CUIT!$A$1:$D$2241,2,0)),"CUIT NO CARGADO")</f>
        <v>RODRIGUEZ DE LA FUEN HECTOR MARCELO</v>
      </c>
      <c r="I71" s="31">
        <v>1197000</v>
      </c>
      <c r="J71" s="42" t="str">
        <f>IFERROR(IF('Dic-24'!$G71="","-",VLOOKUP('Dic-24'!$G71,Lista_CUIT!$A$1:$D$2241,3,0)),"CUIT NO CARGADO")</f>
        <v>Honorarios Admin</v>
      </c>
      <c r="K71" s="42">
        <f>IFERROR(IF('Dic-24'!$G71="","-",VLOOKUP('Dic-24'!$G71,Lista_CUIT!$A$1:$D$2241,4,0)),"CUIT NO CARGADO")</f>
        <v>0</v>
      </c>
    </row>
    <row r="72" spans="2:18" ht="15.75" customHeight="1" x14ac:dyDescent="0.3">
      <c r="D72" s="12" t="s">
        <v>1535</v>
      </c>
      <c r="E72" s="14">
        <v>4</v>
      </c>
      <c r="F72" s="15">
        <v>4</v>
      </c>
      <c r="G72" s="16">
        <v>23214737914</v>
      </c>
      <c r="H72" s="40" t="str">
        <f>IFERROR(IF('Dic-24'!$G72="","-",VLOOKUP('Dic-24'!$G72,Lista_CUIT!$A$1:$D$2241,2,0)),"CUIT NO CARGADO")</f>
        <v>SBARRA GABRIELA BEATRIZ</v>
      </c>
      <c r="I72" s="31">
        <v>-1032440</v>
      </c>
      <c r="J72" s="42" t="str">
        <f>IFERROR(IF('Dic-24'!$G72="","-",VLOOKUP('Dic-24'!$G72,Lista_CUIT!$A$1:$D$2241,3,0)),"CUIT NO CARGADO")</f>
        <v>Honorarios Admin</v>
      </c>
      <c r="K72" s="42">
        <f>IFERROR(IF('Dic-24'!$G72="","-",VLOOKUP('Dic-24'!$G72,Lista_CUIT!$A$1:$D$2241,4,0)),"CUIT NO CARGADO")</f>
        <v>0</v>
      </c>
    </row>
    <row r="73" spans="2:18" ht="15.75" customHeight="1" x14ac:dyDescent="0.3">
      <c r="D73" s="42" t="s">
        <v>1343</v>
      </c>
      <c r="E73" s="42"/>
      <c r="F73" s="42"/>
      <c r="G73" s="42"/>
      <c r="H73" s="44"/>
      <c r="I73" s="41">
        <f>SUBTOTAL(109,'Dic-24'!$I$57:$I$72)</f>
        <v>11600200.039999999</v>
      </c>
      <c r="J73" s="42"/>
      <c r="K73" s="42"/>
    </row>
    <row r="74" spans="2:18" ht="15.75" customHeight="1" x14ac:dyDescent="0.3">
      <c r="B74" s="43"/>
      <c r="C74" s="43"/>
      <c r="L74" s="43"/>
      <c r="M74" s="43"/>
      <c r="N74" s="43"/>
      <c r="O74" s="43"/>
      <c r="P74" s="43"/>
      <c r="Q74" s="43"/>
      <c r="R74" s="43"/>
    </row>
    <row r="75" spans="2:18" ht="15.75" customHeight="1" x14ac:dyDescent="0.3"/>
    <row r="76" spans="2:18" ht="15.75" customHeight="1" x14ac:dyDescent="0.3"/>
    <row r="77" spans="2:18" ht="15.75" customHeight="1" x14ac:dyDescent="0.3"/>
    <row r="78" spans="2:18" ht="15.75" customHeight="1" x14ac:dyDescent="0.3"/>
    <row r="79" spans="2:18" ht="15.75" customHeight="1" x14ac:dyDescent="0.3">
      <c r="B79" s="492" t="s">
        <v>1364</v>
      </c>
      <c r="C79" s="476"/>
      <c r="D79" s="476"/>
      <c r="E79" s="476"/>
      <c r="F79" s="476"/>
      <c r="G79" s="476"/>
      <c r="H79" s="476"/>
      <c r="I79" s="476"/>
      <c r="J79" s="477"/>
      <c r="K79" s="493">
        <f>N1</f>
        <v>45261</v>
      </c>
      <c r="L79" s="476"/>
      <c r="M79" s="477"/>
    </row>
    <row r="80" spans="2:18" ht="15.75" customHeight="1" x14ac:dyDescent="0.3"/>
    <row r="81" spans="2:13" ht="15.75" customHeight="1" x14ac:dyDescent="0.3">
      <c r="B81" s="485" t="s">
        <v>1365</v>
      </c>
      <c r="C81" s="486"/>
    </row>
    <row r="82" spans="2:13" ht="15.75" customHeight="1" x14ac:dyDescent="0.3">
      <c r="B82" s="45" t="s">
        <v>1322</v>
      </c>
      <c r="C82" s="46" t="s">
        <v>1323</v>
      </c>
      <c r="D82" s="46" t="s">
        <v>1366</v>
      </c>
      <c r="E82" s="46" t="s">
        <v>1367</v>
      </c>
      <c r="F82" s="46" t="s">
        <v>0</v>
      </c>
      <c r="G82" s="46" t="s">
        <v>1</v>
      </c>
      <c r="H82" s="46" t="s">
        <v>1368</v>
      </c>
      <c r="I82" s="46" t="s">
        <v>1348</v>
      </c>
      <c r="J82" s="46" t="s">
        <v>1329</v>
      </c>
      <c r="K82" s="46" t="s">
        <v>1369</v>
      </c>
      <c r="L82" s="46" t="s">
        <v>1334</v>
      </c>
      <c r="M82" s="47" t="s">
        <v>1335</v>
      </c>
    </row>
    <row r="83" spans="2:13" ht="15.75" customHeight="1" x14ac:dyDescent="0.3">
      <c r="B83" s="303">
        <v>45628</v>
      </c>
      <c r="C83" s="304">
        <v>1</v>
      </c>
      <c r="D83" s="305">
        <v>3</v>
      </c>
      <c r="E83" s="306">
        <v>236</v>
      </c>
      <c r="F83" s="307">
        <v>30628274327</v>
      </c>
      <c r="G83" s="402" t="str">
        <f>IFERROR(IF('Dic-24'!$F83="","-",VLOOKUP('Dic-24'!$F83,Lista_CUIT!$A$1:$D$2241,2,0)),"CUIT NO CARGADO")</f>
        <v>AGIRA  S A</v>
      </c>
      <c r="H83" s="357">
        <v>18435380</v>
      </c>
      <c r="I83" s="269">
        <f>84*1008.5</f>
        <v>84714</v>
      </c>
      <c r="J83" s="358">
        <f>1877.4*1008.5</f>
        <v>1893357.9000000001</v>
      </c>
      <c r="K83" s="358"/>
      <c r="L83" s="358">
        <f>SUM('Dic-24'!$H83:$K83)</f>
        <v>20413451.899999999</v>
      </c>
      <c r="M83" s="359"/>
    </row>
    <row r="84" spans="2:13" ht="15.75" customHeight="1" x14ac:dyDescent="0.3">
      <c r="B84" s="303">
        <v>45629</v>
      </c>
      <c r="C84" s="304">
        <v>1</v>
      </c>
      <c r="D84" s="305">
        <v>3</v>
      </c>
      <c r="E84" s="306">
        <v>237</v>
      </c>
      <c r="F84" s="307">
        <v>30716041596</v>
      </c>
      <c r="G84" s="402" t="str">
        <f>IFERROR(IF('Dic-24'!$F84="","-",VLOOKUP('Dic-24'!$F84,Lista_CUIT!$A$1:$D$2241,2,0)),"CUIT NO CARGADO")</f>
        <v>EXA COMPRESION S.R.L.</v>
      </c>
      <c r="H84" s="357">
        <v>494365</v>
      </c>
      <c r="I84" s="269">
        <f>'Dic-24'!$H84*0.21</f>
        <v>103816.65</v>
      </c>
      <c r="J84" s="358"/>
      <c r="K84" s="358"/>
      <c r="L84" s="358">
        <f>SUM('Dic-24'!$H84:$K84)</f>
        <v>598181.65</v>
      </c>
      <c r="M84" s="359"/>
    </row>
    <row r="85" spans="2:13" ht="15.75" customHeight="1" x14ac:dyDescent="0.3">
      <c r="B85" s="303">
        <v>45643</v>
      </c>
      <c r="C85" s="304">
        <v>1</v>
      </c>
      <c r="D85" s="305">
        <v>3</v>
      </c>
      <c r="E85" s="306">
        <v>238</v>
      </c>
      <c r="F85" s="307">
        <v>30628274327</v>
      </c>
      <c r="G85" s="402" t="str">
        <f>IFERROR(IF('Dic-24'!$F85="","-",VLOOKUP('Dic-24'!$F85,Lista_CUIT!$A$1:$D$2241,2,0)),"CUIT NO CARGADO")</f>
        <v>AGIRA  S A</v>
      </c>
      <c r="H85" s="357">
        <v>13949925</v>
      </c>
      <c r="I85" s="269">
        <f>63*1017.5</f>
        <v>64102.5</v>
      </c>
      <c r="J85" s="358">
        <f>1408.05*1017.5</f>
        <v>1432690.875</v>
      </c>
      <c r="K85" s="358"/>
      <c r="L85" s="358">
        <f>SUM('Dic-24'!$H85:$K85)</f>
        <v>15446718.375</v>
      </c>
      <c r="M85" s="359"/>
    </row>
    <row r="86" spans="2:13" ht="15.75" customHeight="1" x14ac:dyDescent="0.3">
      <c r="B86" s="303">
        <v>45644</v>
      </c>
      <c r="C86" s="304">
        <v>1</v>
      </c>
      <c r="D86" s="305">
        <v>3</v>
      </c>
      <c r="E86" s="306">
        <v>239</v>
      </c>
      <c r="F86" s="307">
        <v>30717260968</v>
      </c>
      <c r="G86" s="402" t="str">
        <f>IFERROR(IF('Dic-24'!$F86="","-",VLOOKUP('Dic-24'!$F86,Lista_CUIT!$A$1:$D$2241,2,0)),"CUIT NO CARGADO")</f>
        <v>2 IN FLOW COMPAÑIA DE SERVICIOS S. A.</v>
      </c>
      <c r="H86" s="357">
        <v>3272000</v>
      </c>
      <c r="I86" s="269">
        <f>'Dic-24'!$H86*0.21</f>
        <v>687120</v>
      </c>
      <c r="J86" s="358"/>
      <c r="K86" s="358"/>
      <c r="L86" s="358">
        <f>SUM('Dic-24'!$H86:$K86)</f>
        <v>3959120</v>
      </c>
      <c r="M86" s="359"/>
    </row>
    <row r="87" spans="2:13" ht="15.75" customHeight="1" x14ac:dyDescent="0.3">
      <c r="B87" s="303"/>
      <c r="C87" s="304"/>
      <c r="D87" s="305"/>
      <c r="E87" s="306"/>
      <c r="F87" s="307"/>
      <c r="G87" s="356" t="str">
        <f>IFERROR(IF('Dic-24'!$F87="","-",VLOOKUP('Dic-24'!$F87,Lista_CUIT!$A$1:$D$2241,2,0)),"CUIT NO CARGADO")</f>
        <v>-</v>
      </c>
      <c r="H87" s="357"/>
      <c r="I87" s="269">
        <f>'Dic-24'!$H87*0.21</f>
        <v>0</v>
      </c>
      <c r="J87" s="358"/>
      <c r="K87" s="358"/>
      <c r="L87" s="358">
        <f>SUM('Dic-24'!$H87:$K87)</f>
        <v>0</v>
      </c>
      <c r="M87" s="359"/>
    </row>
    <row r="88" spans="2:13" ht="15.75" customHeight="1" x14ac:dyDescent="0.3">
      <c r="B88" s="303"/>
      <c r="C88" s="304"/>
      <c r="D88" s="305"/>
      <c r="E88" s="306"/>
      <c r="F88" s="307"/>
      <c r="G88" s="356" t="str">
        <f>IFERROR(IF('Dic-24'!$F88="","-",VLOOKUP('Dic-24'!$F88,Lista_CUIT!$A$1:$D$2241,2,0)),"CUIT NO CARGADO")</f>
        <v>-</v>
      </c>
      <c r="H88" s="357"/>
      <c r="I88" s="269">
        <f>'Dic-24'!$H88*0.21</f>
        <v>0</v>
      </c>
      <c r="J88" s="358"/>
      <c r="K88" s="358"/>
      <c r="L88" s="358">
        <f>SUM('Dic-24'!$H88:$K88)</f>
        <v>0</v>
      </c>
      <c r="M88" s="359"/>
    </row>
    <row r="89" spans="2:13" ht="15.75" customHeight="1" x14ac:dyDescent="0.3">
      <c r="B89" s="303"/>
      <c r="C89" s="304"/>
      <c r="D89" s="305"/>
      <c r="E89" s="306"/>
      <c r="F89" s="307"/>
      <c r="G89" s="356" t="str">
        <f>IFERROR(IF('Dic-24'!$F89="","-",VLOOKUP('Dic-24'!$F89,Lista_CUIT!$A$1:$D$2241,2,0)),"CUIT NO CARGADO")</f>
        <v>-</v>
      </c>
      <c r="H89" s="357"/>
      <c r="I89" s="269">
        <f>'Dic-24'!$H89*0.21</f>
        <v>0</v>
      </c>
      <c r="J89" s="358"/>
      <c r="K89" s="358"/>
      <c r="L89" s="358">
        <f>SUM('Dic-24'!$H89:$K89)</f>
        <v>0</v>
      </c>
      <c r="M89" s="359"/>
    </row>
    <row r="90" spans="2:13" ht="15.75" customHeight="1" x14ac:dyDescent="0.3">
      <c r="B90" s="303"/>
      <c r="C90" s="304"/>
      <c r="D90" s="305"/>
      <c r="E90" s="306"/>
      <c r="F90" s="307"/>
      <c r="G90" s="356" t="str">
        <f>IFERROR(IF('Dic-24'!$F90="","-",VLOOKUP('Dic-24'!$F90,Lista_CUIT!$A$1:$D$2241,2,0)),"CUIT NO CARGADO")</f>
        <v>-</v>
      </c>
      <c r="H90" s="357"/>
      <c r="I90" s="269">
        <f>'Dic-24'!$H90*0.21</f>
        <v>0</v>
      </c>
      <c r="J90" s="358"/>
      <c r="K90" s="358"/>
      <c r="L90" s="358">
        <f>SUM('Dic-24'!$H90:$K90)</f>
        <v>0</v>
      </c>
      <c r="M90" s="359"/>
    </row>
    <row r="91" spans="2:13" ht="15.75" customHeight="1" x14ac:dyDescent="0.3">
      <c r="B91" s="303"/>
      <c r="C91" s="304"/>
      <c r="D91" s="305"/>
      <c r="E91" s="306"/>
      <c r="F91" s="307"/>
      <c r="G91" s="356" t="str">
        <f>IFERROR(IF('Dic-24'!$F91="","-",VLOOKUP('Dic-24'!$F91,Lista_CUIT!$A$1:$D$2241,2,0)),"CUIT NO CARGADO")</f>
        <v>-</v>
      </c>
      <c r="H91" s="357"/>
      <c r="I91" s="269">
        <f>'Dic-24'!$H91*0.21</f>
        <v>0</v>
      </c>
      <c r="J91" s="358"/>
      <c r="K91" s="358"/>
      <c r="L91" s="358">
        <f>SUM('Dic-24'!$H91:$K91)</f>
        <v>0</v>
      </c>
      <c r="M91" s="359"/>
    </row>
    <row r="92" spans="2:13" ht="15.75" customHeight="1" x14ac:dyDescent="0.3">
      <c r="H92" s="403">
        <f>SUBTOTAL(109,Table_58[IMPORTE NETO])</f>
        <v>36151670</v>
      </c>
      <c r="I92" s="403">
        <f>SUBTOTAL(109,Table_58[IVA 21%])</f>
        <v>939753.15</v>
      </c>
      <c r="J92" s="403">
        <f>SUBTOTAL(109,Table_58[IVA 10,5%])</f>
        <v>3326048.7750000004</v>
      </c>
      <c r="K92" s="403">
        <f>SUBTOTAL(109,Table_58[EXENTO])</f>
        <v>0</v>
      </c>
      <c r="L92" s="403">
        <f>SUBTOTAL(109,Table_58[TOTAL])</f>
        <v>40417471.924999997</v>
      </c>
      <c r="M92" s="404">
        <f>SUBTOTAL(109,Table_58[Provincia])</f>
        <v>0</v>
      </c>
    </row>
    <row r="93" spans="2:13" ht="15.75" customHeight="1" x14ac:dyDescent="0.3"/>
    <row r="94" spans="2:13" ht="15.75" customHeight="1" x14ac:dyDescent="0.3">
      <c r="B94" s="485" t="s">
        <v>1372</v>
      </c>
      <c r="C94" s="486"/>
    </row>
    <row r="95" spans="2:13" ht="15.75" customHeight="1" x14ac:dyDescent="0.3">
      <c r="B95" s="45" t="s">
        <v>1322</v>
      </c>
      <c r="C95" s="46" t="s">
        <v>1323</v>
      </c>
      <c r="D95" s="46" t="s">
        <v>1366</v>
      </c>
      <c r="E95" s="46" t="s">
        <v>1367</v>
      </c>
      <c r="F95" s="46" t="s">
        <v>0</v>
      </c>
      <c r="G95" s="46" t="s">
        <v>1</v>
      </c>
      <c r="H95" s="46" t="s">
        <v>1368</v>
      </c>
      <c r="I95" s="46" t="s">
        <v>1348</v>
      </c>
      <c r="J95" s="46" t="s">
        <v>1329</v>
      </c>
      <c r="K95" s="46" t="s">
        <v>1369</v>
      </c>
      <c r="L95" s="46" t="s">
        <v>1334</v>
      </c>
      <c r="M95" s="47" t="s">
        <v>1335</v>
      </c>
    </row>
    <row r="96" spans="2:13" ht="15.75" customHeight="1" x14ac:dyDescent="0.3">
      <c r="B96" s="12"/>
      <c r="C96" s="13"/>
      <c r="D96" s="14"/>
      <c r="E96" s="15"/>
      <c r="F96" s="16"/>
      <c r="G96" s="73" t="str">
        <f>IFERROR(IF('Dic-24'!$F96="","-",VLOOKUP('Dic-24'!$F96,Lista_CUIT!$A$1:$D$2241,2,0)),"CUIT NO CARGADO")</f>
        <v>-</v>
      </c>
      <c r="H96" s="74"/>
      <c r="I96" s="74"/>
      <c r="J96" s="74"/>
      <c r="K96" s="74"/>
      <c r="L96" s="74">
        <f>SUM('Dic-24'!$H96:$K96)</f>
        <v>0</v>
      </c>
      <c r="M96" s="52"/>
    </row>
    <row r="97" spans="2:13" ht="15.75" customHeight="1" x14ac:dyDescent="0.3">
      <c r="B97" s="12"/>
      <c r="C97" s="13"/>
      <c r="D97" s="14"/>
      <c r="E97" s="15"/>
      <c r="F97" s="16"/>
      <c r="G97" s="73" t="str">
        <f>IFERROR(IF('Dic-24'!$F97="","-",VLOOKUP('Dic-24'!$F97,Lista_CUIT!$A$1:$D$2241,2,0)),"CUIT NO CARGADO")</f>
        <v>-</v>
      </c>
      <c r="H97" s="74"/>
      <c r="I97" s="74"/>
      <c r="J97" s="74"/>
      <c r="K97" s="74"/>
      <c r="L97" s="74">
        <f>SUM('Dic-24'!$H97:$K97)</f>
        <v>0</v>
      </c>
      <c r="M97" s="52"/>
    </row>
    <row r="98" spans="2:13" ht="15.75" customHeight="1" x14ac:dyDescent="0.3">
      <c r="B98" s="12"/>
      <c r="C98" s="13"/>
      <c r="D98" s="14"/>
      <c r="E98" s="15"/>
      <c r="F98" s="16"/>
      <c r="G98" s="73" t="str">
        <f>IFERROR(IF('Dic-24'!$F98="","-",VLOOKUP('Dic-24'!$F98,Lista_CUIT!$A$1:$D$2241,2,0)),"CUIT NO CARGADO")</f>
        <v>-</v>
      </c>
      <c r="H98" s="74"/>
      <c r="I98" s="74"/>
      <c r="J98" s="74"/>
      <c r="K98" s="74"/>
      <c r="L98" s="74">
        <f>SUM('Dic-24'!$H98:$K98)</f>
        <v>0</v>
      </c>
      <c r="M98" s="52"/>
    </row>
    <row r="99" spans="2:13" ht="15.75" customHeight="1" x14ac:dyDescent="0.3">
      <c r="B99" s="12"/>
      <c r="C99" s="13"/>
      <c r="D99" s="14"/>
      <c r="E99" s="15"/>
      <c r="F99" s="16"/>
      <c r="G99" s="73" t="str">
        <f>IFERROR(IF('Dic-24'!$F99="","-",VLOOKUP('Dic-24'!$F99,Lista_CUIT!$A$1:$D$2241,2,0)),"CUIT NO CARGADO")</f>
        <v>-</v>
      </c>
      <c r="H99" s="74"/>
      <c r="I99" s="74"/>
      <c r="J99" s="74"/>
      <c r="K99" s="74"/>
      <c r="L99" s="74">
        <f>SUM('Dic-24'!$H99:$K99)</f>
        <v>0</v>
      </c>
      <c r="M99" s="52"/>
    </row>
    <row r="100" spans="2:13" ht="15.75" customHeight="1" x14ac:dyDescent="0.3">
      <c r="B100" s="12"/>
      <c r="C100" s="13"/>
      <c r="D100" s="14"/>
      <c r="E100" s="15"/>
      <c r="F100" s="16"/>
      <c r="G100" s="73" t="str">
        <f>IFERROR(IF('Dic-24'!$F100="","-",VLOOKUP('Dic-24'!$F100,Lista_CUIT!$A$1:$D$2241,2,0)),"CUIT NO CARGADO")</f>
        <v>-</v>
      </c>
      <c r="H100" s="74"/>
      <c r="I100" s="74"/>
      <c r="J100" s="74"/>
      <c r="K100" s="74"/>
      <c r="L100" s="74">
        <f>SUM('Dic-24'!$H100:$K100)</f>
        <v>0</v>
      </c>
      <c r="M100" s="52"/>
    </row>
    <row r="101" spans="2:13" ht="15.75" customHeight="1" x14ac:dyDescent="0.3">
      <c r="B101" s="12"/>
      <c r="C101" s="13"/>
      <c r="D101" s="14"/>
      <c r="E101" s="15"/>
      <c r="F101" s="16"/>
      <c r="G101" s="73" t="str">
        <f>IFERROR(IF('Dic-24'!$F101="","-",VLOOKUP('Dic-24'!$F101,Lista_CUIT!$A$1:$D$2241,2,0)),"CUIT NO CARGADO")</f>
        <v>-</v>
      </c>
      <c r="H101" s="74"/>
      <c r="I101" s="74"/>
      <c r="J101" s="74"/>
      <c r="K101" s="74"/>
      <c r="L101" s="74">
        <f>SUM('Dic-24'!$H101:$K101)</f>
        <v>0</v>
      </c>
      <c r="M101" s="52"/>
    </row>
    <row r="102" spans="2:13" ht="15.75" customHeight="1" x14ac:dyDescent="0.3">
      <c r="B102" s="68" t="s">
        <v>1343</v>
      </c>
      <c r="C102" s="69"/>
      <c r="D102" s="69"/>
      <c r="E102" s="69"/>
      <c r="F102" s="69"/>
      <c r="G102" s="69"/>
      <c r="H102" s="75">
        <f>SUBTOTAL(109,'Dic-24'!$H$96:$H$101)</f>
        <v>0</v>
      </c>
      <c r="I102" s="75">
        <f>SUBTOTAL(109,'Dic-24'!$I$96:$I$101)</f>
        <v>0</v>
      </c>
      <c r="J102" s="76">
        <f>SUBTOTAL(109,'Dic-24'!$J$96:$J$101)</f>
        <v>0</v>
      </c>
      <c r="K102" s="76">
        <f>SUBTOTAL(109,'Dic-24'!$K$96:$K$101)</f>
        <v>0</v>
      </c>
      <c r="L102" s="76">
        <f>SUBTOTAL(109,'Dic-24'!$L$96:$L$101)</f>
        <v>0</v>
      </c>
      <c r="M102" s="72">
        <f>SUBTOTAL(103,'Dic-24'!$M$96:$M$101)</f>
        <v>0</v>
      </c>
    </row>
    <row r="103" spans="2:13" ht="15.75" customHeight="1" x14ac:dyDescent="0.3"/>
    <row r="104" spans="2:13" ht="15.75" customHeight="1" x14ac:dyDescent="0.3">
      <c r="B104" s="485" t="s">
        <v>1373</v>
      </c>
      <c r="C104" s="486"/>
    </row>
    <row r="105" spans="2:13" ht="15.75" customHeight="1" x14ac:dyDescent="0.3">
      <c r="B105" s="45" t="s">
        <v>1322</v>
      </c>
      <c r="C105" s="46" t="s">
        <v>1323</v>
      </c>
      <c r="D105" s="46" t="s">
        <v>1366</v>
      </c>
      <c r="E105" s="46" t="s">
        <v>1367</v>
      </c>
      <c r="F105" s="46" t="s">
        <v>0</v>
      </c>
      <c r="G105" s="46" t="s">
        <v>1</v>
      </c>
      <c r="H105" s="46" t="s">
        <v>1374</v>
      </c>
      <c r="I105" s="46" t="s">
        <v>1348</v>
      </c>
      <c r="J105" s="46" t="s">
        <v>1376</v>
      </c>
      <c r="K105" s="46" t="s">
        <v>1377</v>
      </c>
      <c r="L105" s="46" t="s">
        <v>1334</v>
      </c>
      <c r="M105" s="47" t="s">
        <v>1437</v>
      </c>
    </row>
    <row r="106" spans="2:13" ht="15.75" customHeight="1" x14ac:dyDescent="0.3">
      <c r="B106" s="12">
        <v>45630</v>
      </c>
      <c r="C106" s="13"/>
      <c r="D106" s="14"/>
      <c r="E106" s="15"/>
      <c r="F106" s="16">
        <v>55000000050</v>
      </c>
      <c r="G106" s="73"/>
      <c r="H106" s="74">
        <v>11520</v>
      </c>
      <c r="I106" s="74"/>
      <c r="J106" s="77"/>
      <c r="K106" s="74">
        <v>1012.5</v>
      </c>
      <c r="L106" s="74">
        <f>Table_60[[#This Row],[USD]]*Table_60[[#This Row],[TIPO DE CAMBIO2]]</f>
        <v>11664000</v>
      </c>
      <c r="M106" s="52"/>
    </row>
    <row r="107" spans="2:13" ht="15.75" customHeight="1" x14ac:dyDescent="0.3">
      <c r="B107" s="12">
        <v>45645</v>
      </c>
      <c r="C107" s="13"/>
      <c r="D107" s="14"/>
      <c r="E107" s="15"/>
      <c r="F107" s="16">
        <v>55000000050</v>
      </c>
      <c r="G107" s="73"/>
      <c r="H107" s="74">
        <v>1920</v>
      </c>
      <c r="I107" s="74"/>
      <c r="J107" s="74"/>
      <c r="K107" s="74">
        <v>1022.5</v>
      </c>
      <c r="L107" s="74">
        <f>Table_60[[#This Row],[USD]]*Table_60[[#This Row],[TIPO DE CAMBIO2]]</f>
        <v>1963200</v>
      </c>
      <c r="M107" s="52"/>
    </row>
    <row r="108" spans="2:13" ht="15.75" customHeight="1" x14ac:dyDescent="0.3">
      <c r="B108" s="68"/>
      <c r="C108" s="69"/>
      <c r="D108" s="69"/>
      <c r="E108" s="69"/>
      <c r="F108" s="69"/>
      <c r="G108" s="190" t="str">
        <f>IFERROR(IF('Dic-24'!$F108="","-",VLOOKUP('Dic-24'!$F108,Lista_CUIT!$A$1:$D$2241,2,0)),"CUIT NO CARGADO")</f>
        <v>-</v>
      </c>
      <c r="H108" s="75"/>
      <c r="I108" s="75"/>
      <c r="J108" s="76"/>
      <c r="K108" s="76"/>
      <c r="L108" s="76"/>
      <c r="M108" s="72">
        <f>SUBTOTAL(103,'Abr-24'!$M$103:$M$106)</f>
        <v>0</v>
      </c>
    </row>
    <row r="109" spans="2:13" ht="15.75" customHeight="1" x14ac:dyDescent="0.3">
      <c r="B109" s="68" t="s">
        <v>1343</v>
      </c>
      <c r="C109" s="69"/>
      <c r="D109" s="69"/>
      <c r="E109" s="69"/>
      <c r="F109" s="69"/>
      <c r="G109" s="69"/>
      <c r="H109" s="75">
        <f>SUBTOTAL(109,'Dic-24'!$H$106:$H$108)</f>
        <v>13440</v>
      </c>
      <c r="I109" s="75">
        <f>SUBTOTAL(109,'Dic-24'!$I$106:$I$108)</f>
        <v>0</v>
      </c>
      <c r="J109" s="76">
        <f>SUBTOTAL(109,'Dic-24'!$J$106:$J$108)</f>
        <v>0</v>
      </c>
      <c r="K109" s="76">
        <f>SUBTOTAL(109,'Dic-24'!$K$106:$K$108)</f>
        <v>2035</v>
      </c>
      <c r="L109" s="76">
        <f>SUM(L106:L107)</f>
        <v>13627200</v>
      </c>
      <c r="M109" s="72">
        <f>SUBTOTAL(103,'Dic-24'!$M$106:$M$108)</f>
        <v>0</v>
      </c>
    </row>
    <row r="110" spans="2:13" ht="15.75" customHeight="1" x14ac:dyDescent="0.3"/>
    <row r="111" spans="2:13" ht="15.75" customHeight="1" x14ac:dyDescent="0.3"/>
    <row r="112" spans="2:13" ht="15.75" customHeight="1" x14ac:dyDescent="0.3"/>
    <row r="113" spans="3:12" ht="15.75" customHeight="1" x14ac:dyDescent="0.3"/>
    <row r="114" spans="3:12" ht="15.75" customHeight="1" x14ac:dyDescent="0.3"/>
    <row r="115" spans="3:12" ht="15.75" customHeight="1" thickBot="1" x14ac:dyDescent="0.35"/>
    <row r="116" spans="3:12" ht="15.75" customHeight="1" thickTop="1" x14ac:dyDescent="0.3">
      <c r="C116" s="487" t="s">
        <v>1380</v>
      </c>
      <c r="D116" s="507"/>
      <c r="E116" s="507"/>
      <c r="F116" s="507"/>
      <c r="G116" s="508"/>
      <c r="H116" s="88"/>
      <c r="I116" s="88"/>
      <c r="J116" s="88"/>
    </row>
    <row r="117" spans="3:12" ht="15.75" customHeight="1" x14ac:dyDescent="0.3">
      <c r="C117" s="89" t="s">
        <v>1381</v>
      </c>
      <c r="D117" s="90" t="s">
        <v>1382</v>
      </c>
      <c r="E117" s="90" t="s">
        <v>1376</v>
      </c>
      <c r="F117" s="90" t="s">
        <v>0</v>
      </c>
      <c r="G117" s="90" t="s">
        <v>1</v>
      </c>
      <c r="H117" s="91" t="s">
        <v>1383</v>
      </c>
      <c r="I117" s="91" t="s">
        <v>1384</v>
      </c>
      <c r="J117" s="91" t="s">
        <v>1385</v>
      </c>
      <c r="K117" s="91" t="s">
        <v>1386</v>
      </c>
      <c r="L117" s="91" t="s">
        <v>1387</v>
      </c>
    </row>
    <row r="118" spans="3:12" ht="15.75" customHeight="1" x14ac:dyDescent="0.3">
      <c r="C118" s="92">
        <v>44691</v>
      </c>
      <c r="D118" s="93">
        <v>11694</v>
      </c>
      <c r="E118" s="93"/>
      <c r="F118" s="39">
        <v>30506730038</v>
      </c>
      <c r="G118" s="40" t="str">
        <f>IFERROR(IF('Dic-24'!$F118="","-",VLOOKUP('Dic-24'!$F118,Lista_CUIT!$A$1:$D$2241,2,0)),"CUIT NO CARGADO")</f>
        <v>S.A. IMP. Y EXPO.  PATAGONIA</v>
      </c>
      <c r="H118" s="94"/>
      <c r="I118" s="94">
        <v>9597.94</v>
      </c>
      <c r="J118" s="94">
        <v>914.09</v>
      </c>
      <c r="K118" s="94"/>
      <c r="L118" s="94"/>
    </row>
    <row r="119" spans="3:12" ht="15.75" customHeight="1" x14ac:dyDescent="0.3">
      <c r="C119" s="92"/>
      <c r="D119" s="93">
        <v>11695</v>
      </c>
      <c r="E119" s="93"/>
      <c r="F119" s="39"/>
      <c r="G119" s="40" t="str">
        <f>IFERROR(IF('Dic-24'!$F119="","-",VLOOKUP('Dic-24'!$F119,Lista_CUIT!$A$1:$D$2241,2,0)),"CUIT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3">
      <c r="C120" s="92"/>
      <c r="D120" s="93">
        <v>11696</v>
      </c>
      <c r="E120" s="93"/>
      <c r="F120" s="39"/>
      <c r="G120" s="40" t="str">
        <f>IFERROR(IF('Dic-24'!$F120="","-",VLOOKUP('Dic-24'!$F120,Lista_CUIT!$A$1:$D$2241,2,0)),"CUIT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3">
      <c r="C121" s="92"/>
      <c r="D121" s="93">
        <v>11697</v>
      </c>
      <c r="E121" s="93"/>
      <c r="F121" s="39"/>
      <c r="G121" s="40" t="str">
        <f>IFERROR(IF('Dic-24'!$F121="","-",VLOOKUP('Dic-24'!$F121,Lista_CUIT!$A$1:$D$2241,2,0)),"CUIT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3">
      <c r="C122" s="3"/>
      <c r="D122" s="93">
        <v>11698</v>
      </c>
      <c r="E122" s="93"/>
      <c r="F122" s="3"/>
      <c r="G122" s="40" t="str">
        <f>IFERROR(IF('Dic-24'!$F122="","-",VLOOKUP('Dic-24'!$F122,Lista_CUIT!$A$1:$D$2241,2,0)),"CUIT NO CARGADO")</f>
        <v>-</v>
      </c>
      <c r="H122" s="3"/>
      <c r="I122" s="3"/>
      <c r="J122" s="3"/>
      <c r="K122" s="3"/>
      <c r="L122" s="3"/>
    </row>
    <row r="123" spans="3:12" ht="15.75" customHeight="1" x14ac:dyDescent="0.3">
      <c r="C123" s="145"/>
    </row>
    <row r="124" spans="3:12" ht="15.75" customHeight="1" x14ac:dyDescent="0.3"/>
    <row r="125" spans="3:12" ht="15.75" customHeight="1" x14ac:dyDescent="0.3"/>
    <row r="126" spans="3:12" ht="15.75" customHeight="1" x14ac:dyDescent="0.3"/>
    <row r="127" spans="3:12" ht="15.75" customHeight="1" x14ac:dyDescent="0.3"/>
    <row r="128" spans="3:1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1">
    <mergeCell ref="P4:R4"/>
    <mergeCell ref="D46:L46"/>
    <mergeCell ref="B104:C104"/>
    <mergeCell ref="C116:G116"/>
    <mergeCell ref="B3:E3"/>
    <mergeCell ref="B4:E4"/>
    <mergeCell ref="G4:H4"/>
    <mergeCell ref="D55:K55"/>
    <mergeCell ref="B79:J79"/>
    <mergeCell ref="K79:M79"/>
    <mergeCell ref="B81:C81"/>
    <mergeCell ref="B94:C94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H96:L101 H106:I106 K106:L106 H107:L107" xr:uid="{00000000-0002-0000-0900-000000000000}">
      <formula1>IF($C96=8,H96&lt;0,H96&gt;=0)</formula1>
    </dataValidation>
    <dataValidation type="decimal" allowBlank="1" showErrorMessage="1" sqref="E57:E72 D83:D91 D96:D101 D106:D107 D9:D40" xr:uid="{00000000-0002-0000-0900-000001000000}">
      <formula1>1</formula1>
      <formula2>9999</formula2>
    </dataValidation>
    <dataValidation type="custom" allowBlank="1" showErrorMessage="1" sqref="L83:L84" xr:uid="{00000000-0002-0000-0900-000002000000}">
      <formula1>IF($C9=3,L9&lt;0,L9&gt;=0)</formula1>
    </dataValidation>
    <dataValidation type="decimal" allowBlank="1" showErrorMessage="1" sqref="C106:C107" xr:uid="{00000000-0002-0000-0900-000003000000}">
      <formula1>80</formula1>
      <formula2>80</formula2>
    </dataValidation>
    <dataValidation type="date" allowBlank="1" showErrorMessage="1" sqref="B9:B40 D48:D50 D57:D72 B83:B91 B96:B101 B106:B107 B43:B45" xr:uid="{00000000-0002-0000-0900-000004000000}">
      <formula1>40179</formula1>
      <formula2>TODAY()</formula2>
    </dataValidation>
    <dataValidation type="decimal" allowBlank="1" showErrorMessage="1" sqref="G57:G72 F83:F91 F96:F101 F106:F107 F9:F40" xr:uid="{00000000-0002-0000-0900-000005000000}">
      <formula1>20000000000</formula1>
      <formula2>33999999999</formula2>
    </dataValidation>
    <dataValidation type="custom" allowBlank="1" showErrorMessage="1" sqref="L85:L87" xr:uid="{00000000-0002-0000-0900-000006000000}">
      <formula1>IF($C13=3,L13&lt;0,L13&gt;=0)</formula1>
    </dataValidation>
    <dataValidation type="decimal" allowBlank="1" showErrorMessage="1" sqref="C96:C101" xr:uid="{00000000-0002-0000-0900-000007000000}">
      <formula1>6</formula1>
      <formula2>8</formula2>
    </dataValidation>
    <dataValidation type="decimal" allowBlank="1" showErrorMessage="1" sqref="F57:F72 E83:E91 E96:E101 E106:E107 E9:E40" xr:uid="{00000000-0002-0000-0900-000008000000}">
      <formula1>1</formula1>
      <formula2>99999999</formula2>
    </dataValidation>
    <dataValidation type="decimal" allowBlank="1" showErrorMessage="1" sqref="C83:C91 C9:C40 C43:C45" xr:uid="{00000000-0002-0000-0900-000009000000}">
      <formula1>1</formula1>
      <formula2>3</formula2>
    </dataValidation>
    <dataValidation type="custom" allowBlank="1" showErrorMessage="1" sqref="H89:K89 H85:K85 H87:K87 H83 J83:K83" xr:uid="{00000000-0002-0000-0900-00000A000000}">
      <formula1>IF($C83=3,H83&lt;0,H83&gt;=0)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0" xr:uid="{00000000-0002-0000-0900-00000B000000}">
      <formula1>IF($C9=3,H9&lt;0,H9&gt;=0)</formula1>
    </dataValidation>
    <dataValidation type="custom" allowBlank="1" showErrorMessage="1" sqref="L88" xr:uid="{00000000-0002-0000-0900-00000C000000}">
      <formula1>IF(#REF!=3,#REF!&lt;0,#REF!&gt;=0)</formula1>
    </dataValidation>
    <dataValidation type="custom" allowBlank="1" showErrorMessage="1" sqref="L89" xr:uid="{00000000-0002-0000-0900-00000D000000}">
      <formula1>IF($C42=3,L42&lt;0,L42&gt;=0)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DE9D9"/>
  </sheetPr>
  <dimension ref="A1:Z992"/>
  <sheetViews>
    <sheetView showGridLines="0" topLeftCell="J1" zoomScale="80" zoomScaleNormal="80" workbookViewId="0">
      <selection activeCell="J102" sqref="J102"/>
    </sheetView>
  </sheetViews>
  <sheetFormatPr baseColWidth="10" defaultColWidth="14.44140625" defaultRowHeight="15" customHeight="1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14.109375" customWidth="1"/>
    <col min="12" max="12" width="14" customWidth="1"/>
    <col min="13" max="13" width="13.44140625" customWidth="1"/>
    <col min="14" max="14" width="15.88671875" customWidth="1"/>
    <col min="15" max="15" width="13.109375" customWidth="1"/>
    <col min="16" max="16" width="17.4414062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97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EDATE('Abr-24'!N1,9)</f>
        <v>45292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SUM('Ene-25'!$H$32)+'Ene-25'!$G$42</f>
        <v>6556325.1500000004</v>
      </c>
      <c r="C4" s="476"/>
      <c r="D4" s="476"/>
      <c r="E4" s="477"/>
      <c r="F4" s="8"/>
      <c r="G4" s="491">
        <f>'Ene-25'!$I$32+'Ene-25'!$J$32+'Ene-25'!$K$32+'Ene-25'!$H$42+'Ene-25'!$I$42</f>
        <v>1378703.2478999998</v>
      </c>
      <c r="H4" s="477"/>
      <c r="I4" s="8"/>
      <c r="J4" s="494">
        <f>'Ene-25'!$H$81+'Ene-25'!$H$92</f>
        <v>70398772.5</v>
      </c>
      <c r="K4" s="477"/>
      <c r="L4" s="8"/>
      <c r="M4" s="494">
        <f>'Ene-25'!$I$81+'Ene-25'!$J$81+'Ene-25'!$I$92+'Ene-25'!$J$92</f>
        <v>8471588.3949999996</v>
      </c>
      <c r="N4" s="477"/>
      <c r="O4" s="8"/>
      <c r="P4" s="483">
        <f>G4-M4</f>
        <v>-7092885.1470999997</v>
      </c>
      <c r="Q4" s="476"/>
      <c r="R4" s="477"/>
    </row>
    <row r="5" spans="1:19" ht="12.75" customHeight="1" x14ac:dyDescent="0.3"/>
    <row r="6" spans="1:19" ht="10.5" customHeight="1" x14ac:dyDescent="0.3"/>
    <row r="7" spans="1:19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ht="14.4" x14ac:dyDescent="0.3">
      <c r="B9" s="12">
        <v>45658</v>
      </c>
      <c r="C9" s="13">
        <v>1</v>
      </c>
      <c r="D9" s="14">
        <v>3</v>
      </c>
      <c r="E9" s="15">
        <v>252125</v>
      </c>
      <c r="F9" s="16">
        <v>30707135596</v>
      </c>
      <c r="G9" s="17" t="str">
        <f>IFERROR(IF('Ene-25'!$F9="","-",VLOOKUP('Ene-25'!$F9,Lista_CUIT!$A$1:$D$2241,2,0)),"CUIT NO CARGADO")</f>
        <v>CITILAN ARGENTINA S.A.</v>
      </c>
      <c r="H9" s="18">
        <v>25469.4</v>
      </c>
      <c r="I9" s="23">
        <f>IF('Ene-25'!$H9="","",'Ene-25'!$H9*0.21)</f>
        <v>5348.5740000000005</v>
      </c>
      <c r="J9" s="23"/>
      <c r="K9" s="23"/>
      <c r="L9" s="23"/>
      <c r="M9" s="23"/>
      <c r="N9" s="23"/>
      <c r="O9" s="23"/>
      <c r="P9" s="20">
        <f>SUM('Ene-25'!$H9:$O9)</f>
        <v>30817.974000000002</v>
      </c>
      <c r="Q9" s="21" t="str">
        <f>IFERROR(IF('Ene-25'!$F9="","-",VLOOKUP('Ene-25'!$F9,Lista_CUIT!$A$1:$D$2241,3,0)),"CUIT NO CARGADO")</f>
        <v>Telefonia</v>
      </c>
      <c r="R9" s="21">
        <f>IFERROR(IF('Ene-25'!$F9="","-",VLOOKUP('Ene-25'!$F9,Lista_CUIT!$A$1:$D$2241,4,0)),"CUIT NO CARGADO")</f>
        <v>0</v>
      </c>
    </row>
    <row r="10" spans="1:19" ht="14.4" x14ac:dyDescent="0.3">
      <c r="B10" s="12">
        <v>45658</v>
      </c>
      <c r="C10" s="13">
        <v>1</v>
      </c>
      <c r="D10" s="14">
        <v>3</v>
      </c>
      <c r="E10" s="15">
        <v>821</v>
      </c>
      <c r="F10" s="16">
        <v>30715402765</v>
      </c>
      <c r="G10" s="17" t="str">
        <f>IFERROR(IF('Ene-25'!$F10="","-",VLOOKUP('Ene-25'!$F10,Lista_CUIT!$A$1:$D$2241,2,0)),"CUIT NO CARGADO")</f>
        <v>RIO 265 S.R.L.</v>
      </c>
      <c r="H10" s="18">
        <v>78512.38</v>
      </c>
      <c r="I10" s="23">
        <f>IF('Ene-25'!$H10="","",'Ene-25'!$H10*0.21)</f>
        <v>16487.5998</v>
      </c>
      <c r="J10" s="23"/>
      <c r="K10" s="23"/>
      <c r="L10" s="23"/>
      <c r="M10" s="23"/>
      <c r="N10" s="23"/>
      <c r="O10" s="23"/>
      <c r="P10" s="20">
        <f>SUM('Ene-25'!$H10:$O10)</f>
        <v>94999.979800000001</v>
      </c>
      <c r="Q10" s="21" t="str">
        <f>IFERROR(IF('Ene-25'!$F10="","-",VLOOKUP('Ene-25'!$F10,Lista_CUIT!$A$1:$D$2241,3,0)),"CUIT NO CARGADO")</f>
        <v>GASTOS VARIOS</v>
      </c>
      <c r="R10" s="21">
        <f>IFERROR(IF('Ene-25'!$F10="","-",VLOOKUP('Ene-25'!$F10,Lista_CUIT!$A$1:$D$2241,4,0)),"CUIT NO CARGADO")</f>
        <v>0</v>
      </c>
    </row>
    <row r="11" spans="1:19" ht="14.4" x14ac:dyDescent="0.3">
      <c r="B11" s="12">
        <v>45666</v>
      </c>
      <c r="C11" s="13">
        <v>1</v>
      </c>
      <c r="D11" s="14">
        <v>18</v>
      </c>
      <c r="E11" s="15">
        <v>3215</v>
      </c>
      <c r="F11" s="16">
        <v>30709800635</v>
      </c>
      <c r="G11" s="17" t="str">
        <f>IFERROR(IF('Ene-25'!$F11="","-",VLOOKUP('Ene-25'!$F11,Lista_CUIT!$A$1:$D$2241,2,0)),"CUIT NO CARGADO")</f>
        <v>POMPIDOU BERSEL SA</v>
      </c>
      <c r="H11" s="18">
        <v>23169.42</v>
      </c>
      <c r="I11" s="23">
        <f>IF('Ene-25'!$H11="","",'Ene-25'!$H11*0.21)</f>
        <v>4865.578199999999</v>
      </c>
      <c r="J11" s="23"/>
      <c r="K11" s="23"/>
      <c r="L11" s="23"/>
      <c r="M11" s="23"/>
      <c r="N11" s="23"/>
      <c r="O11" s="23"/>
      <c r="P11" s="20">
        <f>SUM('Ene-25'!$H11:$O11)</f>
        <v>28034.998199999998</v>
      </c>
      <c r="Q11" s="21" t="str">
        <f>IFERROR(IF('Ene-25'!$F11="","-",VLOOKUP('Ene-25'!$F11,Lista_CUIT!$A$1:$D$2241,3,0)),"CUIT NO CARGADO")</f>
        <v>Gastos Oficina</v>
      </c>
      <c r="R11" s="21">
        <f>IFERROR(IF('Ene-25'!$F11="","-",VLOOKUP('Ene-25'!$F11,Lista_CUIT!$A$1:$D$2241,4,0)),"CUIT NO CARGADO")</f>
        <v>0</v>
      </c>
    </row>
    <row r="12" spans="1:19" ht="14.4" x14ac:dyDescent="0.3">
      <c r="B12" s="391">
        <v>45666</v>
      </c>
      <c r="C12" s="392">
        <v>1</v>
      </c>
      <c r="D12" s="393">
        <v>10</v>
      </c>
      <c r="E12" s="394">
        <v>41170</v>
      </c>
      <c r="F12" s="395">
        <v>20357275882</v>
      </c>
      <c r="G12" s="382" t="str">
        <f>IFERROR(IF('Ene-25'!$F12="","-",VLOOKUP('Ene-25'!$F12,Lista_CUIT!$A$1:$D$2241,2,0)),"CUIT NO CARGADO")</f>
        <v>LAVADERO BLANCANIEVES</v>
      </c>
      <c r="H12" s="416">
        <v>1212.4000000000001</v>
      </c>
      <c r="I12" s="23">
        <f>IF('Ene-25'!$H12="","",'Ene-25'!$H12*0.21)</f>
        <v>254.60400000000001</v>
      </c>
      <c r="J12" s="417"/>
      <c r="K12" s="417"/>
      <c r="L12" s="417"/>
      <c r="M12" s="417"/>
      <c r="N12" s="417"/>
      <c r="O12" s="417"/>
      <c r="P12" s="418">
        <f>SUM('Ene-25'!$H12:$O12)</f>
        <v>1467.0040000000001</v>
      </c>
      <c r="Q12" s="396" t="str">
        <f>IFERROR(IF('Ene-25'!$F12="","-",VLOOKUP('Ene-25'!$F12,Lista_CUIT!$A$1:$D$2241,3,0)),"CUIT NO CARGADO")</f>
        <v>Seg e Higiene</v>
      </c>
      <c r="R12" s="396">
        <f>IFERROR(IF('Ene-25'!$F12="","-",VLOOKUP('Ene-25'!$F12,Lista_CUIT!$A$1:$D$2241,4,0)),"CUIT NO CARGADO")</f>
        <v>0</v>
      </c>
    </row>
    <row r="13" spans="1:19" ht="14.4" x14ac:dyDescent="0.3">
      <c r="B13" s="12">
        <v>45666</v>
      </c>
      <c r="C13" s="13">
        <v>1</v>
      </c>
      <c r="D13" s="14">
        <v>7</v>
      </c>
      <c r="E13" s="15">
        <v>18844</v>
      </c>
      <c r="F13" s="16">
        <v>30633765827</v>
      </c>
      <c r="G13" s="17" t="str">
        <f>IFERROR(IF('Ene-25'!$F13="","-",VLOOKUP('Ene-25'!$F13,Lista_CUIT!$A$1:$D$2241,2,0)),"CUIT NO CARGADO")</f>
        <v>ALGABO SA</v>
      </c>
      <c r="H13" s="18">
        <v>1839.67</v>
      </c>
      <c r="I13" s="23">
        <f>IF('Ene-25'!$H13="","",'Ene-25'!$H13*0.21)</f>
        <v>386.33069999999998</v>
      </c>
      <c r="J13" s="23"/>
      <c r="K13" s="23"/>
      <c r="L13" s="23"/>
      <c r="M13" s="23"/>
      <c r="N13" s="23"/>
      <c r="O13" s="23"/>
      <c r="P13" s="20">
        <f>SUM('Ene-25'!$H13:$O13)</f>
        <v>2226.0007000000001</v>
      </c>
      <c r="Q13" s="21" t="str">
        <f>IFERROR(IF('Ene-25'!$F13="","-",VLOOKUP('Ene-25'!$F13,Lista_CUIT!$A$1:$D$2241,3,0)),"CUIT NO CARGADO")</f>
        <v>GASTOS VARIOS</v>
      </c>
      <c r="R13" s="21">
        <f>IFERROR(IF('Ene-25'!$F13="","-",VLOOKUP('Ene-25'!$F13,Lista_CUIT!$A$1:$D$2241,4,0)),"CUIT NO CARGADO")</f>
        <v>0</v>
      </c>
    </row>
    <row r="14" spans="1:19" ht="14.4" x14ac:dyDescent="0.3">
      <c r="B14" s="391">
        <v>45667</v>
      </c>
      <c r="C14" s="392">
        <v>1</v>
      </c>
      <c r="D14" s="393">
        <v>4</v>
      </c>
      <c r="E14" s="394">
        <v>46308</v>
      </c>
      <c r="F14" s="395">
        <v>23059002414</v>
      </c>
      <c r="G14" s="382" t="str">
        <f>IFERROR(IF('Ene-25'!$F14="","-",VLOOKUP('Ene-25'!$F14,Lista_CUIT!$A$1:$D$2241,2,0)),"CUIT NO CARGADO")</f>
        <v>AGUILAR DIANA ANGELA</v>
      </c>
      <c r="H14" s="416">
        <v>64565.45</v>
      </c>
      <c r="I14" s="23">
        <f>IF('Ene-25'!$H14="","",'Ene-25'!$H14*0.21)</f>
        <v>13558.744499999999</v>
      </c>
      <c r="J14" s="417"/>
      <c r="K14" s="417"/>
      <c r="L14" s="417"/>
      <c r="M14" s="417"/>
      <c r="N14" s="417"/>
      <c r="O14" s="417"/>
      <c r="P14" s="418">
        <f>SUM('Ene-25'!$H14:$O14)</f>
        <v>78124.194499999998</v>
      </c>
      <c r="Q14" s="396" t="str">
        <f>IFERROR(IF('Ene-25'!$F14="","-",VLOOKUP('Ene-25'!$F14,Lista_CUIT!$A$1:$D$2241,3,0)),"CUIT NO CARGADO")</f>
        <v>Gastos Oficina</v>
      </c>
      <c r="R14" s="396">
        <f>IFERROR(IF('Ene-25'!$F14="","-",VLOOKUP('Ene-25'!$F14,Lista_CUIT!$A$1:$D$2241,4,0)),"CUIT NO CARGADO")</f>
        <v>0</v>
      </c>
    </row>
    <row r="15" spans="1:19" ht="14.4" x14ac:dyDescent="0.3">
      <c r="B15" s="391">
        <v>45667</v>
      </c>
      <c r="C15" s="392">
        <v>1</v>
      </c>
      <c r="D15" s="393">
        <v>5</v>
      </c>
      <c r="E15" s="394">
        <v>632</v>
      </c>
      <c r="F15" s="395">
        <v>30717480666</v>
      </c>
      <c r="G15" s="382" t="str">
        <f>IFERROR(IF('Ene-25'!$F15="","-",VLOOKUP('Ene-25'!$F15,Lista_CUIT!$A$1:$D$2241,2,0)),"CUIT NO CARGADO")</f>
        <v>AGUACA MANA S. A.</v>
      </c>
      <c r="H15" s="416">
        <v>1905.5</v>
      </c>
      <c r="I15" s="23">
        <f>IF('Ene-25'!$H15="","",'Ene-25'!$H15*0.21)</f>
        <v>400.15499999999997</v>
      </c>
      <c r="J15" s="417"/>
      <c r="K15" s="417"/>
      <c r="L15" s="417"/>
      <c r="M15" s="417"/>
      <c r="N15" s="417"/>
      <c r="O15" s="417"/>
      <c r="P15" s="418">
        <f>SUM('Ene-25'!$H15:$O15)</f>
        <v>2305.6549999999997</v>
      </c>
      <c r="Q15" s="396" t="str">
        <f>IFERROR(IF('Ene-25'!$F15="","-",VLOOKUP('Ene-25'!$F15,Lista_CUIT!$A$1:$D$2241,3,0)),"CUIT NO CARGADO")</f>
        <v>Gastos Oficina</v>
      </c>
      <c r="R15" s="396">
        <f>IFERROR(IF('Ene-25'!$F15="","-",VLOOKUP('Ene-25'!$F15,Lista_CUIT!$A$1:$D$2241,4,0)),"CUIT NO CARGADO")</f>
        <v>0</v>
      </c>
    </row>
    <row r="16" spans="1:19" ht="14.4" x14ac:dyDescent="0.3">
      <c r="B16" s="391">
        <v>45667</v>
      </c>
      <c r="C16" s="392">
        <v>1</v>
      </c>
      <c r="D16" s="393">
        <v>8</v>
      </c>
      <c r="E16" s="394">
        <v>38316</v>
      </c>
      <c r="F16" s="395">
        <v>30709953482</v>
      </c>
      <c r="G16" s="382" t="str">
        <f>IFERROR(IF('Ene-25'!$F16="","-",VLOOKUP('Ene-25'!$F16,Lista_CUIT!$A$1:$D$2241,2,0)),"CUIT NO CARGADO")</f>
        <v>HONRE S.A</v>
      </c>
      <c r="H16" s="416">
        <v>7308.5</v>
      </c>
      <c r="I16" s="23">
        <f>IF('Ene-25'!$H16="","",'Ene-25'!$H16*0.21)</f>
        <v>1534.7849999999999</v>
      </c>
      <c r="J16" s="417"/>
      <c r="K16" s="417"/>
      <c r="L16" s="417"/>
      <c r="M16" s="417"/>
      <c r="N16" s="417"/>
      <c r="O16" s="417"/>
      <c r="P16" s="418">
        <f>SUM('Ene-25'!$H16:$O16)</f>
        <v>8843.2849999999999</v>
      </c>
      <c r="Q16" s="396" t="str">
        <f>IFERROR(IF('Ene-25'!$F16="","-",VLOOKUP('Ene-25'!$F16,Lista_CUIT!$A$1:$D$2241,3,0)),"CUIT NO CARGADO")</f>
        <v>GASTOS VARIOS</v>
      </c>
      <c r="R16" s="396">
        <f>IFERROR(IF('Ene-25'!$F16="","-",VLOOKUP('Ene-25'!$F16,Lista_CUIT!$A$1:$D$2241,4,0)),"CUIT NO CARGADO")</f>
        <v>0</v>
      </c>
    </row>
    <row r="17" spans="2:18" ht="14.4" x14ac:dyDescent="0.3">
      <c r="B17" s="391">
        <v>45668</v>
      </c>
      <c r="C17" s="392">
        <v>1</v>
      </c>
      <c r="D17" s="393">
        <v>2466</v>
      </c>
      <c r="E17" s="394">
        <v>743754</v>
      </c>
      <c r="F17" s="395">
        <v>30678814357</v>
      </c>
      <c r="G17" s="382" t="str">
        <f>IFERROR(IF('Ene-25'!$F17="","-",VLOOKUP('Ene-25'!$F17,Lista_CUIT!$A$1:$D$2241,2,0)),"CUIT NO CARGADO")</f>
        <v>TELEFONICA MOVILES ARG</v>
      </c>
      <c r="H17" s="416">
        <v>31249.439999999999</v>
      </c>
      <c r="I17" s="23"/>
      <c r="J17" s="417">
        <f>Table_62[[#This Row],[NETO GRAVADO]]*0.27</f>
        <v>8437.3487999999998</v>
      </c>
      <c r="K17" s="417"/>
      <c r="L17" s="417">
        <v>937.48</v>
      </c>
      <c r="M17" s="417"/>
      <c r="N17" s="417">
        <v>1594.46</v>
      </c>
      <c r="O17" s="417"/>
      <c r="P17" s="418">
        <f>SUM('Ene-25'!$H17:$O17)</f>
        <v>42218.728799999997</v>
      </c>
      <c r="Q17" s="396" t="str">
        <f>IFERROR(IF('Ene-25'!$F17="","-",VLOOKUP('Ene-25'!$F17,Lista_CUIT!$A$1:$D$2241,3,0)),"CUIT NO CARGADO")</f>
        <v>Telefonia</v>
      </c>
      <c r="R17" s="396">
        <f>IFERROR(IF('Ene-25'!$F17="","-",VLOOKUP('Ene-25'!$F17,Lista_CUIT!$A$1:$D$2241,4,0)),"CUIT NO CARGADO")</f>
        <v>0</v>
      </c>
    </row>
    <row r="18" spans="2:18" ht="14.4" x14ac:dyDescent="0.3">
      <c r="B18" s="12">
        <v>45671</v>
      </c>
      <c r="C18" s="13">
        <v>1</v>
      </c>
      <c r="D18" s="14">
        <v>3</v>
      </c>
      <c r="E18" s="15">
        <v>21966</v>
      </c>
      <c r="F18" s="16">
        <v>30707468161</v>
      </c>
      <c r="G18" s="17" t="str">
        <f>IFERROR(IF('Ene-25'!$F18="","-",VLOOKUP('Ene-25'!$F18,Lista_CUIT!$A$1:$D$2241,2,0)),"CUIT NO CARGADO")</f>
        <v>LASERTEC INGENIERIA SOCIEDAD ANONIMA</v>
      </c>
      <c r="H18" s="18">
        <v>370825</v>
      </c>
      <c r="I18" s="23">
        <f>IF('Ene-25'!$H18="","",'Ene-25'!$H18*0.21)</f>
        <v>77873.25</v>
      </c>
      <c r="J18" s="23"/>
      <c r="K18" s="23"/>
      <c r="L18" s="23"/>
      <c r="M18" s="23"/>
      <c r="N18" s="23">
        <v>29666</v>
      </c>
      <c r="O18" s="23"/>
      <c r="P18" s="20">
        <f>SUM('Ene-25'!$H18:$O18)</f>
        <v>478364.25</v>
      </c>
      <c r="Q18" s="21" t="str">
        <f>IFERROR(IF('Ene-25'!$F18="","-",VLOOKUP('Ene-25'!$F18,Lista_CUIT!$A$1:$D$2241,3,0)),"CUIT NO CARGADO")</f>
        <v>INSUMO</v>
      </c>
      <c r="R18" s="21">
        <f>IFERROR(IF('Ene-25'!$F18="","-",VLOOKUP('Ene-25'!$F18,Lista_CUIT!$A$1:$D$2241,4,0)),"CUIT NO CARGADO")</f>
        <v>0</v>
      </c>
    </row>
    <row r="19" spans="2:18" ht="14.4" x14ac:dyDescent="0.3">
      <c r="B19" s="391">
        <v>45671</v>
      </c>
      <c r="C19" s="392">
        <v>1</v>
      </c>
      <c r="D19" s="393">
        <v>2</v>
      </c>
      <c r="E19" s="394">
        <v>2988</v>
      </c>
      <c r="F19" s="395">
        <v>30709131733</v>
      </c>
      <c r="G19" s="382" t="str">
        <f>IFERROR(IF('Ene-25'!$F19="","-",VLOOKUP('Ene-25'!$F19,Lista_CUIT!$A$1:$D$2241,2,0)),"CUIT NO CARGADO")</f>
        <v>DIGAS SRL</v>
      </c>
      <c r="H19" s="416">
        <v>3470920</v>
      </c>
      <c r="I19" s="23">
        <f>IF('Ene-25'!$H19="","",'Ene-25'!$H19*0.21)</f>
        <v>728893.2</v>
      </c>
      <c r="J19" s="417"/>
      <c r="K19" s="417"/>
      <c r="L19" s="417"/>
      <c r="M19" s="417"/>
      <c r="N19" s="417"/>
      <c r="O19" s="417"/>
      <c r="P19" s="418">
        <f>SUM('Ene-25'!$H19:$O19)</f>
        <v>4199813.2</v>
      </c>
      <c r="Q19" s="396" t="str">
        <f>IFERROR(IF('Ene-25'!$F19="","-",VLOOKUP('Ene-25'!$F19,Lista_CUIT!$A$1:$D$2241,3,0)),"CUIT NO CARGADO")</f>
        <v>INSUMO</v>
      </c>
      <c r="R19" s="396">
        <f>IFERROR(IF('Ene-25'!$F19="","-",VLOOKUP('Ene-25'!$F19,Lista_CUIT!$A$1:$D$2241,4,0)),"CUIT NO CARGADO")</f>
        <v>0</v>
      </c>
    </row>
    <row r="20" spans="2:18" ht="14.4" x14ac:dyDescent="0.3">
      <c r="B20" s="391">
        <v>45671</v>
      </c>
      <c r="C20" s="392">
        <v>1</v>
      </c>
      <c r="D20" s="393">
        <v>5</v>
      </c>
      <c r="E20" s="394">
        <v>11119</v>
      </c>
      <c r="F20" s="395">
        <v>20294907174</v>
      </c>
      <c r="G20" s="382" t="str">
        <f>IFERROR(IF('Ene-25'!$F20="","-",VLOOKUP('Ene-25'!$F20,Lista_CUIT!$A$1:$D$2241,2,0)),"CUIT NO CARGADO")</f>
        <v>ORTUÑO ALVAREZ HECTOR MANUEL</v>
      </c>
      <c r="H20" s="416">
        <v>30966.94</v>
      </c>
      <c r="I20" s="23">
        <f>IF('Ene-25'!$H20="","",'Ene-25'!$H20*0.21)</f>
        <v>6503.0573999999997</v>
      </c>
      <c r="J20" s="417"/>
      <c r="K20" s="417"/>
      <c r="L20" s="417"/>
      <c r="M20" s="417"/>
      <c r="N20" s="417"/>
      <c r="O20" s="417"/>
      <c r="P20" s="418">
        <f>SUM('Ene-25'!$H20:$O20)</f>
        <v>37469.9974</v>
      </c>
      <c r="Q20" s="396" t="str">
        <f>IFERROR(IF('Ene-25'!$F20="","-",VLOOKUP('Ene-25'!$F20,Lista_CUIT!$A$1:$D$2241,3,0)),"CUIT NO CARGADO")</f>
        <v>Ropa de Trabajo</v>
      </c>
      <c r="R20" s="396">
        <f>IFERROR(IF('Ene-25'!$F20="","-",VLOOKUP('Ene-25'!$F20,Lista_CUIT!$A$1:$D$2241,4,0)),"CUIT NO CARGADO")</f>
        <v>0</v>
      </c>
    </row>
    <row r="21" spans="2:18" ht="15.75" customHeight="1" x14ac:dyDescent="0.3">
      <c r="B21" s="391">
        <v>45673</v>
      </c>
      <c r="C21" s="392">
        <v>1</v>
      </c>
      <c r="D21" s="393">
        <v>106</v>
      </c>
      <c r="E21" s="394">
        <v>806709</v>
      </c>
      <c r="F21" s="395">
        <v>30594494187</v>
      </c>
      <c r="G21" s="382" t="str">
        <f>IFERROR(IF('Ene-25'!$F21="","-",VLOOKUP('Ene-25'!$F21,Lista_CUIT!$A$1:$D$2241,2,0)),"CUIT NO CARGADO")</f>
        <v>FEDERAL EXPRESS CORPORATION</v>
      </c>
      <c r="H21" s="416">
        <v>0</v>
      </c>
      <c r="I21" s="23">
        <f>IF('Ene-25'!$H21="","",'Ene-25'!$H21*0.21)</f>
        <v>0</v>
      </c>
      <c r="J21" s="417"/>
      <c r="K21" s="417"/>
      <c r="L21" s="417"/>
      <c r="M21" s="417"/>
      <c r="N21" s="417"/>
      <c r="O21" s="417">
        <v>189557.24</v>
      </c>
      <c r="P21" s="418">
        <f>SUM('Ene-25'!$H21:$O21)</f>
        <v>189557.24</v>
      </c>
      <c r="Q21" s="396" t="str">
        <f>IFERROR(IF('Ene-25'!$F21="","-",VLOOKUP('Ene-25'!$F21,Lista_CUIT!$A$1:$D$2241,3,0)),"CUIT NO CARGADO")</f>
        <v>Gastos Importacion</v>
      </c>
      <c r="R21" s="396">
        <f>IFERROR(IF('Ene-25'!$F21="","-",VLOOKUP('Ene-25'!$F21,Lista_CUIT!$A$1:$D$2241,4,0)),"CUIT NO CARGADO")</f>
        <v>0</v>
      </c>
    </row>
    <row r="22" spans="2:18" ht="15.75" customHeight="1" x14ac:dyDescent="0.3">
      <c r="B22" s="391">
        <v>45673</v>
      </c>
      <c r="C22" s="392">
        <v>1</v>
      </c>
      <c r="D22" s="393">
        <v>106</v>
      </c>
      <c r="E22" s="394">
        <v>806710</v>
      </c>
      <c r="F22" s="395">
        <v>30594494187</v>
      </c>
      <c r="G22" s="382" t="str">
        <f>IFERROR(IF('Ene-25'!$F22="","-",VLOOKUP('Ene-25'!$F22,Lista_CUIT!$A$1:$D$2241,2,0)),"CUIT NO CARGADO")</f>
        <v>FEDERAL EXPRESS CORPORATION</v>
      </c>
      <c r="H22" s="416">
        <v>0</v>
      </c>
      <c r="I22" s="23">
        <f>IF('Ene-25'!$H22="","",'Ene-25'!$H22*0.21)</f>
        <v>0</v>
      </c>
      <c r="J22" s="417"/>
      <c r="K22" s="417"/>
      <c r="L22" s="417"/>
      <c r="M22" s="417"/>
      <c r="N22" s="417"/>
      <c r="O22" s="417">
        <v>106442.38</v>
      </c>
      <c r="P22" s="418">
        <f>SUM('Ene-25'!$H22:$O22)</f>
        <v>106442.38</v>
      </c>
      <c r="Q22" s="396" t="str">
        <f>IFERROR(IF('Ene-25'!$F22="","-",VLOOKUP('Ene-25'!$F22,Lista_CUIT!$A$1:$D$2241,3,0)),"CUIT NO CARGADO")</f>
        <v>Gastos Importacion</v>
      </c>
      <c r="R22" s="396">
        <f>IFERROR(IF('Ene-25'!$F22="","-",VLOOKUP('Ene-25'!$F22,Lista_CUIT!$A$1:$D$2241,4,0)),"CUIT NO CARGADO")</f>
        <v>0</v>
      </c>
    </row>
    <row r="23" spans="2:18" ht="15.75" customHeight="1" x14ac:dyDescent="0.3">
      <c r="B23" s="12">
        <v>45674</v>
      </c>
      <c r="C23" s="13">
        <v>1</v>
      </c>
      <c r="D23" s="14">
        <v>3</v>
      </c>
      <c r="E23" s="15">
        <v>65165</v>
      </c>
      <c r="F23" s="16">
        <v>30716995883</v>
      </c>
      <c r="G23" s="17" t="str">
        <f>IFERROR(IF('Ene-25'!$F23="","-",VLOOKUP('Ene-25'!$F23,Lista_CUIT!$A$1:$D$2241,2,0)),"CUIT NO CARGADO")</f>
        <v>VML ONLINE S.R.L</v>
      </c>
      <c r="H23" s="18">
        <v>25009.58</v>
      </c>
      <c r="I23" s="23">
        <f>IF('Ene-25'!$H23="","",'Ene-25'!$H23*0.21)</f>
        <v>5252.0118000000002</v>
      </c>
      <c r="J23" s="23"/>
      <c r="K23" s="23"/>
      <c r="L23" s="23"/>
      <c r="M23" s="23"/>
      <c r="N23" s="23"/>
      <c r="O23" s="23"/>
      <c r="P23" s="20">
        <f>SUM('Ene-25'!$H23:$O23)</f>
        <v>30261.591800000002</v>
      </c>
      <c r="Q23" s="21" t="str">
        <f>IFERROR(IF('Ene-25'!$F23="","-",VLOOKUP('Ene-25'!$F23,Lista_CUIT!$A$1:$D$2241,3,0)),"CUIT NO CARGADO")</f>
        <v>INSUMO</v>
      </c>
      <c r="R23" s="21">
        <f>IFERROR(IF('Ene-25'!$F23="","-",VLOOKUP('Ene-25'!$F23,Lista_CUIT!$A$1:$D$2241,4,0)),"CUIT NO CARGADO")</f>
        <v>0</v>
      </c>
    </row>
    <row r="24" spans="2:18" ht="15.75" customHeight="1" x14ac:dyDescent="0.3">
      <c r="B24" s="391">
        <v>45677</v>
      </c>
      <c r="C24" s="392">
        <v>1</v>
      </c>
      <c r="D24" s="393">
        <v>1</v>
      </c>
      <c r="E24" s="394">
        <v>897</v>
      </c>
      <c r="F24" s="395">
        <v>30715048066</v>
      </c>
      <c r="G24" s="382" t="str">
        <f>IFERROR(IF('Ene-25'!$F24="","-",VLOOKUP('Ene-25'!$F24,Lista_CUIT!$A$1:$D$2241,2,0)),"CUIT NO CARGADO")</f>
        <v>ROLLS Y EMPANADAS SA</v>
      </c>
      <c r="H24" s="416">
        <v>748410</v>
      </c>
      <c r="I24" s="23">
        <f>IF('Ene-25'!$H24="","",'Ene-25'!$H24*0.21)</f>
        <v>157166.1</v>
      </c>
      <c r="J24" s="417"/>
      <c r="K24" s="417"/>
      <c r="L24" s="417"/>
      <c r="M24" s="417"/>
      <c r="N24" s="417"/>
      <c r="O24" s="417"/>
      <c r="P24" s="418">
        <f>SUM('Ene-25'!$H24:$O24)</f>
        <v>905576.1</v>
      </c>
      <c r="Q24" s="396" t="str">
        <f>IFERROR(IF('Ene-25'!$F24="","-",VLOOKUP('Ene-25'!$F24,Lista_CUIT!$A$1:$D$2241,3,0)),"CUIT NO CARGADO")</f>
        <v>CATERING</v>
      </c>
      <c r="R24" s="396">
        <f>IFERROR(IF('Ene-25'!$F24="","-",VLOOKUP('Ene-25'!$F24,Lista_CUIT!$A$1:$D$2241,4,0)),"CUIT NO CARGADO")</f>
        <v>0</v>
      </c>
    </row>
    <row r="25" spans="2:18" ht="15.75" customHeight="1" x14ac:dyDescent="0.3">
      <c r="B25" s="12">
        <v>45679</v>
      </c>
      <c r="C25" s="13">
        <v>1</v>
      </c>
      <c r="D25" s="14">
        <v>4</v>
      </c>
      <c r="E25" s="15">
        <v>1401702</v>
      </c>
      <c r="F25" s="16">
        <v>30716620634</v>
      </c>
      <c r="G25" s="17" t="str">
        <f>IFERROR(IF('Ene-25'!$F25="","-",VLOOKUP('Ene-25'!$F25,Lista_CUIT!$A$1:$D$2241,2,0)),"CUIT NO CARGADO")</f>
        <v>FIRSTLABEL SRL</v>
      </c>
      <c r="H25" s="18">
        <v>30614.49</v>
      </c>
      <c r="I25" s="23">
        <f>IF('Ene-25'!$H25="","",'Ene-25'!$H25*0.21)</f>
        <v>6429.0429000000004</v>
      </c>
      <c r="J25" s="23"/>
      <c r="K25" s="23"/>
      <c r="L25" s="23"/>
      <c r="M25" s="23"/>
      <c r="N25" s="23"/>
      <c r="O25" s="23"/>
      <c r="P25" s="20">
        <f>SUM('Ene-25'!$H25:$O25)</f>
        <v>37043.532900000006</v>
      </c>
      <c r="Q25" s="21" t="str">
        <f>IFERROR(IF('Ene-25'!$F25="","-",VLOOKUP('Ene-25'!$F25,Lista_CUIT!$A$1:$D$2241,3,0)),"CUIT NO CARGADO")</f>
        <v>GASTOS VARIOS</v>
      </c>
      <c r="R25" s="21">
        <f>IFERROR(IF('Ene-25'!$F25="","-",VLOOKUP('Ene-25'!$F25,Lista_CUIT!$A$1:$D$2241,4,0)),"CUIT NO CARGADO")</f>
        <v>0</v>
      </c>
    </row>
    <row r="26" spans="2:18" ht="15.75" customHeight="1" x14ac:dyDescent="0.3">
      <c r="B26" s="12">
        <v>45680</v>
      </c>
      <c r="C26" s="13">
        <v>1</v>
      </c>
      <c r="D26" s="14">
        <v>7</v>
      </c>
      <c r="E26" s="15">
        <v>16007</v>
      </c>
      <c r="F26" s="16">
        <v>30538456876</v>
      </c>
      <c r="G26" s="17" t="str">
        <f>IFERROR(IF('Ene-25'!$F26="","-",VLOOKUP('Ene-25'!$F26,Lista_CUIT!$A$1:$D$2241,2,0)),"CUIT NO CARGADO")</f>
        <v>RIO DE JANEIRO SA</v>
      </c>
      <c r="H26" s="18">
        <v>28836.73</v>
      </c>
      <c r="I26" s="23">
        <f>IF('Ene-25'!$H26="","",'Ene-25'!$H26*0.21)</f>
        <v>6055.7132999999994</v>
      </c>
      <c r="J26" s="23"/>
      <c r="K26" s="23"/>
      <c r="L26" s="23"/>
      <c r="M26" s="23"/>
      <c r="N26" s="23"/>
      <c r="O26" s="23">
        <v>7110.56</v>
      </c>
      <c r="P26" s="20">
        <f>SUM('Ene-25'!$H26:$O26)</f>
        <v>42003.003299999997</v>
      </c>
      <c r="Q26" s="21" t="str">
        <f>IFERROR(IF('Ene-25'!$F26="","-",VLOOKUP('Ene-25'!$F26,Lista_CUIT!$A$1:$D$2241,3,0)),"CUIT NO CARGADO")</f>
        <v>COMBUSTIBLE</v>
      </c>
      <c r="R26" s="21">
        <f>IFERROR(IF('Ene-25'!$F26="","-",VLOOKUP('Ene-25'!$F26,Lista_CUIT!$A$1:$D$2241,4,0)),"CUIT NO CARGADO")</f>
        <v>0</v>
      </c>
    </row>
    <row r="27" spans="2:18" ht="15.75" customHeight="1" x14ac:dyDescent="0.3">
      <c r="B27" s="391">
        <v>45681</v>
      </c>
      <c r="C27" s="392">
        <v>1</v>
      </c>
      <c r="D27" s="393">
        <v>27</v>
      </c>
      <c r="E27" s="394">
        <v>4614</v>
      </c>
      <c r="F27" s="395">
        <v>33715908099</v>
      </c>
      <c r="G27" s="382" t="str">
        <f>IFERROR(IF('Ene-25'!$F27="","-",VLOOKUP('Ene-25'!$F27,Lista_CUIT!$A$1:$D$2241,2,0)),"CUIT NO CARGADO")</f>
        <v>TOULON S. A.</v>
      </c>
      <c r="H27" s="416">
        <v>57851.24</v>
      </c>
      <c r="I27" s="23">
        <f>IF('Ene-25'!$H27="","",'Ene-25'!$H27*0.21)</f>
        <v>12148.760399999999</v>
      </c>
      <c r="J27" s="417"/>
      <c r="K27" s="417"/>
      <c r="L27" s="417"/>
      <c r="M27" s="417"/>
      <c r="N27" s="417"/>
      <c r="O27" s="417"/>
      <c r="P27" s="418">
        <f>SUM('Ene-25'!$H27:$O27)</f>
        <v>70000.00039999999</v>
      </c>
      <c r="Q27" s="396" t="str">
        <f>IFERROR(IF('Ene-25'!$F27="","-",VLOOKUP('Ene-25'!$F27,Lista_CUIT!$A$1:$D$2241,3,0)),"CUIT NO CARGADO")</f>
        <v>mant vehiculos</v>
      </c>
      <c r="R27" s="396">
        <f>IFERROR(IF('Ene-25'!$F27="","-",VLOOKUP('Ene-25'!$F27,Lista_CUIT!$A$1:$D$2241,4,0)),"CUIT NO CARGADO")</f>
        <v>0</v>
      </c>
    </row>
    <row r="28" spans="2:18" ht="15.75" customHeight="1" x14ac:dyDescent="0.3">
      <c r="B28" s="12">
        <v>45684</v>
      </c>
      <c r="C28" s="13">
        <v>1</v>
      </c>
      <c r="D28" s="14">
        <v>2</v>
      </c>
      <c r="E28" s="15">
        <v>210</v>
      </c>
      <c r="F28" s="16">
        <v>20125142851</v>
      </c>
      <c r="G28" s="17" t="str">
        <f>IFERROR(IF('Ene-25'!$F28="","-",VLOOKUP('Ene-25'!$F28,Lista_CUIT!$A$1:$D$2241,2,0)),"CUIT NO CARGADO")</f>
        <v>FEDERICI NICOLAS JOSE</v>
      </c>
      <c r="H28" s="18">
        <v>330520.05</v>
      </c>
      <c r="I28" s="23">
        <f>IF('Ene-25'!$H28="","",'Ene-25'!$H28*0.21)</f>
        <v>69409.210500000001</v>
      </c>
      <c r="J28" s="23"/>
      <c r="K28" s="23"/>
      <c r="L28" s="23"/>
      <c r="M28" s="23"/>
      <c r="N28" s="23"/>
      <c r="O28" s="23"/>
      <c r="P28" s="20">
        <f>SUM('Ene-25'!$H28:$O28)</f>
        <v>399929.26049999997</v>
      </c>
      <c r="Q28" s="21" t="str">
        <f>IFERROR(IF('Ene-25'!$F28="","-",VLOOKUP('Ene-25'!$F28,Lista_CUIT!$A$1:$D$2241,3,0)),"CUIT NO CARGADO")</f>
        <v>INSUMO</v>
      </c>
      <c r="R28" s="21">
        <f>IFERROR(IF('Ene-25'!$F28="","-",VLOOKUP('Ene-25'!$F28,Lista_CUIT!$A$1:$D$2241,4,0)),"CUIT NO CARGADO")</f>
        <v>0</v>
      </c>
    </row>
    <row r="29" spans="2:18" ht="15.75" customHeight="1" x14ac:dyDescent="0.3">
      <c r="B29" s="391">
        <v>45687</v>
      </c>
      <c r="C29" s="392">
        <v>1</v>
      </c>
      <c r="D29" s="393">
        <v>5</v>
      </c>
      <c r="E29" s="394">
        <v>11354</v>
      </c>
      <c r="F29" s="395">
        <v>20294907174</v>
      </c>
      <c r="G29" s="382" t="str">
        <f>IFERROR(IF('Ene-25'!$F29="","-",VLOOKUP('Ene-25'!$F29,Lista_CUIT!$A$1:$D$2241,2,0)),"CUIT NO CARGADO")</f>
        <v>ORTUÑO ALVAREZ HECTOR MANUEL</v>
      </c>
      <c r="H29" s="416">
        <v>30966.94</v>
      </c>
      <c r="I29" s="23">
        <f>IF('Ene-25'!$H29="","",'Ene-25'!$H29*0.21)</f>
        <v>6503.0573999999997</v>
      </c>
      <c r="J29" s="417"/>
      <c r="K29" s="417"/>
      <c r="L29" s="417"/>
      <c r="M29" s="417"/>
      <c r="N29" s="417"/>
      <c r="O29" s="417"/>
      <c r="P29" s="418">
        <f>SUM('Ene-25'!$H29:$O29)</f>
        <v>37469.9974</v>
      </c>
      <c r="Q29" s="396" t="str">
        <f>IFERROR(IF('Ene-25'!$F29="","-",VLOOKUP('Ene-25'!$F29,Lista_CUIT!$A$1:$D$2241,3,0)),"CUIT NO CARGADO")</f>
        <v>Ropa de Trabajo</v>
      </c>
      <c r="R29" s="396">
        <f>IFERROR(IF('Ene-25'!$F29="","-",VLOOKUP('Ene-25'!$F29,Lista_CUIT!$A$1:$D$2241,4,0)),"CUIT NO CARGADO")</f>
        <v>0</v>
      </c>
    </row>
    <row r="30" spans="2:18" ht="15.75" customHeight="1" x14ac:dyDescent="0.3">
      <c r="B30" s="391">
        <v>45688</v>
      </c>
      <c r="C30" s="392">
        <v>1</v>
      </c>
      <c r="D30" s="393">
        <v>3</v>
      </c>
      <c r="E30" s="394">
        <v>332</v>
      </c>
      <c r="F30" s="395">
        <v>20921575743</v>
      </c>
      <c r="G30" s="382" t="str">
        <f>IFERROR(IF('Ene-25'!$F30="","-",VLOOKUP('Ene-25'!$F30,Lista_CUIT!$A$1:$D$2241,2,0)),"CUIT NO CARGADO")</f>
        <v>RIOS GOMEZ JOSE ANTONIO</v>
      </c>
      <c r="H30" s="416">
        <v>1089375</v>
      </c>
      <c r="I30" s="23">
        <f>IF('Ene-25'!$H30="","",'Ene-25'!$H30*0.21)</f>
        <v>228768.75</v>
      </c>
      <c r="J30" s="417"/>
      <c r="K30" s="417"/>
      <c r="L30" s="417"/>
      <c r="M30" s="417"/>
      <c r="N30" s="417"/>
      <c r="O30" s="417"/>
      <c r="P30" s="418">
        <f>SUM('Ene-25'!$H30:$O30)</f>
        <v>1318143.75</v>
      </c>
      <c r="Q30" s="396" t="str">
        <f>IFERROR(IF('Ene-25'!$F30="","-",VLOOKUP('Ene-25'!$F30,Lista_CUIT!$A$1:$D$2241,3,0)),"CUIT NO CARGADO")</f>
        <v>Papeleria</v>
      </c>
      <c r="R30" s="396">
        <f>IFERROR(IF('Ene-25'!$F30="","-",VLOOKUP('Ene-25'!$F30,Lista_CUIT!$A$1:$D$2241,4,0)),"CUIT NO CARGADO")</f>
        <v>0</v>
      </c>
    </row>
    <row r="31" spans="2:18" ht="15.75" customHeight="1" x14ac:dyDescent="0.3">
      <c r="B31" s="12">
        <v>45688</v>
      </c>
      <c r="C31" s="13">
        <v>1</v>
      </c>
      <c r="D31" s="14">
        <v>2</v>
      </c>
      <c r="E31" s="15">
        <v>23959</v>
      </c>
      <c r="F31" s="16">
        <v>30692859908</v>
      </c>
      <c r="G31" s="17" t="str">
        <f>IFERROR(IF('Ene-25'!$F31="","-",VLOOKUP('Ene-25'!$F31,Lista_CUIT!$A$1:$D$2241,2,0)),"CUIT NO CARGADO")</f>
        <v>CANTON METALWORK  SA</v>
      </c>
      <c r="H31" s="18">
        <v>22797.52</v>
      </c>
      <c r="I31" s="23">
        <f>IF('Ene-25'!$H31="","",'Ene-25'!$H31*0.21)</f>
        <v>4787.4791999999998</v>
      </c>
      <c r="J31" s="23"/>
      <c r="K31" s="23"/>
      <c r="L31" s="23"/>
      <c r="M31" s="23"/>
      <c r="N31" s="23"/>
      <c r="O31" s="23"/>
      <c r="P31" s="20">
        <f>SUM('Ene-25'!$H31:$O31)</f>
        <v>27584.999199999998</v>
      </c>
      <c r="Q31" s="21" t="str">
        <f>IFERROR(IF('Ene-25'!$F31="","-",VLOOKUP('Ene-25'!$F31,Lista_CUIT!$A$1:$D$2241,3,0)),"CUIT NO CARGADO")</f>
        <v>INSUMO</v>
      </c>
      <c r="R31" s="21">
        <f>IFERROR(IF('Ene-25'!$F31="","-",VLOOKUP('Ene-25'!$F31,Lista_CUIT!$A$1:$D$2241,4,0)),"CUIT NO CARGADO")</f>
        <v>0</v>
      </c>
    </row>
    <row r="32" spans="2:18" ht="15.75" customHeight="1" x14ac:dyDescent="0.3">
      <c r="B32" s="21" t="s">
        <v>1343</v>
      </c>
      <c r="C32" s="21"/>
      <c r="D32" s="21"/>
      <c r="E32" s="21"/>
      <c r="F32" s="21"/>
      <c r="G32" s="17"/>
      <c r="H32" s="18">
        <f>SUBTOTAL(109,'Ene-25'!$H$9:$H$31)</f>
        <v>6472325.6500000004</v>
      </c>
      <c r="I32" s="18">
        <f>SUBTOTAL(109,'Ene-25'!$I$9:$I$31)</f>
        <v>1352626.0040999998</v>
      </c>
      <c r="J32" s="18">
        <f>SUBTOTAL(109,'Ene-25'!$J$9:$J$31)</f>
        <v>8437.3487999999998</v>
      </c>
      <c r="K32" s="18">
        <f>SUBTOTAL(109,'Ene-25'!$K$9:$K$31)</f>
        <v>0</v>
      </c>
      <c r="L32" s="18">
        <f>SUBTOTAL(109,'Ene-25'!$L$9:$L$31)</f>
        <v>937.48</v>
      </c>
      <c r="M32" s="18">
        <f>SUBTOTAL(109,'Ene-25'!$M$9:$M$31)</f>
        <v>0</v>
      </c>
      <c r="N32" s="18">
        <f>SUBTOTAL(109,'Ene-25'!$N$9:$N$31)</f>
        <v>31260.46</v>
      </c>
      <c r="O32" s="18">
        <f>SUBTOTAL(109,'Ene-25'!$O$9:$O$31)</f>
        <v>303110.18</v>
      </c>
      <c r="P32" s="18">
        <f>SUBTOTAL(109,'Ene-25'!$P$9:$P$31)</f>
        <v>8168697.1228999998</v>
      </c>
      <c r="Q32" s="21"/>
      <c r="R32" s="21"/>
    </row>
    <row r="33" spans="2:18" ht="15.75" customHeight="1" x14ac:dyDescent="0.3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  <c r="M33" s="19"/>
      <c r="N33" s="19"/>
      <c r="O33" s="19"/>
      <c r="P33" s="20"/>
      <c r="Q33" s="21"/>
      <c r="R33" s="21"/>
    </row>
    <row r="34" spans="2:18" ht="15.75" customHeight="1" x14ac:dyDescent="0.3">
      <c r="B34" s="12"/>
      <c r="C34" s="13"/>
      <c r="D34" s="14"/>
      <c r="E34" s="15"/>
      <c r="F34" s="16"/>
      <c r="G34" s="17"/>
      <c r="H34" s="18"/>
      <c r="I34" s="19"/>
      <c r="J34" s="19"/>
      <c r="K34" s="19"/>
      <c r="L34" s="19"/>
      <c r="M34" s="19"/>
      <c r="N34" s="19"/>
      <c r="O34" s="19"/>
      <c r="P34" s="20"/>
      <c r="Q34" s="21"/>
      <c r="R34" s="21"/>
    </row>
    <row r="35" spans="2:18" ht="14.25" customHeight="1" x14ac:dyDescent="0.3">
      <c r="B35" s="12"/>
      <c r="C35" s="13"/>
      <c r="D35" s="14"/>
      <c r="E35" s="15"/>
      <c r="F35" s="16"/>
      <c r="G35" s="17"/>
      <c r="H35" s="18"/>
      <c r="I35" s="19"/>
      <c r="J35" s="19"/>
      <c r="K35" s="19"/>
      <c r="L35" s="19"/>
      <c r="M35" s="19"/>
      <c r="N35" s="19"/>
      <c r="O35" s="19"/>
      <c r="P35" s="20"/>
      <c r="Q35" s="21"/>
      <c r="R35" s="21"/>
    </row>
    <row r="36" spans="2:18" ht="22.5" customHeight="1" x14ac:dyDescent="0.3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</row>
    <row r="37" spans="2:18" ht="25.5" customHeight="1" x14ac:dyDescent="0.3">
      <c r="D37" s="484" t="s">
        <v>1344</v>
      </c>
      <c r="E37" s="476"/>
      <c r="F37" s="476"/>
      <c r="G37" s="476"/>
      <c r="H37" s="476"/>
      <c r="I37" s="476"/>
      <c r="J37" s="476"/>
      <c r="K37" s="476"/>
      <c r="L37" s="477"/>
    </row>
    <row r="38" spans="2:18" ht="14.25" customHeight="1" x14ac:dyDescent="0.3">
      <c r="D38" s="24" t="s">
        <v>1322</v>
      </c>
      <c r="E38" s="25" t="s">
        <v>1345</v>
      </c>
      <c r="F38" s="25" t="s">
        <v>1346</v>
      </c>
      <c r="G38" s="25" t="s">
        <v>1347</v>
      </c>
      <c r="H38" s="25" t="s">
        <v>1348</v>
      </c>
      <c r="I38" s="25" t="s">
        <v>1329</v>
      </c>
      <c r="J38" s="26" t="s">
        <v>1349</v>
      </c>
      <c r="K38" s="26" t="s">
        <v>1350</v>
      </c>
      <c r="L38" s="27" t="s">
        <v>1351</v>
      </c>
    </row>
    <row r="39" spans="2:18" ht="14.25" customHeight="1" x14ac:dyDescent="0.3">
      <c r="D39" s="12">
        <v>45688</v>
      </c>
      <c r="E39" s="29"/>
      <c r="F39" s="29" t="s">
        <v>1389</v>
      </c>
      <c r="G39" s="31">
        <f>52099.5+50+300+300+300+300+300+300+300+900+3000+300+300+400+300+1500+300+300+1200+50+300+600+300+20000</f>
        <v>83999.5</v>
      </c>
      <c r="H39" s="31">
        <f>'Ene-25'!$G39*0.21</f>
        <v>17639.895</v>
      </c>
      <c r="I39" s="31"/>
      <c r="J39" s="31"/>
      <c r="K39" s="31">
        <v>2252.9899999999998</v>
      </c>
      <c r="L39" s="31"/>
    </row>
    <row r="40" spans="2:18" ht="15" customHeight="1" x14ac:dyDescent="0.3">
      <c r="D40" s="12"/>
      <c r="E40" s="29"/>
      <c r="F40" s="29"/>
      <c r="G40" s="31"/>
      <c r="H40" s="31">
        <f>'Ene-25'!$G40*0.21</f>
        <v>0</v>
      </c>
      <c r="I40" s="31"/>
      <c r="J40" s="31"/>
      <c r="K40" s="31"/>
      <c r="L40" s="31"/>
    </row>
    <row r="41" spans="2:18" ht="15" customHeight="1" x14ac:dyDescent="0.3">
      <c r="D41" s="12"/>
      <c r="E41" s="30"/>
      <c r="F41" s="29"/>
      <c r="G41" s="31"/>
      <c r="H41" s="31">
        <f>'Ene-25'!$G41*0.21</f>
        <v>0</v>
      </c>
      <c r="I41" s="31"/>
      <c r="J41" s="31"/>
      <c r="K41" s="31"/>
      <c r="L41" s="31"/>
    </row>
    <row r="42" spans="2:18" ht="15" customHeight="1" x14ac:dyDescent="0.3">
      <c r="D42" s="21" t="s">
        <v>1343</v>
      </c>
      <c r="E42" s="29"/>
      <c r="F42" s="29"/>
      <c r="G42" s="31">
        <f>SUBTOTAL(109,'Ene-25'!$G$39:$G$41)</f>
        <v>83999.5</v>
      </c>
      <c r="H42" s="31">
        <f>SUBTOTAL(109,'Ene-25'!$H$39:$H$41)</f>
        <v>17639.895</v>
      </c>
      <c r="I42" s="31">
        <f>SUBTOTAL(109,'Ene-25'!$I$39:$I$41)</f>
        <v>0</v>
      </c>
      <c r="J42" s="31">
        <f>SUBTOTAL(109,'Ene-25'!$J$39:$J$41)</f>
        <v>0</v>
      </c>
      <c r="K42" s="31">
        <f>SUBTOTAL(109,'Ene-25'!$K$39:$K$41)</f>
        <v>2252.9899999999998</v>
      </c>
      <c r="L42" s="31">
        <f>SUBTOTAL(109,'Ene-25'!$L$39:$L$41)</f>
        <v>0</v>
      </c>
    </row>
    <row r="45" spans="2:18" ht="23.25" customHeight="1" x14ac:dyDescent="0.3"/>
    <row r="46" spans="2:18" ht="38.25" customHeight="1" x14ac:dyDescent="0.3">
      <c r="D46" s="484" t="s">
        <v>1361</v>
      </c>
      <c r="E46" s="476"/>
      <c r="F46" s="476"/>
      <c r="G46" s="476"/>
      <c r="H46" s="476"/>
      <c r="I46" s="476"/>
      <c r="J46" s="476"/>
      <c r="K46" s="477"/>
    </row>
    <row r="47" spans="2:18" ht="15.75" customHeight="1" x14ac:dyDescent="0.3">
      <c r="D47" s="35" t="s">
        <v>1322</v>
      </c>
      <c r="E47" s="35" t="s">
        <v>1324</v>
      </c>
      <c r="F47" s="35" t="s">
        <v>1362</v>
      </c>
      <c r="G47" s="35" t="s">
        <v>0</v>
      </c>
      <c r="H47" s="35" t="s">
        <v>1</v>
      </c>
      <c r="I47" s="36" t="s">
        <v>1334</v>
      </c>
      <c r="J47" s="35" t="s">
        <v>1363</v>
      </c>
      <c r="K47" s="35" t="s">
        <v>1335</v>
      </c>
    </row>
    <row r="48" spans="2:18" ht="15.75" customHeight="1" x14ac:dyDescent="0.3">
      <c r="D48" s="12">
        <v>45658</v>
      </c>
      <c r="E48" s="14">
        <v>2</v>
      </c>
      <c r="F48" s="15">
        <v>266</v>
      </c>
      <c r="G48" s="16">
        <v>27173820866</v>
      </c>
      <c r="H48" s="40" t="str">
        <f>IFERROR(IF('Ene-25'!$G48="","-",VLOOKUP('Ene-25'!$G48,Lista_CUIT!$A$1:$D$2241,2,0)),"CUIT NO CARGADO")</f>
        <v>FREIER SANDRA DANIELA</v>
      </c>
      <c r="I48" s="31">
        <v>1150000</v>
      </c>
      <c r="J48" s="42" t="str">
        <f>IFERROR(IF('Ene-25'!$G48="","-",VLOOKUP('Ene-25'!$G48,Lista_CUIT!$A$1:$D$2241,3,0)),"CUIT NO CARGADO")</f>
        <v>Honorarios Prof</v>
      </c>
      <c r="K48" s="42">
        <f>IFERROR(IF('Ene-25'!$G48="","-",VLOOKUP('Ene-25'!$G48,Lista_CUIT!$A$1:$D$2241,4,0)),"CUIT NO CARGADO")</f>
        <v>0</v>
      </c>
    </row>
    <row r="49" spans="1:26" ht="15.75" customHeight="1" x14ac:dyDescent="0.3">
      <c r="D49" s="12">
        <v>45658</v>
      </c>
      <c r="E49" s="14">
        <v>1</v>
      </c>
      <c r="F49" s="15">
        <v>44</v>
      </c>
      <c r="G49" s="16">
        <v>20365938688</v>
      </c>
      <c r="H49" s="40" t="str">
        <f>IFERROR(IF('Ene-25'!$G49="","-",VLOOKUP('Ene-25'!$G49,Lista_CUIT!$A$1:$D$2241,2,0)),"CUIT NO CARGADO")</f>
        <v>LIPANOVICH JUAN CRUZ</v>
      </c>
      <c r="I49" s="31">
        <v>1123780</v>
      </c>
      <c r="J49" s="42" t="str">
        <f>IFERROR(IF('Ene-25'!$G49="","-",VLOOKUP('Ene-25'!$G49,Lista_CUIT!$A$1:$D$2241,3,0)),"CUIT NO CARGADO")</f>
        <v>SOFTWARE</v>
      </c>
      <c r="K49" s="42">
        <f>IFERROR(IF('Ene-25'!$G49="","-",VLOOKUP('Ene-25'!$G49,Lista_CUIT!$A$1:$D$2241,4,0)),"CUIT NO CARGADO")</f>
        <v>0</v>
      </c>
    </row>
    <row r="50" spans="1:26" ht="15.75" customHeight="1" x14ac:dyDescent="0.3">
      <c r="D50" s="12">
        <v>45659</v>
      </c>
      <c r="E50" s="14">
        <v>3</v>
      </c>
      <c r="F50" s="15">
        <v>924</v>
      </c>
      <c r="G50" s="16">
        <v>20086277523</v>
      </c>
      <c r="H50" s="40" t="str">
        <f>IFERROR(IF('Ene-25'!$G50="","-",VLOOKUP('Ene-25'!$G50,Lista_CUIT!$A$1:$D$2241,2,0)),"CUIT NO CARGADO")</f>
        <v>ESTUDIO BOTINDARI</v>
      </c>
      <c r="I50" s="31">
        <v>335000</v>
      </c>
      <c r="J50" s="42" t="str">
        <f>IFERROR(IF('Ene-25'!$G50="","-",VLOOKUP('Ene-25'!$G50,Lista_CUIT!$A$1:$D$2241,3,0)),"CUIT NO CARGADO")</f>
        <v>Honorarios Contables</v>
      </c>
      <c r="K50" s="42">
        <f>IFERROR(IF('Ene-25'!$G50="","-",VLOOKUP('Ene-25'!$G50,Lista_CUIT!$A$1:$D$2241,4,0)),"CUIT NO CARGADO")</f>
        <v>0</v>
      </c>
    </row>
    <row r="51" spans="1:26" ht="15.75" customHeight="1" x14ac:dyDescent="0.3">
      <c r="D51" s="12">
        <v>45659</v>
      </c>
      <c r="E51" s="14">
        <v>1</v>
      </c>
      <c r="F51" s="15">
        <v>132</v>
      </c>
      <c r="G51" s="16">
        <v>20389908569</v>
      </c>
      <c r="H51" s="40" t="str">
        <f>IFERROR(IF('Ene-25'!$G51="","-",VLOOKUP('Ene-25'!$G51,Lista_CUIT!$A$1:$D$2241,2,0)),"CUIT NO CARGADO")</f>
        <v>BOTINDARI JUAN IGNACIO</v>
      </c>
      <c r="I51" s="31">
        <v>87036.04</v>
      </c>
      <c r="J51" s="42" t="str">
        <f>IFERROR(IF('Ene-25'!$G51="","-",VLOOKUP('Ene-25'!$G51,Lista_CUIT!$A$1:$D$2241,3,0)),"CUIT NO CARGADO")</f>
        <v>Honorarios Contables</v>
      </c>
      <c r="K51" s="42">
        <f>IFERROR(IF('Ene-25'!$G51="","-",VLOOKUP('Ene-25'!$G51,Lista_CUIT!$A$1:$D$2241,4,0)),"CUIT NO CARGADO")</f>
        <v>0</v>
      </c>
    </row>
    <row r="52" spans="1:26" ht="15.75" customHeight="1" x14ac:dyDescent="0.3">
      <c r="D52" s="12">
        <v>45659</v>
      </c>
      <c r="E52" s="14">
        <v>1</v>
      </c>
      <c r="F52" s="15">
        <v>22</v>
      </c>
      <c r="G52" s="16">
        <v>20338344695</v>
      </c>
      <c r="H52" s="40" t="str">
        <f>IFERROR(IF('Ene-25'!$G52="","-",VLOOKUP('Ene-25'!$G52,Lista_CUIT!$A$1:$D$2241,2,0)),"CUIT NO CARGADO")</f>
        <v>FUERTES DAMIAN MATIAS</v>
      </c>
      <c r="I52" s="31">
        <v>211200</v>
      </c>
      <c r="J52" s="42" t="str">
        <f>IFERROR(IF('Ene-25'!$G52="","-",VLOOKUP('Ene-25'!$G52,Lista_CUIT!$A$1:$D$2241,3,0)),"CUIT NO CARGADO")</f>
        <v>INSUMO</v>
      </c>
      <c r="K52" s="42">
        <f>IFERROR(IF('Ene-25'!$G52="","-",VLOOKUP('Ene-25'!$G52,Lista_CUIT!$A$1:$D$2241,4,0)),"CUIT NO CARGADO")</f>
        <v>0</v>
      </c>
    </row>
    <row r="53" spans="1:26" ht="15.75" customHeight="1" x14ac:dyDescent="0.3">
      <c r="D53" s="391">
        <v>45660</v>
      </c>
      <c r="E53" s="393">
        <v>1</v>
      </c>
      <c r="F53" s="394">
        <v>426</v>
      </c>
      <c r="G53" s="395">
        <v>27925308884</v>
      </c>
      <c r="H53" s="397" t="str">
        <f>IFERROR(IF('Ene-25'!$G53="","-",VLOOKUP('Ene-25'!$G53,Lista_CUIT!$A$1:$D$2241,2,0)),"CUIT NO CARGADO")</f>
        <v>LOPEZ LOPEZ FLAVIA</v>
      </c>
      <c r="I53" s="419">
        <v>10000</v>
      </c>
      <c r="J53" s="398" t="str">
        <f>IFERROR(IF('Ene-25'!$G53="","-",VLOOKUP('Ene-25'!$G53,Lista_CUIT!$A$1:$D$2241,3,0)),"CUIT NO CARGADO")</f>
        <v>GASTOS VARIOS</v>
      </c>
      <c r="K53" s="398">
        <f>IFERROR(IF('Ene-25'!$G53="","-",VLOOKUP('Ene-25'!$G53,Lista_CUIT!$A$1:$D$2241,4,0)),"CUIT NO CARGADO")</f>
        <v>0</v>
      </c>
    </row>
    <row r="54" spans="1:26" ht="15.75" customHeight="1" x14ac:dyDescent="0.3">
      <c r="D54" s="12">
        <v>45660</v>
      </c>
      <c r="E54" s="14">
        <v>1</v>
      </c>
      <c r="F54" s="15">
        <v>34</v>
      </c>
      <c r="G54" s="16">
        <v>27387896150</v>
      </c>
      <c r="H54" s="40" t="str">
        <f>IFERROR(IF('Ene-25'!$G54="","-",VLOOKUP('Ene-25'!$G54,Lista_CUIT!$A$1:$D$2241,2,0)),"CUIT NO CARGADO")</f>
        <v>LIPANOVICH MARIA SOL</v>
      </c>
      <c r="I54" s="31">
        <v>1245280</v>
      </c>
      <c r="J54" s="42" t="str">
        <f>IFERROR(IF('Ene-25'!$G54="","-",VLOOKUP('Ene-25'!$G54,Lista_CUIT!$A$1:$D$2241,3,0)),"CUIT NO CARGADO")</f>
        <v>consultoria informatica</v>
      </c>
      <c r="K54" s="42">
        <f>IFERROR(IF('Ene-25'!$G54="","-",VLOOKUP('Ene-25'!$G54,Lista_CUIT!$A$1:$D$2241,4,0)),"CUIT NO CARGADO")</f>
        <v>0</v>
      </c>
    </row>
    <row r="55" spans="1:26" ht="15.75" customHeight="1" x14ac:dyDescent="0.3">
      <c r="D55" s="12">
        <v>45660</v>
      </c>
      <c r="E55" s="14">
        <v>1</v>
      </c>
      <c r="F55" s="15">
        <v>107</v>
      </c>
      <c r="G55" s="16">
        <v>20341465134</v>
      </c>
      <c r="H55" s="40" t="str">
        <f>IFERROR(IF('Ene-25'!$G55="","-",VLOOKUP('Ene-25'!$G55,Lista_CUIT!$A$1:$D$2241,2,0)),"CUIT NO CARGADO")</f>
        <v>ABELEDO AGUSTIN ENRIQUE</v>
      </c>
      <c r="I55" s="31">
        <v>2248500</v>
      </c>
      <c r="J55" s="42" t="str">
        <f>IFERROR(IF('Ene-25'!$G55="","-",VLOOKUP('Ene-25'!$G55,Lista_CUIT!$A$1:$D$2241,3,0)),"CUIT NO CARGADO")</f>
        <v>Mantenimiento</v>
      </c>
      <c r="K55" s="42"/>
    </row>
    <row r="56" spans="1:26" ht="15.75" customHeight="1" x14ac:dyDescent="0.3">
      <c r="D56" s="391">
        <v>45663</v>
      </c>
      <c r="E56" s="393">
        <v>2</v>
      </c>
      <c r="F56" s="394">
        <v>13</v>
      </c>
      <c r="G56" s="395">
        <v>23118167279</v>
      </c>
      <c r="H56" s="397" t="str">
        <f>IFERROR(IF('Ene-25'!$G56="","-",VLOOKUP('Ene-25'!$G56,Lista_CUIT!$A$1:$D$2241,2,0)),"CUIT NO CARGADO")</f>
        <v>ABELEDO ENRIQUE JUAN</v>
      </c>
      <c r="I56" s="419">
        <v>2135000</v>
      </c>
      <c r="J56" s="398" t="str">
        <f>IFERROR(IF('Ene-25'!$G56="","-",VLOOKUP('Ene-25'!$G56,Lista_CUIT!$A$1:$D$2241,3,0)),"CUIT NO CARGADO")</f>
        <v>Honorarios Admin</v>
      </c>
      <c r="K56" s="398">
        <f>IFERROR(IF('Ene-25'!$G56="","-",VLOOKUP('Ene-25'!$G56,Lista_CUIT!$A$1:$D$2241,4,0)),"CUIT NO CARGADO")</f>
        <v>0</v>
      </c>
    </row>
    <row r="57" spans="1:26" ht="15.75" customHeight="1" x14ac:dyDescent="0.3">
      <c r="D57" s="12">
        <v>45665</v>
      </c>
      <c r="E57" s="14">
        <v>4</v>
      </c>
      <c r="F57" s="15">
        <v>81</v>
      </c>
      <c r="G57" s="16">
        <v>23214737914</v>
      </c>
      <c r="H57" s="40" t="str">
        <f>IFERROR(IF('Ene-25'!$G57="","-",VLOOKUP('Ene-25'!$G57,Lista_CUIT!$A$1:$D$2241,2,0)),"CUIT NO CARGADO")</f>
        <v>SBARRA GABRIELA BEATRIZ</v>
      </c>
      <c r="I57" s="31">
        <v>1153615</v>
      </c>
      <c r="J57" s="42" t="str">
        <f>IFERROR(IF('Ene-25'!$G57="","-",VLOOKUP('Ene-25'!$G57,Lista_CUIT!$A$1:$D$2241,3,0)),"CUIT NO CARGADO")</f>
        <v>Honorarios Admin</v>
      </c>
      <c r="K57" s="42">
        <f>IFERROR(IF('Ene-25'!$G57="","-",VLOOKUP('Ene-25'!$G57,Lista_CUIT!$A$1:$D$2241,4,0)),"CUIT NO CARGADO")</f>
        <v>0</v>
      </c>
    </row>
    <row r="58" spans="1:26" ht="15.75" customHeight="1" x14ac:dyDescent="0.3">
      <c r="D58" s="391">
        <v>45674</v>
      </c>
      <c r="E58" s="393">
        <v>28</v>
      </c>
      <c r="F58" s="394">
        <v>330</v>
      </c>
      <c r="G58" s="395">
        <v>20272628212</v>
      </c>
      <c r="H58" s="397" t="str">
        <f>IFERROR(IF('Ene-25'!$G58="","-",VLOOKUP('Ene-25'!$G58,Lista_CUIT!$A$1:$D$2241,2,0)),"CUIT NO CARGADO")</f>
        <v>PIEROTTI GERMAN JOSE</v>
      </c>
      <c r="I58" s="419">
        <v>3765</v>
      </c>
      <c r="J58" s="398" t="str">
        <f>IFERROR(IF('Ene-25'!$G58="","-",VLOOKUP('Ene-25'!$G58,Lista_CUIT!$A$1:$D$2241,3,0)),"CUIT NO CARGADO")</f>
        <v>Papeleria</v>
      </c>
      <c r="K58" s="398">
        <f>IFERROR(IF('Ene-25'!$G58="","-",VLOOKUP('Ene-25'!$G58,Lista_CUIT!$A$1:$D$2241,4,0)),"CUIT NO CARGADO")</f>
        <v>0</v>
      </c>
    </row>
    <row r="59" spans="1:26" ht="15.75" customHeight="1" x14ac:dyDescent="0.3">
      <c r="D59" s="12">
        <v>45679</v>
      </c>
      <c r="E59" s="14">
        <v>2</v>
      </c>
      <c r="F59" s="15">
        <v>14</v>
      </c>
      <c r="G59" s="16">
        <v>23118167279</v>
      </c>
      <c r="H59" s="40" t="str">
        <f>IFERROR(IF('Ene-25'!$G59="","-",VLOOKUP('Ene-25'!$G59,Lista_CUIT!$A$1:$D$2241,2,0)),"CUIT NO CARGADO")</f>
        <v>ABELEDO ENRIQUE JUAN</v>
      </c>
      <c r="I59" s="31">
        <v>735000</v>
      </c>
      <c r="J59" s="42" t="str">
        <f>IFERROR(IF('Ene-25'!$G59="","-",VLOOKUP('Ene-25'!$G59,Lista_CUIT!$A$1:$D$2241,3,0)),"CUIT NO CARGADO")</f>
        <v>Honorarios Admin</v>
      </c>
      <c r="K59" s="42">
        <f>IFERROR(IF('Ene-25'!$G59="","-",VLOOKUP('Ene-25'!$G59,Lista_CUIT!$A$1:$D$2241,4,0)),"CUIT NO CARGADO")</f>
        <v>0</v>
      </c>
    </row>
    <row r="60" spans="1:26" ht="15.75" customHeight="1" x14ac:dyDescent="0.3">
      <c r="D60" s="12">
        <v>45680</v>
      </c>
      <c r="E60" s="14">
        <v>1</v>
      </c>
      <c r="F60" s="15">
        <v>18</v>
      </c>
      <c r="G60" s="16">
        <v>20419155870</v>
      </c>
      <c r="H60" s="40" t="str">
        <f>IFERROR(IF('Ene-25'!$G60="","-",VLOOKUP('Ene-25'!$G60,Lista_CUIT!$A$1:$D$2241,2,0)),"CUIT NO CARGADO")</f>
        <v>GULLO GASPAR</v>
      </c>
      <c r="I60" s="31">
        <v>75000</v>
      </c>
      <c r="J60" s="42" t="str">
        <f>IFERROR(IF('Ene-25'!$G60="","-",VLOOKUP('Ene-25'!$G60,Lista_CUIT!$A$1:$D$2241,3,0)),"CUIT NO CARGADO")</f>
        <v>Honorarios Contables</v>
      </c>
      <c r="K60" s="42">
        <f>IFERROR(IF('Ene-25'!$G60="","-",VLOOKUP('Ene-25'!$G60,Lista_CUIT!$A$1:$D$2241,4,0)),"CUIT NO CARGADO")</f>
        <v>0</v>
      </c>
    </row>
    <row r="61" spans="1:26" ht="15.75" customHeight="1" x14ac:dyDescent="0.3">
      <c r="D61" s="12">
        <v>45681</v>
      </c>
      <c r="E61" s="14">
        <v>1</v>
      </c>
      <c r="F61" s="15">
        <v>452</v>
      </c>
      <c r="G61" s="16">
        <v>27925308884</v>
      </c>
      <c r="H61" s="40" t="str">
        <f>IFERROR(IF('Ene-25'!$G61="","-",VLOOKUP('Ene-25'!$G61,Lista_CUIT!$A$1:$D$2241,2,0)),"CUIT NO CARGADO")</f>
        <v>LOPEZ LOPEZ FLAVIA</v>
      </c>
      <c r="I61" s="31">
        <v>20000</v>
      </c>
      <c r="J61" s="42" t="str">
        <f>IFERROR(IF('Ene-25'!$G61="","-",VLOOKUP('Ene-25'!$G61,Lista_CUIT!$A$1:$D$2241,3,0)),"CUIT NO CARGADO")</f>
        <v>GASTOS VARIOS</v>
      </c>
      <c r="K61" s="42">
        <f>IFERROR(IF('Ene-25'!$G61="","-",VLOOKUP('Ene-25'!$G61,Lista_CUIT!$A$1:$D$2241,4,0)),"CUIT NO CARGADO")</f>
        <v>0</v>
      </c>
    </row>
    <row r="62" spans="1:26" ht="18" customHeight="1" x14ac:dyDescent="0.3">
      <c r="A62" s="43"/>
      <c r="D62" s="42" t="s">
        <v>1343</v>
      </c>
      <c r="E62" s="42"/>
      <c r="F62" s="42"/>
      <c r="G62" s="42"/>
      <c r="H62" s="44"/>
      <c r="I62" s="41">
        <f>SUBTOTAL(109,'Ene-25'!$I$48:$I$61)</f>
        <v>10533176.039999999</v>
      </c>
      <c r="J62" s="42"/>
      <c r="K62" s="42"/>
      <c r="S62" s="43"/>
      <c r="T62" s="43"/>
      <c r="U62" s="43"/>
      <c r="V62" s="43"/>
      <c r="W62" s="43"/>
      <c r="X62" s="43"/>
      <c r="Y62" s="43"/>
      <c r="Z62" s="43"/>
    </row>
    <row r="63" spans="1:26" ht="15.75" customHeight="1" x14ac:dyDescent="0.3">
      <c r="B63" s="43"/>
      <c r="C63" s="43"/>
      <c r="L63" s="43"/>
      <c r="M63" s="43"/>
      <c r="N63" s="43"/>
      <c r="O63" s="43"/>
      <c r="P63" s="43"/>
      <c r="Q63" s="43"/>
      <c r="R63" s="43"/>
    </row>
    <row r="64" spans="1:26" ht="15.75" customHeight="1" x14ac:dyDescent="0.3"/>
    <row r="65" spans="2:13" ht="15.75" customHeight="1" x14ac:dyDescent="0.3"/>
    <row r="66" spans="2:13" ht="15.75" customHeight="1" x14ac:dyDescent="0.3"/>
    <row r="67" spans="2:13" ht="15.75" customHeight="1" x14ac:dyDescent="0.3"/>
    <row r="68" spans="2:13" ht="15.75" customHeight="1" x14ac:dyDescent="0.3">
      <c r="B68" s="492" t="s">
        <v>1364</v>
      </c>
      <c r="C68" s="476"/>
      <c r="D68" s="476"/>
      <c r="E68" s="476"/>
      <c r="F68" s="476"/>
      <c r="G68" s="476"/>
      <c r="H68" s="476"/>
      <c r="I68" s="476"/>
      <c r="J68" s="477"/>
      <c r="K68" s="493">
        <f>N1</f>
        <v>45292</v>
      </c>
      <c r="L68" s="476"/>
      <c r="M68" s="477"/>
    </row>
    <row r="69" spans="2:13" ht="22.5" customHeight="1" x14ac:dyDescent="0.3"/>
    <row r="70" spans="2:13" ht="15.75" customHeight="1" x14ac:dyDescent="0.3">
      <c r="B70" s="485" t="s">
        <v>1365</v>
      </c>
      <c r="C70" s="486"/>
    </row>
    <row r="71" spans="2:13" ht="18" customHeight="1" x14ac:dyDescent="0.3">
      <c r="B71" s="45" t="s">
        <v>1322</v>
      </c>
      <c r="C71" s="46" t="s">
        <v>1323</v>
      </c>
      <c r="D71" s="46" t="s">
        <v>1366</v>
      </c>
      <c r="E71" s="46" t="s">
        <v>1367</v>
      </c>
      <c r="F71" s="46" t="s">
        <v>0</v>
      </c>
      <c r="G71" s="46" t="s">
        <v>1</v>
      </c>
      <c r="H71" s="46" t="s">
        <v>1368</v>
      </c>
      <c r="I71" s="46" t="s">
        <v>1348</v>
      </c>
      <c r="J71" s="46" t="s">
        <v>1329</v>
      </c>
      <c r="K71" s="46" t="s">
        <v>1369</v>
      </c>
      <c r="L71" s="46" t="s">
        <v>1334</v>
      </c>
      <c r="M71" s="47" t="s">
        <v>1335</v>
      </c>
    </row>
    <row r="72" spans="2:13" ht="15.75" customHeight="1" x14ac:dyDescent="0.3">
      <c r="B72" s="54">
        <v>45659</v>
      </c>
      <c r="C72" s="55">
        <v>1</v>
      </c>
      <c r="D72" s="56">
        <v>3</v>
      </c>
      <c r="E72" s="57">
        <v>240</v>
      </c>
      <c r="F72" s="58">
        <v>30638318470</v>
      </c>
      <c r="G72" s="120" t="str">
        <f>IFERROR(IF('Ene-25'!$F72="","-",VLOOKUP('Ene-25'!$F72,Lista_CUIT!$A$1:$D$2241,2,0)),"CUIT NO CARGADO")</f>
        <v>DELTA COMPRESION S R L</v>
      </c>
      <c r="H72" s="49">
        <v>2947000</v>
      </c>
      <c r="I72" s="50">
        <f>'Ene-25'!$H72*0.21</f>
        <v>618870</v>
      </c>
      <c r="J72" s="51"/>
      <c r="K72" s="51"/>
      <c r="L72" s="51">
        <f>SUM('Ene-25'!$H72:$K72)</f>
        <v>3565870</v>
      </c>
      <c r="M72" s="52"/>
    </row>
    <row r="73" spans="2:13" ht="15.75" customHeight="1" x14ac:dyDescent="0.3">
      <c r="B73" s="54">
        <v>45670</v>
      </c>
      <c r="C73" s="55">
        <v>1</v>
      </c>
      <c r="D73" s="56">
        <v>3</v>
      </c>
      <c r="E73" s="57">
        <v>241</v>
      </c>
      <c r="F73" s="58">
        <v>30628274327</v>
      </c>
      <c r="G73" s="120" t="str">
        <f>IFERROR(IF('Ene-25'!$F73="","-",VLOOKUP('Ene-25'!$F73,Lista_CUIT!$A$1:$D$2241,2,0)),"CUIT NO CARGADO")</f>
        <v>AGIRA  S A</v>
      </c>
      <c r="H73" s="49">
        <v>19367660</v>
      </c>
      <c r="I73" s="50">
        <f>84*1059.5</f>
        <v>88998</v>
      </c>
      <c r="J73" s="51">
        <f>1059.5*1877.4</f>
        <v>1989105.3</v>
      </c>
      <c r="K73" s="51"/>
      <c r="L73" s="51">
        <f>SUM('Ene-25'!$H73:$K73)</f>
        <v>21445763.300000001</v>
      </c>
      <c r="M73" s="52"/>
    </row>
    <row r="74" spans="2:13" ht="15.75" customHeight="1" x14ac:dyDescent="0.3">
      <c r="B74" s="54">
        <v>45678</v>
      </c>
      <c r="C74" s="55">
        <v>1</v>
      </c>
      <c r="D74" s="56">
        <v>3</v>
      </c>
      <c r="E74" s="57">
        <v>242</v>
      </c>
      <c r="F74" s="58">
        <v>30638318470</v>
      </c>
      <c r="G74" s="120" t="str">
        <f>IFERROR(IF('Ene-25'!$F74="","-",VLOOKUP('Ene-25'!$F74,Lista_CUIT!$A$1:$D$2241,2,0)),"CUIT NO CARGADO")</f>
        <v>DELTA COMPRESION S R L</v>
      </c>
      <c r="H74" s="49">
        <v>31601570</v>
      </c>
      <c r="I74" s="50"/>
      <c r="J74" s="51">
        <f>3112.72*1066</f>
        <v>3318159.52</v>
      </c>
      <c r="K74" s="51"/>
      <c r="L74" s="51">
        <f>SUM('Ene-25'!$H74:$K74)</f>
        <v>34919729.520000003</v>
      </c>
      <c r="M74" s="52"/>
    </row>
    <row r="75" spans="2:13" ht="15.75" customHeight="1" x14ac:dyDescent="0.3">
      <c r="B75" s="54">
        <v>45678</v>
      </c>
      <c r="C75" s="55">
        <v>1</v>
      </c>
      <c r="D75" s="56">
        <v>3</v>
      </c>
      <c r="E75" s="57">
        <v>243</v>
      </c>
      <c r="F75" s="58">
        <v>30715595105</v>
      </c>
      <c r="G75" s="120" t="str">
        <f>IFERROR(IF('Ene-25'!$F75="","-",VLOOKUP('Ene-25'!$F75,Lista_CUIT!$A$1:$D$2241,2,0)),"CUIT NO CARGADO")</f>
        <v>ASPRO SERVICIOS PETROLEROS S.A.</v>
      </c>
      <c r="H75" s="49">
        <v>1439775</v>
      </c>
      <c r="I75" s="50">
        <f>'Ene-25'!$H75*0.21</f>
        <v>302352.75</v>
      </c>
      <c r="J75" s="51"/>
      <c r="K75" s="51"/>
      <c r="L75" s="51">
        <f>SUM('Ene-25'!$H75:$K75)</f>
        <v>1742127.75</v>
      </c>
      <c r="M75" s="52"/>
    </row>
    <row r="76" spans="2:13" ht="15.75" customHeight="1" x14ac:dyDescent="0.3">
      <c r="B76" s="54">
        <v>45679</v>
      </c>
      <c r="C76" s="55">
        <v>1</v>
      </c>
      <c r="D76" s="56">
        <v>3</v>
      </c>
      <c r="E76" s="57">
        <v>244</v>
      </c>
      <c r="F76" s="58">
        <v>30638318470</v>
      </c>
      <c r="G76" s="120" t="str">
        <f>IFERROR(IF('Ene-25'!$F76="","-",VLOOKUP('Ene-25'!$F76,Lista_CUIT!$A$1:$D$2241,2,0)),"CUIT NO CARGADO")</f>
        <v>DELTA COMPRESION S R L</v>
      </c>
      <c r="H76" s="49">
        <v>862669.5</v>
      </c>
      <c r="I76" s="50">
        <f>'Ene-25'!$H76*0.21</f>
        <v>181160.595</v>
      </c>
      <c r="J76" s="51"/>
      <c r="K76" s="51"/>
      <c r="L76" s="51">
        <f>SUM('Ene-25'!$H76:$K76)</f>
        <v>1043830.095</v>
      </c>
      <c r="M76" s="52"/>
    </row>
    <row r="77" spans="2:13" ht="15.75" customHeight="1" x14ac:dyDescent="0.3">
      <c r="B77" s="54">
        <v>45684</v>
      </c>
      <c r="C77" s="55">
        <v>1</v>
      </c>
      <c r="D77" s="56">
        <v>3</v>
      </c>
      <c r="E77" s="57">
        <v>245</v>
      </c>
      <c r="F77" s="58">
        <v>30638318470</v>
      </c>
      <c r="G77" s="120" t="str">
        <f>IFERROR(IF('Ene-25'!$F77="","-",VLOOKUP('Ene-25'!$F77,Lista_CUIT!$A$1:$D$2241,2,0)),"CUIT NO CARGADO")</f>
        <v>DELTA COMPRESION S R L</v>
      </c>
      <c r="H77" s="49">
        <v>4395728</v>
      </c>
      <c r="I77" s="50">
        <f>'Ene-25'!$H77*0.21</f>
        <v>923102.88</v>
      </c>
      <c r="J77" s="51"/>
      <c r="K77" s="51"/>
      <c r="L77" s="51">
        <f>SUM('Ene-25'!$H77:$K77)</f>
        <v>5318830.88</v>
      </c>
      <c r="M77" s="52"/>
    </row>
    <row r="78" spans="2:13" ht="15.75" customHeight="1" x14ac:dyDescent="0.3">
      <c r="B78" s="54">
        <v>45686</v>
      </c>
      <c r="C78" s="55">
        <v>1</v>
      </c>
      <c r="D78" s="56">
        <v>3</v>
      </c>
      <c r="E78" s="57">
        <v>246</v>
      </c>
      <c r="F78" s="58">
        <v>30628274327</v>
      </c>
      <c r="G78" s="120" t="str">
        <f>IFERROR(IF('Ene-25'!$F78="","-",VLOOKUP('Ene-25'!$F78,Lista_CUIT!$A$1:$D$2241,2,0)),"CUIT NO CARGADO")</f>
        <v>AGIRA  S A</v>
      </c>
      <c r="H78" s="49">
        <v>9784370</v>
      </c>
      <c r="I78" s="50">
        <f>42*1070.5</f>
        <v>44961</v>
      </c>
      <c r="J78" s="51">
        <f>1070.5*938.7</f>
        <v>1004878.3500000001</v>
      </c>
      <c r="K78" s="51"/>
      <c r="L78" s="51">
        <f>SUM('Ene-25'!$H78:$K78)</f>
        <v>10834209.35</v>
      </c>
      <c r="M78" s="53"/>
    </row>
    <row r="79" spans="2:13" ht="15.75" customHeight="1" x14ac:dyDescent="0.3">
      <c r="B79" s="54"/>
      <c r="C79" s="55"/>
      <c r="D79" s="56"/>
      <c r="E79" s="57"/>
      <c r="F79" s="58"/>
      <c r="G79" s="120" t="str">
        <f>IFERROR(IF('Ene-25'!$F79="","-",VLOOKUP('Ene-25'!$F79,Lista_CUIT!$A$1:$D$2241,2,0)),"CUIT NO CARGADO")</f>
        <v>-</v>
      </c>
      <c r="H79" s="59"/>
      <c r="I79" s="60">
        <f>'Ene-25'!$H79*0.21</f>
        <v>0</v>
      </c>
      <c r="J79" s="61"/>
      <c r="K79" s="61"/>
      <c r="L79" s="61">
        <f>SUM('Ene-25'!$H79:$K79)</f>
        <v>0</v>
      </c>
      <c r="M79" s="53"/>
    </row>
    <row r="80" spans="2:13" ht="15.75" customHeight="1" x14ac:dyDescent="0.3">
      <c r="B80" s="62"/>
      <c r="C80" s="63"/>
      <c r="D80" s="64"/>
      <c r="E80" s="65"/>
      <c r="F80" s="66"/>
      <c r="G80" s="120" t="str">
        <f>IFERROR(IF('Ene-25'!$F80="","-",VLOOKUP('Ene-25'!$F80,Lista_CUIT!$A$1:$D$2241,2,0)),"CUIT NO CARGADO")</f>
        <v>-</v>
      </c>
      <c r="H80" s="49"/>
      <c r="I80" s="50">
        <f>'Ene-25'!$H80*0.21</f>
        <v>0</v>
      </c>
      <c r="J80" s="51"/>
      <c r="K80" s="51"/>
      <c r="L80" s="51">
        <f>SUM('Ene-25'!$H80:$K80)</f>
        <v>0</v>
      </c>
      <c r="M80" s="52"/>
    </row>
    <row r="81" spans="2:13" ht="18" customHeight="1" x14ac:dyDescent="0.3">
      <c r="B81" s="68" t="s">
        <v>1343</v>
      </c>
      <c r="C81" s="69"/>
      <c r="D81" s="69"/>
      <c r="E81" s="69"/>
      <c r="F81" s="69"/>
      <c r="G81" s="69"/>
      <c r="H81" s="70">
        <f>SUBTOTAL(109,'Ene-25'!$H$72:$H$80)</f>
        <v>70398772.5</v>
      </c>
      <c r="I81" s="71">
        <f>SUBTOTAL(109,'Ene-25'!$I$72:$I$80)</f>
        <v>2159445.2250000001</v>
      </c>
      <c r="J81" s="71">
        <f>SUBTOTAL(109,'Ene-25'!$J$72:$J$80)</f>
        <v>6312143.1699999999</v>
      </c>
      <c r="K81" s="71">
        <f>SUBTOTAL(109,'Ene-25'!$K$72:$K$80)</f>
        <v>0</v>
      </c>
      <c r="L81" s="71">
        <f>SUBTOTAL(109,'Ene-25'!$L$72:$L$80)</f>
        <v>78870360.894999996</v>
      </c>
      <c r="M81" s="71">
        <f>SUBTOTAL(103,'Ene-25'!$M$72:$M$80)</f>
        <v>0</v>
      </c>
    </row>
    <row r="82" spans="2:13" ht="15.75" customHeight="1" x14ac:dyDescent="0.3"/>
    <row r="83" spans="2:13" ht="17.25" customHeight="1" x14ac:dyDescent="0.3"/>
    <row r="84" spans="2:13" ht="31.5" customHeight="1" x14ac:dyDescent="0.3">
      <c r="B84" s="485" t="s">
        <v>1372</v>
      </c>
      <c r="C84" s="486"/>
    </row>
    <row r="85" spans="2:13" ht="15.75" customHeight="1" x14ac:dyDescent="0.3">
      <c r="B85" s="45" t="s">
        <v>1322</v>
      </c>
      <c r="C85" s="46" t="s">
        <v>1323</v>
      </c>
      <c r="D85" s="46" t="s">
        <v>1366</v>
      </c>
      <c r="E85" s="46" t="s">
        <v>1367</v>
      </c>
      <c r="F85" s="46" t="s">
        <v>0</v>
      </c>
      <c r="G85" s="46" t="s">
        <v>1</v>
      </c>
      <c r="H85" s="46" t="s">
        <v>1368</v>
      </c>
      <c r="I85" s="46" t="s">
        <v>1348</v>
      </c>
      <c r="J85" s="46" t="s">
        <v>1329</v>
      </c>
      <c r="K85" s="46" t="s">
        <v>1369</v>
      </c>
      <c r="L85" s="46" t="s">
        <v>1334</v>
      </c>
      <c r="M85" s="47" t="s">
        <v>1335</v>
      </c>
    </row>
    <row r="86" spans="2:13" ht="15.75" customHeight="1" x14ac:dyDescent="0.3">
      <c r="B86" s="68"/>
      <c r="C86" s="69"/>
      <c r="D86" s="69"/>
      <c r="E86" s="69"/>
      <c r="F86" s="69"/>
      <c r="G86" s="73" t="str">
        <f>IFERROR(IF('Ene-25'!$F86="","-",VLOOKUP('Ene-25'!$F86,Lista_CUIT!$A$1:$D$2241,2,0)),"CUIT NO CARGADO")</f>
        <v>-</v>
      </c>
      <c r="H86" s="74"/>
      <c r="I86" s="74"/>
      <c r="J86" s="74"/>
      <c r="K86" s="74"/>
      <c r="L86" s="74">
        <f>SUM('Ene-25'!$H86:$K86)</f>
        <v>0</v>
      </c>
      <c r="M86" s="52"/>
    </row>
    <row r="87" spans="2:13" ht="15.75" customHeight="1" x14ac:dyDescent="0.3">
      <c r="B87" s="68"/>
      <c r="C87" s="69"/>
      <c r="D87" s="69"/>
      <c r="E87" s="69"/>
      <c r="F87" s="69"/>
      <c r="G87" s="73"/>
      <c r="H87" s="74"/>
      <c r="I87" s="74"/>
      <c r="J87" s="74"/>
      <c r="K87" s="74"/>
      <c r="L87" s="74">
        <f>SUM('Ene-25'!$H87:$K87)</f>
        <v>0</v>
      </c>
      <c r="M87" s="52"/>
    </row>
    <row r="88" spans="2:13" ht="15.75" customHeight="1" x14ac:dyDescent="0.3">
      <c r="B88" s="68"/>
      <c r="C88" s="69"/>
      <c r="D88" s="69"/>
      <c r="E88" s="69"/>
      <c r="F88" s="69"/>
      <c r="G88" s="73"/>
      <c r="H88" s="74"/>
      <c r="I88" s="74"/>
      <c r="J88" s="74"/>
      <c r="K88" s="74"/>
      <c r="L88" s="74">
        <f>SUM('Ene-25'!$H88:$K88)</f>
        <v>0</v>
      </c>
      <c r="M88" s="52"/>
    </row>
    <row r="89" spans="2:13" ht="15.75" customHeight="1" x14ac:dyDescent="0.3">
      <c r="B89" s="68"/>
      <c r="C89" s="69"/>
      <c r="D89" s="69"/>
      <c r="E89" s="69"/>
      <c r="F89" s="69"/>
      <c r="G89" s="73"/>
      <c r="H89" s="74"/>
      <c r="I89" s="74"/>
      <c r="J89" s="74"/>
      <c r="K89" s="74"/>
      <c r="L89" s="74">
        <f>SUM('Ene-25'!$H89:$K89)</f>
        <v>0</v>
      </c>
      <c r="M89" s="52"/>
    </row>
    <row r="90" spans="2:13" ht="15.75" customHeight="1" x14ac:dyDescent="0.3">
      <c r="B90" s="68"/>
      <c r="C90" s="69"/>
      <c r="D90" s="69"/>
      <c r="E90" s="69"/>
      <c r="F90" s="69"/>
      <c r="G90" s="73"/>
      <c r="H90" s="74"/>
      <c r="I90" s="74"/>
      <c r="J90" s="74"/>
      <c r="K90" s="74"/>
      <c r="L90" s="74">
        <f>SUM('Ene-25'!$H90:$K90)</f>
        <v>0</v>
      </c>
      <c r="M90" s="52"/>
    </row>
    <row r="91" spans="2:13" ht="15.75" customHeight="1" x14ac:dyDescent="0.3">
      <c r="B91" s="68"/>
      <c r="C91" s="69"/>
      <c r="D91" s="69"/>
      <c r="E91" s="69"/>
      <c r="F91" s="69"/>
      <c r="G91" s="73"/>
      <c r="H91" s="74"/>
      <c r="I91" s="74"/>
      <c r="J91" s="74"/>
      <c r="K91" s="74"/>
      <c r="L91" s="74">
        <f>SUM('Ene-25'!$H91:$K91)</f>
        <v>0</v>
      </c>
      <c r="M91" s="52"/>
    </row>
    <row r="92" spans="2:13" ht="15.75" customHeight="1" x14ac:dyDescent="0.3">
      <c r="B92" s="68" t="s">
        <v>1343</v>
      </c>
      <c r="C92" s="69"/>
      <c r="D92" s="69"/>
      <c r="E92" s="69"/>
      <c r="F92" s="69"/>
      <c r="G92" s="69"/>
      <c r="H92" s="75">
        <f>SUBTOTAL(109,'Ene-25'!$H$86:$H$91)</f>
        <v>0</v>
      </c>
      <c r="I92" s="75">
        <f>SUBTOTAL(109,'Ene-25'!$I$86:$I$91)</f>
        <v>0</v>
      </c>
      <c r="J92" s="76">
        <f>SUBTOTAL(109,'Ene-25'!$J$86:$J$91)</f>
        <v>0</v>
      </c>
      <c r="K92" s="76">
        <f>SUBTOTAL(109,'Ene-25'!$K$86:$K$91)</f>
        <v>0</v>
      </c>
      <c r="L92" s="76">
        <f>SUBTOTAL(109,'Ene-25'!$L$86:$L$91)</f>
        <v>0</v>
      </c>
      <c r="M92" s="72">
        <f>SUBTOTAL(103,'Ene-25'!$M$86:$M$91)</f>
        <v>0</v>
      </c>
    </row>
    <row r="93" spans="2:13" ht="15.75" customHeight="1" x14ac:dyDescent="0.3"/>
    <row r="94" spans="2:13" ht="18.75" customHeight="1" x14ac:dyDescent="0.3">
      <c r="B94" s="485" t="s">
        <v>1373</v>
      </c>
      <c r="C94" s="486"/>
    </row>
    <row r="95" spans="2:13" ht="18.75" customHeight="1" x14ac:dyDescent="0.3">
      <c r="B95" s="45" t="s">
        <v>1322</v>
      </c>
      <c r="C95" s="46" t="s">
        <v>1323</v>
      </c>
      <c r="D95" s="46" t="s">
        <v>1366</v>
      </c>
      <c r="E95" s="46" t="s">
        <v>1367</v>
      </c>
      <c r="F95" s="46" t="s">
        <v>0</v>
      </c>
      <c r="G95" s="46" t="s">
        <v>1</v>
      </c>
      <c r="H95" s="46" t="s">
        <v>1374</v>
      </c>
      <c r="I95" s="46" t="s">
        <v>1348</v>
      </c>
      <c r="J95" s="46" t="s">
        <v>1376</v>
      </c>
      <c r="K95" s="46" t="s">
        <v>1377</v>
      </c>
      <c r="L95" s="46" t="s">
        <v>1334</v>
      </c>
      <c r="M95" s="47" t="s">
        <v>1437</v>
      </c>
    </row>
    <row r="96" spans="2:13" ht="18.75" customHeight="1" x14ac:dyDescent="0.3">
      <c r="B96" s="12">
        <v>45688</v>
      </c>
      <c r="C96" s="13"/>
      <c r="D96" s="14">
        <v>30</v>
      </c>
      <c r="E96" s="15">
        <v>101</v>
      </c>
      <c r="F96" s="16" t="s">
        <v>1581</v>
      </c>
      <c r="G96" s="73" t="s">
        <v>1580</v>
      </c>
      <c r="H96" s="74">
        <v>7850</v>
      </c>
      <c r="I96" s="74"/>
      <c r="J96" s="77"/>
      <c r="K96" s="74">
        <v>1052</v>
      </c>
      <c r="L96" s="74">
        <f>Table_6083[[#This Row],[USD]]*Table_6083[[#This Row],[TIPO DE CAMBIO2]]</f>
        <v>8258200</v>
      </c>
      <c r="M96" s="52"/>
    </row>
    <row r="97" spans="2:13" ht="18.75" customHeight="1" x14ac:dyDescent="0.3">
      <c r="B97" s="68"/>
      <c r="C97" s="69"/>
      <c r="D97" s="69"/>
      <c r="E97" s="69"/>
      <c r="F97" s="69"/>
      <c r="G97" s="190" t="str">
        <f>IFERROR(IF('Dic-24'!$F98="","-",VLOOKUP('Dic-24'!$F98,Lista_CUIT!$A$1:$D$2241,2,0)),"CUIT NO CARGADO")</f>
        <v>-</v>
      </c>
      <c r="H97" s="75"/>
      <c r="I97" s="75"/>
      <c r="J97" s="76"/>
      <c r="K97" s="76"/>
      <c r="L97" s="76"/>
      <c r="M97" s="72">
        <f>SUBTOTAL(103,'Abr-24'!$M$103:$M$106)</f>
        <v>0</v>
      </c>
    </row>
    <row r="98" spans="2:13" ht="18.75" customHeight="1" x14ac:dyDescent="0.3">
      <c r="B98" s="68" t="s">
        <v>1343</v>
      </c>
      <c r="C98" s="69"/>
      <c r="D98" s="69"/>
      <c r="E98" s="69"/>
      <c r="F98" s="69"/>
      <c r="G98" s="69"/>
      <c r="H98" s="75">
        <f>SUBTOTAL(109,'Dic-24'!$H$106:$H$108)</f>
        <v>13440</v>
      </c>
      <c r="I98" s="75">
        <f>SUBTOTAL(109,'Dic-24'!$I$106:$I$108)</f>
        <v>0</v>
      </c>
      <c r="J98" s="76">
        <f>SUBTOTAL(109,'Dic-24'!$J$106:$J$108)</f>
        <v>0</v>
      </c>
      <c r="K98" s="76">
        <f>SUBTOTAL(109,'Dic-24'!$K$106:$K$108)</f>
        <v>2035</v>
      </c>
      <c r="L98" s="76">
        <f>SUM(L96:L96)</f>
        <v>8258200</v>
      </c>
      <c r="M98" s="72">
        <f>SUBTOTAL(103,'Dic-24'!$M$106:$M$108)</f>
        <v>0</v>
      </c>
    </row>
    <row r="99" spans="2:13" ht="18.75" customHeight="1" x14ac:dyDescent="0.3"/>
    <row r="100" spans="2:13" ht="18.75" customHeight="1" x14ac:dyDescent="0.3"/>
    <row r="101" spans="2:13" ht="18.75" customHeight="1" x14ac:dyDescent="0.3"/>
    <row r="102" spans="2:13" ht="18.75" customHeight="1" x14ac:dyDescent="0.3"/>
    <row r="103" spans="2:13" ht="18.75" customHeight="1" x14ac:dyDescent="0.3"/>
    <row r="104" spans="2:13" ht="18.75" customHeight="1" x14ac:dyDescent="0.3"/>
    <row r="105" spans="2:13" ht="18.75" customHeight="1" x14ac:dyDescent="0.3"/>
    <row r="106" spans="2:13" ht="28.5" customHeight="1" x14ac:dyDescent="0.3"/>
    <row r="107" spans="2:13" ht="15.75" customHeight="1" x14ac:dyDescent="0.3"/>
    <row r="108" spans="2:13" ht="15.75" customHeight="1" x14ac:dyDescent="0.3"/>
    <row r="109" spans="2:13" ht="15.75" customHeight="1" x14ac:dyDescent="0.3"/>
    <row r="110" spans="2:13" ht="15.75" customHeight="1" x14ac:dyDescent="0.3"/>
    <row r="111" spans="2:13" ht="15.75" customHeight="1" x14ac:dyDescent="0.3">
      <c r="C111" s="487" t="s">
        <v>1380</v>
      </c>
      <c r="D111" s="488"/>
      <c r="E111" s="488"/>
      <c r="F111" s="488"/>
      <c r="G111" s="489"/>
      <c r="H111" s="88"/>
      <c r="I111" s="88"/>
      <c r="J111" s="88"/>
    </row>
    <row r="112" spans="2:13" ht="15.75" customHeight="1" x14ac:dyDescent="0.3">
      <c r="C112" s="89" t="s">
        <v>1381</v>
      </c>
      <c r="D112" s="90" t="s">
        <v>1382</v>
      </c>
      <c r="E112" s="90" t="s">
        <v>1376</v>
      </c>
      <c r="F112" s="90" t="s">
        <v>0</v>
      </c>
      <c r="G112" s="90" t="s">
        <v>1</v>
      </c>
      <c r="H112" s="91" t="s">
        <v>1383</v>
      </c>
      <c r="I112" s="91" t="s">
        <v>1384</v>
      </c>
      <c r="J112" s="91" t="s">
        <v>1385</v>
      </c>
      <c r="K112" s="91" t="s">
        <v>1386</v>
      </c>
      <c r="L112" s="91" t="s">
        <v>1387</v>
      </c>
    </row>
    <row r="113" spans="3:12" ht="15.75" customHeight="1" x14ac:dyDescent="0.3">
      <c r="C113" s="92">
        <v>44691</v>
      </c>
      <c r="D113" s="93">
        <v>11694</v>
      </c>
      <c r="E113" s="93"/>
      <c r="F113" s="39">
        <v>30506730038</v>
      </c>
      <c r="G113" s="40" t="str">
        <f>IFERROR(IF('Ene-25'!$F113="","-",VLOOKUP('Ene-25'!$F113,Lista_CUIT!$A$1:$D$2241,2,0)),"CUIT NO CARGADO")</f>
        <v>S.A. IMP. Y EXPO.  PATAGONIA</v>
      </c>
      <c r="H113" s="94"/>
      <c r="I113" s="94">
        <v>9597.94</v>
      </c>
      <c r="J113" s="94">
        <v>914.09</v>
      </c>
      <c r="K113" s="94"/>
      <c r="L113" s="94"/>
    </row>
    <row r="114" spans="3:12" ht="15.75" customHeight="1" x14ac:dyDescent="0.3">
      <c r="C114" s="92"/>
      <c r="D114" s="93">
        <v>11695</v>
      </c>
      <c r="E114" s="93"/>
      <c r="F114" s="39"/>
      <c r="G114" s="40" t="str">
        <f>IFERROR(IF('Ene-25'!$F114="","-",VLOOKUP('Ene-25'!$F114,Lista_CUIT!$A$1:$D$2241,2,0)),"CUIT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3">
      <c r="C115" s="92"/>
      <c r="D115" s="93">
        <v>11696</v>
      </c>
      <c r="E115" s="93"/>
      <c r="F115" s="39"/>
      <c r="G115" s="40" t="str">
        <f>IFERROR(IF('Ene-25'!$F115="","-",VLOOKUP('Ene-25'!$F115,Lista_CUIT!$A$1:$D$2241,2,0)),"CUIT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3">
      <c r="C116" s="92"/>
      <c r="D116" s="93">
        <v>11697</v>
      </c>
      <c r="E116" s="93"/>
      <c r="F116" s="39"/>
      <c r="G116" s="40" t="str">
        <f>IFERROR(IF('Ene-25'!$F116="","-",VLOOKUP('Ene-25'!$F116,Lista_CUIT!$A$1:$D$2241,2,0)),"CUIT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3">
      <c r="C117" s="3"/>
      <c r="D117" s="93">
        <v>11698</v>
      </c>
      <c r="E117" s="93"/>
      <c r="F117" s="3"/>
      <c r="G117" s="40" t="str">
        <f>IFERROR(IF('Ene-25'!$F117="","-",VLOOKUP('Ene-25'!$F117,Lista_CUIT!$A$1:$D$2241,2,0)),"CUIT NO CARGADO")</f>
        <v>-</v>
      </c>
      <c r="H117" s="3"/>
      <c r="I117" s="3"/>
      <c r="J117" s="3"/>
      <c r="K117" s="3"/>
      <c r="L117" s="3"/>
    </row>
    <row r="118" spans="3:12" ht="15.75" customHeight="1" x14ac:dyDescent="0.3">
      <c r="C118" s="145"/>
    </row>
    <row r="119" spans="3:12" ht="15.75" customHeight="1" x14ac:dyDescent="0.3"/>
    <row r="120" spans="3:12" ht="15.75" customHeight="1" x14ac:dyDescent="0.3"/>
    <row r="121" spans="3:12" ht="15.75" customHeight="1" x14ac:dyDescent="0.3"/>
    <row r="122" spans="3:12" ht="15.75" customHeight="1" x14ac:dyDescent="0.3"/>
    <row r="123" spans="3:12" ht="15.75" customHeight="1" x14ac:dyDescent="0.3"/>
    <row r="124" spans="3:12" ht="15.75" customHeight="1" x14ac:dyDescent="0.3"/>
    <row r="125" spans="3:12" ht="15.75" customHeight="1" x14ac:dyDescent="0.3"/>
    <row r="126" spans="3:12" ht="15.75" customHeight="1" x14ac:dyDescent="0.3"/>
    <row r="127" spans="3:12" ht="15.75" customHeight="1" x14ac:dyDescent="0.3"/>
    <row r="128" spans="3:1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21">
    <mergeCell ref="M4:N4"/>
    <mergeCell ref="P4:R4"/>
    <mergeCell ref="D37:L37"/>
    <mergeCell ref="C111:G111"/>
    <mergeCell ref="B3:E3"/>
    <mergeCell ref="B4:E4"/>
    <mergeCell ref="G4:H4"/>
    <mergeCell ref="J4:K4"/>
    <mergeCell ref="D46:K46"/>
    <mergeCell ref="B68:J68"/>
    <mergeCell ref="K68:M68"/>
    <mergeCell ref="B70:C70"/>
    <mergeCell ref="B84:C84"/>
    <mergeCell ref="B94:C94"/>
    <mergeCell ref="B1:F1"/>
    <mergeCell ref="G1:M1"/>
    <mergeCell ref="N1:R1"/>
    <mergeCell ref="G3:H3"/>
    <mergeCell ref="J3:K3"/>
    <mergeCell ref="M3:N3"/>
    <mergeCell ref="P3:R3"/>
  </mergeCells>
  <dataValidations count="15">
    <dataValidation type="custom" allowBlank="1" showErrorMessage="1" sqref="L72" xr:uid="{00000000-0002-0000-0A00-000000000000}">
      <formula1>IF($C9=3,L9&lt;0,L9&gt;=0)</formula1>
    </dataValidation>
    <dataValidation type="custom" allowBlank="1" showErrorMessage="1" sqref="H86:L91 H96:I96 K96:L96" xr:uid="{00000000-0002-0000-0A00-000001000000}">
      <formula1>IF($C86=8,H86&lt;0,H86&gt;=0)</formula1>
    </dataValidation>
    <dataValidation type="custom" allowBlank="1" showErrorMessage="1" sqref="L77:L78" xr:uid="{00000000-0002-0000-0A00-000002000000}">
      <formula1>IF($C32=3,L32&lt;0,L32&gt;=0)</formula1>
    </dataValidation>
    <dataValidation type="decimal" allowBlank="1" showErrorMessage="1" sqref="D9:D31 E48:E61 D72:D80 D86:D91 D96" xr:uid="{00000000-0002-0000-0A00-000003000000}">
      <formula1>1</formula1>
      <formula2>9999</formula2>
    </dataValidation>
    <dataValidation type="date" allowBlank="1" showErrorMessage="1" sqref="B9:B31 B33:B36 D39:D41 D48:D61 B72:B80 B86:B91 B96" xr:uid="{00000000-0002-0000-0A00-000004000000}">
      <formula1>40179</formula1>
      <formula2>TODAY()</formula2>
    </dataValidation>
    <dataValidation type="decimal" allowBlank="1" showErrorMessage="1" sqref="F9:F31 G48:G61 F72:F80 F86:F91" xr:uid="{00000000-0002-0000-0A00-000005000000}">
      <formula1>20000000000</formula1>
      <formula2>33999999999</formula2>
    </dataValidation>
    <dataValidation type="decimal" allowBlank="1" showErrorMessage="1" sqref="C86:C91" xr:uid="{00000000-0002-0000-0A00-000006000000}">
      <formula1>6</formula1>
      <formula2>8</formula2>
    </dataValidation>
    <dataValidation type="decimal" allowBlank="1" showErrorMessage="1" sqref="E9:E31 F48:F61 E72:E80 E86:E91 E96" xr:uid="{00000000-0002-0000-0A00-000007000000}">
      <formula1>1</formula1>
      <formula2>99999999</formula2>
    </dataValidation>
    <dataValidation type="decimal" allowBlank="1" showErrorMessage="1" sqref="C9:C31 C33:C36 C72:C80" xr:uid="{00000000-0002-0000-0A00-000008000000}">
      <formula1>1</formula1>
      <formula2>3</formula2>
    </dataValidation>
    <dataValidation type="custom" allowBlank="1" showErrorMessage="1" sqref="H78:K78 H74:K74 H76:K76 H72 J72:K72" xr:uid="{00000000-0002-0000-0A00-000009000000}">
      <formula1>IF($C72=3,H72&lt;0,H72&gt;=0)</formula1>
    </dataValidation>
    <dataValidation type="custom" allowBlank="1" showErrorMessage="1" sqref="L73:L75" xr:uid="{00000000-0002-0000-0A00-00000A000000}">
      <formula1>IF(#REF!=3,#REF!&lt;0,#REF!&gt;=0)</formula1>
    </dataValidation>
    <dataValidation type="custom" allowBlank="1" showErrorMessage="1" sqref="L76" xr:uid="{00000000-0002-0000-0A00-00000B000000}">
      <formula1>IF($C32=3,L32&lt;0,L32&gt;=0)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1" xr:uid="{00000000-0002-0000-0A00-00000C000000}">
      <formula1>IF($C9=3,H9&lt;0,H9&gt;=0)</formula1>
    </dataValidation>
    <dataValidation type="decimal" allowBlank="1" showErrorMessage="1" sqref="C96" xr:uid="{00000000-0002-0000-0A00-00000D000000}">
      <formula1>80</formula1>
      <formula2>80</formula2>
    </dataValidation>
    <dataValidation allowBlank="1" showErrorMessage="1" sqref="F96" xr:uid="{00000000-0002-0000-0A00-00000E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DE9D9"/>
  </sheetPr>
  <dimension ref="A1:Z1007"/>
  <sheetViews>
    <sheetView showGridLines="0" topLeftCell="K1" zoomScale="80" zoomScaleNormal="80" workbookViewId="0">
      <selection activeCell="M69" sqref="M69"/>
    </sheetView>
  </sheetViews>
  <sheetFormatPr baseColWidth="10" defaultColWidth="14.44140625" defaultRowHeight="15" customHeight="1" x14ac:dyDescent="0.3"/>
  <cols>
    <col min="1" max="1" width="8.109375" customWidth="1"/>
    <col min="2" max="6" width="15.6640625" customWidth="1"/>
    <col min="7" max="7" width="20.109375" customWidth="1"/>
    <col min="8" max="8" width="20.88671875" customWidth="1"/>
    <col min="9" max="40" width="15.6640625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97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EDATE('Abr-24'!N1,10)</f>
        <v>45323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SUM('Feb-25'!$H$35)+'Feb-25'!$G$51</f>
        <v>6653320.4727380965</v>
      </c>
      <c r="C4" s="476"/>
      <c r="D4" s="476"/>
      <c r="E4" s="477"/>
      <c r="F4" s="8"/>
      <c r="G4" s="491">
        <f>'Feb-25'!$I$35+'Feb-25'!$J$35+'Feb-25'!$K$35+'Feb-25'!$H$51+'Feb-25'!$I$51</f>
        <v>1328266.6582000002</v>
      </c>
      <c r="H4" s="477"/>
      <c r="I4" s="8"/>
      <c r="J4" s="494">
        <f>'Feb-25'!$H$91+'Feb-25'!$H$102</f>
        <v>86018537.5</v>
      </c>
      <c r="K4" s="477"/>
      <c r="L4" s="8"/>
      <c r="M4" s="494">
        <f>'Feb-25'!$I$91+'Feb-25'!$J$91+'Feb-25'!$I$102+'Feb-25'!$J$102</f>
        <v>9584973.8249999993</v>
      </c>
      <c r="N4" s="477"/>
      <c r="O4" s="8"/>
      <c r="P4" s="501">
        <f>G4-M4</f>
        <v>-8256707.1667999988</v>
      </c>
      <c r="Q4" s="502"/>
      <c r="R4" s="503"/>
    </row>
    <row r="5" spans="1:19" ht="12.75" customHeight="1" x14ac:dyDescent="0.3"/>
    <row r="6" spans="1:19" ht="10.5" customHeight="1" x14ac:dyDescent="0.3"/>
    <row r="7" spans="1:19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thickBot="1" x14ac:dyDescent="0.35">
      <c r="B8" s="424" t="s">
        <v>1322</v>
      </c>
      <c r="C8" s="425" t="s">
        <v>1323</v>
      </c>
      <c r="D8" s="425" t="s">
        <v>1324</v>
      </c>
      <c r="E8" s="425" t="s">
        <v>1325</v>
      </c>
      <c r="F8" s="425" t="s">
        <v>0</v>
      </c>
      <c r="G8" s="425" t="s">
        <v>1</v>
      </c>
      <c r="H8" s="425" t="s">
        <v>1326</v>
      </c>
      <c r="I8" s="425" t="s">
        <v>1327</v>
      </c>
      <c r="J8" s="425" t="s">
        <v>1328</v>
      </c>
      <c r="K8" s="425" t="s">
        <v>1329</v>
      </c>
      <c r="L8" s="425" t="s">
        <v>1330</v>
      </c>
      <c r="M8" s="425" t="s">
        <v>1331</v>
      </c>
      <c r="N8" s="425" t="s">
        <v>1332</v>
      </c>
      <c r="O8" s="425" t="s">
        <v>1333</v>
      </c>
      <c r="P8" s="425" t="s">
        <v>1334</v>
      </c>
      <c r="Q8" s="425" t="s">
        <v>2</v>
      </c>
      <c r="R8" s="426" t="s">
        <v>1335</v>
      </c>
    </row>
    <row r="9" spans="1:19" ht="15" customHeight="1" x14ac:dyDescent="0.3">
      <c r="B9" s="303">
        <v>45689</v>
      </c>
      <c r="C9" s="304">
        <v>1</v>
      </c>
      <c r="D9" s="305">
        <v>1</v>
      </c>
      <c r="E9" s="306">
        <v>9068</v>
      </c>
      <c r="F9" s="307">
        <v>30718387619</v>
      </c>
      <c r="G9" s="308" t="str">
        <f>IFERROR(IF('Feb-25'!$F9="","-",VLOOKUP('Feb-25'!$F9,Lista_CUIT!$A$1:$D$2241,2,0)),"CUIT NO CARGADO")</f>
        <v>QUE PAQUETE! SOCIEDAD ANONIMA</v>
      </c>
      <c r="H9" s="309">
        <v>14657.08</v>
      </c>
      <c r="I9" s="310">
        <f>IF('Feb-25'!$H9="","",'Feb-25'!$H9*0.21)</f>
        <v>3077.9867999999997</v>
      </c>
      <c r="J9" s="310"/>
      <c r="K9" s="310"/>
      <c r="L9" s="310"/>
      <c r="M9" s="310"/>
      <c r="N9" s="310"/>
      <c r="O9" s="310"/>
      <c r="P9" s="311">
        <f>SUM('Feb-25'!$H9:$O9)</f>
        <v>17735.066800000001</v>
      </c>
      <c r="Q9" s="312" t="str">
        <f>IFERROR(IF('Feb-25'!$F9="","-",VLOOKUP('Feb-25'!$F9,Lista_CUIT!$A$1:$D$2241,3,0)),"CUIT NO CARGADO")</f>
        <v>GASTOS VARIOS</v>
      </c>
      <c r="R9" s="313">
        <f>IFERROR(IF('Feb-25'!$F9="","-",VLOOKUP('Feb-25'!$F9,Lista_CUIT!$A$1:$D$2241,4,0)),"CUIT NO CARGADO")</f>
        <v>0</v>
      </c>
    </row>
    <row r="10" spans="1:19" ht="15" customHeight="1" x14ac:dyDescent="0.3">
      <c r="B10" s="221">
        <v>45689</v>
      </c>
      <c r="C10" s="222">
        <v>1</v>
      </c>
      <c r="D10" s="223">
        <v>3</v>
      </c>
      <c r="E10" s="224">
        <v>255339</v>
      </c>
      <c r="F10" s="225">
        <v>30707135596</v>
      </c>
      <c r="G10" s="226" t="str">
        <f>IFERROR(IF('Feb-25'!$F10="","-",VLOOKUP('Feb-25'!$F10,Lista_CUIT!$A$1:$D$2241,2,0)),"CUIT NO CARGADO")</f>
        <v>CITILAN ARGENTINA S.A.</v>
      </c>
      <c r="H10" s="227">
        <v>25415</v>
      </c>
      <c r="I10" s="228">
        <f>IF('Feb-25'!$H10="","",'Feb-25'!$H10*0.21)</f>
        <v>5337.15</v>
      </c>
      <c r="J10" s="228"/>
      <c r="K10" s="228"/>
      <c r="L10" s="228"/>
      <c r="M10" s="228"/>
      <c r="N10" s="228"/>
      <c r="O10" s="228"/>
      <c r="P10" s="229">
        <f>SUM('Feb-25'!$H10:$O10)</f>
        <v>30752.15</v>
      </c>
      <c r="Q10" s="230" t="str">
        <f>IFERROR(IF('Feb-25'!$F10="","-",VLOOKUP('Feb-25'!$F10,Lista_CUIT!$A$1:$D$2241,3,0)),"CUIT NO CARGADO")</f>
        <v>Telefonia</v>
      </c>
      <c r="R10" s="231">
        <f>IFERROR(IF('Feb-25'!$F10="","-",VLOOKUP('Feb-25'!$F10,Lista_CUIT!$A$1:$D$2241,4,0)),"CUIT NO CARGADO")</f>
        <v>0</v>
      </c>
    </row>
    <row r="11" spans="1:19" ht="15" customHeight="1" x14ac:dyDescent="0.3">
      <c r="B11" s="221">
        <v>45689</v>
      </c>
      <c r="C11" s="222">
        <v>1</v>
      </c>
      <c r="D11" s="223">
        <v>3</v>
      </c>
      <c r="E11" s="224">
        <v>830</v>
      </c>
      <c r="F11" s="225">
        <v>30715402765</v>
      </c>
      <c r="G11" s="226" t="str">
        <f>IFERROR(IF('Feb-25'!$F11="","-",VLOOKUP('Feb-25'!$F11,Lista_CUIT!$A$1:$D$2241,2,0)),"CUIT NO CARGADO")</f>
        <v>RIO 265 S.R.L.</v>
      </c>
      <c r="H11" s="227">
        <v>80991.759999999995</v>
      </c>
      <c r="I11" s="228">
        <f>IF('Feb-25'!$H11="","",'Feb-25'!$H11*0.21)</f>
        <v>17008.2696</v>
      </c>
      <c r="J11" s="228"/>
      <c r="K11" s="228"/>
      <c r="L11" s="228"/>
      <c r="M11" s="228"/>
      <c r="N11" s="228"/>
      <c r="O11" s="228"/>
      <c r="P11" s="229">
        <f>SUM('Feb-25'!$H11:$O11)</f>
        <v>98000.029599999994</v>
      </c>
      <c r="Q11" s="230" t="str">
        <f>IFERROR(IF('Feb-25'!$F11="","-",VLOOKUP('Feb-25'!$F11,Lista_CUIT!$A$1:$D$2241,3,0)),"CUIT NO CARGADO")</f>
        <v>GASTOS VARIOS</v>
      </c>
      <c r="R11" s="231">
        <f>IFERROR(IF('Feb-25'!$F11="","-",VLOOKUP('Feb-25'!$F11,Lista_CUIT!$A$1:$D$2241,4,0)),"CUIT NO CARGADO")</f>
        <v>0</v>
      </c>
    </row>
    <row r="12" spans="1:19" ht="15" customHeight="1" x14ac:dyDescent="0.3">
      <c r="B12" s="221">
        <v>45691</v>
      </c>
      <c r="C12" s="222">
        <v>1</v>
      </c>
      <c r="D12" s="223">
        <v>11</v>
      </c>
      <c r="E12" s="224">
        <v>8985</v>
      </c>
      <c r="F12" s="225">
        <v>30710201249</v>
      </c>
      <c r="G12" s="226" t="str">
        <f>IFERROR(IF('Feb-25'!$F12="","-",VLOOKUP('Feb-25'!$F12,Lista_CUIT!$A$1:$D$2241,2,0)),"CUIT NO CARGADO")</f>
        <v>SANTANDREA S.A.</v>
      </c>
      <c r="H12" s="227">
        <v>31231.4</v>
      </c>
      <c r="I12" s="228">
        <f>IF('Feb-25'!$H12="","",'Feb-25'!$H12*0.21)</f>
        <v>6558.5940000000001</v>
      </c>
      <c r="J12" s="228"/>
      <c r="K12" s="228"/>
      <c r="L12" s="228"/>
      <c r="M12" s="228"/>
      <c r="N12" s="228"/>
      <c r="O12" s="228"/>
      <c r="P12" s="229">
        <f>SUM('Feb-25'!$H12:$O12)</f>
        <v>37789.993999999999</v>
      </c>
      <c r="Q12" s="230" t="str">
        <f>IFERROR(IF('Feb-25'!$F12="","-",VLOOKUP('Feb-25'!$F12,Lista_CUIT!$A$1:$D$2241,3,0)),"CUIT NO CARGADO")</f>
        <v>Gastos Oficina</v>
      </c>
      <c r="R12" s="231">
        <f>IFERROR(IF('Feb-25'!$F12="","-",VLOOKUP('Feb-25'!$F12,Lista_CUIT!$A$1:$D$2241,4,0)),"CUIT NO CARGADO")</f>
        <v>0</v>
      </c>
    </row>
    <row r="13" spans="1:19" ht="15" customHeight="1" x14ac:dyDescent="0.3">
      <c r="B13" s="221">
        <v>45691</v>
      </c>
      <c r="C13" s="222">
        <v>1</v>
      </c>
      <c r="D13" s="223">
        <v>2</v>
      </c>
      <c r="E13" s="224">
        <v>211</v>
      </c>
      <c r="F13" s="225">
        <v>20125142851</v>
      </c>
      <c r="G13" s="226" t="str">
        <f>IFERROR(IF('Feb-25'!$F13="","-",VLOOKUP('Feb-25'!$F13,Lista_CUIT!$A$1:$D$2241,2,0)),"CUIT NO CARGADO")</f>
        <v>FEDERICI NICOLAS JOSE</v>
      </c>
      <c r="H13" s="227">
        <v>1502760.24</v>
      </c>
      <c r="I13" s="228">
        <f>IF('Feb-25'!$H13="","",'Feb-25'!$H13*0.21)</f>
        <v>315579.65039999998</v>
      </c>
      <c r="J13" s="228"/>
      <c r="K13" s="228"/>
      <c r="L13" s="228"/>
      <c r="M13" s="228"/>
      <c r="N13" s="228"/>
      <c r="O13" s="228"/>
      <c r="P13" s="229">
        <f>SUM('Feb-25'!$H13:$O13)</f>
        <v>1818339.8903999999</v>
      </c>
      <c r="Q13" s="230" t="str">
        <f>IFERROR(IF('Feb-25'!$F13="","-",VLOOKUP('Feb-25'!$F13,Lista_CUIT!$A$1:$D$2241,3,0)),"CUIT NO CARGADO")</f>
        <v>INSUMO</v>
      </c>
      <c r="R13" s="231">
        <f>IFERROR(IF('Feb-25'!$F13="","-",VLOOKUP('Feb-25'!$F13,Lista_CUIT!$A$1:$D$2241,4,0)),"CUIT NO CARGADO")</f>
        <v>0</v>
      </c>
    </row>
    <row r="14" spans="1:19" ht="15" customHeight="1" x14ac:dyDescent="0.3">
      <c r="B14" s="221">
        <v>45698</v>
      </c>
      <c r="C14" s="222">
        <v>1</v>
      </c>
      <c r="D14" s="223">
        <v>5</v>
      </c>
      <c r="E14" s="224">
        <v>5476</v>
      </c>
      <c r="F14" s="225">
        <v>20231333593</v>
      </c>
      <c r="G14" s="226" t="str">
        <f>IFERROR(IF('Feb-25'!$F14="","-",VLOOKUP('Feb-25'!$F14,Lista_CUIT!$A$1:$D$2241,2,0)),"CUIT NO CARGADO")</f>
        <v>BOLLINI CLAUDIO DANIEL</v>
      </c>
      <c r="H14" s="227">
        <v>80000</v>
      </c>
      <c r="I14" s="228">
        <f>IF('Feb-25'!$H14="","",'Feb-25'!$H14*0.21)</f>
        <v>16800</v>
      </c>
      <c r="J14" s="228"/>
      <c r="K14" s="228"/>
      <c r="L14" s="228"/>
      <c r="M14" s="228"/>
      <c r="N14" s="228"/>
      <c r="O14" s="228"/>
      <c r="P14" s="229">
        <f>SUM('Feb-25'!$H14:$O14)</f>
        <v>96800</v>
      </c>
      <c r="Q14" s="230" t="str">
        <f>IFERROR(IF('Feb-25'!$F14="","-",VLOOKUP('Feb-25'!$F14,Lista_CUIT!$A$1:$D$2241,3,0)),"CUIT NO CARGADO")</f>
        <v>Mantenimiento</v>
      </c>
      <c r="R14" s="231">
        <f>IFERROR(IF('Feb-25'!$F14="","-",VLOOKUP('Feb-25'!$F14,Lista_CUIT!$A$1:$D$2241,4,0)),"CUIT NO CARGADO")</f>
        <v>0</v>
      </c>
    </row>
    <row r="15" spans="1:19" ht="15" customHeight="1" x14ac:dyDescent="0.3">
      <c r="B15" s="221">
        <v>45698</v>
      </c>
      <c r="C15" s="222">
        <v>1</v>
      </c>
      <c r="D15" s="223">
        <v>1</v>
      </c>
      <c r="E15" s="224">
        <v>912</v>
      </c>
      <c r="F15" s="225">
        <v>30715048066</v>
      </c>
      <c r="G15" s="226" t="str">
        <f>IFERROR(IF('Feb-25'!$F15="","-",VLOOKUP('Feb-25'!$F15,Lista_CUIT!$A$1:$D$2241,2,0)),"CUIT NO CARGADO")</f>
        <v>ROLLS Y EMPANADAS SA</v>
      </c>
      <c r="H15" s="227">
        <v>749510</v>
      </c>
      <c r="I15" s="228">
        <f>IF('Feb-25'!$H15="","",'Feb-25'!$H15*0.21)</f>
        <v>157397.1</v>
      </c>
      <c r="J15" s="228"/>
      <c r="K15" s="228"/>
      <c r="L15" s="228"/>
      <c r="M15" s="228"/>
      <c r="N15" s="228"/>
      <c r="O15" s="228"/>
      <c r="P15" s="229">
        <f>SUM('Feb-25'!$H15:$O15)</f>
        <v>906907.1</v>
      </c>
      <c r="Q15" s="230" t="str">
        <f>IFERROR(IF('Feb-25'!$F15="","-",VLOOKUP('Feb-25'!$F15,Lista_CUIT!$A$1:$D$2241,3,0)),"CUIT NO CARGADO")</f>
        <v>CATERING</v>
      </c>
      <c r="R15" s="231">
        <f>IFERROR(IF('Feb-25'!$F15="","-",VLOOKUP('Feb-25'!$F15,Lista_CUIT!$A$1:$D$2241,4,0)),"CUIT NO CARGADO")</f>
        <v>0</v>
      </c>
    </row>
    <row r="16" spans="1:19" ht="15" customHeight="1" x14ac:dyDescent="0.3">
      <c r="B16" s="221">
        <v>45699</v>
      </c>
      <c r="C16" s="222">
        <v>1</v>
      </c>
      <c r="D16" s="223">
        <v>31</v>
      </c>
      <c r="E16" s="224">
        <v>67524</v>
      </c>
      <c r="F16" s="225">
        <v>30715209833</v>
      </c>
      <c r="G16" s="226" t="str">
        <f>IFERROR(IF('Feb-25'!$F16="","-",VLOOKUP('Feb-25'!$F16,Lista_CUIT!$A$1:$D$2241,2,0)),"CUIT NO CARGADO")</f>
        <v>GIFEL SRL</v>
      </c>
      <c r="H16" s="227">
        <v>45545.45</v>
      </c>
      <c r="I16" s="228">
        <f>IF('Feb-25'!$H16="","",'Feb-25'!$H16*0.21)</f>
        <v>9564.5444999999982</v>
      </c>
      <c r="J16" s="228"/>
      <c r="K16" s="228"/>
      <c r="L16" s="228"/>
      <c r="M16" s="228"/>
      <c r="N16" s="228"/>
      <c r="O16" s="228"/>
      <c r="P16" s="229">
        <f>SUM('Feb-25'!$H16:$O16)</f>
        <v>55109.994499999993</v>
      </c>
      <c r="Q16" s="230" t="str">
        <f>IFERROR(IF('Feb-25'!$F16="","-",VLOOKUP('Feb-25'!$F16,Lista_CUIT!$A$1:$D$2241,3,0)),"CUIT NO CARGADO")</f>
        <v>Gastos Oficina</v>
      </c>
      <c r="R16" s="231">
        <f>IFERROR(IF('Feb-25'!$F16="","-",VLOOKUP('Feb-25'!$F16,Lista_CUIT!$A$1:$D$2241,4,0)),"CUIT NO CARGADO")</f>
        <v>0</v>
      </c>
    </row>
    <row r="17" spans="2:18" ht="15" customHeight="1" x14ac:dyDescent="0.3">
      <c r="B17" s="221">
        <v>45699</v>
      </c>
      <c r="C17" s="222">
        <v>1</v>
      </c>
      <c r="D17" s="223">
        <v>17</v>
      </c>
      <c r="E17" s="224">
        <v>14797</v>
      </c>
      <c r="F17" s="225">
        <v>30534051049</v>
      </c>
      <c r="G17" s="226" t="str">
        <f>IFERROR(IF('Feb-25'!$F17="","-",VLOOKUP('Feb-25'!$F17,Lista_CUIT!$A$1:$D$2241,2,0)),"CUIT NO CARGADO")</f>
        <v>ELECTRO UNIVERSO - PLIN METAL S A</v>
      </c>
      <c r="H17" s="227">
        <v>123548</v>
      </c>
      <c r="I17" s="228">
        <f>IF('Feb-25'!$H17="","",'Feb-25'!$H17*0.21)</f>
        <v>25945.079999999998</v>
      </c>
      <c r="J17" s="228"/>
      <c r="K17" s="228"/>
      <c r="L17" s="228"/>
      <c r="M17" s="228"/>
      <c r="N17" s="228"/>
      <c r="O17" s="228"/>
      <c r="P17" s="229">
        <f>SUM('Feb-25'!$H17:$O17)</f>
        <v>149493.07999999999</v>
      </c>
      <c r="Q17" s="230" t="str">
        <f>IFERROR(IF('Feb-25'!$F17="","-",VLOOKUP('Feb-25'!$F17,Lista_CUIT!$A$1:$D$2241,3,0)),"CUIT NO CARGADO")</f>
        <v>INSUMO</v>
      </c>
      <c r="R17" s="231">
        <f>IFERROR(IF('Feb-25'!$F17="","-",VLOOKUP('Feb-25'!$F17,Lista_CUIT!$A$1:$D$2241,4,0)),"CUIT NO CARGADO")</f>
        <v>0</v>
      </c>
    </row>
    <row r="18" spans="2:18" ht="15" customHeight="1" x14ac:dyDescent="0.3">
      <c r="B18" s="221">
        <v>45699</v>
      </c>
      <c r="C18" s="222">
        <v>1</v>
      </c>
      <c r="D18" s="223">
        <v>2466</v>
      </c>
      <c r="E18" s="224">
        <v>749416</v>
      </c>
      <c r="F18" s="225">
        <v>30678814357</v>
      </c>
      <c r="G18" s="226" t="str">
        <f>IFERROR(IF('Feb-25'!$F18="","-",VLOOKUP('Feb-25'!$F18,Lista_CUIT!$A$1:$D$2241,2,0)),"CUIT NO CARGADO")</f>
        <v>TELEFONICA MOVILES ARG</v>
      </c>
      <c r="H18" s="227">
        <v>31250</v>
      </c>
      <c r="I18" s="228"/>
      <c r="J18" s="228">
        <v>8437.5</v>
      </c>
      <c r="K18" s="228"/>
      <c r="L18" s="228">
        <v>937.5</v>
      </c>
      <c r="M18" s="228"/>
      <c r="N18" s="228"/>
      <c r="O18" s="228">
        <v>1644.72</v>
      </c>
      <c r="P18" s="229">
        <f>SUM('Feb-25'!$H18:$O18)</f>
        <v>42269.72</v>
      </c>
      <c r="Q18" s="230" t="str">
        <f>IFERROR(IF('Feb-25'!$F18="","-",VLOOKUP('Feb-25'!$F18,Lista_CUIT!$A$1:$D$2241,3,0)),"CUIT NO CARGADO")</f>
        <v>Telefonia</v>
      </c>
      <c r="R18" s="231">
        <f>IFERROR(IF('Feb-25'!$F18="","-",VLOOKUP('Feb-25'!$F18,Lista_CUIT!$A$1:$D$2241,4,0)),"CUIT NO CARGADO")</f>
        <v>0</v>
      </c>
    </row>
    <row r="19" spans="2:18" ht="15" customHeight="1" x14ac:dyDescent="0.3">
      <c r="B19" s="221">
        <v>45701</v>
      </c>
      <c r="C19" s="222">
        <v>1</v>
      </c>
      <c r="D19" s="223">
        <v>5</v>
      </c>
      <c r="E19" s="224">
        <v>11509</v>
      </c>
      <c r="F19" s="225">
        <v>33711557119</v>
      </c>
      <c r="G19" s="226" t="str">
        <f>IFERROR(IF('Feb-25'!$F19="","-",VLOOKUP('Feb-25'!$F19,Lista_CUIT!$A$1:$D$2241,2,0)),"CUIT NO CARGADO")</f>
        <v>ELECTROMINGO S.R.L.</v>
      </c>
      <c r="H19" s="227">
        <v>3801.65</v>
      </c>
      <c r="I19" s="228">
        <f>IF('Feb-25'!$H19="","",'Feb-25'!$H19*0.21)</f>
        <v>798.34649999999999</v>
      </c>
      <c r="J19" s="228"/>
      <c r="K19" s="228"/>
      <c r="L19" s="228"/>
      <c r="M19" s="228"/>
      <c r="N19" s="228"/>
      <c r="O19" s="228"/>
      <c r="P19" s="229">
        <f>SUM('Feb-25'!$H19:$O19)</f>
        <v>4599.9965000000002</v>
      </c>
      <c r="Q19" s="230" t="str">
        <f>IFERROR(IF('Feb-25'!$F19="","-",VLOOKUP('Feb-25'!$F19,Lista_CUIT!$A$1:$D$2241,3,0)),"CUIT NO CARGADO")</f>
        <v>INSUMO</v>
      </c>
      <c r="R19" s="231" t="str">
        <f>IFERROR(IF('Feb-25'!$F19="","-",VLOOKUP('Feb-25'!$F19,Lista_CUIT!$A$1:$D$2241,4,0)),"CUIT NO CARGADO")</f>
        <v>BUENOS AIRES</v>
      </c>
    </row>
    <row r="20" spans="2:18" ht="15" customHeight="1" x14ac:dyDescent="0.3">
      <c r="B20" s="221">
        <v>45702</v>
      </c>
      <c r="C20" s="222">
        <v>1</v>
      </c>
      <c r="D20" s="223">
        <v>16</v>
      </c>
      <c r="E20" s="224">
        <v>197</v>
      </c>
      <c r="F20" s="225">
        <v>20241271235</v>
      </c>
      <c r="G20" s="226" t="str">
        <f>IFERROR(IF('Feb-25'!$F20="","-",VLOOKUP('Feb-25'!$F20,Lista_CUIT!$A$1:$D$2241,2,0)),"CUIT NO CARGADO")</f>
        <v>SATDJIAN GUSTAVO ARTURO</v>
      </c>
      <c r="H20" s="227">
        <v>39629.75</v>
      </c>
      <c r="I20" s="228">
        <f>IF('Feb-25'!$H20="","",'Feb-25'!$H20*0.21)</f>
        <v>8322.2474999999995</v>
      </c>
      <c r="J20" s="228"/>
      <c r="K20" s="228"/>
      <c r="L20" s="228"/>
      <c r="M20" s="228"/>
      <c r="N20" s="228"/>
      <c r="O20" s="228"/>
      <c r="P20" s="229">
        <f>SUM('Feb-25'!$H20:$O20)</f>
        <v>47951.997499999998</v>
      </c>
      <c r="Q20" s="230" t="str">
        <f>IFERROR(IF('Feb-25'!$F20="","-",VLOOKUP('Feb-25'!$F20,Lista_CUIT!$A$1:$D$2241,3,0)),"CUIT NO CARGADO")</f>
        <v>INSUMO</v>
      </c>
      <c r="R20" s="231">
        <f>IFERROR(IF('Feb-25'!$F20="","-",VLOOKUP('Feb-25'!$F20,Lista_CUIT!$A$1:$D$2241,4,0)),"CUIT NO CARGADO")</f>
        <v>0</v>
      </c>
    </row>
    <row r="21" spans="2:18" ht="15" customHeight="1" x14ac:dyDescent="0.3">
      <c r="B21" s="221">
        <v>45702</v>
      </c>
      <c r="C21" s="222">
        <v>1</v>
      </c>
      <c r="D21" s="223">
        <v>3</v>
      </c>
      <c r="E21" s="224">
        <v>334</v>
      </c>
      <c r="F21" s="225">
        <v>20921575743</v>
      </c>
      <c r="G21" s="226" t="str">
        <f>IFERROR(IF('Feb-25'!$F21="","-",VLOOKUP('Feb-25'!$F21,Lista_CUIT!$A$1:$D$2241,2,0)),"CUIT NO CARGADO")</f>
        <v>RIOS GOMEZ JOSE ANTONIO</v>
      </c>
      <c r="H21" s="227">
        <v>1710000</v>
      </c>
      <c r="I21" s="228">
        <f>IF('Feb-25'!$H21="","",'Feb-25'!$H21*0.21)</f>
        <v>359100</v>
      </c>
      <c r="J21" s="228"/>
      <c r="K21" s="228"/>
      <c r="L21" s="228"/>
      <c r="M21" s="228"/>
      <c r="N21" s="228"/>
      <c r="O21" s="228"/>
      <c r="P21" s="229">
        <f>SUM('Feb-25'!$H21:$O21)</f>
        <v>2069100</v>
      </c>
      <c r="Q21" s="230" t="str">
        <f>IFERROR(IF('Feb-25'!$F21="","-",VLOOKUP('Feb-25'!$F21,Lista_CUIT!$A$1:$D$2241,3,0)),"CUIT NO CARGADO")</f>
        <v>Papeleria</v>
      </c>
      <c r="R21" s="231">
        <f>IFERROR(IF('Feb-25'!$F21="","-",VLOOKUP('Feb-25'!$F21,Lista_CUIT!$A$1:$D$2241,4,0)),"CUIT NO CARGADO")</f>
        <v>0</v>
      </c>
    </row>
    <row r="22" spans="2:18" ht="15" customHeight="1" x14ac:dyDescent="0.3">
      <c r="B22" s="221">
        <v>45707</v>
      </c>
      <c r="C22" s="222">
        <v>1</v>
      </c>
      <c r="D22" s="223">
        <v>9</v>
      </c>
      <c r="E22" s="224">
        <v>1124</v>
      </c>
      <c r="F22" s="225">
        <v>20330173328</v>
      </c>
      <c r="G22" s="226" t="str">
        <f>IFERROR(IF('Feb-25'!$F22="","-",VLOOKUP('Feb-25'!$F22,Lista_CUIT!$A$1:$D$2241,2,0)),"CUIT NO CARGADO")</f>
        <v>TORRE CRISTIAN HERNAN</v>
      </c>
      <c r="H22" s="227">
        <v>10636.36</v>
      </c>
      <c r="I22" s="228">
        <f>IF('Feb-25'!$H22="","",'Feb-25'!$H22*0.21)</f>
        <v>2233.6356000000001</v>
      </c>
      <c r="J22" s="228"/>
      <c r="K22" s="228"/>
      <c r="L22" s="228"/>
      <c r="M22" s="228"/>
      <c r="N22" s="228"/>
      <c r="O22" s="228"/>
      <c r="P22" s="229">
        <f>SUM('Feb-25'!$H22:$O22)</f>
        <v>12869.9956</v>
      </c>
      <c r="Q22" s="230" t="str">
        <f>IFERROR(IF('Feb-25'!$F22="","-",VLOOKUP('Feb-25'!$F22,Lista_CUIT!$A$1:$D$2241,3,0)),"CUIT NO CARGADO")</f>
        <v>INSUMO</v>
      </c>
      <c r="R22" s="231">
        <f>IFERROR(IF('Feb-25'!$F22="","-",VLOOKUP('Feb-25'!$F22,Lista_CUIT!$A$1:$D$2241,4,0)),"CUIT NO CARGADO")</f>
        <v>0</v>
      </c>
    </row>
    <row r="23" spans="2:18" ht="15" customHeight="1" x14ac:dyDescent="0.3">
      <c r="B23" s="221">
        <v>45713</v>
      </c>
      <c r="C23" s="222">
        <v>1</v>
      </c>
      <c r="D23" s="223">
        <v>5</v>
      </c>
      <c r="E23" s="320">
        <v>2035</v>
      </c>
      <c r="F23" s="321">
        <v>30707397256</v>
      </c>
      <c r="G23" s="226" t="str">
        <f>IFERROR(IF('Feb-25'!$F23="","-",VLOOKUP('Feb-25'!$F23,Lista_CUIT!$A$1:$D$2241,2,0)),"CUIT NO CARGADO")</f>
        <v>GRAFICA Y FOTOGRABADOS LA PLAZA SRL</v>
      </c>
      <c r="H23" s="227">
        <v>285000</v>
      </c>
      <c r="I23" s="228">
        <f>IF('Feb-25'!$H23="","",'Feb-25'!$H23*0.21)</f>
        <v>59850</v>
      </c>
      <c r="J23" s="228"/>
      <c r="K23" s="228"/>
      <c r="L23" s="228"/>
      <c r="M23" s="228"/>
      <c r="N23" s="228"/>
      <c r="O23" s="228"/>
      <c r="P23" s="229">
        <f>SUM('Feb-25'!$H23:$O23)</f>
        <v>344850</v>
      </c>
      <c r="Q23" s="230" t="str">
        <f>IFERROR(IF('Feb-25'!$F23="","-",VLOOKUP('Feb-25'!$F23,Lista_CUIT!$A$1:$D$2241,3,0)),"CUIT NO CARGADO")</f>
        <v>MATERIALES</v>
      </c>
      <c r="R23" s="231">
        <f>IFERROR(IF('Feb-25'!$F23="","-",VLOOKUP('Feb-25'!$F23,Lista_CUIT!$A$1:$D$2241,4,0)),"CUIT NO CARGADO")</f>
        <v>0</v>
      </c>
    </row>
    <row r="24" spans="2:18" ht="15" customHeight="1" x14ac:dyDescent="0.3">
      <c r="B24" s="221">
        <v>45716</v>
      </c>
      <c r="C24" s="222">
        <v>1</v>
      </c>
      <c r="D24" s="305">
        <v>7002</v>
      </c>
      <c r="E24" s="306">
        <v>20641</v>
      </c>
      <c r="F24" s="307">
        <v>30678774495</v>
      </c>
      <c r="G24" s="226" t="str">
        <f>IFERROR(IF('Feb-25'!$F24="","-",VLOOKUP('Feb-25'!$F24,Lista_CUIT!$A$1:$D$2241,2,0)),"CUIT NO CARGADO")</f>
        <v>OPER. DE EST. DE SERV. SA</v>
      </c>
      <c r="H24" s="227">
        <v>32013.73</v>
      </c>
      <c r="I24" s="228">
        <f>IF('Feb-25'!$H24="","",'Feb-25'!$H24*0.21)</f>
        <v>6722.8832999999995</v>
      </c>
      <c r="J24" s="228"/>
      <c r="K24" s="228"/>
      <c r="L24" s="228"/>
      <c r="M24" s="228"/>
      <c r="N24" s="228"/>
      <c r="O24" s="228">
        <v>8146.38</v>
      </c>
      <c r="P24" s="229">
        <f>SUM('Feb-25'!$H24:$O24)</f>
        <v>46882.993299999995</v>
      </c>
      <c r="Q24" s="230" t="str">
        <f>IFERROR(IF('Feb-25'!$F24="","-",VLOOKUP('Feb-25'!$F24,Lista_CUIT!$A$1:$D$2241,3,0)),"CUIT NO CARGADO")</f>
        <v>COMBUSTIBLE</v>
      </c>
      <c r="R24" s="231">
        <f>IFERROR(IF('Feb-25'!$F24="","-",VLOOKUP('Feb-25'!$F24,Lista_CUIT!$A$1:$D$2241,4,0)),"CUIT NO CARGADO")</f>
        <v>0</v>
      </c>
    </row>
    <row r="25" spans="2:18" ht="15" customHeight="1" x14ac:dyDescent="0.3">
      <c r="B25" s="221">
        <v>45716</v>
      </c>
      <c r="C25" s="222">
        <v>1</v>
      </c>
      <c r="D25" s="223">
        <v>9</v>
      </c>
      <c r="E25" s="224">
        <v>2100</v>
      </c>
      <c r="F25" s="225">
        <v>30631047145</v>
      </c>
      <c r="G25" s="226" t="str">
        <f>IFERROR(IF('Feb-25'!$F25="","-",VLOOKUP('Feb-25'!$F25,Lista_CUIT!$A$1:$D$2241,2,0)),"CUIT NO CARGADO")</f>
        <v>SEMICONDUC. Y COMPON. SRL</v>
      </c>
      <c r="H25" s="227">
        <v>1226421.5</v>
      </c>
      <c r="I25" s="228">
        <v>181464.99</v>
      </c>
      <c r="J25" s="228"/>
      <c r="K25" s="228">
        <v>38041.760000000002</v>
      </c>
      <c r="L25" s="228"/>
      <c r="M25" s="228"/>
      <c r="N25" s="228"/>
      <c r="O25" s="228"/>
      <c r="P25" s="229">
        <f>SUM('Feb-25'!$H25:$O25)</f>
        <v>1445928.25</v>
      </c>
      <c r="Q25" s="230" t="str">
        <f>IFERROR(IF('Feb-25'!$F25="","-",VLOOKUP('Feb-25'!$F25,Lista_CUIT!$A$1:$D$2241,3,0)),"CUIT NO CARGADO")</f>
        <v>Mercaderia</v>
      </c>
      <c r="R25" s="231">
        <f>IFERROR(IF('Feb-25'!$F25="","-",VLOOKUP('Feb-25'!$F25,Lista_CUIT!$A$1:$D$2241,4,0)),"CUIT NO CARGADO")</f>
        <v>0</v>
      </c>
    </row>
    <row r="26" spans="2:18" ht="15" customHeight="1" x14ac:dyDescent="0.3">
      <c r="B26" s="221">
        <v>45693</v>
      </c>
      <c r="C26" s="222">
        <v>1</v>
      </c>
      <c r="D26" s="223">
        <v>280</v>
      </c>
      <c r="E26" s="224">
        <v>1545879</v>
      </c>
      <c r="F26" s="225">
        <v>30580111315</v>
      </c>
      <c r="G26" s="226" t="str">
        <f>IFERROR(IF('Feb-25'!$F26="","-",VLOOKUP('Feb-25'!$F26,Lista_CUIT!$A$1:$D$2241,2,0)),"CUIT NO CARGADO")</f>
        <v>DHL EXPRESS (ARGENTINA) S.A.</v>
      </c>
      <c r="H26" s="227">
        <v>312047.45750000002</v>
      </c>
      <c r="I26" s="228"/>
      <c r="J26" s="228"/>
      <c r="K26" s="228">
        <f>31.08*1054.25</f>
        <v>32766.089999999997</v>
      </c>
      <c r="L26" s="228"/>
      <c r="M26" s="228"/>
      <c r="N26" s="228"/>
      <c r="O26" s="227">
        <v>-312047.45750000002</v>
      </c>
      <c r="P26" s="229">
        <f>SUM('Feb-25'!$H26:$O26)</f>
        <v>32766.089999999967</v>
      </c>
      <c r="Q26" s="230" t="str">
        <f>IFERROR(IF('Feb-25'!$F26="","-",VLOOKUP('Feb-25'!$F26,Lista_CUIT!$A$1:$D$2241,3,0)),"CUIT NO CARGADO")</f>
        <v>Gastos Importacion</v>
      </c>
      <c r="R26" s="231">
        <f>IFERROR(IF('Feb-25'!$F26="","-",VLOOKUP('Feb-25'!$F26,Lista_CUIT!$A$1:$D$2241,4,0)),"CUIT NO CARGADO")</f>
        <v>0</v>
      </c>
    </row>
    <row r="27" spans="2:18" ht="15" customHeight="1" x14ac:dyDescent="0.3">
      <c r="B27" s="221"/>
      <c r="C27" s="222"/>
      <c r="D27" s="223"/>
      <c r="E27" s="224"/>
      <c r="F27" s="225"/>
      <c r="G27" s="226" t="str">
        <f>IFERROR(IF('Feb-25'!$F27="","-",VLOOKUP('Feb-25'!$F27,Lista_CUIT!$A$1:$D$2241,2,0)),"CUIT NO CARGADO")</f>
        <v>-</v>
      </c>
      <c r="H27" s="227"/>
      <c r="I27" s="228"/>
      <c r="J27" s="228"/>
      <c r="K27" s="228"/>
      <c r="L27" s="228"/>
      <c r="M27" s="228"/>
      <c r="N27" s="228"/>
      <c r="O27" s="228"/>
      <c r="P27" s="229">
        <f>SUM('Feb-25'!$H27:$O27)</f>
        <v>0</v>
      </c>
      <c r="Q27" s="230" t="str">
        <f>IFERROR(IF('Feb-25'!$F27="","-",VLOOKUP('Feb-25'!$F27,Lista_CUIT!$A$1:$D$2241,3,0)),"CUIT NO CARGADO")</f>
        <v>-</v>
      </c>
      <c r="R27" s="231" t="str">
        <f>IFERROR(IF('Feb-25'!$F27="","-",VLOOKUP('Feb-25'!$F27,Lista_CUIT!$A$1:$D$2241,4,0)),"CUIT NO CARGADO")</f>
        <v>-</v>
      </c>
    </row>
    <row r="28" spans="2:18" ht="15" customHeight="1" x14ac:dyDescent="0.3">
      <c r="B28" s="221"/>
      <c r="C28" s="222"/>
      <c r="D28" s="223"/>
      <c r="E28" s="224"/>
      <c r="F28" s="225"/>
      <c r="G28" s="226" t="str">
        <f>IFERROR(IF('Feb-25'!$F28="","-",VLOOKUP('Feb-25'!$F28,Lista_CUIT!$A$1:$D$2241,2,0)),"CUIT NO CARGADO")</f>
        <v>-</v>
      </c>
      <c r="H28" s="227"/>
      <c r="I28" s="228"/>
      <c r="J28" s="228"/>
      <c r="K28" s="228"/>
      <c r="L28" s="228"/>
      <c r="M28" s="228"/>
      <c r="N28" s="228"/>
      <c r="O28" s="228"/>
      <c r="P28" s="229">
        <f>SUM('Feb-25'!$H28:$O28)</f>
        <v>0</v>
      </c>
      <c r="Q28" s="230" t="str">
        <f>IFERROR(IF('Feb-25'!$F28="","-",VLOOKUP('Feb-25'!$F28,Lista_CUIT!$A$1:$D$2241,3,0)),"CUIT NO CARGADO")</f>
        <v>-</v>
      </c>
      <c r="R28" s="231" t="str">
        <f>IFERROR(IF('Feb-25'!$F28="","-",VLOOKUP('Feb-25'!$F28,Lista_CUIT!$A$1:$D$2241,4,0)),"CUIT NO CARGADO")</f>
        <v>-</v>
      </c>
    </row>
    <row r="29" spans="2:18" ht="15" customHeight="1" x14ac:dyDescent="0.3">
      <c r="B29" s="221"/>
      <c r="C29" s="222"/>
      <c r="D29" s="223"/>
      <c r="E29" s="224"/>
      <c r="F29" s="225"/>
      <c r="G29" s="226" t="str">
        <f>IFERROR(IF('Feb-25'!$F29="","-",VLOOKUP('Feb-25'!$F29,Lista_CUIT!$A$1:$D$2241,2,0)),"CUIT NO CARGADO")</f>
        <v>-</v>
      </c>
      <c r="H29" s="227"/>
      <c r="I29" s="228"/>
      <c r="J29" s="228"/>
      <c r="K29" s="228"/>
      <c r="L29" s="228"/>
      <c r="M29" s="228"/>
      <c r="N29" s="228"/>
      <c r="O29" s="228"/>
      <c r="P29" s="229">
        <f>SUM('Feb-25'!$H29:$O29)</f>
        <v>0</v>
      </c>
      <c r="Q29" s="230" t="str">
        <f>IFERROR(IF('Feb-25'!$F29="","-",VLOOKUP('Feb-25'!$F29,Lista_CUIT!$A$1:$D$2241,3,0)),"CUIT NO CARGADO")</f>
        <v>-</v>
      </c>
      <c r="R29" s="231" t="str">
        <f>IFERROR(IF('Feb-25'!$F29="","-",VLOOKUP('Feb-25'!$F29,Lista_CUIT!$A$1:$D$2241,4,0)),"CUIT NO CARGADO")</f>
        <v>-</v>
      </c>
    </row>
    <row r="30" spans="2:18" ht="15" customHeight="1" x14ac:dyDescent="0.3">
      <c r="B30" s="221"/>
      <c r="C30" s="222"/>
      <c r="D30" s="223"/>
      <c r="E30" s="224"/>
      <c r="F30" s="225"/>
      <c r="G30" s="226" t="str">
        <f>IFERROR(IF('Feb-25'!$F30="","-",VLOOKUP('Feb-25'!$F30,Lista_CUIT!$A$1:$D$2241,2,0)),"CUIT NO CARGADO")</f>
        <v>-</v>
      </c>
      <c r="H30" s="227"/>
      <c r="I30" s="228"/>
      <c r="J30" s="228"/>
      <c r="K30" s="228"/>
      <c r="L30" s="228"/>
      <c r="M30" s="228"/>
      <c r="N30" s="228"/>
      <c r="O30" s="228"/>
      <c r="P30" s="229">
        <f>SUM('Feb-25'!$H30:$O30)</f>
        <v>0</v>
      </c>
      <c r="Q30" s="230" t="str">
        <f>IFERROR(IF('Feb-25'!$F30="","-",VLOOKUP('Feb-25'!$F30,Lista_CUIT!$A$1:$D$2241,3,0)),"CUIT NO CARGADO")</f>
        <v>-</v>
      </c>
      <c r="R30" s="231" t="str">
        <f>IFERROR(IF('Feb-25'!$F30="","-",VLOOKUP('Feb-25'!$F30,Lista_CUIT!$A$1:$D$2241,4,0)),"CUIT NO CARGADO")</f>
        <v>-</v>
      </c>
    </row>
    <row r="31" spans="2:18" ht="15" customHeight="1" x14ac:dyDescent="0.3">
      <c r="B31" s="221"/>
      <c r="C31" s="222"/>
      <c r="D31" s="223"/>
      <c r="E31" s="224"/>
      <c r="F31" s="225"/>
      <c r="G31" s="226" t="str">
        <f>IFERROR(IF('Feb-25'!$F31="","-",VLOOKUP('Feb-25'!$F31,Lista_CUIT!$A$1:$D$2241,2,0)),"CUIT NO CARGADO")</f>
        <v>-</v>
      </c>
      <c r="H31" s="227"/>
      <c r="I31" s="228"/>
      <c r="J31" s="228"/>
      <c r="K31" s="228"/>
      <c r="L31" s="228"/>
      <c r="M31" s="228"/>
      <c r="N31" s="228"/>
      <c r="O31" s="228"/>
      <c r="P31" s="229">
        <f>SUM('Feb-25'!$H31:$O31)</f>
        <v>0</v>
      </c>
      <c r="Q31" s="230" t="str">
        <f>IFERROR(IF('Feb-25'!$F31="","-",VLOOKUP('Feb-25'!$F31,Lista_CUIT!$A$1:$D$2241,3,0)),"CUIT NO CARGADO")</f>
        <v>-</v>
      </c>
      <c r="R31" s="231" t="str">
        <f>IFERROR(IF('Feb-25'!$F31="","-",VLOOKUP('Feb-25'!$F31,Lista_CUIT!$A$1:$D$2241,4,0)),"CUIT NO CARGADO")</f>
        <v>-</v>
      </c>
    </row>
    <row r="32" spans="2:18" ht="15" customHeight="1" x14ac:dyDescent="0.3">
      <c r="B32" s="221"/>
      <c r="C32" s="222"/>
      <c r="D32" s="223"/>
      <c r="E32" s="224"/>
      <c r="F32" s="225"/>
      <c r="G32" s="226" t="str">
        <f>IFERROR(IF('Feb-25'!$F32="","-",VLOOKUP('Feb-25'!$F32,Lista_CUIT!$A$1:$D$2241,2,0)),"CUIT NO CARGADO")</f>
        <v>-</v>
      </c>
      <c r="H32" s="227"/>
      <c r="I32" s="228"/>
      <c r="J32" s="228"/>
      <c r="K32" s="228"/>
      <c r="L32" s="228"/>
      <c r="M32" s="228"/>
      <c r="N32" s="228"/>
      <c r="O32" s="228"/>
      <c r="P32" s="229">
        <f>SUM('Feb-25'!$H32:$O32)</f>
        <v>0</v>
      </c>
      <c r="Q32" s="230" t="str">
        <f>IFERROR(IF('Feb-25'!$F32="","-",VLOOKUP('Feb-25'!$F32,Lista_CUIT!$A$1:$D$2241,3,0)),"CUIT NO CARGADO")</f>
        <v>-</v>
      </c>
      <c r="R32" s="231" t="str">
        <f>IFERROR(IF('Feb-25'!$F32="","-",VLOOKUP('Feb-25'!$F32,Lista_CUIT!$A$1:$D$2241,4,0)),"CUIT NO CARGADO")</f>
        <v>-</v>
      </c>
    </row>
    <row r="33" spans="2:18" ht="15" customHeight="1" x14ac:dyDescent="0.3">
      <c r="B33" s="221"/>
      <c r="C33" s="222"/>
      <c r="D33" s="223"/>
      <c r="E33" s="224"/>
      <c r="F33" s="225"/>
      <c r="G33" s="226" t="str">
        <f>IFERROR(IF('Feb-25'!$F33="","-",VLOOKUP('Feb-25'!$F33,Lista_CUIT!$A$1:$D$2241,2,0)),"CUIT NO CARGADO")</f>
        <v>-</v>
      </c>
      <c r="H33" s="227"/>
      <c r="I33" s="228" t="str">
        <f>IF('Feb-25'!$H33="","",'Feb-25'!$H33*0.21)</f>
        <v/>
      </c>
      <c r="J33" s="228"/>
      <c r="K33" s="228"/>
      <c r="L33" s="228"/>
      <c r="M33" s="228"/>
      <c r="N33" s="228"/>
      <c r="O33" s="228"/>
      <c r="P33" s="229">
        <f>SUM('Feb-25'!$H33:$O33)</f>
        <v>0</v>
      </c>
      <c r="Q33" s="230" t="str">
        <f>IFERROR(IF('Feb-25'!$F33="","-",VLOOKUP('Feb-25'!$F33,Lista_CUIT!$A$1:$D$2241,3,0)),"CUIT NO CARGADO")</f>
        <v>-</v>
      </c>
      <c r="R33" s="231" t="str">
        <f>IFERROR(IF('Feb-25'!$F33="","-",VLOOKUP('Feb-25'!$F33,Lista_CUIT!$A$1:$D$2241,4,0)),"CUIT NO CARGADO")</f>
        <v>-</v>
      </c>
    </row>
    <row r="34" spans="2:18" ht="15" customHeight="1" thickBot="1" x14ac:dyDescent="0.35">
      <c r="B34" s="317"/>
      <c r="C34" s="318"/>
      <c r="D34" s="305"/>
      <c r="E34" s="224"/>
      <c r="F34" s="225"/>
      <c r="G34" s="302" t="str">
        <f>IFERROR(IF('Feb-25'!$F34="","-",VLOOKUP('Feb-25'!$F34,Lista_CUIT!$A$1:$D$2241,2,0)),"CUIT NO CARGADO")</f>
        <v>-</v>
      </c>
      <c r="H34" s="421"/>
      <c r="I34" s="423" t="str">
        <f>IF('Feb-25'!$H34="","",'Feb-25'!$H34*0.21)</f>
        <v/>
      </c>
      <c r="J34" s="423"/>
      <c r="K34" s="423"/>
      <c r="L34" s="423"/>
      <c r="M34" s="423"/>
      <c r="N34" s="423"/>
      <c r="O34" s="423"/>
      <c r="P34" s="322">
        <f>SUM('Feb-25'!$H34:$O34)</f>
        <v>0</v>
      </c>
      <c r="Q34" s="420" t="str">
        <f>IFERROR(IF('Feb-25'!$F34="","-",VLOOKUP('Feb-25'!$F34,Lista_CUIT!$A$1:$D$2241,3,0)),"CUIT NO CARGADO")</f>
        <v>-</v>
      </c>
      <c r="R34" s="422" t="str">
        <f>IFERROR(IF('Feb-25'!$F34="","-",VLOOKUP('Feb-25'!$F34,Lista_CUIT!$A$1:$D$2241,4,0)),"CUIT NO CARGADO")</f>
        <v>-</v>
      </c>
    </row>
    <row r="35" spans="2:18" ht="21.75" customHeight="1" x14ac:dyDescent="0.3">
      <c r="B35" s="427" t="s">
        <v>1343</v>
      </c>
      <c r="C35" s="428"/>
      <c r="D35" s="428"/>
      <c r="E35" s="428"/>
      <c r="F35" s="428"/>
      <c r="G35" s="429"/>
      <c r="H35" s="430">
        <f>SUBTOTAL(109,'Feb-25'!$H$9:$H$34)</f>
        <v>6304459.3775000013</v>
      </c>
      <c r="I35" s="430">
        <f>SUBTOTAL(109,'Feb-25'!$I$9:$I$34)</f>
        <v>1175760.4782</v>
      </c>
      <c r="J35" s="430">
        <f>SUBTOTAL(109,'Feb-25'!$J$9:$J$34)</f>
        <v>8437.5</v>
      </c>
      <c r="K35" s="430">
        <f>SUBTOTAL(109,'Feb-25'!$K$9:$K$34)</f>
        <v>70807.850000000006</v>
      </c>
      <c r="L35" s="430">
        <f>SUBTOTAL(109,'Feb-25'!$L$9:$L$34)</f>
        <v>937.5</v>
      </c>
      <c r="M35" s="430">
        <f>SUBTOTAL(109,'Feb-25'!$M$9:$M$34)</f>
        <v>0</v>
      </c>
      <c r="N35" s="430">
        <f>SUBTOTAL(109,'Feb-25'!$N$9:$N$34)</f>
        <v>0</v>
      </c>
      <c r="O35" s="430">
        <f>SUBTOTAL(109,'Feb-25'!$O$9:$O$34)</f>
        <v>-302256.35750000004</v>
      </c>
      <c r="P35" s="430">
        <f>SUBTOTAL(109,'Feb-25'!$P$9:$P$34)</f>
        <v>7258146.3482000008</v>
      </c>
      <c r="Q35" s="428"/>
      <c r="R35" s="431"/>
    </row>
    <row r="36" spans="2:18" ht="15.75" customHeight="1" x14ac:dyDescent="0.3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  <c r="M36" s="19"/>
      <c r="N36" s="19"/>
      <c r="O36" s="19"/>
      <c r="P36" s="20"/>
      <c r="Q36" s="21"/>
      <c r="R36" s="21"/>
    </row>
    <row r="37" spans="2:18" ht="15.75" customHeight="1" x14ac:dyDescent="0.3">
      <c r="B37" s="12"/>
      <c r="C37" s="13"/>
      <c r="D37" s="14"/>
      <c r="E37" s="15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20"/>
      <c r="Q37" s="21"/>
      <c r="R37" s="21"/>
    </row>
    <row r="38" spans="2:18" ht="14.25" customHeight="1" x14ac:dyDescent="0.3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2:18" ht="22.5" customHeight="1" x14ac:dyDescent="0.3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</row>
    <row r="40" spans="2:18" ht="25.5" customHeight="1" x14ac:dyDescent="0.3">
      <c r="D40" s="484" t="s">
        <v>1344</v>
      </c>
      <c r="E40" s="476"/>
      <c r="F40" s="476"/>
      <c r="G40" s="476"/>
      <c r="H40" s="476"/>
      <c r="I40" s="476"/>
      <c r="J40" s="476"/>
      <c r="K40" s="476"/>
      <c r="L40" s="477"/>
    </row>
    <row r="41" spans="2:18" ht="22.5" customHeight="1" thickBot="1" x14ac:dyDescent="0.35">
      <c r="D41" s="433" t="s">
        <v>1322</v>
      </c>
      <c r="E41" s="434" t="s">
        <v>1345</v>
      </c>
      <c r="F41" s="434" t="s">
        <v>1346</v>
      </c>
      <c r="G41" s="434" t="s">
        <v>1347</v>
      </c>
      <c r="H41" s="434" t="s">
        <v>1348</v>
      </c>
      <c r="I41" s="434" t="s">
        <v>1329</v>
      </c>
      <c r="J41" s="435" t="s">
        <v>1349</v>
      </c>
      <c r="K41" s="435" t="s">
        <v>1350</v>
      </c>
      <c r="L41" s="436" t="s">
        <v>1351</v>
      </c>
    </row>
    <row r="42" spans="2:18" ht="14.25" customHeight="1" x14ac:dyDescent="0.3">
      <c r="C42" t="s">
        <v>1593</v>
      </c>
      <c r="D42" s="303"/>
      <c r="E42" s="432"/>
      <c r="F42" s="331" t="s">
        <v>1389</v>
      </c>
      <c r="G42" s="332">
        <f>Table_69[[#This Row],[IVA 21%]]/0.21</f>
        <v>138261.04761904763</v>
      </c>
      <c r="H42" s="332">
        <v>29034.82</v>
      </c>
      <c r="I42" s="332"/>
      <c r="J42" s="332"/>
      <c r="K42" s="332">
        <v>3988.18</v>
      </c>
      <c r="L42" s="333"/>
      <c r="O42" s="263"/>
    </row>
    <row r="43" spans="2:18" ht="14.25" customHeight="1" x14ac:dyDescent="0.3">
      <c r="C43" t="s">
        <v>1592</v>
      </c>
      <c r="D43" s="303">
        <v>45698</v>
      </c>
      <c r="E43" s="432"/>
      <c r="F43" s="331" t="s">
        <v>1389</v>
      </c>
      <c r="G43" s="332">
        <f>Table_69[[#This Row],[IVA 21%]]/0.21</f>
        <v>79237.523809523816</v>
      </c>
      <c r="H43" s="332">
        <v>16639.88</v>
      </c>
      <c r="I43" s="332"/>
      <c r="J43" s="332"/>
      <c r="K43" s="332">
        <v>2377.13</v>
      </c>
      <c r="L43" s="333"/>
      <c r="O43" s="263"/>
    </row>
    <row r="44" spans="2:18" ht="14.25" customHeight="1" x14ac:dyDescent="0.3">
      <c r="C44" t="s">
        <v>1592</v>
      </c>
      <c r="D44" s="303">
        <v>45698</v>
      </c>
      <c r="E44" s="383"/>
      <c r="F44" s="331" t="s">
        <v>1389</v>
      </c>
      <c r="G44" s="332">
        <f>Table_69[[#This Row],[IVA 21%]]/0.21</f>
        <v>79181.238095238106</v>
      </c>
      <c r="H44" s="245">
        <v>16628.060000000001</v>
      </c>
      <c r="I44" s="245"/>
      <c r="J44" s="245"/>
      <c r="K44" s="245">
        <v>2375.44</v>
      </c>
      <c r="L44" s="246"/>
      <c r="O44" s="263"/>
    </row>
    <row r="45" spans="2:18" ht="14.25" customHeight="1" x14ac:dyDescent="0.3">
      <c r="C45" t="s">
        <v>1594</v>
      </c>
      <c r="D45" s="221">
        <v>45716</v>
      </c>
      <c r="E45" s="383"/>
      <c r="F45" s="331" t="s">
        <v>1389</v>
      </c>
      <c r="G45" s="332">
        <f>Table_69[[#This Row],[IVA 21%]]/0.21</f>
        <v>26618.761904761905</v>
      </c>
      <c r="H45" s="245">
        <v>5589.94</v>
      </c>
      <c r="I45" s="245"/>
      <c r="J45" s="245"/>
      <c r="K45" s="245">
        <v>798.56</v>
      </c>
      <c r="L45" s="246"/>
      <c r="O45" s="263"/>
    </row>
    <row r="46" spans="2:18" ht="14.25" customHeight="1" x14ac:dyDescent="0.3">
      <c r="C46" t="s">
        <v>1595</v>
      </c>
      <c r="D46" s="221"/>
      <c r="E46" s="383"/>
      <c r="F46" s="331" t="s">
        <v>1389</v>
      </c>
      <c r="G46" s="332">
        <f>Table_69[[#This Row],[IVA 21%]]/0.21</f>
        <v>25562.523809523809</v>
      </c>
      <c r="H46" s="245">
        <v>5368.13</v>
      </c>
      <c r="I46" s="245"/>
      <c r="J46" s="245"/>
      <c r="K46" s="245">
        <v>766.88</v>
      </c>
      <c r="L46" s="246"/>
      <c r="O46" s="263"/>
    </row>
    <row r="47" spans="2:18" ht="14.25" customHeight="1" x14ac:dyDescent="0.3">
      <c r="D47" s="221"/>
      <c r="E47" s="383"/>
      <c r="F47" s="244"/>
      <c r="G47" s="245"/>
      <c r="H47" s="245"/>
      <c r="I47" s="245"/>
      <c r="J47" s="245"/>
      <c r="K47" s="245"/>
      <c r="L47" s="246"/>
      <c r="O47" s="263"/>
    </row>
    <row r="48" spans="2:18" ht="14.25" customHeight="1" x14ac:dyDescent="0.3">
      <c r="D48" s="221"/>
      <c r="E48" s="383"/>
      <c r="F48" s="244"/>
      <c r="G48" s="245"/>
      <c r="H48" s="245"/>
      <c r="I48" s="245"/>
      <c r="J48" s="245"/>
      <c r="K48" s="245"/>
      <c r="L48" s="246"/>
      <c r="O48" s="263"/>
    </row>
    <row r="49" spans="4:15" ht="15" customHeight="1" x14ac:dyDescent="0.3">
      <c r="D49" s="221"/>
      <c r="E49" s="383"/>
      <c r="F49" s="244"/>
      <c r="G49" s="245"/>
      <c r="H49" s="245"/>
      <c r="I49" s="245"/>
      <c r="J49" s="245"/>
      <c r="K49" s="245"/>
      <c r="L49" s="246"/>
      <c r="O49" s="263"/>
    </row>
    <row r="50" spans="4:15" ht="15" customHeight="1" thickBot="1" x14ac:dyDescent="0.35">
      <c r="D50" s="317"/>
      <c r="E50" s="338"/>
      <c r="F50" s="328"/>
      <c r="G50" s="329"/>
      <c r="H50" s="329"/>
      <c r="I50" s="329"/>
      <c r="J50" s="329"/>
      <c r="K50" s="329"/>
      <c r="L50" s="330"/>
      <c r="O50" s="473"/>
    </row>
    <row r="51" spans="4:15" ht="21" customHeight="1" x14ac:dyDescent="0.3">
      <c r="D51" s="427" t="s">
        <v>1343</v>
      </c>
      <c r="E51" s="437"/>
      <c r="F51" s="437"/>
      <c r="G51" s="438">
        <f>SUBTOTAL(109,'Feb-25'!$G$42:$G$50)</f>
        <v>348861.09523809527</v>
      </c>
      <c r="H51" s="438">
        <f>SUBTOTAL(109,'Feb-25'!$H$42:$H$50)</f>
        <v>73260.83</v>
      </c>
      <c r="I51" s="438">
        <f>SUBTOTAL(109,'Feb-25'!$I$42:$I$50)</f>
        <v>0</v>
      </c>
      <c r="J51" s="438">
        <f>SUBTOTAL(109,'Feb-25'!$J$42:$J$50)</f>
        <v>0</v>
      </c>
      <c r="K51" s="438">
        <f>SUBTOTAL(109,'Feb-25'!$K$42:$K$50)</f>
        <v>10306.189999999999</v>
      </c>
      <c r="L51" s="439">
        <f>SUBTOTAL(109,'Feb-25'!$L$42:$L$50)</f>
        <v>0</v>
      </c>
      <c r="O51" s="474"/>
    </row>
    <row r="52" spans="4:15" ht="15" customHeight="1" x14ac:dyDescent="0.3">
      <c r="O52" s="473"/>
    </row>
    <row r="53" spans="4:15" ht="15" customHeight="1" x14ac:dyDescent="0.3">
      <c r="O53" s="474"/>
    </row>
    <row r="54" spans="4:15" ht="23.25" customHeight="1" x14ac:dyDescent="0.3">
      <c r="O54" s="473"/>
    </row>
    <row r="55" spans="4:15" ht="27" customHeight="1" x14ac:dyDescent="0.3">
      <c r="D55" s="484" t="s">
        <v>1361</v>
      </c>
      <c r="E55" s="476"/>
      <c r="F55" s="476"/>
      <c r="G55" s="476"/>
      <c r="H55" s="476"/>
      <c r="I55" s="476"/>
      <c r="J55" s="476"/>
      <c r="K55" s="477"/>
      <c r="O55" s="474"/>
    </row>
    <row r="56" spans="4:15" ht="21.75" customHeight="1" thickBot="1" x14ac:dyDescent="0.35">
      <c r="D56" s="443" t="s">
        <v>1322</v>
      </c>
      <c r="E56" s="444" t="s">
        <v>1324</v>
      </c>
      <c r="F56" s="444" t="s">
        <v>1362</v>
      </c>
      <c r="G56" s="444" t="s">
        <v>0</v>
      </c>
      <c r="H56" s="444" t="s">
        <v>1</v>
      </c>
      <c r="I56" s="445" t="s">
        <v>1334</v>
      </c>
      <c r="J56" s="444" t="s">
        <v>1363</v>
      </c>
      <c r="K56" s="446" t="s">
        <v>1335</v>
      </c>
      <c r="O56" s="473"/>
    </row>
    <row r="57" spans="4:15" ht="15" customHeight="1" x14ac:dyDescent="0.3">
      <c r="D57" s="303">
        <v>45689</v>
      </c>
      <c r="E57" s="305">
        <v>1</v>
      </c>
      <c r="F57" s="306">
        <v>46</v>
      </c>
      <c r="G57" s="307">
        <v>20365938688</v>
      </c>
      <c r="H57" s="342" t="str">
        <f>IFERROR(IF('Feb-25'!$G57="","-",VLOOKUP('Feb-25'!$G57,Lista_CUIT!$A$1:$D$2241,2,0)),"CUIT NO CARGADO")</f>
        <v>LIPANOVICH JUAN CRUZ</v>
      </c>
      <c r="I57" s="332">
        <v>1123780</v>
      </c>
      <c r="J57" s="343" t="str">
        <f>IFERROR(IF('Feb-25'!$G57="","-",VLOOKUP('Feb-25'!$G57,Lista_CUIT!$A$1:$D$2241,3,0)),"CUIT NO CARGADO")</f>
        <v>SOFTWARE</v>
      </c>
      <c r="K57" s="344">
        <f>IFERROR(IF('Feb-25'!$G57="","-",VLOOKUP('Feb-25'!$G57,Lista_CUIT!$A$1:$D$2241,4,0)),"CUIT NO CARGADO")</f>
        <v>0</v>
      </c>
      <c r="O57" s="474"/>
    </row>
    <row r="58" spans="4:15" ht="15" customHeight="1" x14ac:dyDescent="0.3">
      <c r="D58" s="221">
        <v>45689</v>
      </c>
      <c r="E58" s="223">
        <v>2</v>
      </c>
      <c r="F58" s="224">
        <v>180</v>
      </c>
      <c r="G58" s="225">
        <v>20136544625</v>
      </c>
      <c r="H58" s="254" t="str">
        <f>IFERROR(IF('Feb-25'!$G58="","-",VLOOKUP('Feb-25'!$G58,Lista_CUIT!$A$1:$D$2241,2,0)),"CUIT NO CARGADO")</f>
        <v>RODRIGUEZ DE LA FUEN HECTOR MARCELO</v>
      </c>
      <c r="I58" s="245">
        <v>1201500</v>
      </c>
      <c r="J58" s="256" t="str">
        <f>IFERROR(IF('Feb-25'!$G58="","-",VLOOKUP('Feb-25'!$G58,Lista_CUIT!$A$1:$D$2241,3,0)),"CUIT NO CARGADO")</f>
        <v>Honorarios Admin</v>
      </c>
      <c r="K58" s="257">
        <f>IFERROR(IF('Feb-25'!$G58="","-",VLOOKUP('Feb-25'!$G58,Lista_CUIT!$A$1:$D$2241,4,0)),"CUIT NO CARGADO")</f>
        <v>0</v>
      </c>
      <c r="O58" s="473"/>
    </row>
    <row r="59" spans="4:15" ht="15" customHeight="1" x14ac:dyDescent="0.3">
      <c r="D59" s="221">
        <v>45691</v>
      </c>
      <c r="E59" s="223">
        <v>1</v>
      </c>
      <c r="F59" s="224">
        <v>136</v>
      </c>
      <c r="G59" s="225">
        <v>20389908569</v>
      </c>
      <c r="H59" s="254" t="str">
        <f>IFERROR(IF('Feb-25'!$G59="","-",VLOOKUP('Feb-25'!$G59,Lista_CUIT!$A$1:$D$2241,2,0)),"CUIT NO CARGADO")</f>
        <v>BOTINDARI JUAN IGNACIO</v>
      </c>
      <c r="I59" s="245">
        <v>102700</v>
      </c>
      <c r="J59" s="256" t="str">
        <f>IFERROR(IF('Feb-25'!$G59="","-",VLOOKUP('Feb-25'!$G59,Lista_CUIT!$A$1:$D$2241,3,0)),"CUIT NO CARGADO")</f>
        <v>Honorarios Contables</v>
      </c>
      <c r="K59" s="257">
        <f>IFERROR(IF('Feb-25'!$G59="","-",VLOOKUP('Feb-25'!$G59,Lista_CUIT!$A$1:$D$2241,4,0)),"CUIT NO CARGADO")</f>
        <v>0</v>
      </c>
      <c r="O59" s="474"/>
    </row>
    <row r="60" spans="4:15" ht="15" customHeight="1" x14ac:dyDescent="0.3">
      <c r="D60" s="221">
        <v>45691</v>
      </c>
      <c r="E60" s="223">
        <v>3</v>
      </c>
      <c r="F60" s="224">
        <v>934</v>
      </c>
      <c r="G60" s="225">
        <v>20086277523</v>
      </c>
      <c r="H60" s="254" t="str">
        <f>IFERROR(IF('Feb-25'!$G60="","-",VLOOKUP('Feb-25'!$G60,Lista_CUIT!$A$1:$D$2241,2,0)),"CUIT NO CARGADO")</f>
        <v>ESTUDIO BOTINDARI</v>
      </c>
      <c r="I60" s="245">
        <v>335000</v>
      </c>
      <c r="J60" s="256" t="str">
        <f>IFERROR(IF('Feb-25'!$G60="","-",VLOOKUP('Feb-25'!$G60,Lista_CUIT!$A$1:$D$2241,3,0)),"CUIT NO CARGADO")</f>
        <v>Honorarios Contables</v>
      </c>
      <c r="K60" s="257">
        <f>IFERROR(IF('Feb-25'!$G60="","-",VLOOKUP('Feb-25'!$G60,Lista_CUIT!$A$1:$D$2241,4,0)),"CUIT NO CARGADO")</f>
        <v>0</v>
      </c>
      <c r="O60" s="473"/>
    </row>
    <row r="61" spans="4:15" ht="15" customHeight="1" x14ac:dyDescent="0.3">
      <c r="D61" s="221">
        <v>45691</v>
      </c>
      <c r="E61" s="223">
        <v>1</v>
      </c>
      <c r="F61" s="224">
        <v>108</v>
      </c>
      <c r="G61" s="225">
        <v>20341465134</v>
      </c>
      <c r="H61" s="254" t="str">
        <f>IFERROR(IF('Feb-25'!$G61="","-",VLOOKUP('Feb-25'!$G61,Lista_CUIT!$A$1:$D$2241,2,0)),"CUIT NO CARGADO")</f>
        <v>ABELEDO AGUSTIN ENRIQUE</v>
      </c>
      <c r="I61" s="245">
        <v>2248500</v>
      </c>
      <c r="J61" s="256" t="str">
        <f>IFERROR(IF('Feb-25'!$G61="","-",VLOOKUP('Feb-25'!$G61,Lista_CUIT!$A$1:$D$2241,3,0)),"CUIT NO CARGADO")</f>
        <v>Mantenimiento</v>
      </c>
      <c r="K61" s="257"/>
      <c r="O61" s="474"/>
    </row>
    <row r="62" spans="4:15" ht="15" customHeight="1" x14ac:dyDescent="0.3">
      <c r="D62" s="221">
        <v>45691</v>
      </c>
      <c r="E62" s="223">
        <v>2</v>
      </c>
      <c r="F62" s="224">
        <v>271</v>
      </c>
      <c r="G62" s="225">
        <v>27173820866</v>
      </c>
      <c r="H62" s="254" t="str">
        <f>IFERROR(IF('Feb-25'!$G62="","-",VLOOKUP('Feb-25'!$G62,Lista_CUIT!$A$1:$D$2241,2,0)),"CUIT NO CARGADO")</f>
        <v>FREIER SANDRA DANIELA</v>
      </c>
      <c r="I62" s="245">
        <v>1150000</v>
      </c>
      <c r="J62" s="256" t="str">
        <f>IFERROR(IF('Feb-25'!$G62="","-",VLOOKUP('Feb-25'!$G62,Lista_CUIT!$A$1:$D$2241,3,0)),"CUIT NO CARGADO")</f>
        <v>Honorarios Prof</v>
      </c>
      <c r="K62" s="257"/>
      <c r="O62" s="473"/>
    </row>
    <row r="63" spans="4:15" ht="15" customHeight="1" x14ac:dyDescent="0.3">
      <c r="D63" s="221">
        <v>45692</v>
      </c>
      <c r="E63" s="223">
        <v>2</v>
      </c>
      <c r="F63" s="224">
        <v>15</v>
      </c>
      <c r="G63" s="225">
        <v>23118167279</v>
      </c>
      <c r="H63" s="254" t="str">
        <f>IFERROR(IF('Feb-25'!$G63="","-",VLOOKUP('Feb-25'!$G63,Lista_CUIT!$A$1:$D$2241,2,0)),"CUIT NO CARGADO")</f>
        <v>ABELEDO ENRIQUE JUAN</v>
      </c>
      <c r="I63" s="245">
        <v>2925000</v>
      </c>
      <c r="J63" s="256" t="str">
        <f>IFERROR(IF('Feb-25'!$G63="","-",VLOOKUP('Feb-25'!$G63,Lista_CUIT!$A$1:$D$2241,3,0)),"CUIT NO CARGADO")</f>
        <v>Honorarios Admin</v>
      </c>
      <c r="K63" s="257">
        <f>IFERROR(IF('Feb-25'!$G63="","-",VLOOKUP('Feb-25'!$G63,Lista_CUIT!$A$1:$D$2241,4,0)),"CUIT NO CARGADO")</f>
        <v>0</v>
      </c>
      <c r="O63" s="474"/>
    </row>
    <row r="64" spans="4:15" ht="15" customHeight="1" x14ac:dyDescent="0.3">
      <c r="D64" s="221">
        <v>45693</v>
      </c>
      <c r="E64" s="223">
        <v>4</v>
      </c>
      <c r="F64" s="224">
        <v>83</v>
      </c>
      <c r="G64" s="225">
        <v>23214737914</v>
      </c>
      <c r="H64" s="254" t="str">
        <f>IFERROR(IF('Feb-25'!$G64="","-",VLOOKUP('Feb-25'!$G64,Lista_CUIT!$A$1:$D$2241,2,0)),"CUIT NO CARGADO")</f>
        <v>SBARRA GABRIELA BEATRIZ</v>
      </c>
      <c r="I64" s="245">
        <v>1344615</v>
      </c>
      <c r="J64" s="256" t="str">
        <f>IFERROR(IF('Feb-25'!$G64="","-",VLOOKUP('Feb-25'!$G64,Lista_CUIT!$A$1:$D$2241,3,0)),"CUIT NO CARGADO")</f>
        <v>Honorarios Admin</v>
      </c>
      <c r="K64" s="257">
        <f>IFERROR(IF('Feb-25'!$G64="","-",VLOOKUP('Feb-25'!$G64,Lista_CUIT!$A$1:$D$2241,4,0)),"CUIT NO CARGADO")</f>
        <v>0</v>
      </c>
      <c r="O64" s="473"/>
    </row>
    <row r="65" spans="1:26" ht="15" customHeight="1" x14ac:dyDescent="0.3">
      <c r="D65" s="221">
        <v>45693</v>
      </c>
      <c r="E65" s="223">
        <v>1</v>
      </c>
      <c r="F65" s="224">
        <v>35</v>
      </c>
      <c r="G65" s="225">
        <v>27387896150</v>
      </c>
      <c r="H65" s="254" t="str">
        <f>IFERROR(IF('Feb-25'!$G65="","-",VLOOKUP('Feb-25'!$G65,Lista_CUIT!$A$1:$D$2241,2,0)),"CUIT NO CARGADO")</f>
        <v>LIPANOVICH MARIA SOL</v>
      </c>
      <c r="I65" s="245">
        <v>1245280</v>
      </c>
      <c r="J65" s="256" t="str">
        <f>IFERROR(IF('Feb-25'!$G65="","-",VLOOKUP('Feb-25'!$G65,Lista_CUIT!$A$1:$D$2241,3,0)),"CUIT NO CARGADO")</f>
        <v>consultoria informatica</v>
      </c>
      <c r="K65" s="257">
        <f>IFERROR(IF('Feb-25'!$G65="","-",VLOOKUP('Feb-25'!$G65,Lista_CUIT!$A$1:$D$2241,4,0)),"CUIT NO CARGADO")</f>
        <v>0</v>
      </c>
      <c r="O65" s="474"/>
    </row>
    <row r="66" spans="1:26" ht="15" customHeight="1" x14ac:dyDescent="0.3">
      <c r="D66" s="221">
        <v>45694</v>
      </c>
      <c r="E66" s="223">
        <v>1</v>
      </c>
      <c r="F66" s="224">
        <v>22</v>
      </c>
      <c r="G66" s="225">
        <v>20419155870</v>
      </c>
      <c r="H66" s="254" t="str">
        <f>IFERROR(IF('Feb-25'!$G66="","-",VLOOKUP('Feb-25'!$G66,Lista_CUIT!$A$1:$D$2241,2,0)),"CUIT NO CARGADO")</f>
        <v>GULLO GASPAR</v>
      </c>
      <c r="I66" s="245">
        <v>75000</v>
      </c>
      <c r="J66" s="256" t="str">
        <f>IFERROR(IF('Feb-25'!$G66="","-",VLOOKUP('Feb-25'!$G66,Lista_CUIT!$A$1:$D$2241,3,0)),"CUIT NO CARGADO")</f>
        <v>Honorarios Contables</v>
      </c>
      <c r="K66" s="257">
        <f>IFERROR(IF('Feb-25'!$G66="","-",VLOOKUP('Feb-25'!$G66,Lista_CUIT!$A$1:$D$2241,4,0)),"CUIT NO CARGADO")</f>
        <v>0</v>
      </c>
      <c r="O66" s="473"/>
    </row>
    <row r="67" spans="1:26" ht="15" customHeight="1" x14ac:dyDescent="0.3">
      <c r="D67" s="221">
        <v>45703</v>
      </c>
      <c r="E67" s="223">
        <v>7</v>
      </c>
      <c r="F67" s="224">
        <v>1127</v>
      </c>
      <c r="G67" s="225">
        <v>20228589218</v>
      </c>
      <c r="H67" s="254" t="str">
        <f>IFERROR(IF('Feb-25'!$G67="","-",VLOOKUP('Feb-25'!$G67,Lista_CUIT!$A$1:$D$2241,2,0)),"CUIT NO CARGADO")</f>
        <v>JALOS ARIEL SALOMON</v>
      </c>
      <c r="I67" s="245">
        <v>63555.72</v>
      </c>
      <c r="J67" s="256" t="str">
        <f>IFERROR(IF('Feb-25'!$G67="","-",VLOOKUP('Feb-25'!$G67,Lista_CUIT!$A$1:$D$2241,3,0)),"CUIT NO CARGADO")</f>
        <v>GASTOS VARIOS</v>
      </c>
      <c r="K67" s="257">
        <f>IFERROR(IF('Feb-25'!$G67="","-",VLOOKUP('Feb-25'!$G67,Lista_CUIT!$A$1:$D$2241,4,0)),"CUIT NO CARGADO")</f>
        <v>0</v>
      </c>
      <c r="O67" s="263"/>
    </row>
    <row r="68" spans="1:26" ht="15" customHeight="1" x14ac:dyDescent="0.3">
      <c r="D68" s="221">
        <v>45707</v>
      </c>
      <c r="E68" s="223">
        <v>3</v>
      </c>
      <c r="F68" s="224">
        <v>821</v>
      </c>
      <c r="G68" s="225">
        <v>20206466848</v>
      </c>
      <c r="H68" s="254" t="str">
        <f>IFERROR(IF('Feb-25'!$G68="","-",VLOOKUP('Feb-25'!$G68,Lista_CUIT!$A$1:$D$2241,2,0)),"CUIT NO CARGADO")</f>
        <v>GONZALEZ ROBERTO OSCAR</v>
      </c>
      <c r="I68" s="245">
        <v>70600</v>
      </c>
      <c r="J68" s="256" t="str">
        <f>IFERROR(IF('Feb-25'!$G68="","-",VLOOKUP('Feb-25'!$G68,Lista_CUIT!$A$1:$D$2241,3,0)),"CUIT NO CARGADO")</f>
        <v>Mantenimiento</v>
      </c>
      <c r="K68" s="257">
        <f>IFERROR(IF('Feb-25'!$G68="","-",VLOOKUP('Feb-25'!$G68,Lista_CUIT!$A$1:$D$2241,4,0)),"CUIT NO CARGADO")</f>
        <v>0</v>
      </c>
      <c r="O68" s="263"/>
    </row>
    <row r="69" spans="1:26" ht="15" customHeight="1" x14ac:dyDescent="0.3">
      <c r="D69" s="221">
        <v>45708</v>
      </c>
      <c r="E69" s="223">
        <v>4</v>
      </c>
      <c r="F69" s="224">
        <v>42</v>
      </c>
      <c r="G69" s="225">
        <v>20341462933</v>
      </c>
      <c r="H69" s="254" t="str">
        <f>IFERROR(IF('Feb-25'!$G69="","-",VLOOKUP('Feb-25'!$G69,Lista_CUIT!$A$1:$D$2241,2,0)),"CUIT NO CARGADO")</f>
        <v>CASTIGLIONI MATIAS EZEQUIEL</v>
      </c>
      <c r="I69" s="245">
        <v>2285000</v>
      </c>
      <c r="J69" s="256" t="str">
        <f>IFERROR(IF('Feb-25'!$G69="","-",VLOOKUP('Feb-25'!$G69,Lista_CUIT!$A$1:$D$2241,3,0)),"CUIT NO CARGADO")</f>
        <v>ASESORAMIENTO</v>
      </c>
      <c r="K69" s="257" t="str">
        <f>IFERROR(IF('Feb-25'!$G69="","-",VLOOKUP('Feb-25'!$G69,Lista_CUIT!$A$1:$D$2241,4,0)),"CUIT NO CARGADO")</f>
        <v>BUENOS AIRES</v>
      </c>
    </row>
    <row r="70" spans="1:26" ht="15" customHeight="1" x14ac:dyDescent="0.3">
      <c r="D70" s="221">
        <v>45713</v>
      </c>
      <c r="E70" s="223">
        <v>1</v>
      </c>
      <c r="F70" s="224">
        <v>23</v>
      </c>
      <c r="G70" s="225">
        <v>20419155870</v>
      </c>
      <c r="H70" s="254" t="str">
        <f>IFERROR(IF('Feb-25'!$G70="","-",VLOOKUP('Feb-25'!$G70,Lista_CUIT!$A$1:$D$2241,2,0)),"CUIT NO CARGADO")</f>
        <v>GULLO GASPAR</v>
      </c>
      <c r="I70" s="245">
        <v>75000</v>
      </c>
      <c r="J70" s="256" t="str">
        <f>IFERROR(IF('Feb-25'!$G70="","-",VLOOKUP('Feb-25'!$G70,Lista_CUIT!$A$1:$D$2241,3,0)),"CUIT NO CARGADO")</f>
        <v>Honorarios Contables</v>
      </c>
      <c r="K70" s="257">
        <f>IFERROR(IF('Feb-25'!$G70="","-",VLOOKUP('Feb-25'!$G70,Lista_CUIT!$A$1:$D$2241,4,0)),"CUIT NO CARGADO")</f>
        <v>0</v>
      </c>
    </row>
    <row r="71" spans="1:26" ht="15" customHeight="1" thickBot="1" x14ac:dyDescent="0.35">
      <c r="D71" s="317">
        <v>45701</v>
      </c>
      <c r="E71" s="319">
        <v>21</v>
      </c>
      <c r="F71" s="320">
        <v>73966</v>
      </c>
      <c r="G71" s="321">
        <v>20166808201</v>
      </c>
      <c r="H71" s="442" t="str">
        <f>IFERROR(IF('Feb-25'!$G71="","-",VLOOKUP('Feb-25'!$G71,Lista_CUIT!$A$1:$D$2241,2,0)),"CUIT NO CARGADO")</f>
        <v>QUIRINO CARLOS ALBERTO</v>
      </c>
      <c r="I71" s="329">
        <v>53134.29</v>
      </c>
      <c r="J71" s="440" t="str">
        <f>IFERROR(IF('Feb-25'!$G71="","-",VLOOKUP('Feb-25'!$G71,Lista_CUIT!$A$1:$D$2241,3,0)),"CUIT NO CARGADO")</f>
        <v>Catering</v>
      </c>
      <c r="K71" s="441">
        <f>IFERROR(IF('Feb-25'!$G71="","-",VLOOKUP('Feb-25'!$G71,Lista_CUIT!$A$1:$D$2241,4,0)),"CUIT NO CARGADO")</f>
        <v>0</v>
      </c>
    </row>
    <row r="72" spans="1:26" ht="18" customHeight="1" x14ac:dyDescent="0.3">
      <c r="A72" s="43"/>
      <c r="D72" s="447" t="s">
        <v>1343</v>
      </c>
      <c r="E72" s="448"/>
      <c r="F72" s="448"/>
      <c r="G72" s="448"/>
      <c r="H72" s="449"/>
      <c r="I72" s="450">
        <f>SUBTOTAL(109,'Feb-25'!$I$57:$I$71)</f>
        <v>14298665.01</v>
      </c>
      <c r="J72" s="448"/>
      <c r="K72" s="451"/>
      <c r="S72" s="43"/>
      <c r="T72" s="43"/>
      <c r="U72" s="43"/>
      <c r="V72" s="43"/>
      <c r="W72" s="43"/>
      <c r="X72" s="43"/>
      <c r="Y72" s="43"/>
      <c r="Z72" s="43"/>
    </row>
    <row r="73" spans="1:26" ht="15.75" customHeight="1" x14ac:dyDescent="0.3">
      <c r="B73" s="43"/>
      <c r="C73" s="43"/>
      <c r="L73" s="43"/>
      <c r="M73" s="43"/>
      <c r="N73" s="43"/>
      <c r="O73" s="43"/>
      <c r="P73" s="43"/>
      <c r="Q73" s="43"/>
      <c r="R73" s="43"/>
    </row>
    <row r="74" spans="1:26" ht="15.75" customHeight="1" x14ac:dyDescent="0.3"/>
    <row r="75" spans="1:26" ht="15.75" customHeight="1" x14ac:dyDescent="0.3"/>
    <row r="76" spans="1:26" ht="15.75" customHeight="1" x14ac:dyDescent="0.3"/>
    <row r="77" spans="1:26" ht="15.75" customHeight="1" x14ac:dyDescent="0.3"/>
    <row r="78" spans="1:26" ht="15.75" customHeight="1" x14ac:dyDescent="0.3">
      <c r="B78" s="492" t="s">
        <v>1364</v>
      </c>
      <c r="C78" s="476"/>
      <c r="D78" s="476"/>
      <c r="E78" s="476"/>
      <c r="F78" s="476"/>
      <c r="G78" s="476"/>
      <c r="H78" s="476"/>
      <c r="I78" s="476"/>
      <c r="J78" s="477"/>
      <c r="K78" s="493">
        <f>N1</f>
        <v>45323</v>
      </c>
      <c r="L78" s="476"/>
      <c r="M78" s="477"/>
    </row>
    <row r="79" spans="1:26" ht="22.5" customHeight="1" x14ac:dyDescent="0.3"/>
    <row r="80" spans="1:26" ht="15.75" customHeight="1" x14ac:dyDescent="0.3">
      <c r="B80" s="504" t="s">
        <v>1365</v>
      </c>
      <c r="C80" s="499"/>
      <c r="D80" s="263"/>
      <c r="E80" s="263"/>
      <c r="F80" s="263"/>
      <c r="G80" s="263"/>
      <c r="H80" s="263"/>
      <c r="I80" s="263"/>
      <c r="J80" s="263"/>
      <c r="K80" s="263"/>
      <c r="L80" s="263"/>
      <c r="M80" s="263"/>
    </row>
    <row r="81" spans="2:13" ht="22.5" customHeight="1" thickBot="1" x14ac:dyDescent="0.35">
      <c r="B81" s="466" t="s">
        <v>1322</v>
      </c>
      <c r="C81" s="467" t="s">
        <v>1323</v>
      </c>
      <c r="D81" s="467" t="s">
        <v>1366</v>
      </c>
      <c r="E81" s="467" t="s">
        <v>1367</v>
      </c>
      <c r="F81" s="467" t="s">
        <v>0</v>
      </c>
      <c r="G81" s="467" t="s">
        <v>1</v>
      </c>
      <c r="H81" s="467" t="s">
        <v>1368</v>
      </c>
      <c r="I81" s="467" t="s">
        <v>1348</v>
      </c>
      <c r="J81" s="467" t="s">
        <v>1329</v>
      </c>
      <c r="K81" s="467" t="s">
        <v>1369</v>
      </c>
      <c r="L81" s="467" t="s">
        <v>1334</v>
      </c>
      <c r="M81" s="468" t="s">
        <v>1335</v>
      </c>
    </row>
    <row r="82" spans="2:13" ht="15" customHeight="1" x14ac:dyDescent="0.3">
      <c r="B82" s="303">
        <v>45692</v>
      </c>
      <c r="C82" s="304">
        <v>1</v>
      </c>
      <c r="D82" s="305">
        <v>3</v>
      </c>
      <c r="E82" s="306">
        <v>247</v>
      </c>
      <c r="F82" s="307">
        <v>30628274327</v>
      </c>
      <c r="G82" s="356" t="str">
        <f>IFERROR(IF('Feb-25'!$F82="","-",VLOOKUP('Feb-25'!$F82,Lista_CUIT!$A$1:$D$2241,2,0)),"CUIT NO CARGADO")</f>
        <v>AGIRA  S A</v>
      </c>
      <c r="H82" s="357">
        <v>19587020</v>
      </c>
      <c r="I82" s="455">
        <v>90006</v>
      </c>
      <c r="J82" s="358">
        <v>2011634.1</v>
      </c>
      <c r="K82" s="358"/>
      <c r="L82" s="358">
        <f>SUM('Feb-25'!$H82:$K82)</f>
        <v>21688660.100000001</v>
      </c>
      <c r="M82" s="359"/>
    </row>
    <row r="83" spans="2:13" ht="15" customHeight="1" x14ac:dyDescent="0.3">
      <c r="B83" s="221">
        <v>45692</v>
      </c>
      <c r="C83" s="222">
        <v>1</v>
      </c>
      <c r="D83" s="223">
        <v>3</v>
      </c>
      <c r="E83" s="224">
        <v>248</v>
      </c>
      <c r="F83" s="225">
        <v>30638318470</v>
      </c>
      <c r="G83" s="267" t="str">
        <f>IFERROR(IF('Feb-25'!$F83="","-",VLOOKUP('Feb-25'!$F83,Lista_CUIT!$A$1:$D$2241,2,0)),"CUIT NO CARGADO")</f>
        <v>DELTA COMPRESION S R L</v>
      </c>
      <c r="H83" s="268">
        <v>45505075</v>
      </c>
      <c r="I83" s="269"/>
      <c r="J83" s="270">
        <f>Table_71[[#This Row],[IMPORTE NETO]]*0.105</f>
        <v>4778032.875</v>
      </c>
      <c r="K83" s="270"/>
      <c r="L83" s="270">
        <f>SUM('Feb-25'!$H83:$K83)</f>
        <v>50283107.875</v>
      </c>
      <c r="M83" s="271"/>
    </row>
    <row r="84" spans="2:13" ht="15" customHeight="1" x14ac:dyDescent="0.3">
      <c r="B84" s="221">
        <v>45700</v>
      </c>
      <c r="C84" s="222">
        <v>1</v>
      </c>
      <c r="D84" s="223">
        <v>3</v>
      </c>
      <c r="E84" s="224">
        <v>249</v>
      </c>
      <c r="F84" s="225">
        <v>30707466320</v>
      </c>
      <c r="G84" s="267" t="str">
        <f>IFERROR(IF('Feb-25'!$F84="","-",VLOOKUP('Feb-25'!$F84,Lista_CUIT!$A$1:$D$2241,2,0)),"CUIT NO CARGADO")</f>
        <v>SUELOCOR S.R.L.</v>
      </c>
      <c r="H84" s="268">
        <v>7210875</v>
      </c>
      <c r="I84" s="269">
        <v>158208.75</v>
      </c>
      <c r="J84" s="270">
        <v>678037.5</v>
      </c>
      <c r="K84" s="270"/>
      <c r="L84" s="270">
        <f>SUM('Feb-25'!$H84:$K84)</f>
        <v>8047121.25</v>
      </c>
      <c r="M84" s="271"/>
    </row>
    <row r="85" spans="2:13" ht="15" customHeight="1" x14ac:dyDescent="0.3">
      <c r="B85" s="221">
        <v>45701</v>
      </c>
      <c r="C85" s="222">
        <v>1</v>
      </c>
      <c r="D85" s="223">
        <v>3</v>
      </c>
      <c r="E85" s="224">
        <v>250</v>
      </c>
      <c r="F85" s="225">
        <v>30628274327</v>
      </c>
      <c r="G85" s="267" t="str">
        <f>IFERROR(IF('Feb-25'!$F85="","-",VLOOKUP('Feb-25'!$F85,Lista_CUIT!$A$1:$D$2241,2,0)),"CUIT NO CARGADO")</f>
        <v>AGIRA  S A</v>
      </c>
      <c r="H85" s="268">
        <v>9846065</v>
      </c>
      <c r="I85" s="269">
        <v>45244.5</v>
      </c>
      <c r="J85" s="270">
        <v>1011214.575</v>
      </c>
      <c r="K85" s="270"/>
      <c r="L85" s="270">
        <f>SUM('Feb-25'!$H85:$K85)</f>
        <v>10902524.074999999</v>
      </c>
      <c r="M85" s="271"/>
    </row>
    <row r="86" spans="2:13" ht="15" customHeight="1" x14ac:dyDescent="0.3">
      <c r="B86" s="221">
        <v>45707</v>
      </c>
      <c r="C86" s="222">
        <v>1</v>
      </c>
      <c r="D86" s="223">
        <v>3</v>
      </c>
      <c r="E86" s="224">
        <v>251</v>
      </c>
      <c r="F86" s="225">
        <v>30718512545</v>
      </c>
      <c r="G86" s="267" t="str">
        <f>IFERROR(IF('Feb-25'!$F86="","-",VLOOKUP('Feb-25'!$F86,Lista_CUIT!$A$1:$D$2241,2,0)),"CUIT NO CARGADO")</f>
        <v>MAJUBEN MDP SERVICIOS S.R.L.</v>
      </c>
      <c r="H86" s="268">
        <v>1240850</v>
      </c>
      <c r="I86" s="269">
        <f>'Feb-25'!$H86*0.21</f>
        <v>260578.5</v>
      </c>
      <c r="J86" s="270"/>
      <c r="K86" s="270"/>
      <c r="L86" s="270">
        <f>SUM('Feb-25'!$H86:$K86)</f>
        <v>1501428.5</v>
      </c>
      <c r="M86" s="271"/>
    </row>
    <row r="87" spans="2:13" ht="15" customHeight="1" x14ac:dyDescent="0.3">
      <c r="B87" s="221">
        <v>45715</v>
      </c>
      <c r="C87" s="222">
        <v>1</v>
      </c>
      <c r="D87" s="223">
        <v>3</v>
      </c>
      <c r="E87" s="224">
        <v>252</v>
      </c>
      <c r="F87" s="225">
        <v>33717088269</v>
      </c>
      <c r="G87" s="267" t="str">
        <f>IFERROR(IF('Feb-25'!$F87="","-",VLOOKUP('Feb-25'!$F87,Lista_CUIT!$A$1:$D$2241,2,0)),"CUIT NO CARGADO")</f>
        <v>NEXT SERVICE GNC S.R.L.</v>
      </c>
      <c r="H87" s="268">
        <v>2628652.5</v>
      </c>
      <c r="I87" s="269">
        <f>'Feb-25'!$H87*0.21</f>
        <v>552017.02500000002</v>
      </c>
      <c r="J87" s="270"/>
      <c r="K87" s="270"/>
      <c r="L87" s="270">
        <f>SUM('Feb-25'!$H87:$K87)</f>
        <v>3180669.5249999999</v>
      </c>
      <c r="M87" s="271"/>
    </row>
    <row r="88" spans="2:13" ht="15" customHeight="1" x14ac:dyDescent="0.3">
      <c r="B88" s="221"/>
      <c r="C88" s="222"/>
      <c r="D88" s="223"/>
      <c r="E88" s="224"/>
      <c r="F88" s="225"/>
      <c r="G88" s="267" t="str">
        <f>IFERROR(IF('Feb-25'!$F88="","-",VLOOKUP('Feb-25'!$F88,Lista_CUIT!$A$1:$D$2241,2,0)),"CUIT NO CARGADO")</f>
        <v>-</v>
      </c>
      <c r="H88" s="268"/>
      <c r="I88" s="269">
        <f>'Feb-25'!$H88*0.21</f>
        <v>0</v>
      </c>
      <c r="J88" s="270"/>
      <c r="K88" s="270"/>
      <c r="L88" s="270">
        <f>SUM('Feb-25'!$H88:$K88)</f>
        <v>0</v>
      </c>
      <c r="M88" s="271"/>
    </row>
    <row r="89" spans="2:13" ht="15" customHeight="1" x14ac:dyDescent="0.3">
      <c r="B89" s="272"/>
      <c r="C89" s="273"/>
      <c r="D89" s="274"/>
      <c r="E89" s="275"/>
      <c r="F89" s="244"/>
      <c r="G89" s="267" t="str">
        <f>IFERROR(IF('Feb-25'!$F89="","-",VLOOKUP('Feb-25'!$F89,Lista_CUIT!$A$1:$D$2241,2,0)),"CUIT NO CARGADO")</f>
        <v>-</v>
      </c>
      <c r="H89" s="268"/>
      <c r="I89" s="269">
        <f>'Feb-25'!$H89*0.21</f>
        <v>0</v>
      </c>
      <c r="J89" s="270"/>
      <c r="K89" s="270"/>
      <c r="L89" s="270">
        <f>SUM('Feb-25'!$H89:$K89)</f>
        <v>0</v>
      </c>
      <c r="M89" s="271"/>
    </row>
    <row r="90" spans="2:13" ht="15" customHeight="1" thickBot="1" x14ac:dyDescent="0.35">
      <c r="B90" s="363"/>
      <c r="C90" s="364"/>
      <c r="D90" s="365"/>
      <c r="E90" s="366"/>
      <c r="F90" s="328"/>
      <c r="G90" s="367" t="str">
        <f>IFERROR(IF('Feb-25'!$F90="","-",VLOOKUP('Feb-25'!$F90,Lista_CUIT!$A$1:$D$2241,2,0)),"CUIT NO CARGADO")</f>
        <v>-</v>
      </c>
      <c r="H90" s="368"/>
      <c r="I90" s="369">
        <f>'Feb-25'!$H90*0.21</f>
        <v>0</v>
      </c>
      <c r="J90" s="355"/>
      <c r="K90" s="355"/>
      <c r="L90" s="355">
        <f>SUM('Feb-25'!$H90:$K90)</f>
        <v>0</v>
      </c>
      <c r="M90" s="370"/>
    </row>
    <row r="91" spans="2:13" ht="18.75" customHeight="1" x14ac:dyDescent="0.3">
      <c r="B91" s="461" t="s">
        <v>1343</v>
      </c>
      <c r="C91" s="462"/>
      <c r="D91" s="462"/>
      <c r="E91" s="462"/>
      <c r="F91" s="462"/>
      <c r="G91" s="462"/>
      <c r="H91" s="469">
        <f>SUBTOTAL(109,'Feb-25'!$H$82:$H$90)</f>
        <v>86018537.5</v>
      </c>
      <c r="I91" s="470">
        <f>SUBTOTAL(109,'Feb-25'!$I$82:$I$90)</f>
        <v>1106054.7749999999</v>
      </c>
      <c r="J91" s="471">
        <f>SUBTOTAL(109,'Feb-25'!$J$82:$J$90)</f>
        <v>8478919.0499999989</v>
      </c>
      <c r="K91" s="471">
        <f>SUBTOTAL(109,'Feb-25'!$K$82:$K$90)</f>
        <v>0</v>
      </c>
      <c r="L91" s="471">
        <f>SUBTOTAL(109,'Feb-25'!$L$82:$L$90)</f>
        <v>95603511.325000003</v>
      </c>
      <c r="M91" s="465">
        <f>SUBTOTAL(103,'Feb-25'!$M$82:$M$90)</f>
        <v>0</v>
      </c>
    </row>
    <row r="92" spans="2:13" ht="15.75" customHeight="1" x14ac:dyDescent="0.3"/>
    <row r="93" spans="2:13" ht="17.25" customHeight="1" x14ac:dyDescent="0.3"/>
    <row r="94" spans="2:13" ht="31.5" customHeight="1" x14ac:dyDescent="0.3">
      <c r="B94" s="504" t="s">
        <v>1372</v>
      </c>
      <c r="C94" s="499"/>
      <c r="D94" s="263"/>
      <c r="E94" s="263"/>
      <c r="F94" s="263"/>
      <c r="G94" s="263"/>
      <c r="H94" s="263"/>
      <c r="I94" s="263"/>
      <c r="J94" s="263"/>
      <c r="K94" s="263"/>
      <c r="L94" s="263"/>
      <c r="M94" s="263"/>
    </row>
    <row r="95" spans="2:13" ht="20.25" customHeight="1" thickBot="1" x14ac:dyDescent="0.35">
      <c r="B95" s="458" t="s">
        <v>1322</v>
      </c>
      <c r="C95" s="459" t="s">
        <v>1323</v>
      </c>
      <c r="D95" s="459" t="s">
        <v>1366</v>
      </c>
      <c r="E95" s="459" t="s">
        <v>1367</v>
      </c>
      <c r="F95" s="459" t="s">
        <v>0</v>
      </c>
      <c r="G95" s="459" t="s">
        <v>1</v>
      </c>
      <c r="H95" s="459" t="s">
        <v>1368</v>
      </c>
      <c r="I95" s="459" t="s">
        <v>1348</v>
      </c>
      <c r="J95" s="459" t="s">
        <v>1329</v>
      </c>
      <c r="K95" s="459" t="s">
        <v>1369</v>
      </c>
      <c r="L95" s="459" t="s">
        <v>1334</v>
      </c>
      <c r="M95" s="460" t="s">
        <v>1335</v>
      </c>
    </row>
    <row r="96" spans="2:13" ht="15.75" customHeight="1" x14ac:dyDescent="0.3">
      <c r="B96" s="303"/>
      <c r="C96" s="304"/>
      <c r="D96" s="305"/>
      <c r="E96" s="306"/>
      <c r="F96" s="307"/>
      <c r="G96" s="377" t="str">
        <f>IFERROR(IF('Feb-25'!$F96="","-",VLOOKUP('Feb-25'!$F96,Lista_CUIT!$A$1:$D$2241,2,0)),"CUIT NO CARGADO")</f>
        <v>-</v>
      </c>
      <c r="H96" s="378"/>
      <c r="I96" s="378"/>
      <c r="J96" s="378"/>
      <c r="K96" s="378"/>
      <c r="L96" s="378">
        <f>SUM('Feb-25'!$H96:$K96)</f>
        <v>0</v>
      </c>
      <c r="M96" s="359"/>
    </row>
    <row r="97" spans="2:13" ht="15.75" customHeight="1" x14ac:dyDescent="0.3">
      <c r="B97" s="221"/>
      <c r="C97" s="222"/>
      <c r="D97" s="223"/>
      <c r="E97" s="224"/>
      <c r="F97" s="225"/>
      <c r="G97" s="279"/>
      <c r="H97" s="280"/>
      <c r="I97" s="280"/>
      <c r="J97" s="280"/>
      <c r="K97" s="280"/>
      <c r="L97" s="280">
        <f>SUM('Feb-25'!$H97:$K97)</f>
        <v>0</v>
      </c>
      <c r="M97" s="271"/>
    </row>
    <row r="98" spans="2:13" ht="15.75" customHeight="1" x14ac:dyDescent="0.3">
      <c r="B98" s="221"/>
      <c r="C98" s="222"/>
      <c r="D98" s="223"/>
      <c r="E98" s="224"/>
      <c r="F98" s="225"/>
      <c r="G98" s="279"/>
      <c r="H98" s="280"/>
      <c r="I98" s="280"/>
      <c r="J98" s="280"/>
      <c r="K98" s="280"/>
      <c r="L98" s="280">
        <f>SUM('Feb-25'!$H98:$K98)</f>
        <v>0</v>
      </c>
      <c r="M98" s="271"/>
    </row>
    <row r="99" spans="2:13" ht="15.75" customHeight="1" x14ac:dyDescent="0.3">
      <c r="B99" s="221"/>
      <c r="C99" s="222"/>
      <c r="D99" s="223"/>
      <c r="E99" s="224"/>
      <c r="F99" s="225"/>
      <c r="G99" s="279"/>
      <c r="H99" s="280"/>
      <c r="I99" s="280"/>
      <c r="J99" s="280"/>
      <c r="K99" s="280"/>
      <c r="L99" s="280">
        <f>SUM('Feb-25'!$H99:$K99)</f>
        <v>0</v>
      </c>
      <c r="M99" s="271"/>
    </row>
    <row r="100" spans="2:13" ht="15.75" customHeight="1" x14ac:dyDescent="0.3">
      <c r="B100" s="221"/>
      <c r="C100" s="222"/>
      <c r="D100" s="223"/>
      <c r="E100" s="224"/>
      <c r="F100" s="225"/>
      <c r="G100" s="279"/>
      <c r="H100" s="280"/>
      <c r="I100" s="280"/>
      <c r="J100" s="280"/>
      <c r="K100" s="280"/>
      <c r="L100" s="280">
        <f>SUM('Feb-25'!$H100:$K100)</f>
        <v>0</v>
      </c>
      <c r="M100" s="271"/>
    </row>
    <row r="101" spans="2:13" ht="15.75" customHeight="1" thickBot="1" x14ac:dyDescent="0.35">
      <c r="B101" s="317"/>
      <c r="C101" s="318"/>
      <c r="D101" s="319"/>
      <c r="E101" s="320"/>
      <c r="F101" s="321"/>
      <c r="G101" s="379"/>
      <c r="H101" s="354"/>
      <c r="I101" s="354"/>
      <c r="J101" s="354"/>
      <c r="K101" s="354"/>
      <c r="L101" s="354">
        <f>SUM('Feb-25'!$H101:$K101)</f>
        <v>0</v>
      </c>
      <c r="M101" s="370"/>
    </row>
    <row r="102" spans="2:13" ht="18.75" customHeight="1" x14ac:dyDescent="0.3">
      <c r="B102" s="461" t="s">
        <v>1343</v>
      </c>
      <c r="C102" s="462"/>
      <c r="D102" s="462"/>
      <c r="E102" s="462"/>
      <c r="F102" s="462"/>
      <c r="G102" s="462"/>
      <c r="H102" s="463">
        <f>SUBTOTAL(109,'Feb-25'!$H$96:$H$101)</f>
        <v>0</v>
      </c>
      <c r="I102" s="463">
        <f>SUBTOTAL(109,'Feb-25'!$I$96:$I$101)</f>
        <v>0</v>
      </c>
      <c r="J102" s="464">
        <f>SUBTOTAL(109,'Feb-25'!$J$96:$J$101)</f>
        <v>0</v>
      </c>
      <c r="K102" s="464">
        <f>SUBTOTAL(109,'Feb-25'!$K$96:$K$101)</f>
        <v>0</v>
      </c>
      <c r="L102" s="464">
        <f>SUBTOTAL(109,'Feb-25'!$L$96:$L$101)</f>
        <v>0</v>
      </c>
      <c r="M102" s="465">
        <f>SUBTOTAL(103,'Feb-25'!$M$96:$M$101)</f>
        <v>0</v>
      </c>
    </row>
    <row r="103" spans="2:13" ht="15.75" customHeight="1" x14ac:dyDescent="0.3"/>
    <row r="104" spans="2:13" ht="18.75" customHeight="1" x14ac:dyDescent="0.3"/>
    <row r="105" spans="2:13" ht="28.5" customHeight="1" x14ac:dyDescent="0.3"/>
    <row r="106" spans="2:13" ht="15.75" customHeight="1" x14ac:dyDescent="0.3">
      <c r="B106" s="504" t="s">
        <v>1373</v>
      </c>
      <c r="C106" s="499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</row>
    <row r="107" spans="2:13" ht="22.5" customHeight="1" thickBot="1" x14ac:dyDescent="0.35">
      <c r="B107" s="458" t="s">
        <v>1322</v>
      </c>
      <c r="C107" s="459" t="s">
        <v>1323</v>
      </c>
      <c r="D107" s="459" t="s">
        <v>1366</v>
      </c>
      <c r="E107" s="459" t="s">
        <v>1367</v>
      </c>
      <c r="F107" s="459" t="s">
        <v>0</v>
      </c>
      <c r="G107" s="459" t="s">
        <v>1</v>
      </c>
      <c r="H107" s="459" t="s">
        <v>1374</v>
      </c>
      <c r="I107" s="459" t="s">
        <v>1348</v>
      </c>
      <c r="J107" s="459" t="s">
        <v>1376</v>
      </c>
      <c r="K107" s="459" t="s">
        <v>1377</v>
      </c>
      <c r="L107" s="459" t="s">
        <v>1334</v>
      </c>
      <c r="M107" s="460" t="s">
        <v>1437</v>
      </c>
    </row>
    <row r="108" spans="2:13" ht="15" customHeight="1" x14ac:dyDescent="0.3">
      <c r="B108" s="303">
        <v>45695</v>
      </c>
      <c r="C108" s="304"/>
      <c r="D108" s="305">
        <v>30</v>
      </c>
      <c r="E108" s="306">
        <v>102</v>
      </c>
      <c r="F108" s="307">
        <v>55000000050</v>
      </c>
      <c r="G108" s="377" t="str">
        <f>IFERROR(IF('Feb-25'!$F108="","-",VLOOKUP('Feb-25'!$F108,Lista_CUIT!$A$1:$D$2241,2,0)),"CUIT NO CARGADO")</f>
        <v>GAS FUTURO SISTEMAS DE COMPRESSÃO LTDA</v>
      </c>
      <c r="H108" s="378">
        <v>1920</v>
      </c>
      <c r="I108" s="378"/>
      <c r="J108" s="472"/>
      <c r="K108" s="378">
        <v>1054.75</v>
      </c>
      <c r="L108" s="378">
        <f>'Feb-25'!$H108*'Feb-25'!$K108</f>
        <v>2025120</v>
      </c>
      <c r="M108" s="359"/>
    </row>
    <row r="109" spans="2:13" ht="15" customHeight="1" x14ac:dyDescent="0.3">
      <c r="B109" s="221">
        <v>45707</v>
      </c>
      <c r="C109" s="222"/>
      <c r="D109" s="223">
        <v>30</v>
      </c>
      <c r="E109" s="224">
        <v>103</v>
      </c>
      <c r="F109" s="225">
        <v>55000002053</v>
      </c>
      <c r="G109" s="279" t="str">
        <f>IFERROR(IF('Feb-25'!$F109="","-",VLOOKUP('Feb-25'!$F109,Lista_CUIT!$A$1:$D$2241,2,0)),"CUIT NO CARGADO")</f>
        <v>DELTAGAS SA</v>
      </c>
      <c r="H109" s="280">
        <v>900</v>
      </c>
      <c r="I109" s="280"/>
      <c r="J109" s="280"/>
      <c r="K109" s="280">
        <v>1059.25</v>
      </c>
      <c r="L109" s="280">
        <f>'Feb-25'!$H109*'Feb-25'!$K109</f>
        <v>953325</v>
      </c>
      <c r="M109" s="271"/>
    </row>
    <row r="110" spans="2:13" ht="15" customHeight="1" thickBot="1" x14ac:dyDescent="0.35">
      <c r="B110" s="452"/>
      <c r="C110" s="453"/>
      <c r="D110" s="453"/>
      <c r="E110" s="453"/>
      <c r="F110" s="453"/>
      <c r="G110" s="379" t="str">
        <f>IFERROR(IF('Feb-25'!$F110="","-",VLOOKUP('Feb-25'!$F110,Lista_CUIT!$A$1:$D$2241,2,0)),"CUIT NO CARGADO")</f>
        <v>-</v>
      </c>
      <c r="H110" s="456"/>
      <c r="I110" s="456"/>
      <c r="J110" s="457"/>
      <c r="K110" s="457"/>
      <c r="L110" s="457"/>
      <c r="M110" s="454">
        <f>SUBTOTAL(103,'Abr-24'!$M$103:$M$106)</f>
        <v>0</v>
      </c>
    </row>
    <row r="111" spans="2:13" ht="18" customHeight="1" x14ac:dyDescent="0.3">
      <c r="B111" s="461" t="s">
        <v>1343</v>
      </c>
      <c r="C111" s="462"/>
      <c r="D111" s="462"/>
      <c r="E111" s="462"/>
      <c r="F111" s="462"/>
      <c r="G111" s="462"/>
      <c r="H111" s="463">
        <f>SUBTOTAL(109,'Feb-25'!$H$108:$H$110)</f>
        <v>2820</v>
      </c>
      <c r="I111" s="463">
        <f>SUBTOTAL(109,'Feb-25'!$I$108:$I$110)</f>
        <v>0</v>
      </c>
      <c r="J111" s="464">
        <f>SUBTOTAL(109,'Feb-25'!$J$108:$J$110)</f>
        <v>0</v>
      </c>
      <c r="K111" s="464">
        <f>SUBTOTAL(109,'Feb-25'!$K$108:$K$110)</f>
        <v>2114</v>
      </c>
      <c r="L111" s="464">
        <f>SUM(L108:L109)</f>
        <v>2978445</v>
      </c>
      <c r="M111" s="465">
        <f>SUBTOTAL(103,'Feb-25'!$M$108:$M$110)</f>
        <v>0</v>
      </c>
    </row>
    <row r="112" spans="2:13" ht="15.75" customHeight="1" x14ac:dyDescent="0.3"/>
    <row r="113" spans="3:12" ht="15.75" customHeight="1" x14ac:dyDescent="0.3"/>
    <row r="114" spans="3:12" ht="15.75" customHeight="1" x14ac:dyDescent="0.3"/>
    <row r="115" spans="3:12" ht="15.75" customHeight="1" x14ac:dyDescent="0.3"/>
    <row r="116" spans="3:12" ht="15.75" customHeight="1" x14ac:dyDescent="0.3">
      <c r="C116" s="487" t="s">
        <v>1380</v>
      </c>
      <c r="D116" s="488"/>
      <c r="E116" s="488"/>
      <c r="F116" s="488"/>
      <c r="G116" s="489"/>
      <c r="H116" s="88"/>
      <c r="I116" s="88"/>
      <c r="J116" s="88"/>
    </row>
    <row r="117" spans="3:12" ht="15.75" customHeight="1" x14ac:dyDescent="0.3">
      <c r="C117" s="89" t="s">
        <v>1381</v>
      </c>
      <c r="D117" s="90" t="s">
        <v>1382</v>
      </c>
      <c r="E117" s="90" t="s">
        <v>1376</v>
      </c>
      <c r="F117" s="90" t="s">
        <v>0</v>
      </c>
      <c r="G117" s="90" t="s">
        <v>1</v>
      </c>
      <c r="H117" s="91" t="s">
        <v>1383</v>
      </c>
      <c r="I117" s="91" t="s">
        <v>1384</v>
      </c>
      <c r="J117" s="91" t="s">
        <v>1385</v>
      </c>
      <c r="K117" s="91" t="s">
        <v>1386</v>
      </c>
      <c r="L117" s="91" t="s">
        <v>1387</v>
      </c>
    </row>
    <row r="118" spans="3:12" ht="15.75" customHeight="1" x14ac:dyDescent="0.3">
      <c r="C118" s="92"/>
      <c r="D118" s="93">
        <v>11694</v>
      </c>
      <c r="E118" s="93"/>
      <c r="F118" s="39"/>
      <c r="G118" s="40" t="str">
        <f>IFERROR(IF('Feb-25'!$F118="","-",VLOOKUP('Feb-25'!$F118,Lista_CUIT!$A$1:$D$2241,2,0)),"CUIT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3">
      <c r="C119" s="92"/>
      <c r="D119" s="93">
        <v>11695</v>
      </c>
      <c r="E119" s="93"/>
      <c r="F119" s="39"/>
      <c r="G119" s="40" t="str">
        <f>IFERROR(IF('Feb-25'!$F119="","-",VLOOKUP('Feb-25'!$F119,Lista_CUIT!$A$1:$D$2241,2,0)),"CUIT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3">
      <c r="C120" s="92"/>
      <c r="D120" s="93">
        <v>11696</v>
      </c>
      <c r="E120" s="93"/>
      <c r="F120" s="39"/>
      <c r="G120" s="40" t="str">
        <f>IFERROR(IF('Feb-25'!$F120="","-",VLOOKUP('Feb-25'!$F120,Lista_CUIT!$A$1:$D$2241,2,0)),"CUIT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3">
      <c r="C121" s="92"/>
      <c r="D121" s="93">
        <v>11697</v>
      </c>
      <c r="E121" s="93"/>
      <c r="F121" s="39"/>
      <c r="G121" s="40" t="str">
        <f>IFERROR(IF('Feb-25'!$F121="","-",VLOOKUP('Feb-25'!$F121,Lista_CUIT!$A$1:$D$2241,2,0)),"CUIT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3">
      <c r="C122" s="3"/>
      <c r="D122" s="93">
        <v>11698</v>
      </c>
      <c r="E122" s="93"/>
      <c r="F122" s="3"/>
      <c r="G122" s="40" t="str">
        <f>IFERROR(IF('Feb-25'!$F122="","-",VLOOKUP('Feb-25'!$F122,Lista_CUIT!$A$1:$D$2241,2,0)),"CUIT NO CARGADO")</f>
        <v>-</v>
      </c>
      <c r="H122" s="3"/>
      <c r="I122" s="3"/>
      <c r="J122" s="3"/>
      <c r="K122" s="3"/>
      <c r="L122" s="3"/>
    </row>
    <row r="123" spans="3:12" ht="15.75" customHeight="1" x14ac:dyDescent="0.3">
      <c r="C123" s="145"/>
    </row>
    <row r="124" spans="3:12" ht="15.75" customHeight="1" x14ac:dyDescent="0.3"/>
    <row r="125" spans="3:12" ht="15.75" customHeight="1" x14ac:dyDescent="0.3"/>
    <row r="126" spans="3:12" ht="15.75" customHeight="1" x14ac:dyDescent="0.3"/>
    <row r="127" spans="3:12" ht="15.75" customHeight="1" x14ac:dyDescent="0.3"/>
    <row r="128" spans="3:1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21">
    <mergeCell ref="P4:R4"/>
    <mergeCell ref="D40:L40"/>
    <mergeCell ref="B106:C106"/>
    <mergeCell ref="C116:G116"/>
    <mergeCell ref="B3:E3"/>
    <mergeCell ref="B4:E4"/>
    <mergeCell ref="G4:H4"/>
    <mergeCell ref="D55:K55"/>
    <mergeCell ref="B78:J78"/>
    <mergeCell ref="K78:M78"/>
    <mergeCell ref="B80:C80"/>
    <mergeCell ref="B94:C94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L84:L86" xr:uid="{00000000-0002-0000-0B00-000000000000}">
      <formula1>IF(#REF!=3,#REF!&lt;0,#REF!&gt;=0)</formula1>
    </dataValidation>
    <dataValidation type="custom" allowBlank="1" showErrorMessage="1" sqref="H96:L101 H108:I108 K108:L108 H109:L109" xr:uid="{00000000-0002-0000-0B00-000001000000}">
      <formula1>IF($C96=8,H96&lt;0,H96&gt;=0)</formula1>
    </dataValidation>
    <dataValidation type="custom" allowBlank="1" showErrorMessage="1" sqref="L87:L88" xr:uid="{00000000-0002-0000-0B00-000002000000}">
      <formula1>IF($C35=3,L35&lt;0,L35&gt;=0)</formula1>
    </dataValidation>
    <dataValidation type="decimal" allowBlank="1" showErrorMessage="1" sqref="D108:D109 E57:E71 D82:D90 D96:D101 D9:D34" xr:uid="{00000000-0002-0000-0B00-000003000000}">
      <formula1>1</formula1>
      <formula2>9999</formula2>
    </dataValidation>
    <dataValidation type="decimal" allowBlank="1" showErrorMessage="1" sqref="C108:C109" xr:uid="{00000000-0002-0000-0B00-000004000000}">
      <formula1>80</formula1>
      <formula2>80</formula2>
    </dataValidation>
    <dataValidation type="date" allowBlank="1" showErrorMessage="1" sqref="B9:B34 B36:B39 B108:B109 D57:D71 B82:B90 B96:B101 D42:D50" xr:uid="{00000000-0002-0000-0B00-000005000000}">
      <formula1>40179</formula1>
      <formula2>TODAY()</formula2>
    </dataValidation>
    <dataValidation type="custom" allowBlank="1" showErrorMessage="1" sqref="L82:L83" xr:uid="{00000000-0002-0000-0B00-000006000000}">
      <formula1>IF($C9=3,L9&lt;0,L9&gt;=0)</formula1>
    </dataValidation>
    <dataValidation type="decimal" allowBlank="1" showErrorMessage="1" sqref="F108:F109 G57:G71 F82:F90 F96:F101 F9:F34" xr:uid="{00000000-0002-0000-0B00-000007000000}">
      <formula1>20000000000</formula1>
      <formula2>33999999999</formula2>
    </dataValidation>
    <dataValidation type="decimal" allowBlank="1" showErrorMessage="1" sqref="C96:C101" xr:uid="{00000000-0002-0000-0B00-000008000000}">
      <formula1>6</formula1>
      <formula2>8</formula2>
    </dataValidation>
    <dataValidation type="decimal" allowBlank="1" showErrorMessage="1" sqref="O50:O66 F57:F71 E82:E90 E96:E101 E108:E109 E9:E34" xr:uid="{00000000-0002-0000-0B00-000009000000}">
      <formula1>1</formula1>
      <formula2>99999999</formula2>
    </dataValidation>
    <dataValidation type="decimal" allowBlank="1" showErrorMessage="1" sqref="C82:C90 C36:C39 C9:C34" xr:uid="{00000000-0002-0000-0B00-00000A000000}">
      <formula1>1</formula1>
      <formula2>3</formula2>
    </dataValidation>
    <dataValidation type="custom" allowBlank="1" showErrorMessage="1" sqref="H82 J82:K82 J86:K86 H88:K88 H86 H84 J84:K84" xr:uid="{00000000-0002-0000-0B00-00000B000000}">
      <formula1>IF($C82=3,H82&lt;0,H82&gt;=0)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N34 O9:O25 O27:O34" xr:uid="{00000000-0002-0000-0B00-00000C000000}">
      <formula1>IF($C9=3,H9&lt;0,H9&gt;=0)</formula1>
    </dataValidation>
    <dataValidation allowBlank="1" showInputMessage="1" showErrorMessage="1" prompt="Error de Ingreso - Ingreso condicionado al tipo de compra:_x000a_- Tipo 001: solo positivo_x000a_- Tipo 002: solo positivo_x000a_- Tipo 003: solo negativo" sqref="O26" xr:uid="{00000000-0002-0000-0B00-00000D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DE9D9"/>
  </sheetPr>
  <dimension ref="A1:Z1008"/>
  <sheetViews>
    <sheetView showGridLines="0" tabSelected="1" topLeftCell="A6" zoomScale="70" zoomScaleNormal="70" workbookViewId="0">
      <selection activeCell="A27" sqref="A27"/>
    </sheetView>
  </sheetViews>
  <sheetFormatPr baseColWidth="10" defaultColWidth="14.44140625" defaultRowHeight="15" customHeight="1" x14ac:dyDescent="0.3"/>
  <cols>
    <col min="1" max="1" width="1.6640625" customWidth="1"/>
    <col min="2" max="2" width="18.109375" customWidth="1"/>
    <col min="3" max="3" width="12.88671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6.33203125" customWidth="1"/>
    <col min="11" max="11" width="14.88671875" customWidth="1"/>
    <col min="12" max="12" width="15.5546875" customWidth="1"/>
    <col min="13" max="13" width="12.88671875" customWidth="1"/>
    <col min="14" max="14" width="16.44140625" customWidth="1"/>
    <col min="15" max="15" width="14.88671875" customWidth="1"/>
    <col min="16" max="16" width="18.109375" customWidth="1"/>
    <col min="17" max="17" width="17" customWidth="1"/>
    <col min="18" max="18" width="11.5546875" customWidth="1"/>
    <col min="19" max="19" width="14.1093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10.6640625" hidden="1" customWidth="1"/>
  </cols>
  <sheetData>
    <row r="1" spans="1:19" ht="34.5" customHeight="1" x14ac:dyDescent="0.3">
      <c r="A1" s="6"/>
      <c r="B1" s="475" t="s">
        <v>1315</v>
      </c>
      <c r="C1" s="476"/>
      <c r="D1" s="476"/>
      <c r="E1" s="476"/>
      <c r="F1" s="477"/>
      <c r="G1" s="497" t="str">
        <f>'Abr-24'!G1:M1</f>
        <v>CORITEC S. R. L.</v>
      </c>
      <c r="H1" s="476"/>
      <c r="I1" s="476"/>
      <c r="J1" s="476"/>
      <c r="K1" s="476"/>
      <c r="L1" s="476"/>
      <c r="M1" s="477"/>
      <c r="N1" s="479">
        <f>EDATE('Abr-24'!N1,11)</f>
        <v>45352</v>
      </c>
      <c r="O1" s="476"/>
      <c r="P1" s="476"/>
      <c r="Q1" s="476"/>
      <c r="R1" s="477"/>
    </row>
    <row r="3" spans="1:19" ht="26.25" customHeight="1" x14ac:dyDescent="0.3">
      <c r="B3" s="480" t="s">
        <v>1388</v>
      </c>
      <c r="C3" s="476"/>
      <c r="D3" s="476"/>
      <c r="E3" s="477"/>
      <c r="F3" s="7"/>
      <c r="G3" s="480" t="s">
        <v>1318</v>
      </c>
      <c r="H3" s="477"/>
      <c r="I3" s="7"/>
      <c r="J3" s="481" t="s">
        <v>1319</v>
      </c>
      <c r="K3" s="477"/>
      <c r="L3" s="7"/>
      <c r="M3" s="481" t="s">
        <v>1320</v>
      </c>
      <c r="N3" s="477"/>
      <c r="O3" s="7"/>
      <c r="P3" s="482" t="s">
        <v>1321</v>
      </c>
      <c r="Q3" s="476"/>
      <c r="R3" s="477"/>
    </row>
    <row r="4" spans="1:19" ht="24.75" customHeight="1" x14ac:dyDescent="0.4">
      <c r="B4" s="490">
        <f>SUM('Mar-25'!$H$39)+'Mar-25'!$G$54</f>
        <v>17290094.459999997</v>
      </c>
      <c r="C4" s="476"/>
      <c r="D4" s="476"/>
      <c r="E4" s="477"/>
      <c r="F4" s="8"/>
      <c r="G4" s="491">
        <f>'Mar-25'!$I$39+'Mar-25'!$J$39+'Mar-25'!$K$39+'Mar-25'!$H$54+'Mar-25'!$I$54</f>
        <v>3632867.3340999996</v>
      </c>
      <c r="H4" s="477"/>
      <c r="I4" s="8"/>
      <c r="J4" s="494">
        <f>'Mar-25'!$H$96+'Mar-25'!$H$107</f>
        <v>111510139.08750001</v>
      </c>
      <c r="K4" s="477"/>
      <c r="L4" s="8"/>
      <c r="M4" s="494">
        <f>'Mar-25'!$I$96+'Mar-25'!$J$96+'Mar-25'!$I$107+'Mar-25'!$J$107</f>
        <v>13478187.827462498</v>
      </c>
      <c r="N4" s="477"/>
      <c r="O4" s="8"/>
      <c r="P4" s="483">
        <f>G4-M4</f>
        <v>-9845320.4933624975</v>
      </c>
      <c r="Q4" s="476"/>
      <c r="R4" s="477"/>
    </row>
    <row r="5" spans="1:19" ht="12.75" customHeight="1" x14ac:dyDescent="0.3"/>
    <row r="6" spans="1:19" ht="10.5" customHeight="1" x14ac:dyDescent="0.3"/>
    <row r="7" spans="1:19" ht="10.5" customHeigh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3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1442</v>
      </c>
      <c r="P8" s="22" t="s">
        <v>1334</v>
      </c>
      <c r="Q8" s="22" t="s">
        <v>2</v>
      </c>
      <c r="R8" s="22" t="s">
        <v>1335</v>
      </c>
    </row>
    <row r="9" spans="1:19" ht="14.4" x14ac:dyDescent="0.3">
      <c r="B9" s="12">
        <v>45717</v>
      </c>
      <c r="C9" s="13">
        <v>1</v>
      </c>
      <c r="D9" s="14">
        <v>3</v>
      </c>
      <c r="E9" s="15">
        <v>258572</v>
      </c>
      <c r="F9" s="16">
        <v>30707135596</v>
      </c>
      <c r="G9" s="17" t="str">
        <f>IFERROR(IF('Mar-25'!$F9="","-",VLOOKUP('Mar-25'!$F9,Lista_CUIT!$A$1:$D$2241,2,0)),"CUIT NO CARGADO")</f>
        <v>CITILAN ARGENTINA S.A.</v>
      </c>
      <c r="H9" s="18">
        <v>25470.26</v>
      </c>
      <c r="I9" s="23">
        <f>IF('Mar-25'!$H9="","",'Mar-25'!$H9*0.21)</f>
        <v>5348.7545999999993</v>
      </c>
      <c r="J9" s="23"/>
      <c r="K9" s="23"/>
      <c r="L9" s="23"/>
      <c r="M9" s="23"/>
      <c r="N9" s="23"/>
      <c r="O9" s="23"/>
      <c r="P9" s="20">
        <f>SUM('Mar-25'!$H9:$O9)</f>
        <v>30819.014599999999</v>
      </c>
      <c r="Q9" s="21" t="str">
        <f>IFERROR(IF('Mar-25'!$F9="","-",VLOOKUP('Mar-25'!$F9,Lista_CUIT!$A$1:$D$2241,3,0)),"CUIT NO CARGADO")</f>
        <v>Telefonia</v>
      </c>
      <c r="R9" s="21">
        <f>IFERROR(IF('Mar-25'!$F9="","-",VLOOKUP('Mar-25'!$F9,Lista_CUIT!$A$1:$D$2241,4,0)),"CUIT NO CARGADO")</f>
        <v>0</v>
      </c>
    </row>
    <row r="10" spans="1:19" ht="14.4" x14ac:dyDescent="0.3">
      <c r="B10" s="12">
        <v>45717</v>
      </c>
      <c r="C10" s="13">
        <v>1</v>
      </c>
      <c r="D10" s="14">
        <v>3</v>
      </c>
      <c r="E10" s="15">
        <v>839</v>
      </c>
      <c r="F10" s="16">
        <v>30715402765</v>
      </c>
      <c r="G10" s="17" t="str">
        <f>IFERROR(IF('Mar-25'!$F10="","-",VLOOKUP('Mar-25'!$F10,Lista_CUIT!$A$1:$D$2241,2,0)),"CUIT NO CARGADO")</f>
        <v>RIO 265 S.R.L.</v>
      </c>
      <c r="H10" s="18">
        <v>83471.100000000006</v>
      </c>
      <c r="I10" s="23">
        <f>IF('Mar-25'!$H10="","",'Mar-25'!$H10*0.21)</f>
        <v>17528.931</v>
      </c>
      <c r="J10" s="23"/>
      <c r="K10" s="23"/>
      <c r="L10" s="23"/>
      <c r="M10" s="23"/>
      <c r="N10" s="23"/>
      <c r="O10" s="23"/>
      <c r="P10" s="20">
        <f>SUM('Mar-25'!$H10:$O10)</f>
        <v>101000.031</v>
      </c>
      <c r="Q10" s="21" t="str">
        <f>IFERROR(IF('Mar-25'!$F10="","-",VLOOKUP('Mar-25'!$F10,Lista_CUIT!$A$1:$D$2241,3,0)),"CUIT NO CARGADO")</f>
        <v>GASTOS VARIOS</v>
      </c>
      <c r="R10" s="21">
        <f>IFERROR(IF('Mar-25'!$F10="","-",VLOOKUP('Mar-25'!$F10,Lista_CUIT!$A$1:$D$2241,4,0)),"CUIT NO CARGADO")</f>
        <v>0</v>
      </c>
    </row>
    <row r="11" spans="1:19" ht="14.4" x14ac:dyDescent="0.3">
      <c r="B11" s="12">
        <v>45717</v>
      </c>
      <c r="C11" s="13">
        <v>1</v>
      </c>
      <c r="D11" s="14">
        <v>3</v>
      </c>
      <c r="E11" s="15">
        <v>169</v>
      </c>
      <c r="F11" s="16">
        <v>20297899830</v>
      </c>
      <c r="G11" s="17" t="str">
        <f>IFERROR(IF('Mar-25'!$F11="","-",VLOOKUP('Mar-25'!$F11,Lista_CUIT!$A$1:$D$2241,2,0)),"CUIT NO CARGADO")</f>
        <v>FUNK MATIAS NICOLAS</v>
      </c>
      <c r="H11" s="18">
        <v>6303320</v>
      </c>
      <c r="I11" s="23">
        <f>IF('Mar-25'!$H11="","",'Mar-25'!$H11*0.21)</f>
        <v>1323697.2</v>
      </c>
      <c r="J11" s="23"/>
      <c r="K11" s="23"/>
      <c r="L11" s="23"/>
      <c r="M11" s="23"/>
      <c r="N11" s="23"/>
      <c r="O11" s="23"/>
      <c r="P11" s="20">
        <f>SUM('Mar-25'!$H11:$O11)</f>
        <v>7627017.2000000002</v>
      </c>
      <c r="Q11" s="21" t="str">
        <f>IFERROR(IF('Mar-25'!$F11="","-",VLOOKUP('Mar-25'!$F11,Lista_CUIT!$A$1:$D$2241,3,0)),"CUIT NO CARGADO")</f>
        <v>INSUMO</v>
      </c>
      <c r="R11" s="21">
        <f>IFERROR(IF('Mar-25'!$F11="","-",VLOOKUP('Mar-25'!$F11,Lista_CUIT!$A$1:$D$2241,4,0)),"CUIT NO CARGADO")</f>
        <v>0</v>
      </c>
    </row>
    <row r="12" spans="1:19" ht="14.4" x14ac:dyDescent="0.3">
      <c r="B12" s="12">
        <v>45721</v>
      </c>
      <c r="C12" s="13">
        <v>1</v>
      </c>
      <c r="D12" s="14">
        <v>9</v>
      </c>
      <c r="E12" s="15">
        <v>169858</v>
      </c>
      <c r="F12" s="16">
        <v>33715571639</v>
      </c>
      <c r="G12" s="17" t="str">
        <f>IFERROR(IF('Mar-25'!$F12="","-",VLOOKUP('Mar-25'!$F12,Lista_CUIT!$A$1:$D$2241,2,0)),"CUIT NO CARGADO")</f>
        <v>DUAITEK SRL</v>
      </c>
      <c r="H12" s="18">
        <v>9660.32</v>
      </c>
      <c r="I12" s="23">
        <f>IF('Mar-25'!$H12="","",'Mar-25'!$H12*0.21)</f>
        <v>2028.6671999999999</v>
      </c>
      <c r="J12" s="23"/>
      <c r="K12" s="23"/>
      <c r="L12" s="23"/>
      <c r="M12" s="23"/>
      <c r="N12" s="23"/>
      <c r="O12" s="23"/>
      <c r="P12" s="20">
        <f>SUM('Mar-25'!$H12:$O12)</f>
        <v>11688.9872</v>
      </c>
      <c r="Q12" s="21" t="str">
        <f>IFERROR(IF('Mar-25'!$F12="","-",VLOOKUP('Mar-25'!$F12,Lista_CUIT!$A$1:$D$2241,3,0)),"CUIT NO CARGADO")</f>
        <v>Materiales Electricos</v>
      </c>
      <c r="R12" s="21">
        <f>IFERROR(IF('Mar-25'!$F12="","-",VLOOKUP('Mar-25'!$F12,Lista_CUIT!$A$1:$D$2241,4,0)),"CUIT NO CARGADO")</f>
        <v>0</v>
      </c>
    </row>
    <row r="13" spans="1:19" ht="14.4" x14ac:dyDescent="0.3">
      <c r="B13" s="391">
        <v>45721</v>
      </c>
      <c r="C13" s="13">
        <v>1</v>
      </c>
      <c r="D13" s="393">
        <v>106</v>
      </c>
      <c r="E13" s="394">
        <v>819468</v>
      </c>
      <c r="F13" s="395">
        <v>30594494187</v>
      </c>
      <c r="G13" s="382" t="str">
        <f>IFERROR(IF('Mar-25'!$F13="","-",VLOOKUP('Mar-25'!$F13,Lista_CUIT!$A$1:$D$2241,2,0)),"CUIT NO CARGADO")</f>
        <v>FEDERAL EXPRESS CORPORATION</v>
      </c>
      <c r="H13" s="416">
        <v>0</v>
      </c>
      <c r="I13" s="417">
        <f>IF('Mar-25'!$H13="","",'Mar-25'!$H13*0.21)</f>
        <v>0</v>
      </c>
      <c r="J13" s="417"/>
      <c r="K13" s="417"/>
      <c r="L13" s="417"/>
      <c r="M13" s="417"/>
      <c r="N13" s="417"/>
      <c r="O13" s="417">
        <v>161934.79</v>
      </c>
      <c r="P13" s="418">
        <f>SUM('Mar-25'!$H13:$O13)</f>
        <v>161934.79</v>
      </c>
      <c r="Q13" s="396" t="str">
        <f>IFERROR(IF('Mar-25'!$F13="","-",VLOOKUP('Mar-25'!$F13,Lista_CUIT!$A$1:$D$2241,3,0)),"CUIT NO CARGADO")</f>
        <v>Gastos Importacion</v>
      </c>
      <c r="R13" s="396">
        <f>IFERROR(IF('Mar-25'!$F13="","-",VLOOKUP('Mar-25'!$F13,Lista_CUIT!$A$1:$D$2241,4,0)),"CUIT NO CARGADO")</f>
        <v>0</v>
      </c>
    </row>
    <row r="14" spans="1:19" ht="14.4" x14ac:dyDescent="0.3">
      <c r="B14" s="391">
        <v>45722</v>
      </c>
      <c r="C14" s="13">
        <v>1</v>
      </c>
      <c r="D14" s="393">
        <v>5</v>
      </c>
      <c r="E14" s="394">
        <v>82130</v>
      </c>
      <c r="F14" s="395">
        <v>30692857611</v>
      </c>
      <c r="G14" s="382" t="str">
        <f>IFERROR(IF('Mar-25'!$F14="","-",VLOOKUP('Mar-25'!$F14,Lista_CUIT!$A$1:$D$2241,2,0)),"CUIT NO CARGADO")</f>
        <v>BAGUI S A</v>
      </c>
      <c r="H14" s="416">
        <v>182038.35</v>
      </c>
      <c r="I14" s="417">
        <f>IF('Mar-25'!$H14="","",'Mar-25'!$H14*0.21)</f>
        <v>38228.053500000002</v>
      </c>
      <c r="J14" s="417"/>
      <c r="K14" s="417"/>
      <c r="L14" s="417"/>
      <c r="M14" s="417"/>
      <c r="N14" s="417"/>
      <c r="O14" s="417"/>
      <c r="P14" s="418">
        <f>SUM('Mar-25'!$H14:$O14)</f>
        <v>220266.40350000001</v>
      </c>
      <c r="Q14" s="396" t="str">
        <f>IFERROR(IF('Mar-25'!$F14="","-",VLOOKUP('Mar-25'!$F14,Lista_CUIT!$A$1:$D$2241,3,0)),"CUIT NO CARGADO")</f>
        <v>INSUMO</v>
      </c>
      <c r="R14" s="396">
        <f>IFERROR(IF('Mar-25'!$F14="","-",VLOOKUP('Mar-25'!$F14,Lista_CUIT!$A$1:$D$2241,4,0)),"CUIT NO CARGADO")</f>
        <v>0</v>
      </c>
    </row>
    <row r="15" spans="1:19" ht="14.4" x14ac:dyDescent="0.3">
      <c r="B15" s="12">
        <v>45726</v>
      </c>
      <c r="C15" s="13">
        <v>1</v>
      </c>
      <c r="D15" s="14">
        <v>4</v>
      </c>
      <c r="E15" s="15">
        <v>18008</v>
      </c>
      <c r="F15" s="16">
        <v>30716389681</v>
      </c>
      <c r="G15" s="17" t="str">
        <f>IFERROR(IF('Mar-25'!$F15="","-",VLOOKUP('Mar-25'!$F15,Lista_CUIT!$A$1:$D$2241,2,0)),"CUIT NO CARGADO")</f>
        <v>CRAFTERS ARG  SAS</v>
      </c>
      <c r="H15" s="18">
        <v>11496.56</v>
      </c>
      <c r="I15" s="23">
        <f>IF('Mar-25'!$H15="","",'Mar-25'!$H15*0.21)</f>
        <v>2414.2775999999999</v>
      </c>
      <c r="J15" s="23"/>
      <c r="K15" s="23"/>
      <c r="L15" s="23"/>
      <c r="M15" s="23"/>
      <c r="N15" s="23"/>
      <c r="O15" s="23"/>
      <c r="P15" s="20">
        <f>SUM('Mar-25'!$H15:$O15)</f>
        <v>13910.837599999999</v>
      </c>
      <c r="Q15" s="21" t="str">
        <f>IFERROR(IF('Mar-25'!$F15="","-",VLOOKUP('Mar-25'!$F15,Lista_CUIT!$A$1:$D$2241,3,0)),"CUIT NO CARGADO")</f>
        <v>Gastos Oficina</v>
      </c>
      <c r="R15" s="21">
        <f>IFERROR(IF('Mar-25'!$F15="","-",VLOOKUP('Mar-25'!$F15,Lista_CUIT!$A$1:$D$2241,4,0)),"CUIT NO CARGADO")</f>
        <v>0</v>
      </c>
    </row>
    <row r="16" spans="1:19" ht="14.4" x14ac:dyDescent="0.3">
      <c r="B16" s="12">
        <v>45727</v>
      </c>
      <c r="C16" s="13">
        <v>1</v>
      </c>
      <c r="D16" s="14">
        <v>2466</v>
      </c>
      <c r="E16" s="15">
        <v>762755</v>
      </c>
      <c r="F16" s="16">
        <v>30678814357</v>
      </c>
      <c r="G16" s="17" t="str">
        <f>IFERROR(IF('Mar-25'!$F16="","-",VLOOKUP('Mar-25'!$F16,Lista_CUIT!$A$1:$D$2241,2,0)),"CUIT NO CARGADO")</f>
        <v>TELEFONICA MOVILES ARG</v>
      </c>
      <c r="H16" s="18">
        <v>32458.25</v>
      </c>
      <c r="I16" s="23"/>
      <c r="J16" s="23">
        <v>8763.73</v>
      </c>
      <c r="K16" s="23"/>
      <c r="L16" s="23">
        <v>973.75</v>
      </c>
      <c r="M16" s="23"/>
      <c r="N16" s="23"/>
      <c r="O16" s="23">
        <v>1708.31</v>
      </c>
      <c r="P16" s="20">
        <f>SUM('Mar-25'!$H16:$O16)</f>
        <v>43904.039999999994</v>
      </c>
      <c r="Q16" s="21" t="str">
        <f>IFERROR(IF('Mar-25'!$F16="","-",VLOOKUP('Mar-25'!$F16,Lista_CUIT!$A$1:$D$2241,3,0)),"CUIT NO CARGADO")</f>
        <v>Telefonia</v>
      </c>
      <c r="R16" s="21">
        <f>IFERROR(IF('Mar-25'!$F16="","-",VLOOKUP('Mar-25'!$F16,Lista_CUIT!$A$1:$D$2241,4,0)),"CUIT NO CARGADO")</f>
        <v>0</v>
      </c>
    </row>
    <row r="17" spans="1:26" ht="14.4" x14ac:dyDescent="0.3">
      <c r="B17" s="12">
        <v>45727</v>
      </c>
      <c r="C17" s="13">
        <v>1</v>
      </c>
      <c r="D17" s="14">
        <v>7</v>
      </c>
      <c r="E17" s="15">
        <v>18746</v>
      </c>
      <c r="F17" s="16">
        <v>30604413482</v>
      </c>
      <c r="G17" s="17" t="str">
        <f>IFERROR(IF('Mar-25'!$F17="","-",VLOOKUP('Mar-25'!$F17,Lista_CUIT!$A$1:$D$2241,2,0)),"CUIT NO CARGADO")</f>
        <v>BULONERA VIETRI SOCIEDAD DE RESPONSABILIDAD LIMITADA</v>
      </c>
      <c r="H17" s="18">
        <v>466640</v>
      </c>
      <c r="I17" s="23">
        <f>IF('Mar-25'!$H17="","",'Mar-25'!$H17*0.21)</f>
        <v>97994.4</v>
      </c>
      <c r="J17" s="23"/>
      <c r="K17" s="23"/>
      <c r="L17" s="23"/>
      <c r="M17" s="23"/>
      <c r="N17" s="23"/>
      <c r="O17" s="23"/>
      <c r="P17" s="20">
        <f>SUM('Mar-25'!$H17:$O17)</f>
        <v>564634.4</v>
      </c>
      <c r="Q17" s="21" t="str">
        <f>IFERROR(IF('Mar-25'!$F17="","-",VLOOKUP('Mar-25'!$F17,Lista_CUIT!$A$1:$D$2241,3,0)),"CUIT NO CARGADO")</f>
        <v>INSUMO</v>
      </c>
      <c r="R17" s="21">
        <f>IFERROR(IF('Mar-25'!$F17="","-",VLOOKUP('Mar-25'!$F17,Lista_CUIT!$A$1:$D$2241,4,0)),"CUIT NO CARGADO")</f>
        <v>0</v>
      </c>
    </row>
    <row r="18" spans="1:26" ht="14.4" x14ac:dyDescent="0.3">
      <c r="B18" s="12">
        <v>45728</v>
      </c>
      <c r="C18" s="13">
        <v>1</v>
      </c>
      <c r="D18" s="14">
        <v>4</v>
      </c>
      <c r="E18" s="15">
        <v>3046</v>
      </c>
      <c r="F18" s="16">
        <v>20420256796</v>
      </c>
      <c r="G18" s="17" t="str">
        <f>IFERROR(IF('Mar-25'!$F18="","-",VLOOKUP('Mar-25'!$F18,Lista_CUIT!$A$1:$D$2241,2,0)),"CUIT NO CARGADO")</f>
        <v>GALAN FACUNDO</v>
      </c>
      <c r="H18" s="18">
        <v>30371.9</v>
      </c>
      <c r="I18" s="23">
        <f>IF('Mar-25'!$H18="","",'Mar-25'!$H18*0.21)</f>
        <v>6378.0990000000002</v>
      </c>
      <c r="J18" s="23"/>
      <c r="K18" s="23"/>
      <c r="L18" s="23"/>
      <c r="M18" s="23"/>
      <c r="N18" s="23"/>
      <c r="O18" s="23"/>
      <c r="P18" s="20">
        <f>SUM('Mar-25'!$H18:$O18)</f>
        <v>36749.999000000003</v>
      </c>
      <c r="Q18" s="21" t="str">
        <f>IFERROR(IF('Mar-25'!$F18="","-",VLOOKUP('Mar-25'!$F18,Lista_CUIT!$A$1:$D$2241,3,0)),"CUIT NO CARGADO")</f>
        <v>Gastos Oficina</v>
      </c>
      <c r="R18" s="21">
        <f>IFERROR(IF('Mar-25'!$F18="","-",VLOOKUP('Mar-25'!$F18,Lista_CUIT!$A$1:$D$2241,4,0)),"CUIT NO CARGADO")</f>
        <v>0</v>
      </c>
    </row>
    <row r="19" spans="1:26" ht="14.4" x14ac:dyDescent="0.3">
      <c r="B19" s="12">
        <v>45730</v>
      </c>
      <c r="C19" s="13">
        <v>1</v>
      </c>
      <c r="D19" s="14">
        <v>2</v>
      </c>
      <c r="E19" s="15">
        <v>2176</v>
      </c>
      <c r="F19" s="16">
        <v>30717581985</v>
      </c>
      <c r="G19" s="17" t="str">
        <f>IFERROR(IF('Mar-25'!$F19="","-",VLOOKUP('Mar-25'!$F19,Lista_CUIT!$A$1:$D$2241,2,0)),"CUIT NO CARGADO")</f>
        <v>DISTRIBUIDORA MEI S.R.L.</v>
      </c>
      <c r="H19" s="18">
        <v>65355.37</v>
      </c>
      <c r="I19" s="23">
        <f>IF('Mar-25'!$H19="","",'Mar-25'!$H19*0.21)</f>
        <v>13724.627700000001</v>
      </c>
      <c r="J19" s="23"/>
      <c r="K19" s="23"/>
      <c r="L19" s="23"/>
      <c r="M19" s="23"/>
      <c r="N19" s="23"/>
      <c r="O19" s="23"/>
      <c r="P19" s="20">
        <f>SUM('Mar-25'!$H19:$O19)</f>
        <v>79079.997700000007</v>
      </c>
      <c r="Q19" s="21" t="str">
        <f>IFERROR(IF('Mar-25'!$F19="","-",VLOOKUP('Mar-25'!$F19,Lista_CUIT!$A$1:$D$2241,3,0)),"CUIT NO CARGADO")</f>
        <v>INSUMO</v>
      </c>
      <c r="R19" s="21">
        <f>IFERROR(IF('Mar-25'!$F19="","-",VLOOKUP('Mar-25'!$F19,Lista_CUIT!$A$1:$D$2241,4,0)),"CUIT NO CARGADO")</f>
        <v>0</v>
      </c>
    </row>
    <row r="20" spans="1:26" ht="14.4" x14ac:dyDescent="0.3">
      <c r="B20" s="12">
        <v>45730</v>
      </c>
      <c r="C20" s="13">
        <v>1</v>
      </c>
      <c r="D20" s="14">
        <v>24</v>
      </c>
      <c r="E20" s="15">
        <v>21544</v>
      </c>
      <c r="F20" s="16">
        <v>20182339564</v>
      </c>
      <c r="G20" s="17" t="str">
        <f>IFERROR(IF('Mar-25'!$F20="","-",VLOOKUP('Mar-25'!$F20,Lista_CUIT!$A$1:$D$2241,2,0)),"CUIT NO CARGADO")</f>
        <v>BOUZOS JOSE ANTONIO</v>
      </c>
      <c r="H20" s="18">
        <v>7183.46</v>
      </c>
      <c r="I20" s="23">
        <f>IF('Mar-25'!$H20="","",'Mar-25'!$H20*0.21)</f>
        <v>1508.5265999999999</v>
      </c>
      <c r="J20" s="23"/>
      <c r="K20" s="23"/>
      <c r="L20" s="23"/>
      <c r="M20" s="23"/>
      <c r="N20" s="23"/>
      <c r="O20" s="23"/>
      <c r="P20" s="20">
        <f>SUM('Mar-25'!$H20:$O20)</f>
        <v>8691.9866000000002</v>
      </c>
      <c r="Q20" s="21" t="str">
        <f>IFERROR(IF('Mar-25'!$F20="","-",VLOOKUP('Mar-25'!$F20,Lista_CUIT!$A$1:$D$2241,3,0)),"CUIT NO CARGADO")</f>
        <v>INSUMO</v>
      </c>
      <c r="R20" s="21">
        <f>IFERROR(IF('Mar-25'!$F20="","-",VLOOKUP('Mar-25'!$F20,Lista_CUIT!$A$1:$D$2241,4,0)),"CUIT NO CARGADO")</f>
        <v>0</v>
      </c>
    </row>
    <row r="21" spans="1:26" ht="14.4" x14ac:dyDescent="0.3">
      <c r="B21" s="12">
        <v>45730</v>
      </c>
      <c r="C21" s="13">
        <v>1</v>
      </c>
      <c r="D21" s="14">
        <v>4</v>
      </c>
      <c r="E21" s="15">
        <v>5365</v>
      </c>
      <c r="F21" s="16">
        <v>30715266527</v>
      </c>
      <c r="G21" s="17" t="str">
        <f>IFERROR(IF('Mar-25'!$F21="","-",VLOOKUP('Mar-25'!$F21,Lista_CUIT!$A$1:$D$2241,2,0)),"CUIT NO CARGADO")</f>
        <v>LUMENPOL SRL</v>
      </c>
      <c r="H21" s="18">
        <v>38016.53</v>
      </c>
      <c r="I21" s="23">
        <f>IF('Mar-25'!$H21="","",'Mar-25'!$H21*0.21)</f>
        <v>7983.4712999999992</v>
      </c>
      <c r="J21" s="23"/>
      <c r="K21" s="23"/>
      <c r="L21" s="23"/>
      <c r="M21" s="23"/>
      <c r="N21" s="23"/>
      <c r="O21" s="23"/>
      <c r="P21" s="20">
        <f>SUM('Mar-25'!$H21:$O21)</f>
        <v>46000.001299999996</v>
      </c>
      <c r="Q21" s="21" t="str">
        <f>IFERROR(IF('Mar-25'!$F21="","-",VLOOKUP('Mar-25'!$F21,Lista_CUIT!$A$1:$D$2241,3,0)),"CUIT NO CARGADO")</f>
        <v>INSUMO</v>
      </c>
      <c r="R21" s="21">
        <f>IFERROR(IF('Mar-25'!$F21="","-",VLOOKUP('Mar-25'!$F21,Lista_CUIT!$A$1:$D$2241,4,0)),"CUIT NO CARGADO")</f>
        <v>0</v>
      </c>
    </row>
    <row r="22" spans="1:26" ht="14.4" x14ac:dyDescent="0.3">
      <c r="B22" s="12">
        <v>45733</v>
      </c>
      <c r="C22" s="13">
        <v>1</v>
      </c>
      <c r="D22" s="14">
        <v>7</v>
      </c>
      <c r="E22" s="15">
        <v>3404</v>
      </c>
      <c r="F22" s="16">
        <v>23270085679</v>
      </c>
      <c r="G22" s="17" t="str">
        <f>IFERROR(IF('Mar-25'!$F22="","-",VLOOKUP('Mar-25'!$F22,Lista_CUIT!$A$1:$D$2241,2,0)),"CUIT NO CARGADO")</f>
        <v>GARCIA DIEGO OMAR</v>
      </c>
      <c r="H22" s="18">
        <v>45768.6</v>
      </c>
      <c r="I22" s="23">
        <f>IF('Mar-25'!$H22="","",'Mar-25'!$H22*0.21)</f>
        <v>9611.405999999999</v>
      </c>
      <c r="J22" s="23"/>
      <c r="K22" s="23"/>
      <c r="L22" s="23"/>
      <c r="M22" s="23"/>
      <c r="N22" s="23"/>
      <c r="O22" s="23"/>
      <c r="P22" s="20">
        <f>SUM('Mar-25'!$H22:$O22)</f>
        <v>55380.005999999994</v>
      </c>
      <c r="Q22" s="21" t="str">
        <f>IFERROR(IF('Mar-25'!$F22="","-",VLOOKUP('Mar-25'!$F22,Lista_CUIT!$A$1:$D$2241,3,0)),"CUIT NO CARGADO")</f>
        <v>Servicios Informaticos</v>
      </c>
      <c r="R22" s="21">
        <f>IFERROR(IF('Mar-25'!$F22="","-",VLOOKUP('Mar-25'!$F22,Lista_CUIT!$A$1:$D$2241,4,0)),"CUIT NO CARGADO")</f>
        <v>0</v>
      </c>
    </row>
    <row r="23" spans="1:26" ht="14.4" x14ac:dyDescent="0.3">
      <c r="B23" s="12">
        <v>45733</v>
      </c>
      <c r="C23" s="13">
        <v>1</v>
      </c>
      <c r="D23" s="14">
        <v>7002</v>
      </c>
      <c r="E23" s="15">
        <v>20895</v>
      </c>
      <c r="F23" s="16">
        <v>30678774495</v>
      </c>
      <c r="G23" s="17" t="str">
        <f>IFERROR(IF('Mar-25'!$F23="","-",VLOOKUP('Mar-25'!$F23,Lista_CUIT!$A$1:$D$2241,2,0)),"CUIT NO CARGADO")</f>
        <v>OPER. DE EST. DE SERV. SA</v>
      </c>
      <c r="H23" s="18">
        <v>23197.21</v>
      </c>
      <c r="I23" s="23">
        <f>IF('Mar-25'!$H23="","",'Mar-25'!$H23*0.21)</f>
        <v>4871.4141</v>
      </c>
      <c r="J23" s="23"/>
      <c r="K23" s="23"/>
      <c r="L23" s="23"/>
      <c r="M23" s="23"/>
      <c r="N23" s="23"/>
      <c r="O23" s="23">
        <v>5944.39</v>
      </c>
      <c r="P23" s="20">
        <f>SUM('Mar-25'!$H23:$O23)</f>
        <v>34013.0141</v>
      </c>
      <c r="Q23" s="21" t="str">
        <f>IFERROR(IF('Mar-25'!$F23="","-",VLOOKUP('Mar-25'!$F23,Lista_CUIT!$A$1:$D$2241,3,0)),"CUIT NO CARGADO")</f>
        <v>COMBUSTIBLE</v>
      </c>
      <c r="R23" s="21">
        <f>IFERROR(IF('Mar-25'!$F23="","-",VLOOKUP('Mar-25'!$F23,Lista_CUIT!$A$1:$D$2241,4,0)),"CUIT NO CARGADO")</f>
        <v>0</v>
      </c>
    </row>
    <row r="24" spans="1:26" ht="15.75" customHeight="1" x14ac:dyDescent="0.3">
      <c r="B24" s="12">
        <v>45733</v>
      </c>
      <c r="C24" s="13">
        <v>1</v>
      </c>
      <c r="D24" s="14">
        <v>7</v>
      </c>
      <c r="E24" s="15">
        <v>5704</v>
      </c>
      <c r="F24" s="16">
        <v>33634082129</v>
      </c>
      <c r="G24" s="17" t="str">
        <f>IFERROR(IF('Mar-25'!$F24="","-",VLOOKUP('Mar-25'!$F24,Lista_CUIT!$A$1:$D$2241,2,0)),"CUIT NO CARGADO")</f>
        <v>NOUGUEZ CARLOS M MARIA ALEJANDRA NOUGUEZ NOUGUEZ MARIA GABRIELA NOUGUEZ MARIA CRISTINA ECHEVARRIA DO</v>
      </c>
      <c r="H24" s="18">
        <v>71704.13</v>
      </c>
      <c r="I24" s="23">
        <f>IF('Mar-25'!$H24="","",'Mar-25'!$H24*0.21)</f>
        <v>15057.8673</v>
      </c>
      <c r="J24" s="23"/>
      <c r="K24" s="23"/>
      <c r="L24" s="23"/>
      <c r="M24" s="23"/>
      <c r="N24" s="23"/>
      <c r="O24" s="23"/>
      <c r="P24" s="20">
        <f>SUM('Mar-25'!$H24:$O24)</f>
        <v>86761.997300000003</v>
      </c>
      <c r="Q24" s="21" t="str">
        <f>IFERROR(IF('Mar-25'!$F24="","-",VLOOKUP('Mar-25'!$F24,Lista_CUIT!$A$1:$D$2241,3,0)),"CUIT NO CARGADO")</f>
        <v>INSUMO</v>
      </c>
      <c r="R24" s="21">
        <f>IFERROR(IF('Mar-25'!$F24="","-",VLOOKUP('Mar-25'!$F24,Lista_CUIT!$A$1:$D$2241,4,0)),"CUIT NO CARGADO")</f>
        <v>0</v>
      </c>
    </row>
    <row r="25" spans="1:26" ht="15.75" customHeight="1" x14ac:dyDescent="0.3">
      <c r="B25" s="391">
        <v>45734</v>
      </c>
      <c r="C25" s="13">
        <v>1</v>
      </c>
      <c r="D25" s="393">
        <v>7</v>
      </c>
      <c r="E25" s="394">
        <v>10541</v>
      </c>
      <c r="F25" s="395">
        <v>30690966790</v>
      </c>
      <c r="G25" s="382" t="str">
        <f>IFERROR(IF('Mar-25'!$F25="","-",VLOOKUP('Mar-25'!$F25,Lista_CUIT!$A$1:$D$2241,2,0)),"CUIT NO CARGADO")</f>
        <v>SYTE S.A.</v>
      </c>
      <c r="H25" s="416">
        <v>233680.94999999998</v>
      </c>
      <c r="I25" s="417">
        <f>IF('Mar-25'!$H25="","",'Mar-25'!$H25*0.21)</f>
        <v>49072.999499999998</v>
      </c>
      <c r="J25" s="417"/>
      <c r="K25" s="417"/>
      <c r="L25" s="417"/>
      <c r="M25" s="417"/>
      <c r="N25" s="417"/>
      <c r="O25" s="417"/>
      <c r="P25" s="418">
        <f>SUM('Mar-25'!$H25:$O25)</f>
        <v>282753.94949999999</v>
      </c>
      <c r="Q25" s="396" t="str">
        <f>IFERROR(IF('Mar-25'!$F25="","-",VLOOKUP('Mar-25'!$F25,Lista_CUIT!$A$1:$D$2241,3,0)),"CUIT NO CARGADO")</f>
        <v>INSUMO</v>
      </c>
      <c r="R25" s="396">
        <f>IFERROR(IF('Mar-25'!$F25="","-",VLOOKUP('Mar-25'!$F25,Lista_CUIT!$A$1:$D$2241,4,0)),"CUIT NO CARGADO")</f>
        <v>0</v>
      </c>
    </row>
    <row r="26" spans="1:26" ht="15.75" customHeight="1" x14ac:dyDescent="0.3">
      <c r="B26" s="12">
        <v>45734</v>
      </c>
      <c r="C26" s="13">
        <v>1</v>
      </c>
      <c r="D26" s="14">
        <v>3</v>
      </c>
      <c r="E26" s="15">
        <v>41859</v>
      </c>
      <c r="F26" s="16">
        <v>30715368680</v>
      </c>
      <c r="G26" s="17" t="str">
        <f>IFERROR(IF('Mar-25'!$F26="","-",VLOOKUP('Mar-25'!$F26,Lista_CUIT!$A$1:$D$2241,2,0)),"CUIT NO CARGADO")</f>
        <v>LOS KOVAS S.R.L</v>
      </c>
      <c r="H26" s="18">
        <v>7894.26</v>
      </c>
      <c r="I26" s="23">
        <f>IF('Mar-25'!$H26="","",'Mar-25'!$H26*0.21)</f>
        <v>1657.7945999999999</v>
      </c>
      <c r="J26" s="23"/>
      <c r="K26" s="23"/>
      <c r="L26" s="23"/>
      <c r="M26" s="23"/>
      <c r="N26" s="23"/>
      <c r="O26" s="23"/>
      <c r="P26" s="20">
        <f>SUM('Mar-25'!$H26:$O26)</f>
        <v>9552.0545999999995</v>
      </c>
      <c r="Q26" s="21" t="str">
        <f>IFERROR(IF('Mar-25'!$F26="","-",VLOOKUP('Mar-25'!$F26,Lista_CUIT!$A$1:$D$2241,3,0)),"CUIT NO CARGADO")</f>
        <v>GASTOS VARIOS</v>
      </c>
      <c r="R26" s="21">
        <f>IFERROR(IF('Mar-25'!$F26="","-",VLOOKUP('Mar-25'!$F26,Lista_CUIT!$A$1:$D$2241,4,0)),"CUIT NO CARGADO")</f>
        <v>0</v>
      </c>
    </row>
    <row r="27" spans="1:26" ht="15.75" customHeight="1" x14ac:dyDescent="0.3">
      <c r="B27" s="12">
        <v>45734</v>
      </c>
      <c r="C27" s="13">
        <v>1</v>
      </c>
      <c r="D27" s="14">
        <v>106</v>
      </c>
      <c r="E27" s="15">
        <v>823635</v>
      </c>
      <c r="F27" s="16">
        <v>30594494187</v>
      </c>
      <c r="G27" s="17" t="str">
        <f>IFERROR(IF('Mar-25'!$F27="","-",VLOOKUP('Mar-25'!$F27,Lista_CUIT!$A$1:$D$2241,2,0)),"CUIT NO CARGADO")</f>
        <v>FEDERAL EXPRESS CORPORATION</v>
      </c>
      <c r="H27" s="18">
        <v>0</v>
      </c>
      <c r="I27" s="23">
        <f>IF('Mar-25'!$H27="","",'Mar-25'!$H27*0.21)</f>
        <v>0</v>
      </c>
      <c r="J27" s="23"/>
      <c r="K27" s="23"/>
      <c r="L27" s="23"/>
      <c r="M27" s="23"/>
      <c r="N27" s="23"/>
      <c r="O27" s="23">
        <v>301517.44</v>
      </c>
      <c r="P27" s="20">
        <f>SUM('Mar-25'!$H27:$O27)</f>
        <v>301517.44</v>
      </c>
      <c r="Q27" s="21" t="str">
        <f>IFERROR(IF('Mar-25'!$F27="","-",VLOOKUP('Mar-25'!$F27,Lista_CUIT!$A$1:$D$2241,3,0)),"CUIT NO CARGADO")</f>
        <v>Gastos Importacion</v>
      </c>
      <c r="R27" s="21">
        <f>IFERROR(IF('Mar-25'!$F27="","-",VLOOKUP('Mar-25'!$F27,Lista_CUIT!$A$1:$D$2241,4,0)),"CUIT NO CARGADO")</f>
        <v>0</v>
      </c>
    </row>
    <row r="28" spans="1:26" ht="15.75" customHeight="1" x14ac:dyDescent="0.3">
      <c r="B28" s="391">
        <v>45734</v>
      </c>
      <c r="C28" s="13">
        <v>1</v>
      </c>
      <c r="D28" s="393">
        <v>90</v>
      </c>
      <c r="E28" s="394">
        <v>52412</v>
      </c>
      <c r="F28" s="395">
        <v>30710852762</v>
      </c>
      <c r="G28" s="382" t="str">
        <f>IFERROR(IF('Mar-25'!$F28="","-",VLOOKUP('Mar-25'!$F28,Lista_CUIT!$A$1:$D$2241,2,0)),"CUIT NO CARGADO")</f>
        <v>REBORN SRL</v>
      </c>
      <c r="H28" s="416">
        <v>68634.55</v>
      </c>
      <c r="I28" s="417">
        <f>IF('Mar-25'!$H28="","",'Mar-25'!$H28*0.21)</f>
        <v>14413.255499999999</v>
      </c>
      <c r="J28" s="417"/>
      <c r="K28" s="417"/>
      <c r="L28" s="417"/>
      <c r="M28" s="417"/>
      <c r="N28" s="417"/>
      <c r="O28" s="417"/>
      <c r="P28" s="418">
        <f>SUM('Mar-25'!$H28:$O28)</f>
        <v>83047.805500000002</v>
      </c>
      <c r="Q28" s="396" t="str">
        <f>IFERROR(IF('Mar-25'!$F28="","-",VLOOKUP('Mar-25'!$F28,Lista_CUIT!$A$1:$D$2241,3,0)),"CUIT NO CARGADO")</f>
        <v>GASTOS VARIOS</v>
      </c>
      <c r="R28" s="396">
        <f>IFERROR(IF('Mar-25'!$F28="","-",VLOOKUP('Mar-25'!$F28,Lista_CUIT!$A$1:$D$2241,4,0)),"CUIT NO CARGADO")</f>
        <v>0</v>
      </c>
    </row>
    <row r="29" spans="1:26" ht="15.75" customHeight="1" x14ac:dyDescent="0.3">
      <c r="B29" s="12">
        <v>45734</v>
      </c>
      <c r="C29" s="13">
        <v>1</v>
      </c>
      <c r="D29" s="14">
        <v>7</v>
      </c>
      <c r="E29" s="15">
        <v>18838</v>
      </c>
      <c r="F29" s="16">
        <v>30604413482</v>
      </c>
      <c r="G29" s="17" t="str">
        <f>IFERROR(IF('Mar-25'!$F29="","-",VLOOKUP('Mar-25'!$F29,Lista_CUIT!$A$1:$D$2241,2,0)),"CUIT NO CARGADO")</f>
        <v>BULONERA VIETRI SOCIEDAD DE RESPONSABILIDAD LIMITADA</v>
      </c>
      <c r="H29" s="18">
        <v>46200</v>
      </c>
      <c r="I29" s="23">
        <f>IF('Mar-25'!$H29="","",'Mar-25'!$H29*0.21)</f>
        <v>9702</v>
      </c>
      <c r="J29" s="23"/>
      <c r="K29" s="23"/>
      <c r="L29" s="23"/>
      <c r="M29" s="23"/>
      <c r="N29" s="23"/>
      <c r="O29" s="23"/>
      <c r="P29" s="20">
        <f>SUM('Mar-25'!$H29:$O29)</f>
        <v>55902</v>
      </c>
      <c r="Q29" s="21" t="str">
        <f>IFERROR(IF('Mar-25'!$F29="","-",VLOOKUP('Mar-25'!$F29,Lista_CUIT!$A$1:$D$2241,3,0)),"CUIT NO CARGADO")</f>
        <v>INSUMO</v>
      </c>
      <c r="R29" s="21">
        <f>IFERROR(IF('Mar-25'!$F29="","-",VLOOKUP('Mar-25'!$F29,Lista_CUIT!$A$1:$D$2241,4,0)),"CUIT NO CARGADO")</f>
        <v>0</v>
      </c>
    </row>
    <row r="30" spans="1:26" ht="15.75" customHeight="1" x14ac:dyDescent="0.3">
      <c r="B30" s="12">
        <v>45735</v>
      </c>
      <c r="C30" s="13">
        <v>1</v>
      </c>
      <c r="D30" s="14">
        <v>3</v>
      </c>
      <c r="E30" s="15">
        <v>2997</v>
      </c>
      <c r="F30" s="16">
        <v>30715296000</v>
      </c>
      <c r="G30" s="17" t="str">
        <f>IFERROR(IF('Mar-25'!$F30="","-",VLOOKUP('Mar-25'!$F30,Lista_CUIT!$A$1:$D$2241,2,0)),"CUIT NO CARGADO")</f>
        <v>TUTTO CERAMICAS SRL</v>
      </c>
      <c r="H30" s="18">
        <v>4576356.76</v>
      </c>
      <c r="I30" s="23">
        <f>IF('Mar-25'!$H30="","",'Mar-25'!$H30*0.21)</f>
        <v>961034.91959999991</v>
      </c>
      <c r="J30" s="23"/>
      <c r="K30" s="23"/>
      <c r="L30" s="23"/>
      <c r="M30" s="23"/>
      <c r="N30" s="23"/>
      <c r="O30" s="23"/>
      <c r="P30" s="20">
        <f>SUM('Mar-25'!$H30:$O30)</f>
        <v>5537391.6795999995</v>
      </c>
      <c r="Q30" s="21" t="str">
        <f>IFERROR(IF('Mar-25'!$F30="","-",VLOOKUP('Mar-25'!$F30,Lista_CUIT!$A$1:$D$2241,3,0)),"CUIT NO CARGADO")</f>
        <v>INSUMO</v>
      </c>
      <c r="R30" s="21">
        <f>IFERROR(IF('Mar-25'!$F30="","-",VLOOKUP('Mar-25'!$F30,Lista_CUIT!$A$1:$D$2241,4,0)),"CUIT NO CARGADO")</f>
        <v>0</v>
      </c>
    </row>
    <row r="31" spans="1:26" ht="18" customHeight="1" x14ac:dyDescent="0.3">
      <c r="A31" s="43"/>
      <c r="B31" s="12">
        <v>45735</v>
      </c>
      <c r="C31" s="13">
        <v>1</v>
      </c>
      <c r="D31" s="14">
        <v>3</v>
      </c>
      <c r="E31" s="15">
        <v>2998</v>
      </c>
      <c r="F31" s="16">
        <v>30715296000</v>
      </c>
      <c r="G31" s="17" t="str">
        <f>IFERROR(IF('Mar-25'!$F31="","-",VLOOKUP('Mar-25'!$F31,Lista_CUIT!$A$1:$D$2241,2,0)),"CUIT NO CARGADO")</f>
        <v>TUTTO CERAMICAS SRL</v>
      </c>
      <c r="H31" s="18">
        <v>2418777.27</v>
      </c>
      <c r="I31" s="23">
        <f>IF('Mar-25'!$H31="","",'Mar-25'!$H31*0.21)</f>
        <v>507943.2267</v>
      </c>
      <c r="J31" s="23"/>
      <c r="K31" s="23"/>
      <c r="L31" s="23"/>
      <c r="M31" s="23"/>
      <c r="N31" s="23"/>
      <c r="O31" s="23"/>
      <c r="P31" s="20">
        <f>SUM('Mar-25'!$H31:$O31)</f>
        <v>2926720.4967</v>
      </c>
      <c r="Q31" s="21" t="str">
        <f>IFERROR(IF('Mar-25'!$F31="","-",VLOOKUP('Mar-25'!$F31,Lista_CUIT!$A$1:$D$2241,3,0)),"CUIT NO CARGADO")</f>
        <v>INSUMO</v>
      </c>
      <c r="R31" s="21">
        <f>IFERROR(IF('Mar-25'!$F31="","-",VLOOKUP('Mar-25'!$F31,Lista_CUIT!$A$1:$D$2241,4,0)),"CUIT NO CARGADO")</f>
        <v>0</v>
      </c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B32" s="12">
        <v>45735</v>
      </c>
      <c r="C32" s="13">
        <v>1</v>
      </c>
      <c r="D32" s="14">
        <v>2</v>
      </c>
      <c r="E32" s="15">
        <v>659</v>
      </c>
      <c r="F32" s="16">
        <v>20265168478</v>
      </c>
      <c r="G32" s="17" t="str">
        <f>IFERROR(IF('Mar-25'!$F32="","-",VLOOKUP('Mar-25'!$F32,Lista_CUIT!$A$1:$D$2241,2,0)),"CUIT NO CARGADO")</f>
        <v>HERRERA GASTON ADRIAN</v>
      </c>
      <c r="H32" s="18">
        <v>60000</v>
      </c>
      <c r="I32" s="23">
        <f>IF('Mar-25'!$H32="","",'Mar-25'!$H32*0.21)</f>
        <v>12600</v>
      </c>
      <c r="J32" s="23"/>
      <c r="K32" s="23"/>
      <c r="L32" s="23"/>
      <c r="M32" s="23"/>
      <c r="N32" s="23"/>
      <c r="O32" s="23"/>
      <c r="P32" s="20">
        <f>SUM('Mar-25'!$H32:$O32)</f>
        <v>72600</v>
      </c>
      <c r="Q32" s="21" t="str">
        <f>IFERROR(IF('Mar-25'!$F32="","-",VLOOKUP('Mar-25'!$F32,Lista_CUIT!$A$1:$D$2241,3,0)),"CUIT NO CARGADO")</f>
        <v>FLETE-LOGISTICA</v>
      </c>
      <c r="R32" s="21">
        <f>IFERROR(IF('Mar-25'!$F32="","-",VLOOKUP('Mar-25'!$F32,Lista_CUIT!$A$1:$D$2241,4,0)),"CUIT NO CARGADO")</f>
        <v>0</v>
      </c>
    </row>
    <row r="33" spans="2:18" ht="15.75" customHeight="1" x14ac:dyDescent="0.3">
      <c r="B33" s="391">
        <v>45736</v>
      </c>
      <c r="C33" s="13">
        <v>1</v>
      </c>
      <c r="D33" s="393">
        <v>5</v>
      </c>
      <c r="E33" s="394">
        <v>5691</v>
      </c>
      <c r="F33" s="395">
        <v>20231333593</v>
      </c>
      <c r="G33" s="382" t="str">
        <f>IFERROR(IF('Mar-25'!$F33="","-",VLOOKUP('Mar-25'!$F33,Lista_CUIT!$A$1:$D$2241,2,0)),"CUIT NO CARGADO")</f>
        <v>BOLLINI CLAUDIO DANIEL</v>
      </c>
      <c r="H33" s="416">
        <v>80000</v>
      </c>
      <c r="I33" s="417">
        <f>IF('Mar-25'!$H33="","",'Mar-25'!$H33*0.21)</f>
        <v>16800</v>
      </c>
      <c r="J33" s="417"/>
      <c r="K33" s="417"/>
      <c r="L33" s="417"/>
      <c r="M33" s="417"/>
      <c r="N33" s="417"/>
      <c r="O33" s="417"/>
      <c r="P33" s="418">
        <f>SUM('Mar-25'!$H33:$O33)</f>
        <v>96800</v>
      </c>
      <c r="Q33" s="396" t="str">
        <f>IFERROR(IF('Mar-25'!$F33="","-",VLOOKUP('Mar-25'!$F33,Lista_CUIT!$A$1:$D$2241,3,0)),"CUIT NO CARGADO")</f>
        <v>Mantenimiento</v>
      </c>
      <c r="R33" s="396">
        <f>IFERROR(IF('Mar-25'!$F33="","-",VLOOKUP('Mar-25'!$F33,Lista_CUIT!$A$1:$D$2241,4,0)),"CUIT NO CARGADO")</f>
        <v>0</v>
      </c>
    </row>
    <row r="34" spans="2:18" ht="15.75" customHeight="1" x14ac:dyDescent="0.3">
      <c r="B34" s="391">
        <v>45737</v>
      </c>
      <c r="C34" s="13">
        <v>1</v>
      </c>
      <c r="D34" s="393">
        <v>1</v>
      </c>
      <c r="E34" s="394">
        <v>924</v>
      </c>
      <c r="F34" s="395">
        <v>30715048066</v>
      </c>
      <c r="G34" s="382" t="str">
        <f>IFERROR(IF('Mar-25'!$F34="","-",VLOOKUP('Mar-25'!$F34,Lista_CUIT!$A$1:$D$2241,2,0)),"CUIT NO CARGADO")</f>
        <v>ROLLS Y EMPANADAS SA</v>
      </c>
      <c r="H34" s="416">
        <v>685555</v>
      </c>
      <c r="I34" s="417">
        <f>IF('Mar-25'!$H34="","",'Mar-25'!$H34*0.21)</f>
        <v>143966.54999999999</v>
      </c>
      <c r="J34" s="417"/>
      <c r="K34" s="417"/>
      <c r="L34" s="417"/>
      <c r="M34" s="417"/>
      <c r="N34" s="417"/>
      <c r="O34" s="417"/>
      <c r="P34" s="418">
        <f>SUM('Mar-25'!$H34:$O34)</f>
        <v>829521.55</v>
      </c>
      <c r="Q34" s="396" t="str">
        <f>IFERROR(IF('Mar-25'!$F34="","-",VLOOKUP('Mar-25'!$F34,Lista_CUIT!$A$1:$D$2241,3,0)),"CUIT NO CARGADO")</f>
        <v>CATERING</v>
      </c>
      <c r="R34" s="396">
        <f>IFERROR(IF('Mar-25'!$F34="","-",VLOOKUP('Mar-25'!$F34,Lista_CUIT!$A$1:$D$2241,4,0)),"CUIT NO CARGADO")</f>
        <v>0</v>
      </c>
    </row>
    <row r="35" spans="2:18" ht="14.25" customHeight="1" x14ac:dyDescent="0.3">
      <c r="B35" s="12">
        <v>45738</v>
      </c>
      <c r="C35" s="13">
        <v>1</v>
      </c>
      <c r="D35" s="14">
        <v>20</v>
      </c>
      <c r="E35" s="15">
        <v>23126</v>
      </c>
      <c r="F35" s="16">
        <v>27200507466</v>
      </c>
      <c r="G35" s="17" t="str">
        <f>IFERROR(IF('Mar-25'!$F35="","-",VLOOKUP('Mar-25'!$F35,Lista_CUIT!$A$1:$D$2241,2,0)),"CUIT NO CARGADO")</f>
        <v>TROLLI ALICIA ANGELA</v>
      </c>
      <c r="H35" s="18">
        <v>21535.53</v>
      </c>
      <c r="I35" s="23">
        <f>IF('Mar-25'!$H35="","",'Mar-25'!$H35*0.21)</f>
        <v>4522.4612999999999</v>
      </c>
      <c r="J35" s="23"/>
      <c r="K35" s="23"/>
      <c r="L35" s="23"/>
      <c r="M35" s="23"/>
      <c r="N35" s="23"/>
      <c r="O35" s="23"/>
      <c r="P35" s="20">
        <f>SUM('Mar-25'!$H35:$O35)</f>
        <v>26057.991299999998</v>
      </c>
      <c r="Q35" s="21" t="str">
        <f>IFERROR(IF('Mar-25'!$F35="","-",VLOOKUP('Mar-25'!$F35,Lista_CUIT!$A$1:$D$2241,3,0)),"CUIT NO CARGADO")</f>
        <v>Gastos Oficina</v>
      </c>
      <c r="R35" s="21">
        <f>IFERROR(IF('Mar-25'!$F35="","-",VLOOKUP('Mar-25'!$F35,Lista_CUIT!$A$1:$D$2241,4,0)),"CUIT NO CARGADO")</f>
        <v>0</v>
      </c>
    </row>
    <row r="36" spans="2:18" ht="15.75" customHeight="1" x14ac:dyDescent="0.3">
      <c r="B36" s="391">
        <v>45743</v>
      </c>
      <c r="C36" s="13">
        <v>1</v>
      </c>
      <c r="D36" s="393">
        <v>2</v>
      </c>
      <c r="E36" s="394">
        <v>212</v>
      </c>
      <c r="F36" s="395">
        <v>20125142851</v>
      </c>
      <c r="G36" s="382" t="str">
        <f>IFERROR(IF('Mar-25'!$F36="","-",VLOOKUP('Mar-25'!$F36,Lista_CUIT!$A$1:$D$2241,2,0)),"CUIT NO CARGADO")</f>
        <v>FEDERICI NICOLAS JOSE</v>
      </c>
      <c r="H36" s="416">
        <v>1526330.14</v>
      </c>
      <c r="I36" s="417">
        <f>IF('Mar-25'!$H36="","",'Mar-25'!$H36*0.21)</f>
        <v>320529.32939999999</v>
      </c>
      <c r="J36" s="417"/>
      <c r="K36" s="417"/>
      <c r="L36" s="417"/>
      <c r="M36" s="417"/>
      <c r="N36" s="417"/>
      <c r="O36" s="417"/>
      <c r="P36" s="418">
        <f>SUM('Mar-25'!$H36:$O36)</f>
        <v>1846859.4693999998</v>
      </c>
      <c r="Q36" s="396" t="str">
        <f>IFERROR(IF('Mar-25'!$F36="","-",VLOOKUP('Mar-25'!$F36,Lista_CUIT!$A$1:$D$2241,3,0)),"CUIT NO CARGADO")</f>
        <v>INSUMO</v>
      </c>
      <c r="R36" s="396">
        <f>IFERROR(IF('Mar-25'!$F36="","-",VLOOKUP('Mar-25'!$F36,Lista_CUIT!$A$1:$D$2241,4,0)),"CUIT NO CARGADO")</f>
        <v>0</v>
      </c>
    </row>
    <row r="37" spans="2:18" ht="15.75" customHeight="1" x14ac:dyDescent="0.3">
      <c r="B37" s="391">
        <v>45747</v>
      </c>
      <c r="C37" s="13">
        <v>1</v>
      </c>
      <c r="D37" s="393">
        <v>106</v>
      </c>
      <c r="E37" s="394">
        <v>827667</v>
      </c>
      <c r="F37" s="395">
        <v>30594494187</v>
      </c>
      <c r="G37" s="382" t="str">
        <f>IFERROR(IF('Mar-25'!$F37="","-",VLOOKUP('Mar-25'!$F37,Lista_CUIT!$A$1:$D$2241,2,0)),"CUIT NO CARGADO")</f>
        <v>FEDERAL EXPRESS CORPORATION</v>
      </c>
      <c r="H37" s="416">
        <v>0</v>
      </c>
      <c r="I37" s="417">
        <f>IF('Mar-25'!$H37="","",'Mar-25'!$H37*0.21)</f>
        <v>0</v>
      </c>
      <c r="J37" s="417"/>
      <c r="K37" s="417"/>
      <c r="L37" s="417"/>
      <c r="M37" s="417"/>
      <c r="N37" s="417"/>
      <c r="O37" s="417">
        <v>82164.460000000006</v>
      </c>
      <c r="P37" s="418">
        <f>SUM('Mar-25'!$H37:$O37)</f>
        <v>82164.460000000006</v>
      </c>
      <c r="Q37" s="396" t="str">
        <f>IFERROR(IF('Mar-25'!$F37="","-",VLOOKUP('Mar-25'!$F37,Lista_CUIT!$A$1:$D$2241,3,0)),"CUIT NO CARGADO")</f>
        <v>Gastos Importacion</v>
      </c>
      <c r="R37" s="396">
        <f>IFERROR(IF('Mar-25'!$F37="","-",VLOOKUP('Mar-25'!$F37,Lista_CUIT!$A$1:$D$2241,4,0)),"CUIT NO CARGADO")</f>
        <v>0</v>
      </c>
    </row>
    <row r="38" spans="2:18" ht="14.25" customHeight="1" x14ac:dyDescent="0.3">
      <c r="B38" s="12"/>
      <c r="C38" s="13"/>
      <c r="D38" s="14"/>
      <c r="E38" s="15"/>
      <c r="F38" s="16"/>
      <c r="G38" s="17" t="str">
        <f>IFERROR(IF('Mar-25'!$F38="","-",VLOOKUP('Mar-25'!$F38,Lista_CUIT!$A$1:$D$2241,2,0)),"CUIT NO CARGADO")</f>
        <v>-</v>
      </c>
      <c r="H38" s="18"/>
      <c r="I38" s="23" t="str">
        <f>IF('Mar-25'!$H38="","",'Mar-25'!$H38*0.21)</f>
        <v/>
      </c>
      <c r="J38" s="23"/>
      <c r="K38" s="23"/>
      <c r="L38" s="23"/>
      <c r="M38" s="23"/>
      <c r="N38" s="23"/>
      <c r="O38" s="23"/>
      <c r="P38" s="20">
        <f>SUM('Mar-25'!$H38:$O38)</f>
        <v>0</v>
      </c>
      <c r="Q38" s="21" t="str">
        <f>IFERROR(IF('Mar-25'!$F38="","-",VLOOKUP('Mar-25'!$F38,Lista_CUIT!$A$1:$D$2241,3,0)),"CUIT NO CARGADO")</f>
        <v>-</v>
      </c>
      <c r="R38" s="21" t="str">
        <f>IFERROR(IF('Mar-25'!$F38="","-",VLOOKUP('Mar-25'!$F38,Lista_CUIT!$A$1:$D$2241,4,0)),"CUIT NO CARGADO")</f>
        <v>-</v>
      </c>
    </row>
    <row r="39" spans="2:18" ht="14.25" customHeight="1" x14ac:dyDescent="0.3">
      <c r="B39" s="21" t="s">
        <v>1343</v>
      </c>
      <c r="C39" s="21"/>
      <c r="D39" s="21"/>
      <c r="E39" s="21" t="s">
        <v>1093</v>
      </c>
      <c r="F39" s="21"/>
      <c r="G39" s="17"/>
      <c r="H39" s="18">
        <f>SUBTOTAL(109,'Mar-25'!$H$9:$H$38)</f>
        <v>17121116.499999996</v>
      </c>
      <c r="I39" s="18">
        <f>SUBTOTAL(109,'Mar-25'!$I$9:$I$38)</f>
        <v>3588618.2324999995</v>
      </c>
      <c r="J39" s="18">
        <f>SUBTOTAL(109,'Mar-25'!$J$9:$J$38)</f>
        <v>8763.73</v>
      </c>
      <c r="K39" s="18">
        <f>SUBTOTAL(109,'Mar-25'!$K$9:$K$38)</f>
        <v>0</v>
      </c>
      <c r="L39" s="18">
        <f>SUBTOTAL(109,'Mar-25'!$L$9:$L$38)</f>
        <v>973.75</v>
      </c>
      <c r="M39" s="18">
        <f>SUBTOTAL(109,'Mar-25'!$M$9:$M$38)</f>
        <v>0</v>
      </c>
      <c r="N39" s="18">
        <f>SUBTOTAL(109,'Mar-25'!$N$9:$N$38)</f>
        <v>0</v>
      </c>
      <c r="O39" s="18">
        <f>SUBTOTAL(109,'Mar-25'!$O$9:$O$38)</f>
        <v>553269.39</v>
      </c>
      <c r="P39" s="18">
        <f>SUBTOTAL(109,'Mar-25'!$P$9:$P$38)</f>
        <v>21272741.602500003</v>
      </c>
      <c r="Q39" s="21"/>
      <c r="R39" s="21"/>
    </row>
    <row r="40" spans="2:18" ht="15" customHeight="1" x14ac:dyDescent="0.3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" customHeight="1" x14ac:dyDescent="0.3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  <c r="M41" s="19"/>
      <c r="N41" s="19"/>
      <c r="O41" s="19"/>
      <c r="P41" s="20"/>
      <c r="Q41" s="21"/>
      <c r="R41" s="21"/>
    </row>
    <row r="42" spans="2:18" ht="15" customHeight="1" x14ac:dyDescent="0.3">
      <c r="B42" s="12"/>
      <c r="C42" s="13"/>
      <c r="D42" s="14"/>
      <c r="E42" s="15"/>
      <c r="F42" s="16"/>
      <c r="G42" s="17"/>
      <c r="H42" s="18"/>
      <c r="I42" s="19"/>
      <c r="J42" s="19"/>
      <c r="K42" s="19"/>
      <c r="L42" s="19"/>
      <c r="M42" s="19"/>
      <c r="N42" s="19"/>
      <c r="O42" s="19"/>
      <c r="P42" s="20"/>
      <c r="Q42" s="21"/>
      <c r="R42" s="21"/>
    </row>
    <row r="43" spans="2:18" ht="15" customHeight="1" x14ac:dyDescent="0.3"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</row>
    <row r="44" spans="2:18" ht="15" customHeight="1" x14ac:dyDescent="0.3">
      <c r="D44" s="484" t="s">
        <v>1344</v>
      </c>
      <c r="E44" s="476"/>
      <c r="F44" s="476"/>
      <c r="G44" s="476"/>
      <c r="H44" s="476"/>
      <c r="I44" s="476"/>
      <c r="J44" s="476"/>
      <c r="K44" s="476"/>
      <c r="L44" s="477"/>
    </row>
    <row r="45" spans="2:18" ht="23.25" customHeight="1" x14ac:dyDescent="0.3">
      <c r="D45" s="24" t="s">
        <v>1322</v>
      </c>
      <c r="E45" s="25" t="s">
        <v>1345</v>
      </c>
      <c r="F45" s="25" t="s">
        <v>1346</v>
      </c>
      <c r="G45" s="25" t="s">
        <v>1347</v>
      </c>
      <c r="H45" s="25" t="s">
        <v>1348</v>
      </c>
      <c r="I45" s="25" t="s">
        <v>1329</v>
      </c>
      <c r="J45" s="26" t="s">
        <v>1349</v>
      </c>
      <c r="K45" s="26" t="s">
        <v>1350</v>
      </c>
      <c r="L45" s="27" t="s">
        <v>1351</v>
      </c>
    </row>
    <row r="46" spans="2:18" ht="15.75" customHeight="1" x14ac:dyDescent="0.3">
      <c r="C46" t="s">
        <v>1609</v>
      </c>
      <c r="D46" s="12">
        <v>45723</v>
      </c>
      <c r="E46" s="29">
        <v>907472000</v>
      </c>
      <c r="F46" s="29" t="s">
        <v>1389</v>
      </c>
      <c r="G46" s="31">
        <v>79837.5</v>
      </c>
      <c r="H46" s="31">
        <f>'Mar-25'!$G46*0.21</f>
        <v>16765.875</v>
      </c>
      <c r="I46" s="31"/>
      <c r="J46" s="31"/>
      <c r="K46" s="31">
        <v>2395.13</v>
      </c>
      <c r="L46" s="31"/>
    </row>
    <row r="47" spans="2:18" ht="15.75" customHeight="1" x14ac:dyDescent="0.3">
      <c r="C47" t="s">
        <v>1608</v>
      </c>
      <c r="D47" s="12">
        <v>45747</v>
      </c>
      <c r="E47" s="29">
        <v>31032025</v>
      </c>
      <c r="F47" s="29" t="s">
        <v>1389</v>
      </c>
      <c r="G47" s="31">
        <v>89140.46</v>
      </c>
      <c r="H47" s="31">
        <f>'Mar-25'!$G47*0.21</f>
        <v>18719.496600000002</v>
      </c>
      <c r="I47" s="31"/>
      <c r="J47" s="31"/>
      <c r="K47" s="31">
        <v>2456.5300000000002</v>
      </c>
      <c r="L47" s="31"/>
    </row>
    <row r="48" spans="2:18" ht="15.75" customHeight="1" x14ac:dyDescent="0.3">
      <c r="D48" s="12"/>
      <c r="E48" s="29"/>
      <c r="F48" s="29"/>
      <c r="G48" s="31"/>
      <c r="H48" s="31">
        <f>'Mar-25'!$G48*0.21</f>
        <v>0</v>
      </c>
      <c r="I48" s="31"/>
      <c r="J48" s="31"/>
      <c r="K48" s="31"/>
      <c r="L48" s="31"/>
    </row>
    <row r="49" spans="4:12" ht="15.75" customHeight="1" x14ac:dyDescent="0.3">
      <c r="D49" s="12"/>
      <c r="E49" s="29"/>
      <c r="F49" s="29"/>
      <c r="G49" s="31"/>
      <c r="H49" s="31">
        <f>'Mar-25'!$G49*0.21</f>
        <v>0</v>
      </c>
      <c r="I49" s="31"/>
      <c r="J49" s="31"/>
      <c r="K49" s="31"/>
      <c r="L49" s="31"/>
    </row>
    <row r="50" spans="4:12" ht="15.75" customHeight="1" x14ac:dyDescent="0.3">
      <c r="D50" s="12"/>
      <c r="E50" s="29"/>
      <c r="F50" s="29"/>
      <c r="G50" s="31"/>
      <c r="H50" s="31">
        <f>'Mar-25'!$G50*0.21</f>
        <v>0</v>
      </c>
      <c r="I50" s="31"/>
      <c r="J50" s="31"/>
      <c r="K50" s="31"/>
      <c r="L50" s="31"/>
    </row>
    <row r="51" spans="4:12" ht="15.75" customHeight="1" x14ac:dyDescent="0.3">
      <c r="D51" s="12"/>
      <c r="E51" s="29"/>
      <c r="F51" s="29"/>
      <c r="G51" s="31"/>
      <c r="H51" s="31">
        <f>'Mar-25'!$G51*0.21</f>
        <v>0</v>
      </c>
      <c r="I51" s="31"/>
      <c r="J51" s="31"/>
      <c r="K51" s="31"/>
      <c r="L51" s="31"/>
    </row>
    <row r="52" spans="4:12" ht="15.75" customHeight="1" x14ac:dyDescent="0.3">
      <c r="D52" s="12"/>
      <c r="E52" s="29"/>
      <c r="F52" s="29"/>
      <c r="G52" s="31"/>
      <c r="H52" s="31">
        <f>'Mar-25'!$G52*0.21</f>
        <v>0</v>
      </c>
      <c r="I52" s="31"/>
      <c r="J52" s="31"/>
      <c r="K52" s="31"/>
      <c r="L52" s="31"/>
    </row>
    <row r="53" spans="4:12" ht="15.75" customHeight="1" x14ac:dyDescent="0.3">
      <c r="D53" s="12"/>
      <c r="E53" s="29"/>
      <c r="F53" s="29"/>
      <c r="G53" s="31"/>
      <c r="H53" s="31">
        <f>'Mar-25'!$G53*0.21</f>
        <v>0</v>
      </c>
      <c r="I53" s="31"/>
      <c r="J53" s="31"/>
      <c r="K53" s="31"/>
      <c r="L53" s="31"/>
    </row>
    <row r="54" spans="4:12" ht="15.75" customHeight="1" x14ac:dyDescent="0.3">
      <c r="D54" s="21" t="s">
        <v>1343</v>
      </c>
      <c r="E54" s="29"/>
      <c r="F54" s="29"/>
      <c r="G54" s="31">
        <f>SUBTOTAL(109,'Mar-25'!$G$46:$G$53)</f>
        <v>168977.96000000002</v>
      </c>
      <c r="H54" s="31">
        <f>SUBTOTAL(109,'Mar-25'!$H$46:$H$53)</f>
        <v>35485.371599999999</v>
      </c>
      <c r="I54" s="31">
        <f>SUBTOTAL(109,'Mar-25'!$I$46:$I$53)</f>
        <v>0</v>
      </c>
      <c r="J54" s="31">
        <f>SUBTOTAL(109,'Mar-25'!$J$46:$J$53)</f>
        <v>0</v>
      </c>
      <c r="K54" s="31">
        <f>SUBTOTAL(109,'Mar-25'!$K$46:$K$53)</f>
        <v>4851.66</v>
      </c>
      <c r="L54" s="31">
        <f>SUBTOTAL(109,'Mar-25'!$L$46:$L$53)</f>
        <v>0</v>
      </c>
    </row>
    <row r="55" spans="4:12" ht="15.75" customHeight="1" x14ac:dyDescent="0.3"/>
    <row r="56" spans="4:12" ht="15.75" customHeight="1" x14ac:dyDescent="0.3"/>
    <row r="57" spans="4:12" ht="15.75" customHeight="1" x14ac:dyDescent="0.3"/>
    <row r="58" spans="4:12" ht="15.75" customHeight="1" x14ac:dyDescent="0.3">
      <c r="D58" s="484" t="s">
        <v>1361</v>
      </c>
      <c r="E58" s="476"/>
      <c r="F58" s="476"/>
      <c r="G58" s="476"/>
      <c r="H58" s="476"/>
      <c r="I58" s="476"/>
      <c r="J58" s="476"/>
      <c r="K58" s="477"/>
    </row>
    <row r="59" spans="4:12" ht="15.75" customHeight="1" x14ac:dyDescent="0.3">
      <c r="D59" s="35" t="s">
        <v>1322</v>
      </c>
      <c r="E59" s="35" t="s">
        <v>1324</v>
      </c>
      <c r="F59" s="35" t="s">
        <v>1362</v>
      </c>
      <c r="G59" s="35" t="s">
        <v>0</v>
      </c>
      <c r="H59" s="35" t="s">
        <v>1</v>
      </c>
      <c r="I59" s="36" t="s">
        <v>1334</v>
      </c>
      <c r="J59" s="35" t="s">
        <v>1363</v>
      </c>
      <c r="K59" s="35" t="s">
        <v>1335</v>
      </c>
    </row>
    <row r="60" spans="4:12" ht="15.75" customHeight="1" x14ac:dyDescent="0.3">
      <c r="D60" s="391">
        <v>45717</v>
      </c>
      <c r="E60" s="393">
        <v>1</v>
      </c>
      <c r="F60" s="394">
        <v>47</v>
      </c>
      <c r="G60" s="395">
        <v>20365938688</v>
      </c>
      <c r="H60" s="397" t="str">
        <f>IFERROR(IF('Mar-25'!$G60="","-",VLOOKUP('Mar-25'!$G60,Lista_CUIT!$A$1:$D$2241,2,0)),"CUIT NO CARGADO")</f>
        <v>LIPANOVICH JUAN CRUZ</v>
      </c>
      <c r="I60" s="419">
        <v>1132780</v>
      </c>
      <c r="J60" s="398" t="str">
        <f>IFERROR(IF('Mar-25'!$G60="","-",VLOOKUP('Mar-25'!$G60,Lista_CUIT!$A$1:$D$2241,3,0)),"CUIT NO CARGADO")</f>
        <v>SOFTWARE</v>
      </c>
      <c r="K60" s="398">
        <f>IFERROR(IF('Mar-25'!$G60="","-",VLOOKUP('Mar-25'!$G60,Lista_CUIT!$A$1:$D$2241,4,0)),"CUIT NO CARGADO")</f>
        <v>0</v>
      </c>
    </row>
    <row r="61" spans="4:12" ht="15.75" customHeight="1" x14ac:dyDescent="0.3">
      <c r="D61" s="391">
        <v>45717</v>
      </c>
      <c r="E61" s="393">
        <v>2</v>
      </c>
      <c r="F61" s="394">
        <v>181</v>
      </c>
      <c r="G61" s="395">
        <v>20136544625</v>
      </c>
      <c r="H61" s="397" t="str">
        <f>IFERROR(IF('Mar-25'!$G61="","-",VLOOKUP('Mar-25'!$G61,Lista_CUIT!$A$1:$D$2241,2,0)),"CUIT NO CARGADO")</f>
        <v>RODRIGUEZ DE LA FUEN HECTOR MARCELO</v>
      </c>
      <c r="I61" s="419">
        <v>1199500</v>
      </c>
      <c r="J61" s="398" t="str">
        <f>IFERROR(IF('Mar-25'!$G61="","-",VLOOKUP('Mar-25'!$G61,Lista_CUIT!$A$1:$D$2241,3,0)),"CUIT NO CARGADO")</f>
        <v>Honorarios Admin</v>
      </c>
      <c r="K61" s="398">
        <f>IFERROR(IF('Mar-25'!$G61="","-",VLOOKUP('Mar-25'!$G61,Lista_CUIT!$A$1:$D$2241,4,0)),"CUIT NO CARGADO")</f>
        <v>0</v>
      </c>
    </row>
    <row r="62" spans="4:12" ht="15.75" customHeight="1" x14ac:dyDescent="0.3">
      <c r="D62" s="391">
        <v>45717</v>
      </c>
      <c r="E62" s="393">
        <v>2</v>
      </c>
      <c r="F62" s="394">
        <v>272</v>
      </c>
      <c r="G62" s="395">
        <v>27173820866</v>
      </c>
      <c r="H62" s="397" t="str">
        <f>IFERROR(IF('Mar-25'!$G62="","-",VLOOKUP('Mar-25'!$G62,Lista_CUIT!$A$1:$D$2241,2,0)),"CUIT NO CARGADO")</f>
        <v>FREIER SANDRA DANIELA</v>
      </c>
      <c r="I62" s="419">
        <v>990000</v>
      </c>
      <c r="J62" s="398" t="str">
        <f>IFERROR(IF('Mar-25'!$G62="","-",VLOOKUP('Mar-25'!$G62,Lista_CUIT!$A$1:$D$2241,3,0)),"CUIT NO CARGADO")</f>
        <v>Honorarios Prof</v>
      </c>
      <c r="K62" s="398">
        <f>IFERROR(IF('Mar-25'!$G62="","-",VLOOKUP('Mar-25'!$G62,Lista_CUIT!$A$1:$D$2241,4,0)),"CUIT NO CARGADO")</f>
        <v>0</v>
      </c>
    </row>
    <row r="63" spans="4:12" ht="15.75" customHeight="1" x14ac:dyDescent="0.3">
      <c r="D63" s="391">
        <v>45721</v>
      </c>
      <c r="E63" s="393">
        <v>1</v>
      </c>
      <c r="F63" s="394">
        <v>140</v>
      </c>
      <c r="G63" s="395">
        <v>20389908569</v>
      </c>
      <c r="H63" s="397" t="str">
        <f>IFERROR(IF('Mar-25'!$G63="","-",VLOOKUP('Mar-25'!$G63,Lista_CUIT!$A$1:$D$2241,2,0)),"CUIT NO CARGADO")</f>
        <v>BOTINDARI JUAN IGNACIO</v>
      </c>
      <c r="I63" s="419">
        <v>102700</v>
      </c>
      <c r="J63" s="398" t="str">
        <f>IFERROR(IF('Mar-25'!$G63="","-",VLOOKUP('Mar-25'!$G63,Lista_CUIT!$A$1:$D$2241,3,0)),"CUIT NO CARGADO")</f>
        <v>Honorarios Contables</v>
      </c>
      <c r="K63" s="398">
        <f>IFERROR(IF('Mar-25'!$G63="","-",VLOOKUP('Mar-25'!$G63,Lista_CUIT!$A$1:$D$2241,4,0)),"CUIT NO CARGADO")</f>
        <v>0</v>
      </c>
    </row>
    <row r="64" spans="4:12" ht="15.75" customHeight="1" x14ac:dyDescent="0.3">
      <c r="D64" s="391">
        <v>45721</v>
      </c>
      <c r="E64" s="393">
        <v>3</v>
      </c>
      <c r="F64" s="394">
        <v>946</v>
      </c>
      <c r="G64" s="395">
        <v>20086277523</v>
      </c>
      <c r="H64" s="397" t="str">
        <f>IFERROR(IF('Mar-25'!$G64="","-",VLOOKUP('Mar-25'!$G64,Lista_CUIT!$A$1:$D$2241,2,0)),"CUIT NO CARGADO")</f>
        <v>ESTUDIO BOTINDARI</v>
      </c>
      <c r="I64" s="419">
        <v>335000</v>
      </c>
      <c r="J64" s="398" t="str">
        <f>IFERROR(IF('Mar-25'!$G64="","-",VLOOKUP('Mar-25'!$G64,Lista_CUIT!$A$1:$D$2241,3,0)),"CUIT NO CARGADO")</f>
        <v>Honorarios Contables</v>
      </c>
      <c r="K64" s="398">
        <f>IFERROR(IF('Mar-25'!$G64="","-",VLOOKUP('Mar-25'!$G64,Lista_CUIT!$A$1:$D$2241,4,0)),"CUIT NO CARGADO")</f>
        <v>0</v>
      </c>
    </row>
    <row r="65" spans="1:26" ht="15.75" customHeight="1" x14ac:dyDescent="0.3">
      <c r="D65" s="391">
        <v>45722</v>
      </c>
      <c r="E65" s="393">
        <v>1</v>
      </c>
      <c r="F65" s="394">
        <v>36</v>
      </c>
      <c r="G65" s="395">
        <v>27387896150</v>
      </c>
      <c r="H65" s="397" t="str">
        <f>IFERROR(IF('Mar-25'!$G65="","-",VLOOKUP('Mar-25'!$G65,Lista_CUIT!$A$1:$D$2241,2,0)),"CUIT NO CARGADO")</f>
        <v>LIPANOVICH MARIA SOL</v>
      </c>
      <c r="I65" s="419">
        <v>1267951</v>
      </c>
      <c r="J65" s="398" t="str">
        <f>IFERROR(IF('Mar-25'!$G65="","-",VLOOKUP('Mar-25'!$G65,Lista_CUIT!$A$1:$D$2241,3,0)),"CUIT NO CARGADO")</f>
        <v>consultoria informatica</v>
      </c>
      <c r="K65" s="398">
        <f>IFERROR(IF('Mar-25'!$G65="","-",VLOOKUP('Mar-25'!$G65,Lista_CUIT!$A$1:$D$2241,4,0)),"CUIT NO CARGADO")</f>
        <v>0</v>
      </c>
    </row>
    <row r="66" spans="1:26" ht="15.75" customHeight="1" x14ac:dyDescent="0.3">
      <c r="D66" s="391">
        <v>45722</v>
      </c>
      <c r="E66" s="393">
        <v>1</v>
      </c>
      <c r="F66" s="394">
        <v>109</v>
      </c>
      <c r="G66" s="395">
        <v>20341465134</v>
      </c>
      <c r="H66" s="397" t="str">
        <f>IFERROR(IF('Mar-25'!$G66="","-",VLOOKUP('Mar-25'!$G66,Lista_CUIT!$A$1:$D$2241,2,0)),"CUIT NO CARGADO")</f>
        <v>ABELEDO AGUSTIN ENRIQUE</v>
      </c>
      <c r="I66" s="419">
        <v>2248500</v>
      </c>
      <c r="J66" s="398" t="str">
        <f>IFERROR(IF('Mar-25'!$G66="","-",VLOOKUP('Mar-25'!$G66,Lista_CUIT!$A$1:$D$2241,3,0)),"CUIT NO CARGADO")</f>
        <v>Mantenimiento</v>
      </c>
      <c r="K66" s="398" t="str">
        <f>IFERROR(IF('Mar-25'!$G66="","-",VLOOKUP('Mar-25'!$G66,Lista_CUIT!$A$1:$D$2241,4,0)),"CUIT NO CARGADO")</f>
        <v>CABA</v>
      </c>
    </row>
    <row r="67" spans="1:26" ht="15.75" customHeight="1" x14ac:dyDescent="0.3">
      <c r="D67" s="391">
        <v>45723</v>
      </c>
      <c r="E67" s="393">
        <v>1</v>
      </c>
      <c r="F67" s="394">
        <v>498</v>
      </c>
      <c r="G67" s="395">
        <v>27925308884</v>
      </c>
      <c r="H67" s="397" t="str">
        <f>IFERROR(IF('Mar-25'!$G67="","-",VLOOKUP('Mar-25'!$G67,Lista_CUIT!$A$1:$D$2241,2,0)),"CUIT NO CARGADO")</f>
        <v>LOPEZ LOPEZ FLAVIA</v>
      </c>
      <c r="I67" s="419">
        <v>10000</v>
      </c>
      <c r="J67" s="398" t="str">
        <f>IFERROR(IF('Mar-25'!$G67="","-",VLOOKUP('Mar-25'!$G67,Lista_CUIT!$A$1:$D$2241,3,0)),"CUIT NO CARGADO")</f>
        <v>GASTOS VARIOS</v>
      </c>
      <c r="K67" s="398">
        <f>IFERROR(IF('Mar-25'!$G67="","-",VLOOKUP('Mar-25'!$G67,Lista_CUIT!$A$1:$D$2241,4,0)),"CUIT NO CARGADO")</f>
        <v>0</v>
      </c>
    </row>
    <row r="68" spans="1:26" ht="18" customHeight="1" x14ac:dyDescent="0.3">
      <c r="A68" s="43"/>
      <c r="D68" s="391">
        <v>45726</v>
      </c>
      <c r="E68" s="393">
        <v>4</v>
      </c>
      <c r="F68" s="394">
        <v>86</v>
      </c>
      <c r="G68" s="395">
        <v>23214737914</v>
      </c>
      <c r="H68" s="397" t="str">
        <f>IFERROR(IF('Mar-25'!$G68="","-",VLOOKUP('Mar-25'!$G68,Lista_CUIT!$A$1:$D$2241,2,0)),"CUIT NO CARGADO")</f>
        <v>SBARRA GABRIELA BEATRIZ</v>
      </c>
      <c r="I68" s="419">
        <v>1342375</v>
      </c>
      <c r="J68" s="398" t="str">
        <f>IFERROR(IF('Mar-25'!$G68="","-",VLOOKUP('Mar-25'!$G68,Lista_CUIT!$A$1:$D$2241,3,0)),"CUIT NO CARGADO")</f>
        <v>Honorarios Admin</v>
      </c>
      <c r="K68" s="398">
        <f>IFERROR(IF('Mar-25'!$G68="","-",VLOOKUP('Mar-25'!$G68,Lista_CUIT!$A$1:$D$2241,4,0)),"CUIT NO CARGADO")</f>
        <v>0</v>
      </c>
      <c r="S68" s="43"/>
      <c r="T68" s="43"/>
      <c r="U68" s="43"/>
      <c r="V68" s="43"/>
      <c r="W68" s="43"/>
      <c r="X68" s="43"/>
      <c r="Y68" s="43"/>
      <c r="Z68" s="43"/>
    </row>
    <row r="69" spans="1:26" ht="15.75" customHeight="1" x14ac:dyDescent="0.3">
      <c r="D69" s="391">
        <v>45729</v>
      </c>
      <c r="E69" s="393">
        <v>2</v>
      </c>
      <c r="F69" s="394">
        <v>16</v>
      </c>
      <c r="G69" s="395">
        <v>23118167279</v>
      </c>
      <c r="H69" s="397" t="str">
        <f>IFERROR(IF('Mar-25'!$G69="","-",VLOOKUP('Mar-25'!$G69,Lista_CUIT!$A$1:$D$2241,2,0)),"CUIT NO CARGADO")</f>
        <v>ABELEDO ENRIQUE JUAN</v>
      </c>
      <c r="I69" s="419">
        <v>1690000</v>
      </c>
      <c r="J69" s="398" t="str">
        <f>IFERROR(IF('Mar-25'!$G69="","-",VLOOKUP('Mar-25'!$G69,Lista_CUIT!$A$1:$D$2241,3,0)),"CUIT NO CARGADO")</f>
        <v>Honorarios Admin</v>
      </c>
      <c r="K69" s="398">
        <f>IFERROR(IF('Mar-25'!$G69="","-",VLOOKUP('Mar-25'!$G69,Lista_CUIT!$A$1:$D$2241,4,0)),"CUIT NO CARGADO")</f>
        <v>0</v>
      </c>
    </row>
    <row r="70" spans="1:26" ht="15.75" customHeight="1" x14ac:dyDescent="0.3">
      <c r="D70" s="391">
        <v>45730</v>
      </c>
      <c r="E70" s="393">
        <v>1</v>
      </c>
      <c r="F70" s="394">
        <v>26</v>
      </c>
      <c r="G70" s="395">
        <v>20419155870</v>
      </c>
      <c r="H70" s="397" t="str">
        <f>IFERROR(IF('Mar-25'!$G70="","-",VLOOKUP('Mar-25'!$G70,Lista_CUIT!$A$1:$D$2241,2,0)),"CUIT NO CARGADO")</f>
        <v>GULLO GASPAR</v>
      </c>
      <c r="I70" s="419">
        <v>75000</v>
      </c>
      <c r="J70" s="398" t="str">
        <f>IFERROR(IF('Mar-25'!$G70="","-",VLOOKUP('Mar-25'!$G70,Lista_CUIT!$A$1:$D$2241,3,0)),"CUIT NO CARGADO")</f>
        <v>Honorarios Contables</v>
      </c>
      <c r="K70" s="398">
        <f>IFERROR(IF('Mar-25'!$G70="","-",VLOOKUP('Mar-25'!$G70,Lista_CUIT!$A$1:$D$2241,4,0)),"CUIT NO CARGADO")</f>
        <v>0</v>
      </c>
    </row>
    <row r="71" spans="1:26" ht="15.75" customHeight="1" x14ac:dyDescent="0.3">
      <c r="D71" s="391">
        <v>45735</v>
      </c>
      <c r="E71" s="393">
        <v>4</v>
      </c>
      <c r="F71" s="394">
        <v>44</v>
      </c>
      <c r="G71" s="395">
        <v>20341462933</v>
      </c>
      <c r="H71" s="397" t="str">
        <f>IFERROR(IF('Mar-25'!$G71="","-",VLOOKUP('Mar-25'!$G71,Lista_CUIT!$A$1:$D$2241,2,0)),"CUIT NO CARGADO")</f>
        <v>CASTIGLIONI MATIAS EZEQUIEL</v>
      </c>
      <c r="I71" s="517">
        <v>4310000</v>
      </c>
      <c r="J71" s="398" t="str">
        <f>IFERROR(IF('Mar-25'!$G71="","-",VLOOKUP('Mar-25'!$G71,Lista_CUIT!$A$1:$D$2241,3,0)),"CUIT NO CARGADO")</f>
        <v>ASESORAMIENTO</v>
      </c>
      <c r="K71" s="398" t="str">
        <f>IFERROR(IF('Mar-25'!$G71="","-",VLOOKUP('Mar-25'!$G71,Lista_CUIT!$A$1:$D$2241,4,0)),"CUIT NO CARGADO")</f>
        <v>BUENOS AIRES</v>
      </c>
    </row>
    <row r="72" spans="1:26" ht="15.75" customHeight="1" x14ac:dyDescent="0.3">
      <c r="D72" s="391">
        <v>45735</v>
      </c>
      <c r="E72" s="393">
        <v>1</v>
      </c>
      <c r="F72" s="394">
        <v>110</v>
      </c>
      <c r="G72" s="395">
        <v>20341465134</v>
      </c>
      <c r="H72" s="397" t="str">
        <f>IFERROR(IF('Mar-25'!$G72="","-",VLOOKUP('Mar-25'!$G72,Lista_CUIT!$A$1:$D$2241,2,0)),"CUIT NO CARGADO")</f>
        <v>ABELEDO AGUSTIN ENRIQUE</v>
      </c>
      <c r="I72" s="517">
        <v>20557810</v>
      </c>
      <c r="J72" s="398" t="str">
        <f>IFERROR(IF('Mar-25'!$G72="","-",VLOOKUP('Mar-25'!$G72,Lista_CUIT!$A$1:$D$2241,3,0)),"CUIT NO CARGADO")</f>
        <v>Mantenimiento</v>
      </c>
      <c r="K72" s="398" t="str">
        <f>IFERROR(IF('Mar-25'!$G72="","-",VLOOKUP('Mar-25'!$G72,Lista_CUIT!$A$1:$D$2241,4,0)),"CUIT NO CARGADO")</f>
        <v>CABA</v>
      </c>
    </row>
    <row r="73" spans="1:26" ht="15.75" customHeight="1" x14ac:dyDescent="0.3">
      <c r="D73" s="391">
        <v>45735</v>
      </c>
      <c r="E73" s="393">
        <v>3</v>
      </c>
      <c r="F73" s="394">
        <v>6</v>
      </c>
      <c r="G73" s="395">
        <v>20941496963</v>
      </c>
      <c r="H73" s="397" t="str">
        <f>IFERROR(IF('Mar-25'!$G73="","-",VLOOKUP('Mar-25'!$G73,Lista_CUIT!$A$1:$D$2241,2,0)),"CUIT NO CARGADO")</f>
        <v>ABELEDO HORACIO MIGUEL</v>
      </c>
      <c r="I73" s="517">
        <v>19375000</v>
      </c>
      <c r="J73" s="398" t="str">
        <f>IFERROR(IF('Mar-25'!$G73="","-",VLOOKUP('Mar-25'!$G73,Lista_CUIT!$A$1:$D$2241,3,0)),"CUIT NO CARGADO")</f>
        <v>Honorarios Admin</v>
      </c>
      <c r="K73" s="398">
        <f>IFERROR(IF('Mar-25'!$G73="","-",VLOOKUP('Mar-25'!$G73,Lista_CUIT!$A$1:$D$2241,4,0)),"CUIT NO CARGADO")</f>
        <v>0</v>
      </c>
    </row>
    <row r="74" spans="1:26" ht="15.75" customHeight="1" x14ac:dyDescent="0.3">
      <c r="D74" s="391">
        <v>45736</v>
      </c>
      <c r="E74" s="393">
        <v>2</v>
      </c>
      <c r="F74" s="394">
        <v>17</v>
      </c>
      <c r="G74" s="395">
        <v>23118167279</v>
      </c>
      <c r="H74" s="397" t="str">
        <f>IFERROR(IF('Mar-25'!$G74="","-",VLOOKUP('Mar-25'!$G74,Lista_CUIT!$A$1:$D$2241,2,0)),"CUIT NO CARGADO")</f>
        <v>ABELEDO ENRIQUE JUAN</v>
      </c>
      <c r="I74" s="517">
        <v>7455100</v>
      </c>
      <c r="J74" s="398" t="str">
        <f>IFERROR(IF('Mar-25'!$G74="","-",VLOOKUP('Mar-25'!$G74,Lista_CUIT!$A$1:$D$2241,3,0)),"CUIT NO CARGADO")</f>
        <v>Honorarios Admin</v>
      </c>
      <c r="K74" s="398">
        <f>IFERROR(IF('Mar-25'!$G74="","-",VLOOKUP('Mar-25'!$G74,Lista_CUIT!$A$1:$D$2241,4,0)),"CUIT NO CARGADO")</f>
        <v>0</v>
      </c>
    </row>
    <row r="75" spans="1:26" ht="15.75" customHeight="1" x14ac:dyDescent="0.3">
      <c r="D75" s="391">
        <v>45737</v>
      </c>
      <c r="E75" s="393">
        <v>1</v>
      </c>
      <c r="F75" s="394">
        <v>512</v>
      </c>
      <c r="G75" s="395">
        <v>27925308884</v>
      </c>
      <c r="H75" s="397" t="str">
        <f>IFERROR(IF('Mar-25'!$G75="","-",VLOOKUP('Mar-25'!$G75,Lista_CUIT!$A$1:$D$2241,2,0)),"CUIT NO CARGADO")</f>
        <v>LOPEZ LOPEZ FLAVIA</v>
      </c>
      <c r="I75" s="419">
        <v>11000</v>
      </c>
      <c r="J75" s="398" t="str">
        <f>IFERROR(IF('Mar-25'!$G75="","-",VLOOKUP('Mar-25'!$G75,Lista_CUIT!$A$1:$D$2241,3,0)),"CUIT NO CARGADO")</f>
        <v>GASTOS VARIOS</v>
      </c>
      <c r="K75" s="398">
        <f>IFERROR(IF('Mar-25'!$G75="","-",VLOOKUP('Mar-25'!$G75,Lista_CUIT!$A$1:$D$2241,4,0)),"CUIT NO CARGADO")</f>
        <v>0</v>
      </c>
    </row>
    <row r="76" spans="1:26" ht="15.75" customHeight="1" x14ac:dyDescent="0.3">
      <c r="B76" s="43"/>
      <c r="C76" s="43"/>
      <c r="D76" s="42" t="s">
        <v>1343</v>
      </c>
      <c r="E76" s="42"/>
      <c r="F76" s="42"/>
      <c r="G76" s="42"/>
      <c r="H76" s="44"/>
      <c r="I76" s="41">
        <f>SUBTOTAL(109,'Mar-25'!$I$60:$I$75)</f>
        <v>62102716</v>
      </c>
      <c r="J76" s="42"/>
      <c r="K76" s="42"/>
      <c r="L76" s="43"/>
      <c r="M76" s="43"/>
      <c r="N76" s="43"/>
      <c r="O76" s="43"/>
      <c r="P76" s="43"/>
      <c r="Q76" s="43"/>
      <c r="R76" s="43"/>
    </row>
    <row r="77" spans="1:26" ht="18" customHeight="1" x14ac:dyDescent="0.3"/>
    <row r="78" spans="1:26" ht="15.75" customHeight="1" x14ac:dyDescent="0.3"/>
    <row r="79" spans="1:26" ht="15.75" customHeight="1" x14ac:dyDescent="0.3"/>
    <row r="80" spans="1:26" ht="15.75" customHeight="1" x14ac:dyDescent="0.3"/>
    <row r="81" spans="2:13" ht="15.75" customHeight="1" x14ac:dyDescent="0.3">
      <c r="B81" s="492" t="s">
        <v>1364</v>
      </c>
      <c r="C81" s="476"/>
      <c r="D81" s="476"/>
      <c r="E81" s="476"/>
      <c r="F81" s="476"/>
      <c r="G81" s="476"/>
      <c r="H81" s="476"/>
      <c r="I81" s="476"/>
      <c r="J81" s="477"/>
      <c r="K81" s="493">
        <f>N1</f>
        <v>45352</v>
      </c>
      <c r="L81" s="476"/>
      <c r="M81" s="477"/>
    </row>
    <row r="82" spans="2:13" ht="15.75" customHeight="1" x14ac:dyDescent="0.3"/>
    <row r="83" spans="2:13" ht="15.75" customHeight="1" x14ac:dyDescent="0.3">
      <c r="B83" s="485" t="s">
        <v>1365</v>
      </c>
      <c r="C83" s="486"/>
    </row>
    <row r="84" spans="2:13" ht="15.75" customHeight="1" x14ac:dyDescent="0.3">
      <c r="B84" s="45" t="s">
        <v>1322</v>
      </c>
      <c r="C84" s="46" t="s">
        <v>1323</v>
      </c>
      <c r="D84" s="46" t="s">
        <v>1366</v>
      </c>
      <c r="E84" s="46" t="s">
        <v>1367</v>
      </c>
      <c r="F84" s="46" t="s">
        <v>0</v>
      </c>
      <c r="G84" s="46" t="s">
        <v>1</v>
      </c>
      <c r="H84" s="46" t="s">
        <v>1368</v>
      </c>
      <c r="I84" s="46" t="s">
        <v>1348</v>
      </c>
      <c r="J84" s="46" t="s">
        <v>1329</v>
      </c>
      <c r="K84" s="46" t="s">
        <v>1369</v>
      </c>
      <c r="L84" s="46" t="s">
        <v>1334</v>
      </c>
      <c r="M84" s="47" t="s">
        <v>1335</v>
      </c>
    </row>
    <row r="85" spans="2:13" ht="15.75" customHeight="1" x14ac:dyDescent="0.3">
      <c r="B85" s="54">
        <v>45721</v>
      </c>
      <c r="C85" s="55">
        <v>1</v>
      </c>
      <c r="D85" s="56">
        <v>3</v>
      </c>
      <c r="E85" s="57">
        <v>253</v>
      </c>
      <c r="F85" s="58">
        <v>30628274327</v>
      </c>
      <c r="G85" s="120" t="str">
        <f>IFERROR(IF('Mar-25'!$F85="","-",VLOOKUP('Mar-25'!$F85,Lista_CUIT!$A$1:$D$2241,2,0)),"CUIT NO CARGADO")</f>
        <v>AGIRA  S A</v>
      </c>
      <c r="H85" s="59">
        <v>24655150</v>
      </c>
      <c r="I85" s="60">
        <f>105*1079</f>
        <v>113295</v>
      </c>
      <c r="J85" s="61">
        <f>2346.75*1079</f>
        <v>2532143.25</v>
      </c>
      <c r="K85" s="61"/>
      <c r="L85" s="61">
        <f>SUM('Mar-25'!$H85:$K85)</f>
        <v>27300588.25</v>
      </c>
      <c r="M85" s="53"/>
    </row>
    <row r="86" spans="2:13" ht="15.75" customHeight="1" x14ac:dyDescent="0.3">
      <c r="B86" s="54">
        <v>45723</v>
      </c>
      <c r="C86" s="55">
        <v>1</v>
      </c>
      <c r="D86" s="56">
        <v>3</v>
      </c>
      <c r="E86" s="57">
        <v>254</v>
      </c>
      <c r="F86" s="58">
        <v>30638318470</v>
      </c>
      <c r="G86" s="120" t="str">
        <f>IFERROR(IF('Mar-25'!$F86="","-",VLOOKUP('Mar-25'!$F86,Lista_CUIT!$A$1:$D$2241,2,0)),"CUIT NO CARGADO")</f>
        <v>DELTA COMPRESION S R L</v>
      </c>
      <c r="H86" s="59">
        <v>51145604.532499999</v>
      </c>
      <c r="I86" s="60"/>
      <c r="J86" s="61">
        <f>Table_78[[#This Row],[IMPORTE NETO]]*0.105</f>
        <v>5370288.4759124992</v>
      </c>
      <c r="K86" s="61"/>
      <c r="L86" s="61">
        <f>SUM('Mar-25'!$H86:$K86)</f>
        <v>56515893.008412495</v>
      </c>
      <c r="M86" s="53"/>
    </row>
    <row r="87" spans="2:13" ht="18" customHeight="1" x14ac:dyDescent="0.3">
      <c r="B87" s="54">
        <v>45723</v>
      </c>
      <c r="C87" s="55">
        <v>1</v>
      </c>
      <c r="D87" s="56">
        <v>3</v>
      </c>
      <c r="E87" s="57">
        <v>255</v>
      </c>
      <c r="F87" s="58">
        <v>33717088269</v>
      </c>
      <c r="G87" s="120" t="str">
        <f>IFERROR(IF('Mar-25'!$F87="","-",VLOOKUP('Mar-25'!$F87,Lista_CUIT!$A$1:$D$2241,2,0)),"CUIT NO CARGADO")</f>
        <v>NEXT SERVICE GNC S.R.L.</v>
      </c>
      <c r="H87" s="59">
        <v>621627.63749999995</v>
      </c>
      <c r="I87" s="60">
        <f>'Mar-25'!$H87*0.21</f>
        <v>130541.80387499998</v>
      </c>
      <c r="J87" s="61"/>
      <c r="K87" s="61"/>
      <c r="L87" s="61">
        <f>SUM('Mar-25'!$H87:$K87)</f>
        <v>752169.44137499994</v>
      </c>
      <c r="M87" s="53"/>
    </row>
    <row r="88" spans="2:13" ht="15.75" customHeight="1" x14ac:dyDescent="0.3">
      <c r="B88" s="54">
        <v>45723</v>
      </c>
      <c r="C88" s="55">
        <v>2</v>
      </c>
      <c r="D88" s="56">
        <v>3</v>
      </c>
      <c r="E88" s="57">
        <v>10</v>
      </c>
      <c r="F88" s="58">
        <v>30638318470</v>
      </c>
      <c r="G88" s="120" t="str">
        <f>IFERROR(IF('Mar-25'!$F88="","-",VLOOKUP('Mar-25'!$F88,Lista_CUIT!$A$1:$D$2241,2,0)),"CUIT NO CARGADO")</f>
        <v>DELTA COMPRESION S R L</v>
      </c>
      <c r="H88" s="59">
        <v>11791460.297499999</v>
      </c>
      <c r="I88" s="60">
        <f>'Mar-25'!$H88*0.21</f>
        <v>2476206.6624749997</v>
      </c>
      <c r="J88" s="61"/>
      <c r="K88" s="61"/>
      <c r="L88" s="61">
        <f>SUM('Mar-25'!$H88:$K88)</f>
        <v>14267666.959974999</v>
      </c>
      <c r="M88" s="53"/>
    </row>
    <row r="89" spans="2:13" ht="15.75" customHeight="1" x14ac:dyDescent="0.3">
      <c r="B89" s="54">
        <v>45727</v>
      </c>
      <c r="C89" s="55">
        <v>1</v>
      </c>
      <c r="D89" s="56">
        <v>3</v>
      </c>
      <c r="E89" s="57">
        <v>256</v>
      </c>
      <c r="F89" s="58">
        <v>30628274327</v>
      </c>
      <c r="G89" s="120" t="str">
        <f>IFERROR(IF('Mar-25'!$F89="","-",VLOOKUP('Mar-25'!$F89,Lista_CUIT!$A$1:$D$2241,2,0)),"CUIT NO CARGADO")</f>
        <v>AGIRA  S A</v>
      </c>
      <c r="H89" s="59">
        <v>19829230</v>
      </c>
      <c r="I89" s="60">
        <f>84*1084.75</f>
        <v>91119</v>
      </c>
      <c r="J89" s="61">
        <f>1877.4*1084.75</f>
        <v>2036509.6500000001</v>
      </c>
      <c r="K89" s="61"/>
      <c r="L89" s="61">
        <f>SUM('Mar-25'!$H89:$K89)</f>
        <v>21956858.649999999</v>
      </c>
      <c r="M89" s="53"/>
    </row>
    <row r="90" spans="2:13" ht="15.75" customHeight="1" x14ac:dyDescent="0.3">
      <c r="B90" s="54">
        <v>45729</v>
      </c>
      <c r="C90" s="55">
        <v>1</v>
      </c>
      <c r="D90" s="56">
        <v>3</v>
      </c>
      <c r="E90" s="57">
        <v>257</v>
      </c>
      <c r="F90" s="58">
        <v>30707466320</v>
      </c>
      <c r="G90" s="120" t="str">
        <f>IFERROR(IF('Mar-25'!$F90="","-",VLOOKUP('Mar-25'!$F90,Lista_CUIT!$A$1:$D$2241,2,0)),"CUIT NO CARGADO")</f>
        <v>SUELOCOR S.R.L.</v>
      </c>
      <c r="H90" s="59">
        <v>1521100</v>
      </c>
      <c r="I90" s="60">
        <f>'Mar-25'!$H90*0.21</f>
        <v>319431</v>
      </c>
      <c r="J90" s="61"/>
      <c r="K90" s="61"/>
      <c r="L90" s="61">
        <f>SUM('Mar-25'!$H90:$K90)</f>
        <v>1840531</v>
      </c>
      <c r="M90" s="53"/>
    </row>
    <row r="91" spans="2:13" ht="17.25" customHeight="1" x14ac:dyDescent="0.3">
      <c r="B91" s="54">
        <v>45730</v>
      </c>
      <c r="C91" s="55">
        <v>1</v>
      </c>
      <c r="D91" s="56">
        <v>3</v>
      </c>
      <c r="E91" s="57">
        <v>258</v>
      </c>
      <c r="F91" s="58">
        <v>33717088269</v>
      </c>
      <c r="G91" s="120" t="str">
        <f>IFERROR(IF('Mar-25'!$F91="","-",VLOOKUP('Mar-25'!$F91,Lista_CUIT!$A$1:$D$2241,2,0)),"CUIT NO CARGADO")</f>
        <v>NEXT SERVICE GNC S.R.L.</v>
      </c>
      <c r="H91" s="59">
        <v>1945966.62</v>
      </c>
      <c r="I91" s="60">
        <f>'Mar-25'!$H91*0.21</f>
        <v>408652.9902</v>
      </c>
      <c r="J91" s="61"/>
      <c r="K91" s="61"/>
      <c r="L91" s="61">
        <f>SUM('Mar-25'!$H91:$K91)</f>
        <v>2354619.6102</v>
      </c>
      <c r="M91" s="53"/>
    </row>
    <row r="92" spans="2:13" ht="19.5" customHeight="1" x14ac:dyDescent="0.3">
      <c r="B92" s="54">
        <v>45735</v>
      </c>
      <c r="C92" s="55">
        <v>1</v>
      </c>
      <c r="D92" s="56">
        <v>3</v>
      </c>
      <c r="E92" s="57">
        <v>259</v>
      </c>
      <c r="F92" s="58">
        <v>30638318470</v>
      </c>
      <c r="G92" s="120" t="str">
        <f>IFERROR(IF('Mar-25'!$F92="","-",VLOOKUP('Mar-25'!$F92,Lista_CUIT!$A$1:$D$2241,2,0)),"CUIT NO CARGADO")</f>
        <v>DELTA COMPRESION S R L</v>
      </c>
      <c r="H92" s="59">
        <v>3071685</v>
      </c>
      <c r="I92" s="60">
        <f>'Mar-25'!$H92*0.21</f>
        <v>645053.85</v>
      </c>
      <c r="J92" s="61"/>
      <c r="K92" s="61"/>
      <c r="L92" s="61">
        <f>SUM('Mar-25'!$H92:$K92)</f>
        <v>3716738.85</v>
      </c>
      <c r="M92" s="53"/>
    </row>
    <row r="93" spans="2:13" ht="15.75" customHeight="1" x14ac:dyDescent="0.3">
      <c r="B93" s="54">
        <v>45736</v>
      </c>
      <c r="C93" s="55">
        <v>1</v>
      </c>
      <c r="D93" s="56">
        <v>3</v>
      </c>
      <c r="E93" s="57">
        <v>260</v>
      </c>
      <c r="F93" s="58">
        <v>30638318470</v>
      </c>
      <c r="G93" s="120" t="str">
        <f>IFERROR(IF('Mar-25'!$F93="","-",VLOOKUP('Mar-25'!$F93,Lista_CUIT!$A$1:$D$2241,2,0)),"CUIT NO CARGADO")</f>
        <v>DELTA COMPRESION S R L</v>
      </c>
      <c r="H93" s="59">
        <v>46140325</v>
      </c>
      <c r="I93" s="60"/>
      <c r="J93" s="61">
        <f>4446.75*1089.5</f>
        <v>4844734.125</v>
      </c>
      <c r="K93" s="61"/>
      <c r="L93" s="61">
        <f>SUM('Mar-25'!$H93:$K93)</f>
        <v>50985059.125</v>
      </c>
      <c r="M93" s="53"/>
    </row>
    <row r="94" spans="2:13" ht="15.75" customHeight="1" x14ac:dyDescent="0.3">
      <c r="B94" s="54">
        <v>45747</v>
      </c>
      <c r="C94" s="55">
        <v>3</v>
      </c>
      <c r="D94" s="56">
        <v>3</v>
      </c>
      <c r="E94" s="57">
        <v>26</v>
      </c>
      <c r="F94" s="58">
        <v>30638318470</v>
      </c>
      <c r="G94" s="120" t="str">
        <f>IFERROR(IF('Mar-25'!$F94="","-",VLOOKUP('Mar-25'!$F94,Lista_CUIT!$A$1:$D$2241,2,0)),"CUIT NO CARGADO")</f>
        <v>DELTA COMPRESION S R L</v>
      </c>
      <c r="H94" s="59">
        <v>-46140325</v>
      </c>
      <c r="I94" s="60"/>
      <c r="J94" s="61">
        <v>-4844734.13</v>
      </c>
      <c r="K94" s="61"/>
      <c r="L94" s="61">
        <f>SUM('Mar-25'!$H94:$K94)</f>
        <v>-50985059.130000003</v>
      </c>
      <c r="M94" s="53"/>
    </row>
    <row r="95" spans="2:13" ht="15.75" customHeight="1" x14ac:dyDescent="0.3">
      <c r="B95" s="54">
        <v>45747</v>
      </c>
      <c r="C95" s="55">
        <v>3</v>
      </c>
      <c r="D95" s="56">
        <v>3</v>
      </c>
      <c r="E95" s="57">
        <v>27</v>
      </c>
      <c r="F95" s="58">
        <v>30638318470</v>
      </c>
      <c r="G95" s="120" t="str">
        <f>IFERROR(IF('Mar-25'!$F95="","-",VLOOKUP('Mar-25'!$F95,Lista_CUIT!$A$1:$D$2241,2,0)),"CUIT NO CARGADO")</f>
        <v>DELTA COMPRESION S R L</v>
      </c>
      <c r="H95" s="59">
        <v>-3071685</v>
      </c>
      <c r="I95" s="60">
        <f>'Mar-25'!$H95*0.21</f>
        <v>-645053.85</v>
      </c>
      <c r="J95" s="61"/>
      <c r="K95" s="61"/>
      <c r="L95" s="61">
        <f>SUM('Mar-25'!$H95:$K95)</f>
        <v>-3716738.85</v>
      </c>
      <c r="M95" s="53"/>
    </row>
    <row r="96" spans="2:13" ht="15.75" customHeight="1" x14ac:dyDescent="0.3">
      <c r="B96" s="68" t="s">
        <v>1343</v>
      </c>
      <c r="C96" s="69"/>
      <c r="D96" s="69"/>
      <c r="E96" s="69"/>
      <c r="F96" s="69"/>
      <c r="G96" s="69"/>
      <c r="H96" s="70">
        <f>SUBTOTAL(109,'Mar-25'!$H$85:$H$95)</f>
        <v>111510139.08750001</v>
      </c>
      <c r="I96" s="71">
        <f>SUBTOTAL(109,'Mar-25'!$I$85:$I$95)</f>
        <v>3539246.4565499993</v>
      </c>
      <c r="J96" s="61">
        <f>SUBTOTAL(109,'Mar-25'!$J$85:$J$95)</f>
        <v>9938941.3709124997</v>
      </c>
      <c r="K96" s="61">
        <f>SUBTOTAL(109,'Mar-25'!$K$85:$K$95)</f>
        <v>0</v>
      </c>
      <c r="L96" s="61">
        <f>SUBTOTAL(109,'Mar-25'!$L$85:$L$95)</f>
        <v>124988326.9149625</v>
      </c>
      <c r="M96" s="72">
        <f>SUBTOTAL(103,'Mar-25'!$M$85:$M$95)</f>
        <v>0</v>
      </c>
    </row>
    <row r="97" spans="2:13" ht="15.75" customHeight="1" x14ac:dyDescent="0.3"/>
    <row r="98" spans="2:13" ht="15.75" customHeight="1" x14ac:dyDescent="0.3"/>
    <row r="99" spans="2:13" ht="15.75" customHeight="1" x14ac:dyDescent="0.3">
      <c r="B99" s="485" t="s">
        <v>1443</v>
      </c>
      <c r="C99" s="486"/>
    </row>
    <row r="100" spans="2:13" ht="15.75" customHeight="1" x14ac:dyDescent="0.3">
      <c r="B100" s="45" t="s">
        <v>1322</v>
      </c>
      <c r="C100" s="46" t="s">
        <v>1323</v>
      </c>
      <c r="D100" s="46" t="s">
        <v>1366</v>
      </c>
      <c r="E100" s="46" t="s">
        <v>1367</v>
      </c>
      <c r="F100" s="46" t="s">
        <v>0</v>
      </c>
      <c r="G100" s="46" t="s">
        <v>1</v>
      </c>
      <c r="H100" s="46" t="s">
        <v>1368</v>
      </c>
      <c r="I100" s="46" t="s">
        <v>1348</v>
      </c>
      <c r="J100" s="46" t="s">
        <v>1329</v>
      </c>
      <c r="K100" s="46" t="s">
        <v>1369</v>
      </c>
      <c r="L100" s="46" t="s">
        <v>1334</v>
      </c>
      <c r="M100" s="47" t="s">
        <v>1335</v>
      </c>
    </row>
    <row r="101" spans="2:13" ht="15.75" customHeight="1" x14ac:dyDescent="0.3">
      <c r="B101" s="12"/>
      <c r="C101" s="13"/>
      <c r="D101" s="14"/>
      <c r="E101" s="15"/>
      <c r="F101" s="16"/>
      <c r="G101" s="73" t="str">
        <f>IFERROR(IF('Mar-25'!$F101="","-",VLOOKUP('Mar-25'!$F101,Lista_CUIT!$A$1:$D$2241,2,0)),"CUIT NO CARGADO")</f>
        <v>-</v>
      </c>
      <c r="H101" s="74"/>
      <c r="I101" s="74"/>
      <c r="J101" s="74"/>
      <c r="K101" s="74"/>
      <c r="L101" s="74">
        <f>SUM('Mar-25'!$H101:$K101)</f>
        <v>0</v>
      </c>
      <c r="M101" s="52"/>
    </row>
    <row r="102" spans="2:13" ht="18.75" customHeight="1" x14ac:dyDescent="0.3">
      <c r="B102" s="12"/>
      <c r="C102" s="13"/>
      <c r="D102" s="14"/>
      <c r="E102" s="15"/>
      <c r="F102" s="16"/>
      <c r="G102" s="73"/>
      <c r="H102" s="74"/>
      <c r="I102" s="74"/>
      <c r="J102" s="74"/>
      <c r="K102" s="74"/>
      <c r="L102" s="74">
        <f>SUM('Mar-25'!$H102:$K102)</f>
        <v>0</v>
      </c>
      <c r="M102" s="52"/>
    </row>
    <row r="103" spans="2:13" ht="28.5" customHeight="1" x14ac:dyDescent="0.3">
      <c r="B103" s="12"/>
      <c r="C103" s="13"/>
      <c r="D103" s="14"/>
      <c r="E103" s="15"/>
      <c r="F103" s="16"/>
      <c r="G103" s="73"/>
      <c r="H103" s="74"/>
      <c r="I103" s="74"/>
      <c r="J103" s="74"/>
      <c r="K103" s="74"/>
      <c r="L103" s="74">
        <f>SUM('Mar-25'!$H103:$K103)</f>
        <v>0</v>
      </c>
      <c r="M103" s="52"/>
    </row>
    <row r="104" spans="2:13" ht="15.75" customHeight="1" x14ac:dyDescent="0.3">
      <c r="B104" s="12"/>
      <c r="C104" s="13"/>
      <c r="D104" s="14"/>
      <c r="E104" s="15"/>
      <c r="F104" s="16"/>
      <c r="G104" s="73"/>
      <c r="H104" s="74"/>
      <c r="I104" s="74"/>
      <c r="J104" s="74"/>
      <c r="K104" s="74"/>
      <c r="L104" s="74">
        <f>SUM('Mar-25'!$H104:$K104)</f>
        <v>0</v>
      </c>
      <c r="M104" s="52"/>
    </row>
    <row r="105" spans="2:13" ht="15.75" customHeight="1" x14ac:dyDescent="0.3">
      <c r="B105" s="12"/>
      <c r="C105" s="13"/>
      <c r="D105" s="14"/>
      <c r="E105" s="15"/>
      <c r="F105" s="16"/>
      <c r="G105" s="73"/>
      <c r="H105" s="74"/>
      <c r="I105" s="74"/>
      <c r="J105" s="74"/>
      <c r="K105" s="74"/>
      <c r="L105" s="74">
        <f>SUM('Mar-25'!$H105:$K105)</f>
        <v>0</v>
      </c>
      <c r="M105" s="52"/>
    </row>
    <row r="106" spans="2:13" ht="15.75" customHeight="1" x14ac:dyDescent="0.3">
      <c r="B106" s="12"/>
      <c r="C106" s="13"/>
      <c r="D106" s="14"/>
      <c r="E106" s="15"/>
      <c r="F106" s="16"/>
      <c r="G106" s="73"/>
      <c r="H106" s="74"/>
      <c r="I106" s="74"/>
      <c r="J106" s="74"/>
      <c r="K106" s="74"/>
      <c r="L106" s="74">
        <f>SUM('Mar-25'!$H106:$K106)</f>
        <v>0</v>
      </c>
      <c r="M106" s="52"/>
    </row>
    <row r="107" spans="2:13" ht="15.75" customHeight="1" x14ac:dyDescent="0.3">
      <c r="B107" s="68" t="s">
        <v>1343</v>
      </c>
      <c r="C107" s="69"/>
      <c r="D107" s="69"/>
      <c r="E107" s="69"/>
      <c r="F107" s="69"/>
      <c r="G107" s="69"/>
      <c r="H107" s="75">
        <f>SUBTOTAL(109,'Mar-25'!$H$101:$H$106)</f>
        <v>0</v>
      </c>
      <c r="I107" s="75">
        <f>SUBTOTAL(109,'Mar-25'!$I$101:$I$106)</f>
        <v>0</v>
      </c>
      <c r="J107" s="76">
        <f>SUBTOTAL(109,'Mar-25'!$J$101:$J$106)</f>
        <v>0</v>
      </c>
      <c r="K107" s="76">
        <f>SUBTOTAL(109,'Mar-25'!$K$101:$K$106)</f>
        <v>0</v>
      </c>
      <c r="L107" s="76">
        <f>SUBTOTAL(109,'Mar-25'!$L$101:$L$106)</f>
        <v>0</v>
      </c>
      <c r="M107" s="72">
        <f>SUBTOTAL(103,'Mar-25'!$M$101:$M$106)</f>
        <v>0</v>
      </c>
    </row>
    <row r="108" spans="2:13" ht="15.75" customHeight="1" x14ac:dyDescent="0.3"/>
    <row r="109" spans="2:13" ht="15.75" customHeight="1" x14ac:dyDescent="0.3"/>
    <row r="110" spans="2:13" ht="15.75" customHeight="1" x14ac:dyDescent="0.3"/>
    <row r="111" spans="2:13" ht="15.75" customHeight="1" x14ac:dyDescent="0.3"/>
    <row r="112" spans="2:13" ht="15.75" customHeight="1" x14ac:dyDescent="0.3"/>
    <row r="113" spans="3:12" ht="15.75" customHeight="1" x14ac:dyDescent="0.3"/>
    <row r="114" spans="3:12" ht="15.75" customHeight="1" x14ac:dyDescent="0.3"/>
    <row r="115" spans="3:12" ht="15.75" customHeight="1" x14ac:dyDescent="0.3">
      <c r="C115" s="487" t="s">
        <v>1380</v>
      </c>
      <c r="D115" s="488"/>
      <c r="E115" s="488"/>
      <c r="F115" s="488"/>
      <c r="G115" s="489"/>
      <c r="H115" s="88"/>
      <c r="I115" s="88"/>
      <c r="J115" s="88"/>
    </row>
    <row r="116" spans="3:12" ht="15.75" customHeight="1" x14ac:dyDescent="0.3">
      <c r="C116" s="89" t="s">
        <v>1381</v>
      </c>
      <c r="D116" s="90" t="s">
        <v>1382</v>
      </c>
      <c r="E116" s="90" t="s">
        <v>1376</v>
      </c>
      <c r="F116" s="90" t="s">
        <v>0</v>
      </c>
      <c r="G116" s="90" t="s">
        <v>1</v>
      </c>
      <c r="H116" s="91" t="s">
        <v>1383</v>
      </c>
      <c r="I116" s="91" t="s">
        <v>1384</v>
      </c>
      <c r="J116" s="91" t="s">
        <v>1385</v>
      </c>
      <c r="K116" s="91" t="s">
        <v>1386</v>
      </c>
      <c r="L116" s="91" t="s">
        <v>1387</v>
      </c>
    </row>
    <row r="117" spans="3:12" ht="15.75" customHeight="1" x14ac:dyDescent="0.3">
      <c r="C117" s="92"/>
      <c r="D117" s="93"/>
      <c r="E117" s="93"/>
      <c r="F117" s="39"/>
      <c r="G117" s="40" t="str">
        <f>IFERROR(IF('Mar-25'!$F117="","-",VLOOKUP('Mar-25'!$F117,Lista_CUIT!$A$1:$D$2241,2,0)),"CUIT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3">
      <c r="C118" s="92"/>
      <c r="D118" s="93"/>
      <c r="E118" s="93"/>
      <c r="F118" s="39"/>
      <c r="G118" s="40" t="str">
        <f>IFERROR(IF('Mar-25'!$F118="","-",VLOOKUP('Mar-25'!$F118,Lista_CUIT!$A$1:$D$2241,2,0)),"CUIT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3">
      <c r="C119" s="92"/>
      <c r="D119" s="93"/>
      <c r="E119" s="93"/>
      <c r="F119" s="39"/>
      <c r="G119" s="40" t="str">
        <f>IFERROR(IF('Mar-25'!$F119="","-",VLOOKUP('Mar-25'!$F119,Lista_CUIT!$A$1:$D$2241,2,0)),"CUIT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3">
      <c r="C120" s="92"/>
      <c r="D120" s="93"/>
      <c r="E120" s="93"/>
      <c r="F120" s="39"/>
      <c r="G120" s="40" t="str">
        <f>IFERROR(IF('Mar-25'!$F120="","-",VLOOKUP('Mar-25'!$F120,Lista_CUIT!$A$1:$D$2241,2,0)),"CUIT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3">
      <c r="C121" s="3"/>
      <c r="D121" s="93"/>
      <c r="E121" s="93"/>
      <c r="F121" s="3"/>
      <c r="G121" s="40" t="str">
        <f>IFERROR(IF('Mar-25'!$F121="","-",VLOOKUP('Mar-25'!$F121,Lista_CUIT!$A$1:$D$2241,2,0)),"CUIT NO CARGADO")</f>
        <v>-</v>
      </c>
      <c r="H121" s="3"/>
      <c r="I121" s="3"/>
      <c r="J121" s="3"/>
      <c r="K121" s="3"/>
      <c r="L121" s="3"/>
    </row>
    <row r="122" spans="3:12" ht="15.75" customHeight="1" x14ac:dyDescent="0.3">
      <c r="C122" s="145"/>
    </row>
    <row r="123" spans="3:12" ht="15.75" customHeight="1" x14ac:dyDescent="0.3"/>
    <row r="124" spans="3:12" ht="15.75" customHeight="1" x14ac:dyDescent="0.3"/>
    <row r="125" spans="3:12" ht="15.75" customHeight="1" x14ac:dyDescent="0.3"/>
    <row r="126" spans="3:12" ht="15.75" customHeight="1" x14ac:dyDescent="0.3"/>
    <row r="127" spans="3:12" ht="15.75" customHeight="1" x14ac:dyDescent="0.3"/>
    <row r="128" spans="3:1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</sheetData>
  <mergeCells count="20">
    <mergeCell ref="M4:N4"/>
    <mergeCell ref="P4:R4"/>
    <mergeCell ref="D44:L44"/>
    <mergeCell ref="C115:G115"/>
    <mergeCell ref="B3:E3"/>
    <mergeCell ref="B4:E4"/>
    <mergeCell ref="G4:H4"/>
    <mergeCell ref="J4:K4"/>
    <mergeCell ref="D58:K58"/>
    <mergeCell ref="B81:J81"/>
    <mergeCell ref="K81:M81"/>
    <mergeCell ref="B83:C83"/>
    <mergeCell ref="B99:C99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H101:L106" xr:uid="{00000000-0002-0000-0C00-000000000000}">
      <formula1>IF($C101=8,H101&lt;0,H101&gt;=0)</formula1>
    </dataValidation>
    <dataValidation type="custom" allowBlank="1" showErrorMessage="1" sqref="L85" xr:uid="{00000000-0002-0000-0C00-000001000000}">
      <formula1>IF($C9=3,L9&lt;0,L9&gt;=0)</formula1>
    </dataValidation>
    <dataValidation type="decimal" allowBlank="1" showErrorMessage="1" sqref="D9:D38 E60:E75 D85:D95 D101:D106" xr:uid="{00000000-0002-0000-0C00-000002000000}">
      <formula1>1</formula1>
      <formula2>9999</formula2>
    </dataValidation>
    <dataValidation type="date" allowBlank="1" showErrorMessage="1" sqref="B9:B38 B40:B43 D46:D53 D60:D75 B85:B95 B101:B106" xr:uid="{00000000-0002-0000-0C00-000004000000}">
      <formula1>40179</formula1>
      <formula2>TODAY()</formula2>
    </dataValidation>
    <dataValidation type="decimal" allowBlank="1" showErrorMessage="1" sqref="F9:F38 G60:G75 F85:F95 F101:F106" xr:uid="{00000000-0002-0000-0C00-000005000000}">
      <formula1>20000000000</formula1>
      <formula2>33999999999</formula2>
    </dataValidation>
    <dataValidation type="custom" allowBlank="1" showErrorMessage="1" sqref="L86 L91" xr:uid="{00000000-0002-0000-0C00-000006000000}">
      <formula1>IF($C25=3,L25&lt;0,L25&gt;=0)</formula1>
    </dataValidation>
    <dataValidation type="decimal" allowBlank="1" showErrorMessage="1" sqref="C101:C106" xr:uid="{00000000-0002-0000-0C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C00-000008000000}">
      <formula1>IF($C9=3,H9&lt;0,H9&gt;=0)</formula1>
    </dataValidation>
    <dataValidation type="decimal" allowBlank="1" showErrorMessage="1" sqref="E9:E38 F60:F75 E85:E95 E101:E106" xr:uid="{00000000-0002-0000-0C00-000009000000}">
      <formula1>1</formula1>
      <formula2>99999999</formula2>
    </dataValidation>
    <dataValidation type="custom" allowBlank="1" showErrorMessage="1" sqref="L92:L93" xr:uid="{00000000-0002-0000-0C00-00000A000000}">
      <formula1>IF($C39=3,L39&lt;0,L39&gt;=0)</formula1>
    </dataValidation>
    <dataValidation type="decimal" allowBlank="1" showErrorMessage="1" sqref="C85:C95 C40:C43 C9:C38" xr:uid="{00000000-0002-0000-0C00-00000B000000}">
      <formula1>1</formula1>
      <formula2>3</formula2>
    </dataValidation>
    <dataValidation type="custom" allowBlank="1" showErrorMessage="1" sqref="H85:K85 H93:K93 H91:K91 H87:K87 I86 I88:I90" xr:uid="{00000000-0002-0000-0C00-00000C000000}">
      <formula1>IF($C85=3,H85&lt;0,H85&gt;=0)</formula1>
    </dataValidation>
    <dataValidation type="custom" allowBlank="1" showErrorMessage="1" sqref="L87:L90" xr:uid="{00000000-0002-0000-0C00-000003000000}">
      <formula1>IF($C28=3,L28&lt;0,L28&gt;=0)</formula1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CDDC"/>
  </sheetPr>
  <dimension ref="B2:Q1000"/>
  <sheetViews>
    <sheetView showGridLines="0" workbookViewId="0"/>
  </sheetViews>
  <sheetFormatPr baseColWidth="10" defaultColWidth="14.44140625" defaultRowHeight="15" customHeight="1" x14ac:dyDescent="0.3"/>
  <cols>
    <col min="1" max="1" width="3.44140625" customWidth="1"/>
    <col min="2" max="2" width="10.6640625" customWidth="1"/>
    <col min="3" max="3" width="20.33203125" customWidth="1"/>
    <col min="4" max="4" width="12.6640625" customWidth="1"/>
    <col min="5" max="5" width="14.109375" customWidth="1"/>
    <col min="6" max="6" width="3.44140625" customWidth="1"/>
    <col min="7" max="7" width="10.6640625" customWidth="1"/>
    <col min="8" max="8" width="20.33203125" customWidth="1"/>
    <col min="9" max="9" width="12.6640625" customWidth="1"/>
    <col min="10" max="10" width="13.6640625" customWidth="1"/>
    <col min="11" max="11" width="2.109375" customWidth="1"/>
    <col min="12" max="12" width="10.6640625" customWidth="1"/>
    <col min="13" max="13" width="17.33203125" customWidth="1"/>
    <col min="14" max="14" width="12.6640625" customWidth="1"/>
    <col min="15" max="15" width="13.88671875" customWidth="1"/>
    <col min="16" max="16" width="6.6640625" customWidth="1"/>
    <col min="17" max="26" width="10.6640625" customWidth="1"/>
  </cols>
  <sheetData>
    <row r="2" spans="2:17" ht="31.2" x14ac:dyDescent="0.3">
      <c r="B2" s="509" t="s">
        <v>1444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7"/>
    </row>
    <row r="3" spans="2:17" ht="10.5" customHeight="1" x14ac:dyDescent="0.5">
      <c r="B3" s="191"/>
      <c r="C3" s="191"/>
      <c r="D3" s="191"/>
      <c r="E3" s="191"/>
      <c r="F3" s="191"/>
      <c r="G3" s="192"/>
      <c r="H3" s="192"/>
      <c r="I3" s="192"/>
      <c r="J3" s="192"/>
      <c r="K3" s="192"/>
      <c r="L3" s="88"/>
      <c r="M3" s="88"/>
      <c r="N3" s="88"/>
      <c r="O3" s="88"/>
    </row>
    <row r="4" spans="2:17" ht="18" x14ac:dyDescent="0.3">
      <c r="B4" s="510">
        <f>'Abr-24'!N1</f>
        <v>45017</v>
      </c>
      <c r="C4" s="511"/>
      <c r="D4" s="511"/>
      <c r="E4" s="512"/>
      <c r="F4" s="88"/>
      <c r="G4" s="510">
        <f>EDATE($B$4,1)</f>
        <v>45047</v>
      </c>
      <c r="H4" s="511"/>
      <c r="I4" s="511"/>
      <c r="J4" s="512"/>
      <c r="K4" s="88"/>
      <c r="L4" s="510">
        <f>EDATE($G$4,1)</f>
        <v>45078</v>
      </c>
      <c r="M4" s="511"/>
      <c r="N4" s="511"/>
      <c r="O4" s="512"/>
    </row>
    <row r="5" spans="2:17" ht="14.4" x14ac:dyDescent="0.3">
      <c r="B5" s="193">
        <v>121.1</v>
      </c>
      <c r="C5" s="194" t="s">
        <v>10</v>
      </c>
      <c r="D5" s="195"/>
      <c r="E5" s="196"/>
      <c r="F5" s="88"/>
      <c r="G5" s="197">
        <f>IF($B$5="","",$B$5)</f>
        <v>121.1</v>
      </c>
      <c r="H5" s="198" t="str">
        <f>IF($C$5="","",$C$5)</f>
        <v>MERCADERIA</v>
      </c>
      <c r="I5" s="195"/>
      <c r="J5" s="196"/>
      <c r="K5" s="88"/>
      <c r="L5" s="197">
        <f>IF($B$5="","",$B$5)</f>
        <v>121.1</v>
      </c>
      <c r="M5" s="198" t="str">
        <f>IF($C$5="","",$C$5)</f>
        <v>MERCADERIA</v>
      </c>
      <c r="N5" s="195"/>
      <c r="O5" s="196"/>
    </row>
    <row r="6" spans="2:17" ht="14.4" x14ac:dyDescent="0.3">
      <c r="B6" s="197">
        <v>500.5</v>
      </c>
      <c r="C6" s="198" t="s">
        <v>1445</v>
      </c>
      <c r="D6" s="199"/>
      <c r="E6" s="200"/>
      <c r="F6" s="88"/>
      <c r="G6" s="197">
        <f>IF($B$6="","",$B$6)</f>
        <v>500.5</v>
      </c>
      <c r="H6" s="198" t="str">
        <f>IF($C$6="","",$C$6)</f>
        <v xml:space="preserve">GTOS COMERCIALIZACION </v>
      </c>
      <c r="I6" s="199"/>
      <c r="J6" s="200"/>
      <c r="K6" s="88"/>
      <c r="L6" s="197">
        <f>IF($B$6="","",$B$6)</f>
        <v>500.5</v>
      </c>
      <c r="M6" s="198" t="str">
        <f>IF($C$6="","",$C$6)</f>
        <v xml:space="preserve">GTOS COMERCIALIZACION </v>
      </c>
      <c r="N6" s="199"/>
      <c r="O6" s="200"/>
    </row>
    <row r="7" spans="2:17" ht="14.4" x14ac:dyDescent="0.3">
      <c r="B7" s="197"/>
      <c r="C7" s="198" t="s">
        <v>1446</v>
      </c>
      <c r="D7" s="199"/>
      <c r="E7" s="200"/>
      <c r="F7" s="88"/>
      <c r="G7" s="197" t="str">
        <f>IF($B$7="","",$B$7)</f>
        <v/>
      </c>
      <c r="H7" s="198" t="str">
        <f>IF($C$7="","",$C$7)</f>
        <v>GTOS ADMINISTRATIVOS</v>
      </c>
      <c r="I7" s="199"/>
      <c r="J7" s="200"/>
      <c r="K7" s="88"/>
      <c r="L7" s="197" t="str">
        <f>IF($B$7="","",$B$7)</f>
        <v/>
      </c>
      <c r="M7" s="198" t="str">
        <f>IF($C$7="","",$C$7)</f>
        <v>GTOS ADMINISTRATIVOS</v>
      </c>
      <c r="N7" s="199"/>
      <c r="O7" s="200"/>
    </row>
    <row r="8" spans="2:17" ht="14.4" x14ac:dyDescent="0.3">
      <c r="B8" s="197">
        <v>500.15</v>
      </c>
      <c r="C8" s="198" t="s">
        <v>1447</v>
      </c>
      <c r="D8" s="199"/>
      <c r="E8" s="200"/>
      <c r="F8" s="88"/>
      <c r="G8" s="197">
        <f>IF($B$8="","",$B$8)</f>
        <v>500.15</v>
      </c>
      <c r="H8" s="198" t="str">
        <f>IF($C$8="","",$C$8)</f>
        <v>SERVICIOS GAS, LUZ, ETC</v>
      </c>
      <c r="I8" s="199"/>
      <c r="J8" s="200"/>
      <c r="K8" s="88"/>
      <c r="L8" s="197">
        <f>IF($B$8="","",$B$8)</f>
        <v>500.15</v>
      </c>
      <c r="M8" s="198" t="str">
        <f>IF($C$8="","",$C$8)</f>
        <v>SERVICIOS GAS, LUZ, ETC</v>
      </c>
      <c r="N8" s="199"/>
      <c r="O8" s="200"/>
    </row>
    <row r="9" spans="2:17" ht="14.4" x14ac:dyDescent="0.3">
      <c r="B9" s="197">
        <v>500.3</v>
      </c>
      <c r="C9" s="198" t="s">
        <v>920</v>
      </c>
      <c r="D9" s="199"/>
      <c r="E9" s="200"/>
      <c r="F9" s="88"/>
      <c r="G9" s="197">
        <f>IF($B$9="","",$B$9)</f>
        <v>500.3</v>
      </c>
      <c r="H9" s="198" t="str">
        <f>IF($C$9="","",$C$9)</f>
        <v>GASTOS VARIOS</v>
      </c>
      <c r="I9" s="199"/>
      <c r="J9" s="200"/>
      <c r="K9" s="88"/>
      <c r="L9" s="197">
        <f>IF($B$9="","",$B$9)</f>
        <v>500.3</v>
      </c>
      <c r="M9" s="198" t="str">
        <f>IF($C$9="","",$C$9)</f>
        <v>GASTOS VARIOS</v>
      </c>
      <c r="N9" s="199"/>
      <c r="O9" s="200"/>
    </row>
    <row r="10" spans="2:17" ht="14.4" x14ac:dyDescent="0.3">
      <c r="B10" s="197">
        <v>500.23</v>
      </c>
      <c r="C10" s="198" t="s">
        <v>97</v>
      </c>
      <c r="D10" s="199"/>
      <c r="E10" s="200"/>
      <c r="F10" s="88"/>
      <c r="G10" s="197">
        <f>IF($B$10="","",$B$10)</f>
        <v>500.23</v>
      </c>
      <c r="H10" s="198" t="str">
        <f>IF($C$10="","",$C$10)</f>
        <v>COMBUSTIBLE</v>
      </c>
      <c r="I10" s="199"/>
      <c r="J10" s="200"/>
      <c r="K10" s="88"/>
      <c r="L10" s="197">
        <f>IF($B$10="","",$B$10)</f>
        <v>500.23</v>
      </c>
      <c r="M10" s="198" t="str">
        <f>IF($C$10="","",$C$10)</f>
        <v>COMBUSTIBLE</v>
      </c>
      <c r="N10" s="199"/>
      <c r="O10" s="200"/>
    </row>
    <row r="11" spans="2:17" ht="14.4" x14ac:dyDescent="0.3">
      <c r="B11" s="197">
        <v>500.45</v>
      </c>
      <c r="C11" s="198" t="s">
        <v>1448</v>
      </c>
      <c r="D11" s="199"/>
      <c r="E11" s="200"/>
      <c r="F11" s="88"/>
      <c r="G11" s="197">
        <f>IF($B$11="","",$B$11)</f>
        <v>500.45</v>
      </c>
      <c r="H11" s="198" t="str">
        <f>IF($C$11="","",$C$11)</f>
        <v xml:space="preserve">GTOS MANTENIMIENTO </v>
      </c>
      <c r="I11" s="199"/>
      <c r="J11" s="200"/>
      <c r="K11" s="88"/>
      <c r="L11" s="197">
        <f>IF($B$11="","",$B$11)</f>
        <v>500.45</v>
      </c>
      <c r="M11" s="198" t="str">
        <f>IF($C$11="","",$C$11)</f>
        <v xml:space="preserve">GTOS MANTENIMIENTO </v>
      </c>
      <c r="N11" s="199"/>
      <c r="O11" s="200"/>
    </row>
    <row r="12" spans="2:17" ht="14.4" x14ac:dyDescent="0.3">
      <c r="B12" s="197">
        <v>500.31</v>
      </c>
      <c r="C12" s="198" t="s">
        <v>130</v>
      </c>
      <c r="D12" s="199"/>
      <c r="E12" s="200"/>
      <c r="F12" s="88"/>
      <c r="G12" s="197">
        <f>IF($B$12="","",$B$12)</f>
        <v>500.31</v>
      </c>
      <c r="H12" s="198" t="str">
        <f>IF($C$12="","",$C$12)</f>
        <v>LIBRERÍA</v>
      </c>
      <c r="I12" s="199"/>
      <c r="J12" s="200"/>
      <c r="K12" s="88"/>
      <c r="L12" s="197">
        <f>IF($B$12="","",$B$12)</f>
        <v>500.31</v>
      </c>
      <c r="M12" s="198" t="str">
        <f>IF($C$12="","",$C$12)</f>
        <v>LIBRERÍA</v>
      </c>
      <c r="N12" s="199"/>
      <c r="O12" s="200"/>
    </row>
    <row r="13" spans="2:17" ht="14.4" x14ac:dyDescent="0.3">
      <c r="B13" s="197">
        <v>500.21</v>
      </c>
      <c r="C13" s="198" t="s">
        <v>1449</v>
      </c>
      <c r="D13" s="199"/>
      <c r="E13" s="200"/>
      <c r="F13" s="88"/>
      <c r="G13" s="197">
        <f>IF($B$13="","",$B$13)</f>
        <v>500.21</v>
      </c>
      <c r="H13" s="198" t="str">
        <f>IF($C$13="","",$C$13)</f>
        <v>GTOS CATERING</v>
      </c>
      <c r="I13" s="199"/>
      <c r="J13" s="200"/>
      <c r="K13" s="88"/>
      <c r="L13" s="197">
        <f>IF($B$13="","",$B$13)</f>
        <v>500.21</v>
      </c>
      <c r="M13" s="198" t="str">
        <f>IF($C$13="","",$C$13)</f>
        <v>GTOS CATERING</v>
      </c>
      <c r="N13" s="199"/>
      <c r="O13" s="200"/>
    </row>
    <row r="14" spans="2:17" ht="14.4" x14ac:dyDescent="0.3">
      <c r="B14" s="197">
        <v>540.1</v>
      </c>
      <c r="C14" s="198" t="s">
        <v>1450</v>
      </c>
      <c r="D14" s="199"/>
      <c r="E14" s="200"/>
      <c r="F14" s="88"/>
      <c r="G14" s="197">
        <f>IF($B$14="","",$B$14)</f>
        <v>540.1</v>
      </c>
      <c r="H14" s="198" t="str">
        <f>IF($C$14="","",$C$14)</f>
        <v>HONORARIOS CONTABLES</v>
      </c>
      <c r="I14" s="199"/>
      <c r="J14" s="200"/>
      <c r="K14" s="88"/>
      <c r="L14" s="197">
        <f>IF($B$14="","",$B$14)</f>
        <v>540.1</v>
      </c>
      <c r="M14" s="198" t="str">
        <f>IF($C$14="","",$C$14)</f>
        <v>HONORARIOS CONTABLES</v>
      </c>
      <c r="N14" s="199"/>
      <c r="O14" s="200"/>
    </row>
    <row r="15" spans="2:17" ht="14.4" x14ac:dyDescent="0.3">
      <c r="B15" s="197">
        <v>540.11</v>
      </c>
      <c r="C15" s="198" t="s">
        <v>1451</v>
      </c>
      <c r="D15" s="199"/>
      <c r="E15" s="200"/>
      <c r="F15" s="88"/>
      <c r="G15" s="197">
        <f>IF($B$15="","",$B$15)</f>
        <v>540.11</v>
      </c>
      <c r="H15" s="198" t="str">
        <f>IF($C$15="","",$C$15)</f>
        <v>HONORARIOS JURIDICOS</v>
      </c>
      <c r="I15" s="199"/>
      <c r="J15" s="200"/>
      <c r="K15" s="88"/>
      <c r="L15" s="197">
        <f>IF($B$15="","",$B$15)</f>
        <v>540.11</v>
      </c>
      <c r="M15" s="198" t="str">
        <f>IF($C$15="","",$C$15)</f>
        <v>HONORARIOS JURIDICOS</v>
      </c>
      <c r="N15" s="199"/>
      <c r="O15" s="200"/>
    </row>
    <row r="16" spans="2:17" ht="14.4" x14ac:dyDescent="0.3">
      <c r="B16" s="197">
        <v>500.30500000000001</v>
      </c>
      <c r="C16" s="198" t="s">
        <v>1452</v>
      </c>
      <c r="D16" s="199"/>
      <c r="E16" s="200"/>
      <c r="F16" s="88"/>
      <c r="G16" s="197">
        <f>IF($B$16="","",$B$16)</f>
        <v>500.30500000000001</v>
      </c>
      <c r="H16" s="198" t="str">
        <f>IF($C$16="","",$C$16)</f>
        <v>GTOS SEGURIDAD</v>
      </c>
      <c r="I16" s="199"/>
      <c r="J16" s="200"/>
      <c r="K16" s="88"/>
      <c r="L16" s="197">
        <f>IF($B$16="","",$B$16)</f>
        <v>500.30500000000001</v>
      </c>
      <c r="M16" s="198" t="str">
        <f>IF($C$16="","",$C$16)</f>
        <v>GTOS SEGURIDAD</v>
      </c>
      <c r="N16" s="199"/>
      <c r="O16" s="200"/>
      <c r="Q16" s="3" t="s">
        <v>1453</v>
      </c>
    </row>
    <row r="17" spans="2:17" ht="14.4" x14ac:dyDescent="0.3">
      <c r="B17" s="197"/>
      <c r="C17" s="198" t="s">
        <v>1454</v>
      </c>
      <c r="D17" s="199"/>
      <c r="E17" s="200"/>
      <c r="F17" s="88"/>
      <c r="G17" s="197" t="str">
        <f>IF($B$17="","",$B$17)</f>
        <v/>
      </c>
      <c r="H17" s="198" t="str">
        <f>IF($C$17="","",$C$17)</f>
        <v>EQ DE COMPUTACION</v>
      </c>
      <c r="I17" s="199"/>
      <c r="J17" s="200"/>
      <c r="K17" s="88"/>
      <c r="L17" s="197" t="str">
        <f>IF($B$17="","",$B$17)</f>
        <v/>
      </c>
      <c r="M17" s="198" t="str">
        <f>IF($C$17="","",$C$17)</f>
        <v>EQ DE COMPUTACION</v>
      </c>
      <c r="N17" s="199"/>
      <c r="O17" s="200"/>
      <c r="P17" s="201"/>
    </row>
    <row r="18" spans="2:17" ht="14.4" x14ac:dyDescent="0.3">
      <c r="B18" s="197"/>
      <c r="C18" s="198" t="s">
        <v>176</v>
      </c>
      <c r="D18" s="199"/>
      <c r="E18" s="200"/>
      <c r="F18" s="88"/>
      <c r="G18" s="197" t="str">
        <f>IF($B$18="","",$B$18)</f>
        <v/>
      </c>
      <c r="H18" s="198" t="str">
        <f>IF($C$18="","",$C$18)</f>
        <v>ALQUILER</v>
      </c>
      <c r="I18" s="199"/>
      <c r="J18" s="200"/>
      <c r="K18" s="88"/>
      <c r="L18" s="197" t="str">
        <f>IF($B$18="","",$B$18)</f>
        <v/>
      </c>
      <c r="M18" s="198" t="str">
        <f>IF($C$18="","",$C$18)</f>
        <v>ALQUILER</v>
      </c>
      <c r="N18" s="199"/>
      <c r="O18" s="200"/>
      <c r="P18" s="202" t="s">
        <v>1455</v>
      </c>
      <c r="Q18" s="3" t="s">
        <v>1456</v>
      </c>
    </row>
    <row r="19" spans="2:17" ht="14.4" x14ac:dyDescent="0.3">
      <c r="B19" s="197">
        <v>107.1</v>
      </c>
      <c r="C19" s="198" t="s">
        <v>1348</v>
      </c>
      <c r="D19" s="199"/>
      <c r="E19" s="200"/>
      <c r="F19" s="88"/>
      <c r="G19" s="197">
        <f>IF($B$19="","",$B$19)</f>
        <v>107.1</v>
      </c>
      <c r="H19" s="198" t="str">
        <f>IF($C$19="","",$C$19)</f>
        <v>IVA 21%</v>
      </c>
      <c r="I19" s="199"/>
      <c r="J19" s="200"/>
      <c r="K19" s="88"/>
      <c r="L19" s="197">
        <f>IF($B$19="","",$B$19)</f>
        <v>107.1</v>
      </c>
      <c r="M19" s="198" t="str">
        <f>IF($C$19="","",$C$19)</f>
        <v>IVA 21%</v>
      </c>
      <c r="N19" s="199"/>
      <c r="O19" s="200"/>
    </row>
    <row r="20" spans="2:17" ht="14.4" x14ac:dyDescent="0.3">
      <c r="B20" s="197">
        <v>107.101</v>
      </c>
      <c r="C20" s="198" t="s">
        <v>1328</v>
      </c>
      <c r="D20" s="199"/>
      <c r="E20" s="200"/>
      <c r="F20" s="88"/>
      <c r="G20" s="197">
        <f>IF($B$20="","",$B$20)</f>
        <v>107.101</v>
      </c>
      <c r="H20" s="198" t="str">
        <f>IF($C$20="","",$C$20)</f>
        <v>IVA 27%</v>
      </c>
      <c r="I20" s="199"/>
      <c r="J20" s="200"/>
      <c r="K20" s="88"/>
      <c r="L20" s="197">
        <f>IF($B$20="","",$B$20)</f>
        <v>107.101</v>
      </c>
      <c r="M20" s="198" t="str">
        <f>IF($C$20="","",$C$20)</f>
        <v>IVA 27%</v>
      </c>
      <c r="N20" s="199"/>
      <c r="O20" s="200"/>
    </row>
    <row r="21" spans="2:17" ht="15.75" customHeight="1" x14ac:dyDescent="0.3">
      <c r="B21" s="197">
        <v>107.102</v>
      </c>
      <c r="C21" s="198" t="s">
        <v>1329</v>
      </c>
      <c r="D21" s="199"/>
      <c r="E21" s="200"/>
      <c r="F21" s="88"/>
      <c r="G21" s="197">
        <f>IF($B$21="","",$B$21)</f>
        <v>107.102</v>
      </c>
      <c r="H21" s="198" t="str">
        <f>IF($C$21="","",$C$21)</f>
        <v>IVA 10,5%</v>
      </c>
      <c r="I21" s="199"/>
      <c r="J21" s="200"/>
      <c r="K21" s="88"/>
      <c r="L21" s="197">
        <f>IF($B$21="","",$B$21)</f>
        <v>107.102</v>
      </c>
      <c r="M21" s="198" t="str">
        <f>IF($C$21="","",$C$21)</f>
        <v>IVA 10,5%</v>
      </c>
      <c r="N21" s="199"/>
      <c r="O21" s="200"/>
    </row>
    <row r="22" spans="2:17" ht="15.75" customHeight="1" x14ac:dyDescent="0.3">
      <c r="B22" s="197">
        <v>106.521</v>
      </c>
      <c r="C22" s="198" t="s">
        <v>1457</v>
      </c>
      <c r="D22" s="199"/>
      <c r="E22" s="200"/>
      <c r="F22" s="88"/>
      <c r="G22" s="197">
        <f>IF($B$22="","",$B$22)</f>
        <v>106.521</v>
      </c>
      <c r="H22" s="198" t="str">
        <f>IF($C$22="","",$C$22)</f>
        <v>PERC IIBB BS AS</v>
      </c>
      <c r="I22" s="199"/>
      <c r="J22" s="200"/>
      <c r="K22" s="88"/>
      <c r="L22" s="197">
        <f>IF($B$22="","",$B$22)</f>
        <v>106.521</v>
      </c>
      <c r="M22" s="198" t="str">
        <f>IF($C$22="","",$C$22)</f>
        <v>PERC IIBB BS AS</v>
      </c>
      <c r="N22" s="199"/>
      <c r="O22" s="200"/>
    </row>
    <row r="23" spans="2:17" ht="15.75" customHeight="1" x14ac:dyDescent="0.3">
      <c r="B23" s="197">
        <v>106.515</v>
      </c>
      <c r="C23" s="198" t="s">
        <v>1458</v>
      </c>
      <c r="D23" s="199"/>
      <c r="E23" s="200"/>
      <c r="F23" s="88"/>
      <c r="G23" s="197">
        <f>IF($B$23="","",$B$23)</f>
        <v>106.515</v>
      </c>
      <c r="H23" s="198" t="str">
        <f>IF($C$23="","",$C$23)</f>
        <v>PERC IIBB CABA</v>
      </c>
      <c r="I23" s="199"/>
      <c r="J23" s="200"/>
      <c r="K23" s="88"/>
      <c r="L23" s="197">
        <f>IF($B$23="","",$B$23)</f>
        <v>106.515</v>
      </c>
      <c r="M23" s="198" t="str">
        <f>IF($C$23="","",$C$23)</f>
        <v>PERC IIBB CABA</v>
      </c>
      <c r="N23" s="199"/>
      <c r="O23" s="200"/>
    </row>
    <row r="24" spans="2:17" ht="15.75" customHeight="1" x14ac:dyDescent="0.3">
      <c r="B24" s="197">
        <v>106.535</v>
      </c>
      <c r="C24" s="198" t="s">
        <v>1330</v>
      </c>
      <c r="D24" s="203"/>
      <c r="E24" s="204"/>
      <c r="F24" s="88"/>
      <c r="G24" s="197">
        <f>IF($B$24="","",$B$24)</f>
        <v>106.535</v>
      </c>
      <c r="H24" s="198" t="str">
        <f>IF($C$24="","",$C$24)</f>
        <v>PERC. IVA</v>
      </c>
      <c r="I24" s="203"/>
      <c r="J24" s="204"/>
      <c r="K24" s="88"/>
      <c r="L24" s="197">
        <f>IF($B$24="","",$B$24)</f>
        <v>106.535</v>
      </c>
      <c r="M24" s="198" t="str">
        <f>IF($C$24="","",$C$24)</f>
        <v>PERC. IVA</v>
      </c>
      <c r="N24" s="203"/>
      <c r="O24" s="204"/>
    </row>
    <row r="25" spans="2:17" ht="15.75" customHeight="1" x14ac:dyDescent="0.3">
      <c r="B25" s="197"/>
      <c r="C25" s="198"/>
      <c r="D25" s="205"/>
      <c r="E25" s="204"/>
      <c r="F25" s="88"/>
      <c r="G25" s="197" t="str">
        <f>IF($B$25="","",$B$25)</f>
        <v/>
      </c>
      <c r="H25" s="198" t="str">
        <f>IF($C$25="","",$C$25)</f>
        <v/>
      </c>
      <c r="I25" s="205"/>
      <c r="J25" s="204"/>
      <c r="K25" s="88"/>
      <c r="L25" s="197" t="str">
        <f>IF($B$25="","",$B$25)</f>
        <v/>
      </c>
      <c r="M25" s="198" t="str">
        <f>IF($C$25="","",$C$25)</f>
        <v/>
      </c>
      <c r="N25" s="205"/>
      <c r="O25" s="204"/>
    </row>
    <row r="26" spans="2:17" ht="15.75" customHeight="1" x14ac:dyDescent="0.3">
      <c r="B26" s="197"/>
      <c r="C26" s="198"/>
      <c r="D26" s="205"/>
      <c r="E26" s="204"/>
      <c r="F26" s="88"/>
      <c r="G26" s="197" t="str">
        <f>IF($B$26="","",$B$26)</f>
        <v/>
      </c>
      <c r="H26" s="198" t="str">
        <f>IF($C$26="","",$C$26)</f>
        <v/>
      </c>
      <c r="I26" s="205"/>
      <c r="J26" s="204"/>
      <c r="K26" s="88"/>
      <c r="L26" s="197" t="str">
        <f>IF($B$26="","",$B$26)</f>
        <v/>
      </c>
      <c r="M26" s="198" t="str">
        <f>IF($C$26="","",$C$26)</f>
        <v/>
      </c>
      <c r="N26" s="205"/>
      <c r="O26" s="204"/>
    </row>
    <row r="27" spans="2:17" ht="15.75" customHeight="1" x14ac:dyDescent="0.3">
      <c r="B27" s="206">
        <v>200.9</v>
      </c>
      <c r="C27" s="207" t="s">
        <v>1459</v>
      </c>
      <c r="D27" s="204"/>
      <c r="E27" s="204"/>
      <c r="F27" s="88"/>
      <c r="G27" s="197">
        <f>IF($B$27="","",$B$27)</f>
        <v>200.9</v>
      </c>
      <c r="H27" s="198" t="str">
        <f>IF($C$27="","",$C$27)</f>
        <v>PROVEEDORES</v>
      </c>
      <c r="I27" s="204"/>
      <c r="J27" s="204"/>
      <c r="K27" s="88"/>
      <c r="L27" s="197">
        <f>IF($B$27="","",$B$27)</f>
        <v>200.9</v>
      </c>
      <c r="M27" s="198" t="str">
        <f>IF($C$27="","",$C$27)</f>
        <v>PROVEEDORES</v>
      </c>
      <c r="N27" s="204"/>
      <c r="O27" s="204"/>
    </row>
    <row r="28" spans="2:17" ht="15.75" customHeight="1" x14ac:dyDescent="0.3">
      <c r="B28" s="513" t="s">
        <v>1460</v>
      </c>
      <c r="C28" s="514"/>
      <c r="D28" s="514"/>
      <c r="E28" s="208">
        <v>0</v>
      </c>
      <c r="F28" s="88"/>
      <c r="G28" s="513" t="s">
        <v>1461</v>
      </c>
      <c r="H28" s="514"/>
      <c r="I28" s="514"/>
      <c r="J28" s="208">
        <v>0</v>
      </c>
      <c r="K28" s="88"/>
      <c r="L28" s="513" t="s">
        <v>1462</v>
      </c>
      <c r="M28" s="514"/>
      <c r="N28" s="514"/>
      <c r="O28" s="208">
        <v>0</v>
      </c>
    </row>
    <row r="29" spans="2:17" ht="15.75" customHeight="1" x14ac:dyDescent="0.3">
      <c r="B29" s="209"/>
      <c r="C29" s="209"/>
      <c r="D29" s="209"/>
      <c r="E29" s="210"/>
      <c r="F29" s="88"/>
      <c r="G29" s="209"/>
      <c r="H29" s="209"/>
      <c r="I29" s="209"/>
      <c r="J29" s="210"/>
      <c r="K29" s="88"/>
      <c r="L29" s="209"/>
      <c r="M29" s="209"/>
      <c r="N29" s="209"/>
      <c r="O29" s="210"/>
    </row>
    <row r="30" spans="2:17" ht="15.75" customHeight="1" x14ac:dyDescent="0.3">
      <c r="B30" s="510">
        <f>EDATE($L$4,1)</f>
        <v>45108</v>
      </c>
      <c r="C30" s="511"/>
      <c r="D30" s="511"/>
      <c r="E30" s="512"/>
      <c r="F30" s="88"/>
      <c r="G30" s="510">
        <f>EDATE($B$30,1)</f>
        <v>45139</v>
      </c>
      <c r="H30" s="511"/>
      <c r="I30" s="511"/>
      <c r="J30" s="512"/>
      <c r="K30" s="88"/>
      <c r="L30" s="510">
        <f>EDATE($G$30,1)</f>
        <v>45170</v>
      </c>
      <c r="M30" s="511"/>
      <c r="N30" s="511"/>
      <c r="O30" s="512"/>
    </row>
    <row r="31" spans="2:17" ht="15.75" customHeight="1" x14ac:dyDescent="0.3">
      <c r="B31" s="197">
        <f>IF($B$5="","",$B$5)</f>
        <v>121.1</v>
      </c>
      <c r="C31" s="198" t="str">
        <f>IF($C$5="","",$C$5)</f>
        <v>MERCADERIA</v>
      </c>
      <c r="D31" s="195"/>
      <c r="E31" s="196"/>
      <c r="F31" s="88"/>
      <c r="G31" s="197">
        <f>IF($B$5="","",$B$5)</f>
        <v>121.1</v>
      </c>
      <c r="H31" s="198" t="str">
        <f>IF($C$5="","",$C$5)</f>
        <v>MERCADERIA</v>
      </c>
      <c r="I31" s="195"/>
      <c r="J31" s="196"/>
      <c r="K31" s="88"/>
      <c r="L31" s="197">
        <f>IF($B$5="","",$B$5)</f>
        <v>121.1</v>
      </c>
      <c r="M31" s="198" t="str">
        <f>IF($C$5="","",$C$5)</f>
        <v>MERCADERIA</v>
      </c>
      <c r="N31" s="195"/>
      <c r="O31" s="196"/>
    </row>
    <row r="32" spans="2:17" ht="15.75" customHeight="1" x14ac:dyDescent="0.3">
      <c r="B32" s="197">
        <f>IF($B$6="","",$B$6)</f>
        <v>500.5</v>
      </c>
      <c r="C32" s="198" t="str">
        <f>IF($C$6="","",$C$6)</f>
        <v xml:space="preserve">GTOS COMERCIALIZACION </v>
      </c>
      <c r="D32" s="199"/>
      <c r="E32" s="200"/>
      <c r="F32" s="88"/>
      <c r="G32" s="197">
        <f>IF($B$6="","",$B$6)</f>
        <v>500.5</v>
      </c>
      <c r="H32" s="198" t="str">
        <f>IF($C$6="","",$C$6)</f>
        <v xml:space="preserve">GTOS COMERCIALIZACION </v>
      </c>
      <c r="I32" s="199"/>
      <c r="J32" s="200"/>
      <c r="K32" s="88"/>
      <c r="L32" s="197">
        <f>IF($B$6="","",$B$6)</f>
        <v>500.5</v>
      </c>
      <c r="M32" s="198" t="str">
        <f>IF($C$6="","",$C$6)</f>
        <v xml:space="preserve">GTOS COMERCIALIZACION </v>
      </c>
      <c r="N32" s="199"/>
      <c r="O32" s="200"/>
    </row>
    <row r="33" spans="2:15" ht="15.75" customHeight="1" x14ac:dyDescent="0.3">
      <c r="B33" s="197" t="str">
        <f>IF($B$7="","",$B$7)</f>
        <v/>
      </c>
      <c r="C33" s="198" t="str">
        <f>IF($C$7="","",$C$7)</f>
        <v>GTOS ADMINISTRATIVOS</v>
      </c>
      <c r="D33" s="199"/>
      <c r="E33" s="200"/>
      <c r="F33" s="88"/>
      <c r="G33" s="197" t="str">
        <f>IF($B$7="","",$B$7)</f>
        <v/>
      </c>
      <c r="H33" s="198" t="str">
        <f>IF($C$7="","",$C$7)</f>
        <v>GTOS ADMINISTRATIVOS</v>
      </c>
      <c r="I33" s="199"/>
      <c r="J33" s="200"/>
      <c r="K33" s="88"/>
      <c r="L33" s="197" t="str">
        <f>IF($B$7="","",$B$7)</f>
        <v/>
      </c>
      <c r="M33" s="198" t="str">
        <f>IF($C$7="","",$C$7)</f>
        <v>GTOS ADMINISTRATIVOS</v>
      </c>
      <c r="N33" s="199"/>
      <c r="O33" s="200"/>
    </row>
    <row r="34" spans="2:15" ht="15.75" customHeight="1" x14ac:dyDescent="0.3">
      <c r="B34" s="197">
        <f>IF($B$8="","",$B$8)</f>
        <v>500.15</v>
      </c>
      <c r="C34" s="198" t="str">
        <f>IF($C$8="","",$C$8)</f>
        <v>SERVICIOS GAS, LUZ, ETC</v>
      </c>
      <c r="D34" s="199"/>
      <c r="E34" s="200"/>
      <c r="F34" s="88"/>
      <c r="G34" s="197">
        <f>IF($B$8="","",$B$8)</f>
        <v>500.15</v>
      </c>
      <c r="H34" s="198" t="str">
        <f>IF($C$8="","",$C$8)</f>
        <v>SERVICIOS GAS, LUZ, ETC</v>
      </c>
      <c r="I34" s="199"/>
      <c r="J34" s="200"/>
      <c r="K34" s="88"/>
      <c r="L34" s="197">
        <f>IF($B$8="","",$B$8)</f>
        <v>500.15</v>
      </c>
      <c r="M34" s="198" t="str">
        <f>IF($C$8="","",$C$8)</f>
        <v>SERVICIOS GAS, LUZ, ETC</v>
      </c>
      <c r="N34" s="199"/>
      <c r="O34" s="200"/>
    </row>
    <row r="35" spans="2:15" ht="15.75" customHeight="1" x14ac:dyDescent="0.3">
      <c r="B35" s="197">
        <f>IF($B$9="","",$B$9)</f>
        <v>500.3</v>
      </c>
      <c r="C35" s="198" t="str">
        <f>IF($C$9="","",$C$9)</f>
        <v>GASTOS VARIOS</v>
      </c>
      <c r="D35" s="199"/>
      <c r="E35" s="200"/>
      <c r="F35" s="88"/>
      <c r="G35" s="197">
        <f>IF($B$9="","",$B$9)</f>
        <v>500.3</v>
      </c>
      <c r="H35" s="198" t="str">
        <f>IF($C$9="","",$C$9)</f>
        <v>GASTOS VARIOS</v>
      </c>
      <c r="I35" s="199"/>
      <c r="J35" s="200"/>
      <c r="K35" s="88"/>
      <c r="L35" s="197">
        <f>IF($B$9="","",$B$9)</f>
        <v>500.3</v>
      </c>
      <c r="M35" s="198" t="str">
        <f>IF($C$9="","",$C$9)</f>
        <v>GASTOS VARIOS</v>
      </c>
      <c r="N35" s="199"/>
      <c r="O35" s="200"/>
    </row>
    <row r="36" spans="2:15" ht="15.75" customHeight="1" x14ac:dyDescent="0.3">
      <c r="B36" s="197">
        <f>IF($B$10="","",$B$10)</f>
        <v>500.23</v>
      </c>
      <c r="C36" s="198" t="str">
        <f>IF($C$10="","",$C$10)</f>
        <v>COMBUSTIBLE</v>
      </c>
      <c r="D36" s="199"/>
      <c r="E36" s="200"/>
      <c r="F36" s="88"/>
      <c r="G36" s="197">
        <f>IF($B$10="","",$B$10)</f>
        <v>500.23</v>
      </c>
      <c r="H36" s="198" t="str">
        <f>IF($C$10="","",$C$10)</f>
        <v>COMBUSTIBLE</v>
      </c>
      <c r="I36" s="199"/>
      <c r="J36" s="200"/>
      <c r="K36" s="88"/>
      <c r="L36" s="197">
        <f>IF($B$10="","",$B$10)</f>
        <v>500.23</v>
      </c>
      <c r="M36" s="198" t="str">
        <f>IF($C$10="","",$C$10)</f>
        <v>COMBUSTIBLE</v>
      </c>
      <c r="N36" s="199"/>
      <c r="O36" s="200"/>
    </row>
    <row r="37" spans="2:15" ht="15.75" customHeight="1" x14ac:dyDescent="0.3">
      <c r="B37" s="197">
        <f>IF($B$11="","",$B$11)</f>
        <v>500.45</v>
      </c>
      <c r="C37" s="198" t="str">
        <f>IF($C$11="","",$C$11)</f>
        <v xml:space="preserve">GTOS MANTENIMIENTO </v>
      </c>
      <c r="D37" s="199"/>
      <c r="E37" s="200"/>
      <c r="F37" s="88"/>
      <c r="G37" s="197">
        <f>IF($B$11="","",$B$11)</f>
        <v>500.45</v>
      </c>
      <c r="H37" s="198" t="str">
        <f>IF($C$11="","",$C$11)</f>
        <v xml:space="preserve">GTOS MANTENIMIENTO </v>
      </c>
      <c r="I37" s="199"/>
      <c r="J37" s="200"/>
      <c r="K37" s="88"/>
      <c r="L37" s="197">
        <f>IF($B$11="","",$B$11)</f>
        <v>500.45</v>
      </c>
      <c r="M37" s="198" t="str">
        <f>IF($C$11="","",$C$11)</f>
        <v xml:space="preserve">GTOS MANTENIMIENTO </v>
      </c>
      <c r="N37" s="199"/>
      <c r="O37" s="200"/>
    </row>
    <row r="38" spans="2:15" ht="15.75" customHeight="1" x14ac:dyDescent="0.3">
      <c r="B38" s="197">
        <f>IF($B$12="","",$B$12)</f>
        <v>500.31</v>
      </c>
      <c r="C38" s="198" t="str">
        <f>IF($C$12="","",$C$12)</f>
        <v>LIBRERÍA</v>
      </c>
      <c r="D38" s="199"/>
      <c r="E38" s="200"/>
      <c r="F38" s="88"/>
      <c r="G38" s="197">
        <f>IF($B$12="","",$B$12)</f>
        <v>500.31</v>
      </c>
      <c r="H38" s="198" t="str">
        <f>IF($C$12="","",$C$12)</f>
        <v>LIBRERÍA</v>
      </c>
      <c r="I38" s="199"/>
      <c r="J38" s="200"/>
      <c r="K38" s="88"/>
      <c r="L38" s="197">
        <f>IF($B$12="","",$B$12)</f>
        <v>500.31</v>
      </c>
      <c r="M38" s="198" t="str">
        <f>IF($C$12="","",$C$12)</f>
        <v>LIBRERÍA</v>
      </c>
      <c r="N38" s="199"/>
      <c r="O38" s="200"/>
    </row>
    <row r="39" spans="2:15" ht="15.75" customHeight="1" x14ac:dyDescent="0.3">
      <c r="B39" s="197">
        <f>IF($B$13="","",$B$13)</f>
        <v>500.21</v>
      </c>
      <c r="C39" s="198" t="str">
        <f>IF($C$13="","",$C$13)</f>
        <v>GTOS CATERING</v>
      </c>
      <c r="D39" s="199"/>
      <c r="E39" s="200"/>
      <c r="F39" s="88"/>
      <c r="G39" s="197">
        <f>IF($B$13="","",$B$13)</f>
        <v>500.21</v>
      </c>
      <c r="H39" s="198" t="str">
        <f>IF($C$13="","",$C$13)</f>
        <v>GTOS CATERING</v>
      </c>
      <c r="I39" s="199"/>
      <c r="J39" s="200"/>
      <c r="K39" s="88"/>
      <c r="L39" s="197">
        <f>IF($B$13="","",$B$13)</f>
        <v>500.21</v>
      </c>
      <c r="M39" s="198" t="str">
        <f>IF($C$13="","",$C$13)</f>
        <v>GTOS CATERING</v>
      </c>
      <c r="N39" s="199"/>
      <c r="O39" s="200"/>
    </row>
    <row r="40" spans="2:15" ht="15.75" customHeight="1" x14ac:dyDescent="0.3">
      <c r="B40" s="197">
        <f>IF($B$14="","",$B$14)</f>
        <v>540.1</v>
      </c>
      <c r="C40" s="198" t="str">
        <f>IF($C$14="","",$C$14)</f>
        <v>HONORARIOS CONTABLES</v>
      </c>
      <c r="D40" s="199"/>
      <c r="E40" s="200"/>
      <c r="F40" s="88"/>
      <c r="G40" s="197">
        <f>IF($B$14="","",$B$14)</f>
        <v>540.1</v>
      </c>
      <c r="H40" s="198" t="str">
        <f>IF($C$14="","",$C$14)</f>
        <v>HONORARIOS CONTABLES</v>
      </c>
      <c r="I40" s="199"/>
      <c r="J40" s="200"/>
      <c r="K40" s="88"/>
      <c r="L40" s="197">
        <f>IF($B$14="","",$B$14)</f>
        <v>540.1</v>
      </c>
      <c r="M40" s="198" t="str">
        <f>IF($C$14="","",$C$14)</f>
        <v>HONORARIOS CONTABLES</v>
      </c>
      <c r="N40" s="199"/>
      <c r="O40" s="200"/>
    </row>
    <row r="41" spans="2:15" ht="15.75" customHeight="1" x14ac:dyDescent="0.3">
      <c r="B41" s="197">
        <f>IF($B$15="","",$B$15)</f>
        <v>540.11</v>
      </c>
      <c r="C41" s="198" t="str">
        <f>IF($C$15="","",$C$15)</f>
        <v>HONORARIOS JURIDICOS</v>
      </c>
      <c r="D41" s="199"/>
      <c r="E41" s="200"/>
      <c r="F41" s="88"/>
      <c r="G41" s="197">
        <f>IF($B$15="","",$B$15)</f>
        <v>540.11</v>
      </c>
      <c r="H41" s="198" t="str">
        <f>IF($C$15="","",$C$15)</f>
        <v>HONORARIOS JURIDICOS</v>
      </c>
      <c r="I41" s="199"/>
      <c r="J41" s="200"/>
      <c r="K41" s="88"/>
      <c r="L41" s="197">
        <f>IF($B$15="","",$B$15)</f>
        <v>540.11</v>
      </c>
      <c r="M41" s="198" t="str">
        <f>IF($C$15="","",$C$15)</f>
        <v>HONORARIOS JURIDICOS</v>
      </c>
      <c r="N41" s="199"/>
      <c r="O41" s="200"/>
    </row>
    <row r="42" spans="2:15" ht="15.75" customHeight="1" x14ac:dyDescent="0.3">
      <c r="B42" s="197">
        <f>IF($B$16="","",$B$16)</f>
        <v>500.30500000000001</v>
      </c>
      <c r="C42" s="198" t="str">
        <f>IF($C$16="","",$C$16)</f>
        <v>GTOS SEGURIDAD</v>
      </c>
      <c r="D42" s="199"/>
      <c r="E42" s="200"/>
      <c r="F42" s="88"/>
      <c r="G42" s="197">
        <f>IF($B$16="","",$B$16)</f>
        <v>500.30500000000001</v>
      </c>
      <c r="H42" s="198" t="str">
        <f>IF($C$16="","",$C$16)</f>
        <v>GTOS SEGURIDAD</v>
      </c>
      <c r="I42" s="199"/>
      <c r="J42" s="200"/>
      <c r="K42" s="88"/>
      <c r="L42" s="197">
        <f>IF($B$16="","",$B$16)</f>
        <v>500.30500000000001</v>
      </c>
      <c r="M42" s="198" t="str">
        <f>IF($C$16="","",$C$16)</f>
        <v>GTOS SEGURIDAD</v>
      </c>
      <c r="N42" s="199"/>
      <c r="O42" s="200"/>
    </row>
    <row r="43" spans="2:15" ht="15.75" customHeight="1" x14ac:dyDescent="0.3">
      <c r="B43" s="197" t="str">
        <f>IF($B$17="","",$B$17)</f>
        <v/>
      </c>
      <c r="C43" s="198" t="str">
        <f>IF($C$17="","",$C$17)</f>
        <v>EQ DE COMPUTACION</v>
      </c>
      <c r="D43" s="199"/>
      <c r="E43" s="200"/>
      <c r="F43" s="88"/>
      <c r="G43" s="197" t="str">
        <f>IF($B$17="","",$B$17)</f>
        <v/>
      </c>
      <c r="H43" s="198" t="str">
        <f>IF($C$17="","",$C$17)</f>
        <v>EQ DE COMPUTACION</v>
      </c>
      <c r="I43" s="199"/>
      <c r="J43" s="200"/>
      <c r="K43" s="88"/>
      <c r="L43" s="197" t="str">
        <f>IF($B$17="","",$B$17)</f>
        <v/>
      </c>
      <c r="M43" s="198" t="str">
        <f>IF($C$17="","",$C$17)</f>
        <v>EQ DE COMPUTACION</v>
      </c>
      <c r="N43" s="199"/>
      <c r="O43" s="200"/>
    </row>
    <row r="44" spans="2:15" ht="15.75" customHeight="1" x14ac:dyDescent="0.3">
      <c r="B44" s="197" t="str">
        <f>IF($B$18="","",$B$18)</f>
        <v/>
      </c>
      <c r="C44" s="198" t="str">
        <f>IF($C$18="","",$C$18)</f>
        <v>ALQUILER</v>
      </c>
      <c r="D44" s="199"/>
      <c r="E44" s="200"/>
      <c r="F44" s="88"/>
      <c r="G44" s="197" t="str">
        <f>IF($B$18="","",$B$18)</f>
        <v/>
      </c>
      <c r="H44" s="198" t="str">
        <f>IF($C$18="","",$C$18)</f>
        <v>ALQUILER</v>
      </c>
      <c r="I44" s="199"/>
      <c r="J44" s="200"/>
      <c r="K44" s="88"/>
      <c r="L44" s="197" t="str">
        <f>IF($B$18="","",$B$18)</f>
        <v/>
      </c>
      <c r="M44" s="198" t="str">
        <f>IF($C$18="","",$C$18)</f>
        <v>ALQUILER</v>
      </c>
      <c r="N44" s="199"/>
      <c r="O44" s="200"/>
    </row>
    <row r="45" spans="2:15" ht="15.75" customHeight="1" x14ac:dyDescent="0.3">
      <c r="B45" s="197">
        <f>IF($B$19="","",$B$19)</f>
        <v>107.1</v>
      </c>
      <c r="C45" s="198" t="str">
        <f>IF($C$19="","",$C$19)</f>
        <v>IVA 21%</v>
      </c>
      <c r="D45" s="199"/>
      <c r="E45" s="200"/>
      <c r="F45" s="88"/>
      <c r="G45" s="197">
        <f>IF($B$19="","",$B$19)</f>
        <v>107.1</v>
      </c>
      <c r="H45" s="198" t="str">
        <f>IF($C$19="","",$C$19)</f>
        <v>IVA 21%</v>
      </c>
      <c r="I45" s="199"/>
      <c r="J45" s="200"/>
      <c r="K45" s="88"/>
      <c r="L45" s="197">
        <f>IF($B$19="","",$B$19)</f>
        <v>107.1</v>
      </c>
      <c r="M45" s="198" t="str">
        <f>IF($C$19="","",$C$19)</f>
        <v>IVA 21%</v>
      </c>
      <c r="N45" s="199"/>
      <c r="O45" s="200"/>
    </row>
    <row r="46" spans="2:15" ht="15.75" customHeight="1" x14ac:dyDescent="0.3">
      <c r="B46" s="197">
        <f>IF($B$20="","",$B$20)</f>
        <v>107.101</v>
      </c>
      <c r="C46" s="198" t="str">
        <f>IF($C$20="","",$C$20)</f>
        <v>IVA 27%</v>
      </c>
      <c r="D46" s="199"/>
      <c r="E46" s="200"/>
      <c r="F46" s="88"/>
      <c r="G46" s="197">
        <f>IF($B$20="","",$B$20)</f>
        <v>107.101</v>
      </c>
      <c r="H46" s="198" t="str">
        <f>IF($C$20="","",$C$20)</f>
        <v>IVA 27%</v>
      </c>
      <c r="I46" s="199"/>
      <c r="J46" s="200"/>
      <c r="K46" s="88"/>
      <c r="L46" s="197">
        <f>IF($B$20="","",$B$20)</f>
        <v>107.101</v>
      </c>
      <c r="M46" s="198" t="str">
        <f>IF($C$20="","",$C$20)</f>
        <v>IVA 27%</v>
      </c>
      <c r="N46" s="199"/>
      <c r="O46" s="200"/>
    </row>
    <row r="47" spans="2:15" ht="15.75" customHeight="1" x14ac:dyDescent="0.3">
      <c r="B47" s="197">
        <f>IF($B$21="","",$B$21)</f>
        <v>107.102</v>
      </c>
      <c r="C47" s="198" t="str">
        <f>IF($C$21="","",$C$21)</f>
        <v>IVA 10,5%</v>
      </c>
      <c r="D47" s="199"/>
      <c r="E47" s="200"/>
      <c r="F47" s="88"/>
      <c r="G47" s="197">
        <f>IF($B$21="","",$B$21)</f>
        <v>107.102</v>
      </c>
      <c r="H47" s="198" t="str">
        <f>IF($C$21="","",$C$21)</f>
        <v>IVA 10,5%</v>
      </c>
      <c r="I47" s="199"/>
      <c r="J47" s="200"/>
      <c r="K47" s="88"/>
      <c r="L47" s="197">
        <f>IF($B$21="","",$B$21)</f>
        <v>107.102</v>
      </c>
      <c r="M47" s="198" t="str">
        <f>IF($C$21="","",$C$21)</f>
        <v>IVA 10,5%</v>
      </c>
      <c r="N47" s="199"/>
      <c r="O47" s="200"/>
    </row>
    <row r="48" spans="2:15" ht="15.75" customHeight="1" x14ac:dyDescent="0.3">
      <c r="B48" s="197">
        <f>IF($B$22="","",$B$22)</f>
        <v>106.521</v>
      </c>
      <c r="C48" s="198" t="str">
        <f>IF($C$22="","",$C$22)</f>
        <v>PERC IIBB BS AS</v>
      </c>
      <c r="D48" s="199"/>
      <c r="E48" s="200"/>
      <c r="F48" s="88"/>
      <c r="G48" s="197">
        <f>IF($B$22="","",$B$22)</f>
        <v>106.521</v>
      </c>
      <c r="H48" s="198" t="str">
        <f>IF($C$22="","",$C$22)</f>
        <v>PERC IIBB BS AS</v>
      </c>
      <c r="I48" s="199"/>
      <c r="J48" s="200"/>
      <c r="K48" s="88"/>
      <c r="L48" s="197">
        <f>IF($B$22="","",$B$22)</f>
        <v>106.521</v>
      </c>
      <c r="M48" s="198" t="str">
        <f>IF($C$22="","",$C$22)</f>
        <v>PERC IIBB BS AS</v>
      </c>
      <c r="N48" s="199"/>
      <c r="O48" s="200"/>
    </row>
    <row r="49" spans="2:15" ht="15.75" customHeight="1" x14ac:dyDescent="0.3">
      <c r="B49" s="197">
        <f>IF($B$23="","",$B$23)</f>
        <v>106.515</v>
      </c>
      <c r="C49" s="198" t="str">
        <f>IF($C$23="","",$C$23)</f>
        <v>PERC IIBB CABA</v>
      </c>
      <c r="D49" s="199"/>
      <c r="E49" s="200"/>
      <c r="F49" s="88"/>
      <c r="G49" s="197">
        <f>IF($B$23="","",$B$23)</f>
        <v>106.515</v>
      </c>
      <c r="H49" s="198" t="str">
        <f>IF($C$23="","",$C$23)</f>
        <v>PERC IIBB CABA</v>
      </c>
      <c r="I49" s="199"/>
      <c r="J49" s="200"/>
      <c r="K49" s="88"/>
      <c r="L49" s="197">
        <f>IF($B$23="","",$B$23)</f>
        <v>106.515</v>
      </c>
      <c r="M49" s="198" t="str">
        <f>IF($C$23="","",$C$23)</f>
        <v>PERC IIBB CABA</v>
      </c>
      <c r="N49" s="199"/>
      <c r="O49" s="200"/>
    </row>
    <row r="50" spans="2:15" ht="15.75" customHeight="1" x14ac:dyDescent="0.3">
      <c r="B50" s="197">
        <f>IF($B$24="","",$B$24)</f>
        <v>106.535</v>
      </c>
      <c r="C50" s="198" t="str">
        <f>IF($C$24="","",$C$24)</f>
        <v>PERC. IVA</v>
      </c>
      <c r="D50" s="203"/>
      <c r="E50" s="204"/>
      <c r="F50" s="88"/>
      <c r="G50" s="197">
        <f>IF($B$24="","",$B$24)</f>
        <v>106.535</v>
      </c>
      <c r="H50" s="198" t="str">
        <f>IF($C$24="","",$C$24)</f>
        <v>PERC. IVA</v>
      </c>
      <c r="I50" s="203"/>
      <c r="J50" s="204"/>
      <c r="K50" s="88"/>
      <c r="L50" s="197">
        <f>IF($B$24="","",$B$24)</f>
        <v>106.535</v>
      </c>
      <c r="M50" s="198" t="str">
        <f>IF($C$24="","",$C$24)</f>
        <v>PERC. IVA</v>
      </c>
      <c r="N50" s="203"/>
      <c r="O50" s="204"/>
    </row>
    <row r="51" spans="2:15" ht="15.75" customHeight="1" x14ac:dyDescent="0.3">
      <c r="B51" s="197" t="str">
        <f>IF($B$25="","",$B$25)</f>
        <v/>
      </c>
      <c r="C51" s="198" t="str">
        <f>IF($C$25="","",$C$25)</f>
        <v/>
      </c>
      <c r="D51" s="205"/>
      <c r="E51" s="204"/>
      <c r="F51" s="88"/>
      <c r="G51" s="197" t="str">
        <f>IF($B$25="","",$B$25)</f>
        <v/>
      </c>
      <c r="H51" s="198" t="str">
        <f>IF($C$25="","",$C$25)</f>
        <v/>
      </c>
      <c r="I51" s="205"/>
      <c r="J51" s="204"/>
      <c r="K51" s="88"/>
      <c r="L51" s="197" t="str">
        <f>IF($B$25="","",$B$25)</f>
        <v/>
      </c>
      <c r="M51" s="198" t="str">
        <f>IF($C$25="","",$C$25)</f>
        <v/>
      </c>
      <c r="N51" s="205"/>
      <c r="O51" s="204"/>
    </row>
    <row r="52" spans="2:15" ht="15.75" customHeight="1" x14ac:dyDescent="0.3">
      <c r="B52" s="197" t="str">
        <f>IF($B$26="","",$B$26)</f>
        <v/>
      </c>
      <c r="C52" s="198" t="str">
        <f>IF($C$26="","",$C$26)</f>
        <v/>
      </c>
      <c r="D52" s="205"/>
      <c r="E52" s="204"/>
      <c r="F52" s="88"/>
      <c r="G52" s="197" t="str">
        <f>IF($B$26="","",$B$26)</f>
        <v/>
      </c>
      <c r="H52" s="198" t="str">
        <f>IF($C$26="","",$C$26)</f>
        <v/>
      </c>
      <c r="I52" s="205"/>
      <c r="J52" s="204"/>
      <c r="K52" s="88"/>
      <c r="L52" s="197" t="str">
        <f>IF($B$26="","",$B$26)</f>
        <v/>
      </c>
      <c r="M52" s="198" t="str">
        <f>IF($C$26="","",$C$26)</f>
        <v/>
      </c>
      <c r="N52" s="205"/>
      <c r="O52" s="204"/>
    </row>
    <row r="53" spans="2:15" ht="15.75" customHeight="1" x14ac:dyDescent="0.3">
      <c r="B53" s="197">
        <f>IF($B$27="","",$B$27)</f>
        <v>200.9</v>
      </c>
      <c r="C53" s="198" t="str">
        <f>IF($C$27="","",$C$27)</f>
        <v>PROVEEDORES</v>
      </c>
      <c r="D53" s="204"/>
      <c r="E53" s="204"/>
      <c r="F53" s="88"/>
      <c r="G53" s="197">
        <f>IF($B$27="","",$B$27)</f>
        <v>200.9</v>
      </c>
      <c r="H53" s="198" t="str">
        <f>IF($C$27="","",$C$27)</f>
        <v>PROVEEDORES</v>
      </c>
      <c r="I53" s="204"/>
      <c r="J53" s="204"/>
      <c r="K53" s="88"/>
      <c r="L53" s="197">
        <f>IF($B$27="","",$B$27)</f>
        <v>200.9</v>
      </c>
      <c r="M53" s="198" t="str">
        <f>IF($C$27="","",$C$27)</f>
        <v>PROVEEDORES</v>
      </c>
      <c r="N53" s="204"/>
      <c r="O53" s="204"/>
    </row>
    <row r="54" spans="2:15" ht="15.75" customHeight="1" x14ac:dyDescent="0.3">
      <c r="B54" s="513"/>
      <c r="C54" s="514"/>
      <c r="D54" s="514"/>
      <c r="E54" s="208">
        <v>0</v>
      </c>
      <c r="F54" s="88"/>
      <c r="G54" s="513"/>
      <c r="H54" s="514"/>
      <c r="I54" s="514"/>
      <c r="J54" s="208">
        <v>0</v>
      </c>
      <c r="K54" s="88"/>
      <c r="L54" s="513"/>
      <c r="M54" s="514"/>
      <c r="N54" s="514"/>
      <c r="O54" s="208">
        <v>0</v>
      </c>
    </row>
    <row r="55" spans="2:15" ht="15.75" customHeight="1" x14ac:dyDescent="0.3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</row>
    <row r="56" spans="2:15" ht="15.75" customHeight="1" x14ac:dyDescent="0.3">
      <c r="B56" s="510">
        <f>EDATE($L$30,1)</f>
        <v>45200</v>
      </c>
      <c r="C56" s="511"/>
      <c r="D56" s="511"/>
      <c r="E56" s="512"/>
      <c r="F56" s="88"/>
      <c r="G56" s="510">
        <f>EDATE($B$56,1)</f>
        <v>45231</v>
      </c>
      <c r="H56" s="511"/>
      <c r="I56" s="511"/>
      <c r="J56" s="512"/>
      <c r="K56" s="88"/>
      <c r="L56" s="510">
        <f>EDATE($G$56,1)</f>
        <v>45261</v>
      </c>
      <c r="M56" s="511"/>
      <c r="N56" s="511"/>
      <c r="O56" s="512"/>
    </row>
    <row r="57" spans="2:15" ht="15.75" customHeight="1" x14ac:dyDescent="0.3">
      <c r="B57" s="197">
        <f>IF($B$5="","",$B$5)</f>
        <v>121.1</v>
      </c>
      <c r="C57" s="198" t="str">
        <f>IF($C$5="","",$C$5)</f>
        <v>MERCADERIA</v>
      </c>
      <c r="D57" s="195"/>
      <c r="E57" s="196"/>
      <c r="F57" s="88"/>
      <c r="G57" s="197">
        <f>IF($B$5="","",$B$5)</f>
        <v>121.1</v>
      </c>
      <c r="H57" s="198" t="str">
        <f>IF($C$5="","",$C$5)</f>
        <v>MERCADERIA</v>
      </c>
      <c r="I57" s="195"/>
      <c r="J57" s="196"/>
      <c r="K57" s="88"/>
      <c r="L57" s="197">
        <f>IF($B$5="","",$B$5)</f>
        <v>121.1</v>
      </c>
      <c r="M57" s="198" t="str">
        <f>IF($C$5="","",$C$5)</f>
        <v>MERCADERIA</v>
      </c>
      <c r="N57" s="195"/>
      <c r="O57" s="196"/>
    </row>
    <row r="58" spans="2:15" ht="15.75" customHeight="1" x14ac:dyDescent="0.3">
      <c r="B58" s="197">
        <f>IF($B$6="","",$B$6)</f>
        <v>500.5</v>
      </c>
      <c r="C58" s="198" t="str">
        <f>IF($C$6="","",$C$6)</f>
        <v xml:space="preserve">GTOS COMERCIALIZACION </v>
      </c>
      <c r="D58" s="199"/>
      <c r="E58" s="200"/>
      <c r="F58" s="88"/>
      <c r="G58" s="197">
        <f>IF($B$6="","",$B$6)</f>
        <v>500.5</v>
      </c>
      <c r="H58" s="198" t="str">
        <f>IF($C$6="","",$C$6)</f>
        <v xml:space="preserve">GTOS COMERCIALIZACION </v>
      </c>
      <c r="I58" s="199"/>
      <c r="J58" s="200"/>
      <c r="K58" s="88"/>
      <c r="L58" s="197">
        <f>IF($B$6="","",$B$6)</f>
        <v>500.5</v>
      </c>
      <c r="M58" s="198" t="str">
        <f>IF($C$6="","",$C$6)</f>
        <v xml:space="preserve">GTOS COMERCIALIZACION </v>
      </c>
      <c r="N58" s="199"/>
      <c r="O58" s="200"/>
    </row>
    <row r="59" spans="2:15" ht="15.75" customHeight="1" x14ac:dyDescent="0.3">
      <c r="B59" s="197" t="str">
        <f>IF($B$7="","",$B$7)</f>
        <v/>
      </c>
      <c r="C59" s="198" t="str">
        <f>IF($C$7="","",$C$7)</f>
        <v>GTOS ADMINISTRATIVOS</v>
      </c>
      <c r="D59" s="199"/>
      <c r="E59" s="200"/>
      <c r="F59" s="88"/>
      <c r="G59" s="197" t="str">
        <f>IF($B$7="","",$B$7)</f>
        <v/>
      </c>
      <c r="H59" s="198" t="str">
        <f>IF($C$7="","",$C$7)</f>
        <v>GTOS ADMINISTRATIVOS</v>
      </c>
      <c r="I59" s="199"/>
      <c r="J59" s="200"/>
      <c r="K59" s="88"/>
      <c r="L59" s="197" t="str">
        <f>IF($B$7="","",$B$7)</f>
        <v/>
      </c>
      <c r="M59" s="198" t="str">
        <f>IF($C$7="","",$C$7)</f>
        <v>GTOS ADMINISTRATIVOS</v>
      </c>
      <c r="N59" s="199"/>
      <c r="O59" s="200"/>
    </row>
    <row r="60" spans="2:15" ht="15.75" customHeight="1" x14ac:dyDescent="0.3">
      <c r="B60" s="197">
        <f>IF($B$8="","",$B$8)</f>
        <v>500.15</v>
      </c>
      <c r="C60" s="198" t="str">
        <f>IF($C$8="","",$C$8)</f>
        <v>SERVICIOS GAS, LUZ, ETC</v>
      </c>
      <c r="D60" s="199"/>
      <c r="E60" s="200"/>
      <c r="F60" s="88"/>
      <c r="G60" s="197">
        <f>IF($B$8="","",$B$8)</f>
        <v>500.15</v>
      </c>
      <c r="H60" s="198" t="str">
        <f>IF($C$8="","",$C$8)</f>
        <v>SERVICIOS GAS, LUZ, ETC</v>
      </c>
      <c r="I60" s="199"/>
      <c r="J60" s="200"/>
      <c r="K60" s="88"/>
      <c r="L60" s="197">
        <f>IF($B$8="","",$B$8)</f>
        <v>500.15</v>
      </c>
      <c r="M60" s="198" t="str">
        <f>IF($C$8="","",$C$8)</f>
        <v>SERVICIOS GAS, LUZ, ETC</v>
      </c>
      <c r="N60" s="199"/>
      <c r="O60" s="200"/>
    </row>
    <row r="61" spans="2:15" ht="15.75" customHeight="1" x14ac:dyDescent="0.3">
      <c r="B61" s="197">
        <f>IF($B$9="","",$B$9)</f>
        <v>500.3</v>
      </c>
      <c r="C61" s="198" t="str">
        <f>IF($C$9="","",$C$9)</f>
        <v>GASTOS VARIOS</v>
      </c>
      <c r="D61" s="199"/>
      <c r="E61" s="200"/>
      <c r="F61" s="88"/>
      <c r="G61" s="197">
        <f>IF($B$9="","",$B$9)</f>
        <v>500.3</v>
      </c>
      <c r="H61" s="198" t="str">
        <f>IF($C$9="","",$C$9)</f>
        <v>GASTOS VARIOS</v>
      </c>
      <c r="I61" s="199"/>
      <c r="J61" s="200"/>
      <c r="K61" s="88"/>
      <c r="L61" s="197">
        <f>IF($B$9="","",$B$9)</f>
        <v>500.3</v>
      </c>
      <c r="M61" s="198" t="str">
        <f>IF($C$9="","",$C$9)</f>
        <v>GASTOS VARIOS</v>
      </c>
      <c r="N61" s="199"/>
      <c r="O61" s="200"/>
    </row>
    <row r="62" spans="2:15" ht="15.75" customHeight="1" x14ac:dyDescent="0.3">
      <c r="B62" s="197">
        <f>IF($B$10="","",$B$10)</f>
        <v>500.23</v>
      </c>
      <c r="C62" s="198" t="str">
        <f>IF($C$10="","",$C$10)</f>
        <v>COMBUSTIBLE</v>
      </c>
      <c r="D62" s="199"/>
      <c r="E62" s="200"/>
      <c r="F62" s="88"/>
      <c r="G62" s="197">
        <f>IF($B$10="","",$B$10)</f>
        <v>500.23</v>
      </c>
      <c r="H62" s="198" t="str">
        <f>IF($C$10="","",$C$10)</f>
        <v>COMBUSTIBLE</v>
      </c>
      <c r="I62" s="199"/>
      <c r="J62" s="200"/>
      <c r="K62" s="88"/>
      <c r="L62" s="197">
        <f>IF($B$10="","",$B$10)</f>
        <v>500.23</v>
      </c>
      <c r="M62" s="198" t="str">
        <f>IF($C$10="","",$C$10)</f>
        <v>COMBUSTIBLE</v>
      </c>
      <c r="N62" s="199"/>
      <c r="O62" s="200"/>
    </row>
    <row r="63" spans="2:15" ht="15.75" customHeight="1" x14ac:dyDescent="0.3">
      <c r="B63" s="197">
        <f>IF($B$11="","",$B$11)</f>
        <v>500.45</v>
      </c>
      <c r="C63" s="198" t="str">
        <f>IF($C$11="","",$C$11)</f>
        <v xml:space="preserve">GTOS MANTENIMIENTO </v>
      </c>
      <c r="D63" s="199"/>
      <c r="E63" s="200"/>
      <c r="F63" s="88"/>
      <c r="G63" s="197">
        <f>IF($B$11="","",$B$11)</f>
        <v>500.45</v>
      </c>
      <c r="H63" s="198" t="str">
        <f>IF($C$11="","",$C$11)</f>
        <v xml:space="preserve">GTOS MANTENIMIENTO </v>
      </c>
      <c r="I63" s="199"/>
      <c r="J63" s="200"/>
      <c r="K63" s="88"/>
      <c r="L63" s="197">
        <f>IF($B$11="","",$B$11)</f>
        <v>500.45</v>
      </c>
      <c r="M63" s="198" t="str">
        <f>IF($C$11="","",$C$11)</f>
        <v xml:space="preserve">GTOS MANTENIMIENTO </v>
      </c>
      <c r="N63" s="199"/>
      <c r="O63" s="200"/>
    </row>
    <row r="64" spans="2:15" ht="15.75" customHeight="1" x14ac:dyDescent="0.3">
      <c r="B64" s="197">
        <f>IF($B$12="","",$B$12)</f>
        <v>500.31</v>
      </c>
      <c r="C64" s="198" t="str">
        <f>IF($C$12="","",$C$12)</f>
        <v>LIBRERÍA</v>
      </c>
      <c r="D64" s="199"/>
      <c r="E64" s="200"/>
      <c r="F64" s="88"/>
      <c r="G64" s="197">
        <f>IF($B$12="","",$B$12)</f>
        <v>500.31</v>
      </c>
      <c r="H64" s="198" t="str">
        <f>IF($C$12="","",$C$12)</f>
        <v>LIBRERÍA</v>
      </c>
      <c r="I64" s="199"/>
      <c r="J64" s="200"/>
      <c r="K64" s="88"/>
      <c r="L64" s="197">
        <f>IF($B$12="","",$B$12)</f>
        <v>500.31</v>
      </c>
      <c r="M64" s="198" t="str">
        <f>IF($C$12="","",$C$12)</f>
        <v>LIBRERÍA</v>
      </c>
      <c r="N64" s="199"/>
      <c r="O64" s="200"/>
    </row>
    <row r="65" spans="2:15" ht="15.75" customHeight="1" x14ac:dyDescent="0.3">
      <c r="B65" s="197">
        <f>IF($B$13="","",$B$13)</f>
        <v>500.21</v>
      </c>
      <c r="C65" s="198" t="str">
        <f>IF($C$13="","",$C$13)</f>
        <v>GTOS CATERING</v>
      </c>
      <c r="D65" s="199"/>
      <c r="E65" s="200"/>
      <c r="F65" s="88"/>
      <c r="G65" s="197">
        <f>IF($B$13="","",$B$13)</f>
        <v>500.21</v>
      </c>
      <c r="H65" s="198" t="str">
        <f>IF($C$13="","",$C$13)</f>
        <v>GTOS CATERING</v>
      </c>
      <c r="I65" s="199"/>
      <c r="J65" s="200"/>
      <c r="K65" s="88"/>
      <c r="L65" s="197">
        <f>IF($B$13="","",$B$13)</f>
        <v>500.21</v>
      </c>
      <c r="M65" s="198" t="str">
        <f>IF($C$13="","",$C$13)</f>
        <v>GTOS CATERING</v>
      </c>
      <c r="N65" s="199"/>
      <c r="O65" s="200"/>
    </row>
    <row r="66" spans="2:15" ht="15.75" customHeight="1" x14ac:dyDescent="0.3">
      <c r="B66" s="197">
        <f>IF($B$14="","",$B$14)</f>
        <v>540.1</v>
      </c>
      <c r="C66" s="198" t="str">
        <f>IF($C$14="","",$C$14)</f>
        <v>HONORARIOS CONTABLES</v>
      </c>
      <c r="D66" s="199"/>
      <c r="E66" s="200"/>
      <c r="F66" s="88"/>
      <c r="G66" s="197">
        <f>IF($B$14="","",$B$14)</f>
        <v>540.1</v>
      </c>
      <c r="H66" s="198" t="str">
        <f>IF($C$14="","",$C$14)</f>
        <v>HONORARIOS CONTABLES</v>
      </c>
      <c r="I66" s="199"/>
      <c r="J66" s="200"/>
      <c r="K66" s="88"/>
      <c r="L66" s="197">
        <f>IF($B$14="","",$B$14)</f>
        <v>540.1</v>
      </c>
      <c r="M66" s="198" t="str">
        <f>IF($C$14="","",$C$14)</f>
        <v>HONORARIOS CONTABLES</v>
      </c>
      <c r="N66" s="199"/>
      <c r="O66" s="200"/>
    </row>
    <row r="67" spans="2:15" ht="15.75" customHeight="1" x14ac:dyDescent="0.3">
      <c r="B67" s="197">
        <f>IF($B$15="","",$B$15)</f>
        <v>540.11</v>
      </c>
      <c r="C67" s="198" t="str">
        <f>IF($C$15="","",$C$15)</f>
        <v>HONORARIOS JURIDICOS</v>
      </c>
      <c r="D67" s="199"/>
      <c r="E67" s="200"/>
      <c r="F67" s="88"/>
      <c r="G67" s="197">
        <f>IF($B$15="","",$B$15)</f>
        <v>540.11</v>
      </c>
      <c r="H67" s="198" t="str">
        <f>IF($C$15="","",$C$15)</f>
        <v>HONORARIOS JURIDICOS</v>
      </c>
      <c r="I67" s="199"/>
      <c r="J67" s="200"/>
      <c r="K67" s="88"/>
      <c r="L67" s="197">
        <f>IF($B$15="","",$B$15)</f>
        <v>540.11</v>
      </c>
      <c r="M67" s="198" t="str">
        <f>IF($C$15="","",$C$15)</f>
        <v>HONORARIOS JURIDICOS</v>
      </c>
      <c r="N67" s="199"/>
      <c r="O67" s="200"/>
    </row>
    <row r="68" spans="2:15" ht="15.75" customHeight="1" x14ac:dyDescent="0.3">
      <c r="B68" s="197">
        <f>IF($B$16="","",$B$16)</f>
        <v>500.30500000000001</v>
      </c>
      <c r="C68" s="198" t="str">
        <f>IF($C$16="","",$C$16)</f>
        <v>GTOS SEGURIDAD</v>
      </c>
      <c r="D68" s="199"/>
      <c r="E68" s="200"/>
      <c r="F68" s="88"/>
      <c r="G68" s="197">
        <f>IF($B$16="","",$B$16)</f>
        <v>500.30500000000001</v>
      </c>
      <c r="H68" s="198" t="str">
        <f>IF($C$16="","",$C$16)</f>
        <v>GTOS SEGURIDAD</v>
      </c>
      <c r="I68" s="199"/>
      <c r="J68" s="200"/>
      <c r="K68" s="88"/>
      <c r="L68" s="197">
        <f>IF($B$16="","",$B$16)</f>
        <v>500.30500000000001</v>
      </c>
      <c r="M68" s="198" t="str">
        <f>IF($C$16="","",$C$16)</f>
        <v>GTOS SEGURIDAD</v>
      </c>
      <c r="N68" s="199"/>
      <c r="O68" s="200"/>
    </row>
    <row r="69" spans="2:15" ht="15.75" customHeight="1" x14ac:dyDescent="0.3">
      <c r="B69" s="197" t="str">
        <f>IF($B$17="","",$B$17)</f>
        <v/>
      </c>
      <c r="C69" s="198" t="str">
        <f>IF($C$17="","",$C$17)</f>
        <v>EQ DE COMPUTACION</v>
      </c>
      <c r="D69" s="199"/>
      <c r="E69" s="200"/>
      <c r="F69" s="88"/>
      <c r="G69" s="197" t="str">
        <f>IF($B$17="","",$B$17)</f>
        <v/>
      </c>
      <c r="H69" s="198" t="str">
        <f>IF($C$17="","",$C$17)</f>
        <v>EQ DE COMPUTACION</v>
      </c>
      <c r="I69" s="199"/>
      <c r="J69" s="200"/>
      <c r="K69" s="88"/>
      <c r="L69" s="197" t="str">
        <f>IF($B$17="","",$B$17)</f>
        <v/>
      </c>
      <c r="M69" s="198" t="str">
        <f>IF($C$17="","",$C$17)</f>
        <v>EQ DE COMPUTACION</v>
      </c>
      <c r="N69" s="199"/>
      <c r="O69" s="200"/>
    </row>
    <row r="70" spans="2:15" ht="15.75" customHeight="1" x14ac:dyDescent="0.3">
      <c r="B70" s="197" t="str">
        <f>IF($B$18="","",$B$18)</f>
        <v/>
      </c>
      <c r="C70" s="198" t="str">
        <f>IF($C$18="","",$C$18)</f>
        <v>ALQUILER</v>
      </c>
      <c r="D70" s="199"/>
      <c r="E70" s="200"/>
      <c r="F70" s="88"/>
      <c r="G70" s="197" t="str">
        <f>IF($B$18="","",$B$18)</f>
        <v/>
      </c>
      <c r="H70" s="198" t="str">
        <f>IF($C$18="","",$C$18)</f>
        <v>ALQUILER</v>
      </c>
      <c r="I70" s="199"/>
      <c r="J70" s="200"/>
      <c r="K70" s="88"/>
      <c r="L70" s="197" t="str">
        <f>IF($B$18="","",$B$18)</f>
        <v/>
      </c>
      <c r="M70" s="198" t="str">
        <f>IF($C$18="","",$C$18)</f>
        <v>ALQUILER</v>
      </c>
      <c r="N70" s="199"/>
      <c r="O70" s="200"/>
    </row>
    <row r="71" spans="2:15" ht="15.75" customHeight="1" x14ac:dyDescent="0.3">
      <c r="B71" s="197">
        <f>IF($B$19="","",$B$19)</f>
        <v>107.1</v>
      </c>
      <c r="C71" s="198" t="str">
        <f>IF($C$19="","",$C$19)</f>
        <v>IVA 21%</v>
      </c>
      <c r="D71" s="199"/>
      <c r="E71" s="200"/>
      <c r="F71" s="88"/>
      <c r="G71" s="197">
        <f>IF($B$19="","",$B$19)</f>
        <v>107.1</v>
      </c>
      <c r="H71" s="198" t="str">
        <f>IF($C$19="","",$C$19)</f>
        <v>IVA 21%</v>
      </c>
      <c r="I71" s="199"/>
      <c r="J71" s="200"/>
      <c r="K71" s="88"/>
      <c r="L71" s="197">
        <f>IF($B$19="","",$B$19)</f>
        <v>107.1</v>
      </c>
      <c r="M71" s="198" t="str">
        <f>IF($C$19="","",$C$19)</f>
        <v>IVA 21%</v>
      </c>
      <c r="N71" s="199"/>
      <c r="O71" s="200"/>
    </row>
    <row r="72" spans="2:15" ht="15.75" customHeight="1" x14ac:dyDescent="0.3">
      <c r="B72" s="197">
        <f>IF($B$20="","",$B$20)</f>
        <v>107.101</v>
      </c>
      <c r="C72" s="198" t="str">
        <f>IF($C$20="","",$C$20)</f>
        <v>IVA 27%</v>
      </c>
      <c r="D72" s="199"/>
      <c r="E72" s="200"/>
      <c r="F72" s="88"/>
      <c r="G72" s="197">
        <f>IF($B$20="","",$B$20)</f>
        <v>107.101</v>
      </c>
      <c r="H72" s="198" t="str">
        <f>IF($C$20="","",$C$20)</f>
        <v>IVA 27%</v>
      </c>
      <c r="I72" s="199"/>
      <c r="J72" s="200"/>
      <c r="K72" s="88"/>
      <c r="L72" s="197">
        <f>IF($B$20="","",$B$20)</f>
        <v>107.101</v>
      </c>
      <c r="M72" s="198" t="str">
        <f>IF($C$20="","",$C$20)</f>
        <v>IVA 27%</v>
      </c>
      <c r="N72" s="199"/>
      <c r="O72" s="200"/>
    </row>
    <row r="73" spans="2:15" ht="15.75" customHeight="1" x14ac:dyDescent="0.3">
      <c r="B73" s="197">
        <f>IF($B$21="","",$B$21)</f>
        <v>107.102</v>
      </c>
      <c r="C73" s="198" t="str">
        <f>IF($C$21="","",$C$21)</f>
        <v>IVA 10,5%</v>
      </c>
      <c r="D73" s="199"/>
      <c r="E73" s="200"/>
      <c r="F73" s="88"/>
      <c r="G73" s="197">
        <f>IF($B$21="","",$B$21)</f>
        <v>107.102</v>
      </c>
      <c r="H73" s="198" t="str">
        <f>IF($C$21="","",$C$21)</f>
        <v>IVA 10,5%</v>
      </c>
      <c r="I73" s="199"/>
      <c r="J73" s="200"/>
      <c r="K73" s="88"/>
      <c r="L73" s="197">
        <f>IF($B$21="","",$B$21)</f>
        <v>107.102</v>
      </c>
      <c r="M73" s="198" t="str">
        <f>IF($C$21="","",$C$21)</f>
        <v>IVA 10,5%</v>
      </c>
      <c r="N73" s="199"/>
      <c r="O73" s="200"/>
    </row>
    <row r="74" spans="2:15" ht="15.75" customHeight="1" x14ac:dyDescent="0.3">
      <c r="B74" s="197">
        <f>IF($B$22="","",$B$22)</f>
        <v>106.521</v>
      </c>
      <c r="C74" s="198" t="str">
        <f>IF($C$22="","",$C$22)</f>
        <v>PERC IIBB BS AS</v>
      </c>
      <c r="D74" s="199"/>
      <c r="E74" s="200"/>
      <c r="F74" s="88"/>
      <c r="G74" s="197">
        <f>IF($B$22="","",$B$22)</f>
        <v>106.521</v>
      </c>
      <c r="H74" s="198" t="str">
        <f>IF($C$22="","",$C$22)</f>
        <v>PERC IIBB BS AS</v>
      </c>
      <c r="I74" s="199"/>
      <c r="J74" s="200"/>
      <c r="K74" s="88"/>
      <c r="L74" s="197">
        <f>IF($B$22="","",$B$22)</f>
        <v>106.521</v>
      </c>
      <c r="M74" s="198" t="str">
        <f>IF($C$22="","",$C$22)</f>
        <v>PERC IIBB BS AS</v>
      </c>
      <c r="N74" s="199"/>
      <c r="O74" s="200"/>
    </row>
    <row r="75" spans="2:15" ht="15.75" customHeight="1" x14ac:dyDescent="0.3">
      <c r="B75" s="197">
        <f>IF($B$23="","",$B$23)</f>
        <v>106.515</v>
      </c>
      <c r="C75" s="198" t="str">
        <f>IF($C$23="","",$C$23)</f>
        <v>PERC IIBB CABA</v>
      </c>
      <c r="D75" s="199"/>
      <c r="E75" s="200"/>
      <c r="F75" s="88"/>
      <c r="G75" s="197">
        <f>IF($B$23="","",$B$23)</f>
        <v>106.515</v>
      </c>
      <c r="H75" s="198" t="str">
        <f>IF($C$23="","",$C$23)</f>
        <v>PERC IIBB CABA</v>
      </c>
      <c r="I75" s="199"/>
      <c r="J75" s="200"/>
      <c r="K75" s="88"/>
      <c r="L75" s="197">
        <f>IF($B$23="","",$B$23)</f>
        <v>106.515</v>
      </c>
      <c r="M75" s="198" t="str">
        <f>IF($C$23="","",$C$23)</f>
        <v>PERC IIBB CABA</v>
      </c>
      <c r="N75" s="199"/>
      <c r="O75" s="200"/>
    </row>
    <row r="76" spans="2:15" ht="15.75" customHeight="1" x14ac:dyDescent="0.3">
      <c r="B76" s="197">
        <f>IF($B$24="","",$B$24)</f>
        <v>106.535</v>
      </c>
      <c r="C76" s="198" t="str">
        <f>IF($C$24="","",$C$24)</f>
        <v>PERC. IVA</v>
      </c>
      <c r="D76" s="203"/>
      <c r="E76" s="204"/>
      <c r="F76" s="88"/>
      <c r="G76" s="197">
        <f>IF($B$24="","",$B$24)</f>
        <v>106.535</v>
      </c>
      <c r="H76" s="198" t="str">
        <f>IF($C$24="","",$C$24)</f>
        <v>PERC. IVA</v>
      </c>
      <c r="I76" s="203"/>
      <c r="J76" s="204"/>
      <c r="K76" s="88"/>
      <c r="L76" s="197">
        <f>IF($B$24="","",$B$24)</f>
        <v>106.535</v>
      </c>
      <c r="M76" s="198" t="str">
        <f>IF($C$24="","",$C$24)</f>
        <v>PERC. IVA</v>
      </c>
      <c r="N76" s="203"/>
      <c r="O76" s="204"/>
    </row>
    <row r="77" spans="2:15" ht="15.75" customHeight="1" x14ac:dyDescent="0.3">
      <c r="B77" s="197" t="str">
        <f>IF($B$25="","",$B$25)</f>
        <v/>
      </c>
      <c r="C77" s="198" t="str">
        <f>IF($C$25="","",$C$25)</f>
        <v/>
      </c>
      <c r="D77" s="205"/>
      <c r="E77" s="204"/>
      <c r="F77" s="88"/>
      <c r="G77" s="197" t="str">
        <f>IF($B$25="","",$B$25)</f>
        <v/>
      </c>
      <c r="H77" s="198" t="str">
        <f>IF($C$25="","",$C$25)</f>
        <v/>
      </c>
      <c r="I77" s="205"/>
      <c r="J77" s="204"/>
      <c r="K77" s="88"/>
      <c r="L77" s="197" t="str">
        <f>IF($B$25="","",$B$25)</f>
        <v/>
      </c>
      <c r="M77" s="198" t="str">
        <f>IF($C$25="","",$C$25)</f>
        <v/>
      </c>
      <c r="N77" s="205"/>
      <c r="O77" s="204"/>
    </row>
    <row r="78" spans="2:15" ht="15.75" customHeight="1" x14ac:dyDescent="0.3">
      <c r="B78" s="197" t="str">
        <f>IF($B$26="","",$B$26)</f>
        <v/>
      </c>
      <c r="C78" s="198" t="str">
        <f>IF($C$26="","",$C$26)</f>
        <v/>
      </c>
      <c r="D78" s="205"/>
      <c r="E78" s="204"/>
      <c r="F78" s="88"/>
      <c r="G78" s="197" t="str">
        <f>IF($B$26="","",$B$26)</f>
        <v/>
      </c>
      <c r="H78" s="198" t="str">
        <f>IF($C$26="","",$C$26)</f>
        <v/>
      </c>
      <c r="I78" s="205"/>
      <c r="J78" s="204"/>
      <c r="K78" s="88"/>
      <c r="L78" s="197" t="str">
        <f>IF($B$26="","",$B$26)</f>
        <v/>
      </c>
      <c r="M78" s="198" t="str">
        <f>IF($C$26="","",$C$26)</f>
        <v/>
      </c>
      <c r="N78" s="205"/>
      <c r="O78" s="204"/>
    </row>
    <row r="79" spans="2:15" ht="15.75" customHeight="1" x14ac:dyDescent="0.3">
      <c r="B79" s="197">
        <f>IF($B$27="","",$B$27)</f>
        <v>200.9</v>
      </c>
      <c r="C79" s="198" t="str">
        <f>IF($C$27="","",$C$27)</f>
        <v>PROVEEDORES</v>
      </c>
      <c r="D79" s="204"/>
      <c r="E79" s="204"/>
      <c r="F79" s="88"/>
      <c r="G79" s="197">
        <f>IF($B$27="","",$B$27)</f>
        <v>200.9</v>
      </c>
      <c r="H79" s="198" t="str">
        <f>IF($C$27="","",$C$27)</f>
        <v>PROVEEDORES</v>
      </c>
      <c r="I79" s="204"/>
      <c r="J79" s="204"/>
      <c r="K79" s="88"/>
      <c r="L79" s="197">
        <f>IF($B$27="","",$B$27)</f>
        <v>200.9</v>
      </c>
      <c r="M79" s="198" t="str">
        <f>IF($C$27="","",$C$27)</f>
        <v>PROVEEDORES</v>
      </c>
      <c r="N79" s="204"/>
      <c r="O79" s="204"/>
    </row>
    <row r="80" spans="2:15" ht="15.75" customHeight="1" x14ac:dyDescent="0.3">
      <c r="B80" s="513"/>
      <c r="C80" s="514"/>
      <c r="D80" s="514"/>
      <c r="E80" s="208">
        <v>0</v>
      </c>
      <c r="F80" s="88"/>
      <c r="G80" s="513"/>
      <c r="H80" s="514"/>
      <c r="I80" s="514"/>
      <c r="J80" s="208">
        <v>0</v>
      </c>
      <c r="K80" s="88"/>
      <c r="L80" s="513"/>
      <c r="M80" s="514"/>
      <c r="N80" s="514"/>
      <c r="O80" s="208">
        <v>0</v>
      </c>
    </row>
    <row r="81" spans="2:15" ht="15.75" customHeight="1" x14ac:dyDescent="0.3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</row>
    <row r="82" spans="2:15" ht="15.75" customHeight="1" x14ac:dyDescent="0.3">
      <c r="B82" s="510">
        <f>EDATE($L$56,1)</f>
        <v>45292</v>
      </c>
      <c r="C82" s="511"/>
      <c r="D82" s="511"/>
      <c r="E82" s="512"/>
      <c r="F82" s="88"/>
      <c r="G82" s="510">
        <f>EDATE($B$82,1)</f>
        <v>45323</v>
      </c>
      <c r="H82" s="511"/>
      <c r="I82" s="511"/>
      <c r="J82" s="512"/>
      <c r="K82" s="88"/>
      <c r="L82" s="510">
        <f>EDATE($G$82,1)</f>
        <v>45352</v>
      </c>
      <c r="M82" s="511"/>
      <c r="N82" s="511"/>
      <c r="O82" s="512"/>
    </row>
    <row r="83" spans="2:15" ht="15.75" customHeight="1" x14ac:dyDescent="0.3">
      <c r="B83" s="197">
        <f>IF($B$5="","",$B$5)</f>
        <v>121.1</v>
      </c>
      <c r="C83" s="198" t="str">
        <f>IF($C$5="","",$C$5)</f>
        <v>MERCADERIA</v>
      </c>
      <c r="D83" s="195"/>
      <c r="E83" s="196"/>
      <c r="F83" s="88"/>
      <c r="G83" s="197">
        <f>IF($B$5="","",$B$5)</f>
        <v>121.1</v>
      </c>
      <c r="H83" s="198" t="str">
        <f>IF($C$5="","",$C$5)</f>
        <v>MERCADERIA</v>
      </c>
      <c r="I83" s="195"/>
      <c r="J83" s="196"/>
      <c r="K83" s="88"/>
      <c r="L83" s="197">
        <f>IF($B$5="","",$B$5)</f>
        <v>121.1</v>
      </c>
      <c r="M83" s="198" t="str">
        <f>IF($C$5="","",$C$5)</f>
        <v>MERCADERIA</v>
      </c>
      <c r="N83" s="195"/>
      <c r="O83" s="196"/>
    </row>
    <row r="84" spans="2:15" ht="15.75" customHeight="1" x14ac:dyDescent="0.3">
      <c r="B84" s="197">
        <f>IF($B$6="","",$B$6)</f>
        <v>500.5</v>
      </c>
      <c r="C84" s="198" t="str">
        <f>IF($C$6="","",$C$6)</f>
        <v xml:space="preserve">GTOS COMERCIALIZACION </v>
      </c>
      <c r="D84" s="199"/>
      <c r="E84" s="200"/>
      <c r="F84" s="88"/>
      <c r="G84" s="197">
        <f>IF($B$6="","",$B$6)</f>
        <v>500.5</v>
      </c>
      <c r="H84" s="198" t="str">
        <f>IF($C$6="","",$C$6)</f>
        <v xml:space="preserve">GTOS COMERCIALIZACION </v>
      </c>
      <c r="I84" s="199"/>
      <c r="J84" s="200"/>
      <c r="K84" s="88"/>
      <c r="L84" s="197">
        <f>IF($B$6="","",$B$6)</f>
        <v>500.5</v>
      </c>
      <c r="M84" s="198" t="str">
        <f>IF($C$6="","",$C$6)</f>
        <v xml:space="preserve">GTOS COMERCIALIZACION </v>
      </c>
      <c r="N84" s="199"/>
      <c r="O84" s="200"/>
    </row>
    <row r="85" spans="2:15" ht="15.75" customHeight="1" x14ac:dyDescent="0.3">
      <c r="B85" s="197" t="str">
        <f>IF($B$7="","",$B$7)</f>
        <v/>
      </c>
      <c r="C85" s="198" t="str">
        <f>IF($C$7="","",$C$7)</f>
        <v>GTOS ADMINISTRATIVOS</v>
      </c>
      <c r="D85" s="199"/>
      <c r="E85" s="200"/>
      <c r="F85" s="88"/>
      <c r="G85" s="197" t="str">
        <f>IF($B$7="","",$B$7)</f>
        <v/>
      </c>
      <c r="H85" s="198" t="str">
        <f>IF($C$7="","",$C$7)</f>
        <v>GTOS ADMINISTRATIVOS</v>
      </c>
      <c r="I85" s="199"/>
      <c r="J85" s="200"/>
      <c r="K85" s="88"/>
      <c r="L85" s="197" t="str">
        <f>IF($B$7="","",$B$7)</f>
        <v/>
      </c>
      <c r="M85" s="198" t="str">
        <f>IF($C$7="","",$C$7)</f>
        <v>GTOS ADMINISTRATIVOS</v>
      </c>
      <c r="N85" s="199"/>
      <c r="O85" s="200"/>
    </row>
    <row r="86" spans="2:15" ht="15.75" customHeight="1" x14ac:dyDescent="0.3">
      <c r="B86" s="197">
        <f>IF($B$8="","",$B$8)</f>
        <v>500.15</v>
      </c>
      <c r="C86" s="198" t="str">
        <f>IF($C$8="","",$C$8)</f>
        <v>SERVICIOS GAS, LUZ, ETC</v>
      </c>
      <c r="D86" s="199"/>
      <c r="E86" s="200"/>
      <c r="F86" s="88"/>
      <c r="G86" s="197">
        <f>IF($B$8="","",$B$8)</f>
        <v>500.15</v>
      </c>
      <c r="H86" s="198" t="str">
        <f>IF($C$8="","",$C$8)</f>
        <v>SERVICIOS GAS, LUZ, ETC</v>
      </c>
      <c r="I86" s="199"/>
      <c r="J86" s="200"/>
      <c r="K86" s="88"/>
      <c r="L86" s="197">
        <f>IF($B$8="","",$B$8)</f>
        <v>500.15</v>
      </c>
      <c r="M86" s="198" t="str">
        <f>IF($C$8="","",$C$8)</f>
        <v>SERVICIOS GAS, LUZ, ETC</v>
      </c>
      <c r="N86" s="199"/>
      <c r="O86" s="200"/>
    </row>
    <row r="87" spans="2:15" ht="15.75" customHeight="1" x14ac:dyDescent="0.3">
      <c r="B87" s="197">
        <f>IF($B$9="","",$B$9)</f>
        <v>500.3</v>
      </c>
      <c r="C87" s="198" t="str">
        <f>IF($C$9="","",$C$9)</f>
        <v>GASTOS VARIOS</v>
      </c>
      <c r="D87" s="199"/>
      <c r="E87" s="200"/>
      <c r="F87" s="88"/>
      <c r="G87" s="197">
        <f>IF($B$9="","",$B$9)</f>
        <v>500.3</v>
      </c>
      <c r="H87" s="198" t="str">
        <f>IF($C$9="","",$C$9)</f>
        <v>GASTOS VARIOS</v>
      </c>
      <c r="I87" s="199"/>
      <c r="J87" s="200"/>
      <c r="K87" s="88"/>
      <c r="L87" s="197">
        <f>IF($B$9="","",$B$9)</f>
        <v>500.3</v>
      </c>
      <c r="M87" s="198" t="str">
        <f>IF($C$9="","",$C$9)</f>
        <v>GASTOS VARIOS</v>
      </c>
      <c r="N87" s="199"/>
      <c r="O87" s="200"/>
    </row>
    <row r="88" spans="2:15" ht="15.75" customHeight="1" x14ac:dyDescent="0.3">
      <c r="B88" s="197">
        <f>IF($B$10="","",$B$10)</f>
        <v>500.23</v>
      </c>
      <c r="C88" s="198" t="str">
        <f>IF($C$10="","",$C$10)</f>
        <v>COMBUSTIBLE</v>
      </c>
      <c r="D88" s="199"/>
      <c r="E88" s="200"/>
      <c r="F88" s="88"/>
      <c r="G88" s="197">
        <f>IF($B$10="","",$B$10)</f>
        <v>500.23</v>
      </c>
      <c r="H88" s="198" t="str">
        <f>IF($C$10="","",$C$10)</f>
        <v>COMBUSTIBLE</v>
      </c>
      <c r="I88" s="199"/>
      <c r="J88" s="200"/>
      <c r="K88" s="88"/>
      <c r="L88" s="197">
        <f>IF($B$10="","",$B$10)</f>
        <v>500.23</v>
      </c>
      <c r="M88" s="198" t="str">
        <f>IF($C$10="","",$C$10)</f>
        <v>COMBUSTIBLE</v>
      </c>
      <c r="N88" s="199"/>
      <c r="O88" s="200"/>
    </row>
    <row r="89" spans="2:15" ht="15.75" customHeight="1" x14ac:dyDescent="0.3">
      <c r="B89" s="197">
        <f>IF($B$11="","",$B$11)</f>
        <v>500.45</v>
      </c>
      <c r="C89" s="198" t="str">
        <f>IF($C$11="","",$C$11)</f>
        <v xml:space="preserve">GTOS MANTENIMIENTO </v>
      </c>
      <c r="D89" s="199"/>
      <c r="E89" s="200"/>
      <c r="F89" s="88"/>
      <c r="G89" s="197">
        <f>IF($B$11="","",$B$11)</f>
        <v>500.45</v>
      </c>
      <c r="H89" s="198" t="str">
        <f>IF($C$11="","",$C$11)</f>
        <v xml:space="preserve">GTOS MANTENIMIENTO </v>
      </c>
      <c r="I89" s="199"/>
      <c r="J89" s="200"/>
      <c r="K89" s="88"/>
      <c r="L89" s="197">
        <f>IF($B$11="","",$B$11)</f>
        <v>500.45</v>
      </c>
      <c r="M89" s="198" t="str">
        <f>IF($C$11="","",$C$11)</f>
        <v xml:space="preserve">GTOS MANTENIMIENTO </v>
      </c>
      <c r="N89" s="199"/>
      <c r="O89" s="200"/>
    </row>
    <row r="90" spans="2:15" ht="15.75" customHeight="1" x14ac:dyDescent="0.3">
      <c r="B90" s="197">
        <f>IF($B$12="","",$B$12)</f>
        <v>500.31</v>
      </c>
      <c r="C90" s="198" t="str">
        <f>IF($C$12="","",$C$12)</f>
        <v>LIBRERÍA</v>
      </c>
      <c r="D90" s="199"/>
      <c r="E90" s="200"/>
      <c r="F90" s="88"/>
      <c r="G90" s="197">
        <f>IF($B$12="","",$B$12)</f>
        <v>500.31</v>
      </c>
      <c r="H90" s="198" t="str">
        <f>IF($C$12="","",$C$12)</f>
        <v>LIBRERÍA</v>
      </c>
      <c r="I90" s="199"/>
      <c r="J90" s="200"/>
      <c r="K90" s="88"/>
      <c r="L90" s="197">
        <f>IF($B$12="","",$B$12)</f>
        <v>500.31</v>
      </c>
      <c r="M90" s="198" t="str">
        <f>IF($C$12="","",$C$12)</f>
        <v>LIBRERÍA</v>
      </c>
      <c r="N90" s="199"/>
      <c r="O90" s="200"/>
    </row>
    <row r="91" spans="2:15" ht="15.75" customHeight="1" x14ac:dyDescent="0.3">
      <c r="B91" s="197">
        <f>IF($B$13="","",$B$13)</f>
        <v>500.21</v>
      </c>
      <c r="C91" s="198" t="str">
        <f>IF($C$13="","",$C$13)</f>
        <v>GTOS CATERING</v>
      </c>
      <c r="D91" s="199"/>
      <c r="E91" s="200"/>
      <c r="F91" s="88"/>
      <c r="G91" s="197">
        <f>IF($B$13="","",$B$13)</f>
        <v>500.21</v>
      </c>
      <c r="H91" s="198" t="str">
        <f>IF($C$13="","",$C$13)</f>
        <v>GTOS CATERING</v>
      </c>
      <c r="I91" s="199"/>
      <c r="J91" s="200"/>
      <c r="K91" s="88"/>
      <c r="L91" s="197">
        <f>IF($B$13="","",$B$13)</f>
        <v>500.21</v>
      </c>
      <c r="M91" s="198" t="str">
        <f>IF($C$13="","",$C$13)</f>
        <v>GTOS CATERING</v>
      </c>
      <c r="N91" s="199"/>
      <c r="O91" s="200"/>
    </row>
    <row r="92" spans="2:15" ht="15.75" customHeight="1" x14ac:dyDescent="0.3">
      <c r="B92" s="197">
        <f>IF($B$14="","",$B$14)</f>
        <v>540.1</v>
      </c>
      <c r="C92" s="198" t="str">
        <f>IF($C$14="","",$C$14)</f>
        <v>HONORARIOS CONTABLES</v>
      </c>
      <c r="D92" s="199"/>
      <c r="E92" s="200"/>
      <c r="F92" s="88"/>
      <c r="G92" s="197">
        <f>IF($B$14="","",$B$14)</f>
        <v>540.1</v>
      </c>
      <c r="H92" s="198" t="str">
        <f>IF($C$14="","",$C$14)</f>
        <v>HONORARIOS CONTABLES</v>
      </c>
      <c r="I92" s="199"/>
      <c r="J92" s="200"/>
      <c r="K92" s="88"/>
      <c r="L92" s="197">
        <f>IF($B$14="","",$B$14)</f>
        <v>540.1</v>
      </c>
      <c r="M92" s="198" t="str">
        <f>IF($C$14="","",$C$14)</f>
        <v>HONORARIOS CONTABLES</v>
      </c>
      <c r="N92" s="199"/>
      <c r="O92" s="200"/>
    </row>
    <row r="93" spans="2:15" ht="15.75" customHeight="1" x14ac:dyDescent="0.3">
      <c r="B93" s="197">
        <f>IF($B$15="","",$B$15)</f>
        <v>540.11</v>
      </c>
      <c r="C93" s="198" t="str">
        <f>IF($C$15="","",$C$15)</f>
        <v>HONORARIOS JURIDICOS</v>
      </c>
      <c r="D93" s="199"/>
      <c r="E93" s="200"/>
      <c r="F93" s="88"/>
      <c r="G93" s="197">
        <f>IF($B$15="","",$B$15)</f>
        <v>540.11</v>
      </c>
      <c r="H93" s="198" t="str">
        <f>IF($C$15="","",$C$15)</f>
        <v>HONORARIOS JURIDICOS</v>
      </c>
      <c r="I93" s="199"/>
      <c r="J93" s="200"/>
      <c r="K93" s="88"/>
      <c r="L93" s="197">
        <f>IF($B$15="","",$B$15)</f>
        <v>540.11</v>
      </c>
      <c r="M93" s="198" t="str">
        <f>IF($C$15="","",$C$15)</f>
        <v>HONORARIOS JURIDICOS</v>
      </c>
      <c r="N93" s="199"/>
      <c r="O93" s="200"/>
    </row>
    <row r="94" spans="2:15" ht="15.75" customHeight="1" x14ac:dyDescent="0.3">
      <c r="B94" s="197">
        <f>IF($B$16="","",$B$16)</f>
        <v>500.30500000000001</v>
      </c>
      <c r="C94" s="198" t="str">
        <f>IF($C$16="","",$C$16)</f>
        <v>GTOS SEGURIDAD</v>
      </c>
      <c r="D94" s="199"/>
      <c r="E94" s="200"/>
      <c r="F94" s="88"/>
      <c r="G94" s="197">
        <f>IF($B$16="","",$B$16)</f>
        <v>500.30500000000001</v>
      </c>
      <c r="H94" s="198" t="str">
        <f>IF($C$16="","",$C$16)</f>
        <v>GTOS SEGURIDAD</v>
      </c>
      <c r="I94" s="199"/>
      <c r="J94" s="200"/>
      <c r="K94" s="88"/>
      <c r="L94" s="197">
        <f>IF($B$16="","",$B$16)</f>
        <v>500.30500000000001</v>
      </c>
      <c r="M94" s="198" t="str">
        <f>IF($C$16="","",$C$16)</f>
        <v>GTOS SEGURIDAD</v>
      </c>
      <c r="N94" s="199"/>
      <c r="O94" s="200"/>
    </row>
    <row r="95" spans="2:15" ht="15.75" customHeight="1" x14ac:dyDescent="0.3">
      <c r="B95" s="197" t="str">
        <f>IF($B$17="","",$B$17)</f>
        <v/>
      </c>
      <c r="C95" s="198" t="str">
        <f>IF($C$17="","",$C$17)</f>
        <v>EQ DE COMPUTACION</v>
      </c>
      <c r="D95" s="199"/>
      <c r="E95" s="200"/>
      <c r="F95" s="88"/>
      <c r="G95" s="197" t="str">
        <f>IF($B$17="","",$B$17)</f>
        <v/>
      </c>
      <c r="H95" s="198" t="str">
        <f>IF($C$17="","",$C$17)</f>
        <v>EQ DE COMPUTACION</v>
      </c>
      <c r="I95" s="199"/>
      <c r="J95" s="200"/>
      <c r="K95" s="88"/>
      <c r="L95" s="197" t="str">
        <f>IF($B$17="","",$B$17)</f>
        <v/>
      </c>
      <c r="M95" s="198" t="str">
        <f>IF($C$17="","",$C$17)</f>
        <v>EQ DE COMPUTACION</v>
      </c>
      <c r="N95" s="199"/>
      <c r="O95" s="200"/>
    </row>
    <row r="96" spans="2:15" ht="15.75" customHeight="1" x14ac:dyDescent="0.3">
      <c r="B96" s="197" t="str">
        <f>IF($B$18="","",$B$18)</f>
        <v/>
      </c>
      <c r="C96" s="198" t="str">
        <f>IF($C$18="","",$C$18)</f>
        <v>ALQUILER</v>
      </c>
      <c r="D96" s="199"/>
      <c r="E96" s="200"/>
      <c r="F96" s="88"/>
      <c r="G96" s="197" t="str">
        <f>IF($B$18="","",$B$18)</f>
        <v/>
      </c>
      <c r="H96" s="198" t="str">
        <f>IF($C$18="","",$C$18)</f>
        <v>ALQUILER</v>
      </c>
      <c r="I96" s="199"/>
      <c r="J96" s="200"/>
      <c r="K96" s="88"/>
      <c r="L96" s="197" t="str">
        <f>IF($B$18="","",$B$18)</f>
        <v/>
      </c>
      <c r="M96" s="198" t="str">
        <f>IF($C$18="","",$C$18)</f>
        <v>ALQUILER</v>
      </c>
      <c r="N96" s="199"/>
      <c r="O96" s="200"/>
    </row>
    <row r="97" spans="2:15" ht="15.75" customHeight="1" x14ac:dyDescent="0.3">
      <c r="B97" s="197">
        <f>IF($B$19="","",$B$19)</f>
        <v>107.1</v>
      </c>
      <c r="C97" s="198" t="str">
        <f>IF($C$19="","",$C$19)</f>
        <v>IVA 21%</v>
      </c>
      <c r="D97" s="199"/>
      <c r="E97" s="200"/>
      <c r="F97" s="88"/>
      <c r="G97" s="197">
        <f>IF($B$19="","",$B$19)</f>
        <v>107.1</v>
      </c>
      <c r="H97" s="198" t="str">
        <f>IF($C$19="","",$C$19)</f>
        <v>IVA 21%</v>
      </c>
      <c r="I97" s="199"/>
      <c r="J97" s="200"/>
      <c r="K97" s="88"/>
      <c r="L97" s="197">
        <f>IF($B$19="","",$B$19)</f>
        <v>107.1</v>
      </c>
      <c r="M97" s="198" t="str">
        <f>IF($C$19="","",$C$19)</f>
        <v>IVA 21%</v>
      </c>
      <c r="N97" s="199"/>
      <c r="O97" s="200"/>
    </row>
    <row r="98" spans="2:15" ht="15.75" customHeight="1" x14ac:dyDescent="0.3">
      <c r="B98" s="197">
        <f>IF($B$20="","",$B$20)</f>
        <v>107.101</v>
      </c>
      <c r="C98" s="198" t="str">
        <f>IF($C$20="","",$C$20)</f>
        <v>IVA 27%</v>
      </c>
      <c r="D98" s="199"/>
      <c r="E98" s="200"/>
      <c r="F98" s="88"/>
      <c r="G98" s="197">
        <f>IF($B$20="","",$B$20)</f>
        <v>107.101</v>
      </c>
      <c r="H98" s="198" t="str">
        <f>IF($C$20="","",$C$20)</f>
        <v>IVA 27%</v>
      </c>
      <c r="I98" s="199"/>
      <c r="J98" s="200"/>
      <c r="K98" s="88"/>
      <c r="L98" s="197">
        <f>IF($B$20="","",$B$20)</f>
        <v>107.101</v>
      </c>
      <c r="M98" s="198" t="str">
        <f>IF($C$20="","",$C$20)</f>
        <v>IVA 27%</v>
      </c>
      <c r="N98" s="199"/>
      <c r="O98" s="200"/>
    </row>
    <row r="99" spans="2:15" ht="15.75" customHeight="1" x14ac:dyDescent="0.3">
      <c r="B99" s="197">
        <f>IF($B$21="","",$B$21)</f>
        <v>107.102</v>
      </c>
      <c r="C99" s="198" t="str">
        <f>IF($C$21="","",$C$21)</f>
        <v>IVA 10,5%</v>
      </c>
      <c r="D99" s="199"/>
      <c r="E99" s="200"/>
      <c r="F99" s="88"/>
      <c r="G99" s="197">
        <f>IF($B$21="","",$B$21)</f>
        <v>107.102</v>
      </c>
      <c r="H99" s="198" t="str">
        <f>IF($C$21="","",$C$21)</f>
        <v>IVA 10,5%</v>
      </c>
      <c r="I99" s="199"/>
      <c r="J99" s="200"/>
      <c r="K99" s="88"/>
      <c r="L99" s="197">
        <f>IF($B$21="","",$B$21)</f>
        <v>107.102</v>
      </c>
      <c r="M99" s="198" t="str">
        <f>IF($C$21="","",$C$21)</f>
        <v>IVA 10,5%</v>
      </c>
      <c r="N99" s="199"/>
      <c r="O99" s="200"/>
    </row>
    <row r="100" spans="2:15" ht="15.75" customHeight="1" x14ac:dyDescent="0.3">
      <c r="B100" s="197">
        <f>IF($B$22="","",$B$22)</f>
        <v>106.521</v>
      </c>
      <c r="C100" s="198" t="str">
        <f>IF($C$22="","",$C$22)</f>
        <v>PERC IIBB BS AS</v>
      </c>
      <c r="D100" s="199"/>
      <c r="E100" s="200"/>
      <c r="F100" s="88"/>
      <c r="G100" s="197">
        <f>IF($B$22="","",$B$22)</f>
        <v>106.521</v>
      </c>
      <c r="H100" s="198" t="str">
        <f>IF($C$22="","",$C$22)</f>
        <v>PERC IIBB BS AS</v>
      </c>
      <c r="I100" s="199"/>
      <c r="J100" s="200"/>
      <c r="K100" s="88"/>
      <c r="L100" s="197">
        <f>IF($B$22="","",$B$22)</f>
        <v>106.521</v>
      </c>
      <c r="M100" s="198" t="str">
        <f>IF($C$22="","",$C$22)</f>
        <v>PERC IIBB BS AS</v>
      </c>
      <c r="N100" s="199"/>
      <c r="O100" s="200"/>
    </row>
    <row r="101" spans="2:15" ht="15.75" customHeight="1" x14ac:dyDescent="0.3">
      <c r="B101" s="197">
        <f>IF($B$23="","",$B$23)</f>
        <v>106.515</v>
      </c>
      <c r="C101" s="198" t="str">
        <f>IF($C$23="","",$C$23)</f>
        <v>PERC IIBB CABA</v>
      </c>
      <c r="D101" s="199"/>
      <c r="E101" s="200"/>
      <c r="F101" s="88"/>
      <c r="G101" s="197">
        <f>IF($B$23="","",$B$23)</f>
        <v>106.515</v>
      </c>
      <c r="H101" s="198" t="str">
        <f>IF($C$23="","",$C$23)</f>
        <v>PERC IIBB CABA</v>
      </c>
      <c r="I101" s="199"/>
      <c r="J101" s="200"/>
      <c r="K101" s="88"/>
      <c r="L101" s="197">
        <f>IF($B$23="","",$B$23)</f>
        <v>106.515</v>
      </c>
      <c r="M101" s="198" t="str">
        <f>IF($C$23="","",$C$23)</f>
        <v>PERC IIBB CABA</v>
      </c>
      <c r="N101" s="199"/>
      <c r="O101" s="200"/>
    </row>
    <row r="102" spans="2:15" ht="15.75" customHeight="1" x14ac:dyDescent="0.3">
      <c r="B102" s="197">
        <f>IF($B$24="","",$B$24)</f>
        <v>106.535</v>
      </c>
      <c r="C102" s="198" t="str">
        <f>IF($C$24="","",$C$24)</f>
        <v>PERC. IVA</v>
      </c>
      <c r="D102" s="203"/>
      <c r="E102" s="204"/>
      <c r="F102" s="88"/>
      <c r="G102" s="197">
        <f>IF($B$24="","",$B$24)</f>
        <v>106.535</v>
      </c>
      <c r="H102" s="198" t="str">
        <f>IF($C$24="","",$C$24)</f>
        <v>PERC. IVA</v>
      </c>
      <c r="I102" s="203"/>
      <c r="J102" s="204"/>
      <c r="K102" s="88"/>
      <c r="L102" s="197">
        <f>IF($B$24="","",$B$24)</f>
        <v>106.535</v>
      </c>
      <c r="M102" s="198" t="str">
        <f>IF($C$24="","",$C$24)</f>
        <v>PERC. IVA</v>
      </c>
      <c r="N102" s="203"/>
      <c r="O102" s="204"/>
    </row>
    <row r="103" spans="2:15" ht="15.75" customHeight="1" x14ac:dyDescent="0.3">
      <c r="B103" s="197" t="str">
        <f>IF($B$25="","",$B$25)</f>
        <v/>
      </c>
      <c r="C103" s="198" t="str">
        <f>IF($C$25="","",$C$25)</f>
        <v/>
      </c>
      <c r="D103" s="205"/>
      <c r="E103" s="204"/>
      <c r="F103" s="88"/>
      <c r="G103" s="197" t="str">
        <f>IF($B$25="","",$B$25)</f>
        <v/>
      </c>
      <c r="H103" s="198" t="str">
        <f>IF($C$25="","",$C$25)</f>
        <v/>
      </c>
      <c r="I103" s="205"/>
      <c r="J103" s="204"/>
      <c r="K103" s="88"/>
      <c r="L103" s="197" t="str">
        <f>IF($B$25="","",$B$25)</f>
        <v/>
      </c>
      <c r="M103" s="198" t="str">
        <f>IF($C$25="","",$C$25)</f>
        <v/>
      </c>
      <c r="N103" s="205"/>
      <c r="O103" s="204"/>
    </row>
    <row r="104" spans="2:15" ht="15.75" customHeight="1" x14ac:dyDescent="0.3">
      <c r="B104" s="197" t="str">
        <f>IF($B$26="","",$B$26)</f>
        <v/>
      </c>
      <c r="C104" s="198" t="str">
        <f>IF($C$26="","",$C$26)</f>
        <v/>
      </c>
      <c r="D104" s="205"/>
      <c r="E104" s="204"/>
      <c r="F104" s="88"/>
      <c r="G104" s="197" t="str">
        <f>IF($B$26="","",$B$26)</f>
        <v/>
      </c>
      <c r="H104" s="198" t="str">
        <f>IF($C$26="","",$C$26)</f>
        <v/>
      </c>
      <c r="I104" s="205"/>
      <c r="J104" s="204"/>
      <c r="K104" s="88"/>
      <c r="L104" s="197" t="str">
        <f>IF($B$26="","",$B$26)</f>
        <v/>
      </c>
      <c r="M104" s="198" t="str">
        <f>IF($C$26="","",$C$26)</f>
        <v/>
      </c>
      <c r="N104" s="205"/>
      <c r="O104" s="204"/>
    </row>
    <row r="105" spans="2:15" ht="15.75" customHeight="1" x14ac:dyDescent="0.3">
      <c r="B105" s="197">
        <f>IF($B$27="","",$B$27)</f>
        <v>200.9</v>
      </c>
      <c r="C105" s="198" t="str">
        <f>IF($C$27="","",$C$27)</f>
        <v>PROVEEDORES</v>
      </c>
      <c r="D105" s="204"/>
      <c r="E105" s="204"/>
      <c r="F105" s="88"/>
      <c r="G105" s="197">
        <f>IF($B$27="","",$B$27)</f>
        <v>200.9</v>
      </c>
      <c r="H105" s="198" t="str">
        <f>IF($C$27="","",$C$27)</f>
        <v>PROVEEDORES</v>
      </c>
      <c r="I105" s="204"/>
      <c r="J105" s="204"/>
      <c r="K105" s="88"/>
      <c r="L105" s="197">
        <f>IF($B$27="","",$B$27)</f>
        <v>200.9</v>
      </c>
      <c r="M105" s="198" t="str">
        <f>IF($C$27="","",$C$27)</f>
        <v>PROVEEDORES</v>
      </c>
      <c r="N105" s="204"/>
      <c r="O105" s="204"/>
    </row>
    <row r="106" spans="2:15" ht="15.75" customHeight="1" x14ac:dyDescent="0.3">
      <c r="B106" s="513"/>
      <c r="C106" s="514"/>
      <c r="D106" s="514"/>
      <c r="E106" s="208">
        <v>0</v>
      </c>
      <c r="F106" s="88"/>
      <c r="G106" s="513"/>
      <c r="H106" s="514"/>
      <c r="I106" s="514"/>
      <c r="J106" s="208">
        <v>0</v>
      </c>
      <c r="K106" s="88"/>
      <c r="L106" s="513"/>
      <c r="M106" s="514"/>
      <c r="N106" s="514"/>
      <c r="O106" s="208">
        <v>0</v>
      </c>
    </row>
    <row r="107" spans="2:15" ht="15.75" customHeight="1" x14ac:dyDescent="0.3">
      <c r="B107" s="88"/>
      <c r="C107" s="88"/>
      <c r="D107" s="88"/>
      <c r="E107" s="88"/>
      <c r="L107" s="515"/>
      <c r="M107" s="516"/>
      <c r="N107" s="516"/>
      <c r="O107" s="88"/>
    </row>
    <row r="108" spans="2:15" ht="15.75" customHeight="1" x14ac:dyDescent="0.3">
      <c r="B108" s="88"/>
      <c r="C108" s="88"/>
      <c r="D108" s="88"/>
      <c r="E108" s="88"/>
      <c r="L108" s="88"/>
      <c r="M108" s="88"/>
      <c r="N108" s="88"/>
      <c r="O108" s="88"/>
    </row>
    <row r="109" spans="2:15" ht="15.75" customHeight="1" x14ac:dyDescent="0.3"/>
    <row r="110" spans="2:15" ht="15.75" customHeight="1" x14ac:dyDescent="0.3"/>
    <row r="111" spans="2:15" ht="15.75" customHeight="1" x14ac:dyDescent="0.3"/>
    <row r="112" spans="2:1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G106:I106"/>
    <mergeCell ref="L106:N106"/>
    <mergeCell ref="L107:N107"/>
    <mergeCell ref="B80:D80"/>
    <mergeCell ref="G80:I80"/>
    <mergeCell ref="L80:N80"/>
    <mergeCell ref="B82:E82"/>
    <mergeCell ref="G82:J82"/>
    <mergeCell ref="L82:O82"/>
    <mergeCell ref="B106:D106"/>
    <mergeCell ref="G56:J56"/>
    <mergeCell ref="L56:O56"/>
    <mergeCell ref="B30:E30"/>
    <mergeCell ref="G30:J30"/>
    <mergeCell ref="L30:O30"/>
    <mergeCell ref="B54:D54"/>
    <mergeCell ref="G54:I54"/>
    <mergeCell ref="L54:N54"/>
    <mergeCell ref="B56:E56"/>
    <mergeCell ref="B2:O2"/>
    <mergeCell ref="B4:E4"/>
    <mergeCell ref="G4:J4"/>
    <mergeCell ref="L4:O4"/>
    <mergeCell ref="B28:D28"/>
    <mergeCell ref="G28:I28"/>
    <mergeCell ref="L28:N28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CDDC"/>
  </sheetPr>
  <dimension ref="B2:O1000"/>
  <sheetViews>
    <sheetView showGridLines="0" workbookViewId="0"/>
  </sheetViews>
  <sheetFormatPr baseColWidth="10" defaultColWidth="14.44140625" defaultRowHeight="15" customHeight="1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5" width="11.5546875" customWidth="1"/>
    <col min="16" max="26" width="10.6640625" customWidth="1"/>
  </cols>
  <sheetData>
    <row r="2" spans="2:15" ht="31.2" x14ac:dyDescent="0.3">
      <c r="B2" s="509" t="s">
        <v>1463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7"/>
    </row>
    <row r="3" spans="2:15" ht="14.4" x14ac:dyDescent="0.3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2:15" ht="18" x14ac:dyDescent="0.3">
      <c r="B4" s="510">
        <f>'Abr-24'!N1</f>
        <v>45017</v>
      </c>
      <c r="C4" s="511"/>
      <c r="D4" s="511"/>
      <c r="E4" s="512"/>
      <c r="F4" s="88"/>
      <c r="G4" s="510">
        <f>EDATE($B$4,1)</f>
        <v>45047</v>
      </c>
      <c r="H4" s="511"/>
      <c r="I4" s="511"/>
      <c r="J4" s="512"/>
      <c r="K4" s="88"/>
      <c r="L4" s="510">
        <f>EDATE($B$4,2)</f>
        <v>45078</v>
      </c>
      <c r="M4" s="511"/>
      <c r="N4" s="511"/>
      <c r="O4" s="512"/>
    </row>
    <row r="5" spans="2:15" ht="14.4" x14ac:dyDescent="0.3">
      <c r="B5" s="211">
        <v>100.1</v>
      </c>
      <c r="C5" s="212" t="s">
        <v>1464</v>
      </c>
      <c r="D5" s="213">
        <v>0</v>
      </c>
      <c r="E5" s="200"/>
      <c r="F5" s="88"/>
      <c r="G5" s="211">
        <v>100.1</v>
      </c>
      <c r="H5" s="212" t="s">
        <v>1464</v>
      </c>
      <c r="I5" s="213">
        <v>0</v>
      </c>
      <c r="J5" s="200"/>
      <c r="K5" s="88"/>
      <c r="L5" s="211">
        <v>100.1</v>
      </c>
      <c r="M5" s="212" t="s">
        <v>1464</v>
      </c>
      <c r="N5" s="213">
        <v>0</v>
      </c>
      <c r="O5" s="200"/>
    </row>
    <row r="6" spans="2:15" ht="14.4" x14ac:dyDescent="0.3">
      <c r="B6" s="211">
        <v>210.1</v>
      </c>
      <c r="C6" s="212" t="s">
        <v>1465</v>
      </c>
      <c r="D6" s="200"/>
      <c r="E6" s="214"/>
      <c r="F6" s="88"/>
      <c r="G6" s="211">
        <v>210.1</v>
      </c>
      <c r="H6" s="212" t="s">
        <v>1465</v>
      </c>
      <c r="I6" s="200"/>
      <c r="J6" s="214"/>
      <c r="K6" s="88"/>
      <c r="L6" s="211">
        <v>210.1</v>
      </c>
      <c r="M6" s="212" t="s">
        <v>1465</v>
      </c>
      <c r="N6" s="200"/>
      <c r="O6" s="214"/>
    </row>
    <row r="7" spans="2:15" ht="14.4" x14ac:dyDescent="0.3">
      <c r="B7" s="211">
        <v>400.2</v>
      </c>
      <c r="C7" s="212" t="s">
        <v>1466</v>
      </c>
      <c r="D7" s="200"/>
      <c r="E7" s="214"/>
      <c r="F7" s="88"/>
      <c r="G7" s="211">
        <v>400.2</v>
      </c>
      <c r="H7" s="212" t="s">
        <v>1466</v>
      </c>
      <c r="I7" s="200"/>
      <c r="J7" s="214"/>
      <c r="K7" s="88"/>
      <c r="L7" s="211">
        <v>400.2</v>
      </c>
      <c r="M7" s="212" t="s">
        <v>1466</v>
      </c>
      <c r="N7" s="200"/>
      <c r="O7" s="214"/>
    </row>
    <row r="8" spans="2:15" ht="14.4" x14ac:dyDescent="0.3">
      <c r="B8" s="215">
        <v>400.1</v>
      </c>
      <c r="C8" s="216" t="s">
        <v>1467</v>
      </c>
      <c r="D8" s="200"/>
      <c r="E8" s="217"/>
      <c r="F8" s="88"/>
      <c r="G8" s="215">
        <v>400.1</v>
      </c>
      <c r="H8" s="216" t="s">
        <v>1467</v>
      </c>
      <c r="I8" s="200"/>
      <c r="J8" s="217"/>
      <c r="K8" s="88"/>
      <c r="L8" s="215">
        <v>400.1</v>
      </c>
      <c r="M8" s="216" t="s">
        <v>1467</v>
      </c>
      <c r="N8" s="200"/>
      <c r="O8" s="217"/>
    </row>
    <row r="9" spans="2:15" ht="14.4" x14ac:dyDescent="0.3">
      <c r="B9" s="218"/>
      <c r="C9" s="218"/>
      <c r="D9" s="218"/>
      <c r="E9" s="219">
        <v>0</v>
      </c>
      <c r="F9" s="88"/>
      <c r="G9" s="218"/>
      <c r="H9" s="218"/>
      <c r="I9" s="218"/>
      <c r="J9" s="219">
        <v>0</v>
      </c>
      <c r="K9" s="88"/>
      <c r="L9" s="218"/>
      <c r="M9" s="218"/>
      <c r="N9" s="218"/>
      <c r="O9" s="219">
        <v>0</v>
      </c>
    </row>
    <row r="10" spans="2:15" ht="14.4" x14ac:dyDescent="0.3"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</row>
    <row r="11" spans="2:15" ht="18" x14ac:dyDescent="0.3">
      <c r="B11" s="510">
        <f>EDATE($B$4,3)</f>
        <v>45108</v>
      </c>
      <c r="C11" s="511"/>
      <c r="D11" s="511"/>
      <c r="E11" s="512"/>
      <c r="F11" s="88"/>
      <c r="G11" s="510">
        <f>EDATE($B$4,4)</f>
        <v>45139</v>
      </c>
      <c r="H11" s="511"/>
      <c r="I11" s="511"/>
      <c r="J11" s="512"/>
      <c r="K11" s="88"/>
      <c r="L11" s="510">
        <f>EDATE($B$4,5)</f>
        <v>45170</v>
      </c>
      <c r="M11" s="511"/>
      <c r="N11" s="511"/>
      <c r="O11" s="512"/>
    </row>
    <row r="12" spans="2:15" ht="14.4" x14ac:dyDescent="0.3">
      <c r="B12" s="211">
        <v>100.1</v>
      </c>
      <c r="C12" s="212" t="s">
        <v>1464</v>
      </c>
      <c r="D12" s="213">
        <v>0</v>
      </c>
      <c r="E12" s="200"/>
      <c r="F12" s="88"/>
      <c r="G12" s="211">
        <v>100.1</v>
      </c>
      <c r="H12" s="212" t="s">
        <v>1464</v>
      </c>
      <c r="I12" s="213">
        <v>0</v>
      </c>
      <c r="J12" s="200"/>
      <c r="K12" s="88"/>
      <c r="L12" s="211">
        <v>100.1</v>
      </c>
      <c r="M12" s="212" t="s">
        <v>1464</v>
      </c>
      <c r="N12" s="213">
        <v>0</v>
      </c>
      <c r="O12" s="200"/>
    </row>
    <row r="13" spans="2:15" ht="14.4" x14ac:dyDescent="0.3">
      <c r="B13" s="211">
        <v>210.1</v>
      </c>
      <c r="C13" s="212" t="s">
        <v>1465</v>
      </c>
      <c r="D13" s="200"/>
      <c r="E13" s="214"/>
      <c r="F13" s="88"/>
      <c r="G13" s="211">
        <v>210.1</v>
      </c>
      <c r="H13" s="212" t="s">
        <v>1465</v>
      </c>
      <c r="I13" s="200"/>
      <c r="J13" s="214"/>
      <c r="K13" s="88"/>
      <c r="L13" s="211">
        <v>210.1</v>
      </c>
      <c r="M13" s="212" t="s">
        <v>1465</v>
      </c>
      <c r="N13" s="200"/>
      <c r="O13" s="214"/>
    </row>
    <row r="14" spans="2:15" ht="14.4" x14ac:dyDescent="0.3">
      <c r="B14" s="211">
        <v>400.2</v>
      </c>
      <c r="C14" s="212" t="s">
        <v>1466</v>
      </c>
      <c r="D14" s="200"/>
      <c r="E14" s="214"/>
      <c r="F14" s="88"/>
      <c r="G14" s="211">
        <v>400.2</v>
      </c>
      <c r="H14" s="212" t="s">
        <v>1466</v>
      </c>
      <c r="I14" s="200"/>
      <c r="J14" s="214"/>
      <c r="K14" s="88"/>
      <c r="L14" s="211">
        <v>400.2</v>
      </c>
      <c r="M14" s="212" t="s">
        <v>1466</v>
      </c>
      <c r="N14" s="200"/>
      <c r="O14" s="214"/>
    </row>
    <row r="15" spans="2:15" ht="14.4" x14ac:dyDescent="0.3">
      <c r="B15" s="215">
        <v>400.1</v>
      </c>
      <c r="C15" s="216" t="s">
        <v>1467</v>
      </c>
      <c r="D15" s="200"/>
      <c r="E15" s="217"/>
      <c r="F15" s="88"/>
      <c r="G15" s="215">
        <v>400.1</v>
      </c>
      <c r="H15" s="216" t="s">
        <v>1467</v>
      </c>
      <c r="I15" s="200"/>
      <c r="J15" s="217"/>
      <c r="K15" s="88"/>
      <c r="L15" s="215">
        <v>400.1</v>
      </c>
      <c r="M15" s="216" t="s">
        <v>1467</v>
      </c>
      <c r="N15" s="200"/>
      <c r="O15" s="217"/>
    </row>
    <row r="16" spans="2:15" ht="14.4" x14ac:dyDescent="0.3">
      <c r="B16" s="218"/>
      <c r="C16" s="218"/>
      <c r="D16" s="218"/>
      <c r="E16" s="219">
        <v>0</v>
      </c>
      <c r="F16" s="88"/>
      <c r="G16" s="218"/>
      <c r="H16" s="218"/>
      <c r="I16" s="218"/>
      <c r="J16" s="219">
        <v>0</v>
      </c>
      <c r="K16" s="88"/>
      <c r="L16" s="218"/>
      <c r="M16" s="218"/>
      <c r="N16" s="218"/>
      <c r="O16" s="219">
        <v>0</v>
      </c>
    </row>
    <row r="17" spans="2:15" ht="14.4" x14ac:dyDescent="0.3"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</row>
    <row r="18" spans="2:15" ht="18" x14ac:dyDescent="0.3">
      <c r="B18" s="510">
        <f>EDATE($B$4,6)</f>
        <v>45200</v>
      </c>
      <c r="C18" s="511"/>
      <c r="D18" s="511"/>
      <c r="E18" s="512"/>
      <c r="F18" s="88"/>
      <c r="G18" s="510">
        <f>EDATE($B$4,7)</f>
        <v>45231</v>
      </c>
      <c r="H18" s="511"/>
      <c r="I18" s="511"/>
      <c r="J18" s="512"/>
      <c r="K18" s="88"/>
      <c r="L18" s="510">
        <f>EDATE($B$4,8)</f>
        <v>45261</v>
      </c>
      <c r="M18" s="511"/>
      <c r="N18" s="511"/>
      <c r="O18" s="512"/>
    </row>
    <row r="19" spans="2:15" ht="14.4" x14ac:dyDescent="0.3">
      <c r="B19" s="211">
        <v>100.1</v>
      </c>
      <c r="C19" s="212" t="s">
        <v>1464</v>
      </c>
      <c r="D19" s="213">
        <v>0</v>
      </c>
      <c r="E19" s="200"/>
      <c r="F19" s="88"/>
      <c r="G19" s="211">
        <v>100.1</v>
      </c>
      <c r="H19" s="212" t="s">
        <v>1464</v>
      </c>
      <c r="I19" s="213">
        <v>0</v>
      </c>
      <c r="J19" s="200"/>
      <c r="K19" s="88"/>
      <c r="L19" s="211">
        <v>100.1</v>
      </c>
      <c r="M19" s="212" t="s">
        <v>1464</v>
      </c>
      <c r="N19" s="213">
        <v>0</v>
      </c>
      <c r="O19" s="200"/>
    </row>
    <row r="20" spans="2:15" ht="14.4" x14ac:dyDescent="0.3">
      <c r="B20" s="211">
        <v>210.1</v>
      </c>
      <c r="C20" s="212" t="s">
        <v>1465</v>
      </c>
      <c r="D20" s="200"/>
      <c r="E20" s="214"/>
      <c r="F20" s="88"/>
      <c r="G20" s="211">
        <v>210.1</v>
      </c>
      <c r="H20" s="212" t="s">
        <v>1465</v>
      </c>
      <c r="I20" s="200"/>
      <c r="J20" s="214"/>
      <c r="K20" s="88"/>
      <c r="L20" s="211">
        <v>210.1</v>
      </c>
      <c r="M20" s="212" t="s">
        <v>1465</v>
      </c>
      <c r="N20" s="200"/>
      <c r="O20" s="214"/>
    </row>
    <row r="21" spans="2:15" ht="15.75" customHeight="1" x14ac:dyDescent="0.3">
      <c r="B21" s="211">
        <v>400.2</v>
      </c>
      <c r="C21" s="212" t="s">
        <v>1466</v>
      </c>
      <c r="D21" s="200"/>
      <c r="E21" s="214"/>
      <c r="F21" s="88"/>
      <c r="G21" s="211">
        <v>400.2</v>
      </c>
      <c r="H21" s="212" t="s">
        <v>1466</v>
      </c>
      <c r="I21" s="200"/>
      <c r="J21" s="214"/>
      <c r="K21" s="88"/>
      <c r="L21" s="211">
        <v>400.2</v>
      </c>
      <c r="M21" s="212" t="s">
        <v>1466</v>
      </c>
      <c r="N21" s="200"/>
      <c r="O21" s="214"/>
    </row>
    <row r="22" spans="2:15" ht="15.75" customHeight="1" x14ac:dyDescent="0.3">
      <c r="B22" s="215">
        <v>400.1</v>
      </c>
      <c r="C22" s="216" t="s">
        <v>1467</v>
      </c>
      <c r="D22" s="200"/>
      <c r="E22" s="217"/>
      <c r="F22" s="88"/>
      <c r="G22" s="215">
        <v>400.1</v>
      </c>
      <c r="H22" s="216" t="s">
        <v>1467</v>
      </c>
      <c r="I22" s="200"/>
      <c r="J22" s="217"/>
      <c r="K22" s="88"/>
      <c r="L22" s="215">
        <v>400.1</v>
      </c>
      <c r="M22" s="216" t="s">
        <v>1467</v>
      </c>
      <c r="N22" s="200"/>
      <c r="O22" s="217"/>
    </row>
    <row r="23" spans="2:15" ht="15.75" customHeight="1" x14ac:dyDescent="0.3">
      <c r="B23" s="218"/>
      <c r="C23" s="218"/>
      <c r="D23" s="218"/>
      <c r="E23" s="219">
        <v>0</v>
      </c>
      <c r="F23" s="88"/>
      <c r="G23" s="218"/>
      <c r="H23" s="218"/>
      <c r="I23" s="218"/>
      <c r="J23" s="219">
        <v>0</v>
      </c>
      <c r="K23" s="88"/>
      <c r="L23" s="218"/>
      <c r="M23" s="218"/>
      <c r="N23" s="218"/>
      <c r="O23" s="219">
        <v>0</v>
      </c>
    </row>
    <row r="24" spans="2:15" ht="15.75" customHeight="1" x14ac:dyDescent="0.3">
      <c r="B24" s="218"/>
      <c r="C24" s="218"/>
      <c r="D24" s="218"/>
      <c r="E24" s="220"/>
      <c r="F24" s="88"/>
      <c r="G24" s="88"/>
      <c r="H24" s="88"/>
      <c r="I24" s="88"/>
      <c r="J24" s="88"/>
      <c r="K24" s="88"/>
      <c r="L24" s="88"/>
      <c r="M24" s="88"/>
      <c r="N24" s="88"/>
      <c r="O24" s="88"/>
    </row>
    <row r="25" spans="2:15" ht="15.75" customHeight="1" x14ac:dyDescent="0.3">
      <c r="B25" s="510">
        <f>EDATE($B$4,9)</f>
        <v>45292</v>
      </c>
      <c r="C25" s="511"/>
      <c r="D25" s="511"/>
      <c r="E25" s="512"/>
      <c r="F25" s="88"/>
      <c r="G25" s="510">
        <f>EDATE($B$4,10)</f>
        <v>45323</v>
      </c>
      <c r="H25" s="511"/>
      <c r="I25" s="511"/>
      <c r="J25" s="512"/>
      <c r="K25" s="88"/>
      <c r="L25" s="510">
        <f>EDATE($B$4,11)</f>
        <v>45352</v>
      </c>
      <c r="M25" s="511"/>
      <c r="N25" s="511"/>
      <c r="O25" s="512"/>
    </row>
    <row r="26" spans="2:15" ht="15.75" customHeight="1" x14ac:dyDescent="0.3">
      <c r="B26" s="211">
        <v>100.1</v>
      </c>
      <c r="C26" s="212" t="s">
        <v>1464</v>
      </c>
      <c r="D26" s="213">
        <v>0</v>
      </c>
      <c r="E26" s="200"/>
      <c r="F26" s="88"/>
      <c r="G26" s="211">
        <v>100.1</v>
      </c>
      <c r="H26" s="212" t="s">
        <v>1464</v>
      </c>
      <c r="I26" s="213">
        <v>0</v>
      </c>
      <c r="J26" s="200"/>
      <c r="K26" s="88"/>
      <c r="L26" s="211">
        <v>100.1</v>
      </c>
      <c r="M26" s="212" t="s">
        <v>1464</v>
      </c>
      <c r="N26" s="213">
        <v>0</v>
      </c>
      <c r="O26" s="200"/>
    </row>
    <row r="27" spans="2:15" ht="15.75" customHeight="1" x14ac:dyDescent="0.3">
      <c r="B27" s="211">
        <v>210.1</v>
      </c>
      <c r="C27" s="212" t="s">
        <v>1465</v>
      </c>
      <c r="D27" s="200"/>
      <c r="E27" s="214"/>
      <c r="F27" s="88"/>
      <c r="G27" s="211">
        <v>210.1</v>
      </c>
      <c r="H27" s="212" t="s">
        <v>1465</v>
      </c>
      <c r="I27" s="200"/>
      <c r="J27" s="214"/>
      <c r="K27" s="88"/>
      <c r="L27" s="211">
        <v>210.1</v>
      </c>
      <c r="M27" s="212" t="s">
        <v>1465</v>
      </c>
      <c r="N27" s="200"/>
      <c r="O27" s="214"/>
    </row>
    <row r="28" spans="2:15" ht="15.75" customHeight="1" x14ac:dyDescent="0.3">
      <c r="B28" s="211">
        <v>400.2</v>
      </c>
      <c r="C28" s="212" t="s">
        <v>1466</v>
      </c>
      <c r="D28" s="200"/>
      <c r="E28" s="214"/>
      <c r="F28" s="88"/>
      <c r="G28" s="211">
        <v>400.2</v>
      </c>
      <c r="H28" s="212" t="s">
        <v>1466</v>
      </c>
      <c r="I28" s="200"/>
      <c r="J28" s="214"/>
      <c r="K28" s="88"/>
      <c r="L28" s="211">
        <v>400.2</v>
      </c>
      <c r="M28" s="212" t="s">
        <v>1466</v>
      </c>
      <c r="N28" s="200"/>
      <c r="O28" s="214"/>
    </row>
    <row r="29" spans="2:15" ht="15.75" customHeight="1" x14ac:dyDescent="0.3">
      <c r="B29" s="215">
        <v>400.1</v>
      </c>
      <c r="C29" s="216" t="s">
        <v>1467</v>
      </c>
      <c r="D29" s="200"/>
      <c r="E29" s="217"/>
      <c r="F29" s="88"/>
      <c r="G29" s="215">
        <v>400.1</v>
      </c>
      <c r="H29" s="216" t="s">
        <v>1467</v>
      </c>
      <c r="I29" s="200"/>
      <c r="J29" s="217"/>
      <c r="K29" s="88"/>
      <c r="L29" s="215">
        <v>400.1</v>
      </c>
      <c r="M29" s="216" t="s">
        <v>1467</v>
      </c>
      <c r="N29" s="200"/>
      <c r="O29" s="217"/>
    </row>
    <row r="30" spans="2:15" ht="15.75" customHeight="1" x14ac:dyDescent="0.3">
      <c r="B30" s="218"/>
      <c r="C30" s="218"/>
      <c r="D30" s="218"/>
      <c r="E30" s="219">
        <v>0</v>
      </c>
      <c r="F30" s="88"/>
      <c r="G30" s="218"/>
      <c r="H30" s="218"/>
      <c r="I30" s="218"/>
      <c r="J30" s="219">
        <v>0</v>
      </c>
      <c r="K30" s="88"/>
      <c r="L30" s="218"/>
      <c r="M30" s="218"/>
      <c r="N30" s="218"/>
      <c r="O30" s="219">
        <v>0</v>
      </c>
    </row>
    <row r="31" spans="2:15" ht="15.75" customHeight="1" x14ac:dyDescent="0.3"/>
    <row r="32" spans="2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B2:O2"/>
    <mergeCell ref="B4:E4"/>
    <mergeCell ref="G4:J4"/>
    <mergeCell ref="L4:O4"/>
    <mergeCell ref="B11:E11"/>
    <mergeCell ref="G11:J11"/>
    <mergeCell ref="L11:O11"/>
    <mergeCell ref="B18:E18"/>
    <mergeCell ref="G18:J18"/>
    <mergeCell ref="L18:O18"/>
    <mergeCell ref="B25:E25"/>
    <mergeCell ref="G25:J25"/>
    <mergeCell ref="L25:O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Abr-24</vt:lpstr>
      <vt:lpstr>May-24</vt:lpstr>
      <vt:lpstr>Jun-24</vt:lpstr>
      <vt:lpstr>Jul-24</vt:lpstr>
      <vt:lpstr>Ago-24</vt:lpstr>
      <vt:lpstr>Sept-24</vt:lpstr>
      <vt:lpstr>Oct-24</vt:lpstr>
      <vt:lpstr>Nov-24</vt:lpstr>
      <vt:lpstr>Dic-24</vt:lpstr>
      <vt:lpstr>Ene-25</vt:lpstr>
      <vt:lpstr>Feb-25</vt:lpstr>
      <vt:lpstr>Mar-25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Gaspar Gullo</cp:lastModifiedBy>
  <dcterms:created xsi:type="dcterms:W3CDTF">2006-09-16T00:00:00Z</dcterms:created>
  <dcterms:modified xsi:type="dcterms:W3CDTF">2025-08-05T16:48:47Z</dcterms:modified>
</cp:coreProperties>
</file>